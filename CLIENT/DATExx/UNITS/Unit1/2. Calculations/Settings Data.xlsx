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queryTables/queryTable2.xml" ContentType="application/vnd.openxmlformats-officedocument.spreadsheetml.queryTable+xml"/>
  <Override PartName="/xl/tables/table16.xml" ContentType="application/vnd.openxmlformats-officedocument.spreadsheetml.table+xml"/>
  <Override PartName="/xl/queryTables/queryTable3.xml" ContentType="application/vnd.openxmlformats-officedocument.spreadsheetml.query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queryTables/queryTable4.xml" ContentType="application/vnd.openxmlformats-officedocument.spreadsheetml.queryTable+xml"/>
  <Override PartName="/xl/tables/table21.xml" ContentType="application/vnd.openxmlformats-officedocument.spreadsheetml.table+xml"/>
  <Override PartName="/xl/queryTables/queryTable5.xml" ContentType="application/vnd.openxmlformats-officedocument.spreadsheetml.query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ntri001.sharepoint.com/sites/3Product/Shared Documents/mcode Dev/ResidentialCare/CLIENT/DATExx/UNITS/Unit1/2. Calculations/"/>
    </mc:Choice>
  </mc:AlternateContent>
  <xr:revisionPtr revIDLastSave="363" documentId="8_{376467DD-1AFE-49AD-91B1-C667E61597AD}" xr6:coauthVersionLast="47" xr6:coauthVersionMax="47" xr10:uidLastSave="{880D5F8D-7170-4C4C-B1A5-7768C75C064E}"/>
  <bookViews>
    <workbookView xWindow="-120" yWindow="-120" windowWidth="38640" windowHeight="15840" xr2:uid="{00000000-000D-0000-FFFF-FFFF00000000}"/>
  </bookViews>
  <sheets>
    <sheet name="FilePath" sheetId="33" r:id="rId1"/>
    <sheet name="FILEPATH-Facility" sheetId="28" r:id="rId2"/>
    <sheet name="MaxCapacity" sheetId="26" r:id="rId3"/>
    <sheet name="ShiftHours" sheetId="24" r:id="rId4"/>
    <sheet name="PermutationDimensions (2)" sheetId="29" r:id="rId5"/>
    <sheet name="DimensionPermutations" sheetId="12" r:id="rId6"/>
    <sheet name="Metadata" sheetId="10" r:id="rId7"/>
    <sheet name="AllocationExtracted" sheetId="20" r:id="rId8"/>
  </sheets>
  <externalReferences>
    <externalReference r:id="rId9"/>
    <externalReference r:id="rId10"/>
    <externalReference r:id="rId11"/>
    <externalReference r:id="rId12"/>
    <externalReference r:id="rId13"/>
  </externalReferences>
  <definedNames>
    <definedName name="ABCap" localSheetId="2">#REF!</definedName>
    <definedName name="ABCap">#REF!</definedName>
    <definedName name="ABGoal">#REF!</definedName>
    <definedName name="Client" localSheetId="1">'FILEPATH-Facility'!$B$13</definedName>
    <definedName name="Client" localSheetId="2">[1]FILEPATH!$B$18</definedName>
    <definedName name="Client">#REF!</definedName>
    <definedName name="Contractor_Margin" localSheetId="2">#REF!</definedName>
    <definedName name="Contractor_Margin">#REF!</definedName>
    <definedName name="Date" localSheetId="0">#REF!</definedName>
    <definedName name="Date" localSheetId="1">#REF!</definedName>
    <definedName name="Date" localSheetId="2">[1]FILEPATH!$B$21</definedName>
    <definedName name="Date">[2]FILEPATH!$B$21</definedName>
    <definedName name="Directory" localSheetId="1">#REF!</definedName>
    <definedName name="Directory">#REF!</definedName>
    <definedName name="EFCap">#REF!</definedName>
    <definedName name="EFGoal">#REF!</definedName>
    <definedName name="ExternalData_1" localSheetId="0" hidden="1">FilePath!$A$3:$B$9</definedName>
    <definedName name="ExternalData_1" localSheetId="6" hidden="1">Metadata!$G$1:$H$15</definedName>
    <definedName name="ExternalData_2" localSheetId="7" hidden="1">AllocationExtracted!$A$1:$M$579</definedName>
    <definedName name="ExternalData_2" localSheetId="5" hidden="1">DimensionPermutations!$A$1:$E$127</definedName>
    <definedName name="ExternalData_2" localSheetId="6" hidden="1">Metadata!$K$3:$K$4</definedName>
    <definedName name="ExternalData_3" localSheetId="4" hidden="1">'PermutationDimensions (2)'!$A$1:$E$127</definedName>
    <definedName name="Facility" localSheetId="2">#REF!</definedName>
    <definedName name="Facility">#REF!</definedName>
    <definedName name="FromArray_1">_xlfn.ANCHORARRAY([3]UnitL1Path!$B$1)</definedName>
    <definedName name="FTE" localSheetId="1">#REF!</definedName>
    <definedName name="FTE" localSheetId="2">#REF!</definedName>
    <definedName name="FTE">#REF!</definedName>
    <definedName name="HeadFolder">#REF!</definedName>
    <definedName name="HRS" localSheetId="1">#REF!</definedName>
    <definedName name="HRS" localSheetId="2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1">'FILEPATH-Facility'!#REF!</definedName>
    <definedName name="Location" localSheetId="2">[1]FILEPATH!$B$17</definedName>
    <definedName name="Location">#REF!</definedName>
    <definedName name="MAIT_date_adjusted_for_example" localSheetId="1">#REF!</definedName>
    <definedName name="MAIT_date_adjusted_for_example" localSheetId="2">#REF!</definedName>
    <definedName name="MAIT_date_adjusted_for_example">#REF!</definedName>
    <definedName name="Max_HRS" localSheetId="1">#REF!</definedName>
    <definedName name="Max_HRS" localSheetId="2">#REF!</definedName>
    <definedName name="Max_HRS">#REF!</definedName>
    <definedName name="Overtime" localSheetId="2">#REF!</definedName>
    <definedName name="Overtime">#REF!</definedName>
    <definedName name="Revenue_per_labour_factor" localSheetId="2">#REF!</definedName>
    <definedName name="Revenue_per_labour_factor">#REF!</definedName>
    <definedName name="RevenueRate" localSheetId="2">#REF!</definedName>
    <definedName name="RevenueRate">#REF!</definedName>
    <definedName name="RevPerWorker">#REF!</definedName>
    <definedName name="Role" localSheetId="1">'FILEPATH-Facility'!$B$34</definedName>
    <definedName name="Role">#REF!</definedName>
    <definedName name="ROLE_TITLE" localSheetId="0">#REF!</definedName>
    <definedName name="ROLE_TITLE" localSheetId="1">#REF!</definedName>
    <definedName name="ROLE_TITLE">[4]Key!$J$5:$J$64</definedName>
    <definedName name="Type" localSheetId="0">#REF!</definedName>
    <definedName name="Type" localSheetId="1">#REF!</definedName>
    <definedName name="Type" localSheetId="2">[1]FILEPATH!$B$19</definedName>
    <definedName name="Type">[2]FILEPATH!$B$19</definedName>
    <definedName name="xxxxRange">#REF!</definedName>
  </definedNames>
  <calcPr calcId="191029" calcMode="manual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3" l="1" a="1"/>
  <c r="B1" i="33" s="1"/>
  <c r="N10" i="29"/>
  <c r="F31" i="24"/>
  <c r="F32" i="24"/>
  <c r="F33" i="24"/>
  <c r="F34" i="24"/>
  <c r="F35" i="24"/>
  <c r="F36" i="24"/>
  <c r="F37" i="24"/>
  <c r="F38" i="24"/>
  <c r="F39" i="24"/>
  <c r="E31" i="24"/>
  <c r="D36" i="24"/>
  <c r="D35" i="24"/>
  <c r="D34" i="24"/>
  <c r="D39" i="24"/>
  <c r="D38" i="24"/>
  <c r="D37" i="24"/>
  <c r="D33" i="24"/>
  <c r="D32" i="24"/>
  <c r="D31" i="24"/>
  <c r="B17" i="28" a="1"/>
  <c r="B17" i="28" s="1"/>
  <c r="B9" i="24" a="1"/>
  <c r="B9" i="24" s="1"/>
  <c r="H10" i="24" s="1" a="1"/>
  <c r="H10" i="24" s="1"/>
  <c r="F12" i="24"/>
  <c r="E12" i="24"/>
  <c r="A16" i="24"/>
  <c r="C16" i="24"/>
  <c r="B1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9CDC57-734B-4122-B578-F155AD172BC8}" keepAlive="1" name="Query - AllocationExtracted(1)" description="Connection to the 'AllocationExtracted' query in the workbook." type="5" refreshedVersion="8" background="1" saveData="1">
    <dbPr connection="Provider=Microsoft.Mashup.OleDb.1;Data Source=$Workbook$;Location=AllocationExtracted;Extended Properties=&quot;&quot;" command="SELECT * FROM [AllocationExtracted]"/>
  </connection>
  <connection id="2" xr16:uid="{9137E3CB-D75B-41E4-8DA1-CDBFBCB5B21F}" keepAlive="1" name="Query - DateFrom" description="Connection to the 'DateFrom' query in the workbook." type="5" refreshedVersion="0" background="1">
    <dbPr connection="Provider=Microsoft.Mashup.OleDb.1;Data Source=$Workbook$;Location=DateFrom;Extended Properties=&quot;&quot;" command="SELECT * FROM [DateFrom]"/>
  </connection>
  <connection id="3" xr16:uid="{A4B126C1-5EC2-4138-ABD6-9BB9D7E13420}" keepAlive="1" name="Query - DateList" description="Connection to the 'DateList' query in the workbook." type="5" refreshedVersion="8" background="1" saveData="1">
    <dbPr connection="Provider=Microsoft.Mashup.OleDb.1;Data Source=$Workbook$;Location=DateList;Extended Properties=&quot;&quot;" command="SELECT * FROM [DateList]"/>
  </connection>
  <connection id="4" xr16:uid="{69F259B1-7313-40AA-96F3-DF75C4B7CCBB}" keepAlive="1" name="Query - DateNameRoleShiftAllocation" description="Connection to the 'DateNameRoleShiftAllocation' query in the workbook." type="5" refreshedVersion="0" background="1">
    <dbPr connection="Provider=Microsoft.Mashup.OleDb.1;Data Source=$Workbook$;Location=DateNameRoleShiftAllocation;Extended Properties=&quot;&quot;" command="SELECT * FROM [DateNameRoleShiftAllocation]"/>
  </connection>
  <connection id="5" xr16:uid="{CE9A7F20-0784-4948-98B0-2EDD7CEAF8FD}" keepAlive="1" name="Query - DateRoleShiftAllocation" description="Connection to the 'DateRoleShiftAllocation' query in the workbook." type="5" refreshedVersion="0" background="1">
    <dbPr connection="Provider=Microsoft.Mashup.OleDb.1;Data Source=$Workbook$;Location=DateRoleShiftAllocation;Extended Properties=&quot;&quot;" command="SELECT * FROM [DateRoleShiftAllocation]"/>
  </connection>
  <connection id="6" xr16:uid="{A6C25C68-E6A7-4189-9CF5-A3532AB1DA28}" keepAlive="1" name="Query - Dates Listed" description="Connection to the 'Dates Listed' query in the workbook." type="5" refreshedVersion="0" background="1">
    <dbPr connection="Provider=Microsoft.Mashup.OleDb.1;Data Source=$Workbook$;Location=&quot;Dates Listed&quot;;Extended Properties=&quot;&quot;" command="SELECT * FROM [Dates Listed]"/>
  </connection>
  <connection id="7" xr16:uid="{27B92D4E-F875-4A0D-BAB1-D8B01C9FB062}" keepAlive="1" name="Query - Max Date" description="Connection to the 'Max Date' query in the workbook." type="5" refreshedVersion="0" background="1">
    <dbPr connection="Provider=Microsoft.Mashup.OleDb.1;Data Source=$Workbook$;Location=&quot;Max Date&quot;;Extended Properties=&quot;&quot;" command="SELECT * FROM [Max Date]"/>
  </connection>
  <connection id="8" xr16:uid="{48557ECB-53C1-451B-B3F3-5CE9212210FE}" keepAlive="1" name="Query - Min Date" description="Connection to the 'Min Date' query in the workbook." type="5" refreshedVersion="8" background="1" saveData="1">
    <dbPr connection="Provider=Microsoft.Mashup.OleDb.1;Data Source=$Workbook$;Location=&quot;Min Date&quot;;Extended Properties=&quot;&quot;" command="SELECT * FROM [Min Date]"/>
  </connection>
  <connection id="9" xr16:uid="{33399A4F-B447-477D-9C0E-3126DF3A71BF}" keepAlive="1" name="Query - Path" description="Connection to the 'Path' query in the workbook." type="5" refreshedVersion="0" background="1">
    <dbPr connection="Provider=Microsoft.Mashup.OleDb.1;Data Source=$Workbook$;Location=Path;Extended Properties=&quot;&quot;" command="SELECT * FROM [Path]"/>
  </connection>
  <connection id="10" xr16:uid="{FC53EB38-55A6-4298-A254-7863AAC30763}" keepAlive="1" name="Query - PathTABLE" description="Connection to the 'PathTABLE' query in the workbook." type="5" refreshedVersion="0" background="1" saveData="1">
    <dbPr connection="Provider=Microsoft.Mashup.OleDb.1;Data Source=$Workbook$;Location=PathTABLE;Extended Properties=&quot;&quot;" command="SELECT * FROM [PathTABLE]"/>
  </connection>
  <connection id="11" xr16:uid="{E7566B31-2959-4954-B0D1-046CD06F4A6E}" keepAlive="1" name="Query - PathTABLE (2)" description="Connection to the 'PathTABLE (2)' query in the workbook." type="5" refreshedVersion="8" background="1" saveData="1">
    <dbPr connection="Provider=Microsoft.Mashup.OleDb.1;Data Source=$Workbook$;Location=&quot;PathTABLE (2)&quot;;Extended Properties=&quot;&quot;" command="SELECT * FROM [PathTABLE (2)]"/>
  </connection>
  <connection id="12" xr16:uid="{0FEAD14B-C6C7-40D8-98AA-D0E3D291AD14}" keepAlive="1" name="Query - PermutationDimensions" description="Connection to the 'PermutationDimensions' query in the workbook." type="5" refreshedVersion="8" background="1" saveData="1">
    <dbPr connection="Provider=Microsoft.Mashup.OleDb.1;Data Source=$Workbook$;Location=PermutationDimensions;Extended Properties=&quot;&quot;" command="SELECT * FROM [PermutationDimensions]"/>
  </connection>
  <connection id="13" xr16:uid="{DBAFF7AB-E81F-41F5-801E-883D4D011B5E}" keepAlive="1" name="Query - PermutationDimensions (2)" description="Connection to the 'PermutationDimensions (2)' query in the workbook." type="5" refreshedVersion="8" background="1" saveData="1">
    <dbPr connection="Provider=Microsoft.Mashup.OleDb.1;Data Source=$Workbook$;Location=&quot;PermutationDimensions (2)&quot;;Extended Properties=&quot;&quot;" command="SELECT * FROM [PermutationDimensions (2)]"/>
  </connection>
  <connection id="14" xr16:uid="{46012B72-C89B-4F7F-853E-7E558624F90A}" keepAlive="1" name="Query - Query1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  <connection id="15" xr16:uid="{969B6640-31AF-4690-86FA-CA004E701712}" keepAlive="1" name="Query - Roles(1)" description="Connection to the 'Roles' query in the workbook." type="5" refreshedVersion="0" background="1">
    <dbPr connection="Provider=Microsoft.Mashup.OleDb.1;Data Source=$Workbook$;Location=Roles;Extended Properties=&quot;&quot;" command="SELECT * FROM [Roles]"/>
  </connection>
  <connection id="16" xr16:uid="{2FE0AA74-C424-4409-A4FB-46F376D7A557}" keepAlive="1" name="Query - Shifts" description="Connection to the 'Shifts' query in the workbook." type="5" refreshedVersion="0" background="1">
    <dbPr connection="Provider=Microsoft.Mashup.OleDb.1;Data Source=$Workbook$;Location=Shifts;Extended Properties=&quot;&quot;" command="SELECT * FROM [Shifts]"/>
  </connection>
  <connection id="17" xr16:uid="{4AFD8224-3AC0-403F-B1E9-A6DB3FFB28F5}" keepAlive="1" name="Query - Unit" description="Connection to the 'Unit' query in the workbook." type="5" refreshedVersion="0" background="1">
    <dbPr connection="Provider=Microsoft.Mashup.OleDb.1;Data Source=$Workbook$;Location=Unit;Extended Properties=&quot;&quot;" command="SELECT * FROM [Uni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<sst xmlns="http://schemas.openxmlformats.org/spreadsheetml/2006/main" count="3573" uniqueCount="232">
  <si>
    <t>AM</t>
  </si>
  <si>
    <t>PM</t>
  </si>
  <si>
    <t>Shifts</t>
  </si>
  <si>
    <t>NIGHT</t>
  </si>
  <si>
    <t>Date</t>
  </si>
  <si>
    <t>RolesList</t>
  </si>
  <si>
    <t>Name</t>
  </si>
  <si>
    <t>Start</t>
  </si>
  <si>
    <t>End</t>
  </si>
  <si>
    <t>Role</t>
  </si>
  <si>
    <t>Siu Ping Lai E100</t>
  </si>
  <si>
    <t>Linh Phung E106</t>
  </si>
  <si>
    <t>Wen Xie E156</t>
  </si>
  <si>
    <t>A Mui Leong E027</t>
  </si>
  <si>
    <t>Shumin Zhao E062</t>
  </si>
  <si>
    <t>Dongxia Ma E154</t>
  </si>
  <si>
    <t>Siqi Huang E170</t>
  </si>
  <si>
    <t>Wai Ling Yeung E127</t>
  </si>
  <si>
    <t>Qian Ting Huang E049</t>
  </si>
  <si>
    <t>Feng Ying Li E068</t>
  </si>
  <si>
    <t>Ming Feng Chen E004</t>
  </si>
  <si>
    <t>Qinghua Jiang E021</t>
  </si>
  <si>
    <t>Omat Awut E221</t>
  </si>
  <si>
    <t>Thi Vi Na Dong E149</t>
  </si>
  <si>
    <t>Sangita Thapa E216</t>
  </si>
  <si>
    <t>Guiying Chen E147</t>
  </si>
  <si>
    <t>Hua Lan He E047</t>
  </si>
  <si>
    <t>Chau King Chan E155</t>
  </si>
  <si>
    <t>Leng Luong E179</t>
  </si>
  <si>
    <t>Na Li E176</t>
  </si>
  <si>
    <t>Tinh Nghi Vuong E119</t>
  </si>
  <si>
    <t>Guoping Yang E044</t>
  </si>
  <si>
    <t>Tieu Phung Ly E092</t>
  </si>
  <si>
    <t>Kang In Pong E050</t>
  </si>
  <si>
    <t>Ying Liu E130</t>
  </si>
  <si>
    <t>Location</t>
  </si>
  <si>
    <t>Client</t>
  </si>
  <si>
    <t>NOT USED</t>
  </si>
  <si>
    <t>MANUALLY ENTERED IN TABLEAU</t>
  </si>
  <si>
    <t>future automation possible</t>
  </si>
  <si>
    <t>ShiftDuration</t>
  </si>
  <si>
    <t>MealBreakTime</t>
  </si>
  <si>
    <t>MealBreakstart</t>
  </si>
  <si>
    <t>StartAM</t>
  </si>
  <si>
    <t>StartPM</t>
  </si>
  <si>
    <t>StartNIGHT</t>
  </si>
  <si>
    <t>ShiftLength</t>
  </si>
  <si>
    <t>MinHrs</t>
  </si>
  <si>
    <t>ShortHrs</t>
  </si>
  <si>
    <t>StdHrs</t>
  </si>
  <si>
    <t>1.5OT</t>
  </si>
  <si>
    <t>2.0OT</t>
  </si>
  <si>
    <t>ShiftGap</t>
  </si>
  <si>
    <t>MinGap</t>
  </si>
  <si>
    <t>ShiftPeriod</t>
  </si>
  <si>
    <t>StartTime</t>
  </si>
  <si>
    <t>StartDay</t>
  </si>
  <si>
    <t>StdHrsPerWeek</t>
  </si>
  <si>
    <t>OrdinaryHrsWk-Week</t>
  </si>
  <si>
    <t>Fulltime</t>
  </si>
  <si>
    <t>Parttime</t>
  </si>
  <si>
    <t>MinimumShiftTimePaid</t>
  </si>
  <si>
    <t>OrdinaryHrsFn</t>
  </si>
  <si>
    <t>OrdinaryHrs28d</t>
  </si>
  <si>
    <t>StdWeekDays</t>
  </si>
  <si>
    <t>MaxCapacity</t>
  </si>
  <si>
    <t>MaxCapacityFactor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</si>
  <si>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</si>
  <si>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</si>
  <si>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</si>
  <si>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</si>
  <si>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</si>
  <si>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</si>
  <si>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</si>
  <si>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</si>
  <si>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</si>
  <si>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</si>
  <si>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06:30 AM</t>
  </si>
  <si>
    <t>07:00 AM</t>
  </si>
  <si>
    <t>ROLES</t>
  </si>
  <si>
    <t>UNITS</t>
  </si>
  <si>
    <t>Period</t>
  </si>
  <si>
    <t>Day</t>
  </si>
  <si>
    <t>DateFrom</t>
  </si>
  <si>
    <t>Min Date</t>
  </si>
  <si>
    <t>MaxAvailability</t>
  </si>
  <si>
    <t>1 for shifts</t>
  </si>
  <si>
    <t>Variable Name</t>
  </si>
  <si>
    <t>Value</t>
  </si>
  <si>
    <t>Root Path</t>
  </si>
  <si>
    <t>FilePath</t>
  </si>
  <si>
    <t>Facility</t>
  </si>
  <si>
    <t>FileName</t>
  </si>
  <si>
    <t>FilePathUrl</t>
  </si>
  <si>
    <t>Code</t>
  </si>
  <si>
    <t>Break</t>
  </si>
  <si>
    <t>Break Time</t>
  </si>
  <si>
    <t>Hours</t>
  </si>
  <si>
    <t>Department</t>
  </si>
  <si>
    <t>Area</t>
  </si>
  <si>
    <t>Ashburn House</t>
  </si>
  <si>
    <t>Site Care</t>
  </si>
  <si>
    <t>RN</t>
  </si>
  <si>
    <t>First Floor</t>
  </si>
  <si>
    <t>Xian ZHUANG</t>
  </si>
  <si>
    <t>Xin Li</t>
  </si>
  <si>
    <t>Bidhi KC SOTI</t>
  </si>
  <si>
    <t>Linyi ZHOU</t>
  </si>
  <si>
    <t>Harpreet Kaur KALIRAUNE</t>
  </si>
  <si>
    <t>Naomi NDIRANGU</t>
  </si>
  <si>
    <t>Lijun MEI</t>
  </si>
  <si>
    <t>Parisha SHRESTHA</t>
  </si>
  <si>
    <t>Ground Floor</t>
  </si>
  <si>
    <t>Bishnu PUN</t>
  </si>
  <si>
    <t>AINC4</t>
  </si>
  <si>
    <t>Archana SINGH</t>
  </si>
  <si>
    <t>Vivianna LOSE</t>
  </si>
  <si>
    <t>Dinesh BHATT</t>
  </si>
  <si>
    <t>Lyvia LILY</t>
  </si>
  <si>
    <t>Aarati THAPA</t>
  </si>
  <si>
    <t>Marina GILLMAN</t>
  </si>
  <si>
    <t>Anuradha SHARMA</t>
  </si>
  <si>
    <t>Nita SHRESTHA</t>
  </si>
  <si>
    <t>First Floor Floater</t>
  </si>
  <si>
    <t>Yi QUAN</t>
  </si>
  <si>
    <t>Robert SMITH</t>
  </si>
  <si>
    <t>FM - Extra</t>
  </si>
  <si>
    <t>AIN</t>
  </si>
  <si>
    <t>Puspa SHRESTHA</t>
  </si>
  <si>
    <t>Salina MAHARJAN</t>
  </si>
  <si>
    <t>Karuna KC</t>
  </si>
  <si>
    <t>Radha SUBEDI GAUTAM</t>
  </si>
  <si>
    <t>Miaad HAMO</t>
  </si>
  <si>
    <t>Ajit MAHARJAN</t>
  </si>
  <si>
    <t>Simin KE</t>
  </si>
  <si>
    <t>Robert MCPHERSON</t>
  </si>
  <si>
    <t>Regina ADDAE</t>
  </si>
  <si>
    <t>Shahana PAGADDINNIMATH</t>
  </si>
  <si>
    <t>Mele TUPOU</t>
  </si>
  <si>
    <t>GKF</t>
  </si>
  <si>
    <t>Paramjit KANG</t>
  </si>
  <si>
    <t>Salina RAI</t>
  </si>
  <si>
    <t>Anil BUDHA MAGAR</t>
  </si>
  <si>
    <t>Parvinder KAUR</t>
  </si>
  <si>
    <t>Ushmita THAPALIYA</t>
  </si>
  <si>
    <t>Namuna THAPA</t>
  </si>
  <si>
    <t>Silia FUNAKI</t>
  </si>
  <si>
    <t>FDK</t>
  </si>
  <si>
    <t>Samikshya DHUNGANA</t>
  </si>
  <si>
    <t>Pratibha MISHRA</t>
  </si>
  <si>
    <t>Gillian KIPSOI</t>
  </si>
  <si>
    <t>Anju CHHETRI</t>
  </si>
  <si>
    <t>Geeta LAMICHHANE</t>
  </si>
  <si>
    <t>FK3</t>
  </si>
  <si>
    <t>Monica KATHET</t>
  </si>
  <si>
    <t>Sona TAMANG</t>
  </si>
  <si>
    <t>Urmila SHRESTHA</t>
  </si>
  <si>
    <t>KU-RING-GAI</t>
  </si>
  <si>
    <t>Udeni CHANDRASEKARE</t>
  </si>
  <si>
    <t>Laxmi LAMA</t>
  </si>
  <si>
    <t>Kanchan MALA</t>
  </si>
  <si>
    <t>Pasang SHERPA</t>
  </si>
  <si>
    <t>Binu ROKKA</t>
  </si>
  <si>
    <t>Prashant GYALANG MAGAR</t>
  </si>
  <si>
    <t>Arpana THAPA</t>
  </si>
  <si>
    <t>Nirmala MAHARJAN</t>
  </si>
  <si>
    <t>Sarinna CHUENCHUTAWEESAP</t>
  </si>
  <si>
    <t>Sangeeta SANGEETA</t>
  </si>
  <si>
    <t>GK1</t>
  </si>
  <si>
    <t>Arati RAJBHANDARI</t>
  </si>
  <si>
    <t>Januka GHIMIRE</t>
  </si>
  <si>
    <t>Augusto URQUIZO</t>
  </si>
  <si>
    <t>Sarah SAWE</t>
  </si>
  <si>
    <t>Kuo-Sung CHEN</t>
  </si>
  <si>
    <t>Sanjiv KHATIWADA</t>
  </si>
  <si>
    <t>GK2</t>
  </si>
  <si>
    <t>Ritu KAMBOJ</t>
  </si>
  <si>
    <t>Cherry RAMOS</t>
  </si>
  <si>
    <t>GK3</t>
  </si>
  <si>
    <t>GF1</t>
  </si>
  <si>
    <t>Mae PANGANDAMAN</t>
  </si>
  <si>
    <t>Sushmita LAMA</t>
  </si>
  <si>
    <t>Krishna KATWAL</t>
  </si>
  <si>
    <t>Meavao LEULUAIALII</t>
  </si>
  <si>
    <t>GF2</t>
  </si>
  <si>
    <t>FK1</t>
  </si>
  <si>
    <t>Preety THAPA</t>
  </si>
  <si>
    <t>FK2</t>
  </si>
  <si>
    <t>FK3 - dementia</t>
  </si>
  <si>
    <t>FM1</t>
  </si>
  <si>
    <t>Evangeline PE BENITO</t>
  </si>
  <si>
    <t>Laxmi LEPCHA</t>
  </si>
  <si>
    <t>FD1</t>
  </si>
  <si>
    <t>FD2</t>
  </si>
  <si>
    <t>FD3</t>
  </si>
  <si>
    <t>Cyrus SISON</t>
  </si>
  <si>
    <t>FD4</t>
  </si>
  <si>
    <t>D1</t>
  </si>
  <si>
    <t>Settings Data.xlsx</t>
  </si>
  <si>
    <t>DurationOfShifts</t>
  </si>
  <si>
    <t>NO.  Varies</t>
  </si>
  <si>
    <t>Column1</t>
  </si>
  <si>
    <t>manual</t>
  </si>
  <si>
    <t>EndDay</t>
  </si>
  <si>
    <t>Unit</t>
  </si>
  <si>
    <t>Lei SUN</t>
  </si>
  <si>
    <t>Eva TAMRAKAR</t>
  </si>
  <si>
    <t>Ho Gyoo JAHNG</t>
  </si>
  <si>
    <t>Armand COMPIO</t>
  </si>
  <si>
    <t>Laxmi DHUSU</t>
  </si>
  <si>
    <t>Pragya DAWADI</t>
  </si>
  <si>
    <t>Nancy CHEMUTAI</t>
  </si>
  <si>
    <t>Nabina CHAULAGAIN</t>
  </si>
  <si>
    <t>Yunisha MAHAT</t>
  </si>
  <si>
    <t>Bola HULME</t>
  </si>
  <si>
    <t>Bhuwan POKHREL</t>
  </si>
  <si>
    <t>Kasumi NAKAGAWA</t>
  </si>
  <si>
    <t>Pramila SHRESTHA</t>
  </si>
  <si>
    <t>Pratima ADHIKARI KHANAL</t>
  </si>
  <si>
    <t>Anita THAPA</t>
  </si>
  <si>
    <t>Ankita SHARMA</t>
  </si>
  <si>
    <t>Sona GC</t>
  </si>
  <si>
    <t>CLIENT</t>
  </si>
  <si>
    <t>DATExx</t>
  </si>
  <si>
    <t>Unit1</t>
  </si>
  <si>
    <t>UserName</t>
  </si>
  <si>
    <t>Cliff's Computer</t>
  </si>
  <si>
    <t>OptimisedRoutes-Helpers.xlsx</t>
  </si>
  <si>
    <t>C:\Users\Cliff's Computer\Centri\3. Product - Documents\mcode Dev\HomeCare\OpsAutomation\ProductionRefreshRunner\test-runs\RouteOptProductionRefreshPackageTest\FakeClient\2. Route Analysis\2026-05-07</t>
  </si>
  <si>
    <t>https:\\centri001.sharepoint.com\sites\3Product\Shared Documents\mcode Dev\HomeCare\OpsAutomation\ProductionRefreshRunner\test-runs\RouteOptProductionRefreshPackageTest\FakeClient\2. Route Analysis\2026-05-07\2. Calculations\[OptimisedRoutes-Helpers.xlsx]Solution</t>
  </si>
  <si>
    <t>FakeClient</t>
  </si>
  <si>
    <t>2026-05-07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</si>
</sst>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m/d/yyyy"/>
  </numFmts>
  <fonts count="17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0" tint="-0.499984740745262"/>
      <name val="Times New Roman"/>
      <family val="1"/>
    </font>
    <font>
      <sz val="10"/>
      <color theme="4"/>
      <name val="Times New Roman"/>
      <family val="1"/>
    </font>
    <font>
      <sz val="10"/>
      <color theme="8"/>
      <name val="Times New Roman"/>
      <family val="1"/>
    </font>
    <font>
      <sz val="8"/>
      <name val="Times New Roman"/>
      <family val="1"/>
    </font>
    <font>
      <sz val="8"/>
      <name val="Times New Roman"/>
      <family val="1"/>
    </font>
    <font>
      <sz val="9"/>
      <color theme="1"/>
      <name val="Arial"/>
      <family val="2"/>
    </font>
    <font>
      <sz val="10"/>
      <color rgb="FF000000"/>
      <name val="Times New Roman"/>
      <family val="1"/>
      <charset val="204"/>
    </font>
    <font>
      <sz val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3"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6" fillId="0" borderId="0" xfId="1" applyFont="1" applyAlignment="1">
      <alignment horizontal="left" vertical="top"/>
    </xf>
    <xf numFmtId="0" fontId="5" fillId="0" borderId="0" xfId="1" applyAlignment="1">
      <alignment horizontal="left" vertical="top"/>
    </xf>
    <xf numFmtId="0" fontId="8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9" fillId="0" borderId="0" xfId="1" applyFont="1" applyAlignment="1">
      <alignment horizontal="left" vertical="top"/>
    </xf>
    <xf numFmtId="18" fontId="0" fillId="0" borderId="0" xfId="0" applyNumberFormat="1" applyAlignment="1">
      <alignment horizontal="left" vertical="top"/>
    </xf>
    <xf numFmtId="0" fontId="0" fillId="0" borderId="0" xfId="0" applyAlignment="1">
      <alignment horizontal="center" vertical="top"/>
    </xf>
    <xf numFmtId="0" fontId="5" fillId="0" borderId="0" xfId="0" applyFont="1" applyAlignment="1">
      <alignment horizontal="left" vertical="top"/>
    </xf>
    <xf numFmtId="0" fontId="0" fillId="0" borderId="0" xfId="0"/>
    <xf numFmtId="0" fontId="12" fillId="2" borderId="0" xfId="0" applyFont="1" applyFill="1" applyAlignment="1" applyProtection="1">
      <alignment vertical="center" wrapText="1"/>
      <protection locked="0"/>
    </xf>
    <xf numFmtId="0" fontId="13" fillId="0" borderId="0" xfId="0" applyFont="1" applyAlignment="1">
      <alignment horizontal="left" vertical="top"/>
    </xf>
    <xf numFmtId="0" fontId="4" fillId="0" borderId="0" xfId="2"/>
    <xf numFmtId="0" fontId="3" fillId="0" borderId="0" xfId="3"/>
    <xf numFmtId="0" fontId="15" fillId="0" borderId="0" xfId="1" applyFont="1" applyAlignment="1">
      <alignment horizontal="left" vertical="top"/>
    </xf>
    <xf numFmtId="0" fontId="5" fillId="0" borderId="0" xfId="1" applyAlignment="1">
      <alignment horizontal="right" vertical="top"/>
    </xf>
    <xf numFmtId="0" fontId="5" fillId="0" borderId="1" xfId="1" applyBorder="1" applyAlignment="1">
      <alignment horizontal="right" vertical="top"/>
    </xf>
    <xf numFmtId="165" fontId="0" fillId="0" borderId="0" xfId="0" applyNumberFormat="1" applyAlignment="1">
      <alignment horizontal="left" vertical="top"/>
    </xf>
    <xf numFmtId="0" fontId="6" fillId="0" borderId="0" xfId="0" applyFont="1" applyAlignment="1">
      <alignment horizontal="left" vertical="top"/>
    </xf>
    <xf numFmtId="0" fontId="1" fillId="0" borderId="0" xfId="5"/>
    <xf numFmtId="0" fontId="16" fillId="0" borderId="2" xfId="5" applyFont="1" applyBorder="1"/>
  </cellXfs>
  <cellStyles count="6">
    <cellStyle name="Normal" xfId="0" builtinId="0"/>
    <cellStyle name="Normal 2" xfId="1" xr:uid="{4E77A40C-1023-4323-8BE3-CD68D067B42F}"/>
    <cellStyle name="Normal 3" xfId="2" xr:uid="{41D44F9B-BF04-484C-A77B-7AEEA7D58401}"/>
    <cellStyle name="Normal 4" xfId="3" xr:uid="{6AE981ED-43F6-41B8-BF88-403DB3A7E2D6}"/>
    <cellStyle name="Normal 5" xfId="4" xr:uid="{A6861632-371D-4E0B-8405-05C516834FDC}"/>
    <cellStyle name="Normal 6" xfId="5" xr:uid="{38C10201-232C-4F07-B419-6A93897C42C8}"/>
  </cellStyles>
  <dxfs count="31">
    <dxf>
      <numFmt numFmtId="0" formatCode="General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65" formatCode="m/d/yyyy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165" formatCode="m/d/yyyy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65" formatCode="m/d/yyyy"/>
      <alignment horizontal="left" vertical="top" textRotation="0" wrapText="0" indent="0" justifyLastLine="0" shrinkToFit="0" readingOrder="0"/>
    </dxf>
    <dxf>
      <numFmt numFmtId="165" formatCode="m/d/yyyy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D9E2F3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D9E2F3"/>
        </patternFill>
      </fill>
      <alignment horizontal="general" vertical="center" textRotation="0" wrapText="1" indent="0" justifyLastLine="0" shrinkToFit="0" readingOrder="0"/>
      <protection locked="0" hidden="0"/>
    </dxf>
    <dxf>
      <numFmt numFmtId="165" formatCode="m/d/yyyy"/>
      <alignment horizontal="left" vertical="top" textRotation="0" wrapText="0" indent="0" justifyLastLine="0" shrinkToFit="0" readingOrder="0"/>
    </dxf>
    <dxf>
      <numFmt numFmtId="165" formatCode="m/d/yyyy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rgb="FFFF0000"/>
        <name val="Times New Roman"/>
        <charset val="204"/>
        <scheme val="none"/>
      </font>
      <numFmt numFmtId="0" formatCode="General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OW/2DRead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2.0Accounts/Shared%20Documents/2.1.1%20RFBI-PoC/2.0%20RFBI/04.1%20PoC/04%20Analysis/Berry/230629/2.%20Calculations/Capacity.xlsx" TargetMode="External"/><Relationship Id="rId2" Type="http://schemas.openxmlformats.org/officeDocument/2006/relationships/externalLinkPath" Target="https://centri001.sharepoint.com/sites/2.0Accounts/Shared%20Documents/2.1.1%20RFBI-PoC/2.0%20RFBI/04.1%20PoC/04%20Analysis/230602/2.%20Calculations/Capacity.xlsx" TargetMode="External"/><Relationship Id="rId1" Type="http://schemas.openxmlformats.org/officeDocument/2006/relationships/externalLinkPath" Target="/sites/2.0Accounts/Shared%20Documents/2.1.1%20RFBI-PoC/2.0%20RFBI/04.1%20PoC/04%20Analysis/Berry/230629/2.%20Calculations/Capacity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AEM/Excel%20Template/CLIENT/DATExx/UNITS/Unit2/2.%20Calculations/Capacity.xlsx" TargetMode="External"/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/sites/3Product/Shared%20Documents/AEM/Excel%20Template/CLIENT/DATExx/UNITS/Unit2/2.%20Calculations/Capacit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HR\Workforce%20Analysis\UKG%20Shift%20Templates\RFBI%20Shift%20Templates%20-%20January%202023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centri001.sharepoint.com/sites/3Product/Shared%20Documents/mcode%20Dev/HomeCare/OpsAutomation/ProductionRefreshRunner/test-runs/FeatureTest/FakeClient/2.%20Route%20Analysis/2026-05-07/2.%20Calculations/OptimisedRoutes-Helpers.xlsx" TargetMode="External"/><Relationship Id="rId2" Type="http://schemas.microsoft.com/office/2019/04/relationships/externalLinkLongPath" Target="/sites/3Product/Shared%20Documents/mcode%20Dev/HomeCare/OpsAutomation/ProductionRefreshRunner/test-runs/FeatureTest/FakeClient/2.%20Route%20Analysis/2026-05-07/2.%20Calculations/OptimisedRoutes-Helpers.xlsx?C9839A01" TargetMode="External"/><Relationship Id="rId1" Type="http://schemas.openxmlformats.org/officeDocument/2006/relationships/externalLinkPath" Target="file:///\\C9839A01\OptimisedRoutes-Helpers.xlsx" TargetMode="External"/><Relationship Id="rId4" Type="http://schemas.openxmlformats.org/officeDocument/2006/relationships/externalLinkPath" Target="../../../../../../HomeCare/OpsAutomation/ProductionRefreshRunner/test-runs/FeatureTest/FakeClient/2.%20Route%20Analysis/2026-05-07/2.%20Calculations/OptimisedRoutes-Help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PATH"/>
      <sheetName val="Boundaries"/>
      <sheetName val="OutcomeXYall- Out"/>
      <sheetName val="OutcomeXYall- OutAG1-1DS"/>
      <sheetName val="Sample"/>
      <sheetName val="Dates-Effort+Outcomes"/>
      <sheetName val="Effort+OutcomesXYImportAG1-1DS"/>
      <sheetName val="Effort+OutcomesXYImport Check"/>
      <sheetName val="Effort+Outcomes Import"/>
    </sheetNames>
    <sheetDataSet>
      <sheetData sheetId="0">
        <row r="17">
          <cell r="B17" t="str">
            <v>C:\Users\Alex\Resrodel\Customers - Documents\</v>
          </cell>
        </row>
        <row r="18">
          <cell r="B18" t="str">
            <v>IndoChinese Aged Care</v>
          </cell>
        </row>
        <row r="19">
          <cell r="B19" t="str">
            <v>4. Analysis</v>
          </cell>
        </row>
        <row r="21">
          <cell r="B21" t="str">
            <v>221223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ILEPATH"/>
      <sheetName val="AvailabilityDayShiftMATRIX"/>
      <sheetName val="PsuedoRoleCapacityMATRIX"/>
      <sheetName val="ResAvailWktCapMATRIXCheck"/>
      <sheetName val="RoleWardShiftCapacityLIST"/>
      <sheetName val="RoleCapacityWkCapLIST"/>
      <sheetName val="RoleShiftWardCapacityLIST"/>
      <sheetName val="RoleShiftWardCapacityMATRIXChec"/>
      <sheetName val="ResAvailWkCapMATRIXCheck"/>
      <sheetName val="ResDayShiftMaxMATRIX"/>
      <sheetName val="ResCapacityDay"/>
      <sheetName val="ResDayShiftMATRIX"/>
      <sheetName val="ResAvailabilityDayShift"/>
      <sheetName val="ResShiftAvailability"/>
      <sheetName val="RoleWardShiftCapacityLIST (2)"/>
      <sheetName val="NameCapacity"/>
      <sheetName val="WeeklyCapacityShifts"/>
      <sheetName val="DailyCapacityShift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Armidale"/>
      <sheetName val="Basin View"/>
      <sheetName val="Bathurst"/>
      <sheetName val="Bellingen"/>
      <sheetName val="Benhome"/>
      <sheetName val="Berry"/>
      <sheetName val="Cessnock"/>
      <sheetName val="Coffs Harbour"/>
      <sheetName val="Concord"/>
      <sheetName val="Dubbo"/>
      <sheetName val="Glen Innes"/>
      <sheetName val="Goulburn"/>
      <sheetName val="Hawkins"/>
      <sheetName val="Holt"/>
      <sheetName val="Kurri"/>
      <sheetName val="Lake Haven"/>
      <sheetName val="Lakemba"/>
      <sheetName val="Leeton"/>
      <sheetName val="Moonbi"/>
      <sheetName val="Raleigh"/>
      <sheetName val="Tamworth"/>
      <sheetName val="West Wyalong"/>
    </sheetNames>
    <sheetDataSet>
      <sheetData sheetId="0">
        <row r="5">
          <cell r="J5" t="str">
            <v>ACFI Officer</v>
          </cell>
        </row>
        <row r="6">
          <cell r="J6" t="str">
            <v>Activity Officer</v>
          </cell>
        </row>
        <row r="7">
          <cell r="J7" t="str">
            <v>Admin &amp; Self care Liaison Officer</v>
          </cell>
        </row>
        <row r="8">
          <cell r="J8" t="str">
            <v>Administration Manager</v>
          </cell>
        </row>
        <row r="9">
          <cell r="J9" t="str">
            <v>Administration Officer</v>
          </cell>
        </row>
        <row r="10">
          <cell r="J10" t="str">
            <v>Administration Supervisor</v>
          </cell>
        </row>
        <row r="11">
          <cell r="J11" t="str">
            <v>Care Assessment Coordinator</v>
          </cell>
        </row>
        <row r="12">
          <cell r="J12" t="str">
            <v>Care Assessment Coordinator - Carer</v>
          </cell>
        </row>
        <row r="13">
          <cell r="J13" t="str">
            <v>Care Assessment Coordinator - RN</v>
          </cell>
        </row>
        <row r="14">
          <cell r="J14" t="str">
            <v>Care Coordinator</v>
          </cell>
        </row>
        <row r="15">
          <cell r="J15" t="str">
            <v>Care Manager</v>
          </cell>
        </row>
        <row r="16">
          <cell r="J16" t="str">
            <v>Carer</v>
          </cell>
        </row>
        <row r="17">
          <cell r="J17" t="str">
            <v>Catering Manager</v>
          </cell>
        </row>
        <row r="18">
          <cell r="J18" t="str">
            <v>Catering Officer</v>
          </cell>
        </row>
        <row r="19">
          <cell r="J19" t="str">
            <v>Catering Supervisor</v>
          </cell>
        </row>
        <row r="20">
          <cell r="J20" t="str">
            <v>Chef</v>
          </cell>
        </row>
        <row r="21">
          <cell r="J21" t="str">
            <v>Clinical Nurse Consultant</v>
          </cell>
        </row>
        <row r="22">
          <cell r="J22" t="str">
            <v>Conceirge</v>
          </cell>
        </row>
        <row r="23">
          <cell r="J23" t="str">
            <v>Concierge</v>
          </cell>
        </row>
        <row r="24">
          <cell r="J24" t="str">
            <v>Cook</v>
          </cell>
        </row>
        <row r="25">
          <cell r="J25" t="str">
            <v>CQI Officer</v>
          </cell>
        </row>
        <row r="26">
          <cell r="J26" t="str">
            <v>Divertional Therapist</v>
          </cell>
        </row>
        <row r="27">
          <cell r="J27" t="str">
            <v>Education Coordinator</v>
          </cell>
        </row>
        <row r="28">
          <cell r="J28" t="str">
            <v>Endorsed Enrolled Nurse</v>
          </cell>
        </row>
        <row r="29">
          <cell r="J29" t="str">
            <v>General Manager</v>
          </cell>
        </row>
        <row r="30">
          <cell r="J30" t="str">
            <v>Hospitality Manager</v>
          </cell>
        </row>
        <row r="31">
          <cell r="J31" t="str">
            <v>Hospitality Officer - Catering</v>
          </cell>
        </row>
        <row r="32">
          <cell r="J32" t="str">
            <v>Hospitality Officer - Cleaning</v>
          </cell>
        </row>
        <row r="33">
          <cell r="J33" t="str">
            <v>Hospitality Officer - Laundry</v>
          </cell>
        </row>
        <row r="34">
          <cell r="J34" t="str">
            <v>Hospitality Supervisor</v>
          </cell>
        </row>
        <row r="35">
          <cell r="J35" t="str">
            <v>Hotel Services Manager</v>
          </cell>
        </row>
        <row r="36">
          <cell r="J36" t="str">
            <v>Hotel Services Officer - Cleaning</v>
          </cell>
        </row>
        <row r="37">
          <cell r="J37" t="str">
            <v>Hotel Services Officer - Laundry</v>
          </cell>
        </row>
        <row r="38">
          <cell r="J38" t="str">
            <v>Hotel Services Supervisor</v>
          </cell>
        </row>
        <row r="39">
          <cell r="J39" t="str">
            <v>Infection prevention &amp; Control Officer</v>
          </cell>
        </row>
        <row r="40">
          <cell r="J40" t="str">
            <v>Job Title</v>
          </cell>
        </row>
        <row r="41">
          <cell r="J41" t="str">
            <v>Lifestyle Officer</v>
          </cell>
        </row>
        <row r="42">
          <cell r="J42" t="str">
            <v>Lifestyle Supervisor</v>
          </cell>
        </row>
        <row r="43">
          <cell r="J43" t="str">
            <v>Maintenance Manager</v>
          </cell>
        </row>
        <row r="44">
          <cell r="J44" t="str">
            <v>Maintenance Officer</v>
          </cell>
        </row>
        <row r="45">
          <cell r="J45" t="str">
            <v>Maintenance Supervisor</v>
          </cell>
        </row>
        <row r="46">
          <cell r="J46" t="str">
            <v>Nurse Educator</v>
          </cell>
        </row>
        <row r="47">
          <cell r="J47" t="str">
            <v>Physio Aide</v>
          </cell>
        </row>
        <row r="48">
          <cell r="J48" t="str">
            <v>Physioptherapy Aide</v>
          </cell>
        </row>
        <row r="49">
          <cell r="J49" t="str">
            <v>Physiotherapist</v>
          </cell>
        </row>
        <row r="50">
          <cell r="J50" t="str">
            <v>Quality Coordinator</v>
          </cell>
        </row>
        <row r="51">
          <cell r="J51" t="str">
            <v>Quality Officer</v>
          </cell>
        </row>
        <row r="52">
          <cell r="J52" t="str">
            <v>Registered Nurse</v>
          </cell>
        </row>
        <row r="53">
          <cell r="J53" t="str">
            <v>Self Care Coordinator</v>
          </cell>
        </row>
        <row r="54">
          <cell r="J54" t="str">
            <v>Volunter coordinator</v>
          </cell>
        </row>
        <row r="55">
          <cell r="J55" t="str">
            <v>Trainee Carer</v>
          </cell>
        </row>
        <row r="56">
          <cell r="J56" t="str">
            <v>Resident Admin Coordinator</v>
          </cell>
        </row>
        <row r="57">
          <cell r="J57" t="str">
            <v>Infection Prevention &amp; Control Officer</v>
          </cell>
        </row>
        <row r="58">
          <cell r="J58" t="str">
            <v>Physiotherapy Aide</v>
          </cell>
        </row>
        <row r="59">
          <cell r="J59" t="str">
            <v>Enrolled Nurse</v>
          </cell>
        </row>
        <row r="64">
          <cell r="J64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FilePath"/>
      <sheetName val="LoopHelpers (4)"/>
      <sheetName val="LoopHelpers (5)"/>
      <sheetName val="SETTINGS"/>
      <sheetName val="EXTRACT Points"/>
      <sheetName val="IMPORT HelperAvailabiliy"/>
      <sheetName val="LoopHelpers"/>
      <sheetName val="EXTRACT Orphans (2)"/>
      <sheetName val="LoopHelpers (2)"/>
      <sheetName val="EXTRACT Orphans (3)"/>
      <sheetName val="Loops"/>
      <sheetName val="LoopHelpers (3)"/>
      <sheetName val="EXTRACT Familiarity"/>
      <sheetName val="EXTRACT Seniority"/>
      <sheetName val="EXTRACT AllLocations"/>
      <sheetName val="EXTRACT X_Y (2)"/>
      <sheetName val="EXTRACT X_Y"/>
      <sheetName val="EXTRACT Loops"/>
      <sheetName val="LoopHelpers_Trace"/>
      <sheetName val="LoopHelperScoredCandidates"/>
      <sheetName val="Scores"/>
      <sheetName val="Sheet2"/>
      <sheetName val="EXTRACT Seniority (2)"/>
      <sheetName val="Journeys"/>
      <sheetName val="BoundaryMaxTravel"/>
      <sheetName val="PathTABLE (2)"/>
      <sheetName val="PathTABLE"/>
      <sheetName val="IMPORT HelpersClientCoords"/>
      <sheetName val="Sheet3"/>
      <sheetName val="Solution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F5C208A6-7F1E-4207-920D-08348DA7760B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3" xr16:uid="{2D063DF9-39B6-41FB-8C34-D12714E6BC06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Day" tableColumnId="2"/>
      <queryTableField id="3" name="Shifts" tableColumnId="3"/>
      <queryTableField id="4" name="Period" tableColumnId="4"/>
      <queryTableField id="5" name="RolesList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AE802956-5AF6-4BF1-A711-75C2BAABAA56}" autoFormatId="16" applyNumberFormats="0" applyBorderFormats="0" applyFontFormats="0" applyPatternFormats="0" applyAlignmentFormats="0" applyWidthHeightFormats="0">
  <queryTableRefresh nextId="15">
    <queryTableFields count="5">
      <queryTableField id="4" name="Date" tableColumnId="1"/>
      <queryTableField id="13" name="Day" tableColumnId="6"/>
      <queryTableField id="2" name="Shifts" tableColumnId="2"/>
      <queryTableField id="10" name="Period" tableColumnId="5"/>
      <queryTableField id="7" name="RolesList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1C5A983-FD89-4B76-A519-344C9F3D895A}" autoFormatId="16" applyNumberFormats="0" applyBorderFormats="0" applyFontFormats="0" applyPatternFormats="0" applyAlignmentFormats="0" applyWidthHeightFormats="0">
  <queryTableRefresh nextId="4">
    <queryTableFields count="2">
      <queryTableField id="2" name="Date" tableColumnId="1"/>
      <queryTableField id="3" name="Day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7E8C9ECE-45D0-4073-839A-18FAF919B974}" autoFormatId="16" applyNumberFormats="0" applyBorderFormats="0" applyFontFormats="0" applyPatternFormats="0" applyAlignmentFormats="0" applyWidthHeightFormats="0">
  <queryTableRefresh nextId="4">
    <queryTableFields count="1">
      <queryTableField id="3" name="Min Date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59B1BE6-E5DF-4590-A57D-1653B6D5AA3D}" autoFormatId="16" applyNumberFormats="0" applyBorderFormats="0" applyFontFormats="0" applyPatternFormats="0" applyAlignmentFormats="0" applyWidthHeightFormats="0">
  <queryTableRefresh nextId="53">
    <queryTableFields count="13">
      <queryTableField id="34" name="Code" tableColumnId="6"/>
      <queryTableField id="1" name="Name" tableColumnId="1"/>
      <queryTableField id="2" name="Date" tableColumnId="2"/>
      <queryTableField id="3" name="Start" tableColumnId="3"/>
      <queryTableField id="4" name="End" tableColumnId="4"/>
      <queryTableField id="35" name="Break" tableColumnId="7"/>
      <queryTableField id="36" name="Break Time" tableColumnId="8"/>
      <queryTableField id="37" name="Hours" tableColumnId="9"/>
      <queryTableField id="38" name="Location" tableColumnId="10"/>
      <queryTableField id="39" name="Department" tableColumnId="11"/>
      <queryTableField id="40" name="Area" tableColumnId="12"/>
      <queryTableField id="5" name="Role" tableColumnId="5"/>
      <queryTableField id="52" name="Unit" tableColumnId="13"/>
    </queryTableFields>
    <queryTableDeletedFields count="10">
      <deletedField name="Column7"/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1F854A2-7384-476C-82D7-684575CB55E1}" name="PathTABLE_2" displayName="PathTABLE_2" ref="A3:B9" tableType="queryTable" totalsRowShown="0">
  <autoFilter ref="A3:B9" xr:uid="{8F8CAC97-3CCE-4F4D-AE13-30E5140C6859}"/>
  <tableColumns count="2">
    <tableColumn id="1" xr3:uid="{4098E0A1-BB69-42C3-AC11-1B851ADF79A4}" uniqueName="1" name="Variable Name" queryTableFieldId="1"/>
    <tableColumn id="2" xr3:uid="{A8735D40-A2E6-4E25-83AA-A587BF2717F1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D36A8EC-F90B-4E90-A98C-B881419B9B02}" name="File_Path_Data" displayName="File_Path_Data" ref="A1:B7" totalsRowShown="0">
  <autoFilter ref="A1:B7" xr:uid="{3D23BC9F-0255-4DE7-B47A-410E3BB1FE63}"/>
  <tableColumns count="2">
    <tableColumn id="1" xr3:uid="{F2F33A37-2D45-48D7-9391-94CC8E35C8F5}" name="Variable Name" dataCellStyle="Normal 4"/>
    <tableColumn id="2" xr3:uid="{9C0C7012-A848-43A9-A6C8-82D2A5A8BD02}" name="Value" dataCellStyle="Normal 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5027111-F8D1-43C0-9315-6BB83F383E4B}" name="MaxAvailability25" displayName="MaxAvailability25" ref="B23:B24" totalsRowShown="0" headerRowDxfId="30" dataDxfId="29" headerRowCellStyle="Normal 2" dataCellStyle="Normal 2">
  <autoFilter ref="B23:B24" xr:uid="{B4BE93C5-5635-4146-B292-6A216A758169}"/>
  <tableColumns count="1">
    <tableColumn id="1" xr3:uid="{336ACF05-042D-4BFF-850C-83040E96A594}" name="MaxAvailability" dataDxfId="28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4A61EC5-ADA1-473C-BBD9-54C3D4EC4E34}" name="FilePathUrl" displayName="FilePathUrl" ref="B16:B17" totalsRowShown="0" headerRowDxfId="27" dataDxfId="26" headerRowCellStyle="Normal 2" dataCellStyle="Normal 2">
  <autoFilter ref="B16:B17" xr:uid="{74A61EC5-ADA1-473C-BBD9-54C3D4EC4E34}"/>
  <tableColumns count="1">
    <tableColumn id="1" xr3:uid="{EFD8C690-AEFA-4F30-A39C-8D549D9D6BED}" name="FilePathUrl" dataDxfId="25" dataCellStyle="Normal 2">
      <calculatedColumnFormula array="1">CELL("filename",E16)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98ADD4-B9EF-4F2C-B386-027B2B64470A}" name="MaxCapacity" displayName="MaxCapacity" ref="A1:A2" totalsRowShown="0">
  <autoFilter ref="A1:A2" xr:uid="{FC1B55C9-AABE-43BC-90E4-DB7F0A1A9DA3}"/>
  <tableColumns count="1">
    <tableColumn id="1" xr3:uid="{489ED06B-37D6-42D9-9F57-D0783CBFA29E}" name="MaxCapacityFacto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46CCA12-29A8-4EB5-8EF0-2C161E289E0E}" name="MaxAvailability" displayName="MaxAvailability" ref="A8:A9" totalsRowShown="0" headerRowDxfId="24" dataDxfId="23" headerRowCellStyle="Normal 2" dataCellStyle="Normal 2">
  <autoFilter ref="A8:A9" xr:uid="{C46CCA12-29A8-4EB5-8EF0-2C161E289E0E}"/>
  <tableColumns count="1">
    <tableColumn id="1" xr3:uid="{D66410A0-6CC0-4893-B92D-48467CF19D95}" name="MaxAvailability" dataDxfId="22" dataCellStyle="Normal 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5B0E9A7-2A20-41D7-B19F-6E7670008E84}" name="ShiftDuration" displayName="ShiftDuration" ref="A8:C9" totalsRowShown="0">
  <autoFilter ref="A8:C9" xr:uid="{E5B0E9A7-2A20-41D7-B19F-6E7670008E84}"/>
  <tableColumns count="3">
    <tableColumn id="2" xr3:uid="{AFE20D5D-F7E4-4D5C-81EE-598C2E4157F1}" name="StdWeekDays"/>
    <tableColumn id="1" xr3:uid="{DC0252F5-E929-4249-9B95-0328333428E9}" name="ShiftDuration">
      <calculatedColumnFormula array="1">Table13[OrdinaryHrsWk-Week]/ShiftDuration[[#This Row],[StdWeekDays]]</calculatedColumnFormula>
    </tableColumn>
    <tableColumn id="3" xr3:uid="{74624529-CB60-499A-A86A-EE6FA01CACDB}" name="Column1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DE9F61D-C2CB-47A5-983D-34F7421A4A5A}" name="Meals" displayName="Meals" ref="A11:B12" totalsRowShown="0">
  <autoFilter ref="A11:B12" xr:uid="{EDE9F61D-C2CB-47A5-983D-34F7421A4A5A}"/>
  <tableColumns count="2">
    <tableColumn id="1" xr3:uid="{62CEFAB2-5ECD-4FC4-BFB1-682404039898}" name="MealBreakTime"/>
    <tableColumn id="2" xr3:uid="{1CA02C3C-1121-4016-A868-0A4B3DD5D05C}" name="MealBreakstar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B59BF31-1A4C-4ECA-B442-81505616F0F3}" name="ShiftStart" displayName="ShiftStart" ref="A15:C17" totalsRowShown="0" headerRowDxfId="21" dataDxfId="20">
  <autoFilter ref="A15:C17" xr:uid="{EB59BF31-1A4C-4ECA-B442-81505616F0F3}"/>
  <tableColumns count="3">
    <tableColumn id="1" xr3:uid="{7C69E55F-FC15-4339-B5C7-8689457507E2}" name="StartAM" dataDxfId="19"/>
    <tableColumn id="2" xr3:uid="{429F4842-B47A-449D-8C6A-04C59ACF5E9C}" name="StartPM" dataDxfId="18"/>
    <tableColumn id="3" xr3:uid="{499700F0-691E-4621-837D-D3A78FF02851}" name="StartNIGHT" dataDxfId="17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D84D05-4F43-41C5-A191-773192D88274}" name="ShiftLent" displayName="ShiftLent" ref="A20:E22" totalsRowShown="0">
  <autoFilter ref="A20:E22" xr:uid="{6BD84D05-4F43-41C5-A191-773192D88274}"/>
  <tableColumns count="5">
    <tableColumn id="1" xr3:uid="{49CED455-334F-40FE-96D5-C31B14A6D8CB}" name="MinHrs"/>
    <tableColumn id="2" xr3:uid="{2091CD4F-AF98-4805-A186-307DBBFF79A1}" name="ShortHrs"/>
    <tableColumn id="3" xr3:uid="{D49493A3-AD51-4390-B361-BEB7185C0012}" name="StdHrs"/>
    <tableColumn id="4" xr3:uid="{6F3CAD7A-278C-4DA0-8413-32E420B16808}" name="1.5OT"/>
    <tableColumn id="5" xr3:uid="{E82CDC93-EBAC-4740-802D-D2F26BC319DC}" name="2.0OT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979CFD7-7282-470C-A77D-E7C1EF367E9A}" name="ShiftGap" displayName="ShiftGap" ref="A25:A26" totalsRowShown="0">
  <autoFilter ref="A25:A26" xr:uid="{8979CFD7-7282-470C-A77D-E7C1EF367E9A}"/>
  <tableColumns count="1">
    <tableColumn id="1" xr3:uid="{4EADDA69-EF99-4ED4-9F9B-36E583B276B1}" name="MinGap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926A2A6-4201-4A9D-B0DD-2F8399125403}" name="ShiftPeriod" displayName="ShiftPeriod" ref="A30:F39" totalsRowShown="0">
  <autoFilter ref="A30:F39" xr:uid="{8926A2A6-4201-4A9D-B0DD-2F8399125403}"/>
  <tableColumns count="6">
    <tableColumn id="5" xr3:uid="{943CB3B4-BE44-4300-8A7F-FF8B7449441E}" name="Role"/>
    <tableColumn id="1" xr3:uid="{E2D92C25-C3D8-443D-8FD2-59F952129D55}" name="ShiftPeriod"/>
    <tableColumn id="2" xr3:uid="{97FD567A-CCBE-4BAD-8A01-7BDB89492928}" name="StartTime"/>
    <tableColumn id="3" xr3:uid="{83982F62-89A9-4D4F-9A5F-ECBEE40B512B}" name="StartDay">
      <calculatedColumnFormula>ShiftPeriod[[#This Row],[StartTime]]/24</calculatedColumnFormula>
    </tableColumn>
    <tableColumn id="4" xr3:uid="{F0600AC1-7B6E-4DE4-BEC2-45D9644AED93}" name="DurationOfShifts" dataDxfId="16">
      <calculatedColumnFormula>C32-C31</calculatedColumnFormula>
    </tableColumn>
    <tableColumn id="6" xr3:uid="{153CBB78-618D-4D4B-B6FE-F75F614FBB4D}" name="EndDay" dataDxfId="15">
      <calculatedColumnFormula>ShiftPeriod[[#This Row],[StartDay]]+ShiftPeriod[[#This Row],[DurationOfShifts]]/24 -IF(ShiftPeriod[[#This Row],[ShiftPeriod]]="NIGHT",1,0)</calculatedColumnFormula>
    </tableColumn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800E7FE-B5AC-40AC-A6BA-831EECF4E3B2}" name="Table13" displayName="Table13" ref="A48:C49" totalsRowShown="0">
  <autoFilter ref="A48:C49" xr:uid="{9800E7FE-B5AC-40AC-A6BA-831EECF4E3B2}"/>
  <tableColumns count="3">
    <tableColumn id="1" xr3:uid="{BAED7083-3789-4664-9A78-306E2D16BBA7}" name="OrdinaryHrsWk-Week"/>
    <tableColumn id="2" xr3:uid="{DECE899A-1119-4B8F-AA7B-9DFF743E8EDB}" name="OrdinaryHrsFn"/>
    <tableColumn id="3" xr3:uid="{E43C3B6C-F5BE-4E08-BD41-FCC7A7EE12AC}" name="OrdinaryHrs28d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B4EED42-2CC2-4F8A-AD26-73B3ADAAF611}" name="MaxCapacityFactor" displayName="MaxCapacityFactor" ref="H9:H10" totalsRowShown="0" headerRowDxfId="14">
  <autoFilter ref="H9:H10" xr:uid="{CB4EED42-2CC2-4F8A-AD26-73B3ADAAF611}"/>
  <tableColumns count="1">
    <tableColumn id="1" xr3:uid="{2193E506-AA62-414F-BF61-015FA990AC69}" name="MaxCapacityFactor">
      <calculatedColumnFormula array="1">C21/ShiftDuration[ShiftDuration]</calculatedColumnFormula>
    </tableColumn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33F5D3-4218-49C7-9824-87AFE909701D}" name="PermutationDimensions__2" displayName="PermutationDimensions__2" ref="A1:E127" tableType="queryTable" totalsRowShown="0">
  <autoFilter ref="A1:E127" xr:uid="{7133F5D3-4218-49C7-9824-87AFE909701D}"/>
  <tableColumns count="5">
    <tableColumn id="1" xr3:uid="{E6DDB793-22C8-46A8-AA44-076DAA5FFD76}" uniqueName="1" name="Date" queryTableFieldId="1" dataDxfId="13"/>
    <tableColumn id="2" xr3:uid="{1601C2D3-7112-4568-82C1-8016BCA48A53}" uniqueName="2" name="Day" queryTableFieldId="2"/>
    <tableColumn id="3" xr3:uid="{FA2B7F2C-CD26-4BD0-8E9C-06E5A6AA059D}" uniqueName="3" name="Shifts" queryTableFieldId="3"/>
    <tableColumn id="4" xr3:uid="{99822CE8-5C05-4344-9CA4-A4378B91D8F4}" uniqueName="4" name="Period" queryTableFieldId="4"/>
    <tableColumn id="5" xr3:uid="{B3D448FC-A209-4850-978C-8FFADDB2A58A}" uniqueName="5" name="RolesList" queryTableFieldId="5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60CF9E-AA76-4AB9-96FC-F5EB152F67D9}" name="PermutationDimensions" displayName="PermutationDimensions" ref="A1:E127" tableType="queryTable" totalsRowShown="0">
  <autoFilter ref="A1:E127" xr:uid="{1860CF9E-AA76-4AB9-96FC-F5EB152F67D9}"/>
  <tableColumns count="5">
    <tableColumn id="1" xr3:uid="{7D1152F6-5F35-4B2D-9EF6-A42FE209D583}" uniqueName="1" name="Date" queryTableFieldId="4" dataDxfId="12"/>
    <tableColumn id="6" xr3:uid="{02D1DD21-C899-455D-8F2C-315EEE96EBED}" uniqueName="6" name="Day" queryTableFieldId="13"/>
    <tableColumn id="2" xr3:uid="{02166C42-938B-40C7-92D4-152B731BAB67}" uniqueName="2" name="Shifts" queryTableFieldId="2"/>
    <tableColumn id="5" xr3:uid="{F1AB97D7-C66D-4710-A94A-B5EC45434559}" uniqueName="5" name="Period" queryTableFieldId="10"/>
    <tableColumn id="4" xr3:uid="{64639ABD-8BF4-4639-AA67-55FE81E719AE}" uniqueName="4" name="RolesList" queryTableFieldId="7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D77926-E004-4264-BF5B-5C4FF7A3C2DA}" name="Shifts" displayName="Shifts" ref="A1:A4" totalsRowShown="0">
  <autoFilter ref="A1:A4" xr:uid="{34D77926-E004-4264-BF5B-5C4FF7A3C2DA}"/>
  <tableColumns count="1">
    <tableColumn id="1" xr3:uid="{85CBCEF5-87D2-4AC8-8978-43E654AB3D5B}" name="Shifts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02BAB9-5BA1-4621-8088-D4AD47F78B28}" name="Unit" displayName="Unit" ref="C1:C4" totalsRowShown="0">
  <autoFilter ref="C1:C4" xr:uid="{7202BAB9-5BA1-4621-8088-D4AD47F78B28}"/>
  <tableColumns count="1">
    <tableColumn id="1" xr3:uid="{7971BA59-737F-41DD-AA1A-D3FB11DF5A2B}" name="UNITS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544DC49-E7B8-42B0-AB7A-1BAF300B3872}" name="Roles" displayName="Roles" ref="E1:E4" totalsRowShown="0" dataDxfId="11">
  <autoFilter ref="E1:E4" xr:uid="{6544DC49-E7B8-42B0-AB7A-1BAF300B3872}"/>
  <tableColumns count="1">
    <tableColumn id="1" xr3:uid="{E88B3313-E632-4B37-9884-A45F5856056E}" name="ROLES" dataDxfId="10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E050C66-A2B9-450A-8F4D-00EADD9006C9}" name="Table_DateList" displayName="Table_DateList" ref="G1:H15" tableType="queryTable" totalsRowShown="0">
  <autoFilter ref="G1:H15" xr:uid="{3E050C66-A2B9-450A-8F4D-00EADD9006C9}"/>
  <tableColumns count="2">
    <tableColumn id="1" xr3:uid="{A64806B3-B6A6-489F-B7EC-18F436B4E2DE}" uniqueName="1" name="Date" queryTableFieldId="2" dataDxfId="9"/>
    <tableColumn id="2" xr3:uid="{EB20C758-60A8-448D-9B9C-95193163F123}" uniqueName="2" name="Day" queryTableFieldId="3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E848981-EC7D-4A94-BAFD-0AE81C109855}" name="Table_Min_Date" displayName="Table_Min_Date" ref="K3:K4" tableType="queryTable" totalsRowShown="0">
  <autoFilter ref="K3:K4" xr:uid="{DE848981-EC7D-4A94-BAFD-0AE81C109855}"/>
  <tableColumns count="1">
    <tableColumn id="1" xr3:uid="{CFB6A74B-65F2-4526-A709-95C770A2A72A}" uniqueName="1" name="Min Date" queryTableFieldId="3" dataDxfId="8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6FE2E5B-92E0-4111-9D4F-67560CF2F293}" name="DateFrom" displayName="DateFrom" ref="L8:L9" totalsRowShown="0" dataDxfId="7">
  <autoFilter ref="L8:L9" xr:uid="{C6FE2E5B-92E0-4111-9D4F-67560CF2F293}"/>
  <tableColumns count="1">
    <tableColumn id="1" xr3:uid="{3D3213A9-C2B7-4D20-ADC3-5AE048D180EE}" name="DateFrom" dataDxfId="6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E660382-313E-4438-8659-C10DFCCFB72A}" name="AllocationExtracted" displayName="AllocationExtracted" ref="A1:M579" tableType="queryTable" totalsRowShown="0">
  <autoFilter ref="A1:M579" xr:uid="{8E660382-313E-4438-8659-C10DFCCFB72A}"/>
  <tableColumns count="13">
    <tableColumn id="6" xr3:uid="{8C378C51-9BC6-4DE0-B135-EC1B0A3D89BA}" uniqueName="6" name="Code" queryTableFieldId="34"/>
    <tableColumn id="1" xr3:uid="{1DEA149D-8158-4B78-8AAD-005F147BD800}" uniqueName="1" name="Name" queryTableFieldId="1" dataDxfId="5"/>
    <tableColumn id="2" xr3:uid="{ED73B76E-B864-48FD-B9B4-D0799F1FA6DA}" uniqueName="2" name="Date" queryTableFieldId="2" dataDxfId="4"/>
    <tableColumn id="3" xr3:uid="{8ED76AF8-A1E9-4384-8EFF-3EE718792F8E}" uniqueName="3" name="Start" queryTableFieldId="3" dataDxfId="3"/>
    <tableColumn id="4" xr3:uid="{DD84BC52-E1FD-47BE-A255-252C92784DB0}" uniqueName="4" name="End" queryTableFieldId="4" dataDxfId="2"/>
    <tableColumn id="7" xr3:uid="{F6684437-C45E-4F09-AF79-A69CBD7952B0}" uniqueName="7" name="Break" queryTableFieldId="35"/>
    <tableColumn id="8" xr3:uid="{FEEB628D-287F-4376-8377-B43A1A972E76}" uniqueName="8" name="Break Time" queryTableFieldId="36" dataDxfId="1"/>
    <tableColumn id="9" xr3:uid="{51838A8B-58B5-400F-BA15-269DD332EFEA}" uniqueName="9" name="Hours" queryTableFieldId="37"/>
    <tableColumn id="10" xr3:uid="{9846EDE4-326F-4EC6-A6E3-2BE0F05EEDFA}" uniqueName="10" name="Location" queryTableFieldId="38"/>
    <tableColumn id="11" xr3:uid="{AE30D4F4-9334-4B20-9531-748CC5D8BDC0}" uniqueName="11" name="Department" queryTableFieldId="39"/>
    <tableColumn id="12" xr3:uid="{7EE2F1E5-F293-4606-9F28-5BE236B6062D}" uniqueName="12" name="Area" queryTableFieldId="40"/>
    <tableColumn id="5" xr3:uid="{4C74E3E4-65D4-4E53-96A0-0D704E48B939}" uniqueName="5" name="Role" queryTableFieldId="5" dataDxfId="0"/>
    <tableColumn id="13" xr3:uid="{8776A49F-2309-472D-829A-684393AD7D9C}" uniqueName="13" name="Unit" queryTableFieldId="5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table" Target="../tables/table17.xml"/><Relationship Id="rId6" Type="http://schemas.openxmlformats.org/officeDocument/2006/relationships/table" Target="../tables/table22.xml"/><Relationship Id="rId5" Type="http://schemas.openxmlformats.org/officeDocument/2006/relationships/table" Target="../tables/table21.xml"/><Relationship Id="rId4" Type="http://schemas.openxmlformats.org/officeDocument/2006/relationships/table" Target="../tables/table20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031B-F74E-4904-A7F3-8B74F9CB547D}">
  <sheetPr>
    <tabColor rgb="FFFFFF00"/>
  </sheetPr>
  <dimension ref="A1:B9"/>
  <sheetViews>
    <sheetView tabSelected="1" workbookViewId="0">
      <selection activeCell="G15" sqref="G15"/>
    </sheetView>
  </sheetViews>
  <sheetFormatPr defaultRowHeight="15" x14ac:dyDescent="0.25"/>
  <cols>
    <col min="1" max="1" width="19.1640625" style="21" bestFit="1" customWidth="1"/>
    <col min="2" max="2" width="94.6640625" style="21" bestFit="1" customWidth="1"/>
    <col min="3" max="16384" width="9.33203125" style="21"/>
  </cols>
  <sheetData>
    <row r="1" spans="1:2" x14ac:dyDescent="0.25">
      <c r="B1" s="22" t="str" cm="1">
        <f t="array" aca="1" ref="B1" ca="1">CELL("filename")</f>
        <v>https://centri001.sharepoint.com/sites/3Product/Shared Documents/mcode Dev/HomeCare/OpsAutomation/ProductionRefreshRunner/test-runs/FeatureTest/FakeClient/2. Route Analysis/2026-05-07/2. Calculations/[OptimisedRoutes-Helpers.xlsx]FilePath</v>
      </c>
    </row>
    <row r="3" spans="1:2" x14ac:dyDescent="0.25">
      <c r="A3" s="21" t="s">
        <v>87</v>
      </c>
      <c r="B3" s="21" t="s">
        <v>88</v>
      </c>
    </row>
    <row r="4" spans="1:2" x14ac:dyDescent="0.25">
      <c r="A4" s="21" t="s">
        <v>225</v>
      </c>
      <c r="B4" s="21" t="s">
        <v>226</v>
      </c>
    </row>
    <row r="5" spans="1:2" x14ac:dyDescent="0.25">
      <c r="A5" s="21" t="s">
        <v>89</v>
      </c>
      <c r="B5" s="21" t="s">
        <v>228</v>
      </c>
    </row>
    <row r="6" spans="1:2" x14ac:dyDescent="0.25">
      <c r="A6" s="21" t="s">
        <v>93</v>
      </c>
      <c r="B6" s="21" t="s">
        <v>229</v>
      </c>
    </row>
    <row r="7" spans="1:2" x14ac:dyDescent="0.25">
      <c r="A7" s="21" t="s">
        <v>36</v>
      </c>
      <c r="B7" s="21" t="s">
        <v>230</v>
      </c>
    </row>
    <row r="8" spans="1:2" x14ac:dyDescent="0.25">
      <c r="A8" s="21" t="s">
        <v>4</v>
      </c>
      <c r="B8" s="21" t="s">
        <v>231</v>
      </c>
    </row>
    <row r="9" spans="1:2" x14ac:dyDescent="0.25">
      <c r="A9" s="21" t="s">
        <v>92</v>
      </c>
      <c r="B9" s="21" t="s">
        <v>227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4FD31-64E6-4044-BD8F-36D4DC740A15}">
  <dimension ref="A1:D25"/>
  <sheetViews>
    <sheetView workbookViewId="0">
      <selection activeCell="A3" sqref="A3"/>
    </sheetView>
  </sheetViews>
  <sheetFormatPr defaultColWidth="9.33203125" defaultRowHeight="12.75" x14ac:dyDescent="0.2"/>
  <cols>
    <col min="1" max="1" width="17.5" style="4" bestFit="1" customWidth="1"/>
    <col min="2" max="2" width="19.83203125" style="4" bestFit="1" customWidth="1"/>
    <col min="3" max="3" width="17.33203125" style="4" customWidth="1"/>
    <col min="4" max="16384" width="9.33203125" style="4"/>
  </cols>
  <sheetData>
    <row r="1" spans="1:4" x14ac:dyDescent="0.2">
      <c r="A1" s="4" t="s">
        <v>87</v>
      </c>
      <c r="B1" s="4" t="s">
        <v>88</v>
      </c>
    </row>
    <row r="2" spans="1:4" ht="15" x14ac:dyDescent="0.25">
      <c r="A2" s="15" t="s">
        <v>89</v>
      </c>
      <c r="B2" s="15"/>
    </row>
    <row r="3" spans="1:4" ht="15" x14ac:dyDescent="0.25">
      <c r="A3" s="15" t="s">
        <v>90</v>
      </c>
      <c r="B3" s="15"/>
    </row>
    <row r="4" spans="1:4" ht="15" x14ac:dyDescent="0.25">
      <c r="A4" s="15" t="s">
        <v>36</v>
      </c>
      <c r="B4" s="15" t="s">
        <v>222</v>
      </c>
    </row>
    <row r="5" spans="1:4" ht="15" x14ac:dyDescent="0.25">
      <c r="A5" s="15" t="s">
        <v>4</v>
      </c>
      <c r="B5" s="15" t="s">
        <v>223</v>
      </c>
    </row>
    <row r="6" spans="1:4" ht="15" x14ac:dyDescent="0.25">
      <c r="A6" s="15" t="s">
        <v>91</v>
      </c>
      <c r="B6" s="15" t="s">
        <v>224</v>
      </c>
    </row>
    <row r="7" spans="1:4" ht="15" x14ac:dyDescent="0.25">
      <c r="A7" s="15" t="s">
        <v>92</v>
      </c>
      <c r="B7" s="15" t="s">
        <v>198</v>
      </c>
      <c r="C7" s="3"/>
      <c r="D7" s="3"/>
    </row>
    <row r="9" spans="1:4" x14ac:dyDescent="0.2">
      <c r="A9" s="5"/>
      <c r="B9" s="5"/>
    </row>
    <row r="10" spans="1:4" x14ac:dyDescent="0.2">
      <c r="A10" s="16"/>
      <c r="B10" s="5"/>
    </row>
    <row r="11" spans="1:4" x14ac:dyDescent="0.2">
      <c r="A11" s="5"/>
      <c r="B11" s="5"/>
    </row>
    <row r="12" spans="1:4" x14ac:dyDescent="0.2">
      <c r="A12" s="5"/>
      <c r="B12" s="5"/>
    </row>
    <row r="13" spans="1:4" x14ac:dyDescent="0.2">
      <c r="A13" s="6"/>
      <c r="B13" s="6"/>
    </row>
    <row r="14" spans="1:4" x14ac:dyDescent="0.2">
      <c r="A14" s="5"/>
      <c r="B14" s="5"/>
    </row>
    <row r="15" spans="1:4" x14ac:dyDescent="0.2">
      <c r="C15" s="17"/>
    </row>
    <row r="16" spans="1:4" x14ac:dyDescent="0.2">
      <c r="B16" s="4" t="s">
        <v>93</v>
      </c>
      <c r="C16" s="17"/>
    </row>
    <row r="17" spans="1:3" x14ac:dyDescent="0.2">
      <c r="A17" s="5"/>
      <c r="B17" s="5" t="str" cm="1">
        <f t="array" aca="1" ref="B17" ca="1">CELL("filename",E16)</f>
        <v>https://centri001.sharepoint.com/sites/3Product/Shared Documents/mcode Dev/ResidentialCare/CLIENT/DATExx/UNITS/Unit1/2. Calculations/[Settings Data.xlsx]FILEPATH-Facility</v>
      </c>
      <c r="C17" s="17"/>
    </row>
    <row r="18" spans="1:3" x14ac:dyDescent="0.2">
      <c r="A18" s="3"/>
      <c r="B18" s="3"/>
      <c r="C18" s="17"/>
    </row>
    <row r="19" spans="1:3" x14ac:dyDescent="0.2">
      <c r="C19" s="18"/>
    </row>
    <row r="20" spans="1:3" x14ac:dyDescent="0.2">
      <c r="C20" s="17"/>
    </row>
    <row r="21" spans="1:3" x14ac:dyDescent="0.2">
      <c r="B21" s="7"/>
      <c r="C21" s="17"/>
    </row>
    <row r="22" spans="1:3" x14ac:dyDescent="0.2">
      <c r="C22" s="17"/>
    </row>
    <row r="23" spans="1:3" x14ac:dyDescent="0.2">
      <c r="B23" s="4" t="s">
        <v>85</v>
      </c>
    </row>
    <row r="24" spans="1:3" x14ac:dyDescent="0.2">
      <c r="B24" s="4">
        <v>10</v>
      </c>
    </row>
    <row r="25" spans="1:3" x14ac:dyDescent="0.2">
      <c r="B25" s="7"/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47B89-5D7A-48B1-9570-94934BF6A495}">
  <sheetPr>
    <tabColor theme="7"/>
  </sheetPr>
  <dimension ref="A1:D9"/>
  <sheetViews>
    <sheetView workbookViewId="0">
      <selection activeCell="E13" sqref="E13"/>
    </sheetView>
  </sheetViews>
  <sheetFormatPr defaultRowHeight="15" x14ac:dyDescent="0.25"/>
  <cols>
    <col min="1" max="1" width="23.1640625" style="14" customWidth="1"/>
    <col min="2" max="16384" width="9.33203125" style="14"/>
  </cols>
  <sheetData>
    <row r="1" spans="1:4" x14ac:dyDescent="0.25">
      <c r="A1" s="14" t="s">
        <v>66</v>
      </c>
    </row>
    <row r="2" spans="1:4" x14ac:dyDescent="0.25">
      <c r="A2" s="14">
        <v>1</v>
      </c>
      <c r="D2" s="14" t="s">
        <v>86</v>
      </c>
    </row>
    <row r="8" spans="1:4" x14ac:dyDescent="0.25">
      <c r="A8" s="4" t="s">
        <v>85</v>
      </c>
    </row>
    <row r="9" spans="1:4" x14ac:dyDescent="0.25">
      <c r="A9" s="4">
        <v>10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93FA5-371D-4D48-9446-7EF167D0AA5E}">
  <dimension ref="A2:H53"/>
  <sheetViews>
    <sheetView workbookViewId="0">
      <selection activeCell="D48" sqref="D48"/>
    </sheetView>
  </sheetViews>
  <sheetFormatPr defaultRowHeight="12.75" x14ac:dyDescent="0.2"/>
  <cols>
    <col min="1" max="1" width="21.1640625" customWidth="1"/>
    <col min="2" max="2" width="19" customWidth="1"/>
    <col min="3" max="3" width="22.83203125" customWidth="1"/>
    <col min="4" max="4" width="16.5" customWidth="1"/>
    <col min="5" max="5" width="16.1640625" customWidth="1"/>
    <col min="10" max="10" width="14.1640625" customWidth="1"/>
    <col min="11" max="11" width="13" customWidth="1"/>
    <col min="12" max="12" width="11.83203125" customWidth="1"/>
  </cols>
  <sheetData>
    <row r="2" spans="1:8" x14ac:dyDescent="0.2">
      <c r="B2" s="8"/>
    </row>
    <row r="3" spans="1:8" x14ac:dyDescent="0.2">
      <c r="B3" s="8"/>
      <c r="E3" t="s">
        <v>37</v>
      </c>
    </row>
    <row r="4" spans="1:8" x14ac:dyDescent="0.2">
      <c r="B4" s="8"/>
      <c r="E4" t="s">
        <v>38</v>
      </c>
    </row>
    <row r="5" spans="1:8" x14ac:dyDescent="0.2">
      <c r="E5" t="s">
        <v>39</v>
      </c>
    </row>
    <row r="8" spans="1:8" x14ac:dyDescent="0.2">
      <c r="A8" t="s">
        <v>64</v>
      </c>
      <c r="B8" t="s">
        <v>40</v>
      </c>
      <c r="C8" t="s">
        <v>201</v>
      </c>
      <c r="H8" s="10" t="s">
        <v>65</v>
      </c>
    </row>
    <row r="9" spans="1:8" x14ac:dyDescent="0.2">
      <c r="A9">
        <v>5</v>
      </c>
      <c r="B9" cm="1">
        <f t="array" ref="B9">Table13[OrdinaryHrsWk-Week]/ShiftDuration[[#This Row],[StdWeekDays]]</f>
        <v>7.6</v>
      </c>
      <c r="C9" t="s">
        <v>200</v>
      </c>
      <c r="H9" s="10" t="s">
        <v>66</v>
      </c>
    </row>
    <row r="10" spans="1:8" x14ac:dyDescent="0.2">
      <c r="H10" cm="1">
        <f t="array" ref="H10">C21/ShiftDuration[ShiftDuration]</f>
        <v>1.3157894736842106</v>
      </c>
    </row>
    <row r="11" spans="1:8" x14ac:dyDescent="0.2">
      <c r="A11" t="s">
        <v>41</v>
      </c>
      <c r="B11" t="s">
        <v>42</v>
      </c>
      <c r="E11">
        <v>6.1</v>
      </c>
      <c r="F11">
        <v>11.9</v>
      </c>
    </row>
    <row r="12" spans="1:8" x14ac:dyDescent="0.2">
      <c r="A12">
        <v>0.5</v>
      </c>
      <c r="B12">
        <v>5</v>
      </c>
      <c r="E12">
        <f>(E11-Meals[[#This Row],[MealBreakTime]])/E11</f>
        <v>0.91803278688524592</v>
      </c>
      <c r="F12">
        <f>(F11-Meals[[#This Row],[MealBreakTime]])/F11</f>
        <v>0.95798319327731096</v>
      </c>
    </row>
    <row r="15" spans="1:8" x14ac:dyDescent="0.2">
      <c r="A15" s="9" t="s">
        <v>43</v>
      </c>
      <c r="B15" s="9" t="s">
        <v>44</v>
      </c>
      <c r="C15" s="9" t="s">
        <v>45</v>
      </c>
    </row>
    <row r="16" spans="1:8" x14ac:dyDescent="0.2">
      <c r="A16" s="9">
        <f>A17/24</f>
        <v>0.29166666666666669</v>
      </c>
      <c r="B16" s="9">
        <f>B17/24</f>
        <v>0.625</v>
      </c>
      <c r="C16" s="9">
        <f>C17/24</f>
        <v>0.92708333333333337</v>
      </c>
    </row>
    <row r="17" spans="1:7" x14ac:dyDescent="0.2">
      <c r="A17" s="9">
        <v>7</v>
      </c>
      <c r="B17" s="9">
        <v>15</v>
      </c>
      <c r="C17" s="9">
        <v>22.25</v>
      </c>
    </row>
    <row r="19" spans="1:7" x14ac:dyDescent="0.2">
      <c r="A19" t="s">
        <v>46</v>
      </c>
    </row>
    <row r="20" spans="1:7" x14ac:dyDescent="0.2">
      <c r="A20" t="s">
        <v>47</v>
      </c>
      <c r="B20" t="s">
        <v>48</v>
      </c>
      <c r="C20" t="s">
        <v>49</v>
      </c>
      <c r="D20" t="s">
        <v>50</v>
      </c>
      <c r="E20" t="s">
        <v>51</v>
      </c>
    </row>
    <row r="21" spans="1:7" x14ac:dyDescent="0.2">
      <c r="A21">
        <v>2</v>
      </c>
      <c r="B21">
        <v>4</v>
      </c>
      <c r="C21">
        <v>10</v>
      </c>
      <c r="D21">
        <v>12</v>
      </c>
      <c r="E21">
        <v>12</v>
      </c>
    </row>
    <row r="22" spans="1:7" x14ac:dyDescent="0.2">
      <c r="A22">
        <v>1</v>
      </c>
      <c r="B22">
        <v>1</v>
      </c>
      <c r="C22">
        <v>1</v>
      </c>
      <c r="D22">
        <v>1.5</v>
      </c>
      <c r="E22">
        <v>2</v>
      </c>
    </row>
    <row r="24" spans="1:7" x14ac:dyDescent="0.2">
      <c r="A24" t="s">
        <v>52</v>
      </c>
    </row>
    <row r="25" spans="1:7" x14ac:dyDescent="0.2">
      <c r="A25" t="s">
        <v>53</v>
      </c>
    </row>
    <row r="26" spans="1:7" x14ac:dyDescent="0.2">
      <c r="A26">
        <v>8</v>
      </c>
    </row>
    <row r="29" spans="1:7" x14ac:dyDescent="0.2">
      <c r="A29" t="s">
        <v>54</v>
      </c>
    </row>
    <row r="30" spans="1:7" x14ac:dyDescent="0.2">
      <c r="A30" t="s">
        <v>9</v>
      </c>
      <c r="B30" t="s">
        <v>54</v>
      </c>
      <c r="C30" t="s">
        <v>55</v>
      </c>
      <c r="D30" t="s">
        <v>56</v>
      </c>
      <c r="E30" s="20" t="s">
        <v>199</v>
      </c>
      <c r="F30" t="s">
        <v>203</v>
      </c>
    </row>
    <row r="31" spans="1:7" x14ac:dyDescent="0.2">
      <c r="A31" t="s">
        <v>102</v>
      </c>
      <c r="B31" t="s">
        <v>0</v>
      </c>
      <c r="C31">
        <v>7</v>
      </c>
      <c r="D31">
        <f>ShiftPeriod[[#This Row],[StartTime]]/24</f>
        <v>0.29166666666666669</v>
      </c>
      <c r="E31" s="20">
        <f>C32-ShiftPeriod[[#This Row],[StartTime]]</f>
        <v>7</v>
      </c>
      <c r="F31">
        <f>ShiftPeriod[[#This Row],[StartDay]]+ShiftPeriod[[#This Row],[DurationOfShifts]]/24 -IF(ShiftPeriod[[#This Row],[ShiftPeriod]]="NIGHT",1,0)</f>
        <v>0.58333333333333337</v>
      </c>
    </row>
    <row r="32" spans="1:7" x14ac:dyDescent="0.2">
      <c r="A32" t="s">
        <v>102</v>
      </c>
      <c r="B32" t="s">
        <v>1</v>
      </c>
      <c r="C32">
        <v>14</v>
      </c>
      <c r="D32">
        <f>ShiftPeriod[[#This Row],[StartTime]]/24</f>
        <v>0.58333333333333337</v>
      </c>
      <c r="E32" s="20">
        <v>7.25</v>
      </c>
      <c r="F32">
        <f>ShiftPeriod[[#This Row],[StartDay]]+ShiftPeriod[[#This Row],[DurationOfShifts]]/24 -IF(ShiftPeriod[[#This Row],[ShiftPeriod]]="NIGHT",1,0)</f>
        <v>0.88541666666666674</v>
      </c>
      <c r="G32" s="10" t="s">
        <v>202</v>
      </c>
    </row>
    <row r="33" spans="1:6" x14ac:dyDescent="0.2">
      <c r="A33" t="s">
        <v>102</v>
      </c>
      <c r="B33" t="s">
        <v>3</v>
      </c>
      <c r="C33">
        <v>21.25</v>
      </c>
      <c r="D33">
        <f>ShiftPeriod[[#This Row],[StartTime]]/24</f>
        <v>0.88541666666666663</v>
      </c>
      <c r="E33" s="20">
        <v>9.75</v>
      </c>
      <c r="F33">
        <f>ShiftPeriod[[#This Row],[StartDay]]+ShiftPeriod[[#This Row],[DurationOfShifts]]/24 -IF(ShiftPeriod[[#This Row],[ShiftPeriod]]="NIGHT",1,0)</f>
        <v>0.29166666666666652</v>
      </c>
    </row>
    <row r="34" spans="1:6" x14ac:dyDescent="0.2">
      <c r="A34" t="s">
        <v>127</v>
      </c>
      <c r="B34" t="s">
        <v>0</v>
      </c>
      <c r="C34">
        <v>7</v>
      </c>
      <c r="D34">
        <f>ShiftPeriod[[#This Row],[StartTime]]/24</f>
        <v>0.29166666666666669</v>
      </c>
      <c r="E34" s="20">
        <v>8.25</v>
      </c>
      <c r="F34">
        <f>ShiftPeriod[[#This Row],[StartDay]]+ShiftPeriod[[#This Row],[DurationOfShifts]]/24 -IF(ShiftPeriod[[#This Row],[ShiftPeriod]]="NIGHT",1,0)</f>
        <v>0.63541666666666674</v>
      </c>
    </row>
    <row r="35" spans="1:6" x14ac:dyDescent="0.2">
      <c r="A35" t="s">
        <v>127</v>
      </c>
      <c r="B35" t="s">
        <v>1</v>
      </c>
      <c r="C35">
        <v>15.25</v>
      </c>
      <c r="D35">
        <f>ShiftPeriod[[#This Row],[StartTime]]/24</f>
        <v>0.63541666666666663</v>
      </c>
      <c r="E35" s="20">
        <v>7.25</v>
      </c>
      <c r="F35">
        <f>ShiftPeriod[[#This Row],[StartDay]]+ShiftPeriod[[#This Row],[DurationOfShifts]]/24 -IF(ShiftPeriod[[#This Row],[ShiftPeriod]]="NIGHT",1,0)</f>
        <v>0.9375</v>
      </c>
    </row>
    <row r="36" spans="1:6" x14ac:dyDescent="0.2">
      <c r="A36" t="s">
        <v>127</v>
      </c>
      <c r="B36" t="s">
        <v>3</v>
      </c>
      <c r="C36">
        <v>22.5</v>
      </c>
      <c r="D36">
        <f>ShiftPeriod[[#This Row],[StartTime]]/24</f>
        <v>0.9375</v>
      </c>
      <c r="E36" s="20">
        <v>8.5</v>
      </c>
      <c r="F36">
        <f>ShiftPeriod[[#This Row],[StartDay]]+ShiftPeriod[[#This Row],[DurationOfShifts]]/24 -IF(ShiftPeriod[[#This Row],[ShiftPeriod]]="NIGHT",1,0)</f>
        <v>0.29166666666666674</v>
      </c>
    </row>
    <row r="37" spans="1:6" x14ac:dyDescent="0.2">
      <c r="A37" t="s">
        <v>114</v>
      </c>
      <c r="B37" t="s">
        <v>0</v>
      </c>
      <c r="C37">
        <v>7</v>
      </c>
      <c r="D37">
        <f>ShiftPeriod[[#This Row],[StartTime]]/24</f>
        <v>0.29166666666666669</v>
      </c>
      <c r="E37" s="20">
        <v>8.25</v>
      </c>
      <c r="F37">
        <f>ShiftPeriod[[#This Row],[StartDay]]+ShiftPeriod[[#This Row],[DurationOfShifts]]/24 -IF(ShiftPeriod[[#This Row],[ShiftPeriod]]="NIGHT",1,0)</f>
        <v>0.63541666666666674</v>
      </c>
    </row>
    <row r="38" spans="1:6" x14ac:dyDescent="0.2">
      <c r="A38" t="s">
        <v>114</v>
      </c>
      <c r="B38" t="s">
        <v>1</v>
      </c>
      <c r="C38">
        <v>15.25</v>
      </c>
      <c r="D38">
        <f>ShiftPeriod[[#This Row],[StartTime]]/24</f>
        <v>0.63541666666666663</v>
      </c>
      <c r="E38" s="20">
        <v>7.25</v>
      </c>
      <c r="F38">
        <f>ShiftPeriod[[#This Row],[StartDay]]+ShiftPeriod[[#This Row],[DurationOfShifts]]/24 -IF(ShiftPeriod[[#This Row],[ShiftPeriod]]="NIGHT",1,0)</f>
        <v>0.9375</v>
      </c>
    </row>
    <row r="39" spans="1:6" x14ac:dyDescent="0.2">
      <c r="A39" t="s">
        <v>114</v>
      </c>
      <c r="B39" t="s">
        <v>3</v>
      </c>
      <c r="C39">
        <v>22.5</v>
      </c>
      <c r="D39">
        <f>ShiftPeriod[[#This Row],[StartTime]]/24</f>
        <v>0.9375</v>
      </c>
      <c r="E39" s="20">
        <v>8.5</v>
      </c>
      <c r="F39">
        <f>ShiftPeriod[[#This Row],[StartDay]]+ShiftPeriod[[#This Row],[DurationOfShifts]]/24 -IF(ShiftPeriod[[#This Row],[ShiftPeriod]]="NIGHT",1,0)</f>
        <v>0.29166666666666674</v>
      </c>
    </row>
    <row r="47" spans="1:6" x14ac:dyDescent="0.2">
      <c r="A47" t="s">
        <v>57</v>
      </c>
    </row>
    <row r="48" spans="1:6" x14ac:dyDescent="0.2">
      <c r="A48" t="s">
        <v>58</v>
      </c>
      <c r="B48" t="s">
        <v>62</v>
      </c>
      <c r="C48" t="s">
        <v>63</v>
      </c>
    </row>
    <row r="49" spans="1:3" x14ac:dyDescent="0.2">
      <c r="A49">
        <v>38</v>
      </c>
      <c r="B49">
        <v>76</v>
      </c>
      <c r="C49">
        <v>152</v>
      </c>
    </row>
    <row r="51" spans="1:3" x14ac:dyDescent="0.2">
      <c r="A51" t="s">
        <v>61</v>
      </c>
    </row>
    <row r="52" spans="1:3" x14ac:dyDescent="0.2">
      <c r="A52" t="s">
        <v>59</v>
      </c>
      <c r="B52">
        <v>4</v>
      </c>
    </row>
    <row r="53" spans="1:3" x14ac:dyDescent="0.2">
      <c r="A53" t="s">
        <v>60</v>
      </c>
      <c r="B53">
        <v>3</v>
      </c>
    </row>
  </sheetData>
  <phoneticPr fontId="10" type="noConversion"/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6B0B8-7878-45F4-B094-560E400D6DAA}">
  <dimension ref="A1:N127"/>
  <sheetViews>
    <sheetView topLeftCell="A76" workbookViewId="0">
      <selection activeCell="L23" sqref="L23"/>
    </sheetView>
  </sheetViews>
  <sheetFormatPr defaultRowHeight="12.75" x14ac:dyDescent="0.2"/>
  <cols>
    <col min="1" max="1" width="10.5" bestFit="1" customWidth="1"/>
    <col min="2" max="2" width="7.33203125" bestFit="1" customWidth="1"/>
    <col min="4" max="4" width="9.83203125" bestFit="1" customWidth="1"/>
    <col min="5" max="5" width="12.6640625" bestFit="1" customWidth="1"/>
  </cols>
  <sheetData>
    <row r="1" spans="1:14" x14ac:dyDescent="0.2">
      <c r="A1" t="s">
        <v>4</v>
      </c>
      <c r="B1" t="s">
        <v>82</v>
      </c>
      <c r="C1" t="s">
        <v>2</v>
      </c>
      <c r="D1" t="s">
        <v>81</v>
      </c>
      <c r="E1" t="s">
        <v>5</v>
      </c>
    </row>
    <row r="2" spans="1:14" x14ac:dyDescent="0.2">
      <c r="A2" s="1">
        <v>45572</v>
      </c>
      <c r="B2">
        <v>1</v>
      </c>
      <c r="C2" t="s">
        <v>0</v>
      </c>
      <c r="D2">
        <v>1</v>
      </c>
      <c r="E2" t="s">
        <v>127</v>
      </c>
    </row>
    <row r="3" spans="1:14" x14ac:dyDescent="0.2">
      <c r="A3" s="1">
        <v>45572</v>
      </c>
      <c r="B3">
        <v>1</v>
      </c>
      <c r="C3" t="s">
        <v>0</v>
      </c>
      <c r="D3">
        <v>1</v>
      </c>
      <c r="E3" t="s">
        <v>114</v>
      </c>
    </row>
    <row r="4" spans="1:14" x14ac:dyDescent="0.2">
      <c r="A4" s="1">
        <v>45572</v>
      </c>
      <c r="B4">
        <v>1</v>
      </c>
      <c r="C4" t="s">
        <v>0</v>
      </c>
      <c r="D4">
        <v>1</v>
      </c>
      <c r="E4" t="s">
        <v>102</v>
      </c>
    </row>
    <row r="5" spans="1:14" x14ac:dyDescent="0.2">
      <c r="A5" s="1">
        <v>45572</v>
      </c>
      <c r="B5">
        <v>1</v>
      </c>
      <c r="C5" t="s">
        <v>1</v>
      </c>
      <c r="D5">
        <v>2</v>
      </c>
      <c r="E5" t="s">
        <v>127</v>
      </c>
    </row>
    <row r="6" spans="1:14" x14ac:dyDescent="0.2">
      <c r="A6" s="1">
        <v>45572</v>
      </c>
      <c r="B6">
        <v>1</v>
      </c>
      <c r="C6" t="s">
        <v>1</v>
      </c>
      <c r="D6">
        <v>2</v>
      </c>
      <c r="E6" t="s">
        <v>114</v>
      </c>
    </row>
    <row r="7" spans="1:14" x14ac:dyDescent="0.2">
      <c r="A7" s="1">
        <v>45572</v>
      </c>
      <c r="B7">
        <v>1</v>
      </c>
      <c r="C7" t="s">
        <v>1</v>
      </c>
      <c r="D7">
        <v>2</v>
      </c>
      <c r="E7" t="s">
        <v>102</v>
      </c>
    </row>
    <row r="8" spans="1:14" x14ac:dyDescent="0.2">
      <c r="A8" s="1">
        <v>45572</v>
      </c>
      <c r="B8">
        <v>1</v>
      </c>
      <c r="C8" t="s">
        <v>3</v>
      </c>
      <c r="D8">
        <v>3</v>
      </c>
      <c r="E8" t="s">
        <v>127</v>
      </c>
    </row>
    <row r="9" spans="1:14" x14ac:dyDescent="0.2">
      <c r="A9" s="1">
        <v>45572</v>
      </c>
      <c r="B9">
        <v>1</v>
      </c>
      <c r="C9" t="s">
        <v>3</v>
      </c>
      <c r="D9">
        <v>3</v>
      </c>
      <c r="E9" t="s">
        <v>114</v>
      </c>
    </row>
    <row r="10" spans="1:14" x14ac:dyDescent="0.2">
      <c r="A10" s="1">
        <v>45572</v>
      </c>
      <c r="B10">
        <v>1</v>
      </c>
      <c r="C10" t="s">
        <v>3</v>
      </c>
      <c r="D10">
        <v>3</v>
      </c>
      <c r="E10" t="s">
        <v>102</v>
      </c>
      <c r="L10">
        <v>1</v>
      </c>
      <c r="M10">
        <v>4</v>
      </c>
      <c r="N10">
        <f>M10+L10</f>
        <v>5</v>
      </c>
    </row>
    <row r="11" spans="1:14" x14ac:dyDescent="0.2">
      <c r="A11" s="1">
        <v>45573</v>
      </c>
      <c r="B11">
        <v>2</v>
      </c>
      <c r="C11" t="s">
        <v>0</v>
      </c>
      <c r="D11">
        <v>4</v>
      </c>
      <c r="E11" t="s">
        <v>127</v>
      </c>
    </row>
    <row r="12" spans="1:14" x14ac:dyDescent="0.2">
      <c r="A12" s="1">
        <v>45573</v>
      </c>
      <c r="B12">
        <v>2</v>
      </c>
      <c r="C12" t="s">
        <v>0</v>
      </c>
      <c r="D12">
        <v>4</v>
      </c>
      <c r="E12" t="s">
        <v>114</v>
      </c>
    </row>
    <row r="13" spans="1:14" x14ac:dyDescent="0.2">
      <c r="A13" s="1">
        <v>45573</v>
      </c>
      <c r="B13">
        <v>2</v>
      </c>
      <c r="C13" t="s">
        <v>0</v>
      </c>
      <c r="D13">
        <v>4</v>
      </c>
      <c r="E13" t="s">
        <v>102</v>
      </c>
    </row>
    <row r="14" spans="1:14" x14ac:dyDescent="0.2">
      <c r="A14" s="1">
        <v>45573</v>
      </c>
      <c r="B14">
        <v>2</v>
      </c>
      <c r="C14" t="s">
        <v>1</v>
      </c>
      <c r="D14">
        <v>5</v>
      </c>
      <c r="E14" t="s">
        <v>127</v>
      </c>
    </row>
    <row r="15" spans="1:14" x14ac:dyDescent="0.2">
      <c r="A15" s="1">
        <v>45573</v>
      </c>
      <c r="B15">
        <v>2</v>
      </c>
      <c r="C15" t="s">
        <v>1</v>
      </c>
      <c r="D15">
        <v>5</v>
      </c>
      <c r="E15" t="s">
        <v>114</v>
      </c>
    </row>
    <row r="16" spans="1:14" x14ac:dyDescent="0.2">
      <c r="A16" s="1">
        <v>45573</v>
      </c>
      <c r="B16">
        <v>2</v>
      </c>
      <c r="C16" t="s">
        <v>1</v>
      </c>
      <c r="D16">
        <v>5</v>
      </c>
      <c r="E16" t="s">
        <v>102</v>
      </c>
    </row>
    <row r="17" spans="1:5" x14ac:dyDescent="0.2">
      <c r="A17" s="1">
        <v>45573</v>
      </c>
      <c r="B17">
        <v>2</v>
      </c>
      <c r="C17" t="s">
        <v>3</v>
      </c>
      <c r="D17">
        <v>6</v>
      </c>
      <c r="E17" t="s">
        <v>127</v>
      </c>
    </row>
    <row r="18" spans="1:5" x14ac:dyDescent="0.2">
      <c r="A18" s="1">
        <v>45573</v>
      </c>
      <c r="B18">
        <v>2</v>
      </c>
      <c r="C18" t="s">
        <v>3</v>
      </c>
      <c r="D18">
        <v>6</v>
      </c>
      <c r="E18" t="s">
        <v>114</v>
      </c>
    </row>
    <row r="19" spans="1:5" x14ac:dyDescent="0.2">
      <c r="A19" s="1">
        <v>45573</v>
      </c>
      <c r="B19">
        <v>2</v>
      </c>
      <c r="C19" t="s">
        <v>3</v>
      </c>
      <c r="D19">
        <v>6</v>
      </c>
      <c r="E19" t="s">
        <v>102</v>
      </c>
    </row>
    <row r="20" spans="1:5" x14ac:dyDescent="0.2">
      <c r="A20" s="1">
        <v>45574</v>
      </c>
      <c r="B20">
        <v>3</v>
      </c>
      <c r="C20" t="s">
        <v>0</v>
      </c>
      <c r="D20">
        <v>7</v>
      </c>
      <c r="E20" t="s">
        <v>127</v>
      </c>
    </row>
    <row r="21" spans="1:5" x14ac:dyDescent="0.2">
      <c r="A21" s="1">
        <v>45574</v>
      </c>
      <c r="B21">
        <v>3</v>
      </c>
      <c r="C21" t="s">
        <v>0</v>
      </c>
      <c r="D21">
        <v>7</v>
      </c>
      <c r="E21" t="s">
        <v>114</v>
      </c>
    </row>
    <row r="22" spans="1:5" x14ac:dyDescent="0.2">
      <c r="A22" s="1">
        <v>45574</v>
      </c>
      <c r="B22">
        <v>3</v>
      </c>
      <c r="C22" t="s">
        <v>0</v>
      </c>
      <c r="D22">
        <v>7</v>
      </c>
      <c r="E22" t="s">
        <v>102</v>
      </c>
    </row>
    <row r="23" spans="1:5" x14ac:dyDescent="0.2">
      <c r="A23" s="1">
        <v>45574</v>
      </c>
      <c r="B23">
        <v>3</v>
      </c>
      <c r="C23" t="s">
        <v>1</v>
      </c>
      <c r="D23">
        <v>8</v>
      </c>
      <c r="E23" t="s">
        <v>127</v>
      </c>
    </row>
    <row r="24" spans="1:5" x14ac:dyDescent="0.2">
      <c r="A24" s="1">
        <v>45574</v>
      </c>
      <c r="B24">
        <v>3</v>
      </c>
      <c r="C24" t="s">
        <v>1</v>
      </c>
      <c r="D24">
        <v>8</v>
      </c>
      <c r="E24" t="s">
        <v>114</v>
      </c>
    </row>
    <row r="25" spans="1:5" x14ac:dyDescent="0.2">
      <c r="A25" s="1">
        <v>45574</v>
      </c>
      <c r="B25">
        <v>3</v>
      </c>
      <c r="C25" t="s">
        <v>1</v>
      </c>
      <c r="D25">
        <v>8</v>
      </c>
      <c r="E25" t="s">
        <v>102</v>
      </c>
    </row>
    <row r="26" spans="1:5" x14ac:dyDescent="0.2">
      <c r="A26" s="1">
        <v>45574</v>
      </c>
      <c r="B26">
        <v>3</v>
      </c>
      <c r="C26" t="s">
        <v>3</v>
      </c>
      <c r="D26">
        <v>9</v>
      </c>
      <c r="E26" t="s">
        <v>127</v>
      </c>
    </row>
    <row r="27" spans="1:5" x14ac:dyDescent="0.2">
      <c r="A27" s="1">
        <v>45574</v>
      </c>
      <c r="B27">
        <v>3</v>
      </c>
      <c r="C27" t="s">
        <v>3</v>
      </c>
      <c r="D27">
        <v>9</v>
      </c>
      <c r="E27" t="s">
        <v>114</v>
      </c>
    </row>
    <row r="28" spans="1:5" x14ac:dyDescent="0.2">
      <c r="A28" s="1">
        <v>45574</v>
      </c>
      <c r="B28">
        <v>3</v>
      </c>
      <c r="C28" t="s">
        <v>3</v>
      </c>
      <c r="D28">
        <v>9</v>
      </c>
      <c r="E28" t="s">
        <v>102</v>
      </c>
    </row>
    <row r="29" spans="1:5" x14ac:dyDescent="0.2">
      <c r="A29" s="1">
        <v>45575</v>
      </c>
      <c r="B29">
        <v>4</v>
      </c>
      <c r="C29" t="s">
        <v>0</v>
      </c>
      <c r="D29">
        <v>10</v>
      </c>
      <c r="E29" t="s">
        <v>127</v>
      </c>
    </row>
    <row r="30" spans="1:5" x14ac:dyDescent="0.2">
      <c r="A30" s="1">
        <v>45575</v>
      </c>
      <c r="B30">
        <v>4</v>
      </c>
      <c r="C30" t="s">
        <v>0</v>
      </c>
      <c r="D30">
        <v>10</v>
      </c>
      <c r="E30" t="s">
        <v>114</v>
      </c>
    </row>
    <row r="31" spans="1:5" x14ac:dyDescent="0.2">
      <c r="A31" s="1">
        <v>45575</v>
      </c>
      <c r="B31">
        <v>4</v>
      </c>
      <c r="C31" t="s">
        <v>0</v>
      </c>
      <c r="D31">
        <v>10</v>
      </c>
      <c r="E31" t="s">
        <v>102</v>
      </c>
    </row>
    <row r="32" spans="1:5" x14ac:dyDescent="0.2">
      <c r="A32" s="1">
        <v>45575</v>
      </c>
      <c r="B32">
        <v>4</v>
      </c>
      <c r="C32" t="s">
        <v>1</v>
      </c>
      <c r="D32">
        <v>11</v>
      </c>
      <c r="E32" t="s">
        <v>127</v>
      </c>
    </row>
    <row r="33" spans="1:5" x14ac:dyDescent="0.2">
      <c r="A33" s="1">
        <v>45575</v>
      </c>
      <c r="B33">
        <v>4</v>
      </c>
      <c r="C33" t="s">
        <v>1</v>
      </c>
      <c r="D33">
        <v>11</v>
      </c>
      <c r="E33" t="s">
        <v>114</v>
      </c>
    </row>
    <row r="34" spans="1:5" x14ac:dyDescent="0.2">
      <c r="A34" s="1">
        <v>45575</v>
      </c>
      <c r="B34">
        <v>4</v>
      </c>
      <c r="C34" t="s">
        <v>1</v>
      </c>
      <c r="D34">
        <v>11</v>
      </c>
      <c r="E34" t="s">
        <v>102</v>
      </c>
    </row>
    <row r="35" spans="1:5" x14ac:dyDescent="0.2">
      <c r="A35" s="1">
        <v>45575</v>
      </c>
      <c r="B35">
        <v>4</v>
      </c>
      <c r="C35" t="s">
        <v>3</v>
      </c>
      <c r="D35">
        <v>12</v>
      </c>
      <c r="E35" t="s">
        <v>127</v>
      </c>
    </row>
    <row r="36" spans="1:5" x14ac:dyDescent="0.2">
      <c r="A36" s="1">
        <v>45575</v>
      </c>
      <c r="B36">
        <v>4</v>
      </c>
      <c r="C36" t="s">
        <v>3</v>
      </c>
      <c r="D36">
        <v>12</v>
      </c>
      <c r="E36" t="s">
        <v>114</v>
      </c>
    </row>
    <row r="37" spans="1:5" x14ac:dyDescent="0.2">
      <c r="A37" s="1">
        <v>45575</v>
      </c>
      <c r="B37">
        <v>4</v>
      </c>
      <c r="C37" t="s">
        <v>3</v>
      </c>
      <c r="D37">
        <v>12</v>
      </c>
      <c r="E37" t="s">
        <v>102</v>
      </c>
    </row>
    <row r="38" spans="1:5" x14ac:dyDescent="0.2">
      <c r="A38" s="1">
        <v>45576</v>
      </c>
      <c r="B38">
        <v>5</v>
      </c>
      <c r="C38" t="s">
        <v>0</v>
      </c>
      <c r="D38">
        <v>13</v>
      </c>
      <c r="E38" t="s">
        <v>127</v>
      </c>
    </row>
    <row r="39" spans="1:5" x14ac:dyDescent="0.2">
      <c r="A39" s="1">
        <v>45576</v>
      </c>
      <c r="B39">
        <v>5</v>
      </c>
      <c r="C39" t="s">
        <v>0</v>
      </c>
      <c r="D39">
        <v>13</v>
      </c>
      <c r="E39" t="s">
        <v>114</v>
      </c>
    </row>
    <row r="40" spans="1:5" x14ac:dyDescent="0.2">
      <c r="A40" s="1">
        <v>45576</v>
      </c>
      <c r="B40">
        <v>5</v>
      </c>
      <c r="C40" t="s">
        <v>0</v>
      </c>
      <c r="D40">
        <v>13</v>
      </c>
      <c r="E40" t="s">
        <v>102</v>
      </c>
    </row>
    <row r="41" spans="1:5" x14ac:dyDescent="0.2">
      <c r="A41" s="1">
        <v>45576</v>
      </c>
      <c r="B41">
        <v>5</v>
      </c>
      <c r="C41" t="s">
        <v>1</v>
      </c>
      <c r="D41">
        <v>14</v>
      </c>
      <c r="E41" t="s">
        <v>127</v>
      </c>
    </row>
    <row r="42" spans="1:5" x14ac:dyDescent="0.2">
      <c r="A42" s="1">
        <v>45576</v>
      </c>
      <c r="B42">
        <v>5</v>
      </c>
      <c r="C42" t="s">
        <v>1</v>
      </c>
      <c r="D42">
        <v>14</v>
      </c>
      <c r="E42" t="s">
        <v>114</v>
      </c>
    </row>
    <row r="43" spans="1:5" x14ac:dyDescent="0.2">
      <c r="A43" s="1">
        <v>45576</v>
      </c>
      <c r="B43">
        <v>5</v>
      </c>
      <c r="C43" t="s">
        <v>1</v>
      </c>
      <c r="D43">
        <v>14</v>
      </c>
      <c r="E43" t="s">
        <v>102</v>
      </c>
    </row>
    <row r="44" spans="1:5" x14ac:dyDescent="0.2">
      <c r="A44" s="1">
        <v>45576</v>
      </c>
      <c r="B44">
        <v>5</v>
      </c>
      <c r="C44" t="s">
        <v>3</v>
      </c>
      <c r="D44">
        <v>15</v>
      </c>
      <c r="E44" t="s">
        <v>127</v>
      </c>
    </row>
    <row r="45" spans="1:5" x14ac:dyDescent="0.2">
      <c r="A45" s="1">
        <v>45576</v>
      </c>
      <c r="B45">
        <v>5</v>
      </c>
      <c r="C45" t="s">
        <v>3</v>
      </c>
      <c r="D45">
        <v>15</v>
      </c>
      <c r="E45" t="s">
        <v>114</v>
      </c>
    </row>
    <row r="46" spans="1:5" x14ac:dyDescent="0.2">
      <c r="A46" s="1">
        <v>45576</v>
      </c>
      <c r="B46">
        <v>5</v>
      </c>
      <c r="C46" t="s">
        <v>3</v>
      </c>
      <c r="D46">
        <v>15</v>
      </c>
      <c r="E46" t="s">
        <v>102</v>
      </c>
    </row>
    <row r="47" spans="1:5" x14ac:dyDescent="0.2">
      <c r="A47" s="1">
        <v>45577</v>
      </c>
      <c r="B47">
        <v>6</v>
      </c>
      <c r="C47" t="s">
        <v>0</v>
      </c>
      <c r="D47">
        <v>16</v>
      </c>
      <c r="E47" t="s">
        <v>127</v>
      </c>
    </row>
    <row r="48" spans="1:5" x14ac:dyDescent="0.2">
      <c r="A48" s="1">
        <v>45577</v>
      </c>
      <c r="B48">
        <v>6</v>
      </c>
      <c r="C48" t="s">
        <v>0</v>
      </c>
      <c r="D48">
        <v>16</v>
      </c>
      <c r="E48" t="s">
        <v>114</v>
      </c>
    </row>
    <row r="49" spans="1:5" x14ac:dyDescent="0.2">
      <c r="A49" s="1">
        <v>45577</v>
      </c>
      <c r="B49">
        <v>6</v>
      </c>
      <c r="C49" t="s">
        <v>0</v>
      </c>
      <c r="D49">
        <v>16</v>
      </c>
      <c r="E49" t="s">
        <v>102</v>
      </c>
    </row>
    <row r="50" spans="1:5" x14ac:dyDescent="0.2">
      <c r="A50" s="1">
        <v>45577</v>
      </c>
      <c r="B50">
        <v>6</v>
      </c>
      <c r="C50" t="s">
        <v>1</v>
      </c>
      <c r="D50">
        <v>17</v>
      </c>
      <c r="E50" t="s">
        <v>127</v>
      </c>
    </row>
    <row r="51" spans="1:5" x14ac:dyDescent="0.2">
      <c r="A51" s="1">
        <v>45577</v>
      </c>
      <c r="B51">
        <v>6</v>
      </c>
      <c r="C51" t="s">
        <v>1</v>
      </c>
      <c r="D51">
        <v>17</v>
      </c>
      <c r="E51" t="s">
        <v>114</v>
      </c>
    </row>
    <row r="52" spans="1:5" x14ac:dyDescent="0.2">
      <c r="A52" s="1">
        <v>45577</v>
      </c>
      <c r="B52">
        <v>6</v>
      </c>
      <c r="C52" t="s">
        <v>1</v>
      </c>
      <c r="D52">
        <v>17</v>
      </c>
      <c r="E52" t="s">
        <v>102</v>
      </c>
    </row>
    <row r="53" spans="1:5" x14ac:dyDescent="0.2">
      <c r="A53" s="1">
        <v>45577</v>
      </c>
      <c r="B53">
        <v>6</v>
      </c>
      <c r="C53" t="s">
        <v>3</v>
      </c>
      <c r="D53">
        <v>18</v>
      </c>
      <c r="E53" t="s">
        <v>127</v>
      </c>
    </row>
    <row r="54" spans="1:5" x14ac:dyDescent="0.2">
      <c r="A54" s="1">
        <v>45577</v>
      </c>
      <c r="B54">
        <v>6</v>
      </c>
      <c r="C54" t="s">
        <v>3</v>
      </c>
      <c r="D54">
        <v>18</v>
      </c>
      <c r="E54" t="s">
        <v>114</v>
      </c>
    </row>
    <row r="55" spans="1:5" x14ac:dyDescent="0.2">
      <c r="A55" s="1">
        <v>45577</v>
      </c>
      <c r="B55">
        <v>6</v>
      </c>
      <c r="C55" t="s">
        <v>3</v>
      </c>
      <c r="D55">
        <v>18</v>
      </c>
      <c r="E55" t="s">
        <v>102</v>
      </c>
    </row>
    <row r="56" spans="1:5" x14ac:dyDescent="0.2">
      <c r="A56" s="1">
        <v>45578</v>
      </c>
      <c r="B56">
        <v>7</v>
      </c>
      <c r="C56" t="s">
        <v>0</v>
      </c>
      <c r="D56">
        <v>19</v>
      </c>
      <c r="E56" t="s">
        <v>127</v>
      </c>
    </row>
    <row r="57" spans="1:5" x14ac:dyDescent="0.2">
      <c r="A57" s="1">
        <v>45578</v>
      </c>
      <c r="B57">
        <v>7</v>
      </c>
      <c r="C57" t="s">
        <v>0</v>
      </c>
      <c r="D57">
        <v>19</v>
      </c>
      <c r="E57" t="s">
        <v>114</v>
      </c>
    </row>
    <row r="58" spans="1:5" x14ac:dyDescent="0.2">
      <c r="A58" s="1">
        <v>45578</v>
      </c>
      <c r="B58">
        <v>7</v>
      </c>
      <c r="C58" t="s">
        <v>0</v>
      </c>
      <c r="D58">
        <v>19</v>
      </c>
      <c r="E58" t="s">
        <v>102</v>
      </c>
    </row>
    <row r="59" spans="1:5" x14ac:dyDescent="0.2">
      <c r="A59" s="1">
        <v>45578</v>
      </c>
      <c r="B59">
        <v>7</v>
      </c>
      <c r="C59" t="s">
        <v>1</v>
      </c>
      <c r="D59">
        <v>20</v>
      </c>
      <c r="E59" t="s">
        <v>127</v>
      </c>
    </row>
    <row r="60" spans="1:5" x14ac:dyDescent="0.2">
      <c r="A60" s="1">
        <v>45578</v>
      </c>
      <c r="B60">
        <v>7</v>
      </c>
      <c r="C60" t="s">
        <v>1</v>
      </c>
      <c r="D60">
        <v>20</v>
      </c>
      <c r="E60" t="s">
        <v>114</v>
      </c>
    </row>
    <row r="61" spans="1:5" x14ac:dyDescent="0.2">
      <c r="A61" s="1">
        <v>45578</v>
      </c>
      <c r="B61">
        <v>7</v>
      </c>
      <c r="C61" t="s">
        <v>1</v>
      </c>
      <c r="D61">
        <v>20</v>
      </c>
      <c r="E61" t="s">
        <v>102</v>
      </c>
    </row>
    <row r="62" spans="1:5" x14ac:dyDescent="0.2">
      <c r="A62" s="1">
        <v>45578</v>
      </c>
      <c r="B62">
        <v>7</v>
      </c>
      <c r="C62" t="s">
        <v>3</v>
      </c>
      <c r="D62">
        <v>21</v>
      </c>
      <c r="E62" t="s">
        <v>127</v>
      </c>
    </row>
    <row r="63" spans="1:5" x14ac:dyDescent="0.2">
      <c r="A63" s="1">
        <v>45578</v>
      </c>
      <c r="B63">
        <v>7</v>
      </c>
      <c r="C63" t="s">
        <v>3</v>
      </c>
      <c r="D63">
        <v>21</v>
      </c>
      <c r="E63" t="s">
        <v>114</v>
      </c>
    </row>
    <row r="64" spans="1:5" x14ac:dyDescent="0.2">
      <c r="A64" s="1">
        <v>45578</v>
      </c>
      <c r="B64">
        <v>7</v>
      </c>
      <c r="C64" t="s">
        <v>3</v>
      </c>
      <c r="D64">
        <v>21</v>
      </c>
      <c r="E64" t="s">
        <v>102</v>
      </c>
    </row>
    <row r="65" spans="1:5" x14ac:dyDescent="0.2">
      <c r="A65" s="1">
        <v>45579</v>
      </c>
      <c r="B65">
        <v>8</v>
      </c>
      <c r="C65" t="s">
        <v>0</v>
      </c>
      <c r="D65">
        <v>22</v>
      </c>
      <c r="E65" t="s">
        <v>127</v>
      </c>
    </row>
    <row r="66" spans="1:5" x14ac:dyDescent="0.2">
      <c r="A66" s="1">
        <v>45579</v>
      </c>
      <c r="B66">
        <v>8</v>
      </c>
      <c r="C66" t="s">
        <v>0</v>
      </c>
      <c r="D66">
        <v>22</v>
      </c>
      <c r="E66" t="s">
        <v>114</v>
      </c>
    </row>
    <row r="67" spans="1:5" x14ac:dyDescent="0.2">
      <c r="A67" s="1">
        <v>45579</v>
      </c>
      <c r="B67">
        <v>8</v>
      </c>
      <c r="C67" t="s">
        <v>0</v>
      </c>
      <c r="D67">
        <v>22</v>
      </c>
      <c r="E67" t="s">
        <v>102</v>
      </c>
    </row>
    <row r="68" spans="1:5" x14ac:dyDescent="0.2">
      <c r="A68" s="1">
        <v>45579</v>
      </c>
      <c r="B68">
        <v>8</v>
      </c>
      <c r="C68" t="s">
        <v>1</v>
      </c>
      <c r="D68">
        <v>23</v>
      </c>
      <c r="E68" t="s">
        <v>127</v>
      </c>
    </row>
    <row r="69" spans="1:5" x14ac:dyDescent="0.2">
      <c r="A69" s="1">
        <v>45579</v>
      </c>
      <c r="B69">
        <v>8</v>
      </c>
      <c r="C69" t="s">
        <v>1</v>
      </c>
      <c r="D69">
        <v>23</v>
      </c>
      <c r="E69" t="s">
        <v>114</v>
      </c>
    </row>
    <row r="70" spans="1:5" x14ac:dyDescent="0.2">
      <c r="A70" s="1">
        <v>45579</v>
      </c>
      <c r="B70">
        <v>8</v>
      </c>
      <c r="C70" t="s">
        <v>1</v>
      </c>
      <c r="D70">
        <v>23</v>
      </c>
      <c r="E70" t="s">
        <v>102</v>
      </c>
    </row>
    <row r="71" spans="1:5" x14ac:dyDescent="0.2">
      <c r="A71" s="1">
        <v>45579</v>
      </c>
      <c r="B71">
        <v>8</v>
      </c>
      <c r="C71" t="s">
        <v>3</v>
      </c>
      <c r="D71">
        <v>24</v>
      </c>
      <c r="E71" t="s">
        <v>127</v>
      </c>
    </row>
    <row r="72" spans="1:5" x14ac:dyDescent="0.2">
      <c r="A72" s="1">
        <v>45579</v>
      </c>
      <c r="B72">
        <v>8</v>
      </c>
      <c r="C72" t="s">
        <v>3</v>
      </c>
      <c r="D72">
        <v>24</v>
      </c>
      <c r="E72" t="s">
        <v>114</v>
      </c>
    </row>
    <row r="73" spans="1:5" x14ac:dyDescent="0.2">
      <c r="A73" s="1">
        <v>45579</v>
      </c>
      <c r="B73">
        <v>8</v>
      </c>
      <c r="C73" t="s">
        <v>3</v>
      </c>
      <c r="D73">
        <v>24</v>
      </c>
      <c r="E73" t="s">
        <v>102</v>
      </c>
    </row>
    <row r="74" spans="1:5" x14ac:dyDescent="0.2">
      <c r="A74" s="1">
        <v>45580</v>
      </c>
      <c r="B74">
        <v>9</v>
      </c>
      <c r="C74" t="s">
        <v>0</v>
      </c>
      <c r="D74">
        <v>25</v>
      </c>
      <c r="E74" t="s">
        <v>127</v>
      </c>
    </row>
    <row r="75" spans="1:5" x14ac:dyDescent="0.2">
      <c r="A75" s="1">
        <v>45580</v>
      </c>
      <c r="B75">
        <v>9</v>
      </c>
      <c r="C75" t="s">
        <v>0</v>
      </c>
      <c r="D75">
        <v>25</v>
      </c>
      <c r="E75" t="s">
        <v>114</v>
      </c>
    </row>
    <row r="76" spans="1:5" x14ac:dyDescent="0.2">
      <c r="A76" s="1">
        <v>45580</v>
      </c>
      <c r="B76">
        <v>9</v>
      </c>
      <c r="C76" t="s">
        <v>0</v>
      </c>
      <c r="D76">
        <v>25</v>
      </c>
      <c r="E76" t="s">
        <v>102</v>
      </c>
    </row>
    <row r="77" spans="1:5" x14ac:dyDescent="0.2">
      <c r="A77" s="1">
        <v>45580</v>
      </c>
      <c r="B77">
        <v>9</v>
      </c>
      <c r="C77" t="s">
        <v>1</v>
      </c>
      <c r="D77">
        <v>26</v>
      </c>
      <c r="E77" t="s">
        <v>127</v>
      </c>
    </row>
    <row r="78" spans="1:5" x14ac:dyDescent="0.2">
      <c r="A78" s="1">
        <v>45580</v>
      </c>
      <c r="B78">
        <v>9</v>
      </c>
      <c r="C78" t="s">
        <v>1</v>
      </c>
      <c r="D78">
        <v>26</v>
      </c>
      <c r="E78" t="s">
        <v>114</v>
      </c>
    </row>
    <row r="79" spans="1:5" x14ac:dyDescent="0.2">
      <c r="A79" s="1">
        <v>45580</v>
      </c>
      <c r="B79">
        <v>9</v>
      </c>
      <c r="C79" t="s">
        <v>1</v>
      </c>
      <c r="D79">
        <v>26</v>
      </c>
      <c r="E79" t="s">
        <v>102</v>
      </c>
    </row>
    <row r="80" spans="1:5" x14ac:dyDescent="0.2">
      <c r="A80" s="1">
        <v>45580</v>
      </c>
      <c r="B80">
        <v>9</v>
      </c>
      <c r="C80" t="s">
        <v>3</v>
      </c>
      <c r="D80">
        <v>27</v>
      </c>
      <c r="E80" t="s">
        <v>127</v>
      </c>
    </row>
    <row r="81" spans="1:5" x14ac:dyDescent="0.2">
      <c r="A81" s="1">
        <v>45580</v>
      </c>
      <c r="B81">
        <v>9</v>
      </c>
      <c r="C81" t="s">
        <v>3</v>
      </c>
      <c r="D81">
        <v>27</v>
      </c>
      <c r="E81" t="s">
        <v>114</v>
      </c>
    </row>
    <row r="82" spans="1:5" x14ac:dyDescent="0.2">
      <c r="A82" s="1">
        <v>45580</v>
      </c>
      <c r="B82">
        <v>9</v>
      </c>
      <c r="C82" t="s">
        <v>3</v>
      </c>
      <c r="D82">
        <v>27</v>
      </c>
      <c r="E82" t="s">
        <v>102</v>
      </c>
    </row>
    <row r="83" spans="1:5" x14ac:dyDescent="0.2">
      <c r="A83" s="1">
        <v>45581</v>
      </c>
      <c r="B83">
        <v>10</v>
      </c>
      <c r="C83" t="s">
        <v>0</v>
      </c>
      <c r="D83">
        <v>28</v>
      </c>
      <c r="E83" t="s">
        <v>127</v>
      </c>
    </row>
    <row r="84" spans="1:5" x14ac:dyDescent="0.2">
      <c r="A84" s="1">
        <v>45581</v>
      </c>
      <c r="B84">
        <v>10</v>
      </c>
      <c r="C84" t="s">
        <v>0</v>
      </c>
      <c r="D84">
        <v>28</v>
      </c>
      <c r="E84" t="s">
        <v>114</v>
      </c>
    </row>
    <row r="85" spans="1:5" x14ac:dyDescent="0.2">
      <c r="A85" s="1">
        <v>45581</v>
      </c>
      <c r="B85">
        <v>10</v>
      </c>
      <c r="C85" t="s">
        <v>0</v>
      </c>
      <c r="D85">
        <v>28</v>
      </c>
      <c r="E85" t="s">
        <v>102</v>
      </c>
    </row>
    <row r="86" spans="1:5" x14ac:dyDescent="0.2">
      <c r="A86" s="1">
        <v>45581</v>
      </c>
      <c r="B86">
        <v>10</v>
      </c>
      <c r="C86" t="s">
        <v>1</v>
      </c>
      <c r="D86">
        <v>29</v>
      </c>
      <c r="E86" t="s">
        <v>127</v>
      </c>
    </row>
    <row r="87" spans="1:5" x14ac:dyDescent="0.2">
      <c r="A87" s="1">
        <v>45581</v>
      </c>
      <c r="B87">
        <v>10</v>
      </c>
      <c r="C87" t="s">
        <v>1</v>
      </c>
      <c r="D87">
        <v>29</v>
      </c>
      <c r="E87" t="s">
        <v>114</v>
      </c>
    </row>
    <row r="88" spans="1:5" x14ac:dyDescent="0.2">
      <c r="A88" s="1">
        <v>45581</v>
      </c>
      <c r="B88">
        <v>10</v>
      </c>
      <c r="C88" t="s">
        <v>1</v>
      </c>
      <c r="D88">
        <v>29</v>
      </c>
      <c r="E88" t="s">
        <v>102</v>
      </c>
    </row>
    <row r="89" spans="1:5" x14ac:dyDescent="0.2">
      <c r="A89" s="1">
        <v>45581</v>
      </c>
      <c r="B89">
        <v>10</v>
      </c>
      <c r="C89" t="s">
        <v>3</v>
      </c>
      <c r="D89">
        <v>30</v>
      </c>
      <c r="E89" t="s">
        <v>127</v>
      </c>
    </row>
    <row r="90" spans="1:5" x14ac:dyDescent="0.2">
      <c r="A90" s="1">
        <v>45581</v>
      </c>
      <c r="B90">
        <v>10</v>
      </c>
      <c r="C90" t="s">
        <v>3</v>
      </c>
      <c r="D90">
        <v>30</v>
      </c>
      <c r="E90" t="s">
        <v>114</v>
      </c>
    </row>
    <row r="91" spans="1:5" x14ac:dyDescent="0.2">
      <c r="A91" s="1">
        <v>45581</v>
      </c>
      <c r="B91">
        <v>10</v>
      </c>
      <c r="C91" t="s">
        <v>3</v>
      </c>
      <c r="D91">
        <v>30</v>
      </c>
      <c r="E91" t="s">
        <v>102</v>
      </c>
    </row>
    <row r="92" spans="1:5" x14ac:dyDescent="0.2">
      <c r="A92" s="1">
        <v>45582</v>
      </c>
      <c r="B92">
        <v>11</v>
      </c>
      <c r="C92" t="s">
        <v>0</v>
      </c>
      <c r="D92">
        <v>31</v>
      </c>
      <c r="E92" t="s">
        <v>127</v>
      </c>
    </row>
    <row r="93" spans="1:5" x14ac:dyDescent="0.2">
      <c r="A93" s="1">
        <v>45582</v>
      </c>
      <c r="B93">
        <v>11</v>
      </c>
      <c r="C93" t="s">
        <v>0</v>
      </c>
      <c r="D93">
        <v>31</v>
      </c>
      <c r="E93" t="s">
        <v>114</v>
      </c>
    </row>
    <row r="94" spans="1:5" x14ac:dyDescent="0.2">
      <c r="A94" s="1">
        <v>45582</v>
      </c>
      <c r="B94">
        <v>11</v>
      </c>
      <c r="C94" t="s">
        <v>0</v>
      </c>
      <c r="D94">
        <v>31</v>
      </c>
      <c r="E94" t="s">
        <v>102</v>
      </c>
    </row>
    <row r="95" spans="1:5" x14ac:dyDescent="0.2">
      <c r="A95" s="1">
        <v>45582</v>
      </c>
      <c r="B95">
        <v>11</v>
      </c>
      <c r="C95" t="s">
        <v>1</v>
      </c>
      <c r="D95">
        <v>32</v>
      </c>
      <c r="E95" t="s">
        <v>127</v>
      </c>
    </row>
    <row r="96" spans="1:5" x14ac:dyDescent="0.2">
      <c r="A96" s="1">
        <v>45582</v>
      </c>
      <c r="B96">
        <v>11</v>
      </c>
      <c r="C96" t="s">
        <v>1</v>
      </c>
      <c r="D96">
        <v>32</v>
      </c>
      <c r="E96" t="s">
        <v>114</v>
      </c>
    </row>
    <row r="97" spans="1:5" x14ac:dyDescent="0.2">
      <c r="A97" s="1">
        <v>45582</v>
      </c>
      <c r="B97">
        <v>11</v>
      </c>
      <c r="C97" t="s">
        <v>1</v>
      </c>
      <c r="D97">
        <v>32</v>
      </c>
      <c r="E97" t="s">
        <v>102</v>
      </c>
    </row>
    <row r="98" spans="1:5" x14ac:dyDescent="0.2">
      <c r="A98" s="1">
        <v>45582</v>
      </c>
      <c r="B98">
        <v>11</v>
      </c>
      <c r="C98" t="s">
        <v>3</v>
      </c>
      <c r="D98">
        <v>33</v>
      </c>
      <c r="E98" t="s">
        <v>127</v>
      </c>
    </row>
    <row r="99" spans="1:5" x14ac:dyDescent="0.2">
      <c r="A99" s="1">
        <v>45582</v>
      </c>
      <c r="B99">
        <v>11</v>
      </c>
      <c r="C99" t="s">
        <v>3</v>
      </c>
      <c r="D99">
        <v>33</v>
      </c>
      <c r="E99" t="s">
        <v>114</v>
      </c>
    </row>
    <row r="100" spans="1:5" x14ac:dyDescent="0.2">
      <c r="A100" s="1">
        <v>45582</v>
      </c>
      <c r="B100">
        <v>11</v>
      </c>
      <c r="C100" t="s">
        <v>3</v>
      </c>
      <c r="D100">
        <v>33</v>
      </c>
      <c r="E100" t="s">
        <v>102</v>
      </c>
    </row>
    <row r="101" spans="1:5" x14ac:dyDescent="0.2">
      <c r="A101" s="1">
        <v>45583</v>
      </c>
      <c r="B101">
        <v>12</v>
      </c>
      <c r="C101" t="s">
        <v>0</v>
      </c>
      <c r="D101">
        <v>34</v>
      </c>
      <c r="E101" t="s">
        <v>127</v>
      </c>
    </row>
    <row r="102" spans="1:5" x14ac:dyDescent="0.2">
      <c r="A102" s="1">
        <v>45583</v>
      </c>
      <c r="B102">
        <v>12</v>
      </c>
      <c r="C102" t="s">
        <v>0</v>
      </c>
      <c r="D102">
        <v>34</v>
      </c>
      <c r="E102" t="s">
        <v>114</v>
      </c>
    </row>
    <row r="103" spans="1:5" x14ac:dyDescent="0.2">
      <c r="A103" s="1">
        <v>45583</v>
      </c>
      <c r="B103">
        <v>12</v>
      </c>
      <c r="C103" t="s">
        <v>0</v>
      </c>
      <c r="D103">
        <v>34</v>
      </c>
      <c r="E103" t="s">
        <v>102</v>
      </c>
    </row>
    <row r="104" spans="1:5" x14ac:dyDescent="0.2">
      <c r="A104" s="1">
        <v>45583</v>
      </c>
      <c r="B104">
        <v>12</v>
      </c>
      <c r="C104" t="s">
        <v>1</v>
      </c>
      <c r="D104">
        <v>35</v>
      </c>
      <c r="E104" t="s">
        <v>127</v>
      </c>
    </row>
    <row r="105" spans="1:5" x14ac:dyDescent="0.2">
      <c r="A105" s="1">
        <v>45583</v>
      </c>
      <c r="B105">
        <v>12</v>
      </c>
      <c r="C105" t="s">
        <v>1</v>
      </c>
      <c r="D105">
        <v>35</v>
      </c>
      <c r="E105" t="s">
        <v>114</v>
      </c>
    </row>
    <row r="106" spans="1:5" x14ac:dyDescent="0.2">
      <c r="A106" s="1">
        <v>45583</v>
      </c>
      <c r="B106">
        <v>12</v>
      </c>
      <c r="C106" t="s">
        <v>1</v>
      </c>
      <c r="D106">
        <v>35</v>
      </c>
      <c r="E106" t="s">
        <v>102</v>
      </c>
    </row>
    <row r="107" spans="1:5" x14ac:dyDescent="0.2">
      <c r="A107" s="1">
        <v>45583</v>
      </c>
      <c r="B107">
        <v>12</v>
      </c>
      <c r="C107" t="s">
        <v>3</v>
      </c>
      <c r="D107">
        <v>36</v>
      </c>
      <c r="E107" t="s">
        <v>127</v>
      </c>
    </row>
    <row r="108" spans="1:5" x14ac:dyDescent="0.2">
      <c r="A108" s="1">
        <v>45583</v>
      </c>
      <c r="B108">
        <v>12</v>
      </c>
      <c r="C108" t="s">
        <v>3</v>
      </c>
      <c r="D108">
        <v>36</v>
      </c>
      <c r="E108" t="s">
        <v>114</v>
      </c>
    </row>
    <row r="109" spans="1:5" x14ac:dyDescent="0.2">
      <c r="A109" s="1">
        <v>45583</v>
      </c>
      <c r="B109">
        <v>12</v>
      </c>
      <c r="C109" t="s">
        <v>3</v>
      </c>
      <c r="D109">
        <v>36</v>
      </c>
      <c r="E109" t="s">
        <v>102</v>
      </c>
    </row>
    <row r="110" spans="1:5" x14ac:dyDescent="0.2">
      <c r="A110" s="1">
        <v>45584</v>
      </c>
      <c r="B110">
        <v>13</v>
      </c>
      <c r="C110" t="s">
        <v>0</v>
      </c>
      <c r="D110">
        <v>37</v>
      </c>
      <c r="E110" t="s">
        <v>127</v>
      </c>
    </row>
    <row r="111" spans="1:5" x14ac:dyDescent="0.2">
      <c r="A111" s="1">
        <v>45584</v>
      </c>
      <c r="B111">
        <v>13</v>
      </c>
      <c r="C111" t="s">
        <v>0</v>
      </c>
      <c r="D111">
        <v>37</v>
      </c>
      <c r="E111" t="s">
        <v>114</v>
      </c>
    </row>
    <row r="112" spans="1:5" x14ac:dyDescent="0.2">
      <c r="A112" s="1">
        <v>45584</v>
      </c>
      <c r="B112">
        <v>13</v>
      </c>
      <c r="C112" t="s">
        <v>0</v>
      </c>
      <c r="D112">
        <v>37</v>
      </c>
      <c r="E112" t="s">
        <v>102</v>
      </c>
    </row>
    <row r="113" spans="1:5" x14ac:dyDescent="0.2">
      <c r="A113" s="1">
        <v>45584</v>
      </c>
      <c r="B113">
        <v>13</v>
      </c>
      <c r="C113" t="s">
        <v>1</v>
      </c>
      <c r="D113">
        <v>38</v>
      </c>
      <c r="E113" t="s">
        <v>127</v>
      </c>
    </row>
    <row r="114" spans="1:5" x14ac:dyDescent="0.2">
      <c r="A114" s="1">
        <v>45584</v>
      </c>
      <c r="B114">
        <v>13</v>
      </c>
      <c r="C114" t="s">
        <v>1</v>
      </c>
      <c r="D114">
        <v>38</v>
      </c>
      <c r="E114" t="s">
        <v>114</v>
      </c>
    </row>
    <row r="115" spans="1:5" x14ac:dyDescent="0.2">
      <c r="A115" s="1">
        <v>45584</v>
      </c>
      <c r="B115">
        <v>13</v>
      </c>
      <c r="C115" t="s">
        <v>1</v>
      </c>
      <c r="D115">
        <v>38</v>
      </c>
      <c r="E115" t="s">
        <v>102</v>
      </c>
    </row>
    <row r="116" spans="1:5" x14ac:dyDescent="0.2">
      <c r="A116" s="1">
        <v>45584</v>
      </c>
      <c r="B116">
        <v>13</v>
      </c>
      <c r="C116" t="s">
        <v>3</v>
      </c>
      <c r="D116">
        <v>39</v>
      </c>
      <c r="E116" t="s">
        <v>127</v>
      </c>
    </row>
    <row r="117" spans="1:5" x14ac:dyDescent="0.2">
      <c r="A117" s="1">
        <v>45584</v>
      </c>
      <c r="B117">
        <v>13</v>
      </c>
      <c r="C117" t="s">
        <v>3</v>
      </c>
      <c r="D117">
        <v>39</v>
      </c>
      <c r="E117" t="s">
        <v>114</v>
      </c>
    </row>
    <row r="118" spans="1:5" x14ac:dyDescent="0.2">
      <c r="A118" s="1">
        <v>45584</v>
      </c>
      <c r="B118">
        <v>13</v>
      </c>
      <c r="C118" t="s">
        <v>3</v>
      </c>
      <c r="D118">
        <v>39</v>
      </c>
      <c r="E118" t="s">
        <v>102</v>
      </c>
    </row>
    <row r="119" spans="1:5" x14ac:dyDescent="0.2">
      <c r="A119" s="1">
        <v>45585</v>
      </c>
      <c r="B119">
        <v>14</v>
      </c>
      <c r="C119" t="s">
        <v>0</v>
      </c>
      <c r="D119">
        <v>40</v>
      </c>
      <c r="E119" t="s">
        <v>127</v>
      </c>
    </row>
    <row r="120" spans="1:5" x14ac:dyDescent="0.2">
      <c r="A120" s="1">
        <v>45585</v>
      </c>
      <c r="B120">
        <v>14</v>
      </c>
      <c r="C120" t="s">
        <v>0</v>
      </c>
      <c r="D120">
        <v>40</v>
      </c>
      <c r="E120" t="s">
        <v>114</v>
      </c>
    </row>
    <row r="121" spans="1:5" x14ac:dyDescent="0.2">
      <c r="A121" s="1">
        <v>45585</v>
      </c>
      <c r="B121">
        <v>14</v>
      </c>
      <c r="C121" t="s">
        <v>0</v>
      </c>
      <c r="D121">
        <v>40</v>
      </c>
      <c r="E121" t="s">
        <v>102</v>
      </c>
    </row>
    <row r="122" spans="1:5" x14ac:dyDescent="0.2">
      <c r="A122" s="1">
        <v>45585</v>
      </c>
      <c r="B122">
        <v>14</v>
      </c>
      <c r="C122" t="s">
        <v>1</v>
      </c>
      <c r="D122">
        <v>41</v>
      </c>
      <c r="E122" t="s">
        <v>127</v>
      </c>
    </row>
    <row r="123" spans="1:5" x14ac:dyDescent="0.2">
      <c r="A123" s="1">
        <v>45585</v>
      </c>
      <c r="B123">
        <v>14</v>
      </c>
      <c r="C123" t="s">
        <v>1</v>
      </c>
      <c r="D123">
        <v>41</v>
      </c>
      <c r="E123" t="s">
        <v>114</v>
      </c>
    </row>
    <row r="124" spans="1:5" x14ac:dyDescent="0.2">
      <c r="A124" s="1">
        <v>45585</v>
      </c>
      <c r="B124">
        <v>14</v>
      </c>
      <c r="C124" t="s">
        <v>1</v>
      </c>
      <c r="D124">
        <v>41</v>
      </c>
      <c r="E124" t="s">
        <v>102</v>
      </c>
    </row>
    <row r="125" spans="1:5" x14ac:dyDescent="0.2">
      <c r="A125" s="1">
        <v>45585</v>
      </c>
      <c r="B125">
        <v>14</v>
      </c>
      <c r="C125" t="s">
        <v>3</v>
      </c>
      <c r="D125">
        <v>42</v>
      </c>
      <c r="E125" t="s">
        <v>127</v>
      </c>
    </row>
    <row r="126" spans="1:5" x14ac:dyDescent="0.2">
      <c r="A126" s="1">
        <v>45585</v>
      </c>
      <c r="B126">
        <v>14</v>
      </c>
      <c r="C126" t="s">
        <v>3</v>
      </c>
      <c r="D126">
        <v>42</v>
      </c>
      <c r="E126" t="s">
        <v>114</v>
      </c>
    </row>
    <row r="127" spans="1:5" x14ac:dyDescent="0.2">
      <c r="A127" s="1">
        <v>45585</v>
      </c>
      <c r="B127">
        <v>14</v>
      </c>
      <c r="C127" t="s">
        <v>3</v>
      </c>
      <c r="D127">
        <v>42</v>
      </c>
      <c r="E127" t="s">
        <v>102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73F9E-5829-4C32-8AF8-90B1ECF95256}">
  <sheetPr>
    <tabColor rgb="FFFF0000"/>
  </sheetPr>
  <dimension ref="A1:E127"/>
  <sheetViews>
    <sheetView workbookViewId="0">
      <selection sqref="A1:E127"/>
    </sheetView>
  </sheetViews>
  <sheetFormatPr defaultRowHeight="12.75" x14ac:dyDescent="0.2"/>
  <cols>
    <col min="1" max="1" width="10.5" bestFit="1" customWidth="1"/>
    <col min="2" max="2" width="7.33203125" bestFit="1" customWidth="1"/>
    <col min="3" max="3" width="9.33203125" bestFit="1" customWidth="1"/>
    <col min="4" max="4" width="9.83203125" bestFit="1" customWidth="1"/>
    <col min="5" max="5" width="12.6640625" bestFit="1" customWidth="1"/>
    <col min="6" max="6" width="23.83203125" customWidth="1"/>
    <col min="7" max="7" width="23.83203125" bestFit="1" customWidth="1"/>
    <col min="8" max="9" width="10.83203125" bestFit="1" customWidth="1"/>
  </cols>
  <sheetData>
    <row r="1" spans="1:5" x14ac:dyDescent="0.2">
      <c r="A1" t="s">
        <v>4</v>
      </c>
      <c r="B1" t="s">
        <v>82</v>
      </c>
      <c r="C1" t="s">
        <v>2</v>
      </c>
      <c r="D1" t="s">
        <v>81</v>
      </c>
      <c r="E1" t="s">
        <v>5</v>
      </c>
    </row>
    <row r="2" spans="1:5" x14ac:dyDescent="0.2">
      <c r="A2" s="1">
        <v>45572</v>
      </c>
      <c r="B2">
        <v>1</v>
      </c>
      <c r="C2" t="s">
        <v>0</v>
      </c>
      <c r="D2">
        <v>1</v>
      </c>
      <c r="E2" t="s">
        <v>127</v>
      </c>
    </row>
    <row r="3" spans="1:5" x14ac:dyDescent="0.2">
      <c r="A3" s="1">
        <v>45572</v>
      </c>
      <c r="B3">
        <v>1</v>
      </c>
      <c r="C3" t="s">
        <v>0</v>
      </c>
      <c r="D3">
        <v>1</v>
      </c>
      <c r="E3" t="s">
        <v>114</v>
      </c>
    </row>
    <row r="4" spans="1:5" x14ac:dyDescent="0.2">
      <c r="A4" s="1">
        <v>45572</v>
      </c>
      <c r="B4">
        <v>1</v>
      </c>
      <c r="C4" t="s">
        <v>0</v>
      </c>
      <c r="D4">
        <v>1</v>
      </c>
      <c r="E4" t="s">
        <v>102</v>
      </c>
    </row>
    <row r="5" spans="1:5" x14ac:dyDescent="0.2">
      <c r="A5" s="1">
        <v>45572</v>
      </c>
      <c r="B5">
        <v>1</v>
      </c>
      <c r="C5" t="s">
        <v>1</v>
      </c>
      <c r="D5">
        <v>2</v>
      </c>
      <c r="E5" t="s">
        <v>127</v>
      </c>
    </row>
    <row r="6" spans="1:5" x14ac:dyDescent="0.2">
      <c r="A6" s="1">
        <v>45572</v>
      </c>
      <c r="B6">
        <v>1</v>
      </c>
      <c r="C6" t="s">
        <v>1</v>
      </c>
      <c r="D6">
        <v>2</v>
      </c>
      <c r="E6" t="s">
        <v>114</v>
      </c>
    </row>
    <row r="7" spans="1:5" x14ac:dyDescent="0.2">
      <c r="A7" s="1">
        <v>45572</v>
      </c>
      <c r="B7">
        <v>1</v>
      </c>
      <c r="C7" t="s">
        <v>1</v>
      </c>
      <c r="D7">
        <v>2</v>
      </c>
      <c r="E7" t="s">
        <v>102</v>
      </c>
    </row>
    <row r="8" spans="1:5" x14ac:dyDescent="0.2">
      <c r="A8" s="1">
        <v>45572</v>
      </c>
      <c r="B8">
        <v>1</v>
      </c>
      <c r="C8" t="s">
        <v>3</v>
      </c>
      <c r="D8">
        <v>3</v>
      </c>
      <c r="E8" t="s">
        <v>127</v>
      </c>
    </row>
    <row r="9" spans="1:5" x14ac:dyDescent="0.2">
      <c r="A9" s="1">
        <v>45572</v>
      </c>
      <c r="B9">
        <v>1</v>
      </c>
      <c r="C9" t="s">
        <v>3</v>
      </c>
      <c r="D9">
        <v>3</v>
      </c>
      <c r="E9" t="s">
        <v>114</v>
      </c>
    </row>
    <row r="10" spans="1:5" x14ac:dyDescent="0.2">
      <c r="A10" s="1">
        <v>45572</v>
      </c>
      <c r="B10">
        <v>1</v>
      </c>
      <c r="C10" t="s">
        <v>3</v>
      </c>
      <c r="D10">
        <v>3</v>
      </c>
      <c r="E10" t="s">
        <v>102</v>
      </c>
    </row>
    <row r="11" spans="1:5" x14ac:dyDescent="0.2">
      <c r="A11" s="1">
        <v>45573</v>
      </c>
      <c r="B11">
        <v>2</v>
      </c>
      <c r="C11" t="s">
        <v>0</v>
      </c>
      <c r="D11">
        <v>4</v>
      </c>
      <c r="E11" t="s">
        <v>127</v>
      </c>
    </row>
    <row r="12" spans="1:5" x14ac:dyDescent="0.2">
      <c r="A12" s="1">
        <v>45573</v>
      </c>
      <c r="B12">
        <v>2</v>
      </c>
      <c r="C12" t="s">
        <v>0</v>
      </c>
      <c r="D12">
        <v>4</v>
      </c>
      <c r="E12" t="s">
        <v>114</v>
      </c>
    </row>
    <row r="13" spans="1:5" x14ac:dyDescent="0.2">
      <c r="A13" s="1">
        <v>45573</v>
      </c>
      <c r="B13">
        <v>2</v>
      </c>
      <c r="C13" t="s">
        <v>0</v>
      </c>
      <c r="D13">
        <v>4</v>
      </c>
      <c r="E13" t="s">
        <v>102</v>
      </c>
    </row>
    <row r="14" spans="1:5" x14ac:dyDescent="0.2">
      <c r="A14" s="1">
        <v>45573</v>
      </c>
      <c r="B14">
        <v>2</v>
      </c>
      <c r="C14" t="s">
        <v>1</v>
      </c>
      <c r="D14">
        <v>5</v>
      </c>
      <c r="E14" t="s">
        <v>127</v>
      </c>
    </row>
    <row r="15" spans="1:5" x14ac:dyDescent="0.2">
      <c r="A15" s="1">
        <v>45573</v>
      </c>
      <c r="B15">
        <v>2</v>
      </c>
      <c r="C15" t="s">
        <v>1</v>
      </c>
      <c r="D15">
        <v>5</v>
      </c>
      <c r="E15" t="s">
        <v>114</v>
      </c>
    </row>
    <row r="16" spans="1:5" x14ac:dyDescent="0.2">
      <c r="A16" s="1">
        <v>45573</v>
      </c>
      <c r="B16">
        <v>2</v>
      </c>
      <c r="C16" t="s">
        <v>1</v>
      </c>
      <c r="D16">
        <v>5</v>
      </c>
      <c r="E16" t="s">
        <v>102</v>
      </c>
    </row>
    <row r="17" spans="1:5" x14ac:dyDescent="0.2">
      <c r="A17" s="1">
        <v>45573</v>
      </c>
      <c r="B17">
        <v>2</v>
      </c>
      <c r="C17" t="s">
        <v>3</v>
      </c>
      <c r="D17">
        <v>6</v>
      </c>
      <c r="E17" t="s">
        <v>127</v>
      </c>
    </row>
    <row r="18" spans="1:5" x14ac:dyDescent="0.2">
      <c r="A18" s="1">
        <v>45573</v>
      </c>
      <c r="B18">
        <v>2</v>
      </c>
      <c r="C18" t="s">
        <v>3</v>
      </c>
      <c r="D18">
        <v>6</v>
      </c>
      <c r="E18" t="s">
        <v>114</v>
      </c>
    </row>
    <row r="19" spans="1:5" x14ac:dyDescent="0.2">
      <c r="A19" s="1">
        <v>45573</v>
      </c>
      <c r="B19">
        <v>2</v>
      </c>
      <c r="C19" t="s">
        <v>3</v>
      </c>
      <c r="D19">
        <v>6</v>
      </c>
      <c r="E19" t="s">
        <v>102</v>
      </c>
    </row>
    <row r="20" spans="1:5" x14ac:dyDescent="0.2">
      <c r="A20" s="1">
        <v>45574</v>
      </c>
      <c r="B20">
        <v>3</v>
      </c>
      <c r="C20" t="s">
        <v>0</v>
      </c>
      <c r="D20">
        <v>7</v>
      </c>
      <c r="E20" t="s">
        <v>127</v>
      </c>
    </row>
    <row r="21" spans="1:5" x14ac:dyDescent="0.2">
      <c r="A21" s="1">
        <v>45574</v>
      </c>
      <c r="B21">
        <v>3</v>
      </c>
      <c r="C21" t="s">
        <v>0</v>
      </c>
      <c r="D21">
        <v>7</v>
      </c>
      <c r="E21" t="s">
        <v>114</v>
      </c>
    </row>
    <row r="22" spans="1:5" x14ac:dyDescent="0.2">
      <c r="A22" s="1">
        <v>45574</v>
      </c>
      <c r="B22">
        <v>3</v>
      </c>
      <c r="C22" t="s">
        <v>0</v>
      </c>
      <c r="D22">
        <v>7</v>
      </c>
      <c r="E22" t="s">
        <v>102</v>
      </c>
    </row>
    <row r="23" spans="1:5" x14ac:dyDescent="0.2">
      <c r="A23" s="1">
        <v>45574</v>
      </c>
      <c r="B23">
        <v>3</v>
      </c>
      <c r="C23" t="s">
        <v>1</v>
      </c>
      <c r="D23">
        <v>8</v>
      </c>
      <c r="E23" t="s">
        <v>127</v>
      </c>
    </row>
    <row r="24" spans="1:5" x14ac:dyDescent="0.2">
      <c r="A24" s="1">
        <v>45574</v>
      </c>
      <c r="B24">
        <v>3</v>
      </c>
      <c r="C24" t="s">
        <v>1</v>
      </c>
      <c r="D24">
        <v>8</v>
      </c>
      <c r="E24" t="s">
        <v>114</v>
      </c>
    </row>
    <row r="25" spans="1:5" x14ac:dyDescent="0.2">
      <c r="A25" s="1">
        <v>45574</v>
      </c>
      <c r="B25">
        <v>3</v>
      </c>
      <c r="C25" t="s">
        <v>1</v>
      </c>
      <c r="D25">
        <v>8</v>
      </c>
      <c r="E25" t="s">
        <v>102</v>
      </c>
    </row>
    <row r="26" spans="1:5" x14ac:dyDescent="0.2">
      <c r="A26" s="1">
        <v>45574</v>
      </c>
      <c r="B26">
        <v>3</v>
      </c>
      <c r="C26" t="s">
        <v>3</v>
      </c>
      <c r="D26">
        <v>9</v>
      </c>
      <c r="E26" t="s">
        <v>127</v>
      </c>
    </row>
    <row r="27" spans="1:5" x14ac:dyDescent="0.2">
      <c r="A27" s="1">
        <v>45574</v>
      </c>
      <c r="B27">
        <v>3</v>
      </c>
      <c r="C27" t="s">
        <v>3</v>
      </c>
      <c r="D27">
        <v>9</v>
      </c>
      <c r="E27" t="s">
        <v>114</v>
      </c>
    </row>
    <row r="28" spans="1:5" x14ac:dyDescent="0.2">
      <c r="A28" s="1">
        <v>45574</v>
      </c>
      <c r="B28">
        <v>3</v>
      </c>
      <c r="C28" t="s">
        <v>3</v>
      </c>
      <c r="D28">
        <v>9</v>
      </c>
      <c r="E28" t="s">
        <v>102</v>
      </c>
    </row>
    <row r="29" spans="1:5" x14ac:dyDescent="0.2">
      <c r="A29" s="1">
        <v>45575</v>
      </c>
      <c r="B29">
        <v>4</v>
      </c>
      <c r="C29" t="s">
        <v>0</v>
      </c>
      <c r="D29">
        <v>10</v>
      </c>
      <c r="E29" t="s">
        <v>127</v>
      </c>
    </row>
    <row r="30" spans="1:5" x14ac:dyDescent="0.2">
      <c r="A30" s="1">
        <v>45575</v>
      </c>
      <c r="B30">
        <v>4</v>
      </c>
      <c r="C30" t="s">
        <v>0</v>
      </c>
      <c r="D30">
        <v>10</v>
      </c>
      <c r="E30" t="s">
        <v>114</v>
      </c>
    </row>
    <row r="31" spans="1:5" x14ac:dyDescent="0.2">
      <c r="A31" s="1">
        <v>45575</v>
      </c>
      <c r="B31">
        <v>4</v>
      </c>
      <c r="C31" t="s">
        <v>0</v>
      </c>
      <c r="D31">
        <v>10</v>
      </c>
      <c r="E31" t="s">
        <v>102</v>
      </c>
    </row>
    <row r="32" spans="1:5" x14ac:dyDescent="0.2">
      <c r="A32" s="1">
        <v>45575</v>
      </c>
      <c r="B32">
        <v>4</v>
      </c>
      <c r="C32" t="s">
        <v>1</v>
      </c>
      <c r="D32">
        <v>11</v>
      </c>
      <c r="E32" t="s">
        <v>127</v>
      </c>
    </row>
    <row r="33" spans="1:5" x14ac:dyDescent="0.2">
      <c r="A33" s="1">
        <v>45575</v>
      </c>
      <c r="B33">
        <v>4</v>
      </c>
      <c r="C33" t="s">
        <v>1</v>
      </c>
      <c r="D33">
        <v>11</v>
      </c>
      <c r="E33" t="s">
        <v>114</v>
      </c>
    </row>
    <row r="34" spans="1:5" x14ac:dyDescent="0.2">
      <c r="A34" s="1">
        <v>45575</v>
      </c>
      <c r="B34">
        <v>4</v>
      </c>
      <c r="C34" t="s">
        <v>1</v>
      </c>
      <c r="D34">
        <v>11</v>
      </c>
      <c r="E34" t="s">
        <v>102</v>
      </c>
    </row>
    <row r="35" spans="1:5" x14ac:dyDescent="0.2">
      <c r="A35" s="1">
        <v>45575</v>
      </c>
      <c r="B35">
        <v>4</v>
      </c>
      <c r="C35" t="s">
        <v>3</v>
      </c>
      <c r="D35">
        <v>12</v>
      </c>
      <c r="E35" t="s">
        <v>127</v>
      </c>
    </row>
    <row r="36" spans="1:5" x14ac:dyDescent="0.2">
      <c r="A36" s="1">
        <v>45575</v>
      </c>
      <c r="B36">
        <v>4</v>
      </c>
      <c r="C36" t="s">
        <v>3</v>
      </c>
      <c r="D36">
        <v>12</v>
      </c>
      <c r="E36" t="s">
        <v>114</v>
      </c>
    </row>
    <row r="37" spans="1:5" x14ac:dyDescent="0.2">
      <c r="A37" s="1">
        <v>45575</v>
      </c>
      <c r="B37">
        <v>4</v>
      </c>
      <c r="C37" t="s">
        <v>3</v>
      </c>
      <c r="D37">
        <v>12</v>
      </c>
      <c r="E37" t="s">
        <v>102</v>
      </c>
    </row>
    <row r="38" spans="1:5" x14ac:dyDescent="0.2">
      <c r="A38" s="1">
        <v>45576</v>
      </c>
      <c r="B38">
        <v>5</v>
      </c>
      <c r="C38" t="s">
        <v>0</v>
      </c>
      <c r="D38">
        <v>13</v>
      </c>
      <c r="E38" t="s">
        <v>127</v>
      </c>
    </row>
    <row r="39" spans="1:5" x14ac:dyDescent="0.2">
      <c r="A39" s="1">
        <v>45576</v>
      </c>
      <c r="B39">
        <v>5</v>
      </c>
      <c r="C39" t="s">
        <v>0</v>
      </c>
      <c r="D39">
        <v>13</v>
      </c>
      <c r="E39" t="s">
        <v>114</v>
      </c>
    </row>
    <row r="40" spans="1:5" x14ac:dyDescent="0.2">
      <c r="A40" s="1">
        <v>45576</v>
      </c>
      <c r="B40">
        <v>5</v>
      </c>
      <c r="C40" t="s">
        <v>0</v>
      </c>
      <c r="D40">
        <v>13</v>
      </c>
      <c r="E40" t="s">
        <v>102</v>
      </c>
    </row>
    <row r="41" spans="1:5" x14ac:dyDescent="0.2">
      <c r="A41" s="1">
        <v>45576</v>
      </c>
      <c r="B41">
        <v>5</v>
      </c>
      <c r="C41" t="s">
        <v>1</v>
      </c>
      <c r="D41">
        <v>14</v>
      </c>
      <c r="E41" t="s">
        <v>127</v>
      </c>
    </row>
    <row r="42" spans="1:5" x14ac:dyDescent="0.2">
      <c r="A42" s="1">
        <v>45576</v>
      </c>
      <c r="B42">
        <v>5</v>
      </c>
      <c r="C42" t="s">
        <v>1</v>
      </c>
      <c r="D42">
        <v>14</v>
      </c>
      <c r="E42" t="s">
        <v>114</v>
      </c>
    </row>
    <row r="43" spans="1:5" x14ac:dyDescent="0.2">
      <c r="A43" s="1">
        <v>45576</v>
      </c>
      <c r="B43">
        <v>5</v>
      </c>
      <c r="C43" t="s">
        <v>1</v>
      </c>
      <c r="D43">
        <v>14</v>
      </c>
      <c r="E43" t="s">
        <v>102</v>
      </c>
    </row>
    <row r="44" spans="1:5" x14ac:dyDescent="0.2">
      <c r="A44" s="1">
        <v>45576</v>
      </c>
      <c r="B44">
        <v>5</v>
      </c>
      <c r="C44" t="s">
        <v>3</v>
      </c>
      <c r="D44">
        <v>15</v>
      </c>
      <c r="E44" t="s">
        <v>127</v>
      </c>
    </row>
    <row r="45" spans="1:5" x14ac:dyDescent="0.2">
      <c r="A45" s="1">
        <v>45576</v>
      </c>
      <c r="B45">
        <v>5</v>
      </c>
      <c r="C45" t="s">
        <v>3</v>
      </c>
      <c r="D45">
        <v>15</v>
      </c>
      <c r="E45" t="s">
        <v>114</v>
      </c>
    </row>
    <row r="46" spans="1:5" x14ac:dyDescent="0.2">
      <c r="A46" s="1">
        <v>45576</v>
      </c>
      <c r="B46">
        <v>5</v>
      </c>
      <c r="C46" t="s">
        <v>3</v>
      </c>
      <c r="D46">
        <v>15</v>
      </c>
      <c r="E46" t="s">
        <v>102</v>
      </c>
    </row>
    <row r="47" spans="1:5" x14ac:dyDescent="0.2">
      <c r="A47" s="1">
        <v>45577</v>
      </c>
      <c r="B47">
        <v>6</v>
      </c>
      <c r="C47" t="s">
        <v>0</v>
      </c>
      <c r="D47">
        <v>16</v>
      </c>
      <c r="E47" t="s">
        <v>127</v>
      </c>
    </row>
    <row r="48" spans="1:5" x14ac:dyDescent="0.2">
      <c r="A48" s="1">
        <v>45577</v>
      </c>
      <c r="B48">
        <v>6</v>
      </c>
      <c r="C48" t="s">
        <v>0</v>
      </c>
      <c r="D48">
        <v>16</v>
      </c>
      <c r="E48" t="s">
        <v>114</v>
      </c>
    </row>
    <row r="49" spans="1:5" x14ac:dyDescent="0.2">
      <c r="A49" s="1">
        <v>45577</v>
      </c>
      <c r="B49">
        <v>6</v>
      </c>
      <c r="C49" t="s">
        <v>0</v>
      </c>
      <c r="D49">
        <v>16</v>
      </c>
      <c r="E49" t="s">
        <v>102</v>
      </c>
    </row>
    <row r="50" spans="1:5" x14ac:dyDescent="0.2">
      <c r="A50" s="1">
        <v>45577</v>
      </c>
      <c r="B50">
        <v>6</v>
      </c>
      <c r="C50" t="s">
        <v>1</v>
      </c>
      <c r="D50">
        <v>17</v>
      </c>
      <c r="E50" t="s">
        <v>127</v>
      </c>
    </row>
    <row r="51" spans="1:5" x14ac:dyDescent="0.2">
      <c r="A51" s="1">
        <v>45577</v>
      </c>
      <c r="B51">
        <v>6</v>
      </c>
      <c r="C51" t="s">
        <v>1</v>
      </c>
      <c r="D51">
        <v>17</v>
      </c>
      <c r="E51" t="s">
        <v>114</v>
      </c>
    </row>
    <row r="52" spans="1:5" x14ac:dyDescent="0.2">
      <c r="A52" s="1">
        <v>45577</v>
      </c>
      <c r="B52">
        <v>6</v>
      </c>
      <c r="C52" t="s">
        <v>1</v>
      </c>
      <c r="D52">
        <v>17</v>
      </c>
      <c r="E52" t="s">
        <v>102</v>
      </c>
    </row>
    <row r="53" spans="1:5" x14ac:dyDescent="0.2">
      <c r="A53" s="1">
        <v>45577</v>
      </c>
      <c r="B53">
        <v>6</v>
      </c>
      <c r="C53" t="s">
        <v>3</v>
      </c>
      <c r="D53">
        <v>18</v>
      </c>
      <c r="E53" t="s">
        <v>127</v>
      </c>
    </row>
    <row r="54" spans="1:5" x14ac:dyDescent="0.2">
      <c r="A54" s="1">
        <v>45577</v>
      </c>
      <c r="B54">
        <v>6</v>
      </c>
      <c r="C54" t="s">
        <v>3</v>
      </c>
      <c r="D54">
        <v>18</v>
      </c>
      <c r="E54" t="s">
        <v>114</v>
      </c>
    </row>
    <row r="55" spans="1:5" x14ac:dyDescent="0.2">
      <c r="A55" s="1">
        <v>45577</v>
      </c>
      <c r="B55">
        <v>6</v>
      </c>
      <c r="C55" t="s">
        <v>3</v>
      </c>
      <c r="D55">
        <v>18</v>
      </c>
      <c r="E55" t="s">
        <v>102</v>
      </c>
    </row>
    <row r="56" spans="1:5" x14ac:dyDescent="0.2">
      <c r="A56" s="1">
        <v>45578</v>
      </c>
      <c r="B56">
        <v>7</v>
      </c>
      <c r="C56" t="s">
        <v>0</v>
      </c>
      <c r="D56">
        <v>19</v>
      </c>
      <c r="E56" t="s">
        <v>127</v>
      </c>
    </row>
    <row r="57" spans="1:5" x14ac:dyDescent="0.2">
      <c r="A57" s="1">
        <v>45578</v>
      </c>
      <c r="B57">
        <v>7</v>
      </c>
      <c r="C57" t="s">
        <v>0</v>
      </c>
      <c r="D57">
        <v>19</v>
      </c>
      <c r="E57" t="s">
        <v>114</v>
      </c>
    </row>
    <row r="58" spans="1:5" x14ac:dyDescent="0.2">
      <c r="A58" s="1">
        <v>45578</v>
      </c>
      <c r="B58">
        <v>7</v>
      </c>
      <c r="C58" t="s">
        <v>0</v>
      </c>
      <c r="D58">
        <v>19</v>
      </c>
      <c r="E58" t="s">
        <v>102</v>
      </c>
    </row>
    <row r="59" spans="1:5" x14ac:dyDescent="0.2">
      <c r="A59" s="1">
        <v>45578</v>
      </c>
      <c r="B59">
        <v>7</v>
      </c>
      <c r="C59" t="s">
        <v>1</v>
      </c>
      <c r="D59">
        <v>20</v>
      </c>
      <c r="E59" t="s">
        <v>127</v>
      </c>
    </row>
    <row r="60" spans="1:5" x14ac:dyDescent="0.2">
      <c r="A60" s="1">
        <v>45578</v>
      </c>
      <c r="B60">
        <v>7</v>
      </c>
      <c r="C60" t="s">
        <v>1</v>
      </c>
      <c r="D60">
        <v>20</v>
      </c>
      <c r="E60" t="s">
        <v>114</v>
      </c>
    </row>
    <row r="61" spans="1:5" x14ac:dyDescent="0.2">
      <c r="A61" s="1">
        <v>45578</v>
      </c>
      <c r="B61">
        <v>7</v>
      </c>
      <c r="C61" t="s">
        <v>1</v>
      </c>
      <c r="D61">
        <v>20</v>
      </c>
      <c r="E61" t="s">
        <v>102</v>
      </c>
    </row>
    <row r="62" spans="1:5" x14ac:dyDescent="0.2">
      <c r="A62" s="1">
        <v>45578</v>
      </c>
      <c r="B62">
        <v>7</v>
      </c>
      <c r="C62" t="s">
        <v>3</v>
      </c>
      <c r="D62">
        <v>21</v>
      </c>
      <c r="E62" t="s">
        <v>127</v>
      </c>
    </row>
    <row r="63" spans="1:5" x14ac:dyDescent="0.2">
      <c r="A63" s="1">
        <v>45578</v>
      </c>
      <c r="B63">
        <v>7</v>
      </c>
      <c r="C63" t="s">
        <v>3</v>
      </c>
      <c r="D63">
        <v>21</v>
      </c>
      <c r="E63" t="s">
        <v>114</v>
      </c>
    </row>
    <row r="64" spans="1:5" x14ac:dyDescent="0.2">
      <c r="A64" s="1">
        <v>45578</v>
      </c>
      <c r="B64">
        <v>7</v>
      </c>
      <c r="C64" t="s">
        <v>3</v>
      </c>
      <c r="D64">
        <v>21</v>
      </c>
      <c r="E64" t="s">
        <v>102</v>
      </c>
    </row>
    <row r="65" spans="1:5" x14ac:dyDescent="0.2">
      <c r="A65" s="1">
        <v>45579</v>
      </c>
      <c r="B65">
        <v>8</v>
      </c>
      <c r="C65" t="s">
        <v>0</v>
      </c>
      <c r="D65">
        <v>22</v>
      </c>
      <c r="E65" t="s">
        <v>127</v>
      </c>
    </row>
    <row r="66" spans="1:5" x14ac:dyDescent="0.2">
      <c r="A66" s="1">
        <v>45579</v>
      </c>
      <c r="B66">
        <v>8</v>
      </c>
      <c r="C66" t="s">
        <v>0</v>
      </c>
      <c r="D66">
        <v>22</v>
      </c>
      <c r="E66" t="s">
        <v>114</v>
      </c>
    </row>
    <row r="67" spans="1:5" x14ac:dyDescent="0.2">
      <c r="A67" s="1">
        <v>45579</v>
      </c>
      <c r="B67">
        <v>8</v>
      </c>
      <c r="C67" t="s">
        <v>0</v>
      </c>
      <c r="D67">
        <v>22</v>
      </c>
      <c r="E67" t="s">
        <v>102</v>
      </c>
    </row>
    <row r="68" spans="1:5" x14ac:dyDescent="0.2">
      <c r="A68" s="1">
        <v>45579</v>
      </c>
      <c r="B68">
        <v>8</v>
      </c>
      <c r="C68" t="s">
        <v>1</v>
      </c>
      <c r="D68">
        <v>23</v>
      </c>
      <c r="E68" t="s">
        <v>127</v>
      </c>
    </row>
    <row r="69" spans="1:5" x14ac:dyDescent="0.2">
      <c r="A69" s="1">
        <v>45579</v>
      </c>
      <c r="B69">
        <v>8</v>
      </c>
      <c r="C69" t="s">
        <v>1</v>
      </c>
      <c r="D69">
        <v>23</v>
      </c>
      <c r="E69" t="s">
        <v>114</v>
      </c>
    </row>
    <row r="70" spans="1:5" x14ac:dyDescent="0.2">
      <c r="A70" s="1">
        <v>45579</v>
      </c>
      <c r="B70">
        <v>8</v>
      </c>
      <c r="C70" t="s">
        <v>1</v>
      </c>
      <c r="D70">
        <v>23</v>
      </c>
      <c r="E70" t="s">
        <v>102</v>
      </c>
    </row>
    <row r="71" spans="1:5" x14ac:dyDescent="0.2">
      <c r="A71" s="1">
        <v>45579</v>
      </c>
      <c r="B71">
        <v>8</v>
      </c>
      <c r="C71" t="s">
        <v>3</v>
      </c>
      <c r="D71">
        <v>24</v>
      </c>
      <c r="E71" t="s">
        <v>127</v>
      </c>
    </row>
    <row r="72" spans="1:5" x14ac:dyDescent="0.2">
      <c r="A72" s="1">
        <v>45579</v>
      </c>
      <c r="B72">
        <v>8</v>
      </c>
      <c r="C72" t="s">
        <v>3</v>
      </c>
      <c r="D72">
        <v>24</v>
      </c>
      <c r="E72" t="s">
        <v>114</v>
      </c>
    </row>
    <row r="73" spans="1:5" x14ac:dyDescent="0.2">
      <c r="A73" s="1">
        <v>45579</v>
      </c>
      <c r="B73">
        <v>8</v>
      </c>
      <c r="C73" t="s">
        <v>3</v>
      </c>
      <c r="D73">
        <v>24</v>
      </c>
      <c r="E73" t="s">
        <v>102</v>
      </c>
    </row>
    <row r="74" spans="1:5" x14ac:dyDescent="0.2">
      <c r="A74" s="1">
        <v>45580</v>
      </c>
      <c r="B74">
        <v>9</v>
      </c>
      <c r="C74" t="s">
        <v>0</v>
      </c>
      <c r="D74">
        <v>25</v>
      </c>
      <c r="E74" t="s">
        <v>127</v>
      </c>
    </row>
    <row r="75" spans="1:5" x14ac:dyDescent="0.2">
      <c r="A75" s="1">
        <v>45580</v>
      </c>
      <c r="B75">
        <v>9</v>
      </c>
      <c r="C75" t="s">
        <v>0</v>
      </c>
      <c r="D75">
        <v>25</v>
      </c>
      <c r="E75" t="s">
        <v>114</v>
      </c>
    </row>
    <row r="76" spans="1:5" x14ac:dyDescent="0.2">
      <c r="A76" s="1">
        <v>45580</v>
      </c>
      <c r="B76">
        <v>9</v>
      </c>
      <c r="C76" t="s">
        <v>0</v>
      </c>
      <c r="D76">
        <v>25</v>
      </c>
      <c r="E76" t="s">
        <v>102</v>
      </c>
    </row>
    <row r="77" spans="1:5" x14ac:dyDescent="0.2">
      <c r="A77" s="1">
        <v>45580</v>
      </c>
      <c r="B77">
        <v>9</v>
      </c>
      <c r="C77" t="s">
        <v>1</v>
      </c>
      <c r="D77">
        <v>26</v>
      </c>
      <c r="E77" t="s">
        <v>127</v>
      </c>
    </row>
    <row r="78" spans="1:5" x14ac:dyDescent="0.2">
      <c r="A78" s="1">
        <v>45580</v>
      </c>
      <c r="B78">
        <v>9</v>
      </c>
      <c r="C78" t="s">
        <v>1</v>
      </c>
      <c r="D78">
        <v>26</v>
      </c>
      <c r="E78" t="s">
        <v>114</v>
      </c>
    </row>
    <row r="79" spans="1:5" x14ac:dyDescent="0.2">
      <c r="A79" s="1">
        <v>45580</v>
      </c>
      <c r="B79">
        <v>9</v>
      </c>
      <c r="C79" t="s">
        <v>1</v>
      </c>
      <c r="D79">
        <v>26</v>
      </c>
      <c r="E79" t="s">
        <v>102</v>
      </c>
    </row>
    <row r="80" spans="1:5" x14ac:dyDescent="0.2">
      <c r="A80" s="1">
        <v>45580</v>
      </c>
      <c r="B80">
        <v>9</v>
      </c>
      <c r="C80" t="s">
        <v>3</v>
      </c>
      <c r="D80">
        <v>27</v>
      </c>
      <c r="E80" t="s">
        <v>127</v>
      </c>
    </row>
    <row r="81" spans="1:5" x14ac:dyDescent="0.2">
      <c r="A81" s="1">
        <v>45580</v>
      </c>
      <c r="B81">
        <v>9</v>
      </c>
      <c r="C81" t="s">
        <v>3</v>
      </c>
      <c r="D81">
        <v>27</v>
      </c>
      <c r="E81" t="s">
        <v>114</v>
      </c>
    </row>
    <row r="82" spans="1:5" x14ac:dyDescent="0.2">
      <c r="A82" s="1">
        <v>45580</v>
      </c>
      <c r="B82">
        <v>9</v>
      </c>
      <c r="C82" t="s">
        <v>3</v>
      </c>
      <c r="D82">
        <v>27</v>
      </c>
      <c r="E82" t="s">
        <v>102</v>
      </c>
    </row>
    <row r="83" spans="1:5" x14ac:dyDescent="0.2">
      <c r="A83" s="1">
        <v>45581</v>
      </c>
      <c r="B83">
        <v>10</v>
      </c>
      <c r="C83" t="s">
        <v>0</v>
      </c>
      <c r="D83">
        <v>28</v>
      </c>
      <c r="E83" t="s">
        <v>127</v>
      </c>
    </row>
    <row r="84" spans="1:5" x14ac:dyDescent="0.2">
      <c r="A84" s="1">
        <v>45581</v>
      </c>
      <c r="B84">
        <v>10</v>
      </c>
      <c r="C84" t="s">
        <v>0</v>
      </c>
      <c r="D84">
        <v>28</v>
      </c>
      <c r="E84" t="s">
        <v>114</v>
      </c>
    </row>
    <row r="85" spans="1:5" x14ac:dyDescent="0.2">
      <c r="A85" s="1">
        <v>45581</v>
      </c>
      <c r="B85">
        <v>10</v>
      </c>
      <c r="C85" t="s">
        <v>0</v>
      </c>
      <c r="D85">
        <v>28</v>
      </c>
      <c r="E85" t="s">
        <v>102</v>
      </c>
    </row>
    <row r="86" spans="1:5" x14ac:dyDescent="0.2">
      <c r="A86" s="1">
        <v>45581</v>
      </c>
      <c r="B86">
        <v>10</v>
      </c>
      <c r="C86" t="s">
        <v>1</v>
      </c>
      <c r="D86">
        <v>29</v>
      </c>
      <c r="E86" t="s">
        <v>127</v>
      </c>
    </row>
    <row r="87" spans="1:5" x14ac:dyDescent="0.2">
      <c r="A87" s="1">
        <v>45581</v>
      </c>
      <c r="B87">
        <v>10</v>
      </c>
      <c r="C87" t="s">
        <v>1</v>
      </c>
      <c r="D87">
        <v>29</v>
      </c>
      <c r="E87" t="s">
        <v>114</v>
      </c>
    </row>
    <row r="88" spans="1:5" x14ac:dyDescent="0.2">
      <c r="A88" s="1">
        <v>45581</v>
      </c>
      <c r="B88">
        <v>10</v>
      </c>
      <c r="C88" t="s">
        <v>1</v>
      </c>
      <c r="D88">
        <v>29</v>
      </c>
      <c r="E88" t="s">
        <v>102</v>
      </c>
    </row>
    <row r="89" spans="1:5" x14ac:dyDescent="0.2">
      <c r="A89" s="1">
        <v>45581</v>
      </c>
      <c r="B89">
        <v>10</v>
      </c>
      <c r="C89" t="s">
        <v>3</v>
      </c>
      <c r="D89">
        <v>30</v>
      </c>
      <c r="E89" t="s">
        <v>127</v>
      </c>
    </row>
    <row r="90" spans="1:5" x14ac:dyDescent="0.2">
      <c r="A90" s="1">
        <v>45581</v>
      </c>
      <c r="B90">
        <v>10</v>
      </c>
      <c r="C90" t="s">
        <v>3</v>
      </c>
      <c r="D90">
        <v>30</v>
      </c>
      <c r="E90" t="s">
        <v>114</v>
      </c>
    </row>
    <row r="91" spans="1:5" x14ac:dyDescent="0.2">
      <c r="A91" s="1">
        <v>45581</v>
      </c>
      <c r="B91">
        <v>10</v>
      </c>
      <c r="C91" t="s">
        <v>3</v>
      </c>
      <c r="D91">
        <v>30</v>
      </c>
      <c r="E91" t="s">
        <v>102</v>
      </c>
    </row>
    <row r="92" spans="1:5" x14ac:dyDescent="0.2">
      <c r="A92" s="1">
        <v>45582</v>
      </c>
      <c r="B92">
        <v>11</v>
      </c>
      <c r="C92" t="s">
        <v>0</v>
      </c>
      <c r="D92">
        <v>31</v>
      </c>
      <c r="E92" t="s">
        <v>127</v>
      </c>
    </row>
    <row r="93" spans="1:5" x14ac:dyDescent="0.2">
      <c r="A93" s="1">
        <v>45582</v>
      </c>
      <c r="B93">
        <v>11</v>
      </c>
      <c r="C93" t="s">
        <v>0</v>
      </c>
      <c r="D93">
        <v>31</v>
      </c>
      <c r="E93" t="s">
        <v>114</v>
      </c>
    </row>
    <row r="94" spans="1:5" x14ac:dyDescent="0.2">
      <c r="A94" s="1">
        <v>45582</v>
      </c>
      <c r="B94">
        <v>11</v>
      </c>
      <c r="C94" t="s">
        <v>0</v>
      </c>
      <c r="D94">
        <v>31</v>
      </c>
      <c r="E94" t="s">
        <v>102</v>
      </c>
    </row>
    <row r="95" spans="1:5" x14ac:dyDescent="0.2">
      <c r="A95" s="1">
        <v>45582</v>
      </c>
      <c r="B95">
        <v>11</v>
      </c>
      <c r="C95" t="s">
        <v>1</v>
      </c>
      <c r="D95">
        <v>32</v>
      </c>
      <c r="E95" t="s">
        <v>127</v>
      </c>
    </row>
    <row r="96" spans="1:5" x14ac:dyDescent="0.2">
      <c r="A96" s="1">
        <v>45582</v>
      </c>
      <c r="B96">
        <v>11</v>
      </c>
      <c r="C96" t="s">
        <v>1</v>
      </c>
      <c r="D96">
        <v>32</v>
      </c>
      <c r="E96" t="s">
        <v>114</v>
      </c>
    </row>
    <row r="97" spans="1:5" x14ac:dyDescent="0.2">
      <c r="A97" s="1">
        <v>45582</v>
      </c>
      <c r="B97">
        <v>11</v>
      </c>
      <c r="C97" t="s">
        <v>1</v>
      </c>
      <c r="D97">
        <v>32</v>
      </c>
      <c r="E97" t="s">
        <v>102</v>
      </c>
    </row>
    <row r="98" spans="1:5" x14ac:dyDescent="0.2">
      <c r="A98" s="1">
        <v>45582</v>
      </c>
      <c r="B98">
        <v>11</v>
      </c>
      <c r="C98" t="s">
        <v>3</v>
      </c>
      <c r="D98">
        <v>33</v>
      </c>
      <c r="E98" t="s">
        <v>127</v>
      </c>
    </row>
    <row r="99" spans="1:5" x14ac:dyDescent="0.2">
      <c r="A99" s="1">
        <v>45582</v>
      </c>
      <c r="B99">
        <v>11</v>
      </c>
      <c r="C99" t="s">
        <v>3</v>
      </c>
      <c r="D99">
        <v>33</v>
      </c>
      <c r="E99" t="s">
        <v>114</v>
      </c>
    </row>
    <row r="100" spans="1:5" x14ac:dyDescent="0.2">
      <c r="A100" s="1">
        <v>45582</v>
      </c>
      <c r="B100">
        <v>11</v>
      </c>
      <c r="C100" t="s">
        <v>3</v>
      </c>
      <c r="D100">
        <v>33</v>
      </c>
      <c r="E100" t="s">
        <v>102</v>
      </c>
    </row>
    <row r="101" spans="1:5" x14ac:dyDescent="0.2">
      <c r="A101" s="1">
        <v>45583</v>
      </c>
      <c r="B101">
        <v>12</v>
      </c>
      <c r="C101" t="s">
        <v>0</v>
      </c>
      <c r="D101">
        <v>34</v>
      </c>
      <c r="E101" t="s">
        <v>127</v>
      </c>
    </row>
    <row r="102" spans="1:5" x14ac:dyDescent="0.2">
      <c r="A102" s="1">
        <v>45583</v>
      </c>
      <c r="B102">
        <v>12</v>
      </c>
      <c r="C102" t="s">
        <v>0</v>
      </c>
      <c r="D102">
        <v>34</v>
      </c>
      <c r="E102" t="s">
        <v>114</v>
      </c>
    </row>
    <row r="103" spans="1:5" x14ac:dyDescent="0.2">
      <c r="A103" s="1">
        <v>45583</v>
      </c>
      <c r="B103">
        <v>12</v>
      </c>
      <c r="C103" t="s">
        <v>0</v>
      </c>
      <c r="D103">
        <v>34</v>
      </c>
      <c r="E103" t="s">
        <v>102</v>
      </c>
    </row>
    <row r="104" spans="1:5" x14ac:dyDescent="0.2">
      <c r="A104" s="1">
        <v>45583</v>
      </c>
      <c r="B104">
        <v>12</v>
      </c>
      <c r="C104" t="s">
        <v>1</v>
      </c>
      <c r="D104">
        <v>35</v>
      </c>
      <c r="E104" t="s">
        <v>127</v>
      </c>
    </row>
    <row r="105" spans="1:5" x14ac:dyDescent="0.2">
      <c r="A105" s="1">
        <v>45583</v>
      </c>
      <c r="B105">
        <v>12</v>
      </c>
      <c r="C105" t="s">
        <v>1</v>
      </c>
      <c r="D105">
        <v>35</v>
      </c>
      <c r="E105" t="s">
        <v>114</v>
      </c>
    </row>
    <row r="106" spans="1:5" x14ac:dyDescent="0.2">
      <c r="A106" s="1">
        <v>45583</v>
      </c>
      <c r="B106">
        <v>12</v>
      </c>
      <c r="C106" t="s">
        <v>1</v>
      </c>
      <c r="D106">
        <v>35</v>
      </c>
      <c r="E106" t="s">
        <v>102</v>
      </c>
    </row>
    <row r="107" spans="1:5" x14ac:dyDescent="0.2">
      <c r="A107" s="1">
        <v>45583</v>
      </c>
      <c r="B107">
        <v>12</v>
      </c>
      <c r="C107" t="s">
        <v>3</v>
      </c>
      <c r="D107">
        <v>36</v>
      </c>
      <c r="E107" t="s">
        <v>127</v>
      </c>
    </row>
    <row r="108" spans="1:5" x14ac:dyDescent="0.2">
      <c r="A108" s="1">
        <v>45583</v>
      </c>
      <c r="B108">
        <v>12</v>
      </c>
      <c r="C108" t="s">
        <v>3</v>
      </c>
      <c r="D108">
        <v>36</v>
      </c>
      <c r="E108" t="s">
        <v>114</v>
      </c>
    </row>
    <row r="109" spans="1:5" x14ac:dyDescent="0.2">
      <c r="A109" s="1">
        <v>45583</v>
      </c>
      <c r="B109">
        <v>12</v>
      </c>
      <c r="C109" t="s">
        <v>3</v>
      </c>
      <c r="D109">
        <v>36</v>
      </c>
      <c r="E109" t="s">
        <v>102</v>
      </c>
    </row>
    <row r="110" spans="1:5" x14ac:dyDescent="0.2">
      <c r="A110" s="1">
        <v>45584</v>
      </c>
      <c r="B110">
        <v>13</v>
      </c>
      <c r="C110" t="s">
        <v>0</v>
      </c>
      <c r="D110">
        <v>37</v>
      </c>
      <c r="E110" t="s">
        <v>127</v>
      </c>
    </row>
    <row r="111" spans="1:5" x14ac:dyDescent="0.2">
      <c r="A111" s="1">
        <v>45584</v>
      </c>
      <c r="B111">
        <v>13</v>
      </c>
      <c r="C111" t="s">
        <v>0</v>
      </c>
      <c r="D111">
        <v>37</v>
      </c>
      <c r="E111" t="s">
        <v>114</v>
      </c>
    </row>
    <row r="112" spans="1:5" x14ac:dyDescent="0.2">
      <c r="A112" s="1">
        <v>45584</v>
      </c>
      <c r="B112">
        <v>13</v>
      </c>
      <c r="C112" t="s">
        <v>0</v>
      </c>
      <c r="D112">
        <v>37</v>
      </c>
      <c r="E112" t="s">
        <v>102</v>
      </c>
    </row>
    <row r="113" spans="1:5" x14ac:dyDescent="0.2">
      <c r="A113" s="1">
        <v>45584</v>
      </c>
      <c r="B113">
        <v>13</v>
      </c>
      <c r="C113" t="s">
        <v>1</v>
      </c>
      <c r="D113">
        <v>38</v>
      </c>
      <c r="E113" t="s">
        <v>127</v>
      </c>
    </row>
    <row r="114" spans="1:5" x14ac:dyDescent="0.2">
      <c r="A114" s="1">
        <v>45584</v>
      </c>
      <c r="B114">
        <v>13</v>
      </c>
      <c r="C114" t="s">
        <v>1</v>
      </c>
      <c r="D114">
        <v>38</v>
      </c>
      <c r="E114" t="s">
        <v>114</v>
      </c>
    </row>
    <row r="115" spans="1:5" x14ac:dyDescent="0.2">
      <c r="A115" s="1">
        <v>45584</v>
      </c>
      <c r="B115">
        <v>13</v>
      </c>
      <c r="C115" t="s">
        <v>1</v>
      </c>
      <c r="D115">
        <v>38</v>
      </c>
      <c r="E115" t="s">
        <v>102</v>
      </c>
    </row>
    <row r="116" spans="1:5" x14ac:dyDescent="0.2">
      <c r="A116" s="1">
        <v>45584</v>
      </c>
      <c r="B116">
        <v>13</v>
      </c>
      <c r="C116" t="s">
        <v>3</v>
      </c>
      <c r="D116">
        <v>39</v>
      </c>
      <c r="E116" t="s">
        <v>127</v>
      </c>
    </row>
    <row r="117" spans="1:5" x14ac:dyDescent="0.2">
      <c r="A117" s="1">
        <v>45584</v>
      </c>
      <c r="B117">
        <v>13</v>
      </c>
      <c r="C117" t="s">
        <v>3</v>
      </c>
      <c r="D117">
        <v>39</v>
      </c>
      <c r="E117" t="s">
        <v>114</v>
      </c>
    </row>
    <row r="118" spans="1:5" x14ac:dyDescent="0.2">
      <c r="A118" s="1">
        <v>45584</v>
      </c>
      <c r="B118">
        <v>13</v>
      </c>
      <c r="C118" t="s">
        <v>3</v>
      </c>
      <c r="D118">
        <v>39</v>
      </c>
      <c r="E118" t="s">
        <v>102</v>
      </c>
    </row>
    <row r="119" spans="1:5" x14ac:dyDescent="0.2">
      <c r="A119" s="1">
        <v>45585</v>
      </c>
      <c r="B119">
        <v>14</v>
      </c>
      <c r="C119" t="s">
        <v>0</v>
      </c>
      <c r="D119">
        <v>40</v>
      </c>
      <c r="E119" t="s">
        <v>127</v>
      </c>
    </row>
    <row r="120" spans="1:5" x14ac:dyDescent="0.2">
      <c r="A120" s="1">
        <v>45585</v>
      </c>
      <c r="B120">
        <v>14</v>
      </c>
      <c r="C120" t="s">
        <v>0</v>
      </c>
      <c r="D120">
        <v>40</v>
      </c>
      <c r="E120" t="s">
        <v>114</v>
      </c>
    </row>
    <row r="121" spans="1:5" x14ac:dyDescent="0.2">
      <c r="A121" s="1">
        <v>45585</v>
      </c>
      <c r="B121">
        <v>14</v>
      </c>
      <c r="C121" t="s">
        <v>0</v>
      </c>
      <c r="D121">
        <v>40</v>
      </c>
      <c r="E121" t="s">
        <v>102</v>
      </c>
    </row>
    <row r="122" spans="1:5" x14ac:dyDescent="0.2">
      <c r="A122" s="1">
        <v>45585</v>
      </c>
      <c r="B122">
        <v>14</v>
      </c>
      <c r="C122" t="s">
        <v>1</v>
      </c>
      <c r="D122">
        <v>41</v>
      </c>
      <c r="E122" t="s">
        <v>127</v>
      </c>
    </row>
    <row r="123" spans="1:5" x14ac:dyDescent="0.2">
      <c r="A123" s="1">
        <v>45585</v>
      </c>
      <c r="B123">
        <v>14</v>
      </c>
      <c r="C123" t="s">
        <v>1</v>
      </c>
      <c r="D123">
        <v>41</v>
      </c>
      <c r="E123" t="s">
        <v>114</v>
      </c>
    </row>
    <row r="124" spans="1:5" x14ac:dyDescent="0.2">
      <c r="A124" s="1">
        <v>45585</v>
      </c>
      <c r="B124">
        <v>14</v>
      </c>
      <c r="C124" t="s">
        <v>1</v>
      </c>
      <c r="D124">
        <v>41</v>
      </c>
      <c r="E124" t="s">
        <v>102</v>
      </c>
    </row>
    <row r="125" spans="1:5" x14ac:dyDescent="0.2">
      <c r="A125" s="1">
        <v>45585</v>
      </c>
      <c r="B125">
        <v>14</v>
      </c>
      <c r="C125" t="s">
        <v>3</v>
      </c>
      <c r="D125">
        <v>42</v>
      </c>
      <c r="E125" t="s">
        <v>127</v>
      </c>
    </row>
    <row r="126" spans="1:5" x14ac:dyDescent="0.2">
      <c r="A126" s="1">
        <v>45585</v>
      </c>
      <c r="B126">
        <v>14</v>
      </c>
      <c r="C126" t="s">
        <v>3</v>
      </c>
      <c r="D126">
        <v>42</v>
      </c>
      <c r="E126" t="s">
        <v>114</v>
      </c>
    </row>
    <row r="127" spans="1:5" x14ac:dyDescent="0.2">
      <c r="A127" s="1">
        <v>45585</v>
      </c>
      <c r="B127">
        <v>14</v>
      </c>
      <c r="C127" t="s">
        <v>3</v>
      </c>
      <c r="D127">
        <v>42</v>
      </c>
      <c r="E127" t="s">
        <v>102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225FD-D2DC-445D-8B85-B44681C367A7}">
  <sheetPr>
    <tabColor rgb="FFFF0000"/>
  </sheetPr>
  <dimension ref="A1:L15"/>
  <sheetViews>
    <sheetView topLeftCell="B1" workbookViewId="0">
      <selection activeCell="L52" sqref="L52"/>
    </sheetView>
  </sheetViews>
  <sheetFormatPr defaultRowHeight="12.75" x14ac:dyDescent="0.2"/>
  <cols>
    <col min="2" max="2" width="3.1640625" customWidth="1"/>
    <col min="3" max="3" width="14.5" customWidth="1"/>
    <col min="4" max="4" width="2.5" customWidth="1"/>
    <col min="5" max="5" width="34" customWidth="1"/>
    <col min="7" max="7" width="10.6640625" bestFit="1" customWidth="1"/>
    <col min="8" max="8" width="7.33203125" bestFit="1" customWidth="1"/>
    <col min="9" max="9" width="11.6640625" bestFit="1" customWidth="1"/>
    <col min="11" max="11" width="12.1640625" bestFit="1" customWidth="1"/>
    <col min="12" max="12" width="23.5" customWidth="1"/>
    <col min="13" max="13" width="9" bestFit="1" customWidth="1"/>
    <col min="14" max="14" width="14.83203125" bestFit="1" customWidth="1"/>
    <col min="40" max="40" width="9" bestFit="1" customWidth="1"/>
    <col min="41" max="41" width="14.6640625" bestFit="1" customWidth="1"/>
  </cols>
  <sheetData>
    <row r="1" spans="1:12" x14ac:dyDescent="0.2">
      <c r="A1" t="s">
        <v>2</v>
      </c>
      <c r="C1" s="13" t="s">
        <v>80</v>
      </c>
      <c r="E1" t="s">
        <v>79</v>
      </c>
      <c r="G1" t="s">
        <v>4</v>
      </c>
      <c r="H1" t="s">
        <v>82</v>
      </c>
    </row>
    <row r="2" spans="1:12" x14ac:dyDescent="0.2">
      <c r="A2" t="s">
        <v>0</v>
      </c>
      <c r="C2" s="11">
        <v>1</v>
      </c>
      <c r="E2" s="12" t="s">
        <v>127</v>
      </c>
      <c r="G2" s="1">
        <v>45572</v>
      </c>
      <c r="H2">
        <v>1</v>
      </c>
    </row>
    <row r="3" spans="1:12" x14ac:dyDescent="0.2">
      <c r="A3" t="s">
        <v>1</v>
      </c>
      <c r="C3" s="11">
        <v>2</v>
      </c>
      <c r="E3" s="12" t="s">
        <v>102</v>
      </c>
      <c r="G3" s="1">
        <v>45573</v>
      </c>
      <c r="H3">
        <v>2</v>
      </c>
      <c r="K3" t="s">
        <v>84</v>
      </c>
    </row>
    <row r="4" spans="1:12" x14ac:dyDescent="0.2">
      <c r="A4" t="s">
        <v>3</v>
      </c>
      <c r="C4" s="11">
        <v>3</v>
      </c>
      <c r="E4" s="12" t="s">
        <v>114</v>
      </c>
      <c r="G4" s="1">
        <v>45574</v>
      </c>
      <c r="H4">
        <v>3</v>
      </c>
      <c r="K4" s="1">
        <v>45572</v>
      </c>
    </row>
    <row r="5" spans="1:12" x14ac:dyDescent="0.2">
      <c r="G5" s="1">
        <v>45575</v>
      </c>
      <c r="H5">
        <v>4</v>
      </c>
    </row>
    <row r="6" spans="1:12" x14ac:dyDescent="0.2">
      <c r="G6" s="1">
        <v>45576</v>
      </c>
      <c r="H6">
        <v>5</v>
      </c>
    </row>
    <row r="7" spans="1:12" x14ac:dyDescent="0.2">
      <c r="G7" s="1">
        <v>45577</v>
      </c>
      <c r="H7">
        <v>6</v>
      </c>
    </row>
    <row r="8" spans="1:12" x14ac:dyDescent="0.2">
      <c r="G8" s="1">
        <v>45578</v>
      </c>
      <c r="H8">
        <v>7</v>
      </c>
      <c r="L8" t="s">
        <v>83</v>
      </c>
    </row>
    <row r="9" spans="1:12" x14ac:dyDescent="0.2">
      <c r="G9" s="1">
        <v>45579</v>
      </c>
      <c r="H9">
        <v>8</v>
      </c>
      <c r="L9" s="1">
        <v>45488</v>
      </c>
    </row>
    <row r="10" spans="1:12" x14ac:dyDescent="0.2">
      <c r="G10" s="1">
        <v>45580</v>
      </c>
      <c r="H10">
        <v>9</v>
      </c>
    </row>
    <row r="11" spans="1:12" x14ac:dyDescent="0.2">
      <c r="G11" s="1">
        <v>45581</v>
      </c>
      <c r="H11">
        <v>10</v>
      </c>
    </row>
    <row r="12" spans="1:12" x14ac:dyDescent="0.2">
      <c r="G12" s="1">
        <v>45582</v>
      </c>
      <c r="H12">
        <v>11</v>
      </c>
    </row>
    <row r="13" spans="1:12" x14ac:dyDescent="0.2">
      <c r="G13" s="1">
        <v>45583</v>
      </c>
      <c r="H13">
        <v>12</v>
      </c>
    </row>
    <row r="14" spans="1:12" x14ac:dyDescent="0.2">
      <c r="G14" s="1">
        <v>45584</v>
      </c>
      <c r="H14">
        <v>13</v>
      </c>
    </row>
    <row r="15" spans="1:12" x14ac:dyDescent="0.2">
      <c r="G15" s="1">
        <v>45585</v>
      </c>
      <c r="H15">
        <v>14</v>
      </c>
    </row>
  </sheetData>
  <phoneticPr fontId="14" type="noConversion"/>
  <dataValidations count="1">
    <dataValidation type="list" allowBlank="1" showInputMessage="1" showErrorMessage="1" sqref="E2:E4" xr:uid="{BBF1F901-B5E7-4C0D-BC1B-9EF421E39204}">
      <formula1>ROLE_TITLE</formula1>
    </dataValidation>
  </dataValidation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26C50-D733-4CC2-82F5-F9625F014970}">
  <dimension ref="A1:X2304"/>
  <sheetViews>
    <sheetView workbookViewId="0">
      <selection activeCell="I40" sqref="I40"/>
    </sheetView>
  </sheetViews>
  <sheetFormatPr defaultRowHeight="12.75" x14ac:dyDescent="0.2"/>
  <cols>
    <col min="1" max="1" width="8.33203125" bestFit="1" customWidth="1"/>
    <col min="2" max="2" width="32" bestFit="1" customWidth="1"/>
    <col min="3" max="3" width="10.5" bestFit="1" customWidth="1"/>
    <col min="4" max="4" width="11.83203125" bestFit="1" customWidth="1"/>
    <col min="5" max="5" width="12.33203125" bestFit="1" customWidth="1"/>
    <col min="6" max="6" width="9.6640625" bestFit="1" customWidth="1"/>
    <col min="7" max="7" width="14.83203125" bestFit="1" customWidth="1"/>
    <col min="8" max="8" width="9.5" bestFit="1" customWidth="1"/>
    <col min="9" max="9" width="15.6640625" bestFit="1" customWidth="1"/>
    <col min="10" max="10" width="14.5" bestFit="1" customWidth="1"/>
    <col min="11" max="11" width="17.1640625" bestFit="1" customWidth="1"/>
    <col min="12" max="12" width="8" bestFit="1" customWidth="1"/>
    <col min="13" max="13" width="7.6640625" bestFit="1" customWidth="1"/>
    <col min="14" max="14" width="20.1640625" bestFit="1" customWidth="1"/>
    <col min="15" max="15" width="30" bestFit="1" customWidth="1"/>
    <col min="16" max="18" width="12.1640625" bestFit="1" customWidth="1"/>
    <col min="19" max="19" width="21.83203125" bestFit="1" customWidth="1"/>
    <col min="20" max="22" width="13.33203125" bestFit="1" customWidth="1"/>
    <col min="23" max="23" width="20.83203125" bestFit="1" customWidth="1"/>
    <col min="24" max="25" width="13.33203125" bestFit="1" customWidth="1"/>
    <col min="26" max="28" width="12.1640625" bestFit="1" customWidth="1"/>
    <col min="29" max="29" width="21.83203125" bestFit="1" customWidth="1"/>
    <col min="30" max="32" width="13.33203125" bestFit="1" customWidth="1"/>
    <col min="33" max="33" width="20.83203125" bestFit="1" customWidth="1"/>
    <col min="34" max="35" width="13.33203125" bestFit="1" customWidth="1"/>
  </cols>
  <sheetData>
    <row r="1" spans="1:23" x14ac:dyDescent="0.2">
      <c r="A1" t="s">
        <v>94</v>
      </c>
      <c r="B1" t="s">
        <v>6</v>
      </c>
      <c r="C1" t="s">
        <v>4</v>
      </c>
      <c r="D1" t="s">
        <v>7</v>
      </c>
      <c r="E1" t="s">
        <v>8</v>
      </c>
      <c r="F1" t="s">
        <v>95</v>
      </c>
      <c r="G1" t="s">
        <v>96</v>
      </c>
      <c r="H1" t="s">
        <v>97</v>
      </c>
      <c r="I1" t="s">
        <v>35</v>
      </c>
      <c r="J1" t="s">
        <v>98</v>
      </c>
      <c r="K1" t="s">
        <v>99</v>
      </c>
      <c r="L1" t="s">
        <v>9</v>
      </c>
      <c r="M1" t="s">
        <v>204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</row>
    <row r="2" spans="1:23" x14ac:dyDescent="0.2">
      <c r="A2">
        <v>4848</v>
      </c>
      <c r="B2" t="s">
        <v>125</v>
      </c>
      <c r="C2" s="19">
        <v>45572</v>
      </c>
      <c r="D2" s="2">
        <v>0.29166666666666669</v>
      </c>
      <c r="E2" s="2">
        <v>0.5625</v>
      </c>
      <c r="F2">
        <v>30</v>
      </c>
      <c r="G2" s="2">
        <v>0.5</v>
      </c>
      <c r="H2">
        <v>6</v>
      </c>
      <c r="I2" t="s">
        <v>100</v>
      </c>
      <c r="J2" t="s">
        <v>101</v>
      </c>
      <c r="K2" t="s">
        <v>126</v>
      </c>
      <c r="L2" t="s">
        <v>127</v>
      </c>
    </row>
    <row r="3" spans="1:23" x14ac:dyDescent="0.2">
      <c r="A3">
        <v>5661</v>
      </c>
      <c r="B3" t="s">
        <v>133</v>
      </c>
      <c r="C3" s="19">
        <v>45572</v>
      </c>
      <c r="D3" s="2">
        <v>0.29166666666666669</v>
      </c>
      <c r="E3" s="2">
        <v>0.5625</v>
      </c>
      <c r="F3">
        <v>30</v>
      </c>
      <c r="G3" s="2">
        <v>0.47916666666666669</v>
      </c>
      <c r="H3">
        <v>6</v>
      </c>
      <c r="I3" t="s">
        <v>100</v>
      </c>
      <c r="J3" t="s">
        <v>101</v>
      </c>
      <c r="K3" t="s">
        <v>157</v>
      </c>
      <c r="L3" t="s">
        <v>127</v>
      </c>
    </row>
    <row r="4" spans="1:23" x14ac:dyDescent="0.2">
      <c r="A4">
        <v>5804</v>
      </c>
      <c r="B4" t="s">
        <v>216</v>
      </c>
      <c r="C4" s="19">
        <v>45572</v>
      </c>
      <c r="D4" s="2">
        <v>0.29166666666666669</v>
      </c>
      <c r="E4" s="2">
        <v>0.64583333333333337</v>
      </c>
      <c r="F4">
        <v>30</v>
      </c>
      <c r="G4" s="2">
        <v>0.5</v>
      </c>
      <c r="H4">
        <v>8</v>
      </c>
      <c r="I4" t="s">
        <v>100</v>
      </c>
      <c r="J4" t="s">
        <v>101</v>
      </c>
      <c r="K4" t="s">
        <v>157</v>
      </c>
      <c r="L4" t="s">
        <v>127</v>
      </c>
    </row>
    <row r="5" spans="1:23" x14ac:dyDescent="0.2">
      <c r="A5">
        <v>618</v>
      </c>
      <c r="B5" t="s">
        <v>218</v>
      </c>
      <c r="C5" s="19">
        <v>45572</v>
      </c>
      <c r="D5" s="2">
        <v>0.29166666666666669</v>
      </c>
      <c r="E5" s="2">
        <v>0.64583333333333337</v>
      </c>
      <c r="F5">
        <v>30</v>
      </c>
      <c r="G5" s="2">
        <v>0.47916666666666669</v>
      </c>
      <c r="H5">
        <v>8</v>
      </c>
      <c r="I5" t="s">
        <v>100</v>
      </c>
      <c r="J5" t="s">
        <v>101</v>
      </c>
      <c r="K5" t="s">
        <v>168</v>
      </c>
      <c r="L5" t="s">
        <v>127</v>
      </c>
    </row>
    <row r="6" spans="1:23" x14ac:dyDescent="0.2">
      <c r="A6">
        <v>5713</v>
      </c>
      <c r="B6" t="s">
        <v>128</v>
      </c>
      <c r="C6" s="19">
        <v>45572</v>
      </c>
      <c r="D6" s="2">
        <v>0.29166666666666669</v>
      </c>
      <c r="E6" s="2">
        <v>0.64583333333333337</v>
      </c>
      <c r="F6">
        <v>30</v>
      </c>
      <c r="G6" s="2">
        <v>0.47916666666666669</v>
      </c>
      <c r="H6">
        <v>8</v>
      </c>
      <c r="I6" t="s">
        <v>100</v>
      </c>
      <c r="J6" t="s">
        <v>101</v>
      </c>
      <c r="K6" t="s">
        <v>175</v>
      </c>
      <c r="L6" t="s">
        <v>127</v>
      </c>
    </row>
    <row r="7" spans="1:23" x14ac:dyDescent="0.2">
      <c r="A7">
        <v>5646</v>
      </c>
      <c r="B7" t="s">
        <v>219</v>
      </c>
      <c r="C7" s="19">
        <v>45572</v>
      </c>
      <c r="D7" s="2">
        <v>0.29166666666666669</v>
      </c>
      <c r="E7" s="2">
        <v>0.5625</v>
      </c>
      <c r="F7">
        <v>30</v>
      </c>
      <c r="G7" s="2">
        <v>0.47916666666666669</v>
      </c>
      <c r="H7">
        <v>6</v>
      </c>
      <c r="I7" t="s">
        <v>100</v>
      </c>
      <c r="J7" t="s">
        <v>101</v>
      </c>
      <c r="K7" t="s">
        <v>178</v>
      </c>
      <c r="L7" t="s">
        <v>127</v>
      </c>
    </row>
    <row r="8" spans="1:23" x14ac:dyDescent="0.2">
      <c r="A8">
        <v>5709</v>
      </c>
      <c r="B8" t="s">
        <v>159</v>
      </c>
      <c r="C8" s="19">
        <v>45572</v>
      </c>
      <c r="D8" s="2">
        <v>0.29166666666666669</v>
      </c>
      <c r="E8" s="2">
        <v>0.5625</v>
      </c>
      <c r="F8">
        <v>30</v>
      </c>
      <c r="G8" s="2">
        <v>0.5</v>
      </c>
      <c r="H8">
        <v>6</v>
      </c>
      <c r="I8" t="s">
        <v>100</v>
      </c>
      <c r="J8" t="s">
        <v>101</v>
      </c>
      <c r="K8" t="s">
        <v>179</v>
      </c>
      <c r="L8" t="s">
        <v>127</v>
      </c>
    </row>
    <row r="9" spans="1:23" x14ac:dyDescent="0.2">
      <c r="A9">
        <v>4460</v>
      </c>
      <c r="B9" t="s">
        <v>180</v>
      </c>
      <c r="C9" s="19">
        <v>45572</v>
      </c>
      <c r="D9" s="2">
        <v>0.29166666666666669</v>
      </c>
      <c r="E9" s="2">
        <v>0.64583333333333337</v>
      </c>
      <c r="F9">
        <v>30</v>
      </c>
      <c r="G9" s="2">
        <v>0.47916666666666669</v>
      </c>
      <c r="H9">
        <v>8</v>
      </c>
      <c r="I9" t="s">
        <v>100</v>
      </c>
      <c r="J9" t="s">
        <v>101</v>
      </c>
      <c r="K9" t="s">
        <v>184</v>
      </c>
      <c r="L9" t="s">
        <v>127</v>
      </c>
    </row>
    <row r="10" spans="1:23" x14ac:dyDescent="0.2">
      <c r="A10">
        <v>5831</v>
      </c>
      <c r="B10" t="s">
        <v>217</v>
      </c>
      <c r="C10" s="19">
        <v>45572</v>
      </c>
      <c r="D10" s="2">
        <v>0.29166666666666669</v>
      </c>
      <c r="E10" s="2">
        <v>0.64583333333333337</v>
      </c>
      <c r="F10">
        <v>30</v>
      </c>
      <c r="G10" s="2">
        <v>0.5</v>
      </c>
      <c r="H10">
        <v>8</v>
      </c>
      <c r="I10" t="s">
        <v>100</v>
      </c>
      <c r="J10" t="s">
        <v>101</v>
      </c>
      <c r="K10" t="s">
        <v>185</v>
      </c>
      <c r="L10" t="s">
        <v>127</v>
      </c>
    </row>
    <row r="11" spans="1:23" x14ac:dyDescent="0.2">
      <c r="A11">
        <v>4979</v>
      </c>
      <c r="B11" t="s">
        <v>158</v>
      </c>
      <c r="C11" s="19">
        <v>45572</v>
      </c>
      <c r="D11" s="2">
        <v>0.29166666666666669</v>
      </c>
      <c r="E11" s="2">
        <v>0.64583333333333337</v>
      </c>
      <c r="F11">
        <v>30</v>
      </c>
      <c r="G11" s="2">
        <v>0.47916666666666669</v>
      </c>
      <c r="H11">
        <v>8</v>
      </c>
      <c r="I11" t="s">
        <v>100</v>
      </c>
      <c r="J11" t="s">
        <v>101</v>
      </c>
      <c r="K11" t="s">
        <v>187</v>
      </c>
      <c r="L11" t="s">
        <v>127</v>
      </c>
    </row>
    <row r="12" spans="1:23" x14ac:dyDescent="0.2">
      <c r="A12">
        <v>5227</v>
      </c>
      <c r="B12" t="s">
        <v>118</v>
      </c>
      <c r="C12" s="19">
        <v>45572</v>
      </c>
      <c r="D12" s="2">
        <v>0.29166666666666669</v>
      </c>
      <c r="E12" s="2">
        <v>0.64583333333333337</v>
      </c>
      <c r="F12">
        <v>30</v>
      </c>
      <c r="G12" s="2">
        <v>0.5</v>
      </c>
      <c r="H12">
        <v>8</v>
      </c>
      <c r="I12" t="s">
        <v>100</v>
      </c>
      <c r="J12" t="s">
        <v>101</v>
      </c>
      <c r="K12" t="s">
        <v>188</v>
      </c>
      <c r="L12" t="s">
        <v>127</v>
      </c>
    </row>
    <row r="13" spans="1:23" x14ac:dyDescent="0.2">
      <c r="A13">
        <v>3572</v>
      </c>
      <c r="B13" t="s">
        <v>156</v>
      </c>
      <c r="C13" s="19">
        <v>45572</v>
      </c>
      <c r="D13" s="2">
        <v>0.29166666666666669</v>
      </c>
      <c r="E13" s="2">
        <v>0.64583333333333337</v>
      </c>
      <c r="F13">
        <v>30</v>
      </c>
      <c r="G13" s="2">
        <v>0.47916666666666669</v>
      </c>
      <c r="H13">
        <v>8</v>
      </c>
      <c r="I13" t="s">
        <v>100</v>
      </c>
      <c r="J13" t="s">
        <v>101</v>
      </c>
      <c r="K13" t="s">
        <v>189</v>
      </c>
      <c r="L13" t="s">
        <v>127</v>
      </c>
    </row>
    <row r="14" spans="1:23" x14ac:dyDescent="0.2">
      <c r="A14">
        <v>5542</v>
      </c>
      <c r="B14" t="s">
        <v>190</v>
      </c>
      <c r="C14" s="19">
        <v>45572</v>
      </c>
      <c r="D14" s="2">
        <v>0.29166666666666669</v>
      </c>
      <c r="E14" s="2">
        <v>0.64583333333333337</v>
      </c>
      <c r="F14">
        <v>30</v>
      </c>
      <c r="G14" s="2">
        <v>0.47916666666666669</v>
      </c>
      <c r="H14">
        <v>8</v>
      </c>
      <c r="I14" t="s">
        <v>100</v>
      </c>
      <c r="J14" t="s">
        <v>101</v>
      </c>
      <c r="K14" t="s">
        <v>192</v>
      </c>
      <c r="L14" t="s">
        <v>127</v>
      </c>
    </row>
    <row r="15" spans="1:23" x14ac:dyDescent="0.2">
      <c r="A15">
        <v>1581</v>
      </c>
      <c r="B15" t="s">
        <v>136</v>
      </c>
      <c r="C15" s="19">
        <v>45572</v>
      </c>
      <c r="D15" s="2">
        <v>0.29166666666666669</v>
      </c>
      <c r="E15" s="2">
        <v>0.64583333333333337</v>
      </c>
      <c r="F15">
        <v>30</v>
      </c>
      <c r="G15" s="2">
        <v>0.47916666666666669</v>
      </c>
      <c r="H15">
        <v>8</v>
      </c>
      <c r="I15" t="s">
        <v>100</v>
      </c>
      <c r="J15" t="s">
        <v>101</v>
      </c>
      <c r="K15" t="s">
        <v>193</v>
      </c>
      <c r="L15" t="s">
        <v>127</v>
      </c>
    </row>
    <row r="16" spans="1:23" x14ac:dyDescent="0.2">
      <c r="A16">
        <v>1270</v>
      </c>
      <c r="B16" t="s">
        <v>166</v>
      </c>
      <c r="C16" s="19">
        <v>45572</v>
      </c>
      <c r="D16" s="2">
        <v>0.29166666666666669</v>
      </c>
      <c r="E16" s="2">
        <v>0.5625</v>
      </c>
      <c r="F16">
        <v>30</v>
      </c>
      <c r="G16" s="2">
        <v>0.47916666666666669</v>
      </c>
      <c r="H16">
        <v>6</v>
      </c>
      <c r="I16" t="s">
        <v>100</v>
      </c>
      <c r="J16" t="s">
        <v>101</v>
      </c>
      <c r="K16" t="s">
        <v>194</v>
      </c>
      <c r="L16" t="s">
        <v>127</v>
      </c>
    </row>
    <row r="17" spans="1:12" x14ac:dyDescent="0.2">
      <c r="A17">
        <v>23</v>
      </c>
      <c r="B17" t="s">
        <v>135</v>
      </c>
      <c r="C17" s="19">
        <v>45572</v>
      </c>
      <c r="D17" s="2">
        <v>0.29166666666666669</v>
      </c>
      <c r="E17" s="2">
        <v>0.5625</v>
      </c>
      <c r="F17">
        <v>30</v>
      </c>
      <c r="G17" s="2">
        <v>0.5</v>
      </c>
      <c r="H17">
        <v>6</v>
      </c>
      <c r="I17" t="s">
        <v>100</v>
      </c>
      <c r="J17" t="s">
        <v>101</v>
      </c>
      <c r="K17" t="s">
        <v>196</v>
      </c>
      <c r="L17" t="s">
        <v>127</v>
      </c>
    </row>
    <row r="18" spans="1:12" x14ac:dyDescent="0.2">
      <c r="A18">
        <v>617</v>
      </c>
      <c r="B18" t="s">
        <v>115</v>
      </c>
      <c r="C18" s="19">
        <v>45572</v>
      </c>
      <c r="D18" s="2">
        <v>0.29166666666666669</v>
      </c>
      <c r="E18" s="2">
        <v>0.64583333333333337</v>
      </c>
      <c r="F18">
        <v>30</v>
      </c>
      <c r="G18" s="2">
        <v>0.5</v>
      </c>
      <c r="H18">
        <v>8</v>
      </c>
      <c r="I18" t="s">
        <v>100</v>
      </c>
      <c r="J18" t="s">
        <v>101</v>
      </c>
      <c r="K18" t="s">
        <v>103</v>
      </c>
      <c r="L18" t="s">
        <v>114</v>
      </c>
    </row>
    <row r="19" spans="1:12" x14ac:dyDescent="0.2">
      <c r="A19">
        <v>5193</v>
      </c>
      <c r="B19" t="s">
        <v>120</v>
      </c>
      <c r="C19" s="19">
        <v>45572</v>
      </c>
      <c r="D19" s="2">
        <v>0.29166666666666669</v>
      </c>
      <c r="E19" s="2">
        <v>0.64583333333333337</v>
      </c>
      <c r="F19">
        <v>30</v>
      </c>
      <c r="G19" s="2">
        <v>0.5</v>
      </c>
      <c r="H19">
        <v>8</v>
      </c>
      <c r="I19" t="s">
        <v>100</v>
      </c>
      <c r="J19" t="s">
        <v>101</v>
      </c>
      <c r="K19" t="s">
        <v>112</v>
      </c>
      <c r="L19" t="s">
        <v>114</v>
      </c>
    </row>
    <row r="20" spans="1:12" x14ac:dyDescent="0.2">
      <c r="A20">
        <v>5555</v>
      </c>
      <c r="B20" t="s">
        <v>109</v>
      </c>
      <c r="C20" s="19">
        <v>45572</v>
      </c>
      <c r="D20" s="2">
        <v>0.29166666666666669</v>
      </c>
      <c r="E20" s="2">
        <v>0.5625</v>
      </c>
      <c r="F20">
        <v>30</v>
      </c>
      <c r="G20" s="2">
        <v>0.5</v>
      </c>
      <c r="H20">
        <v>6</v>
      </c>
      <c r="I20" t="s">
        <v>100</v>
      </c>
      <c r="J20" t="s">
        <v>101</v>
      </c>
      <c r="K20" t="s">
        <v>103</v>
      </c>
      <c r="L20" t="s">
        <v>102</v>
      </c>
    </row>
    <row r="21" spans="1:12" x14ac:dyDescent="0.2">
      <c r="A21">
        <v>5667</v>
      </c>
      <c r="B21" t="s">
        <v>106</v>
      </c>
      <c r="C21" s="19">
        <v>45572</v>
      </c>
      <c r="D21" s="2">
        <v>0.29166666666666669</v>
      </c>
      <c r="E21" s="2">
        <v>0.64583333333333337</v>
      </c>
      <c r="F21">
        <v>30</v>
      </c>
      <c r="G21" s="2">
        <v>0.5</v>
      </c>
      <c r="H21">
        <v>8</v>
      </c>
      <c r="I21" t="s">
        <v>100</v>
      </c>
      <c r="J21" t="s">
        <v>101</v>
      </c>
      <c r="K21" t="s">
        <v>103</v>
      </c>
      <c r="L21" t="s">
        <v>102</v>
      </c>
    </row>
    <row r="22" spans="1:12" x14ac:dyDescent="0.2">
      <c r="A22">
        <v>4947</v>
      </c>
      <c r="B22" t="s">
        <v>110</v>
      </c>
      <c r="C22" s="19">
        <v>45572</v>
      </c>
      <c r="D22" s="2">
        <v>0.29166666666666669</v>
      </c>
      <c r="E22" s="2">
        <v>0.64583333333333337</v>
      </c>
      <c r="F22">
        <v>30</v>
      </c>
      <c r="G22" s="2">
        <v>0.5</v>
      </c>
      <c r="H22">
        <v>8</v>
      </c>
      <c r="I22" t="s">
        <v>100</v>
      </c>
      <c r="J22" t="s">
        <v>101</v>
      </c>
      <c r="K22" t="s">
        <v>112</v>
      </c>
      <c r="L22" t="s">
        <v>102</v>
      </c>
    </row>
    <row r="23" spans="1:12" x14ac:dyDescent="0.2">
      <c r="A23">
        <v>5139</v>
      </c>
      <c r="B23" t="s">
        <v>111</v>
      </c>
      <c r="C23" s="19">
        <v>45572</v>
      </c>
      <c r="D23" s="2">
        <v>0.29166666666666669</v>
      </c>
      <c r="E23" s="2">
        <v>0.64583333333333337</v>
      </c>
      <c r="F23">
        <v>30</v>
      </c>
      <c r="G23" s="2">
        <v>0.5</v>
      </c>
      <c r="H23">
        <v>8</v>
      </c>
      <c r="I23" t="s">
        <v>100</v>
      </c>
      <c r="J23" t="s">
        <v>101</v>
      </c>
      <c r="K23" t="s">
        <v>112</v>
      </c>
      <c r="L23" t="s">
        <v>102</v>
      </c>
    </row>
    <row r="24" spans="1:12" x14ac:dyDescent="0.2">
      <c r="A24">
        <v>5382</v>
      </c>
      <c r="B24" t="s">
        <v>206</v>
      </c>
      <c r="C24" s="19">
        <v>45572</v>
      </c>
      <c r="D24" s="2">
        <v>0.58333333333333337</v>
      </c>
      <c r="E24" s="2">
        <v>0.9375</v>
      </c>
      <c r="F24">
        <v>30</v>
      </c>
      <c r="G24" s="2">
        <v>0.72916666666666663</v>
      </c>
      <c r="H24">
        <v>8</v>
      </c>
      <c r="I24" t="s">
        <v>100</v>
      </c>
      <c r="J24" t="s">
        <v>101</v>
      </c>
      <c r="K24" t="s">
        <v>112</v>
      </c>
      <c r="L24" t="s">
        <v>102</v>
      </c>
    </row>
    <row r="25" spans="1:12" x14ac:dyDescent="0.2">
      <c r="A25">
        <v>5682</v>
      </c>
      <c r="B25" t="s">
        <v>105</v>
      </c>
      <c r="C25" s="19">
        <v>45572</v>
      </c>
      <c r="D25" s="2">
        <v>0.58333333333333337</v>
      </c>
      <c r="E25" s="2">
        <v>0.9375</v>
      </c>
      <c r="F25">
        <v>30</v>
      </c>
      <c r="G25" s="2">
        <v>0.72916666666666663</v>
      </c>
      <c r="H25">
        <v>8</v>
      </c>
      <c r="I25" t="s">
        <v>100</v>
      </c>
      <c r="J25" t="s">
        <v>101</v>
      </c>
      <c r="K25" t="s">
        <v>103</v>
      </c>
      <c r="L25" t="s">
        <v>102</v>
      </c>
    </row>
    <row r="26" spans="1:12" x14ac:dyDescent="0.2">
      <c r="A26">
        <v>5710</v>
      </c>
      <c r="B26" t="s">
        <v>210</v>
      </c>
      <c r="C26" s="19">
        <v>45572</v>
      </c>
      <c r="D26" s="2">
        <v>0.58333333333333337</v>
      </c>
      <c r="E26" s="2">
        <v>0.9375</v>
      </c>
      <c r="F26">
        <v>30</v>
      </c>
      <c r="G26" s="2">
        <v>0.79166666666666663</v>
      </c>
      <c r="H26">
        <v>8</v>
      </c>
      <c r="I26" t="s">
        <v>100</v>
      </c>
      <c r="J26" t="s">
        <v>101</v>
      </c>
      <c r="K26" t="s">
        <v>112</v>
      </c>
      <c r="L26" t="s">
        <v>102</v>
      </c>
    </row>
    <row r="27" spans="1:12" x14ac:dyDescent="0.2">
      <c r="A27">
        <v>2970</v>
      </c>
      <c r="B27" t="s">
        <v>195</v>
      </c>
      <c r="C27" s="19">
        <v>45572</v>
      </c>
      <c r="D27" s="2">
        <v>0.63541666666666663</v>
      </c>
      <c r="E27" s="2">
        <v>0.88541666666666663</v>
      </c>
      <c r="F27">
        <v>30</v>
      </c>
      <c r="G27" s="2">
        <v>0.72916666666666663</v>
      </c>
      <c r="H27">
        <v>5.5</v>
      </c>
      <c r="I27" t="s">
        <v>100</v>
      </c>
      <c r="J27" t="s">
        <v>101</v>
      </c>
      <c r="K27" t="s">
        <v>126</v>
      </c>
      <c r="L27" t="s">
        <v>127</v>
      </c>
    </row>
    <row r="28" spans="1:12" x14ac:dyDescent="0.2">
      <c r="A28">
        <v>5779</v>
      </c>
      <c r="B28" t="s">
        <v>163</v>
      </c>
      <c r="C28" s="19">
        <v>45572</v>
      </c>
      <c r="D28" s="2">
        <v>0.63541666666666663</v>
      </c>
      <c r="E28" s="2">
        <v>0.88541666666666663</v>
      </c>
      <c r="F28">
        <v>30</v>
      </c>
      <c r="G28" s="2">
        <v>0.84375</v>
      </c>
      <c r="H28">
        <v>5.5</v>
      </c>
      <c r="I28" t="s">
        <v>100</v>
      </c>
      <c r="J28" t="s">
        <v>101</v>
      </c>
      <c r="K28" t="s">
        <v>153</v>
      </c>
      <c r="L28" t="s">
        <v>127</v>
      </c>
    </row>
    <row r="29" spans="1:12" x14ac:dyDescent="0.2">
      <c r="A29">
        <v>5767</v>
      </c>
      <c r="B29" t="s">
        <v>148</v>
      </c>
      <c r="C29" s="19">
        <v>45572</v>
      </c>
      <c r="D29" s="2">
        <v>0.63541666666666663</v>
      </c>
      <c r="E29" s="2">
        <v>0.88541666666666663</v>
      </c>
      <c r="F29">
        <v>30</v>
      </c>
      <c r="G29" s="2">
        <v>0.72916666666666663</v>
      </c>
      <c r="H29">
        <v>5.5</v>
      </c>
      <c r="I29" t="s">
        <v>100</v>
      </c>
      <c r="J29" t="s">
        <v>101</v>
      </c>
      <c r="K29" t="s">
        <v>157</v>
      </c>
      <c r="L29" t="s">
        <v>127</v>
      </c>
    </row>
    <row r="30" spans="1:12" x14ac:dyDescent="0.2">
      <c r="A30">
        <v>283</v>
      </c>
      <c r="B30" t="s">
        <v>171</v>
      </c>
      <c r="C30" s="19">
        <v>45572</v>
      </c>
      <c r="D30" s="2">
        <v>0.63541666666666663</v>
      </c>
      <c r="E30" s="2">
        <v>0.94791666666666663</v>
      </c>
      <c r="F30">
        <v>30</v>
      </c>
      <c r="G30" s="2">
        <v>0.72916666666666663</v>
      </c>
      <c r="H30">
        <v>7</v>
      </c>
      <c r="I30" t="s">
        <v>100</v>
      </c>
      <c r="J30" t="s">
        <v>101</v>
      </c>
      <c r="K30" t="s">
        <v>168</v>
      </c>
      <c r="L30" t="s">
        <v>127</v>
      </c>
    </row>
    <row r="31" spans="1:12" x14ac:dyDescent="0.2">
      <c r="A31">
        <v>5520</v>
      </c>
      <c r="B31" t="s">
        <v>170</v>
      </c>
      <c r="C31" s="19">
        <v>45572</v>
      </c>
      <c r="D31" s="2">
        <v>0.63541666666666663</v>
      </c>
      <c r="E31" s="2">
        <v>0.88541666666666663</v>
      </c>
      <c r="F31">
        <v>30</v>
      </c>
      <c r="G31" s="2">
        <v>0.72916666666666663</v>
      </c>
      <c r="H31">
        <v>5.5</v>
      </c>
      <c r="I31" t="s">
        <v>100</v>
      </c>
      <c r="J31" t="s">
        <v>101</v>
      </c>
      <c r="K31" t="s">
        <v>175</v>
      </c>
      <c r="L31" t="s">
        <v>127</v>
      </c>
    </row>
    <row r="32" spans="1:12" x14ac:dyDescent="0.2">
      <c r="A32">
        <v>5679</v>
      </c>
      <c r="B32" t="s">
        <v>186</v>
      </c>
      <c r="C32" s="19">
        <v>45572</v>
      </c>
      <c r="D32" s="2">
        <v>0.63541666666666663</v>
      </c>
      <c r="E32" s="2">
        <v>0.88541666666666663</v>
      </c>
      <c r="F32">
        <v>30</v>
      </c>
      <c r="G32" s="2">
        <v>0.72916666666666663</v>
      </c>
      <c r="H32">
        <v>5.5</v>
      </c>
      <c r="I32" t="s">
        <v>100</v>
      </c>
      <c r="J32" t="s">
        <v>101</v>
      </c>
      <c r="K32" t="s">
        <v>179</v>
      </c>
      <c r="L32" t="s">
        <v>127</v>
      </c>
    </row>
    <row r="33" spans="1:12" x14ac:dyDescent="0.2">
      <c r="A33">
        <v>5759</v>
      </c>
      <c r="B33" t="s">
        <v>131</v>
      </c>
      <c r="C33" s="19">
        <v>45572</v>
      </c>
      <c r="D33" s="2">
        <v>0.63541666666666663</v>
      </c>
      <c r="E33" s="2">
        <v>0.94791666666666663</v>
      </c>
      <c r="F33">
        <v>30</v>
      </c>
      <c r="G33" s="2">
        <v>0.72916666666666663</v>
      </c>
      <c r="H33">
        <v>7</v>
      </c>
      <c r="I33" t="s">
        <v>100</v>
      </c>
      <c r="J33" t="s">
        <v>101</v>
      </c>
      <c r="K33" t="s">
        <v>184</v>
      </c>
      <c r="L33" t="s">
        <v>127</v>
      </c>
    </row>
    <row r="34" spans="1:12" x14ac:dyDescent="0.2">
      <c r="A34">
        <v>5787</v>
      </c>
      <c r="B34" t="s">
        <v>130</v>
      </c>
      <c r="C34" s="19">
        <v>45572</v>
      </c>
      <c r="D34" s="2">
        <v>0.63541666666666663</v>
      </c>
      <c r="E34" s="2">
        <v>0.94791666666666663</v>
      </c>
      <c r="F34">
        <v>30</v>
      </c>
      <c r="G34" s="2">
        <v>0.72916666666666663</v>
      </c>
      <c r="H34">
        <v>7</v>
      </c>
      <c r="I34" t="s">
        <v>100</v>
      </c>
      <c r="J34" t="s">
        <v>101</v>
      </c>
      <c r="K34" t="s">
        <v>185</v>
      </c>
      <c r="L34" t="s">
        <v>127</v>
      </c>
    </row>
    <row r="35" spans="1:12" x14ac:dyDescent="0.2">
      <c r="A35">
        <v>5785</v>
      </c>
      <c r="B35" t="s">
        <v>161</v>
      </c>
      <c r="C35" s="19">
        <v>45572</v>
      </c>
      <c r="D35" s="2">
        <v>0.63541666666666663</v>
      </c>
      <c r="E35" s="2">
        <v>0.88541666666666663</v>
      </c>
      <c r="F35">
        <v>30</v>
      </c>
      <c r="G35" s="2">
        <v>0.72916666666666663</v>
      </c>
      <c r="H35">
        <v>5.5</v>
      </c>
      <c r="I35" t="s">
        <v>100</v>
      </c>
      <c r="J35" t="s">
        <v>101</v>
      </c>
      <c r="K35" t="s">
        <v>187</v>
      </c>
      <c r="L35" t="s">
        <v>127</v>
      </c>
    </row>
    <row r="36" spans="1:12" x14ac:dyDescent="0.2">
      <c r="A36">
        <v>646</v>
      </c>
      <c r="B36" t="s">
        <v>124</v>
      </c>
      <c r="C36" s="19">
        <v>45572</v>
      </c>
      <c r="D36" s="2">
        <v>0.63541666666666663</v>
      </c>
      <c r="E36" s="2">
        <v>0.94791666666666663</v>
      </c>
      <c r="F36">
        <v>30</v>
      </c>
      <c r="G36" s="2">
        <v>0.72916666666666663</v>
      </c>
      <c r="H36">
        <v>7</v>
      </c>
      <c r="I36" t="s">
        <v>100</v>
      </c>
      <c r="J36" t="s">
        <v>101</v>
      </c>
      <c r="K36" t="s">
        <v>189</v>
      </c>
      <c r="L36" t="s">
        <v>127</v>
      </c>
    </row>
    <row r="37" spans="1:12" x14ac:dyDescent="0.2">
      <c r="A37">
        <v>94</v>
      </c>
      <c r="B37" t="s">
        <v>137</v>
      </c>
      <c r="C37" s="19">
        <v>45572</v>
      </c>
      <c r="D37" s="2">
        <v>0.63541666666666663</v>
      </c>
      <c r="E37" s="2">
        <v>0.88541666666666663</v>
      </c>
      <c r="F37">
        <v>30</v>
      </c>
      <c r="G37" s="2">
        <v>0.72916666666666663</v>
      </c>
      <c r="H37">
        <v>5.5</v>
      </c>
      <c r="I37" t="s">
        <v>100</v>
      </c>
      <c r="J37" t="s">
        <v>101</v>
      </c>
      <c r="K37" t="s">
        <v>192</v>
      </c>
      <c r="L37" t="s">
        <v>127</v>
      </c>
    </row>
    <row r="38" spans="1:12" x14ac:dyDescent="0.2">
      <c r="A38">
        <v>161</v>
      </c>
      <c r="B38" t="s">
        <v>191</v>
      </c>
      <c r="C38" s="19">
        <v>45572</v>
      </c>
      <c r="D38" s="2">
        <v>0.63541666666666663</v>
      </c>
      <c r="E38" s="2">
        <v>0.94791666666666663</v>
      </c>
      <c r="F38">
        <v>30</v>
      </c>
      <c r="G38" s="2">
        <v>0.72916666666666663</v>
      </c>
      <c r="H38">
        <v>7</v>
      </c>
      <c r="I38" t="s">
        <v>100</v>
      </c>
      <c r="J38" t="s">
        <v>101</v>
      </c>
      <c r="K38" t="s">
        <v>193</v>
      </c>
      <c r="L38" t="s">
        <v>127</v>
      </c>
    </row>
    <row r="39" spans="1:12" x14ac:dyDescent="0.2">
      <c r="A39">
        <v>4859</v>
      </c>
      <c r="B39" t="s">
        <v>113</v>
      </c>
      <c r="C39" s="19">
        <v>45572</v>
      </c>
      <c r="D39" s="2">
        <v>0.63541666666666663</v>
      </c>
      <c r="E39" s="2">
        <v>0.94791666666666663</v>
      </c>
      <c r="F39">
        <v>30</v>
      </c>
      <c r="G39" s="2">
        <v>0.72916666666666663</v>
      </c>
      <c r="H39">
        <v>7</v>
      </c>
      <c r="I39" t="s">
        <v>100</v>
      </c>
      <c r="J39" t="s">
        <v>101</v>
      </c>
      <c r="K39" t="s">
        <v>112</v>
      </c>
      <c r="L39" t="s">
        <v>114</v>
      </c>
    </row>
    <row r="40" spans="1:12" x14ac:dyDescent="0.2">
      <c r="A40">
        <v>2897</v>
      </c>
      <c r="B40" t="s">
        <v>121</v>
      </c>
      <c r="C40" s="19">
        <v>45572</v>
      </c>
      <c r="D40" s="2">
        <v>0.63541666666666663</v>
      </c>
      <c r="E40" s="2">
        <v>0.88541666666666663</v>
      </c>
      <c r="F40">
        <v>30</v>
      </c>
      <c r="G40" s="2">
        <v>0.72916666666666663</v>
      </c>
      <c r="H40">
        <v>5.5</v>
      </c>
      <c r="I40" t="s">
        <v>100</v>
      </c>
      <c r="J40" t="s">
        <v>101</v>
      </c>
      <c r="K40" t="s">
        <v>123</v>
      </c>
      <c r="L40" t="s">
        <v>114</v>
      </c>
    </row>
    <row r="41" spans="1:12" x14ac:dyDescent="0.2">
      <c r="A41">
        <v>2564</v>
      </c>
      <c r="B41" t="s">
        <v>208</v>
      </c>
      <c r="C41" s="19">
        <v>45572</v>
      </c>
      <c r="D41" s="2">
        <v>0.90625</v>
      </c>
      <c r="E41" s="2">
        <v>0.30208333333333331</v>
      </c>
      <c r="F41">
        <v>0</v>
      </c>
      <c r="G41" s="2"/>
      <c r="H41">
        <v>9.5</v>
      </c>
      <c r="I41" t="s">
        <v>100</v>
      </c>
      <c r="J41" t="s">
        <v>101</v>
      </c>
      <c r="K41" t="s">
        <v>91</v>
      </c>
      <c r="L41" t="s">
        <v>102</v>
      </c>
    </row>
    <row r="42" spans="1:12" x14ac:dyDescent="0.2">
      <c r="A42">
        <v>5621</v>
      </c>
      <c r="B42" t="s">
        <v>144</v>
      </c>
      <c r="C42" s="19">
        <v>45572</v>
      </c>
      <c r="D42" s="2">
        <v>0.9375</v>
      </c>
      <c r="E42" s="2">
        <v>0.30208333333333331</v>
      </c>
      <c r="F42">
        <v>30</v>
      </c>
      <c r="G42" s="2">
        <v>0.14583333333333334</v>
      </c>
      <c r="H42">
        <v>8.25</v>
      </c>
      <c r="I42" t="s">
        <v>100</v>
      </c>
      <c r="J42" t="s">
        <v>101</v>
      </c>
      <c r="K42" t="s">
        <v>139</v>
      </c>
      <c r="L42" t="s">
        <v>127</v>
      </c>
    </row>
    <row r="43" spans="1:12" x14ac:dyDescent="0.2">
      <c r="A43">
        <v>5778</v>
      </c>
      <c r="B43" t="s">
        <v>145</v>
      </c>
      <c r="C43" s="19">
        <v>45572</v>
      </c>
      <c r="D43" s="2">
        <v>0.9375</v>
      </c>
      <c r="E43" s="2">
        <v>0.30208333333333331</v>
      </c>
      <c r="F43">
        <v>30</v>
      </c>
      <c r="G43" s="2">
        <v>0.14583333333333334</v>
      </c>
      <c r="H43">
        <v>8.25</v>
      </c>
      <c r="I43" t="s">
        <v>100</v>
      </c>
      <c r="J43" t="s">
        <v>101</v>
      </c>
      <c r="K43" t="s">
        <v>147</v>
      </c>
      <c r="L43" t="s">
        <v>127</v>
      </c>
    </row>
    <row r="44" spans="1:12" x14ac:dyDescent="0.2">
      <c r="A44">
        <v>1941</v>
      </c>
      <c r="B44" t="s">
        <v>138</v>
      </c>
      <c r="C44" s="19">
        <v>45572</v>
      </c>
      <c r="D44" s="2">
        <v>0.9375</v>
      </c>
      <c r="E44" s="2">
        <v>0.30208333333333331</v>
      </c>
      <c r="F44">
        <v>30</v>
      </c>
      <c r="G44" s="2">
        <v>0.14583333333333334</v>
      </c>
      <c r="H44">
        <v>8.25</v>
      </c>
      <c r="I44" t="s">
        <v>100</v>
      </c>
      <c r="J44" t="s">
        <v>101</v>
      </c>
      <c r="K44" t="s">
        <v>168</v>
      </c>
      <c r="L44" t="s">
        <v>127</v>
      </c>
    </row>
    <row r="45" spans="1:12" x14ac:dyDescent="0.2">
      <c r="A45">
        <v>5486</v>
      </c>
      <c r="B45" t="s">
        <v>141</v>
      </c>
      <c r="C45" s="19">
        <v>45572</v>
      </c>
      <c r="D45" s="2">
        <v>0.9375</v>
      </c>
      <c r="E45" s="2">
        <v>0.30208333333333331</v>
      </c>
      <c r="F45">
        <v>30</v>
      </c>
      <c r="G45" s="2">
        <v>0.14583333333333334</v>
      </c>
      <c r="H45">
        <v>8.25</v>
      </c>
      <c r="I45" t="s">
        <v>100</v>
      </c>
      <c r="J45" t="s">
        <v>101</v>
      </c>
      <c r="K45" t="s">
        <v>179</v>
      </c>
      <c r="L45" t="s">
        <v>127</v>
      </c>
    </row>
    <row r="46" spans="1:12" x14ac:dyDescent="0.2">
      <c r="A46">
        <v>195</v>
      </c>
      <c r="B46" t="s">
        <v>183</v>
      </c>
      <c r="C46" s="19">
        <v>45572</v>
      </c>
      <c r="D46" s="2">
        <v>0.9375</v>
      </c>
      <c r="E46" s="2">
        <v>0.30208333333333331</v>
      </c>
      <c r="F46">
        <v>30</v>
      </c>
      <c r="G46" s="2">
        <v>0.14583333333333334</v>
      </c>
      <c r="H46">
        <v>8.25</v>
      </c>
      <c r="I46" t="s">
        <v>100</v>
      </c>
      <c r="J46" t="s">
        <v>101</v>
      </c>
      <c r="K46" t="s">
        <v>185</v>
      </c>
      <c r="L46" t="s">
        <v>127</v>
      </c>
    </row>
    <row r="47" spans="1:12" x14ac:dyDescent="0.2">
      <c r="A47">
        <v>3016</v>
      </c>
      <c r="B47" t="s">
        <v>172</v>
      </c>
      <c r="C47" s="19">
        <v>45572</v>
      </c>
      <c r="D47" s="2">
        <v>0.9375</v>
      </c>
      <c r="E47" s="2">
        <v>0.30208333333333331</v>
      </c>
      <c r="F47">
        <v>30</v>
      </c>
      <c r="G47" s="2">
        <v>0.14583333333333334</v>
      </c>
      <c r="H47">
        <v>8.25</v>
      </c>
      <c r="I47" t="s">
        <v>100</v>
      </c>
      <c r="J47" t="s">
        <v>101</v>
      </c>
      <c r="K47" t="s">
        <v>197</v>
      </c>
      <c r="L47" t="s">
        <v>127</v>
      </c>
    </row>
    <row r="48" spans="1:12" x14ac:dyDescent="0.2">
      <c r="A48">
        <v>2720</v>
      </c>
      <c r="B48" t="s">
        <v>173</v>
      </c>
      <c r="C48" s="19">
        <v>45573</v>
      </c>
      <c r="D48" s="2">
        <v>0.29166666666666669</v>
      </c>
      <c r="E48" s="2">
        <v>0.5625</v>
      </c>
      <c r="F48">
        <v>30</v>
      </c>
      <c r="G48" s="2">
        <v>0.5</v>
      </c>
      <c r="H48">
        <v>6</v>
      </c>
      <c r="I48" t="s">
        <v>100</v>
      </c>
      <c r="J48" t="s">
        <v>101</v>
      </c>
      <c r="K48" t="s">
        <v>126</v>
      </c>
      <c r="L48" t="s">
        <v>127</v>
      </c>
    </row>
    <row r="49" spans="1:12" x14ac:dyDescent="0.2">
      <c r="A49">
        <v>4848</v>
      </c>
      <c r="B49" t="s">
        <v>125</v>
      </c>
      <c r="C49" s="19">
        <v>45573</v>
      </c>
      <c r="D49" s="2">
        <v>0.29166666666666669</v>
      </c>
      <c r="E49" s="2">
        <v>0.64583333333333337</v>
      </c>
      <c r="F49">
        <v>30</v>
      </c>
      <c r="G49" s="2">
        <v>0.5</v>
      </c>
      <c r="H49">
        <v>8</v>
      </c>
      <c r="I49" t="s">
        <v>100</v>
      </c>
      <c r="J49" t="s">
        <v>101</v>
      </c>
      <c r="K49" t="s">
        <v>157</v>
      </c>
      <c r="L49" t="s">
        <v>127</v>
      </c>
    </row>
    <row r="50" spans="1:12" x14ac:dyDescent="0.2">
      <c r="A50">
        <v>5831</v>
      </c>
      <c r="B50" t="s">
        <v>217</v>
      </c>
      <c r="C50" s="19">
        <v>45573</v>
      </c>
      <c r="D50" s="2">
        <v>0.29166666666666669</v>
      </c>
      <c r="E50" s="2">
        <v>0.5625</v>
      </c>
      <c r="F50">
        <v>30</v>
      </c>
      <c r="G50" s="2">
        <v>0.47916666666666669</v>
      </c>
      <c r="H50">
        <v>6</v>
      </c>
      <c r="I50" t="s">
        <v>100</v>
      </c>
      <c r="J50" t="s">
        <v>101</v>
      </c>
      <c r="K50" t="s">
        <v>157</v>
      </c>
      <c r="L50" t="s">
        <v>127</v>
      </c>
    </row>
    <row r="51" spans="1:12" x14ac:dyDescent="0.2">
      <c r="A51">
        <v>5713</v>
      </c>
      <c r="B51" t="s">
        <v>128</v>
      </c>
      <c r="C51" s="19">
        <v>45573</v>
      </c>
      <c r="D51" s="2">
        <v>0.29166666666666669</v>
      </c>
      <c r="E51" s="2">
        <v>0.64583333333333337</v>
      </c>
      <c r="F51">
        <v>30</v>
      </c>
      <c r="G51" s="2">
        <v>0.47916666666666669</v>
      </c>
      <c r="H51">
        <v>8</v>
      </c>
      <c r="I51" t="s">
        <v>100</v>
      </c>
      <c r="J51" t="s">
        <v>101</v>
      </c>
      <c r="K51" t="s">
        <v>168</v>
      </c>
      <c r="L51" t="s">
        <v>127</v>
      </c>
    </row>
    <row r="52" spans="1:12" x14ac:dyDescent="0.2">
      <c r="A52">
        <v>5631</v>
      </c>
      <c r="B52" t="s">
        <v>182</v>
      </c>
      <c r="C52" s="19">
        <v>45573</v>
      </c>
      <c r="D52" s="2">
        <v>0.29166666666666669</v>
      </c>
      <c r="E52" s="2">
        <v>0.64583333333333337</v>
      </c>
      <c r="F52">
        <v>30</v>
      </c>
      <c r="G52" s="2">
        <v>0.47916666666666669</v>
      </c>
      <c r="H52">
        <v>8</v>
      </c>
      <c r="I52" t="s">
        <v>100</v>
      </c>
      <c r="J52" t="s">
        <v>101</v>
      </c>
      <c r="K52" t="s">
        <v>175</v>
      </c>
      <c r="L52" t="s">
        <v>127</v>
      </c>
    </row>
    <row r="53" spans="1:12" x14ac:dyDescent="0.2">
      <c r="A53">
        <v>5709</v>
      </c>
      <c r="B53" t="s">
        <v>159</v>
      </c>
      <c r="C53" s="19">
        <v>45573</v>
      </c>
      <c r="D53" s="2">
        <v>0.29166666666666669</v>
      </c>
      <c r="E53" s="2">
        <v>0.5625</v>
      </c>
      <c r="F53">
        <v>30</v>
      </c>
      <c r="G53" s="2">
        <v>0.47916666666666669</v>
      </c>
      <c r="H53">
        <v>6</v>
      </c>
      <c r="I53" t="s">
        <v>100</v>
      </c>
      <c r="J53" t="s">
        <v>101</v>
      </c>
      <c r="K53" t="s">
        <v>178</v>
      </c>
      <c r="L53" t="s">
        <v>127</v>
      </c>
    </row>
    <row r="54" spans="1:12" x14ac:dyDescent="0.2">
      <c r="A54">
        <v>618</v>
      </c>
      <c r="B54" t="s">
        <v>218</v>
      </c>
      <c r="C54" s="19">
        <v>45573</v>
      </c>
      <c r="D54" s="2">
        <v>0.29166666666666669</v>
      </c>
      <c r="E54" s="2">
        <v>0.5625</v>
      </c>
      <c r="F54">
        <v>30</v>
      </c>
      <c r="G54" s="2">
        <v>0.5</v>
      </c>
      <c r="H54">
        <v>6</v>
      </c>
      <c r="I54" t="s">
        <v>100</v>
      </c>
      <c r="J54" t="s">
        <v>101</v>
      </c>
      <c r="K54" t="s">
        <v>179</v>
      </c>
      <c r="L54" t="s">
        <v>127</v>
      </c>
    </row>
    <row r="55" spans="1:12" x14ac:dyDescent="0.2">
      <c r="A55">
        <v>4460</v>
      </c>
      <c r="B55" t="s">
        <v>180</v>
      </c>
      <c r="C55" s="19">
        <v>45573</v>
      </c>
      <c r="D55" s="2">
        <v>0.29166666666666669</v>
      </c>
      <c r="E55" s="2">
        <v>0.64583333333333337</v>
      </c>
      <c r="F55">
        <v>30</v>
      </c>
      <c r="G55" s="2">
        <v>0.47916666666666669</v>
      </c>
      <c r="H55">
        <v>8</v>
      </c>
      <c r="I55" t="s">
        <v>100</v>
      </c>
      <c r="J55" t="s">
        <v>101</v>
      </c>
      <c r="K55" t="s">
        <v>184</v>
      </c>
      <c r="L55" t="s">
        <v>127</v>
      </c>
    </row>
    <row r="56" spans="1:12" x14ac:dyDescent="0.2">
      <c r="A56">
        <v>4979</v>
      </c>
      <c r="B56" t="s">
        <v>158</v>
      </c>
      <c r="C56" s="19">
        <v>45573</v>
      </c>
      <c r="D56" s="2">
        <v>0.29166666666666669</v>
      </c>
      <c r="E56" s="2">
        <v>0.64583333333333337</v>
      </c>
      <c r="F56">
        <v>30</v>
      </c>
      <c r="G56" s="2">
        <v>0.5</v>
      </c>
      <c r="H56">
        <v>8</v>
      </c>
      <c r="I56" t="s">
        <v>100</v>
      </c>
      <c r="J56" t="s">
        <v>101</v>
      </c>
      <c r="K56" t="s">
        <v>185</v>
      </c>
      <c r="L56" t="s">
        <v>127</v>
      </c>
    </row>
    <row r="57" spans="1:12" x14ac:dyDescent="0.2">
      <c r="A57">
        <v>94</v>
      </c>
      <c r="B57" t="s">
        <v>137</v>
      </c>
      <c r="C57" s="19">
        <v>45573</v>
      </c>
      <c r="D57" s="2">
        <v>0.29166666666666669</v>
      </c>
      <c r="E57" s="2">
        <v>0.64583333333333337</v>
      </c>
      <c r="F57">
        <v>30</v>
      </c>
      <c r="G57" s="2">
        <v>0.47916666666666669</v>
      </c>
      <c r="H57">
        <v>8</v>
      </c>
      <c r="I57" t="s">
        <v>100</v>
      </c>
      <c r="J57" t="s">
        <v>101</v>
      </c>
      <c r="K57" t="s">
        <v>187</v>
      </c>
      <c r="L57" t="s">
        <v>127</v>
      </c>
    </row>
    <row r="58" spans="1:12" x14ac:dyDescent="0.2">
      <c r="A58">
        <v>5291</v>
      </c>
      <c r="B58" t="s">
        <v>177</v>
      </c>
      <c r="C58" s="19">
        <v>45573</v>
      </c>
      <c r="D58" s="2">
        <v>0.29166666666666669</v>
      </c>
      <c r="E58" s="2">
        <v>0.64583333333333337</v>
      </c>
      <c r="F58">
        <v>30</v>
      </c>
      <c r="G58" s="2">
        <v>0.5</v>
      </c>
      <c r="H58">
        <v>8</v>
      </c>
      <c r="I58" t="s">
        <v>100</v>
      </c>
      <c r="J58" t="s">
        <v>101</v>
      </c>
      <c r="K58" t="s">
        <v>188</v>
      </c>
      <c r="L58" t="s">
        <v>127</v>
      </c>
    </row>
    <row r="59" spans="1:12" x14ac:dyDescent="0.2">
      <c r="A59">
        <v>5542</v>
      </c>
      <c r="B59" t="s">
        <v>190</v>
      </c>
      <c r="C59" s="19">
        <v>45573</v>
      </c>
      <c r="D59" s="2">
        <v>0.29166666666666669</v>
      </c>
      <c r="E59" s="2">
        <v>0.64583333333333337</v>
      </c>
      <c r="F59">
        <v>30</v>
      </c>
      <c r="G59" s="2">
        <v>0.47916666666666669</v>
      </c>
      <c r="H59">
        <v>8</v>
      </c>
      <c r="I59" t="s">
        <v>100</v>
      </c>
      <c r="J59" t="s">
        <v>101</v>
      </c>
      <c r="K59" t="s">
        <v>189</v>
      </c>
      <c r="L59" t="s">
        <v>127</v>
      </c>
    </row>
    <row r="60" spans="1:12" x14ac:dyDescent="0.2">
      <c r="A60">
        <v>5837</v>
      </c>
      <c r="B60" t="s">
        <v>211</v>
      </c>
      <c r="C60" s="19">
        <v>45573</v>
      </c>
      <c r="D60" s="2">
        <v>0.29166666666666669</v>
      </c>
      <c r="E60" s="2">
        <v>0.64583333333333337</v>
      </c>
      <c r="F60">
        <v>30</v>
      </c>
      <c r="G60" s="2">
        <v>0.47916666666666669</v>
      </c>
      <c r="H60">
        <v>8</v>
      </c>
      <c r="I60" t="s">
        <v>100</v>
      </c>
      <c r="J60" t="s">
        <v>101</v>
      </c>
      <c r="K60" t="s">
        <v>192</v>
      </c>
      <c r="L60" t="s">
        <v>127</v>
      </c>
    </row>
    <row r="61" spans="1:12" x14ac:dyDescent="0.2">
      <c r="A61">
        <v>23</v>
      </c>
      <c r="B61" t="s">
        <v>135</v>
      </c>
      <c r="C61" s="19">
        <v>45573</v>
      </c>
      <c r="D61" s="2">
        <v>0.29166666666666669</v>
      </c>
      <c r="E61" s="2">
        <v>0.5625</v>
      </c>
      <c r="F61">
        <v>30</v>
      </c>
      <c r="G61" s="2">
        <v>0.47916666666666669</v>
      </c>
      <c r="H61">
        <v>6</v>
      </c>
      <c r="I61" t="s">
        <v>100</v>
      </c>
      <c r="J61" t="s">
        <v>101</v>
      </c>
      <c r="K61" t="s">
        <v>194</v>
      </c>
      <c r="L61" t="s">
        <v>127</v>
      </c>
    </row>
    <row r="62" spans="1:12" x14ac:dyDescent="0.2">
      <c r="A62">
        <v>5711</v>
      </c>
      <c r="B62" t="s">
        <v>117</v>
      </c>
      <c r="C62" s="19">
        <v>45573</v>
      </c>
      <c r="D62" s="2">
        <v>0.29166666666666669</v>
      </c>
      <c r="E62" s="2">
        <v>0.58333333333333337</v>
      </c>
      <c r="F62">
        <v>30</v>
      </c>
      <c r="G62" s="2">
        <v>0.5</v>
      </c>
      <c r="H62">
        <v>6.5</v>
      </c>
      <c r="I62" t="s">
        <v>100</v>
      </c>
      <c r="J62" t="s">
        <v>101</v>
      </c>
      <c r="K62" t="s">
        <v>103</v>
      </c>
      <c r="L62" t="s">
        <v>114</v>
      </c>
    </row>
    <row r="63" spans="1:12" x14ac:dyDescent="0.2">
      <c r="A63">
        <v>325</v>
      </c>
      <c r="B63" t="s">
        <v>116</v>
      </c>
      <c r="C63" s="19">
        <v>45573</v>
      </c>
      <c r="D63" s="2">
        <v>0.29166666666666669</v>
      </c>
      <c r="E63" s="2">
        <v>0.64583333333333337</v>
      </c>
      <c r="F63">
        <v>30</v>
      </c>
      <c r="G63" s="2">
        <v>0.5</v>
      </c>
      <c r="H63">
        <v>8</v>
      </c>
      <c r="I63" t="s">
        <v>100</v>
      </c>
      <c r="J63" t="s">
        <v>101</v>
      </c>
      <c r="K63" t="s">
        <v>112</v>
      </c>
      <c r="L63" t="s">
        <v>114</v>
      </c>
    </row>
    <row r="64" spans="1:12" x14ac:dyDescent="0.2">
      <c r="A64">
        <v>5555</v>
      </c>
      <c r="B64" t="s">
        <v>109</v>
      </c>
      <c r="C64" s="19">
        <v>45573</v>
      </c>
      <c r="D64" s="2">
        <v>0.29166666666666669</v>
      </c>
      <c r="E64" s="2">
        <v>0.5625</v>
      </c>
      <c r="F64">
        <v>30</v>
      </c>
      <c r="G64" s="2">
        <v>0.5</v>
      </c>
      <c r="H64">
        <v>6</v>
      </c>
      <c r="I64" t="s">
        <v>100</v>
      </c>
      <c r="J64" t="s">
        <v>101</v>
      </c>
      <c r="K64" t="s">
        <v>103</v>
      </c>
      <c r="L64" t="s">
        <v>102</v>
      </c>
    </row>
    <row r="65" spans="1:12" x14ac:dyDescent="0.2">
      <c r="A65">
        <v>5710</v>
      </c>
      <c r="B65" t="s">
        <v>210</v>
      </c>
      <c r="C65" s="19">
        <v>45573</v>
      </c>
      <c r="D65" s="2">
        <v>0.29166666666666669</v>
      </c>
      <c r="E65" s="2">
        <v>0.64583333333333337</v>
      </c>
      <c r="F65">
        <v>30</v>
      </c>
      <c r="G65" s="2">
        <v>0.5</v>
      </c>
      <c r="H65">
        <v>8</v>
      </c>
      <c r="I65" t="s">
        <v>100</v>
      </c>
      <c r="J65" t="s">
        <v>101</v>
      </c>
      <c r="K65" t="s">
        <v>112</v>
      </c>
      <c r="L65" t="s">
        <v>102</v>
      </c>
    </row>
    <row r="66" spans="1:12" x14ac:dyDescent="0.2">
      <c r="A66">
        <v>5682</v>
      </c>
      <c r="B66" t="s">
        <v>105</v>
      </c>
      <c r="C66" s="19">
        <v>45573</v>
      </c>
      <c r="D66" s="2">
        <v>0.29166666666666669</v>
      </c>
      <c r="E66" s="2">
        <v>0.9375</v>
      </c>
      <c r="F66">
        <v>60</v>
      </c>
      <c r="G66" s="2">
        <v>0.70833333333333337</v>
      </c>
      <c r="H66">
        <v>14.5</v>
      </c>
      <c r="I66" t="s">
        <v>100</v>
      </c>
      <c r="J66" t="s">
        <v>101</v>
      </c>
      <c r="K66" t="s">
        <v>112</v>
      </c>
      <c r="L66" t="s">
        <v>102</v>
      </c>
    </row>
    <row r="67" spans="1:12" x14ac:dyDescent="0.2">
      <c r="A67">
        <v>5728</v>
      </c>
      <c r="B67" t="s">
        <v>108</v>
      </c>
      <c r="C67" s="19">
        <v>45573</v>
      </c>
      <c r="D67" s="2">
        <v>0.33333333333333331</v>
      </c>
      <c r="E67" s="2">
        <v>0.64583333333333337</v>
      </c>
      <c r="F67">
        <v>30</v>
      </c>
      <c r="G67" s="2">
        <v>0.5</v>
      </c>
      <c r="H67">
        <v>7</v>
      </c>
      <c r="I67" t="s">
        <v>100</v>
      </c>
      <c r="J67" t="s">
        <v>101</v>
      </c>
      <c r="K67" t="s">
        <v>103</v>
      </c>
      <c r="L67" t="s">
        <v>102</v>
      </c>
    </row>
    <row r="68" spans="1:12" x14ac:dyDescent="0.2">
      <c r="A68">
        <v>5382</v>
      </c>
      <c r="B68" t="s">
        <v>206</v>
      </c>
      <c r="C68" s="19">
        <v>45573</v>
      </c>
      <c r="D68" s="2">
        <v>0.58333333333333337</v>
      </c>
      <c r="E68" s="2">
        <v>0.9375</v>
      </c>
      <c r="F68">
        <v>30</v>
      </c>
      <c r="G68" s="2">
        <v>0.72916666666666663</v>
      </c>
      <c r="H68">
        <v>8</v>
      </c>
      <c r="I68" t="s">
        <v>100</v>
      </c>
      <c r="J68" t="s">
        <v>101</v>
      </c>
      <c r="K68" t="s">
        <v>112</v>
      </c>
      <c r="L68" t="s">
        <v>102</v>
      </c>
    </row>
    <row r="69" spans="1:12" x14ac:dyDescent="0.2">
      <c r="A69">
        <v>5667</v>
      </c>
      <c r="B69" t="s">
        <v>106</v>
      </c>
      <c r="C69" s="19">
        <v>45573</v>
      </c>
      <c r="D69" s="2">
        <v>0.58333333333333337</v>
      </c>
      <c r="E69" s="2">
        <v>0.9375</v>
      </c>
      <c r="F69">
        <v>30</v>
      </c>
      <c r="G69" s="2">
        <v>0.79166666666666663</v>
      </c>
      <c r="H69">
        <v>8</v>
      </c>
      <c r="I69" t="s">
        <v>100</v>
      </c>
      <c r="J69" t="s">
        <v>101</v>
      </c>
      <c r="K69" t="s">
        <v>103</v>
      </c>
      <c r="L69" t="s">
        <v>102</v>
      </c>
    </row>
    <row r="70" spans="1:12" x14ac:dyDescent="0.2">
      <c r="A70">
        <v>3572</v>
      </c>
      <c r="B70" t="s">
        <v>156</v>
      </c>
      <c r="C70" s="19">
        <v>45573</v>
      </c>
      <c r="D70" s="2">
        <v>0.63541666666666663</v>
      </c>
      <c r="E70" s="2">
        <v>0.88541666666666663</v>
      </c>
      <c r="F70">
        <v>30</v>
      </c>
      <c r="G70" s="2">
        <v>0.72916666666666663</v>
      </c>
      <c r="H70">
        <v>5.5</v>
      </c>
      <c r="I70" t="s">
        <v>100</v>
      </c>
      <c r="J70" t="s">
        <v>101</v>
      </c>
      <c r="K70" t="s">
        <v>126</v>
      </c>
      <c r="L70" t="s">
        <v>127</v>
      </c>
    </row>
    <row r="71" spans="1:12" x14ac:dyDescent="0.2">
      <c r="A71">
        <v>5729</v>
      </c>
      <c r="B71" t="s">
        <v>165</v>
      </c>
      <c r="C71" s="19">
        <v>45573</v>
      </c>
      <c r="D71" s="2">
        <v>0.63541666666666663</v>
      </c>
      <c r="E71" s="2">
        <v>0.88541666666666663</v>
      </c>
      <c r="F71">
        <v>30</v>
      </c>
      <c r="G71" s="2">
        <v>0.84375</v>
      </c>
      <c r="H71">
        <v>5.5</v>
      </c>
      <c r="I71" t="s">
        <v>100</v>
      </c>
      <c r="J71" t="s">
        <v>101</v>
      </c>
      <c r="K71" t="s">
        <v>153</v>
      </c>
      <c r="L71" t="s">
        <v>127</v>
      </c>
    </row>
    <row r="72" spans="1:12" x14ac:dyDescent="0.2">
      <c r="A72">
        <v>4859</v>
      </c>
      <c r="B72" t="s">
        <v>113</v>
      </c>
      <c r="C72" s="19">
        <v>45573</v>
      </c>
      <c r="D72" s="2">
        <v>0.63541666666666663</v>
      </c>
      <c r="E72" s="2">
        <v>0.94791666666666663</v>
      </c>
      <c r="F72">
        <v>30</v>
      </c>
      <c r="G72" s="2">
        <v>0.72916666666666663</v>
      </c>
      <c r="H72">
        <v>7</v>
      </c>
      <c r="I72" t="s">
        <v>100</v>
      </c>
      <c r="J72" t="s">
        <v>101</v>
      </c>
      <c r="K72" t="s">
        <v>157</v>
      </c>
      <c r="L72" t="s">
        <v>127</v>
      </c>
    </row>
    <row r="73" spans="1:12" x14ac:dyDescent="0.2">
      <c r="A73">
        <v>5781</v>
      </c>
      <c r="B73" t="s">
        <v>155</v>
      </c>
      <c r="C73" s="19">
        <v>45573</v>
      </c>
      <c r="D73" s="2">
        <v>0.63541666666666663</v>
      </c>
      <c r="E73" s="2">
        <v>0.94791666666666663</v>
      </c>
      <c r="F73">
        <v>30</v>
      </c>
      <c r="G73" s="2">
        <v>0.72916666666666663</v>
      </c>
      <c r="H73">
        <v>7</v>
      </c>
      <c r="I73" t="s">
        <v>100</v>
      </c>
      <c r="J73" t="s">
        <v>101</v>
      </c>
      <c r="K73" t="s">
        <v>168</v>
      </c>
      <c r="L73" t="s">
        <v>127</v>
      </c>
    </row>
    <row r="74" spans="1:12" x14ac:dyDescent="0.2">
      <c r="A74">
        <v>283</v>
      </c>
      <c r="B74" t="s">
        <v>171</v>
      </c>
      <c r="C74" s="19">
        <v>45573</v>
      </c>
      <c r="D74" s="2">
        <v>0.63541666666666663</v>
      </c>
      <c r="E74" s="2">
        <v>0.88541666666666663</v>
      </c>
      <c r="F74">
        <v>30</v>
      </c>
      <c r="G74" s="2">
        <v>0.72916666666666663</v>
      </c>
      <c r="H74">
        <v>5.5</v>
      </c>
      <c r="I74" t="s">
        <v>100</v>
      </c>
      <c r="J74" t="s">
        <v>101</v>
      </c>
      <c r="K74" t="s">
        <v>175</v>
      </c>
      <c r="L74" t="s">
        <v>127</v>
      </c>
    </row>
    <row r="75" spans="1:12" x14ac:dyDescent="0.2">
      <c r="A75">
        <v>5835</v>
      </c>
      <c r="B75" t="s">
        <v>215</v>
      </c>
      <c r="C75" s="19">
        <v>45573</v>
      </c>
      <c r="D75" s="2">
        <v>0.63541666666666663</v>
      </c>
      <c r="E75" s="2">
        <v>0.94791666666666663</v>
      </c>
      <c r="F75">
        <v>30</v>
      </c>
      <c r="G75" s="2">
        <v>0.72916666666666663</v>
      </c>
      <c r="H75">
        <v>7</v>
      </c>
      <c r="I75" t="s">
        <v>100</v>
      </c>
      <c r="J75" t="s">
        <v>101</v>
      </c>
      <c r="K75" t="s">
        <v>179</v>
      </c>
      <c r="L75" t="s">
        <v>127</v>
      </c>
    </row>
    <row r="76" spans="1:12" x14ac:dyDescent="0.2">
      <c r="A76">
        <v>5531</v>
      </c>
      <c r="B76" t="s">
        <v>132</v>
      </c>
      <c r="C76" s="19">
        <v>45573</v>
      </c>
      <c r="D76" s="2">
        <v>0.63541666666666663</v>
      </c>
      <c r="E76" s="2">
        <v>0.88541666666666663</v>
      </c>
      <c r="F76">
        <v>30</v>
      </c>
      <c r="G76" s="2">
        <v>0.72916666666666663</v>
      </c>
      <c r="H76">
        <v>5.5</v>
      </c>
      <c r="I76" t="s">
        <v>100</v>
      </c>
      <c r="J76" t="s">
        <v>101</v>
      </c>
      <c r="K76" t="s">
        <v>184</v>
      </c>
      <c r="L76" t="s">
        <v>127</v>
      </c>
    </row>
    <row r="77" spans="1:12" x14ac:dyDescent="0.2">
      <c r="A77">
        <v>5690</v>
      </c>
      <c r="B77" t="s">
        <v>174</v>
      </c>
      <c r="C77" s="19">
        <v>45573</v>
      </c>
      <c r="D77" s="2">
        <v>0.63541666666666663</v>
      </c>
      <c r="E77" s="2">
        <v>0.94791666666666663</v>
      </c>
      <c r="F77">
        <v>30</v>
      </c>
      <c r="G77" s="2">
        <v>0.72916666666666663</v>
      </c>
      <c r="H77">
        <v>7</v>
      </c>
      <c r="I77" t="s">
        <v>100</v>
      </c>
      <c r="J77" t="s">
        <v>101</v>
      </c>
      <c r="K77" t="s">
        <v>185</v>
      </c>
      <c r="L77" t="s">
        <v>127</v>
      </c>
    </row>
    <row r="78" spans="1:12" x14ac:dyDescent="0.2">
      <c r="A78">
        <v>5779</v>
      </c>
      <c r="B78" t="s">
        <v>163</v>
      </c>
      <c r="C78" s="19">
        <v>45573</v>
      </c>
      <c r="D78" s="2">
        <v>0.63541666666666663</v>
      </c>
      <c r="E78" s="2">
        <v>0.88541666666666663</v>
      </c>
      <c r="F78">
        <v>30</v>
      </c>
      <c r="G78" s="2">
        <v>0.72916666666666663</v>
      </c>
      <c r="H78">
        <v>5.5</v>
      </c>
      <c r="I78" t="s">
        <v>100</v>
      </c>
      <c r="J78" t="s">
        <v>101</v>
      </c>
      <c r="K78" t="s">
        <v>187</v>
      </c>
      <c r="L78" t="s">
        <v>127</v>
      </c>
    </row>
    <row r="79" spans="1:12" x14ac:dyDescent="0.2">
      <c r="A79">
        <v>1581</v>
      </c>
      <c r="B79" t="s">
        <v>136</v>
      </c>
      <c r="C79" s="19">
        <v>45573</v>
      </c>
      <c r="D79" s="2">
        <v>0.63541666666666663</v>
      </c>
      <c r="E79" s="2">
        <v>0.94791666666666663</v>
      </c>
      <c r="F79">
        <v>30</v>
      </c>
      <c r="G79" s="2">
        <v>0.72916666666666663</v>
      </c>
      <c r="H79">
        <v>7</v>
      </c>
      <c r="I79" t="s">
        <v>100</v>
      </c>
      <c r="J79" t="s">
        <v>101</v>
      </c>
      <c r="K79" t="s">
        <v>189</v>
      </c>
      <c r="L79" t="s">
        <v>127</v>
      </c>
    </row>
    <row r="80" spans="1:12" x14ac:dyDescent="0.2">
      <c r="A80">
        <v>161</v>
      </c>
      <c r="B80" t="s">
        <v>191</v>
      </c>
      <c r="C80" s="19">
        <v>45573</v>
      </c>
      <c r="D80" s="2">
        <v>0.63541666666666663</v>
      </c>
      <c r="E80" s="2">
        <v>0.88541666666666663</v>
      </c>
      <c r="F80">
        <v>30</v>
      </c>
      <c r="G80" s="2">
        <v>0.72916666666666663</v>
      </c>
      <c r="H80">
        <v>5.5</v>
      </c>
      <c r="I80" t="s">
        <v>100</v>
      </c>
      <c r="J80" t="s">
        <v>101</v>
      </c>
      <c r="K80" t="s">
        <v>192</v>
      </c>
      <c r="L80" t="s">
        <v>127</v>
      </c>
    </row>
    <row r="81" spans="1:12" x14ac:dyDescent="0.2">
      <c r="A81">
        <v>2970</v>
      </c>
      <c r="B81" t="s">
        <v>195</v>
      </c>
      <c r="C81" s="19">
        <v>45573</v>
      </c>
      <c r="D81" s="2">
        <v>0.63541666666666663</v>
      </c>
      <c r="E81" s="2">
        <v>0.94791666666666663</v>
      </c>
      <c r="F81">
        <v>30</v>
      </c>
      <c r="G81" s="2">
        <v>0.72916666666666663</v>
      </c>
      <c r="H81">
        <v>7</v>
      </c>
      <c r="I81" t="s">
        <v>100</v>
      </c>
      <c r="J81" t="s">
        <v>101</v>
      </c>
      <c r="K81" t="s">
        <v>193</v>
      </c>
      <c r="L81" t="s">
        <v>127</v>
      </c>
    </row>
    <row r="82" spans="1:12" x14ac:dyDescent="0.2">
      <c r="A82">
        <v>5496</v>
      </c>
      <c r="B82" t="s">
        <v>167</v>
      </c>
      <c r="C82" s="19">
        <v>45573</v>
      </c>
      <c r="D82" s="2">
        <v>0.63541666666666663</v>
      </c>
      <c r="E82" s="2">
        <v>0.88541666666666663</v>
      </c>
      <c r="F82">
        <v>30</v>
      </c>
      <c r="G82" s="2">
        <v>0.72916666666666663</v>
      </c>
      <c r="H82">
        <v>5.5</v>
      </c>
      <c r="I82" t="s">
        <v>100</v>
      </c>
      <c r="J82" t="s">
        <v>101</v>
      </c>
      <c r="K82" t="s">
        <v>112</v>
      </c>
      <c r="L82" t="s">
        <v>114</v>
      </c>
    </row>
    <row r="83" spans="1:12" x14ac:dyDescent="0.2">
      <c r="A83">
        <v>5227</v>
      </c>
      <c r="B83" t="s">
        <v>118</v>
      </c>
      <c r="C83" s="19">
        <v>45573</v>
      </c>
      <c r="D83" s="2">
        <v>0.63541666666666663</v>
      </c>
      <c r="E83" s="2">
        <v>0.88541666666666663</v>
      </c>
      <c r="F83">
        <v>30</v>
      </c>
      <c r="G83" s="2">
        <v>0.72916666666666663</v>
      </c>
      <c r="H83">
        <v>5.5</v>
      </c>
      <c r="I83" t="s">
        <v>100</v>
      </c>
      <c r="J83" t="s">
        <v>101</v>
      </c>
      <c r="K83" t="s">
        <v>123</v>
      </c>
      <c r="L83" t="s">
        <v>114</v>
      </c>
    </row>
    <row r="84" spans="1:12" x14ac:dyDescent="0.2">
      <c r="A84">
        <v>1933</v>
      </c>
      <c r="B84" t="s">
        <v>207</v>
      </c>
      <c r="C84" s="19">
        <v>45573</v>
      </c>
      <c r="D84" s="2">
        <v>0.88541666666666663</v>
      </c>
      <c r="E84" s="2">
        <v>0.30208333333333331</v>
      </c>
      <c r="F84">
        <v>0</v>
      </c>
      <c r="G84" s="2"/>
      <c r="H84">
        <v>10</v>
      </c>
      <c r="I84" t="s">
        <v>100</v>
      </c>
      <c r="J84" t="s">
        <v>101</v>
      </c>
      <c r="K84" t="s">
        <v>91</v>
      </c>
      <c r="L84" t="s">
        <v>102</v>
      </c>
    </row>
    <row r="85" spans="1:12" x14ac:dyDescent="0.2">
      <c r="A85">
        <v>5486</v>
      </c>
      <c r="B85" t="s">
        <v>141</v>
      </c>
      <c r="C85" s="19">
        <v>45573</v>
      </c>
      <c r="D85" s="2">
        <v>0.9375</v>
      </c>
      <c r="E85" s="2">
        <v>0.30208333333333331</v>
      </c>
      <c r="F85">
        <v>30</v>
      </c>
      <c r="G85" s="2">
        <v>0.14583333333333334</v>
      </c>
      <c r="H85">
        <v>8.25</v>
      </c>
      <c r="I85" t="s">
        <v>100</v>
      </c>
      <c r="J85" t="s">
        <v>101</v>
      </c>
      <c r="K85" t="s">
        <v>139</v>
      </c>
      <c r="L85" t="s">
        <v>127</v>
      </c>
    </row>
    <row r="86" spans="1:12" x14ac:dyDescent="0.2">
      <c r="A86">
        <v>5778</v>
      </c>
      <c r="B86" t="s">
        <v>145</v>
      </c>
      <c r="C86" s="19">
        <v>45573</v>
      </c>
      <c r="D86" s="2">
        <v>0.9375</v>
      </c>
      <c r="E86" s="2">
        <v>0.30208333333333331</v>
      </c>
      <c r="F86">
        <v>30</v>
      </c>
      <c r="G86" s="2">
        <v>0.14583333333333334</v>
      </c>
      <c r="H86">
        <v>8.25</v>
      </c>
      <c r="I86" t="s">
        <v>100</v>
      </c>
      <c r="J86" t="s">
        <v>101</v>
      </c>
      <c r="K86" t="s">
        <v>147</v>
      </c>
      <c r="L86" t="s">
        <v>127</v>
      </c>
    </row>
    <row r="87" spans="1:12" x14ac:dyDescent="0.2">
      <c r="A87">
        <v>1941</v>
      </c>
      <c r="B87" t="s">
        <v>138</v>
      </c>
      <c r="C87" s="19">
        <v>45573</v>
      </c>
      <c r="D87" s="2">
        <v>0.9375</v>
      </c>
      <c r="E87" s="2">
        <v>0.30208333333333331</v>
      </c>
      <c r="F87">
        <v>30</v>
      </c>
      <c r="G87" s="2">
        <v>0.14583333333333334</v>
      </c>
      <c r="H87">
        <v>8.25</v>
      </c>
      <c r="I87" t="s">
        <v>100</v>
      </c>
      <c r="J87" t="s">
        <v>101</v>
      </c>
      <c r="K87" t="s">
        <v>168</v>
      </c>
      <c r="L87" t="s">
        <v>127</v>
      </c>
    </row>
    <row r="88" spans="1:12" x14ac:dyDescent="0.2">
      <c r="A88">
        <v>153</v>
      </c>
      <c r="B88" t="s">
        <v>146</v>
      </c>
      <c r="C88" s="19">
        <v>45573</v>
      </c>
      <c r="D88" s="2">
        <v>0.9375</v>
      </c>
      <c r="E88" s="2">
        <v>0.30208333333333331</v>
      </c>
      <c r="F88">
        <v>30</v>
      </c>
      <c r="G88" s="2">
        <v>0.14583333333333334</v>
      </c>
      <c r="H88">
        <v>8.25</v>
      </c>
      <c r="I88" t="s">
        <v>100</v>
      </c>
      <c r="J88" t="s">
        <v>101</v>
      </c>
      <c r="K88" t="s">
        <v>179</v>
      </c>
      <c r="L88" t="s">
        <v>127</v>
      </c>
    </row>
    <row r="89" spans="1:12" x14ac:dyDescent="0.2">
      <c r="A89">
        <v>5746</v>
      </c>
      <c r="B89" t="s">
        <v>149</v>
      </c>
      <c r="C89" s="19">
        <v>45573</v>
      </c>
      <c r="D89" s="2">
        <v>0.9375</v>
      </c>
      <c r="E89" s="2">
        <v>0.30208333333333331</v>
      </c>
      <c r="F89">
        <v>30</v>
      </c>
      <c r="G89" s="2">
        <v>0.14583333333333334</v>
      </c>
      <c r="H89">
        <v>8.25</v>
      </c>
      <c r="I89" t="s">
        <v>100</v>
      </c>
      <c r="J89" t="s">
        <v>101</v>
      </c>
      <c r="K89" t="s">
        <v>185</v>
      </c>
      <c r="L89" t="s">
        <v>127</v>
      </c>
    </row>
    <row r="90" spans="1:12" x14ac:dyDescent="0.2">
      <c r="A90">
        <v>3016</v>
      </c>
      <c r="B90" t="s">
        <v>172</v>
      </c>
      <c r="C90" s="19">
        <v>45573</v>
      </c>
      <c r="D90" s="2">
        <v>0.9375</v>
      </c>
      <c r="E90" s="2">
        <v>0.30208333333333331</v>
      </c>
      <c r="F90">
        <v>30</v>
      </c>
      <c r="G90" s="2">
        <v>0.14583333333333334</v>
      </c>
      <c r="H90">
        <v>8.25</v>
      </c>
      <c r="I90" t="s">
        <v>100</v>
      </c>
      <c r="J90" t="s">
        <v>101</v>
      </c>
      <c r="K90" t="s">
        <v>197</v>
      </c>
      <c r="L90" t="s">
        <v>127</v>
      </c>
    </row>
    <row r="91" spans="1:12" x14ac:dyDescent="0.2">
      <c r="A91">
        <v>5782</v>
      </c>
      <c r="B91" t="s">
        <v>164</v>
      </c>
      <c r="C91" s="19">
        <v>45574</v>
      </c>
      <c r="D91" s="2">
        <v>0.29166666666666669</v>
      </c>
      <c r="E91" s="2">
        <v>0.5625</v>
      </c>
      <c r="F91">
        <v>30</v>
      </c>
      <c r="G91" s="2">
        <v>0.5</v>
      </c>
      <c r="H91">
        <v>6</v>
      </c>
      <c r="I91" t="s">
        <v>100</v>
      </c>
      <c r="J91" t="s">
        <v>101</v>
      </c>
      <c r="K91" t="s">
        <v>126</v>
      </c>
      <c r="L91" t="s">
        <v>127</v>
      </c>
    </row>
    <row r="92" spans="1:12" x14ac:dyDescent="0.2">
      <c r="A92">
        <v>4848</v>
      </c>
      <c r="B92" t="s">
        <v>125</v>
      </c>
      <c r="C92" s="19">
        <v>45574</v>
      </c>
      <c r="D92" s="2">
        <v>0.29166666666666669</v>
      </c>
      <c r="E92" s="2">
        <v>0.64583333333333337</v>
      </c>
      <c r="F92">
        <v>30</v>
      </c>
      <c r="G92" s="2">
        <v>0.5</v>
      </c>
      <c r="H92">
        <v>8</v>
      </c>
      <c r="I92" t="s">
        <v>100</v>
      </c>
      <c r="J92" t="s">
        <v>101</v>
      </c>
      <c r="K92" t="s">
        <v>157</v>
      </c>
      <c r="L92" t="s">
        <v>127</v>
      </c>
    </row>
    <row r="93" spans="1:12" x14ac:dyDescent="0.2">
      <c r="A93">
        <v>5729</v>
      </c>
      <c r="B93" t="s">
        <v>165</v>
      </c>
      <c r="C93" s="19">
        <v>45574</v>
      </c>
      <c r="D93" s="2">
        <v>0.29166666666666669</v>
      </c>
      <c r="E93" s="2">
        <v>0.5625</v>
      </c>
      <c r="F93">
        <v>30</v>
      </c>
      <c r="G93" s="2">
        <v>0.47916666666666669</v>
      </c>
      <c r="H93">
        <v>6</v>
      </c>
      <c r="I93" t="s">
        <v>100</v>
      </c>
      <c r="J93" t="s">
        <v>101</v>
      </c>
      <c r="K93" t="s">
        <v>157</v>
      </c>
      <c r="L93" t="s">
        <v>127</v>
      </c>
    </row>
    <row r="94" spans="1:12" x14ac:dyDescent="0.2">
      <c r="A94">
        <v>2720</v>
      </c>
      <c r="B94" t="s">
        <v>173</v>
      </c>
      <c r="C94" s="19">
        <v>45574</v>
      </c>
      <c r="D94" s="2">
        <v>0.29166666666666669</v>
      </c>
      <c r="E94" s="2">
        <v>0.64583333333333337</v>
      </c>
      <c r="F94">
        <v>30</v>
      </c>
      <c r="G94" s="2">
        <v>0.47916666666666669</v>
      </c>
      <c r="H94">
        <v>8</v>
      </c>
      <c r="I94" t="s">
        <v>100</v>
      </c>
      <c r="J94" t="s">
        <v>101</v>
      </c>
      <c r="K94" t="s">
        <v>168</v>
      </c>
      <c r="L94" t="s">
        <v>127</v>
      </c>
    </row>
    <row r="95" spans="1:12" x14ac:dyDescent="0.2">
      <c r="A95">
        <v>5661</v>
      </c>
      <c r="B95" t="s">
        <v>133</v>
      </c>
      <c r="C95" s="19">
        <v>45574</v>
      </c>
      <c r="D95" s="2">
        <v>0.29166666666666669</v>
      </c>
      <c r="E95" s="2">
        <v>0.72916666666666663</v>
      </c>
      <c r="F95">
        <v>30</v>
      </c>
      <c r="G95" s="2">
        <v>0.47916666666666669</v>
      </c>
      <c r="H95">
        <v>10</v>
      </c>
      <c r="I95" t="s">
        <v>100</v>
      </c>
      <c r="J95" t="s">
        <v>101</v>
      </c>
      <c r="K95" t="s">
        <v>175</v>
      </c>
      <c r="L95" t="s">
        <v>127</v>
      </c>
    </row>
    <row r="96" spans="1:12" x14ac:dyDescent="0.2">
      <c r="A96">
        <v>5646</v>
      </c>
      <c r="B96" t="s">
        <v>219</v>
      </c>
      <c r="C96" s="19">
        <v>45574</v>
      </c>
      <c r="D96" s="2">
        <v>0.29166666666666669</v>
      </c>
      <c r="E96" s="2">
        <v>0.5625</v>
      </c>
      <c r="F96">
        <v>30</v>
      </c>
      <c r="G96" s="2">
        <v>0.47916666666666669</v>
      </c>
      <c r="H96">
        <v>6</v>
      </c>
      <c r="I96" t="s">
        <v>100</v>
      </c>
      <c r="J96" t="s">
        <v>101</v>
      </c>
      <c r="K96" t="s">
        <v>178</v>
      </c>
      <c r="L96" t="s">
        <v>127</v>
      </c>
    </row>
    <row r="97" spans="1:12" x14ac:dyDescent="0.2">
      <c r="A97">
        <v>4460</v>
      </c>
      <c r="B97" t="s">
        <v>180</v>
      </c>
      <c r="C97" s="19">
        <v>45574</v>
      </c>
      <c r="D97" s="2">
        <v>0.29166666666666669</v>
      </c>
      <c r="E97" s="2">
        <v>0.5625</v>
      </c>
      <c r="F97">
        <v>30</v>
      </c>
      <c r="G97" s="2">
        <v>0.5</v>
      </c>
      <c r="H97">
        <v>6</v>
      </c>
      <c r="I97" t="s">
        <v>100</v>
      </c>
      <c r="J97" t="s">
        <v>101</v>
      </c>
      <c r="K97" t="s">
        <v>179</v>
      </c>
      <c r="L97" t="s">
        <v>127</v>
      </c>
    </row>
    <row r="98" spans="1:12" x14ac:dyDescent="0.2">
      <c r="A98">
        <v>5574</v>
      </c>
      <c r="B98" t="s">
        <v>154</v>
      </c>
      <c r="C98" s="19">
        <v>45574</v>
      </c>
      <c r="D98" s="2">
        <v>0.29166666666666669</v>
      </c>
      <c r="E98" s="2">
        <v>0.64583333333333337</v>
      </c>
      <c r="F98">
        <v>30</v>
      </c>
      <c r="G98" s="2">
        <v>0.47916666666666669</v>
      </c>
      <c r="H98">
        <v>8</v>
      </c>
      <c r="I98" t="s">
        <v>100</v>
      </c>
      <c r="J98" t="s">
        <v>101</v>
      </c>
      <c r="K98" t="s">
        <v>184</v>
      </c>
      <c r="L98" t="s">
        <v>127</v>
      </c>
    </row>
    <row r="99" spans="1:12" x14ac:dyDescent="0.2">
      <c r="A99">
        <v>5291</v>
      </c>
      <c r="B99" t="s">
        <v>177</v>
      </c>
      <c r="C99" s="19">
        <v>45574</v>
      </c>
      <c r="D99" s="2">
        <v>0.29166666666666669</v>
      </c>
      <c r="E99" s="2">
        <v>0.64583333333333337</v>
      </c>
      <c r="F99">
        <v>30</v>
      </c>
      <c r="G99" s="2">
        <v>0.5</v>
      </c>
      <c r="H99">
        <v>8</v>
      </c>
      <c r="I99" t="s">
        <v>100</v>
      </c>
      <c r="J99" t="s">
        <v>101</v>
      </c>
      <c r="K99" t="s">
        <v>185</v>
      </c>
      <c r="L99" t="s">
        <v>127</v>
      </c>
    </row>
    <row r="100" spans="1:12" x14ac:dyDescent="0.2">
      <c r="A100">
        <v>4979</v>
      </c>
      <c r="B100" t="s">
        <v>158</v>
      </c>
      <c r="C100" s="19">
        <v>45574</v>
      </c>
      <c r="D100" s="2">
        <v>0.29166666666666669</v>
      </c>
      <c r="E100" s="2">
        <v>0.64583333333333337</v>
      </c>
      <c r="F100">
        <v>30</v>
      </c>
      <c r="G100" s="2">
        <v>0.47916666666666669</v>
      </c>
      <c r="H100">
        <v>8</v>
      </c>
      <c r="I100" t="s">
        <v>100</v>
      </c>
      <c r="J100" t="s">
        <v>101</v>
      </c>
      <c r="K100" t="s">
        <v>187</v>
      </c>
      <c r="L100" t="s">
        <v>127</v>
      </c>
    </row>
    <row r="101" spans="1:12" x14ac:dyDescent="0.2">
      <c r="A101">
        <v>5690</v>
      </c>
      <c r="B101" t="s">
        <v>174</v>
      </c>
      <c r="C101" s="19">
        <v>45574</v>
      </c>
      <c r="D101" s="2">
        <v>0.29166666666666669</v>
      </c>
      <c r="E101" s="2">
        <v>0.64583333333333337</v>
      </c>
      <c r="F101">
        <v>30</v>
      </c>
      <c r="G101" s="2">
        <v>0.5</v>
      </c>
      <c r="H101">
        <v>8</v>
      </c>
      <c r="I101" t="s">
        <v>100</v>
      </c>
      <c r="J101" t="s">
        <v>101</v>
      </c>
      <c r="K101" t="s">
        <v>188</v>
      </c>
      <c r="L101" t="s">
        <v>127</v>
      </c>
    </row>
    <row r="102" spans="1:12" x14ac:dyDescent="0.2">
      <c r="A102">
        <v>5542</v>
      </c>
      <c r="B102" t="s">
        <v>190</v>
      </c>
      <c r="C102" s="19">
        <v>45574</v>
      </c>
      <c r="D102" s="2">
        <v>0.29166666666666669</v>
      </c>
      <c r="E102" s="2">
        <v>0.64583333333333337</v>
      </c>
      <c r="F102">
        <v>30</v>
      </c>
      <c r="G102" s="2">
        <v>0.47916666666666669</v>
      </c>
      <c r="H102">
        <v>8</v>
      </c>
      <c r="I102" t="s">
        <v>100</v>
      </c>
      <c r="J102" t="s">
        <v>101</v>
      </c>
      <c r="K102" t="s">
        <v>189</v>
      </c>
      <c r="L102" t="s">
        <v>127</v>
      </c>
    </row>
    <row r="103" spans="1:12" x14ac:dyDescent="0.2">
      <c r="A103">
        <v>283</v>
      </c>
      <c r="B103" t="s">
        <v>171</v>
      </c>
      <c r="C103" s="19">
        <v>45574</v>
      </c>
      <c r="D103" s="2">
        <v>0.29166666666666669</v>
      </c>
      <c r="E103" s="2">
        <v>0.64583333333333337</v>
      </c>
      <c r="F103">
        <v>30</v>
      </c>
      <c r="G103" s="2">
        <v>0.47916666666666669</v>
      </c>
      <c r="H103">
        <v>8</v>
      </c>
      <c r="I103" t="s">
        <v>100</v>
      </c>
      <c r="J103" t="s">
        <v>101</v>
      </c>
      <c r="K103" t="s">
        <v>193</v>
      </c>
      <c r="L103" t="s">
        <v>127</v>
      </c>
    </row>
    <row r="104" spans="1:12" x14ac:dyDescent="0.2">
      <c r="A104">
        <v>5831</v>
      </c>
      <c r="B104" t="s">
        <v>217</v>
      </c>
      <c r="C104" s="19">
        <v>45574</v>
      </c>
      <c r="D104" s="2">
        <v>0.29166666666666669</v>
      </c>
      <c r="E104" s="2">
        <v>0.64583333333333337</v>
      </c>
      <c r="F104">
        <v>30</v>
      </c>
      <c r="G104" s="2">
        <v>0.5</v>
      </c>
      <c r="H104">
        <v>8</v>
      </c>
      <c r="I104" t="s">
        <v>100</v>
      </c>
      <c r="J104" t="s">
        <v>101</v>
      </c>
      <c r="K104" t="s">
        <v>196</v>
      </c>
      <c r="L104" t="s">
        <v>127</v>
      </c>
    </row>
    <row r="105" spans="1:12" x14ac:dyDescent="0.2">
      <c r="A105">
        <v>5711</v>
      </c>
      <c r="B105" t="s">
        <v>117</v>
      </c>
      <c r="C105" s="19">
        <v>45574</v>
      </c>
      <c r="D105" s="2">
        <v>0.29166666666666669</v>
      </c>
      <c r="E105" s="2">
        <v>0.58333333333333337</v>
      </c>
      <c r="F105">
        <v>30</v>
      </c>
      <c r="G105" s="2">
        <v>0.5</v>
      </c>
      <c r="H105">
        <v>6.5</v>
      </c>
      <c r="I105" t="s">
        <v>100</v>
      </c>
      <c r="J105" t="s">
        <v>101</v>
      </c>
      <c r="K105" t="s">
        <v>103</v>
      </c>
      <c r="L105" t="s">
        <v>114</v>
      </c>
    </row>
    <row r="106" spans="1:12" x14ac:dyDescent="0.2">
      <c r="A106">
        <v>5713</v>
      </c>
      <c r="B106" t="s">
        <v>128</v>
      </c>
      <c r="C106" s="19">
        <v>45574</v>
      </c>
      <c r="D106" s="2">
        <v>0.29166666666666669</v>
      </c>
      <c r="E106" s="2">
        <v>0.64583333333333337</v>
      </c>
      <c r="F106">
        <v>30</v>
      </c>
      <c r="G106" s="2">
        <v>0.5</v>
      </c>
      <c r="H106">
        <v>8</v>
      </c>
      <c r="I106" t="s">
        <v>100</v>
      </c>
      <c r="J106" t="s">
        <v>101</v>
      </c>
      <c r="K106" t="s">
        <v>112</v>
      </c>
      <c r="L106" t="s">
        <v>114</v>
      </c>
    </row>
    <row r="107" spans="1:12" x14ac:dyDescent="0.2">
      <c r="A107">
        <v>5538</v>
      </c>
      <c r="B107" t="s">
        <v>104</v>
      </c>
      <c r="C107" s="19">
        <v>45574</v>
      </c>
      <c r="D107" s="2">
        <v>0.29166666666666669</v>
      </c>
      <c r="E107" s="2">
        <v>0.64583333333333337</v>
      </c>
      <c r="F107">
        <v>30</v>
      </c>
      <c r="G107" s="2">
        <v>0.5</v>
      </c>
      <c r="H107">
        <v>8</v>
      </c>
      <c r="I107" t="s">
        <v>100</v>
      </c>
      <c r="J107" t="s">
        <v>101</v>
      </c>
      <c r="K107" t="s">
        <v>112</v>
      </c>
      <c r="L107" t="s">
        <v>102</v>
      </c>
    </row>
    <row r="108" spans="1:12" x14ac:dyDescent="0.2">
      <c r="A108">
        <v>5555</v>
      </c>
      <c r="B108" t="s">
        <v>109</v>
      </c>
      <c r="C108" s="19">
        <v>45574</v>
      </c>
      <c r="D108" s="2">
        <v>0.29166666666666669</v>
      </c>
      <c r="E108" s="2">
        <v>0.64583333333333337</v>
      </c>
      <c r="F108">
        <v>30</v>
      </c>
      <c r="G108" s="2">
        <v>0.5</v>
      </c>
      <c r="H108">
        <v>8</v>
      </c>
      <c r="I108" t="s">
        <v>100</v>
      </c>
      <c r="J108" t="s">
        <v>101</v>
      </c>
      <c r="K108" t="s">
        <v>103</v>
      </c>
      <c r="L108" t="s">
        <v>102</v>
      </c>
    </row>
    <row r="109" spans="1:12" x14ac:dyDescent="0.2">
      <c r="A109">
        <v>4947</v>
      </c>
      <c r="B109" t="s">
        <v>110</v>
      </c>
      <c r="C109" s="19">
        <v>45574</v>
      </c>
      <c r="D109" s="2">
        <v>0.29166666666666669</v>
      </c>
      <c r="E109" s="2">
        <v>0.64583333333333337</v>
      </c>
      <c r="F109">
        <v>30</v>
      </c>
      <c r="G109" s="2">
        <v>0.5</v>
      </c>
      <c r="H109">
        <v>8</v>
      </c>
      <c r="I109" t="s">
        <v>100</v>
      </c>
      <c r="J109" t="s">
        <v>101</v>
      </c>
      <c r="K109" t="s">
        <v>112</v>
      </c>
      <c r="L109" t="s">
        <v>102</v>
      </c>
    </row>
    <row r="110" spans="1:12" x14ac:dyDescent="0.2">
      <c r="A110">
        <v>5728</v>
      </c>
      <c r="B110" t="s">
        <v>108</v>
      </c>
      <c r="C110" s="19">
        <v>45574</v>
      </c>
      <c r="D110" s="2">
        <v>0.33333333333333331</v>
      </c>
      <c r="E110" s="2">
        <v>0.58333333333333337</v>
      </c>
      <c r="F110">
        <v>30</v>
      </c>
      <c r="G110" s="2">
        <v>0.5</v>
      </c>
      <c r="H110">
        <v>5.5</v>
      </c>
      <c r="I110" t="s">
        <v>100</v>
      </c>
      <c r="J110" t="s">
        <v>101</v>
      </c>
      <c r="K110" t="s">
        <v>103</v>
      </c>
      <c r="L110" t="s">
        <v>102</v>
      </c>
    </row>
    <row r="111" spans="1:12" x14ac:dyDescent="0.2">
      <c r="A111">
        <v>5139</v>
      </c>
      <c r="B111" t="s">
        <v>111</v>
      </c>
      <c r="C111" s="19">
        <v>45574</v>
      </c>
      <c r="D111" s="2">
        <v>0.58333333333333337</v>
      </c>
      <c r="E111" s="2">
        <v>0.9375</v>
      </c>
      <c r="F111">
        <v>30</v>
      </c>
      <c r="G111" s="2">
        <v>0.72916666666666663</v>
      </c>
      <c r="H111">
        <v>8</v>
      </c>
      <c r="I111" t="s">
        <v>100</v>
      </c>
      <c r="J111" t="s">
        <v>101</v>
      </c>
      <c r="K111" t="s">
        <v>112</v>
      </c>
      <c r="L111" t="s">
        <v>102</v>
      </c>
    </row>
    <row r="112" spans="1:12" x14ac:dyDescent="0.2">
      <c r="A112">
        <v>5382</v>
      </c>
      <c r="B112" t="s">
        <v>206</v>
      </c>
      <c r="C112" s="19">
        <v>45574</v>
      </c>
      <c r="D112" s="2">
        <v>0.58333333333333337</v>
      </c>
      <c r="E112" s="2">
        <v>0.9375</v>
      </c>
      <c r="F112">
        <v>30</v>
      </c>
      <c r="G112" s="2">
        <v>0.72916666666666663</v>
      </c>
      <c r="H112">
        <v>8</v>
      </c>
      <c r="I112" t="s">
        <v>100</v>
      </c>
      <c r="J112" t="s">
        <v>101</v>
      </c>
      <c r="K112" t="s">
        <v>103</v>
      </c>
      <c r="L112" t="s">
        <v>102</v>
      </c>
    </row>
    <row r="113" spans="1:12" x14ac:dyDescent="0.2">
      <c r="A113">
        <v>5829</v>
      </c>
      <c r="B113" t="s">
        <v>212</v>
      </c>
      <c r="C113" s="19">
        <v>45574</v>
      </c>
      <c r="D113" s="2">
        <v>0.63541666666666663</v>
      </c>
      <c r="E113" s="2">
        <v>0.88541666666666663</v>
      </c>
      <c r="F113">
        <v>30</v>
      </c>
      <c r="G113" s="2">
        <v>0.72916666666666663</v>
      </c>
      <c r="H113">
        <v>5.5</v>
      </c>
      <c r="I113" t="s">
        <v>100</v>
      </c>
      <c r="J113" t="s">
        <v>101</v>
      </c>
      <c r="K113" t="s">
        <v>126</v>
      </c>
      <c r="L113" t="s">
        <v>127</v>
      </c>
    </row>
    <row r="114" spans="1:12" x14ac:dyDescent="0.2">
      <c r="A114">
        <v>5781</v>
      </c>
      <c r="B114" t="s">
        <v>155</v>
      </c>
      <c r="C114" s="19">
        <v>45574</v>
      </c>
      <c r="D114" s="2">
        <v>0.63541666666666663</v>
      </c>
      <c r="E114" s="2">
        <v>0.88541666666666663</v>
      </c>
      <c r="F114">
        <v>30</v>
      </c>
      <c r="G114" s="2">
        <v>0.84375</v>
      </c>
      <c r="H114">
        <v>5.5</v>
      </c>
      <c r="I114" t="s">
        <v>100</v>
      </c>
      <c r="J114" t="s">
        <v>101</v>
      </c>
      <c r="K114" t="s">
        <v>153</v>
      </c>
      <c r="L114" t="s">
        <v>127</v>
      </c>
    </row>
    <row r="115" spans="1:12" x14ac:dyDescent="0.2">
      <c r="A115">
        <v>5496</v>
      </c>
      <c r="B115" t="s">
        <v>167</v>
      </c>
      <c r="C115" s="19">
        <v>45574</v>
      </c>
      <c r="D115" s="2">
        <v>0.63541666666666663</v>
      </c>
      <c r="E115" s="2">
        <v>0.94791666666666663</v>
      </c>
      <c r="F115">
        <v>30</v>
      </c>
      <c r="G115" s="2">
        <v>0.72916666666666663</v>
      </c>
      <c r="H115">
        <v>7</v>
      </c>
      <c r="I115" t="s">
        <v>100</v>
      </c>
      <c r="J115" t="s">
        <v>101</v>
      </c>
      <c r="K115" t="s">
        <v>157</v>
      </c>
      <c r="L115" t="s">
        <v>127</v>
      </c>
    </row>
    <row r="116" spans="1:12" x14ac:dyDescent="0.2">
      <c r="A116">
        <v>5810</v>
      </c>
      <c r="B116" t="s">
        <v>213</v>
      </c>
      <c r="C116" s="19">
        <v>45574</v>
      </c>
      <c r="D116" s="2">
        <v>0.63541666666666663</v>
      </c>
      <c r="E116" s="2">
        <v>0.94791666666666663</v>
      </c>
      <c r="F116">
        <v>30</v>
      </c>
      <c r="G116" s="2">
        <v>0.72916666666666663</v>
      </c>
      <c r="H116">
        <v>7</v>
      </c>
      <c r="I116" t="s">
        <v>100</v>
      </c>
      <c r="J116" t="s">
        <v>101</v>
      </c>
      <c r="K116" t="s">
        <v>168</v>
      </c>
      <c r="L116" t="s">
        <v>127</v>
      </c>
    </row>
    <row r="117" spans="1:12" x14ac:dyDescent="0.2">
      <c r="A117">
        <v>5745</v>
      </c>
      <c r="B117" t="s">
        <v>176</v>
      </c>
      <c r="C117" s="19">
        <v>45574</v>
      </c>
      <c r="D117" s="2">
        <v>0.63541666666666663</v>
      </c>
      <c r="E117" s="2">
        <v>0.88541666666666663</v>
      </c>
      <c r="F117">
        <v>30</v>
      </c>
      <c r="G117" s="2">
        <v>0.72916666666666663</v>
      </c>
      <c r="H117">
        <v>5.5</v>
      </c>
      <c r="I117" t="s">
        <v>100</v>
      </c>
      <c r="J117" t="s">
        <v>101</v>
      </c>
      <c r="K117" t="s">
        <v>175</v>
      </c>
      <c r="L117" t="s">
        <v>127</v>
      </c>
    </row>
    <row r="118" spans="1:12" x14ac:dyDescent="0.2">
      <c r="A118">
        <v>5786</v>
      </c>
      <c r="B118" t="s">
        <v>162</v>
      </c>
      <c r="C118" s="19">
        <v>45574</v>
      </c>
      <c r="D118" s="2">
        <v>0.63541666666666663</v>
      </c>
      <c r="E118" s="2">
        <v>0.94791666666666663</v>
      </c>
      <c r="F118">
        <v>30</v>
      </c>
      <c r="G118" s="2">
        <v>0.72916666666666663</v>
      </c>
      <c r="H118">
        <v>7</v>
      </c>
      <c r="I118" t="s">
        <v>100</v>
      </c>
      <c r="J118" t="s">
        <v>101</v>
      </c>
      <c r="K118" t="s">
        <v>179</v>
      </c>
      <c r="L118" t="s">
        <v>127</v>
      </c>
    </row>
    <row r="119" spans="1:12" x14ac:dyDescent="0.2">
      <c r="A119">
        <v>5531</v>
      </c>
      <c r="B119" t="s">
        <v>132</v>
      </c>
      <c r="C119" s="19">
        <v>45574</v>
      </c>
      <c r="D119" s="2">
        <v>0.63541666666666663</v>
      </c>
      <c r="E119" s="2">
        <v>0.88541666666666663</v>
      </c>
      <c r="F119">
        <v>30</v>
      </c>
      <c r="G119" s="2">
        <v>0.72916666666666663</v>
      </c>
      <c r="H119">
        <v>5.5</v>
      </c>
      <c r="I119" t="s">
        <v>100</v>
      </c>
      <c r="J119" t="s">
        <v>101</v>
      </c>
      <c r="K119" t="s">
        <v>184</v>
      </c>
      <c r="L119" t="s">
        <v>127</v>
      </c>
    </row>
    <row r="120" spans="1:12" x14ac:dyDescent="0.2">
      <c r="A120">
        <v>5835</v>
      </c>
      <c r="B120" t="s">
        <v>215</v>
      </c>
      <c r="C120" s="19">
        <v>45574</v>
      </c>
      <c r="D120" s="2">
        <v>0.63541666666666663</v>
      </c>
      <c r="E120" s="2">
        <v>0.94791666666666663</v>
      </c>
      <c r="F120">
        <v>30</v>
      </c>
      <c r="G120" s="2">
        <v>0.72916666666666663</v>
      </c>
      <c r="H120">
        <v>7</v>
      </c>
      <c r="I120" t="s">
        <v>100</v>
      </c>
      <c r="J120" t="s">
        <v>101</v>
      </c>
      <c r="K120" t="s">
        <v>185</v>
      </c>
      <c r="L120" t="s">
        <v>127</v>
      </c>
    </row>
    <row r="121" spans="1:12" x14ac:dyDescent="0.2">
      <c r="A121">
        <v>3572</v>
      </c>
      <c r="B121" t="s">
        <v>156</v>
      </c>
      <c r="C121" s="19">
        <v>45574</v>
      </c>
      <c r="D121" s="2">
        <v>0.63541666666666663</v>
      </c>
      <c r="E121" s="2">
        <v>0.88541666666666663</v>
      </c>
      <c r="F121">
        <v>30</v>
      </c>
      <c r="G121" s="2">
        <v>0.72916666666666663</v>
      </c>
      <c r="H121">
        <v>5.5</v>
      </c>
      <c r="I121" t="s">
        <v>100</v>
      </c>
      <c r="J121" t="s">
        <v>101</v>
      </c>
      <c r="K121" t="s">
        <v>187</v>
      </c>
      <c r="L121" t="s">
        <v>127</v>
      </c>
    </row>
    <row r="122" spans="1:12" x14ac:dyDescent="0.2">
      <c r="A122">
        <v>94</v>
      </c>
      <c r="B122" t="s">
        <v>137</v>
      </c>
      <c r="C122" s="19">
        <v>45574</v>
      </c>
      <c r="D122" s="2">
        <v>0.63541666666666663</v>
      </c>
      <c r="E122" s="2">
        <v>0.94791666666666663</v>
      </c>
      <c r="F122">
        <v>30</v>
      </c>
      <c r="G122" s="2">
        <v>0.72916666666666663</v>
      </c>
      <c r="H122">
        <v>7</v>
      </c>
      <c r="I122" t="s">
        <v>100</v>
      </c>
      <c r="J122" t="s">
        <v>101</v>
      </c>
      <c r="K122" t="s">
        <v>189</v>
      </c>
      <c r="L122" t="s">
        <v>127</v>
      </c>
    </row>
    <row r="123" spans="1:12" x14ac:dyDescent="0.2">
      <c r="A123">
        <v>161</v>
      </c>
      <c r="B123" t="s">
        <v>191</v>
      </c>
      <c r="C123" s="19">
        <v>45574</v>
      </c>
      <c r="D123" s="2">
        <v>0.63541666666666663</v>
      </c>
      <c r="E123" s="2">
        <v>0.88541666666666663</v>
      </c>
      <c r="F123">
        <v>30</v>
      </c>
      <c r="G123" s="2">
        <v>0.72916666666666663</v>
      </c>
      <c r="H123">
        <v>5.5</v>
      </c>
      <c r="I123" t="s">
        <v>100</v>
      </c>
      <c r="J123" t="s">
        <v>101</v>
      </c>
      <c r="K123" t="s">
        <v>192</v>
      </c>
      <c r="L123" t="s">
        <v>127</v>
      </c>
    </row>
    <row r="124" spans="1:12" x14ac:dyDescent="0.2">
      <c r="A124">
        <v>5759</v>
      </c>
      <c r="B124" t="s">
        <v>131</v>
      </c>
      <c r="C124" s="19">
        <v>45574</v>
      </c>
      <c r="D124" s="2">
        <v>0.63541666666666663</v>
      </c>
      <c r="E124" s="2">
        <v>0.94791666666666663</v>
      </c>
      <c r="F124">
        <v>30</v>
      </c>
      <c r="G124" s="2">
        <v>0.72916666666666663</v>
      </c>
      <c r="H124">
        <v>7</v>
      </c>
      <c r="I124" t="s">
        <v>100</v>
      </c>
      <c r="J124" t="s">
        <v>101</v>
      </c>
      <c r="K124" t="s">
        <v>193</v>
      </c>
      <c r="L124" t="s">
        <v>127</v>
      </c>
    </row>
    <row r="125" spans="1:12" x14ac:dyDescent="0.2">
      <c r="A125">
        <v>5520</v>
      </c>
      <c r="B125" t="s">
        <v>170</v>
      </c>
      <c r="C125" s="19">
        <v>45574</v>
      </c>
      <c r="D125" s="2">
        <v>0.63541666666666663</v>
      </c>
      <c r="E125" s="2">
        <v>0.88541666666666663</v>
      </c>
      <c r="F125">
        <v>30</v>
      </c>
      <c r="G125" s="2">
        <v>0.72916666666666663</v>
      </c>
      <c r="H125">
        <v>5.5</v>
      </c>
      <c r="I125" t="s">
        <v>100</v>
      </c>
      <c r="J125" t="s">
        <v>101</v>
      </c>
      <c r="K125" t="s">
        <v>194</v>
      </c>
      <c r="L125" t="s">
        <v>127</v>
      </c>
    </row>
    <row r="126" spans="1:12" x14ac:dyDescent="0.2">
      <c r="A126">
        <v>5227</v>
      </c>
      <c r="B126" t="s">
        <v>118</v>
      </c>
      <c r="C126" s="19">
        <v>45574</v>
      </c>
      <c r="D126" s="2">
        <v>0.63541666666666663</v>
      </c>
      <c r="E126" s="2">
        <v>0.88541666666666663</v>
      </c>
      <c r="F126">
        <v>30</v>
      </c>
      <c r="G126" s="2">
        <v>0.72916666666666663</v>
      </c>
      <c r="H126">
        <v>5.5</v>
      </c>
      <c r="I126" t="s">
        <v>100</v>
      </c>
      <c r="J126" t="s">
        <v>101</v>
      </c>
      <c r="K126" t="s">
        <v>112</v>
      </c>
      <c r="L126" t="s">
        <v>114</v>
      </c>
    </row>
    <row r="127" spans="1:12" x14ac:dyDescent="0.2">
      <c r="A127">
        <v>5631</v>
      </c>
      <c r="B127" t="s">
        <v>182</v>
      </c>
      <c r="C127" s="19">
        <v>45574</v>
      </c>
      <c r="D127" s="2">
        <v>0.63541666666666663</v>
      </c>
      <c r="E127" s="2">
        <v>0.88541666666666663</v>
      </c>
      <c r="F127">
        <v>30</v>
      </c>
      <c r="G127" s="2">
        <v>0.72916666666666663</v>
      </c>
      <c r="H127">
        <v>5.5</v>
      </c>
      <c r="I127" t="s">
        <v>100</v>
      </c>
      <c r="J127" t="s">
        <v>101</v>
      </c>
      <c r="K127" t="s">
        <v>123</v>
      </c>
      <c r="L127" t="s">
        <v>114</v>
      </c>
    </row>
    <row r="128" spans="1:12" x14ac:dyDescent="0.2">
      <c r="A128">
        <v>1933</v>
      </c>
      <c r="B128" t="s">
        <v>207</v>
      </c>
      <c r="C128" s="19">
        <v>45574</v>
      </c>
      <c r="D128" s="2">
        <v>0.88541666666666663</v>
      </c>
      <c r="E128" s="2">
        <v>0.30208333333333331</v>
      </c>
      <c r="F128">
        <v>0</v>
      </c>
      <c r="G128" s="2"/>
      <c r="H128">
        <v>10</v>
      </c>
      <c r="I128" t="s">
        <v>100</v>
      </c>
      <c r="J128" t="s">
        <v>101</v>
      </c>
      <c r="K128" t="s">
        <v>91</v>
      </c>
      <c r="L128" t="s">
        <v>102</v>
      </c>
    </row>
    <row r="129" spans="1:12" x14ac:dyDescent="0.2">
      <c r="A129">
        <v>5503</v>
      </c>
      <c r="B129" t="s">
        <v>142</v>
      </c>
      <c r="C129" s="19">
        <v>45574</v>
      </c>
      <c r="D129" s="2">
        <v>0.9375</v>
      </c>
      <c r="E129" s="2">
        <v>0.30208333333333331</v>
      </c>
      <c r="F129">
        <v>30</v>
      </c>
      <c r="G129" s="2">
        <v>0.14583333333333334</v>
      </c>
      <c r="H129">
        <v>8.25</v>
      </c>
      <c r="I129" t="s">
        <v>100</v>
      </c>
      <c r="J129" t="s">
        <v>101</v>
      </c>
      <c r="K129" t="s">
        <v>139</v>
      </c>
      <c r="L129" t="s">
        <v>127</v>
      </c>
    </row>
    <row r="130" spans="1:12" x14ac:dyDescent="0.2">
      <c r="A130">
        <v>5746</v>
      </c>
      <c r="B130" t="s">
        <v>149</v>
      </c>
      <c r="C130" s="19">
        <v>45574</v>
      </c>
      <c r="D130" s="2">
        <v>0.9375</v>
      </c>
      <c r="E130" s="2">
        <v>0.30208333333333331</v>
      </c>
      <c r="F130">
        <v>30</v>
      </c>
      <c r="G130" s="2">
        <v>0.14583333333333334</v>
      </c>
      <c r="H130">
        <v>8.25</v>
      </c>
      <c r="I130" t="s">
        <v>100</v>
      </c>
      <c r="J130" t="s">
        <v>101</v>
      </c>
      <c r="K130" t="s">
        <v>147</v>
      </c>
      <c r="L130" t="s">
        <v>127</v>
      </c>
    </row>
    <row r="131" spans="1:12" x14ac:dyDescent="0.2">
      <c r="A131">
        <v>5621</v>
      </c>
      <c r="B131" t="s">
        <v>144</v>
      </c>
      <c r="C131" s="19">
        <v>45574</v>
      </c>
      <c r="D131" s="2">
        <v>0.9375</v>
      </c>
      <c r="E131" s="2">
        <v>0.30208333333333331</v>
      </c>
      <c r="F131">
        <v>30</v>
      </c>
      <c r="G131" s="2">
        <v>0.14583333333333334</v>
      </c>
      <c r="H131">
        <v>8.25</v>
      </c>
      <c r="I131" t="s">
        <v>100</v>
      </c>
      <c r="J131" t="s">
        <v>101</v>
      </c>
      <c r="K131" t="s">
        <v>168</v>
      </c>
      <c r="L131" t="s">
        <v>127</v>
      </c>
    </row>
    <row r="132" spans="1:12" x14ac:dyDescent="0.2">
      <c r="A132">
        <v>3016</v>
      </c>
      <c r="B132" t="s">
        <v>172</v>
      </c>
      <c r="C132" s="19">
        <v>45574</v>
      </c>
      <c r="D132" s="2">
        <v>0.9375</v>
      </c>
      <c r="E132" s="2">
        <v>0.30208333333333331</v>
      </c>
      <c r="F132">
        <v>30</v>
      </c>
      <c r="G132" s="2">
        <v>0.14583333333333334</v>
      </c>
      <c r="H132">
        <v>8.25</v>
      </c>
      <c r="I132" t="s">
        <v>100</v>
      </c>
      <c r="J132" t="s">
        <v>101</v>
      </c>
      <c r="K132" t="s">
        <v>179</v>
      </c>
      <c r="L132" t="s">
        <v>127</v>
      </c>
    </row>
    <row r="133" spans="1:12" x14ac:dyDescent="0.2">
      <c r="A133">
        <v>5837</v>
      </c>
      <c r="B133" t="s">
        <v>211</v>
      </c>
      <c r="C133" s="19">
        <v>45574</v>
      </c>
      <c r="D133" s="2">
        <v>0.9375</v>
      </c>
      <c r="E133" s="2">
        <v>0.30208333333333331</v>
      </c>
      <c r="F133">
        <v>30</v>
      </c>
      <c r="G133" s="2">
        <v>0.14583333333333334</v>
      </c>
      <c r="H133">
        <v>8.25</v>
      </c>
      <c r="I133" t="s">
        <v>100</v>
      </c>
      <c r="J133" t="s">
        <v>101</v>
      </c>
      <c r="K133" t="s">
        <v>185</v>
      </c>
      <c r="L133" t="s">
        <v>127</v>
      </c>
    </row>
    <row r="134" spans="1:12" x14ac:dyDescent="0.2">
      <c r="A134">
        <v>5653</v>
      </c>
      <c r="B134" t="s">
        <v>143</v>
      </c>
      <c r="C134" s="19">
        <v>45574</v>
      </c>
      <c r="D134" s="2">
        <v>0.9375</v>
      </c>
      <c r="E134" s="2">
        <v>0.30208333333333331</v>
      </c>
      <c r="F134">
        <v>30</v>
      </c>
      <c r="G134" s="2">
        <v>0.14583333333333334</v>
      </c>
      <c r="H134">
        <v>8.25</v>
      </c>
      <c r="I134" t="s">
        <v>100</v>
      </c>
      <c r="J134" t="s">
        <v>101</v>
      </c>
      <c r="K134" t="s">
        <v>197</v>
      </c>
      <c r="L134" t="s">
        <v>127</v>
      </c>
    </row>
    <row r="135" spans="1:12" x14ac:dyDescent="0.2">
      <c r="A135">
        <v>4848</v>
      </c>
      <c r="B135" t="s">
        <v>125</v>
      </c>
      <c r="C135" s="19">
        <v>45575</v>
      </c>
      <c r="D135" s="2">
        <v>0.29166666666666669</v>
      </c>
      <c r="E135" s="2">
        <v>0.64583333333333337</v>
      </c>
      <c r="F135">
        <v>30</v>
      </c>
      <c r="G135" s="2">
        <v>0.5</v>
      </c>
      <c r="H135">
        <v>8</v>
      </c>
      <c r="I135" t="s">
        <v>100</v>
      </c>
      <c r="J135" t="s">
        <v>101</v>
      </c>
      <c r="K135" t="s">
        <v>157</v>
      </c>
      <c r="L135" t="s">
        <v>127</v>
      </c>
    </row>
    <row r="136" spans="1:12" x14ac:dyDescent="0.2">
      <c r="A136">
        <v>5729</v>
      </c>
      <c r="B136" t="s">
        <v>165</v>
      </c>
      <c r="C136" s="19">
        <v>45575</v>
      </c>
      <c r="D136" s="2">
        <v>0.29166666666666669</v>
      </c>
      <c r="E136" s="2">
        <v>0.5625</v>
      </c>
      <c r="F136">
        <v>30</v>
      </c>
      <c r="G136" s="2">
        <v>0.47916666666666669</v>
      </c>
      <c r="H136">
        <v>6</v>
      </c>
      <c r="I136" t="s">
        <v>100</v>
      </c>
      <c r="J136" t="s">
        <v>101</v>
      </c>
      <c r="K136" t="s">
        <v>157</v>
      </c>
      <c r="L136" t="s">
        <v>127</v>
      </c>
    </row>
    <row r="137" spans="1:12" x14ac:dyDescent="0.2">
      <c r="A137">
        <v>2720</v>
      </c>
      <c r="B137" t="s">
        <v>173</v>
      </c>
      <c r="C137" s="19">
        <v>45575</v>
      </c>
      <c r="D137" s="2">
        <v>0.29166666666666669</v>
      </c>
      <c r="E137" s="2">
        <v>0.64583333333333337</v>
      </c>
      <c r="F137">
        <v>30</v>
      </c>
      <c r="G137" s="2">
        <v>0.47916666666666669</v>
      </c>
      <c r="H137">
        <v>8</v>
      </c>
      <c r="I137" t="s">
        <v>100</v>
      </c>
      <c r="J137" t="s">
        <v>101</v>
      </c>
      <c r="K137" t="s">
        <v>168</v>
      </c>
      <c r="L137" t="s">
        <v>127</v>
      </c>
    </row>
    <row r="138" spans="1:12" x14ac:dyDescent="0.2">
      <c r="A138">
        <v>5781</v>
      </c>
      <c r="B138" t="s">
        <v>155</v>
      </c>
      <c r="C138" s="19">
        <v>45575</v>
      </c>
      <c r="D138" s="2">
        <v>0.29166666666666669</v>
      </c>
      <c r="E138" s="2">
        <v>0.64583333333333337</v>
      </c>
      <c r="F138">
        <v>30</v>
      </c>
      <c r="G138" s="2">
        <v>0.47916666666666669</v>
      </c>
      <c r="H138">
        <v>8</v>
      </c>
      <c r="I138" t="s">
        <v>100</v>
      </c>
      <c r="J138" t="s">
        <v>101</v>
      </c>
      <c r="K138" t="s">
        <v>175</v>
      </c>
      <c r="L138" t="s">
        <v>127</v>
      </c>
    </row>
    <row r="139" spans="1:12" x14ac:dyDescent="0.2">
      <c r="A139">
        <v>5804</v>
      </c>
      <c r="B139" t="s">
        <v>216</v>
      </c>
      <c r="C139" s="19">
        <v>45575</v>
      </c>
      <c r="D139" s="2">
        <v>0.29166666666666669</v>
      </c>
      <c r="E139" s="2">
        <v>0.5625</v>
      </c>
      <c r="F139">
        <v>30</v>
      </c>
      <c r="G139" s="2">
        <v>0.47916666666666669</v>
      </c>
      <c r="H139">
        <v>6</v>
      </c>
      <c r="I139" t="s">
        <v>100</v>
      </c>
      <c r="J139" t="s">
        <v>101</v>
      </c>
      <c r="K139" t="s">
        <v>178</v>
      </c>
      <c r="L139" t="s">
        <v>127</v>
      </c>
    </row>
    <row r="140" spans="1:12" x14ac:dyDescent="0.2">
      <c r="A140">
        <v>5831</v>
      </c>
      <c r="B140" t="s">
        <v>217</v>
      </c>
      <c r="C140" s="19">
        <v>45575</v>
      </c>
      <c r="D140" s="2">
        <v>0.29166666666666669</v>
      </c>
      <c r="E140" s="2">
        <v>0.5625</v>
      </c>
      <c r="F140">
        <v>30</v>
      </c>
      <c r="G140" s="2">
        <v>0.5</v>
      </c>
      <c r="H140">
        <v>6</v>
      </c>
      <c r="I140" t="s">
        <v>100</v>
      </c>
      <c r="J140" t="s">
        <v>101</v>
      </c>
      <c r="K140" t="s">
        <v>179</v>
      </c>
      <c r="L140" t="s">
        <v>127</v>
      </c>
    </row>
    <row r="141" spans="1:12" x14ac:dyDescent="0.2">
      <c r="A141">
        <v>4460</v>
      </c>
      <c r="B141" t="s">
        <v>180</v>
      </c>
      <c r="C141" s="19">
        <v>45575</v>
      </c>
      <c r="D141" s="2">
        <v>0.29166666666666669</v>
      </c>
      <c r="E141" s="2">
        <v>0.64583333333333337</v>
      </c>
      <c r="F141">
        <v>30</v>
      </c>
      <c r="G141" s="2">
        <v>0.47916666666666669</v>
      </c>
      <c r="H141">
        <v>8</v>
      </c>
      <c r="I141" t="s">
        <v>100</v>
      </c>
      <c r="J141" t="s">
        <v>101</v>
      </c>
      <c r="K141" t="s">
        <v>184</v>
      </c>
      <c r="L141" t="s">
        <v>127</v>
      </c>
    </row>
    <row r="142" spans="1:12" x14ac:dyDescent="0.2">
      <c r="A142">
        <v>5709</v>
      </c>
      <c r="B142" t="s">
        <v>159</v>
      </c>
      <c r="C142" s="19">
        <v>45575</v>
      </c>
      <c r="D142" s="2">
        <v>0.29166666666666669</v>
      </c>
      <c r="E142" s="2">
        <v>0.64583333333333337</v>
      </c>
      <c r="F142">
        <v>30</v>
      </c>
      <c r="G142" s="2">
        <v>0.5</v>
      </c>
      <c r="H142">
        <v>8</v>
      </c>
      <c r="I142" t="s">
        <v>100</v>
      </c>
      <c r="J142" t="s">
        <v>101</v>
      </c>
      <c r="K142" t="s">
        <v>185</v>
      </c>
      <c r="L142" t="s">
        <v>127</v>
      </c>
    </row>
    <row r="143" spans="1:12" x14ac:dyDescent="0.2">
      <c r="A143">
        <v>5782</v>
      </c>
      <c r="B143" t="s">
        <v>164</v>
      </c>
      <c r="C143" s="19">
        <v>45575</v>
      </c>
      <c r="D143" s="2">
        <v>0.29166666666666669</v>
      </c>
      <c r="E143" s="2">
        <v>0.64583333333333337</v>
      </c>
      <c r="F143">
        <v>30</v>
      </c>
      <c r="G143" s="2">
        <v>0.5</v>
      </c>
      <c r="H143">
        <v>8</v>
      </c>
      <c r="I143" t="s">
        <v>100</v>
      </c>
      <c r="J143" t="s">
        <v>101</v>
      </c>
      <c r="K143" t="s">
        <v>188</v>
      </c>
      <c r="L143" t="s">
        <v>127</v>
      </c>
    </row>
    <row r="144" spans="1:12" x14ac:dyDescent="0.2">
      <c r="A144">
        <v>5707</v>
      </c>
      <c r="B144" t="s">
        <v>119</v>
      </c>
      <c r="C144" s="19">
        <v>45575</v>
      </c>
      <c r="D144" s="2">
        <v>0.29166666666666669</v>
      </c>
      <c r="E144" s="2">
        <v>0.64583333333333337</v>
      </c>
      <c r="F144">
        <v>30</v>
      </c>
      <c r="G144" s="2">
        <v>0.47916666666666669</v>
      </c>
      <c r="H144">
        <v>8</v>
      </c>
      <c r="I144" t="s">
        <v>100</v>
      </c>
      <c r="J144" t="s">
        <v>101</v>
      </c>
      <c r="K144" t="s">
        <v>189</v>
      </c>
      <c r="L144" t="s">
        <v>127</v>
      </c>
    </row>
    <row r="145" spans="1:12" x14ac:dyDescent="0.2">
      <c r="A145">
        <v>5291</v>
      </c>
      <c r="B145" t="s">
        <v>177</v>
      </c>
      <c r="C145" s="19">
        <v>45575</v>
      </c>
      <c r="D145" s="2">
        <v>0.29166666666666669</v>
      </c>
      <c r="E145" s="2">
        <v>0.64583333333333337</v>
      </c>
      <c r="F145">
        <v>30</v>
      </c>
      <c r="G145" s="2">
        <v>0.47916666666666669</v>
      </c>
      <c r="H145">
        <v>8</v>
      </c>
      <c r="I145" t="s">
        <v>100</v>
      </c>
      <c r="J145" t="s">
        <v>101</v>
      </c>
      <c r="K145" t="s">
        <v>192</v>
      </c>
      <c r="L145" t="s">
        <v>127</v>
      </c>
    </row>
    <row r="146" spans="1:12" x14ac:dyDescent="0.2">
      <c r="A146">
        <v>5786</v>
      </c>
      <c r="B146" t="s">
        <v>162</v>
      </c>
      <c r="C146" s="19">
        <v>45575</v>
      </c>
      <c r="D146" s="2">
        <v>0.29166666666666669</v>
      </c>
      <c r="E146" s="2">
        <v>0.64583333333333337</v>
      </c>
      <c r="F146">
        <v>30</v>
      </c>
      <c r="G146" s="2">
        <v>0.47916666666666669</v>
      </c>
      <c r="H146">
        <v>8</v>
      </c>
      <c r="I146" t="s">
        <v>100</v>
      </c>
      <c r="J146" t="s">
        <v>101</v>
      </c>
      <c r="K146" t="s">
        <v>193</v>
      </c>
      <c r="L146" t="s">
        <v>127</v>
      </c>
    </row>
    <row r="147" spans="1:12" x14ac:dyDescent="0.2">
      <c r="A147">
        <v>5631</v>
      </c>
      <c r="B147" t="s">
        <v>182</v>
      </c>
      <c r="C147" s="19">
        <v>45575</v>
      </c>
      <c r="D147" s="2">
        <v>0.29166666666666669</v>
      </c>
      <c r="E147" s="2">
        <v>0.64583333333333337</v>
      </c>
      <c r="F147">
        <v>30</v>
      </c>
      <c r="G147" s="2">
        <v>0.5</v>
      </c>
      <c r="H147">
        <v>8</v>
      </c>
      <c r="I147" t="s">
        <v>100</v>
      </c>
      <c r="J147" t="s">
        <v>101</v>
      </c>
      <c r="K147" t="s">
        <v>103</v>
      </c>
      <c r="L147" t="s">
        <v>114</v>
      </c>
    </row>
    <row r="148" spans="1:12" x14ac:dyDescent="0.2">
      <c r="A148">
        <v>5713</v>
      </c>
      <c r="B148" t="s">
        <v>128</v>
      </c>
      <c r="C148" s="19">
        <v>45575</v>
      </c>
      <c r="D148" s="2">
        <v>0.29166666666666669</v>
      </c>
      <c r="E148" s="2">
        <v>0.64583333333333337</v>
      </c>
      <c r="F148">
        <v>30</v>
      </c>
      <c r="G148" s="2">
        <v>0.5</v>
      </c>
      <c r="H148">
        <v>8</v>
      </c>
      <c r="I148" t="s">
        <v>100</v>
      </c>
      <c r="J148" t="s">
        <v>101</v>
      </c>
      <c r="K148" t="s">
        <v>112</v>
      </c>
      <c r="L148" t="s">
        <v>114</v>
      </c>
    </row>
    <row r="149" spans="1:12" x14ac:dyDescent="0.2">
      <c r="A149">
        <v>5836</v>
      </c>
      <c r="B149" t="s">
        <v>209</v>
      </c>
      <c r="C149" s="19">
        <v>45575</v>
      </c>
      <c r="D149" s="2">
        <v>0.29166666666666669</v>
      </c>
      <c r="E149" s="2">
        <v>0.64583333333333337</v>
      </c>
      <c r="F149">
        <v>30</v>
      </c>
      <c r="G149" s="2">
        <v>0.5</v>
      </c>
      <c r="H149">
        <v>8</v>
      </c>
      <c r="I149" t="s">
        <v>100</v>
      </c>
      <c r="J149" t="s">
        <v>101</v>
      </c>
      <c r="K149" t="s">
        <v>103</v>
      </c>
      <c r="L149" t="s">
        <v>102</v>
      </c>
    </row>
    <row r="150" spans="1:12" x14ac:dyDescent="0.2">
      <c r="A150">
        <v>5667</v>
      </c>
      <c r="B150" t="s">
        <v>106</v>
      </c>
      <c r="C150" s="19">
        <v>45575</v>
      </c>
      <c r="D150" s="2">
        <v>0.29166666666666669</v>
      </c>
      <c r="E150" s="2">
        <v>0.64583333333333337</v>
      </c>
      <c r="F150">
        <v>30</v>
      </c>
      <c r="G150" s="2">
        <v>0.5</v>
      </c>
      <c r="H150">
        <v>8</v>
      </c>
      <c r="I150" t="s">
        <v>100</v>
      </c>
      <c r="J150" t="s">
        <v>101</v>
      </c>
      <c r="K150" t="s">
        <v>103</v>
      </c>
      <c r="L150" t="s">
        <v>102</v>
      </c>
    </row>
    <row r="151" spans="1:12" x14ac:dyDescent="0.2">
      <c r="A151">
        <v>4947</v>
      </c>
      <c r="B151" t="s">
        <v>110</v>
      </c>
      <c r="C151" s="19">
        <v>45575</v>
      </c>
      <c r="D151" s="2">
        <v>0.29166666666666669</v>
      </c>
      <c r="E151" s="2">
        <v>0.64583333333333337</v>
      </c>
      <c r="F151">
        <v>30</v>
      </c>
      <c r="G151" s="2">
        <v>0.5</v>
      </c>
      <c r="H151">
        <v>8</v>
      </c>
      <c r="I151" t="s">
        <v>100</v>
      </c>
      <c r="J151" t="s">
        <v>101</v>
      </c>
      <c r="K151" t="s">
        <v>112</v>
      </c>
      <c r="L151" t="s">
        <v>102</v>
      </c>
    </row>
    <row r="152" spans="1:12" x14ac:dyDescent="0.2">
      <c r="A152">
        <v>5407</v>
      </c>
      <c r="B152" t="s">
        <v>205</v>
      </c>
      <c r="C152" s="19">
        <v>45575</v>
      </c>
      <c r="D152" s="2">
        <v>0.58333333333333337</v>
      </c>
      <c r="E152" s="2">
        <v>0.9375</v>
      </c>
      <c r="F152">
        <v>30</v>
      </c>
      <c r="G152" s="2">
        <v>0.72916666666666663</v>
      </c>
      <c r="H152">
        <v>8</v>
      </c>
      <c r="I152" t="s">
        <v>100</v>
      </c>
      <c r="J152" t="s">
        <v>101</v>
      </c>
      <c r="K152" t="s">
        <v>112</v>
      </c>
      <c r="L152" t="s">
        <v>102</v>
      </c>
    </row>
    <row r="153" spans="1:12" x14ac:dyDescent="0.2">
      <c r="A153">
        <v>5714</v>
      </c>
      <c r="B153" t="s">
        <v>107</v>
      </c>
      <c r="C153" s="19">
        <v>45575</v>
      </c>
      <c r="D153" s="2">
        <v>0.58333333333333337</v>
      </c>
      <c r="E153" s="2">
        <v>0.9375</v>
      </c>
      <c r="F153">
        <v>30</v>
      </c>
      <c r="G153" s="2">
        <v>0.79166666666666663</v>
      </c>
      <c r="H153">
        <v>8</v>
      </c>
      <c r="I153" t="s">
        <v>100</v>
      </c>
      <c r="J153" t="s">
        <v>101</v>
      </c>
      <c r="K153" t="s">
        <v>91</v>
      </c>
      <c r="L153" t="s">
        <v>102</v>
      </c>
    </row>
    <row r="154" spans="1:12" x14ac:dyDescent="0.2">
      <c r="A154">
        <v>5682</v>
      </c>
      <c r="B154" t="s">
        <v>105</v>
      </c>
      <c r="C154" s="19">
        <v>45575</v>
      </c>
      <c r="D154" s="2">
        <v>0.58333333333333337</v>
      </c>
      <c r="E154" s="2">
        <v>0.9375</v>
      </c>
      <c r="F154">
        <v>30</v>
      </c>
      <c r="G154" s="2">
        <v>0.72916666666666663</v>
      </c>
      <c r="H154">
        <v>8</v>
      </c>
      <c r="I154" t="s">
        <v>100</v>
      </c>
      <c r="J154" t="s">
        <v>101</v>
      </c>
      <c r="K154" t="s">
        <v>103</v>
      </c>
      <c r="L154" t="s">
        <v>102</v>
      </c>
    </row>
    <row r="155" spans="1:12" x14ac:dyDescent="0.2">
      <c r="A155">
        <v>5531</v>
      </c>
      <c r="B155" t="s">
        <v>132</v>
      </c>
      <c r="C155" s="19">
        <v>45575</v>
      </c>
      <c r="D155" s="2">
        <v>0.63541666666666663</v>
      </c>
      <c r="E155" s="2">
        <v>0.88541666666666663</v>
      </c>
      <c r="F155">
        <v>30</v>
      </c>
      <c r="G155" s="2">
        <v>0.72916666666666663</v>
      </c>
      <c r="H155">
        <v>5.5</v>
      </c>
      <c r="I155" t="s">
        <v>100</v>
      </c>
      <c r="J155" t="s">
        <v>101</v>
      </c>
      <c r="K155" t="s">
        <v>126</v>
      </c>
      <c r="L155" t="s">
        <v>127</v>
      </c>
    </row>
    <row r="156" spans="1:12" x14ac:dyDescent="0.2">
      <c r="A156">
        <v>5837</v>
      </c>
      <c r="B156" t="s">
        <v>211</v>
      </c>
      <c r="C156" s="19">
        <v>45575</v>
      </c>
      <c r="D156" s="2">
        <v>0.63541666666666663</v>
      </c>
      <c r="E156" s="2">
        <v>0.88541666666666663</v>
      </c>
      <c r="F156">
        <v>30</v>
      </c>
      <c r="G156" s="2">
        <v>0.84375</v>
      </c>
      <c r="H156">
        <v>5.5</v>
      </c>
      <c r="I156" t="s">
        <v>100</v>
      </c>
      <c r="J156" t="s">
        <v>101</v>
      </c>
      <c r="K156" t="s">
        <v>153</v>
      </c>
      <c r="L156" t="s">
        <v>127</v>
      </c>
    </row>
    <row r="157" spans="1:12" x14ac:dyDescent="0.2">
      <c r="A157">
        <v>5829</v>
      </c>
      <c r="B157" t="s">
        <v>212</v>
      </c>
      <c r="C157" s="19">
        <v>45575</v>
      </c>
      <c r="D157" s="2">
        <v>0.63541666666666663</v>
      </c>
      <c r="E157" s="2">
        <v>0.94791666666666663</v>
      </c>
      <c r="F157">
        <v>30</v>
      </c>
      <c r="G157" s="2">
        <v>0.72916666666666663</v>
      </c>
      <c r="H157">
        <v>7</v>
      </c>
      <c r="I157" t="s">
        <v>100</v>
      </c>
      <c r="J157" t="s">
        <v>101</v>
      </c>
      <c r="K157" t="s">
        <v>157</v>
      </c>
      <c r="L157" t="s">
        <v>127</v>
      </c>
    </row>
    <row r="158" spans="1:12" x14ac:dyDescent="0.2">
      <c r="A158">
        <v>5399</v>
      </c>
      <c r="B158" t="s">
        <v>122</v>
      </c>
      <c r="C158" s="19">
        <v>45575</v>
      </c>
      <c r="D158" s="2">
        <v>0.63541666666666663</v>
      </c>
      <c r="E158" s="2">
        <v>0.88541666666666663</v>
      </c>
      <c r="F158">
        <v>30</v>
      </c>
      <c r="G158" s="2">
        <v>0.72916666666666663</v>
      </c>
      <c r="H158">
        <v>5.5</v>
      </c>
      <c r="I158" t="s">
        <v>100</v>
      </c>
      <c r="J158" t="s">
        <v>101</v>
      </c>
      <c r="K158" t="s">
        <v>168</v>
      </c>
      <c r="L158" t="s">
        <v>127</v>
      </c>
    </row>
    <row r="159" spans="1:12" x14ac:dyDescent="0.2">
      <c r="A159">
        <v>5745</v>
      </c>
      <c r="B159" t="s">
        <v>176</v>
      </c>
      <c r="C159" s="19">
        <v>45575</v>
      </c>
      <c r="D159" s="2">
        <v>0.63541666666666663</v>
      </c>
      <c r="E159" s="2">
        <v>0.88541666666666663</v>
      </c>
      <c r="F159">
        <v>30</v>
      </c>
      <c r="G159" s="2">
        <v>0.72916666666666663</v>
      </c>
      <c r="H159">
        <v>5.5</v>
      </c>
      <c r="I159" t="s">
        <v>100</v>
      </c>
      <c r="J159" t="s">
        <v>101</v>
      </c>
      <c r="K159" t="s">
        <v>175</v>
      </c>
      <c r="L159" t="s">
        <v>127</v>
      </c>
    </row>
    <row r="160" spans="1:12" x14ac:dyDescent="0.2">
      <c r="A160">
        <v>5697</v>
      </c>
      <c r="B160" t="s">
        <v>150</v>
      </c>
      <c r="C160" s="19">
        <v>45575</v>
      </c>
      <c r="D160" s="2">
        <v>0.63541666666666663</v>
      </c>
      <c r="E160" s="2">
        <v>0.94791666666666663</v>
      </c>
      <c r="F160">
        <v>30</v>
      </c>
      <c r="G160" s="2">
        <v>0.72916666666666663</v>
      </c>
      <c r="H160">
        <v>7</v>
      </c>
      <c r="I160" t="s">
        <v>100</v>
      </c>
      <c r="J160" t="s">
        <v>101</v>
      </c>
      <c r="K160" t="s">
        <v>179</v>
      </c>
      <c r="L160" t="s">
        <v>127</v>
      </c>
    </row>
    <row r="161" spans="1:12" x14ac:dyDescent="0.2">
      <c r="A161">
        <v>5835</v>
      </c>
      <c r="B161" t="s">
        <v>215</v>
      </c>
      <c r="C161" s="19">
        <v>45575</v>
      </c>
      <c r="D161" s="2">
        <v>0.63541666666666663</v>
      </c>
      <c r="E161" s="2">
        <v>0.88541666666666663</v>
      </c>
      <c r="F161">
        <v>30</v>
      </c>
      <c r="G161" s="2">
        <v>0.72916666666666663</v>
      </c>
      <c r="H161">
        <v>5.5</v>
      </c>
      <c r="I161" t="s">
        <v>100</v>
      </c>
      <c r="J161" t="s">
        <v>101</v>
      </c>
      <c r="K161" t="s">
        <v>184</v>
      </c>
      <c r="L161" t="s">
        <v>127</v>
      </c>
    </row>
    <row r="162" spans="1:12" x14ac:dyDescent="0.2">
      <c r="A162">
        <v>5520</v>
      </c>
      <c r="B162" t="s">
        <v>170</v>
      </c>
      <c r="C162" s="19">
        <v>45575</v>
      </c>
      <c r="D162" s="2">
        <v>0.63541666666666663</v>
      </c>
      <c r="E162" s="2">
        <v>0.94791666666666663</v>
      </c>
      <c r="F162">
        <v>30</v>
      </c>
      <c r="G162" s="2">
        <v>0.72916666666666663</v>
      </c>
      <c r="H162">
        <v>7</v>
      </c>
      <c r="I162" t="s">
        <v>100</v>
      </c>
      <c r="J162" t="s">
        <v>101</v>
      </c>
      <c r="K162" t="s">
        <v>185</v>
      </c>
      <c r="L162" t="s">
        <v>127</v>
      </c>
    </row>
    <row r="163" spans="1:12" x14ac:dyDescent="0.2">
      <c r="A163">
        <v>5690</v>
      </c>
      <c r="B163" t="s">
        <v>174</v>
      </c>
      <c r="C163" s="19">
        <v>45575</v>
      </c>
      <c r="D163" s="2">
        <v>0.63541666666666663</v>
      </c>
      <c r="E163" s="2">
        <v>0.88541666666666663</v>
      </c>
      <c r="F163">
        <v>30</v>
      </c>
      <c r="G163" s="2">
        <v>0.72916666666666663</v>
      </c>
      <c r="H163">
        <v>5.5</v>
      </c>
      <c r="I163" t="s">
        <v>100</v>
      </c>
      <c r="J163" t="s">
        <v>101</v>
      </c>
      <c r="K163" t="s">
        <v>187</v>
      </c>
      <c r="L163" t="s">
        <v>127</v>
      </c>
    </row>
    <row r="164" spans="1:12" x14ac:dyDescent="0.2">
      <c r="A164">
        <v>1581</v>
      </c>
      <c r="B164" t="s">
        <v>136</v>
      </c>
      <c r="C164" s="19">
        <v>45575</v>
      </c>
      <c r="D164" s="2">
        <v>0.63541666666666663</v>
      </c>
      <c r="E164" s="2">
        <v>0.94791666666666663</v>
      </c>
      <c r="F164">
        <v>30</v>
      </c>
      <c r="G164" s="2">
        <v>0.72916666666666663</v>
      </c>
      <c r="H164">
        <v>7</v>
      </c>
      <c r="I164" t="s">
        <v>100</v>
      </c>
      <c r="J164" t="s">
        <v>101</v>
      </c>
      <c r="K164" t="s">
        <v>189</v>
      </c>
      <c r="L164" t="s">
        <v>127</v>
      </c>
    </row>
    <row r="165" spans="1:12" x14ac:dyDescent="0.2">
      <c r="A165">
        <v>3572</v>
      </c>
      <c r="B165" t="s">
        <v>156</v>
      </c>
      <c r="C165" s="19">
        <v>45575</v>
      </c>
      <c r="D165" s="2">
        <v>0.63541666666666663</v>
      </c>
      <c r="E165" s="2">
        <v>0.88541666666666663</v>
      </c>
      <c r="F165">
        <v>30</v>
      </c>
      <c r="G165" s="2">
        <v>0.72916666666666663</v>
      </c>
      <c r="H165">
        <v>5.5</v>
      </c>
      <c r="I165" t="s">
        <v>100</v>
      </c>
      <c r="J165" t="s">
        <v>101</v>
      </c>
      <c r="K165" t="s">
        <v>192</v>
      </c>
      <c r="L165" t="s">
        <v>127</v>
      </c>
    </row>
    <row r="166" spans="1:12" x14ac:dyDescent="0.2">
      <c r="A166">
        <v>5787</v>
      </c>
      <c r="B166" t="s">
        <v>130</v>
      </c>
      <c r="C166" s="19">
        <v>45575</v>
      </c>
      <c r="D166" s="2">
        <v>0.63541666666666663</v>
      </c>
      <c r="E166" s="2">
        <v>0.88541666666666663</v>
      </c>
      <c r="F166">
        <v>30</v>
      </c>
      <c r="G166" s="2">
        <v>0.72916666666666663</v>
      </c>
      <c r="H166">
        <v>5.5</v>
      </c>
      <c r="I166" t="s">
        <v>100</v>
      </c>
      <c r="J166" t="s">
        <v>101</v>
      </c>
      <c r="K166" t="s">
        <v>193</v>
      </c>
      <c r="L166" t="s">
        <v>127</v>
      </c>
    </row>
    <row r="167" spans="1:12" x14ac:dyDescent="0.2">
      <c r="A167">
        <v>646</v>
      </c>
      <c r="B167" t="s">
        <v>124</v>
      </c>
      <c r="C167" s="19">
        <v>45575</v>
      </c>
      <c r="D167" s="2">
        <v>0.63541666666666663</v>
      </c>
      <c r="E167" s="2">
        <v>0.94791666666666663</v>
      </c>
      <c r="F167">
        <v>30</v>
      </c>
      <c r="G167" s="2">
        <v>0.72916666666666663</v>
      </c>
      <c r="H167">
        <v>7</v>
      </c>
      <c r="I167" t="s">
        <v>100</v>
      </c>
      <c r="J167" t="s">
        <v>101</v>
      </c>
      <c r="K167" t="s">
        <v>112</v>
      </c>
      <c r="L167" t="s">
        <v>114</v>
      </c>
    </row>
    <row r="168" spans="1:12" x14ac:dyDescent="0.2">
      <c r="A168">
        <v>5496</v>
      </c>
      <c r="B168" t="s">
        <v>167</v>
      </c>
      <c r="C168" s="19">
        <v>45575</v>
      </c>
      <c r="D168" s="2">
        <v>0.63541666666666663</v>
      </c>
      <c r="E168" s="2">
        <v>0.94791666666666663</v>
      </c>
      <c r="F168">
        <v>30</v>
      </c>
      <c r="G168" s="2">
        <v>0.72916666666666663</v>
      </c>
      <c r="H168">
        <v>7</v>
      </c>
      <c r="I168" t="s">
        <v>100</v>
      </c>
      <c r="J168" t="s">
        <v>101</v>
      </c>
      <c r="K168" t="s">
        <v>123</v>
      </c>
      <c r="L168" t="s">
        <v>114</v>
      </c>
    </row>
    <row r="169" spans="1:12" x14ac:dyDescent="0.2">
      <c r="A169">
        <v>2564</v>
      </c>
      <c r="B169" t="s">
        <v>208</v>
      </c>
      <c r="C169" s="19">
        <v>45575</v>
      </c>
      <c r="D169" s="2">
        <v>0.90625</v>
      </c>
      <c r="E169" s="2">
        <v>0.30208333333333331</v>
      </c>
      <c r="F169">
        <v>0</v>
      </c>
      <c r="G169" s="2"/>
      <c r="H169">
        <v>9.5</v>
      </c>
      <c r="I169" t="s">
        <v>100</v>
      </c>
      <c r="J169" t="s">
        <v>101</v>
      </c>
      <c r="K169" t="s">
        <v>91</v>
      </c>
      <c r="L169" t="s">
        <v>102</v>
      </c>
    </row>
    <row r="170" spans="1:12" x14ac:dyDescent="0.2">
      <c r="A170">
        <v>5621</v>
      </c>
      <c r="B170" t="s">
        <v>144</v>
      </c>
      <c r="C170" s="19">
        <v>45575</v>
      </c>
      <c r="D170" s="2">
        <v>0.9375</v>
      </c>
      <c r="E170" s="2">
        <v>0.30208333333333331</v>
      </c>
      <c r="F170">
        <v>30</v>
      </c>
      <c r="G170" s="2">
        <v>0.14583333333333334</v>
      </c>
      <c r="H170">
        <v>8.25</v>
      </c>
      <c r="I170" t="s">
        <v>100</v>
      </c>
      <c r="J170" t="s">
        <v>101</v>
      </c>
      <c r="K170" t="s">
        <v>139</v>
      </c>
      <c r="L170" t="s">
        <v>127</v>
      </c>
    </row>
    <row r="171" spans="1:12" x14ac:dyDescent="0.2">
      <c r="A171">
        <v>5653</v>
      </c>
      <c r="B171" t="s">
        <v>143</v>
      </c>
      <c r="C171" s="19">
        <v>45575</v>
      </c>
      <c r="D171" s="2">
        <v>0.9375</v>
      </c>
      <c r="E171" s="2">
        <v>0.30208333333333331</v>
      </c>
      <c r="F171">
        <v>30</v>
      </c>
      <c r="G171" s="2">
        <v>0.14583333333333334</v>
      </c>
      <c r="H171">
        <v>8.25</v>
      </c>
      <c r="I171" t="s">
        <v>100</v>
      </c>
      <c r="J171" t="s">
        <v>101</v>
      </c>
      <c r="K171" t="s">
        <v>147</v>
      </c>
      <c r="L171" t="s">
        <v>127</v>
      </c>
    </row>
    <row r="172" spans="1:12" x14ac:dyDescent="0.2">
      <c r="A172">
        <v>153</v>
      </c>
      <c r="B172" t="s">
        <v>146</v>
      </c>
      <c r="C172" s="19">
        <v>45575</v>
      </c>
      <c r="D172" s="2">
        <v>0.9375</v>
      </c>
      <c r="E172" s="2">
        <v>0.30208333333333331</v>
      </c>
      <c r="F172">
        <v>30</v>
      </c>
      <c r="G172" s="2">
        <v>0.14583333333333334</v>
      </c>
      <c r="H172">
        <v>8.25</v>
      </c>
      <c r="I172" t="s">
        <v>100</v>
      </c>
      <c r="J172" t="s">
        <v>101</v>
      </c>
      <c r="K172" t="s">
        <v>168</v>
      </c>
      <c r="L172" t="s">
        <v>127</v>
      </c>
    </row>
    <row r="173" spans="1:12" x14ac:dyDescent="0.2">
      <c r="A173">
        <v>5503</v>
      </c>
      <c r="B173" t="s">
        <v>142</v>
      </c>
      <c r="C173" s="19">
        <v>45575</v>
      </c>
      <c r="D173" s="2">
        <v>0.9375</v>
      </c>
      <c r="E173" s="2">
        <v>0.30208333333333331</v>
      </c>
      <c r="F173">
        <v>30</v>
      </c>
      <c r="G173" s="2">
        <v>0.14583333333333334</v>
      </c>
      <c r="H173">
        <v>8.25</v>
      </c>
      <c r="I173" t="s">
        <v>100</v>
      </c>
      <c r="J173" t="s">
        <v>101</v>
      </c>
      <c r="K173" t="s">
        <v>179</v>
      </c>
      <c r="L173" t="s">
        <v>127</v>
      </c>
    </row>
    <row r="174" spans="1:12" x14ac:dyDescent="0.2">
      <c r="A174">
        <v>1941</v>
      </c>
      <c r="B174" t="s">
        <v>138</v>
      </c>
      <c r="C174" s="19">
        <v>45575</v>
      </c>
      <c r="D174" s="2">
        <v>0.9375</v>
      </c>
      <c r="E174" s="2">
        <v>0.30208333333333331</v>
      </c>
      <c r="F174">
        <v>30</v>
      </c>
      <c r="G174" s="2">
        <v>0.14583333333333334</v>
      </c>
      <c r="H174">
        <v>8.25</v>
      </c>
      <c r="I174" t="s">
        <v>100</v>
      </c>
      <c r="J174" t="s">
        <v>101</v>
      </c>
      <c r="K174" t="s">
        <v>185</v>
      </c>
      <c r="L174" t="s">
        <v>127</v>
      </c>
    </row>
    <row r="175" spans="1:12" x14ac:dyDescent="0.2">
      <c r="A175">
        <v>110</v>
      </c>
      <c r="B175" t="s">
        <v>140</v>
      </c>
      <c r="C175" s="19">
        <v>45575</v>
      </c>
      <c r="D175" s="2">
        <v>0.9375</v>
      </c>
      <c r="E175" s="2">
        <v>0.30208333333333331</v>
      </c>
      <c r="F175">
        <v>30</v>
      </c>
      <c r="G175" s="2">
        <v>0.14583333333333334</v>
      </c>
      <c r="H175">
        <v>8.25</v>
      </c>
      <c r="I175" t="s">
        <v>100</v>
      </c>
      <c r="J175" t="s">
        <v>101</v>
      </c>
      <c r="K175" t="s">
        <v>197</v>
      </c>
      <c r="L175" t="s">
        <v>127</v>
      </c>
    </row>
    <row r="176" spans="1:12" x14ac:dyDescent="0.2">
      <c r="A176">
        <v>5781</v>
      </c>
      <c r="B176" t="s">
        <v>155</v>
      </c>
      <c r="C176" s="19">
        <v>45576</v>
      </c>
      <c r="D176" s="2">
        <v>0.29166666666666669</v>
      </c>
      <c r="E176" s="2">
        <v>0.5625</v>
      </c>
      <c r="F176">
        <v>30</v>
      </c>
      <c r="G176" s="2">
        <v>0.5</v>
      </c>
      <c r="H176">
        <v>6</v>
      </c>
      <c r="I176" t="s">
        <v>100</v>
      </c>
      <c r="J176" t="s">
        <v>101</v>
      </c>
      <c r="K176" t="s">
        <v>126</v>
      </c>
      <c r="L176" t="s">
        <v>127</v>
      </c>
    </row>
    <row r="177" spans="1:12" x14ac:dyDescent="0.2">
      <c r="A177">
        <v>5782</v>
      </c>
      <c r="B177" t="s">
        <v>164</v>
      </c>
      <c r="C177" s="19">
        <v>45576</v>
      </c>
      <c r="D177" s="2">
        <v>0.29166666666666669</v>
      </c>
      <c r="E177" s="2">
        <v>0.5625</v>
      </c>
      <c r="F177">
        <v>30</v>
      </c>
      <c r="G177" s="2">
        <v>0.5</v>
      </c>
      <c r="H177">
        <v>6</v>
      </c>
      <c r="I177" t="s">
        <v>100</v>
      </c>
      <c r="J177" t="s">
        <v>101</v>
      </c>
      <c r="K177" t="s">
        <v>157</v>
      </c>
      <c r="L177" t="s">
        <v>127</v>
      </c>
    </row>
    <row r="178" spans="1:12" x14ac:dyDescent="0.2">
      <c r="A178">
        <v>5399</v>
      </c>
      <c r="B178" t="s">
        <v>122</v>
      </c>
      <c r="C178" s="19">
        <v>45576</v>
      </c>
      <c r="D178" s="2">
        <v>0.29166666666666669</v>
      </c>
      <c r="E178" s="2">
        <v>0.64583333333333337</v>
      </c>
      <c r="F178">
        <v>30</v>
      </c>
      <c r="G178" s="2">
        <v>0.5</v>
      </c>
      <c r="H178">
        <v>8</v>
      </c>
      <c r="I178" t="s">
        <v>100</v>
      </c>
      <c r="J178" t="s">
        <v>101</v>
      </c>
      <c r="K178" t="s">
        <v>157</v>
      </c>
      <c r="L178" t="s">
        <v>127</v>
      </c>
    </row>
    <row r="179" spans="1:12" x14ac:dyDescent="0.2">
      <c r="A179">
        <v>2720</v>
      </c>
      <c r="B179" t="s">
        <v>173</v>
      </c>
      <c r="C179" s="19">
        <v>45576</v>
      </c>
      <c r="D179" s="2">
        <v>0.29166666666666669</v>
      </c>
      <c r="E179" s="2">
        <v>0.64583333333333337</v>
      </c>
      <c r="F179">
        <v>30</v>
      </c>
      <c r="G179" s="2">
        <v>0.47916666666666669</v>
      </c>
      <c r="H179">
        <v>8</v>
      </c>
      <c r="I179" t="s">
        <v>100</v>
      </c>
      <c r="J179" t="s">
        <v>101</v>
      </c>
      <c r="K179" t="s">
        <v>168</v>
      </c>
      <c r="L179" t="s">
        <v>127</v>
      </c>
    </row>
    <row r="180" spans="1:12" x14ac:dyDescent="0.2">
      <c r="A180">
        <v>5831</v>
      </c>
      <c r="B180" t="s">
        <v>217</v>
      </c>
      <c r="C180" s="19">
        <v>45576</v>
      </c>
      <c r="D180" s="2">
        <v>0.29166666666666669</v>
      </c>
      <c r="E180" s="2">
        <v>0.5625</v>
      </c>
      <c r="F180">
        <v>30</v>
      </c>
      <c r="G180" s="2">
        <v>0.47916666666666669</v>
      </c>
      <c r="H180">
        <v>6</v>
      </c>
      <c r="I180" t="s">
        <v>100</v>
      </c>
      <c r="J180" t="s">
        <v>101</v>
      </c>
      <c r="K180" t="s">
        <v>178</v>
      </c>
      <c r="L180" t="s">
        <v>127</v>
      </c>
    </row>
    <row r="181" spans="1:12" x14ac:dyDescent="0.2">
      <c r="A181">
        <v>4848</v>
      </c>
      <c r="B181" t="s">
        <v>125</v>
      </c>
      <c r="C181" s="19">
        <v>45576</v>
      </c>
      <c r="D181" s="2">
        <v>0.29166666666666669</v>
      </c>
      <c r="E181" s="2">
        <v>0.64583333333333337</v>
      </c>
      <c r="F181">
        <v>30</v>
      </c>
      <c r="G181" s="2">
        <v>0.47916666666666669</v>
      </c>
      <c r="H181">
        <v>8</v>
      </c>
      <c r="I181" t="s">
        <v>100</v>
      </c>
      <c r="J181" t="s">
        <v>101</v>
      </c>
      <c r="K181" t="s">
        <v>187</v>
      </c>
      <c r="L181" t="s">
        <v>127</v>
      </c>
    </row>
    <row r="182" spans="1:12" x14ac:dyDescent="0.2">
      <c r="A182">
        <v>5779</v>
      </c>
      <c r="B182" t="s">
        <v>163</v>
      </c>
      <c r="C182" s="19">
        <v>45576</v>
      </c>
      <c r="D182" s="2">
        <v>0.29166666666666669</v>
      </c>
      <c r="E182" s="2">
        <v>0.64583333333333337</v>
      </c>
      <c r="F182">
        <v>30</v>
      </c>
      <c r="G182" s="2">
        <v>0.5</v>
      </c>
      <c r="H182">
        <v>8</v>
      </c>
      <c r="I182" t="s">
        <v>100</v>
      </c>
      <c r="J182" t="s">
        <v>101</v>
      </c>
      <c r="K182" t="s">
        <v>188</v>
      </c>
      <c r="L182" t="s">
        <v>127</v>
      </c>
    </row>
    <row r="183" spans="1:12" x14ac:dyDescent="0.2">
      <c r="A183">
        <v>5291</v>
      </c>
      <c r="B183" t="s">
        <v>177</v>
      </c>
      <c r="C183" s="19">
        <v>45576</v>
      </c>
      <c r="D183" s="2">
        <v>0.29166666666666669</v>
      </c>
      <c r="E183" s="2">
        <v>0.64583333333333337</v>
      </c>
      <c r="F183">
        <v>30</v>
      </c>
      <c r="G183" s="2">
        <v>0.47916666666666669</v>
      </c>
      <c r="H183">
        <v>8</v>
      </c>
      <c r="I183" t="s">
        <v>100</v>
      </c>
      <c r="J183" t="s">
        <v>101</v>
      </c>
      <c r="K183" t="s">
        <v>192</v>
      </c>
      <c r="L183" t="s">
        <v>127</v>
      </c>
    </row>
    <row r="184" spans="1:12" x14ac:dyDescent="0.2">
      <c r="A184">
        <v>5574</v>
      </c>
      <c r="B184" t="s">
        <v>154</v>
      </c>
      <c r="C184" s="19">
        <v>45576</v>
      </c>
      <c r="D184" s="2">
        <v>0.29166666666666669</v>
      </c>
      <c r="E184" s="2">
        <v>0.64583333333333337</v>
      </c>
      <c r="F184">
        <v>30</v>
      </c>
      <c r="G184" s="2">
        <v>0.47916666666666669</v>
      </c>
      <c r="H184">
        <v>8</v>
      </c>
      <c r="I184" t="s">
        <v>100</v>
      </c>
      <c r="J184" t="s">
        <v>101</v>
      </c>
      <c r="K184" t="s">
        <v>193</v>
      </c>
      <c r="L184" t="s">
        <v>127</v>
      </c>
    </row>
    <row r="185" spans="1:12" x14ac:dyDescent="0.2">
      <c r="A185">
        <v>5707</v>
      </c>
      <c r="B185" t="s">
        <v>119</v>
      </c>
      <c r="C185" s="19">
        <v>45576</v>
      </c>
      <c r="D185" s="2">
        <v>0.29166666666666669</v>
      </c>
      <c r="E185" s="2">
        <v>0.64583333333333337</v>
      </c>
      <c r="F185">
        <v>30</v>
      </c>
      <c r="G185" s="2">
        <v>0.5</v>
      </c>
      <c r="H185">
        <v>8</v>
      </c>
      <c r="I185" t="s">
        <v>100</v>
      </c>
      <c r="J185" t="s">
        <v>101</v>
      </c>
      <c r="K185" t="s">
        <v>103</v>
      </c>
      <c r="L185" t="s">
        <v>114</v>
      </c>
    </row>
    <row r="186" spans="1:12" x14ac:dyDescent="0.2">
      <c r="A186">
        <v>4859</v>
      </c>
      <c r="B186" t="s">
        <v>113</v>
      </c>
      <c r="C186" s="19">
        <v>45576</v>
      </c>
      <c r="D186" s="2">
        <v>0.29166666666666669</v>
      </c>
      <c r="E186" s="2">
        <v>0.64583333333333337</v>
      </c>
      <c r="F186">
        <v>30</v>
      </c>
      <c r="G186" s="2">
        <v>0.5</v>
      </c>
      <c r="H186">
        <v>8</v>
      </c>
      <c r="I186" t="s">
        <v>100</v>
      </c>
      <c r="J186" t="s">
        <v>101</v>
      </c>
      <c r="K186" t="s">
        <v>112</v>
      </c>
      <c r="L186" t="s">
        <v>114</v>
      </c>
    </row>
    <row r="187" spans="1:12" x14ac:dyDescent="0.2">
      <c r="A187">
        <v>5836</v>
      </c>
      <c r="B187" t="s">
        <v>209</v>
      </c>
      <c r="C187" s="19">
        <v>45576</v>
      </c>
      <c r="D187" s="2">
        <v>0.29166666666666669</v>
      </c>
      <c r="E187" s="2">
        <v>0.64583333333333337</v>
      </c>
      <c r="F187">
        <v>30</v>
      </c>
      <c r="G187" s="2">
        <v>0.5</v>
      </c>
      <c r="H187">
        <v>8</v>
      </c>
      <c r="I187" t="s">
        <v>100</v>
      </c>
      <c r="J187" t="s">
        <v>101</v>
      </c>
      <c r="K187" t="s">
        <v>112</v>
      </c>
      <c r="L187" t="s">
        <v>102</v>
      </c>
    </row>
    <row r="188" spans="1:12" x14ac:dyDescent="0.2">
      <c r="A188">
        <v>5538</v>
      </c>
      <c r="B188" t="s">
        <v>104</v>
      </c>
      <c r="C188" s="19">
        <v>45576</v>
      </c>
      <c r="D188" s="2">
        <v>0.29166666666666669</v>
      </c>
      <c r="E188" s="2">
        <v>0.64583333333333337</v>
      </c>
      <c r="F188">
        <v>30</v>
      </c>
      <c r="G188" s="2">
        <v>0.5</v>
      </c>
      <c r="H188">
        <v>8</v>
      </c>
      <c r="I188" t="s">
        <v>100</v>
      </c>
      <c r="J188" t="s">
        <v>101</v>
      </c>
      <c r="K188" t="s">
        <v>103</v>
      </c>
      <c r="L188" t="s">
        <v>102</v>
      </c>
    </row>
    <row r="189" spans="1:12" x14ac:dyDescent="0.2">
      <c r="A189">
        <v>5667</v>
      </c>
      <c r="B189" t="s">
        <v>106</v>
      </c>
      <c r="C189" s="19">
        <v>45576</v>
      </c>
      <c r="D189" s="2">
        <v>0.29166666666666669</v>
      </c>
      <c r="E189" s="2">
        <v>0.64583333333333337</v>
      </c>
      <c r="F189">
        <v>30</v>
      </c>
      <c r="G189" s="2">
        <v>0.5</v>
      </c>
      <c r="H189">
        <v>8</v>
      </c>
      <c r="I189" t="s">
        <v>100</v>
      </c>
      <c r="J189" t="s">
        <v>101</v>
      </c>
      <c r="K189" t="s">
        <v>103</v>
      </c>
      <c r="L189" t="s">
        <v>102</v>
      </c>
    </row>
    <row r="190" spans="1:12" x14ac:dyDescent="0.2">
      <c r="A190">
        <v>4947</v>
      </c>
      <c r="B190" t="s">
        <v>110</v>
      </c>
      <c r="C190" s="19">
        <v>45576</v>
      </c>
      <c r="D190" s="2">
        <v>0.29166666666666669</v>
      </c>
      <c r="E190" s="2">
        <v>0.5625</v>
      </c>
      <c r="F190">
        <v>30</v>
      </c>
      <c r="G190" s="2">
        <v>0.5</v>
      </c>
      <c r="H190">
        <v>6</v>
      </c>
      <c r="I190" t="s">
        <v>100</v>
      </c>
      <c r="J190" t="s">
        <v>101</v>
      </c>
      <c r="K190" t="s">
        <v>112</v>
      </c>
      <c r="L190" t="s">
        <v>102</v>
      </c>
    </row>
    <row r="191" spans="1:12" x14ac:dyDescent="0.2">
      <c r="A191">
        <v>5407</v>
      </c>
      <c r="B191" t="s">
        <v>205</v>
      </c>
      <c r="C191" s="19">
        <v>45576</v>
      </c>
      <c r="D191" s="2">
        <v>0.58333333333333337</v>
      </c>
      <c r="E191" s="2">
        <v>0.9375</v>
      </c>
      <c r="F191">
        <v>30</v>
      </c>
      <c r="G191" s="2">
        <v>0.72916666666666663</v>
      </c>
      <c r="H191">
        <v>8</v>
      </c>
      <c r="I191" t="s">
        <v>100</v>
      </c>
      <c r="J191" t="s">
        <v>101</v>
      </c>
      <c r="K191" t="s">
        <v>112</v>
      </c>
      <c r="L191" t="s">
        <v>102</v>
      </c>
    </row>
    <row r="192" spans="1:12" x14ac:dyDescent="0.2">
      <c r="A192">
        <v>5682</v>
      </c>
      <c r="B192" t="s">
        <v>105</v>
      </c>
      <c r="C192" s="19">
        <v>45576</v>
      </c>
      <c r="D192" s="2">
        <v>0.58333333333333337</v>
      </c>
      <c r="E192" s="2">
        <v>0.9375</v>
      </c>
      <c r="F192">
        <v>30</v>
      </c>
      <c r="G192" s="2">
        <v>0.72916666666666663</v>
      </c>
      <c r="H192">
        <v>8</v>
      </c>
      <c r="I192" t="s">
        <v>100</v>
      </c>
      <c r="J192" t="s">
        <v>101</v>
      </c>
      <c r="K192" t="s">
        <v>103</v>
      </c>
      <c r="L192" t="s">
        <v>102</v>
      </c>
    </row>
    <row r="193" spans="1:12" x14ac:dyDescent="0.2">
      <c r="A193">
        <v>5227</v>
      </c>
      <c r="B193" t="s">
        <v>118</v>
      </c>
      <c r="C193" s="19">
        <v>45576</v>
      </c>
      <c r="D193" s="2">
        <v>0.63541666666666663</v>
      </c>
      <c r="E193" s="2">
        <v>0.88541666666666663</v>
      </c>
      <c r="F193">
        <v>30</v>
      </c>
      <c r="G193" s="2">
        <v>0.72916666666666663</v>
      </c>
      <c r="H193">
        <v>5.5</v>
      </c>
      <c r="I193" t="s">
        <v>100</v>
      </c>
      <c r="J193" t="s">
        <v>101</v>
      </c>
      <c r="K193" t="s">
        <v>126</v>
      </c>
      <c r="L193" t="s">
        <v>127</v>
      </c>
    </row>
    <row r="194" spans="1:12" x14ac:dyDescent="0.2">
      <c r="A194">
        <v>5713</v>
      </c>
      <c r="B194" t="s">
        <v>128</v>
      </c>
      <c r="C194" s="19">
        <v>45576</v>
      </c>
      <c r="D194" s="2">
        <v>0.63541666666666663</v>
      </c>
      <c r="E194" s="2">
        <v>0.88541666666666663</v>
      </c>
      <c r="F194">
        <v>30</v>
      </c>
      <c r="G194" s="2">
        <v>0.84375</v>
      </c>
      <c r="H194">
        <v>5.5</v>
      </c>
      <c r="I194" t="s">
        <v>100</v>
      </c>
      <c r="J194" t="s">
        <v>101</v>
      </c>
      <c r="K194" t="s">
        <v>153</v>
      </c>
      <c r="L194" t="s">
        <v>127</v>
      </c>
    </row>
    <row r="195" spans="1:12" x14ac:dyDescent="0.2">
      <c r="A195">
        <v>2970</v>
      </c>
      <c r="B195" t="s">
        <v>195</v>
      </c>
      <c r="C195" s="19">
        <v>45576</v>
      </c>
      <c r="D195" s="2">
        <v>0.63541666666666663</v>
      </c>
      <c r="E195" s="2">
        <v>0.94791666666666663</v>
      </c>
      <c r="F195">
        <v>30</v>
      </c>
      <c r="G195" s="2">
        <v>0.72916666666666663</v>
      </c>
      <c r="H195">
        <v>7</v>
      </c>
      <c r="I195" t="s">
        <v>100</v>
      </c>
      <c r="J195" t="s">
        <v>101</v>
      </c>
      <c r="K195" t="s">
        <v>157</v>
      </c>
      <c r="L195" t="s">
        <v>127</v>
      </c>
    </row>
    <row r="196" spans="1:12" x14ac:dyDescent="0.2">
      <c r="A196">
        <v>283</v>
      </c>
      <c r="B196" t="s">
        <v>171</v>
      </c>
      <c r="C196" s="19">
        <v>45576</v>
      </c>
      <c r="D196" s="2">
        <v>0.63541666666666663</v>
      </c>
      <c r="E196" s="2">
        <v>0.94791666666666663</v>
      </c>
      <c r="F196">
        <v>30</v>
      </c>
      <c r="G196" s="2">
        <v>0.72916666666666663</v>
      </c>
      <c r="H196">
        <v>7</v>
      </c>
      <c r="I196" t="s">
        <v>100</v>
      </c>
      <c r="J196" t="s">
        <v>101</v>
      </c>
      <c r="K196" t="s">
        <v>168</v>
      </c>
      <c r="L196" t="s">
        <v>127</v>
      </c>
    </row>
    <row r="197" spans="1:12" x14ac:dyDescent="0.2">
      <c r="A197">
        <v>5697</v>
      </c>
      <c r="B197" t="s">
        <v>150</v>
      </c>
      <c r="C197" s="19">
        <v>45576</v>
      </c>
      <c r="D197" s="2">
        <v>0.63541666666666663</v>
      </c>
      <c r="E197" s="2">
        <v>0.88541666666666663</v>
      </c>
      <c r="F197">
        <v>30</v>
      </c>
      <c r="G197" s="2">
        <v>0.72916666666666663</v>
      </c>
      <c r="H197">
        <v>5.5</v>
      </c>
      <c r="I197" t="s">
        <v>100</v>
      </c>
      <c r="J197" t="s">
        <v>101</v>
      </c>
      <c r="K197" t="s">
        <v>179</v>
      </c>
      <c r="L197" t="s">
        <v>127</v>
      </c>
    </row>
    <row r="198" spans="1:12" x14ac:dyDescent="0.2">
      <c r="A198">
        <v>5520</v>
      </c>
      <c r="B198" t="s">
        <v>170</v>
      </c>
      <c r="C198" s="19">
        <v>45576</v>
      </c>
      <c r="D198" s="2">
        <v>0.63541666666666663</v>
      </c>
      <c r="E198" s="2">
        <v>0.94791666666666663</v>
      </c>
      <c r="F198">
        <v>30</v>
      </c>
      <c r="G198" s="2">
        <v>0.72916666666666663</v>
      </c>
      <c r="H198">
        <v>7</v>
      </c>
      <c r="I198" t="s">
        <v>100</v>
      </c>
      <c r="J198" t="s">
        <v>101</v>
      </c>
      <c r="K198" t="s">
        <v>184</v>
      </c>
      <c r="L198" t="s">
        <v>127</v>
      </c>
    </row>
    <row r="199" spans="1:12" x14ac:dyDescent="0.2">
      <c r="A199">
        <v>5801</v>
      </c>
      <c r="B199" t="s">
        <v>220</v>
      </c>
      <c r="C199" s="19">
        <v>45576</v>
      </c>
      <c r="D199" s="2">
        <v>0.63541666666666663</v>
      </c>
      <c r="E199" s="2">
        <v>0.94791666666666663</v>
      </c>
      <c r="F199">
        <v>30</v>
      </c>
      <c r="G199" s="2">
        <v>0.72916666666666663</v>
      </c>
      <c r="H199">
        <v>7</v>
      </c>
      <c r="I199" t="s">
        <v>100</v>
      </c>
      <c r="J199" t="s">
        <v>101</v>
      </c>
      <c r="K199" t="s">
        <v>185</v>
      </c>
      <c r="L199" t="s">
        <v>127</v>
      </c>
    </row>
    <row r="200" spans="1:12" x14ac:dyDescent="0.2">
      <c r="A200">
        <v>5745</v>
      </c>
      <c r="B200" t="s">
        <v>176</v>
      </c>
      <c r="C200" s="19">
        <v>45576</v>
      </c>
      <c r="D200" s="2">
        <v>0.63541666666666663</v>
      </c>
      <c r="E200" s="2">
        <v>0.88541666666666663</v>
      </c>
      <c r="F200">
        <v>30</v>
      </c>
      <c r="G200" s="2">
        <v>0.72916666666666663</v>
      </c>
      <c r="H200">
        <v>5.5</v>
      </c>
      <c r="I200" t="s">
        <v>100</v>
      </c>
      <c r="J200" t="s">
        <v>101</v>
      </c>
      <c r="K200" t="s">
        <v>187</v>
      </c>
      <c r="L200" t="s">
        <v>127</v>
      </c>
    </row>
    <row r="201" spans="1:12" x14ac:dyDescent="0.2">
      <c r="A201">
        <v>5835</v>
      </c>
      <c r="B201" t="s">
        <v>215</v>
      </c>
      <c r="C201" s="19">
        <v>45576</v>
      </c>
      <c r="D201" s="2">
        <v>0.63541666666666663</v>
      </c>
      <c r="E201" s="2">
        <v>0.94791666666666663</v>
      </c>
      <c r="F201">
        <v>30</v>
      </c>
      <c r="G201" s="2">
        <v>0.72916666666666663</v>
      </c>
      <c r="H201">
        <v>7</v>
      </c>
      <c r="I201" t="s">
        <v>100</v>
      </c>
      <c r="J201" t="s">
        <v>101</v>
      </c>
      <c r="K201" t="s">
        <v>189</v>
      </c>
      <c r="L201" t="s">
        <v>127</v>
      </c>
    </row>
    <row r="202" spans="1:12" x14ac:dyDescent="0.2">
      <c r="A202">
        <v>5653</v>
      </c>
      <c r="B202" t="s">
        <v>143</v>
      </c>
      <c r="C202" s="19">
        <v>45576</v>
      </c>
      <c r="D202" s="2">
        <v>0.63541666666666663</v>
      </c>
      <c r="E202" s="2">
        <v>0.30208333333333331</v>
      </c>
      <c r="F202">
        <v>60</v>
      </c>
      <c r="G202" s="2">
        <v>0.72916666666666663</v>
      </c>
      <c r="H202">
        <v>15</v>
      </c>
      <c r="I202" t="s">
        <v>100</v>
      </c>
      <c r="J202" t="s">
        <v>101</v>
      </c>
      <c r="K202" t="s">
        <v>192</v>
      </c>
      <c r="L202" t="s">
        <v>127</v>
      </c>
    </row>
    <row r="203" spans="1:12" x14ac:dyDescent="0.2">
      <c r="A203">
        <v>5810</v>
      </c>
      <c r="B203" t="s">
        <v>213</v>
      </c>
      <c r="C203" s="19">
        <v>45576</v>
      </c>
      <c r="D203" s="2">
        <v>0.63541666666666663</v>
      </c>
      <c r="E203" s="2">
        <v>0.88541666666666663</v>
      </c>
      <c r="F203">
        <v>30</v>
      </c>
      <c r="G203" s="2">
        <v>0.72916666666666663</v>
      </c>
      <c r="H203">
        <v>5.5</v>
      </c>
      <c r="I203" t="s">
        <v>100</v>
      </c>
      <c r="J203" t="s">
        <v>101</v>
      </c>
      <c r="K203" t="s">
        <v>193</v>
      </c>
      <c r="L203" t="s">
        <v>127</v>
      </c>
    </row>
    <row r="204" spans="1:12" x14ac:dyDescent="0.2">
      <c r="A204">
        <v>5496</v>
      </c>
      <c r="B204" t="s">
        <v>167</v>
      </c>
      <c r="C204" s="19">
        <v>45576</v>
      </c>
      <c r="D204" s="2">
        <v>0.63541666666666663</v>
      </c>
      <c r="E204" s="2">
        <v>0.94791666666666663</v>
      </c>
      <c r="F204">
        <v>30</v>
      </c>
      <c r="G204" s="2">
        <v>0.72916666666666663</v>
      </c>
      <c r="H204">
        <v>7</v>
      </c>
      <c r="I204" t="s">
        <v>100</v>
      </c>
      <c r="J204" t="s">
        <v>101</v>
      </c>
      <c r="K204" t="s">
        <v>112</v>
      </c>
      <c r="L204" t="s">
        <v>114</v>
      </c>
    </row>
    <row r="205" spans="1:12" x14ac:dyDescent="0.2">
      <c r="A205">
        <v>646</v>
      </c>
      <c r="B205" t="s">
        <v>124</v>
      </c>
      <c r="C205" s="19">
        <v>45576</v>
      </c>
      <c r="D205" s="2">
        <v>0.63541666666666663</v>
      </c>
      <c r="E205" s="2">
        <v>0.88541666666666663</v>
      </c>
      <c r="F205">
        <v>30</v>
      </c>
      <c r="G205" s="2">
        <v>0.72916666666666663</v>
      </c>
      <c r="H205">
        <v>5.5</v>
      </c>
      <c r="I205" t="s">
        <v>100</v>
      </c>
      <c r="J205" t="s">
        <v>101</v>
      </c>
      <c r="K205" t="s">
        <v>123</v>
      </c>
      <c r="L205" t="s">
        <v>114</v>
      </c>
    </row>
    <row r="206" spans="1:12" x14ac:dyDescent="0.2">
      <c r="A206">
        <v>1933</v>
      </c>
      <c r="B206" t="s">
        <v>207</v>
      </c>
      <c r="C206" s="19">
        <v>45576</v>
      </c>
      <c r="D206" s="2">
        <v>0.83333333333333337</v>
      </c>
      <c r="E206" s="2">
        <v>0.30208333333333331</v>
      </c>
      <c r="F206">
        <v>0</v>
      </c>
      <c r="G206" s="2"/>
      <c r="H206">
        <v>11.25</v>
      </c>
      <c r="I206" t="s">
        <v>100</v>
      </c>
      <c r="J206" t="s">
        <v>101</v>
      </c>
      <c r="K206" t="s">
        <v>91</v>
      </c>
      <c r="L206" t="s">
        <v>102</v>
      </c>
    </row>
    <row r="207" spans="1:12" x14ac:dyDescent="0.2">
      <c r="A207">
        <v>5778</v>
      </c>
      <c r="B207" t="s">
        <v>145</v>
      </c>
      <c r="C207" s="19">
        <v>45576</v>
      </c>
      <c r="D207" s="2">
        <v>0.9375</v>
      </c>
      <c r="E207" s="2">
        <v>0.30208333333333331</v>
      </c>
      <c r="F207">
        <v>30</v>
      </c>
      <c r="G207" s="2">
        <v>0.14583333333333334</v>
      </c>
      <c r="H207">
        <v>8.25</v>
      </c>
      <c r="I207" t="s">
        <v>100</v>
      </c>
      <c r="J207" t="s">
        <v>101</v>
      </c>
      <c r="K207" t="s">
        <v>139</v>
      </c>
      <c r="L207" t="s">
        <v>127</v>
      </c>
    </row>
    <row r="208" spans="1:12" x14ac:dyDescent="0.2">
      <c r="A208">
        <v>5653</v>
      </c>
      <c r="B208" t="s">
        <v>143</v>
      </c>
      <c r="C208" s="19">
        <v>45576</v>
      </c>
      <c r="D208" s="2">
        <v>0.9375</v>
      </c>
      <c r="E208" s="2">
        <v>0.30208333333333331</v>
      </c>
      <c r="F208">
        <v>30</v>
      </c>
      <c r="G208" s="2">
        <v>0.14583333333333334</v>
      </c>
      <c r="H208">
        <v>8.25</v>
      </c>
      <c r="I208" t="s">
        <v>100</v>
      </c>
      <c r="J208" t="s">
        <v>101</v>
      </c>
      <c r="K208" t="s">
        <v>147</v>
      </c>
      <c r="L208" t="s">
        <v>127</v>
      </c>
    </row>
    <row r="209" spans="1:12" x14ac:dyDescent="0.2">
      <c r="A209">
        <v>153</v>
      </c>
      <c r="B209" t="s">
        <v>146</v>
      </c>
      <c r="C209" s="19">
        <v>45576</v>
      </c>
      <c r="D209" s="2">
        <v>0.9375</v>
      </c>
      <c r="E209" s="2">
        <v>0.30208333333333331</v>
      </c>
      <c r="F209">
        <v>30</v>
      </c>
      <c r="G209" s="2">
        <v>0.14583333333333334</v>
      </c>
      <c r="H209">
        <v>8.25</v>
      </c>
      <c r="I209" t="s">
        <v>100</v>
      </c>
      <c r="J209" t="s">
        <v>101</v>
      </c>
      <c r="K209" t="s">
        <v>168</v>
      </c>
      <c r="L209" t="s">
        <v>127</v>
      </c>
    </row>
    <row r="210" spans="1:12" x14ac:dyDescent="0.2">
      <c r="A210">
        <v>5829</v>
      </c>
      <c r="B210" t="s">
        <v>212</v>
      </c>
      <c r="C210" s="19">
        <v>45576</v>
      </c>
      <c r="D210" s="2">
        <v>0.9375</v>
      </c>
      <c r="E210" s="2">
        <v>0.30208333333333331</v>
      </c>
      <c r="F210">
        <v>30</v>
      </c>
      <c r="G210" s="2">
        <v>0.14583333333333334</v>
      </c>
      <c r="H210">
        <v>8.25</v>
      </c>
      <c r="I210" t="s">
        <v>100</v>
      </c>
      <c r="J210" t="s">
        <v>101</v>
      </c>
      <c r="K210" t="s">
        <v>179</v>
      </c>
      <c r="L210" t="s">
        <v>127</v>
      </c>
    </row>
    <row r="211" spans="1:12" x14ac:dyDescent="0.2">
      <c r="A211">
        <v>1941</v>
      </c>
      <c r="B211" t="s">
        <v>138</v>
      </c>
      <c r="C211" s="19">
        <v>45576</v>
      </c>
      <c r="D211" s="2">
        <v>0.9375</v>
      </c>
      <c r="E211" s="2">
        <v>0.30208333333333331</v>
      </c>
      <c r="F211">
        <v>30</v>
      </c>
      <c r="G211" s="2">
        <v>0.14583333333333334</v>
      </c>
      <c r="H211">
        <v>8.25</v>
      </c>
      <c r="I211" t="s">
        <v>100</v>
      </c>
      <c r="J211" t="s">
        <v>101</v>
      </c>
      <c r="K211" t="s">
        <v>185</v>
      </c>
      <c r="L211" t="s">
        <v>127</v>
      </c>
    </row>
    <row r="212" spans="1:12" x14ac:dyDescent="0.2">
      <c r="A212">
        <v>110</v>
      </c>
      <c r="B212" t="s">
        <v>140</v>
      </c>
      <c r="C212" s="19">
        <v>45576</v>
      </c>
      <c r="D212" s="2">
        <v>0.9375</v>
      </c>
      <c r="E212" s="2">
        <v>0.30208333333333331</v>
      </c>
      <c r="F212">
        <v>30</v>
      </c>
      <c r="G212" s="2">
        <v>0.14583333333333334</v>
      </c>
      <c r="H212">
        <v>8.25</v>
      </c>
      <c r="I212" t="s">
        <v>100</v>
      </c>
      <c r="J212" t="s">
        <v>101</v>
      </c>
      <c r="K212" t="s">
        <v>197</v>
      </c>
      <c r="L212" t="s">
        <v>127</v>
      </c>
    </row>
    <row r="213" spans="1:12" x14ac:dyDescent="0.2">
      <c r="A213">
        <v>5690</v>
      </c>
      <c r="B213" t="s">
        <v>174</v>
      </c>
      <c r="C213" s="19">
        <v>45577</v>
      </c>
      <c r="D213" s="2">
        <v>0.29166666666666669</v>
      </c>
      <c r="E213" s="2">
        <v>0.5625</v>
      </c>
      <c r="F213">
        <v>30</v>
      </c>
      <c r="G213" s="2">
        <v>0.5</v>
      </c>
      <c r="H213">
        <v>6</v>
      </c>
      <c r="I213" t="s">
        <v>100</v>
      </c>
      <c r="J213" t="s">
        <v>101</v>
      </c>
      <c r="K213" t="s">
        <v>126</v>
      </c>
      <c r="L213" t="s">
        <v>127</v>
      </c>
    </row>
    <row r="214" spans="1:12" x14ac:dyDescent="0.2">
      <c r="A214">
        <v>2395</v>
      </c>
      <c r="B214" t="s">
        <v>160</v>
      </c>
      <c r="C214" s="19">
        <v>45577</v>
      </c>
      <c r="D214" s="2">
        <v>0.29166666666666669</v>
      </c>
      <c r="E214" s="2">
        <v>0.5625</v>
      </c>
      <c r="F214">
        <v>30</v>
      </c>
      <c r="G214" s="2">
        <v>0.47916666666666669</v>
      </c>
      <c r="H214">
        <v>6</v>
      </c>
      <c r="I214" t="s">
        <v>100</v>
      </c>
      <c r="J214" t="s">
        <v>101</v>
      </c>
      <c r="K214" t="s">
        <v>157</v>
      </c>
      <c r="L214" t="s">
        <v>127</v>
      </c>
    </row>
    <row r="215" spans="1:12" x14ac:dyDescent="0.2">
      <c r="A215">
        <v>1270</v>
      </c>
      <c r="B215" t="s">
        <v>166</v>
      </c>
      <c r="C215" s="19">
        <v>45577</v>
      </c>
      <c r="D215" s="2">
        <v>0.29166666666666669</v>
      </c>
      <c r="E215" s="2">
        <v>0.64583333333333337</v>
      </c>
      <c r="F215">
        <v>30</v>
      </c>
      <c r="G215" s="2">
        <v>0.5</v>
      </c>
      <c r="H215">
        <v>8</v>
      </c>
      <c r="I215" t="s">
        <v>100</v>
      </c>
      <c r="J215" t="s">
        <v>101</v>
      </c>
      <c r="K215" t="s">
        <v>157</v>
      </c>
      <c r="L215" t="s">
        <v>127</v>
      </c>
    </row>
    <row r="216" spans="1:12" x14ac:dyDescent="0.2">
      <c r="A216">
        <v>618</v>
      </c>
      <c r="B216" t="s">
        <v>218</v>
      </c>
      <c r="C216" s="19">
        <v>45577</v>
      </c>
      <c r="D216" s="2">
        <v>0.29166666666666669</v>
      </c>
      <c r="E216" s="2">
        <v>0.5</v>
      </c>
      <c r="F216">
        <v>30</v>
      </c>
      <c r="G216" s="2">
        <v>0.47916666666666669</v>
      </c>
      <c r="H216">
        <v>4.5</v>
      </c>
      <c r="I216" t="s">
        <v>100</v>
      </c>
      <c r="J216" t="s">
        <v>101</v>
      </c>
      <c r="K216" t="s">
        <v>168</v>
      </c>
      <c r="L216" t="s">
        <v>127</v>
      </c>
    </row>
    <row r="217" spans="1:12" x14ac:dyDescent="0.2">
      <c r="A217">
        <v>1581</v>
      </c>
      <c r="B217" t="s">
        <v>136</v>
      </c>
      <c r="C217" s="19">
        <v>45577</v>
      </c>
      <c r="D217" s="2">
        <v>0.29166666666666669</v>
      </c>
      <c r="E217" s="2">
        <v>0.875</v>
      </c>
      <c r="F217">
        <v>60</v>
      </c>
      <c r="G217" s="2">
        <v>0.47916666666666669</v>
      </c>
      <c r="H217">
        <v>13</v>
      </c>
      <c r="I217" t="s">
        <v>100</v>
      </c>
      <c r="J217" t="s">
        <v>101</v>
      </c>
      <c r="K217" t="s">
        <v>175</v>
      </c>
      <c r="L217" t="s">
        <v>127</v>
      </c>
    </row>
    <row r="218" spans="1:12" x14ac:dyDescent="0.2">
      <c r="A218">
        <v>5291</v>
      </c>
      <c r="B218" t="s">
        <v>177</v>
      </c>
      <c r="C218" s="19">
        <v>45577</v>
      </c>
      <c r="D218" s="2">
        <v>0.29166666666666669</v>
      </c>
      <c r="E218" s="2">
        <v>0.5625</v>
      </c>
      <c r="F218">
        <v>30</v>
      </c>
      <c r="G218" s="2">
        <v>0.47916666666666669</v>
      </c>
      <c r="H218">
        <v>6</v>
      </c>
      <c r="I218" t="s">
        <v>100</v>
      </c>
      <c r="J218" t="s">
        <v>101</v>
      </c>
      <c r="K218" t="s">
        <v>178</v>
      </c>
      <c r="L218" t="s">
        <v>127</v>
      </c>
    </row>
    <row r="219" spans="1:12" x14ac:dyDescent="0.2">
      <c r="A219">
        <v>5781</v>
      </c>
      <c r="B219" t="s">
        <v>155</v>
      </c>
      <c r="C219" s="19">
        <v>45577</v>
      </c>
      <c r="D219" s="2">
        <v>0.29166666666666669</v>
      </c>
      <c r="E219" s="2">
        <v>0.5625</v>
      </c>
      <c r="F219">
        <v>30</v>
      </c>
      <c r="G219" s="2">
        <v>0.5</v>
      </c>
      <c r="H219">
        <v>6</v>
      </c>
      <c r="I219" t="s">
        <v>100</v>
      </c>
      <c r="J219" t="s">
        <v>101</v>
      </c>
      <c r="K219" t="s">
        <v>179</v>
      </c>
      <c r="L219" t="s">
        <v>127</v>
      </c>
    </row>
    <row r="220" spans="1:12" x14ac:dyDescent="0.2">
      <c r="A220">
        <v>5785</v>
      </c>
      <c r="B220" t="s">
        <v>161</v>
      </c>
      <c r="C220" s="19">
        <v>45577</v>
      </c>
      <c r="D220" s="2">
        <v>0.29166666666666669</v>
      </c>
      <c r="E220" s="2">
        <v>0.64583333333333337</v>
      </c>
      <c r="F220">
        <v>30</v>
      </c>
      <c r="G220" s="2">
        <v>0.47916666666666669</v>
      </c>
      <c r="H220">
        <v>8</v>
      </c>
      <c r="I220" t="s">
        <v>100</v>
      </c>
      <c r="J220" t="s">
        <v>101</v>
      </c>
      <c r="K220" t="s">
        <v>184</v>
      </c>
      <c r="L220" t="s">
        <v>127</v>
      </c>
    </row>
    <row r="221" spans="1:12" x14ac:dyDescent="0.2">
      <c r="A221">
        <v>94</v>
      </c>
      <c r="B221" t="s">
        <v>137</v>
      </c>
      <c r="C221" s="19">
        <v>45577</v>
      </c>
      <c r="D221" s="2">
        <v>0.29166666666666669</v>
      </c>
      <c r="E221" s="2">
        <v>0.64583333333333337</v>
      </c>
      <c r="F221">
        <v>30</v>
      </c>
      <c r="G221" s="2">
        <v>0.5</v>
      </c>
      <c r="H221">
        <v>8</v>
      </c>
      <c r="I221" t="s">
        <v>100</v>
      </c>
      <c r="J221" t="s">
        <v>101</v>
      </c>
      <c r="K221" t="s">
        <v>185</v>
      </c>
      <c r="L221" t="s">
        <v>127</v>
      </c>
    </row>
    <row r="222" spans="1:12" x14ac:dyDescent="0.2">
      <c r="A222">
        <v>23</v>
      </c>
      <c r="B222" t="s">
        <v>135</v>
      </c>
      <c r="C222" s="19">
        <v>45577</v>
      </c>
      <c r="D222" s="2">
        <v>0.29166666666666669</v>
      </c>
      <c r="E222" s="2">
        <v>0.54166666666666663</v>
      </c>
      <c r="F222">
        <v>30</v>
      </c>
      <c r="G222" s="2">
        <v>0.47916666666666669</v>
      </c>
      <c r="H222">
        <v>5.5</v>
      </c>
      <c r="I222" t="s">
        <v>100</v>
      </c>
      <c r="J222" t="s">
        <v>101</v>
      </c>
      <c r="K222" t="s">
        <v>187</v>
      </c>
      <c r="L222" t="s">
        <v>127</v>
      </c>
    </row>
    <row r="223" spans="1:12" x14ac:dyDescent="0.2">
      <c r="A223">
        <v>5672</v>
      </c>
      <c r="B223" t="s">
        <v>134</v>
      </c>
      <c r="C223" s="19">
        <v>45577</v>
      </c>
      <c r="D223" s="2">
        <v>0.29166666666666669</v>
      </c>
      <c r="E223" s="2">
        <v>0.875</v>
      </c>
      <c r="F223">
        <v>60</v>
      </c>
      <c r="G223" s="2">
        <v>0.70833333333333337</v>
      </c>
      <c r="H223">
        <v>13</v>
      </c>
      <c r="I223" t="s">
        <v>100</v>
      </c>
      <c r="J223" t="s">
        <v>101</v>
      </c>
      <c r="K223" t="s">
        <v>188</v>
      </c>
      <c r="L223" t="s">
        <v>127</v>
      </c>
    </row>
    <row r="224" spans="1:12" x14ac:dyDescent="0.2">
      <c r="A224">
        <v>5786</v>
      </c>
      <c r="B224" t="s">
        <v>162</v>
      </c>
      <c r="C224" s="19">
        <v>45577</v>
      </c>
      <c r="D224" s="2">
        <v>0.29166666666666669</v>
      </c>
      <c r="E224" s="2">
        <v>0.64583333333333337</v>
      </c>
      <c r="F224">
        <v>30</v>
      </c>
      <c r="G224" s="2">
        <v>0.47916666666666669</v>
      </c>
      <c r="H224">
        <v>8</v>
      </c>
      <c r="I224" t="s">
        <v>100</v>
      </c>
      <c r="J224" t="s">
        <v>101</v>
      </c>
      <c r="K224" t="s">
        <v>189</v>
      </c>
      <c r="L224" t="s">
        <v>127</v>
      </c>
    </row>
    <row r="225" spans="1:12" x14ac:dyDescent="0.2">
      <c r="A225">
        <v>161</v>
      </c>
      <c r="B225" t="s">
        <v>191</v>
      </c>
      <c r="C225" s="19">
        <v>45577</v>
      </c>
      <c r="D225" s="2">
        <v>0.29166666666666669</v>
      </c>
      <c r="E225" s="2">
        <v>0.64583333333333337</v>
      </c>
      <c r="F225">
        <v>30</v>
      </c>
      <c r="G225" s="2">
        <v>0.47916666666666669</v>
      </c>
      <c r="H225">
        <v>8</v>
      </c>
      <c r="I225" t="s">
        <v>100</v>
      </c>
      <c r="J225" t="s">
        <v>101</v>
      </c>
      <c r="K225" t="s">
        <v>192</v>
      </c>
      <c r="L225" t="s">
        <v>127</v>
      </c>
    </row>
    <row r="226" spans="1:12" x14ac:dyDescent="0.2">
      <c r="A226">
        <v>5782</v>
      </c>
      <c r="B226" t="s">
        <v>164</v>
      </c>
      <c r="C226" s="19">
        <v>45577</v>
      </c>
      <c r="D226" s="2">
        <v>0.29166666666666669</v>
      </c>
      <c r="E226" s="2">
        <v>0.64583333333333337</v>
      </c>
      <c r="F226">
        <v>30</v>
      </c>
      <c r="G226" s="2">
        <v>0.47916666666666669</v>
      </c>
      <c r="H226">
        <v>8</v>
      </c>
      <c r="I226" t="s">
        <v>100</v>
      </c>
      <c r="J226" t="s">
        <v>101</v>
      </c>
      <c r="K226" t="s">
        <v>193</v>
      </c>
      <c r="L226" t="s">
        <v>127</v>
      </c>
    </row>
    <row r="227" spans="1:12" x14ac:dyDescent="0.2">
      <c r="A227">
        <v>5779</v>
      </c>
      <c r="B227" t="s">
        <v>163</v>
      </c>
      <c r="C227" s="19">
        <v>45577</v>
      </c>
      <c r="D227" s="2">
        <v>0.29166666666666669</v>
      </c>
      <c r="E227" s="2">
        <v>0.64583333333333337</v>
      </c>
      <c r="F227">
        <v>30</v>
      </c>
      <c r="G227" s="2">
        <v>0.47916666666666669</v>
      </c>
      <c r="H227">
        <v>8</v>
      </c>
      <c r="I227" t="s">
        <v>100</v>
      </c>
      <c r="J227" t="s">
        <v>101</v>
      </c>
      <c r="K227" t="s">
        <v>194</v>
      </c>
      <c r="L227" t="s">
        <v>127</v>
      </c>
    </row>
    <row r="228" spans="1:12" x14ac:dyDescent="0.2">
      <c r="A228">
        <v>5707</v>
      </c>
      <c r="B228" t="s">
        <v>119</v>
      </c>
      <c r="C228" s="19">
        <v>45577</v>
      </c>
      <c r="D228" s="2">
        <v>0.29166666666666669</v>
      </c>
      <c r="E228" s="2">
        <v>0.64583333333333337</v>
      </c>
      <c r="F228">
        <v>30</v>
      </c>
      <c r="G228" s="2">
        <v>0.5</v>
      </c>
      <c r="H228">
        <v>8</v>
      </c>
      <c r="I228" t="s">
        <v>100</v>
      </c>
      <c r="J228" t="s">
        <v>101</v>
      </c>
      <c r="K228" t="s">
        <v>103</v>
      </c>
      <c r="L228" t="s">
        <v>114</v>
      </c>
    </row>
    <row r="229" spans="1:12" x14ac:dyDescent="0.2">
      <c r="A229">
        <v>646</v>
      </c>
      <c r="B229" t="s">
        <v>124</v>
      </c>
      <c r="C229" s="19">
        <v>45577</v>
      </c>
      <c r="D229" s="2">
        <v>0.29166666666666669</v>
      </c>
      <c r="E229" s="2">
        <v>0.64583333333333337</v>
      </c>
      <c r="F229">
        <v>30</v>
      </c>
      <c r="G229" s="2">
        <v>0.5</v>
      </c>
      <c r="H229">
        <v>8</v>
      </c>
      <c r="I229" t="s">
        <v>100</v>
      </c>
      <c r="J229" t="s">
        <v>101</v>
      </c>
      <c r="K229" t="s">
        <v>112</v>
      </c>
      <c r="L229" t="s">
        <v>114</v>
      </c>
    </row>
    <row r="230" spans="1:12" x14ac:dyDescent="0.2">
      <c r="A230">
        <v>5538</v>
      </c>
      <c r="B230" t="s">
        <v>104</v>
      </c>
      <c r="C230" s="19">
        <v>45577</v>
      </c>
      <c r="D230" s="2">
        <v>0.29166666666666669</v>
      </c>
      <c r="E230" s="2">
        <v>0.5625</v>
      </c>
      <c r="F230">
        <v>30</v>
      </c>
      <c r="G230" s="2">
        <v>0.5</v>
      </c>
      <c r="H230">
        <v>6</v>
      </c>
      <c r="I230" t="s">
        <v>100</v>
      </c>
      <c r="J230" t="s">
        <v>101</v>
      </c>
      <c r="K230" t="s">
        <v>112</v>
      </c>
      <c r="L230" t="s">
        <v>102</v>
      </c>
    </row>
    <row r="231" spans="1:12" x14ac:dyDescent="0.2">
      <c r="A231">
        <v>5667</v>
      </c>
      <c r="B231" t="s">
        <v>106</v>
      </c>
      <c r="C231" s="19">
        <v>45577</v>
      </c>
      <c r="D231" s="2">
        <v>0.29166666666666669</v>
      </c>
      <c r="E231" s="2">
        <v>0.64583333333333337</v>
      </c>
      <c r="F231">
        <v>30</v>
      </c>
      <c r="G231" s="2">
        <v>0.5</v>
      </c>
      <c r="H231">
        <v>8</v>
      </c>
      <c r="I231" t="s">
        <v>100</v>
      </c>
      <c r="J231" t="s">
        <v>101</v>
      </c>
      <c r="K231" t="s">
        <v>103</v>
      </c>
      <c r="L231" t="s">
        <v>102</v>
      </c>
    </row>
    <row r="232" spans="1:12" x14ac:dyDescent="0.2">
      <c r="A232">
        <v>4947</v>
      </c>
      <c r="B232" t="s">
        <v>110</v>
      </c>
      <c r="C232" s="19">
        <v>45577</v>
      </c>
      <c r="D232" s="2">
        <v>0.33333333333333331</v>
      </c>
      <c r="E232" s="2">
        <v>0.9375</v>
      </c>
      <c r="F232">
        <v>60</v>
      </c>
      <c r="G232" s="2">
        <v>0.75</v>
      </c>
      <c r="H232">
        <v>13.5</v>
      </c>
      <c r="I232" t="s">
        <v>100</v>
      </c>
      <c r="J232" t="s">
        <v>101</v>
      </c>
      <c r="K232" t="s">
        <v>91</v>
      </c>
      <c r="L232" t="s">
        <v>102</v>
      </c>
    </row>
    <row r="233" spans="1:12" x14ac:dyDescent="0.2">
      <c r="A233">
        <v>5682</v>
      </c>
      <c r="B233" t="s">
        <v>105</v>
      </c>
      <c r="C233" s="19">
        <v>45577</v>
      </c>
      <c r="D233" s="2">
        <v>0.58333333333333337</v>
      </c>
      <c r="E233" s="2">
        <v>0.9375</v>
      </c>
      <c r="F233">
        <v>30</v>
      </c>
      <c r="G233" s="2">
        <v>0.72916666666666663</v>
      </c>
      <c r="H233">
        <v>8</v>
      </c>
      <c r="I233" t="s">
        <v>100</v>
      </c>
      <c r="J233" t="s">
        <v>101</v>
      </c>
      <c r="K233" t="s">
        <v>103</v>
      </c>
      <c r="L233" t="s">
        <v>102</v>
      </c>
    </row>
    <row r="234" spans="1:12" x14ac:dyDescent="0.2">
      <c r="A234">
        <v>5531</v>
      </c>
      <c r="B234" t="s">
        <v>132</v>
      </c>
      <c r="C234" s="19">
        <v>45577</v>
      </c>
      <c r="D234" s="2">
        <v>0.63541666666666663</v>
      </c>
      <c r="E234" s="2">
        <v>0.88541666666666663</v>
      </c>
      <c r="F234">
        <v>30</v>
      </c>
      <c r="G234" s="2">
        <v>0.72916666666666663</v>
      </c>
      <c r="H234">
        <v>5.5</v>
      </c>
      <c r="I234" t="s">
        <v>100</v>
      </c>
      <c r="J234" t="s">
        <v>101</v>
      </c>
      <c r="K234" t="s">
        <v>126</v>
      </c>
      <c r="L234" t="s">
        <v>127</v>
      </c>
    </row>
    <row r="235" spans="1:12" x14ac:dyDescent="0.2">
      <c r="A235">
        <v>5829</v>
      </c>
      <c r="B235" t="s">
        <v>212</v>
      </c>
      <c r="C235" s="19">
        <v>45577</v>
      </c>
      <c r="D235" s="2">
        <v>0.63541666666666663</v>
      </c>
      <c r="E235" s="2">
        <v>0.94791666666666663</v>
      </c>
      <c r="F235">
        <v>30</v>
      </c>
      <c r="G235" s="2">
        <v>0.72916666666666663</v>
      </c>
      <c r="H235">
        <v>7</v>
      </c>
      <c r="I235" t="s">
        <v>100</v>
      </c>
      <c r="J235" t="s">
        <v>101</v>
      </c>
      <c r="K235" t="s">
        <v>157</v>
      </c>
      <c r="L235" t="s">
        <v>127</v>
      </c>
    </row>
    <row r="236" spans="1:12" x14ac:dyDescent="0.2">
      <c r="A236">
        <v>5746</v>
      </c>
      <c r="B236" t="s">
        <v>149</v>
      </c>
      <c r="C236" s="19">
        <v>45577</v>
      </c>
      <c r="D236" s="2">
        <v>0.63541666666666663</v>
      </c>
      <c r="E236" s="2">
        <v>0.88541666666666663</v>
      </c>
      <c r="F236">
        <v>30</v>
      </c>
      <c r="G236" s="2">
        <v>0.72916666666666663</v>
      </c>
      <c r="H236">
        <v>5.5</v>
      </c>
      <c r="I236" t="s">
        <v>100</v>
      </c>
      <c r="J236" t="s">
        <v>101</v>
      </c>
      <c r="K236" t="s">
        <v>168</v>
      </c>
      <c r="L236" t="s">
        <v>127</v>
      </c>
    </row>
    <row r="237" spans="1:12" x14ac:dyDescent="0.2">
      <c r="A237">
        <v>283</v>
      </c>
      <c r="B237" t="s">
        <v>171</v>
      </c>
      <c r="C237" s="19">
        <v>45577</v>
      </c>
      <c r="D237" s="2">
        <v>0.63541666666666663</v>
      </c>
      <c r="E237" s="2">
        <v>0.88541666666666663</v>
      </c>
      <c r="F237">
        <v>30</v>
      </c>
      <c r="G237" s="2">
        <v>0.72916666666666663</v>
      </c>
      <c r="H237">
        <v>5.5</v>
      </c>
      <c r="I237" t="s">
        <v>100</v>
      </c>
      <c r="J237" t="s">
        <v>101</v>
      </c>
      <c r="K237" t="s">
        <v>175</v>
      </c>
      <c r="L237" t="s">
        <v>127</v>
      </c>
    </row>
    <row r="238" spans="1:12" x14ac:dyDescent="0.2">
      <c r="A238">
        <v>4460</v>
      </c>
      <c r="B238" t="s">
        <v>180</v>
      </c>
      <c r="C238" s="19">
        <v>45577</v>
      </c>
      <c r="D238" s="2">
        <v>0.63541666666666663</v>
      </c>
      <c r="E238" s="2">
        <v>0.94791666666666663</v>
      </c>
      <c r="F238">
        <v>30</v>
      </c>
      <c r="G238" s="2">
        <v>0.72916666666666663</v>
      </c>
      <c r="H238">
        <v>7</v>
      </c>
      <c r="I238" t="s">
        <v>100</v>
      </c>
      <c r="J238" t="s">
        <v>101</v>
      </c>
      <c r="K238" t="s">
        <v>179</v>
      </c>
      <c r="L238" t="s">
        <v>127</v>
      </c>
    </row>
    <row r="239" spans="1:12" x14ac:dyDescent="0.2">
      <c r="A239">
        <v>5745</v>
      </c>
      <c r="B239" t="s">
        <v>176</v>
      </c>
      <c r="C239" s="19">
        <v>45577</v>
      </c>
      <c r="D239" s="2">
        <v>0.63541666666666663</v>
      </c>
      <c r="E239" s="2">
        <v>0.94791666666666663</v>
      </c>
      <c r="F239">
        <v>30</v>
      </c>
      <c r="G239" s="2">
        <v>0.72916666666666663</v>
      </c>
      <c r="H239">
        <v>7</v>
      </c>
      <c r="I239" t="s">
        <v>100</v>
      </c>
      <c r="J239" t="s">
        <v>101</v>
      </c>
      <c r="K239" t="s">
        <v>185</v>
      </c>
      <c r="L239" t="s">
        <v>127</v>
      </c>
    </row>
    <row r="240" spans="1:12" x14ac:dyDescent="0.2">
      <c r="A240">
        <v>5713</v>
      </c>
      <c r="B240" t="s">
        <v>128</v>
      </c>
      <c r="C240" s="19">
        <v>45577</v>
      </c>
      <c r="D240" s="2">
        <v>0.63541666666666663</v>
      </c>
      <c r="E240" s="2">
        <v>0.88541666666666663</v>
      </c>
      <c r="F240">
        <v>30</v>
      </c>
      <c r="G240" s="2">
        <v>0.72916666666666663</v>
      </c>
      <c r="H240">
        <v>5.5</v>
      </c>
      <c r="I240" t="s">
        <v>100</v>
      </c>
      <c r="J240" t="s">
        <v>101</v>
      </c>
      <c r="K240" t="s">
        <v>187</v>
      </c>
      <c r="L240" t="s">
        <v>127</v>
      </c>
    </row>
    <row r="241" spans="1:12" x14ac:dyDescent="0.2">
      <c r="A241">
        <v>5542</v>
      </c>
      <c r="B241" t="s">
        <v>190</v>
      </c>
      <c r="C241" s="19">
        <v>45577</v>
      </c>
      <c r="D241" s="2">
        <v>0.63541666666666663</v>
      </c>
      <c r="E241" s="2">
        <v>0.94791666666666663</v>
      </c>
      <c r="F241">
        <v>30</v>
      </c>
      <c r="G241" s="2">
        <v>0.72916666666666663</v>
      </c>
      <c r="H241">
        <v>7</v>
      </c>
      <c r="I241" t="s">
        <v>100</v>
      </c>
      <c r="J241" t="s">
        <v>101</v>
      </c>
      <c r="K241" t="s">
        <v>189</v>
      </c>
      <c r="L241" t="s">
        <v>127</v>
      </c>
    </row>
    <row r="242" spans="1:12" x14ac:dyDescent="0.2">
      <c r="A242">
        <v>2970</v>
      </c>
      <c r="B242" t="s">
        <v>195</v>
      </c>
      <c r="C242" s="19">
        <v>45577</v>
      </c>
      <c r="D242" s="2">
        <v>0.63541666666666663</v>
      </c>
      <c r="E242" s="2">
        <v>0.94791666666666663</v>
      </c>
      <c r="F242">
        <v>30</v>
      </c>
      <c r="G242" s="2">
        <v>0.72916666666666663</v>
      </c>
      <c r="H242">
        <v>7</v>
      </c>
      <c r="I242" t="s">
        <v>100</v>
      </c>
      <c r="J242" t="s">
        <v>101</v>
      </c>
      <c r="K242" t="s">
        <v>193</v>
      </c>
      <c r="L242" t="s">
        <v>127</v>
      </c>
    </row>
    <row r="243" spans="1:12" x14ac:dyDescent="0.2">
      <c r="A243">
        <v>5496</v>
      </c>
      <c r="B243" t="s">
        <v>167</v>
      </c>
      <c r="C243" s="19">
        <v>45577</v>
      </c>
      <c r="D243" s="2">
        <v>0.63541666666666663</v>
      </c>
      <c r="E243" s="2">
        <v>0.94791666666666663</v>
      </c>
      <c r="F243">
        <v>30</v>
      </c>
      <c r="G243" s="2">
        <v>0.72916666666666663</v>
      </c>
      <c r="H243">
        <v>7</v>
      </c>
      <c r="I243" t="s">
        <v>100</v>
      </c>
      <c r="J243" t="s">
        <v>101</v>
      </c>
      <c r="K243" t="s">
        <v>112</v>
      </c>
      <c r="L243" t="s">
        <v>114</v>
      </c>
    </row>
    <row r="244" spans="1:12" x14ac:dyDescent="0.2">
      <c r="A244">
        <v>5227</v>
      </c>
      <c r="B244" t="s">
        <v>118</v>
      </c>
      <c r="C244" s="19">
        <v>45577</v>
      </c>
      <c r="D244" s="2">
        <v>0.63541666666666663</v>
      </c>
      <c r="E244" s="2">
        <v>0.88541666666666663</v>
      </c>
      <c r="F244">
        <v>30</v>
      </c>
      <c r="G244" s="2">
        <v>0.72916666666666663</v>
      </c>
      <c r="H244">
        <v>5.5</v>
      </c>
      <c r="I244" t="s">
        <v>100</v>
      </c>
      <c r="J244" t="s">
        <v>101</v>
      </c>
      <c r="K244" t="s">
        <v>123</v>
      </c>
      <c r="L244" t="s">
        <v>114</v>
      </c>
    </row>
    <row r="245" spans="1:12" x14ac:dyDescent="0.2">
      <c r="A245">
        <v>5837</v>
      </c>
      <c r="B245" t="s">
        <v>211</v>
      </c>
      <c r="C245" s="19">
        <v>45577</v>
      </c>
      <c r="D245" s="2">
        <v>0.66666666666666663</v>
      </c>
      <c r="E245" s="2">
        <v>0.88541666666666663</v>
      </c>
      <c r="F245">
        <v>30</v>
      </c>
      <c r="G245" s="2">
        <v>0.72916666666666663</v>
      </c>
      <c r="H245">
        <v>4.75</v>
      </c>
      <c r="I245" t="s">
        <v>100</v>
      </c>
      <c r="J245" t="s">
        <v>101</v>
      </c>
      <c r="K245" t="s">
        <v>184</v>
      </c>
      <c r="L245" t="s">
        <v>127</v>
      </c>
    </row>
    <row r="246" spans="1:12" x14ac:dyDescent="0.2">
      <c r="A246">
        <v>2564</v>
      </c>
      <c r="B246" t="s">
        <v>208</v>
      </c>
      <c r="C246" s="19">
        <v>45577</v>
      </c>
      <c r="D246" s="2">
        <v>0.91666666666666663</v>
      </c>
      <c r="E246" s="2">
        <v>0.30208333333333331</v>
      </c>
      <c r="F246">
        <v>0</v>
      </c>
      <c r="G246" s="2"/>
      <c r="H246">
        <v>9.25</v>
      </c>
      <c r="I246" t="s">
        <v>100</v>
      </c>
      <c r="J246" t="s">
        <v>101</v>
      </c>
      <c r="K246" t="s">
        <v>91</v>
      </c>
      <c r="L246" t="s">
        <v>102</v>
      </c>
    </row>
    <row r="247" spans="1:12" x14ac:dyDescent="0.2">
      <c r="A247">
        <v>110</v>
      </c>
      <c r="B247" t="s">
        <v>140</v>
      </c>
      <c r="C247" s="19">
        <v>45577</v>
      </c>
      <c r="D247" s="2">
        <v>0.9375</v>
      </c>
      <c r="E247" s="2">
        <v>0.30208333333333331</v>
      </c>
      <c r="F247">
        <v>30</v>
      </c>
      <c r="G247" s="2">
        <v>0.14583333333333334</v>
      </c>
      <c r="H247">
        <v>8.25</v>
      </c>
      <c r="I247" t="s">
        <v>100</v>
      </c>
      <c r="J247" t="s">
        <v>101</v>
      </c>
      <c r="K247" t="s">
        <v>139</v>
      </c>
      <c r="L247" t="s">
        <v>127</v>
      </c>
    </row>
    <row r="248" spans="1:12" x14ac:dyDescent="0.2">
      <c r="A248">
        <v>1445</v>
      </c>
      <c r="B248" t="s">
        <v>214</v>
      </c>
      <c r="C248" s="19">
        <v>45577</v>
      </c>
      <c r="D248" s="2">
        <v>0.9375</v>
      </c>
      <c r="E248" s="2">
        <v>0.30208333333333331</v>
      </c>
      <c r="F248">
        <v>30</v>
      </c>
      <c r="G248" s="2">
        <v>0.14583333333333334</v>
      </c>
      <c r="H248">
        <v>8.25</v>
      </c>
      <c r="I248" t="s">
        <v>100</v>
      </c>
      <c r="J248" t="s">
        <v>101</v>
      </c>
      <c r="K248" t="s">
        <v>147</v>
      </c>
      <c r="L248" t="s">
        <v>127</v>
      </c>
    </row>
    <row r="249" spans="1:12" x14ac:dyDescent="0.2">
      <c r="A249">
        <v>3016</v>
      </c>
      <c r="B249" t="s">
        <v>172</v>
      </c>
      <c r="C249" s="19">
        <v>45577</v>
      </c>
      <c r="D249" s="2">
        <v>0.9375</v>
      </c>
      <c r="E249" s="2">
        <v>0.30208333333333331</v>
      </c>
      <c r="F249">
        <v>30</v>
      </c>
      <c r="G249" s="2">
        <v>0.14583333333333334</v>
      </c>
      <c r="H249">
        <v>8.25</v>
      </c>
      <c r="I249" t="s">
        <v>100</v>
      </c>
      <c r="J249" t="s">
        <v>101</v>
      </c>
      <c r="K249" t="s">
        <v>168</v>
      </c>
      <c r="L249" t="s">
        <v>127</v>
      </c>
    </row>
    <row r="250" spans="1:12" x14ac:dyDescent="0.2">
      <c r="A250">
        <v>1941</v>
      </c>
      <c r="B250" t="s">
        <v>138</v>
      </c>
      <c r="C250" s="19">
        <v>45577</v>
      </c>
      <c r="D250" s="2">
        <v>0.9375</v>
      </c>
      <c r="E250" s="2">
        <v>0.30208333333333331</v>
      </c>
      <c r="F250">
        <v>30</v>
      </c>
      <c r="G250" s="2">
        <v>0.14583333333333334</v>
      </c>
      <c r="H250">
        <v>8.25</v>
      </c>
      <c r="I250" t="s">
        <v>100</v>
      </c>
      <c r="J250" t="s">
        <v>101</v>
      </c>
      <c r="K250" t="s">
        <v>179</v>
      </c>
      <c r="L250" t="s">
        <v>127</v>
      </c>
    </row>
    <row r="251" spans="1:12" x14ac:dyDescent="0.2">
      <c r="A251">
        <v>153</v>
      </c>
      <c r="B251" t="s">
        <v>146</v>
      </c>
      <c r="C251" s="19">
        <v>45577</v>
      </c>
      <c r="D251" s="2">
        <v>0.9375</v>
      </c>
      <c r="E251" s="2">
        <v>0.30208333333333331</v>
      </c>
      <c r="F251">
        <v>30</v>
      </c>
      <c r="G251" s="2">
        <v>0.14583333333333334</v>
      </c>
      <c r="H251">
        <v>8.25</v>
      </c>
      <c r="I251" t="s">
        <v>100</v>
      </c>
      <c r="J251" t="s">
        <v>101</v>
      </c>
      <c r="K251" t="s">
        <v>185</v>
      </c>
      <c r="L251" t="s">
        <v>127</v>
      </c>
    </row>
    <row r="252" spans="1:12" x14ac:dyDescent="0.2">
      <c r="A252">
        <v>5653</v>
      </c>
      <c r="B252" t="s">
        <v>143</v>
      </c>
      <c r="C252" s="19">
        <v>45577</v>
      </c>
      <c r="D252" s="2">
        <v>0.9375</v>
      </c>
      <c r="E252" s="2">
        <v>0.30208333333333331</v>
      </c>
      <c r="F252">
        <v>30</v>
      </c>
      <c r="G252" s="2">
        <v>0.14583333333333334</v>
      </c>
      <c r="H252">
        <v>8.25</v>
      </c>
      <c r="I252" t="s">
        <v>100</v>
      </c>
      <c r="J252" t="s">
        <v>101</v>
      </c>
      <c r="K252" t="s">
        <v>197</v>
      </c>
      <c r="L252" t="s">
        <v>127</v>
      </c>
    </row>
    <row r="253" spans="1:12" x14ac:dyDescent="0.2">
      <c r="A253">
        <v>23</v>
      </c>
      <c r="B253" t="s">
        <v>135</v>
      </c>
      <c r="C253" s="19">
        <v>45578</v>
      </c>
      <c r="D253" s="2">
        <v>0.29166666666666669</v>
      </c>
      <c r="E253" s="2">
        <v>0.5625</v>
      </c>
      <c r="F253">
        <v>30</v>
      </c>
      <c r="G253" s="2">
        <v>0.5</v>
      </c>
      <c r="H253">
        <v>6</v>
      </c>
      <c r="I253" t="s">
        <v>100</v>
      </c>
      <c r="J253" t="s">
        <v>101</v>
      </c>
      <c r="K253" t="s">
        <v>126</v>
      </c>
      <c r="L253" t="s">
        <v>127</v>
      </c>
    </row>
    <row r="254" spans="1:12" x14ac:dyDescent="0.2">
      <c r="A254">
        <v>4979</v>
      </c>
      <c r="B254" t="s">
        <v>158</v>
      </c>
      <c r="C254" s="19">
        <v>45578</v>
      </c>
      <c r="D254" s="2">
        <v>0.29166666666666669</v>
      </c>
      <c r="E254" s="2">
        <v>0.64583333333333337</v>
      </c>
      <c r="F254">
        <v>30</v>
      </c>
      <c r="G254" s="2">
        <v>0.5</v>
      </c>
      <c r="H254">
        <v>8</v>
      </c>
      <c r="I254" t="s">
        <v>100</v>
      </c>
      <c r="J254" t="s">
        <v>101</v>
      </c>
      <c r="K254" t="s">
        <v>157</v>
      </c>
      <c r="L254" t="s">
        <v>127</v>
      </c>
    </row>
    <row r="255" spans="1:12" x14ac:dyDescent="0.2">
      <c r="A255">
        <v>5711</v>
      </c>
      <c r="B255" t="s">
        <v>117</v>
      </c>
      <c r="C255" s="19">
        <v>45578</v>
      </c>
      <c r="D255" s="2">
        <v>0.29166666666666669</v>
      </c>
      <c r="E255" s="2">
        <v>0.5625</v>
      </c>
      <c r="F255">
        <v>30</v>
      </c>
      <c r="G255" s="2">
        <v>0.47916666666666669</v>
      </c>
      <c r="H255">
        <v>6</v>
      </c>
      <c r="I255" t="s">
        <v>100</v>
      </c>
      <c r="J255" t="s">
        <v>101</v>
      </c>
      <c r="K255" t="s">
        <v>157</v>
      </c>
      <c r="L255" t="s">
        <v>127</v>
      </c>
    </row>
    <row r="256" spans="1:12" x14ac:dyDescent="0.2">
      <c r="A256">
        <v>5542</v>
      </c>
      <c r="B256" t="s">
        <v>190</v>
      </c>
      <c r="C256" s="19">
        <v>45578</v>
      </c>
      <c r="D256" s="2">
        <v>0.29166666666666669</v>
      </c>
      <c r="E256" s="2">
        <v>0.875</v>
      </c>
      <c r="F256">
        <v>60</v>
      </c>
      <c r="G256" s="2">
        <v>0.70833333333333337</v>
      </c>
      <c r="H256">
        <v>13</v>
      </c>
      <c r="I256" t="s">
        <v>100</v>
      </c>
      <c r="J256" t="s">
        <v>101</v>
      </c>
      <c r="K256" t="s">
        <v>168</v>
      </c>
      <c r="L256" t="s">
        <v>127</v>
      </c>
    </row>
    <row r="257" spans="1:12" x14ac:dyDescent="0.2">
      <c r="A257">
        <v>5829</v>
      </c>
      <c r="B257" t="s">
        <v>212</v>
      </c>
      <c r="C257" s="19">
        <v>45578</v>
      </c>
      <c r="D257" s="2">
        <v>0.29166666666666669</v>
      </c>
      <c r="E257" s="2">
        <v>0.64583333333333337</v>
      </c>
      <c r="F257">
        <v>30</v>
      </c>
      <c r="G257" s="2">
        <v>0.47916666666666669</v>
      </c>
      <c r="H257">
        <v>8</v>
      </c>
      <c r="I257" t="s">
        <v>100</v>
      </c>
      <c r="J257" t="s">
        <v>101</v>
      </c>
      <c r="K257" t="s">
        <v>175</v>
      </c>
      <c r="L257" t="s">
        <v>127</v>
      </c>
    </row>
    <row r="258" spans="1:12" x14ac:dyDescent="0.2">
      <c r="A258">
        <v>5837</v>
      </c>
      <c r="B258" t="s">
        <v>211</v>
      </c>
      <c r="C258" s="19">
        <v>45578</v>
      </c>
      <c r="D258" s="2">
        <v>0.29166666666666669</v>
      </c>
      <c r="E258" s="2">
        <v>0.83333333333333337</v>
      </c>
      <c r="F258">
        <v>60</v>
      </c>
      <c r="G258" s="2">
        <v>0.70833333333333337</v>
      </c>
      <c r="H258">
        <v>12</v>
      </c>
      <c r="I258" t="s">
        <v>100</v>
      </c>
      <c r="J258" t="s">
        <v>101</v>
      </c>
      <c r="K258" t="s">
        <v>178</v>
      </c>
      <c r="L258" t="s">
        <v>127</v>
      </c>
    </row>
    <row r="259" spans="1:12" x14ac:dyDescent="0.2">
      <c r="A259">
        <v>5804</v>
      </c>
      <c r="B259" t="s">
        <v>216</v>
      </c>
      <c r="C259" s="19">
        <v>45578</v>
      </c>
      <c r="D259" s="2">
        <v>0.29166666666666669</v>
      </c>
      <c r="E259" s="2">
        <v>0.875</v>
      </c>
      <c r="F259">
        <v>60</v>
      </c>
      <c r="G259" s="2">
        <v>0.70833333333333337</v>
      </c>
      <c r="H259">
        <v>13</v>
      </c>
      <c r="I259" t="s">
        <v>100</v>
      </c>
      <c r="J259" t="s">
        <v>101</v>
      </c>
      <c r="K259" t="s">
        <v>179</v>
      </c>
      <c r="L259" t="s">
        <v>127</v>
      </c>
    </row>
    <row r="260" spans="1:12" x14ac:dyDescent="0.2">
      <c r="A260">
        <v>5520</v>
      </c>
      <c r="B260" t="s">
        <v>170</v>
      </c>
      <c r="C260" s="19">
        <v>45578</v>
      </c>
      <c r="D260" s="2">
        <v>0.29166666666666669</v>
      </c>
      <c r="E260" s="2">
        <v>0.64583333333333337</v>
      </c>
      <c r="F260">
        <v>30</v>
      </c>
      <c r="G260" s="2">
        <v>0.47916666666666669</v>
      </c>
      <c r="H260">
        <v>8</v>
      </c>
      <c r="I260" t="s">
        <v>100</v>
      </c>
      <c r="J260" t="s">
        <v>101</v>
      </c>
      <c r="K260" t="s">
        <v>184</v>
      </c>
      <c r="L260" t="s">
        <v>127</v>
      </c>
    </row>
    <row r="261" spans="1:12" x14ac:dyDescent="0.2">
      <c r="A261">
        <v>94</v>
      </c>
      <c r="B261" t="s">
        <v>137</v>
      </c>
      <c r="C261" s="19">
        <v>45578</v>
      </c>
      <c r="D261" s="2">
        <v>0.29166666666666669</v>
      </c>
      <c r="E261" s="2">
        <v>0.64583333333333337</v>
      </c>
      <c r="F261">
        <v>30</v>
      </c>
      <c r="G261" s="2">
        <v>0.5</v>
      </c>
      <c r="H261">
        <v>8</v>
      </c>
      <c r="I261" t="s">
        <v>100</v>
      </c>
      <c r="J261" t="s">
        <v>101</v>
      </c>
      <c r="K261" t="s">
        <v>185</v>
      </c>
      <c r="L261" t="s">
        <v>127</v>
      </c>
    </row>
    <row r="262" spans="1:12" x14ac:dyDescent="0.2">
      <c r="A262">
        <v>3572</v>
      </c>
      <c r="B262" t="s">
        <v>156</v>
      </c>
      <c r="C262" s="19">
        <v>45578</v>
      </c>
      <c r="D262" s="2">
        <v>0.29166666666666669</v>
      </c>
      <c r="E262" s="2">
        <v>0.64583333333333337</v>
      </c>
      <c r="F262">
        <v>30</v>
      </c>
      <c r="G262" s="2">
        <v>0.47916666666666669</v>
      </c>
      <c r="H262">
        <v>8</v>
      </c>
      <c r="I262" t="s">
        <v>100</v>
      </c>
      <c r="J262" t="s">
        <v>101</v>
      </c>
      <c r="K262" t="s">
        <v>187</v>
      </c>
      <c r="L262" t="s">
        <v>127</v>
      </c>
    </row>
    <row r="263" spans="1:12" x14ac:dyDescent="0.2">
      <c r="A263">
        <v>5672</v>
      </c>
      <c r="B263" t="s">
        <v>134</v>
      </c>
      <c r="C263" s="19">
        <v>45578</v>
      </c>
      <c r="D263" s="2">
        <v>0.29166666666666669</v>
      </c>
      <c r="E263" s="2">
        <v>0.64583333333333337</v>
      </c>
      <c r="F263">
        <v>30</v>
      </c>
      <c r="G263" s="2">
        <v>0.5</v>
      </c>
      <c r="H263">
        <v>8</v>
      </c>
      <c r="I263" t="s">
        <v>100</v>
      </c>
      <c r="J263" t="s">
        <v>101</v>
      </c>
      <c r="K263" t="s">
        <v>188</v>
      </c>
      <c r="L263" t="s">
        <v>127</v>
      </c>
    </row>
    <row r="264" spans="1:12" x14ac:dyDescent="0.2">
      <c r="A264">
        <v>1581</v>
      </c>
      <c r="B264" t="s">
        <v>136</v>
      </c>
      <c r="C264" s="19">
        <v>45578</v>
      </c>
      <c r="D264" s="2">
        <v>0.29166666666666669</v>
      </c>
      <c r="E264" s="2">
        <v>0.64583333333333337</v>
      </c>
      <c r="F264">
        <v>30</v>
      </c>
      <c r="G264" s="2">
        <v>0.47916666666666669</v>
      </c>
      <c r="H264">
        <v>8</v>
      </c>
      <c r="I264" t="s">
        <v>100</v>
      </c>
      <c r="J264" t="s">
        <v>101</v>
      </c>
      <c r="K264" t="s">
        <v>189</v>
      </c>
      <c r="L264" t="s">
        <v>127</v>
      </c>
    </row>
    <row r="265" spans="1:12" x14ac:dyDescent="0.2">
      <c r="A265">
        <v>161</v>
      </c>
      <c r="B265" t="s">
        <v>191</v>
      </c>
      <c r="C265" s="19">
        <v>45578</v>
      </c>
      <c r="D265" s="2">
        <v>0.29166666666666669</v>
      </c>
      <c r="E265" s="2">
        <v>0.64583333333333337</v>
      </c>
      <c r="F265">
        <v>30</v>
      </c>
      <c r="G265" s="2">
        <v>0.47916666666666669</v>
      </c>
      <c r="H265">
        <v>8</v>
      </c>
      <c r="I265" t="s">
        <v>100</v>
      </c>
      <c r="J265" t="s">
        <v>101</v>
      </c>
      <c r="K265" t="s">
        <v>192</v>
      </c>
      <c r="L265" t="s">
        <v>127</v>
      </c>
    </row>
    <row r="266" spans="1:12" x14ac:dyDescent="0.2">
      <c r="A266">
        <v>5291</v>
      </c>
      <c r="B266" t="s">
        <v>177</v>
      </c>
      <c r="C266" s="19">
        <v>45578</v>
      </c>
      <c r="D266" s="2">
        <v>0.29166666666666669</v>
      </c>
      <c r="E266" s="2">
        <v>0.5625</v>
      </c>
      <c r="F266">
        <v>30</v>
      </c>
      <c r="G266" s="2">
        <v>0.47916666666666669</v>
      </c>
      <c r="H266">
        <v>6</v>
      </c>
      <c r="I266" t="s">
        <v>100</v>
      </c>
      <c r="J266" t="s">
        <v>101</v>
      </c>
      <c r="K266" t="s">
        <v>193</v>
      </c>
      <c r="L266" t="s">
        <v>127</v>
      </c>
    </row>
    <row r="267" spans="1:12" x14ac:dyDescent="0.2">
      <c r="A267">
        <v>5631</v>
      </c>
      <c r="B267" t="s">
        <v>182</v>
      </c>
      <c r="C267" s="19">
        <v>45578</v>
      </c>
      <c r="D267" s="2">
        <v>0.29166666666666669</v>
      </c>
      <c r="E267" s="2">
        <v>0.5625</v>
      </c>
      <c r="F267">
        <v>30</v>
      </c>
      <c r="G267" s="2">
        <v>0.47916666666666669</v>
      </c>
      <c r="H267">
        <v>6</v>
      </c>
      <c r="I267" t="s">
        <v>100</v>
      </c>
      <c r="J267" t="s">
        <v>101</v>
      </c>
      <c r="K267" t="s">
        <v>194</v>
      </c>
      <c r="L267" t="s">
        <v>127</v>
      </c>
    </row>
    <row r="268" spans="1:12" x14ac:dyDescent="0.2">
      <c r="A268">
        <v>4859</v>
      </c>
      <c r="B268" t="s">
        <v>113</v>
      </c>
      <c r="C268" s="19">
        <v>45578</v>
      </c>
      <c r="D268" s="2">
        <v>0.29166666666666669</v>
      </c>
      <c r="E268" s="2">
        <v>0.64583333333333337</v>
      </c>
      <c r="F268">
        <v>30</v>
      </c>
      <c r="G268" s="2">
        <v>0.5</v>
      </c>
      <c r="H268">
        <v>8</v>
      </c>
      <c r="I268" t="s">
        <v>100</v>
      </c>
      <c r="J268" t="s">
        <v>101</v>
      </c>
      <c r="K268" t="s">
        <v>103</v>
      </c>
      <c r="L268" t="s">
        <v>114</v>
      </c>
    </row>
    <row r="269" spans="1:12" x14ac:dyDescent="0.2">
      <c r="A269">
        <v>617</v>
      </c>
      <c r="B269" t="s">
        <v>115</v>
      </c>
      <c r="C269" s="19">
        <v>45578</v>
      </c>
      <c r="D269" s="2">
        <v>0.29166666666666669</v>
      </c>
      <c r="E269" s="2">
        <v>0.64583333333333337</v>
      </c>
      <c r="F269">
        <v>30</v>
      </c>
      <c r="G269" s="2">
        <v>0.5</v>
      </c>
      <c r="H269">
        <v>8</v>
      </c>
      <c r="I269" t="s">
        <v>100</v>
      </c>
      <c r="J269" t="s">
        <v>101</v>
      </c>
      <c r="K269" t="s">
        <v>112</v>
      </c>
      <c r="L269" t="s">
        <v>114</v>
      </c>
    </row>
    <row r="270" spans="1:12" x14ac:dyDescent="0.2">
      <c r="A270">
        <v>5555</v>
      </c>
      <c r="B270" t="s">
        <v>109</v>
      </c>
      <c r="C270" s="19">
        <v>45578</v>
      </c>
      <c r="D270" s="2">
        <v>0.29166666666666669</v>
      </c>
      <c r="E270" s="2">
        <v>0.64583333333333337</v>
      </c>
      <c r="F270">
        <v>30</v>
      </c>
      <c r="G270" s="2">
        <v>0.5</v>
      </c>
      <c r="H270">
        <v>8</v>
      </c>
      <c r="I270" t="s">
        <v>100</v>
      </c>
      <c r="J270" t="s">
        <v>101</v>
      </c>
      <c r="K270" t="s">
        <v>103</v>
      </c>
      <c r="L270" t="s">
        <v>102</v>
      </c>
    </row>
    <row r="271" spans="1:12" x14ac:dyDescent="0.2">
      <c r="A271">
        <v>5139</v>
      </c>
      <c r="B271" t="s">
        <v>111</v>
      </c>
      <c r="C271" s="19">
        <v>45578</v>
      </c>
      <c r="D271" s="2">
        <v>0.29166666666666669</v>
      </c>
      <c r="E271" s="2">
        <v>0.64583333333333337</v>
      </c>
      <c r="F271">
        <v>30</v>
      </c>
      <c r="G271" s="2">
        <v>0.5</v>
      </c>
      <c r="H271">
        <v>8</v>
      </c>
      <c r="I271" t="s">
        <v>100</v>
      </c>
      <c r="J271" t="s">
        <v>101</v>
      </c>
      <c r="K271" t="s">
        <v>112</v>
      </c>
      <c r="L271" t="s">
        <v>102</v>
      </c>
    </row>
    <row r="272" spans="1:12" x14ac:dyDescent="0.2">
      <c r="A272">
        <v>5407</v>
      </c>
      <c r="B272" t="s">
        <v>205</v>
      </c>
      <c r="C272" s="19">
        <v>45578</v>
      </c>
      <c r="D272" s="2">
        <v>0.33333333333333331</v>
      </c>
      <c r="E272" s="2">
        <v>0.6875</v>
      </c>
      <c r="F272">
        <v>30</v>
      </c>
      <c r="G272" s="2">
        <v>0.5</v>
      </c>
      <c r="H272">
        <v>8</v>
      </c>
      <c r="I272" t="s">
        <v>100</v>
      </c>
      <c r="J272" t="s">
        <v>101</v>
      </c>
      <c r="K272" t="s">
        <v>91</v>
      </c>
      <c r="L272" t="s">
        <v>102</v>
      </c>
    </row>
    <row r="273" spans="1:12" x14ac:dyDescent="0.2">
      <c r="A273">
        <v>1933</v>
      </c>
      <c r="B273" t="s">
        <v>207</v>
      </c>
      <c r="C273" s="19">
        <v>45578</v>
      </c>
      <c r="D273" s="2">
        <v>0.58333333333333337</v>
      </c>
      <c r="E273" s="2">
        <v>0.9375</v>
      </c>
      <c r="F273">
        <v>30</v>
      </c>
      <c r="G273" s="2">
        <v>0.72916666666666663</v>
      </c>
      <c r="H273">
        <v>8</v>
      </c>
      <c r="I273" t="s">
        <v>100</v>
      </c>
      <c r="J273" t="s">
        <v>101</v>
      </c>
      <c r="K273" t="s">
        <v>112</v>
      </c>
      <c r="L273" t="s">
        <v>102</v>
      </c>
    </row>
    <row r="274" spans="1:12" x14ac:dyDescent="0.2">
      <c r="A274">
        <v>5538</v>
      </c>
      <c r="B274" t="s">
        <v>104</v>
      </c>
      <c r="C274" s="19">
        <v>45578</v>
      </c>
      <c r="D274" s="2">
        <v>0.58333333333333337</v>
      </c>
      <c r="E274" s="2">
        <v>0.9375</v>
      </c>
      <c r="F274">
        <v>30</v>
      </c>
      <c r="G274" s="2">
        <v>0.72916666666666663</v>
      </c>
      <c r="H274">
        <v>8</v>
      </c>
      <c r="I274" t="s">
        <v>100</v>
      </c>
      <c r="J274" t="s">
        <v>101</v>
      </c>
      <c r="K274" t="s">
        <v>103</v>
      </c>
      <c r="L274" t="s">
        <v>102</v>
      </c>
    </row>
    <row r="275" spans="1:12" x14ac:dyDescent="0.2">
      <c r="A275">
        <v>5734</v>
      </c>
      <c r="B275" t="s">
        <v>181</v>
      </c>
      <c r="C275" s="19">
        <v>45578</v>
      </c>
      <c r="D275" s="2">
        <v>0.63541666666666663</v>
      </c>
      <c r="E275" s="2">
        <v>0.88541666666666663</v>
      </c>
      <c r="F275">
        <v>30</v>
      </c>
      <c r="G275" s="2">
        <v>0.86458333333333337</v>
      </c>
      <c r="H275">
        <v>5.5</v>
      </c>
      <c r="I275" t="s">
        <v>100</v>
      </c>
      <c r="J275" t="s">
        <v>101</v>
      </c>
      <c r="K275" t="s">
        <v>153</v>
      </c>
      <c r="L275" t="s">
        <v>127</v>
      </c>
    </row>
    <row r="276" spans="1:12" x14ac:dyDescent="0.2">
      <c r="A276">
        <v>4460</v>
      </c>
      <c r="B276" t="s">
        <v>180</v>
      </c>
      <c r="C276" s="19">
        <v>45578</v>
      </c>
      <c r="D276" s="2">
        <v>0.63541666666666663</v>
      </c>
      <c r="E276" s="2">
        <v>0.94791666666666663</v>
      </c>
      <c r="F276">
        <v>30</v>
      </c>
      <c r="G276" s="2">
        <v>0.72916666666666663</v>
      </c>
      <c r="H276">
        <v>7</v>
      </c>
      <c r="I276" t="s">
        <v>100</v>
      </c>
      <c r="J276" t="s">
        <v>101</v>
      </c>
      <c r="K276" t="s">
        <v>157</v>
      </c>
      <c r="L276" t="s">
        <v>127</v>
      </c>
    </row>
    <row r="277" spans="1:12" x14ac:dyDescent="0.2">
      <c r="A277">
        <v>5729</v>
      </c>
      <c r="B277" t="s">
        <v>165</v>
      </c>
      <c r="C277" s="19">
        <v>45578</v>
      </c>
      <c r="D277" s="2">
        <v>0.63541666666666663</v>
      </c>
      <c r="E277" s="2">
        <v>0.88541666666666663</v>
      </c>
      <c r="F277">
        <v>30</v>
      </c>
      <c r="G277" s="2">
        <v>0.72916666666666663</v>
      </c>
      <c r="H277">
        <v>5.5</v>
      </c>
      <c r="I277" t="s">
        <v>100</v>
      </c>
      <c r="J277" t="s">
        <v>101</v>
      </c>
      <c r="K277" t="s">
        <v>184</v>
      </c>
      <c r="L277" t="s">
        <v>127</v>
      </c>
    </row>
    <row r="278" spans="1:12" x14ac:dyDescent="0.2">
      <c r="A278">
        <v>1270</v>
      </c>
      <c r="B278" t="s">
        <v>166</v>
      </c>
      <c r="C278" s="19">
        <v>45578</v>
      </c>
      <c r="D278" s="2">
        <v>0.63541666666666663</v>
      </c>
      <c r="E278" s="2">
        <v>0.94791666666666663</v>
      </c>
      <c r="F278">
        <v>30</v>
      </c>
      <c r="G278" s="2">
        <v>0.72916666666666663</v>
      </c>
      <c r="H278">
        <v>7</v>
      </c>
      <c r="I278" t="s">
        <v>100</v>
      </c>
      <c r="J278" t="s">
        <v>101</v>
      </c>
      <c r="K278" t="s">
        <v>185</v>
      </c>
      <c r="L278" t="s">
        <v>127</v>
      </c>
    </row>
    <row r="279" spans="1:12" x14ac:dyDescent="0.2">
      <c r="A279">
        <v>646</v>
      </c>
      <c r="B279" t="s">
        <v>124</v>
      </c>
      <c r="C279" s="19">
        <v>45578</v>
      </c>
      <c r="D279" s="2">
        <v>0.63541666666666663</v>
      </c>
      <c r="E279" s="2">
        <v>0.94791666666666663</v>
      </c>
      <c r="F279">
        <v>30</v>
      </c>
      <c r="G279" s="2">
        <v>0.72916666666666663</v>
      </c>
      <c r="H279">
        <v>7</v>
      </c>
      <c r="I279" t="s">
        <v>100</v>
      </c>
      <c r="J279" t="s">
        <v>101</v>
      </c>
      <c r="K279" t="s">
        <v>189</v>
      </c>
      <c r="L279" t="s">
        <v>127</v>
      </c>
    </row>
    <row r="280" spans="1:12" x14ac:dyDescent="0.2">
      <c r="A280">
        <v>2970</v>
      </c>
      <c r="B280" t="s">
        <v>195</v>
      </c>
      <c r="C280" s="19">
        <v>45578</v>
      </c>
      <c r="D280" s="2">
        <v>0.63541666666666663</v>
      </c>
      <c r="E280" s="2">
        <v>0.94791666666666663</v>
      </c>
      <c r="F280">
        <v>30</v>
      </c>
      <c r="G280" s="2">
        <v>0.72916666666666663</v>
      </c>
      <c r="H280">
        <v>7</v>
      </c>
      <c r="I280" t="s">
        <v>100</v>
      </c>
      <c r="J280" t="s">
        <v>101</v>
      </c>
      <c r="K280" t="s">
        <v>193</v>
      </c>
      <c r="L280" t="s">
        <v>127</v>
      </c>
    </row>
    <row r="281" spans="1:12" x14ac:dyDescent="0.2">
      <c r="A281">
        <v>5496</v>
      </c>
      <c r="B281" t="s">
        <v>167</v>
      </c>
      <c r="C281" s="19">
        <v>45578</v>
      </c>
      <c r="D281" s="2">
        <v>0.63541666666666663</v>
      </c>
      <c r="E281" s="2">
        <v>0.88541666666666663</v>
      </c>
      <c r="F281">
        <v>30</v>
      </c>
      <c r="G281" s="2">
        <v>0.72916666666666663</v>
      </c>
      <c r="H281">
        <v>5.5</v>
      </c>
      <c r="I281" t="s">
        <v>100</v>
      </c>
      <c r="J281" t="s">
        <v>101</v>
      </c>
      <c r="K281" t="s">
        <v>112</v>
      </c>
      <c r="L281" t="s">
        <v>114</v>
      </c>
    </row>
    <row r="282" spans="1:12" x14ac:dyDescent="0.2">
      <c r="A282">
        <v>5227</v>
      </c>
      <c r="B282" t="s">
        <v>118</v>
      </c>
      <c r="C282" s="19">
        <v>45578</v>
      </c>
      <c r="D282" s="2">
        <v>0.63541666666666663</v>
      </c>
      <c r="E282" s="2">
        <v>0.88541666666666663</v>
      </c>
      <c r="F282">
        <v>30</v>
      </c>
      <c r="G282" s="2">
        <v>0.72916666666666663</v>
      </c>
      <c r="H282">
        <v>5.5</v>
      </c>
      <c r="I282" t="s">
        <v>100</v>
      </c>
      <c r="J282" t="s">
        <v>101</v>
      </c>
      <c r="K282" t="s">
        <v>123</v>
      </c>
      <c r="L282" t="s">
        <v>114</v>
      </c>
    </row>
    <row r="283" spans="1:12" x14ac:dyDescent="0.2">
      <c r="A283">
        <v>2564</v>
      </c>
      <c r="B283" t="s">
        <v>208</v>
      </c>
      <c r="C283" s="19">
        <v>45578</v>
      </c>
      <c r="D283" s="2">
        <v>0.90625</v>
      </c>
      <c r="E283" s="2">
        <v>0.30208333333333331</v>
      </c>
      <c r="F283">
        <v>0</v>
      </c>
      <c r="G283" s="2"/>
      <c r="H283">
        <v>9.5</v>
      </c>
      <c r="I283" t="s">
        <v>100</v>
      </c>
      <c r="J283" t="s">
        <v>101</v>
      </c>
      <c r="K283" t="s">
        <v>91</v>
      </c>
      <c r="L283" t="s">
        <v>102</v>
      </c>
    </row>
    <row r="284" spans="1:12" x14ac:dyDescent="0.2">
      <c r="A284">
        <v>1445</v>
      </c>
      <c r="B284" t="s">
        <v>214</v>
      </c>
      <c r="C284" s="19">
        <v>45578</v>
      </c>
      <c r="D284" s="2">
        <v>0.9375</v>
      </c>
      <c r="E284" s="2">
        <v>0.30208333333333331</v>
      </c>
      <c r="F284">
        <v>30</v>
      </c>
      <c r="G284" s="2">
        <v>0.14583333333333334</v>
      </c>
      <c r="H284">
        <v>8.25</v>
      </c>
      <c r="I284" t="s">
        <v>100</v>
      </c>
      <c r="J284" t="s">
        <v>101</v>
      </c>
      <c r="K284" t="s">
        <v>139</v>
      </c>
      <c r="L284" t="s">
        <v>127</v>
      </c>
    </row>
    <row r="285" spans="1:12" x14ac:dyDescent="0.2">
      <c r="A285">
        <v>110</v>
      </c>
      <c r="B285" t="s">
        <v>140</v>
      </c>
      <c r="C285" s="19">
        <v>45578</v>
      </c>
      <c r="D285" s="2">
        <v>0.9375</v>
      </c>
      <c r="E285" s="2">
        <v>0.30208333333333331</v>
      </c>
      <c r="F285">
        <v>30</v>
      </c>
      <c r="G285" s="2">
        <v>0.14583333333333334</v>
      </c>
      <c r="H285">
        <v>8.25</v>
      </c>
      <c r="I285" t="s">
        <v>100</v>
      </c>
      <c r="J285" t="s">
        <v>101</v>
      </c>
      <c r="K285" t="s">
        <v>168</v>
      </c>
      <c r="L285" t="s">
        <v>127</v>
      </c>
    </row>
    <row r="286" spans="1:12" x14ac:dyDescent="0.2">
      <c r="A286">
        <v>195</v>
      </c>
      <c r="B286" t="s">
        <v>183</v>
      </c>
      <c r="C286" s="19">
        <v>45578</v>
      </c>
      <c r="D286" s="2">
        <v>0.9375</v>
      </c>
      <c r="E286" s="2">
        <v>0.30208333333333331</v>
      </c>
      <c r="F286">
        <v>30</v>
      </c>
      <c r="G286" s="2">
        <v>0.14583333333333334</v>
      </c>
      <c r="H286">
        <v>8.25</v>
      </c>
      <c r="I286" t="s">
        <v>100</v>
      </c>
      <c r="J286" t="s">
        <v>101</v>
      </c>
      <c r="K286" t="s">
        <v>179</v>
      </c>
      <c r="L286" t="s">
        <v>127</v>
      </c>
    </row>
    <row r="287" spans="1:12" x14ac:dyDescent="0.2">
      <c r="A287">
        <v>153</v>
      </c>
      <c r="B287" t="s">
        <v>146</v>
      </c>
      <c r="C287" s="19">
        <v>45578</v>
      </c>
      <c r="D287" s="2">
        <v>0.9375</v>
      </c>
      <c r="E287" s="2">
        <v>0.30208333333333331</v>
      </c>
      <c r="F287">
        <v>30</v>
      </c>
      <c r="G287" s="2">
        <v>0.14583333333333334</v>
      </c>
      <c r="H287">
        <v>8.25</v>
      </c>
      <c r="I287" t="s">
        <v>100</v>
      </c>
      <c r="J287" t="s">
        <v>101</v>
      </c>
      <c r="K287" t="s">
        <v>185</v>
      </c>
      <c r="L287" t="s">
        <v>127</v>
      </c>
    </row>
    <row r="288" spans="1:12" x14ac:dyDescent="0.2">
      <c r="A288">
        <v>5653</v>
      </c>
      <c r="B288" t="s">
        <v>143</v>
      </c>
      <c r="C288" s="19">
        <v>45578</v>
      </c>
      <c r="D288" s="2">
        <v>0.9375</v>
      </c>
      <c r="E288" s="2">
        <v>0.30208333333333331</v>
      </c>
      <c r="F288">
        <v>30</v>
      </c>
      <c r="G288" s="2">
        <v>0.14583333333333334</v>
      </c>
      <c r="H288">
        <v>8.25</v>
      </c>
      <c r="I288" t="s">
        <v>100</v>
      </c>
      <c r="J288" t="s">
        <v>101</v>
      </c>
      <c r="K288" t="s">
        <v>197</v>
      </c>
      <c r="L288" t="s">
        <v>127</v>
      </c>
    </row>
    <row r="289" spans="1:12" x14ac:dyDescent="0.2">
      <c r="A289">
        <v>4848</v>
      </c>
      <c r="B289" t="s">
        <v>125</v>
      </c>
      <c r="C289" s="19">
        <v>45579</v>
      </c>
      <c r="D289" s="2">
        <v>0.29166666666666669</v>
      </c>
      <c r="E289" s="2">
        <v>0.5625</v>
      </c>
      <c r="F289">
        <v>30</v>
      </c>
      <c r="G289" s="2">
        <v>0.5</v>
      </c>
      <c r="H289">
        <v>6</v>
      </c>
      <c r="I289" t="s">
        <v>100</v>
      </c>
      <c r="J289" t="s">
        <v>101</v>
      </c>
      <c r="K289" t="s">
        <v>126</v>
      </c>
      <c r="L289" t="s">
        <v>127</v>
      </c>
    </row>
    <row r="290" spans="1:12" x14ac:dyDescent="0.2">
      <c r="A290">
        <v>5707</v>
      </c>
      <c r="B290" t="s">
        <v>119</v>
      </c>
      <c r="C290" s="19">
        <v>45579</v>
      </c>
      <c r="D290" s="2">
        <v>0.29166666666666669</v>
      </c>
      <c r="E290" s="2">
        <v>0.5625</v>
      </c>
      <c r="F290">
        <v>30</v>
      </c>
      <c r="G290" s="2">
        <v>0.47916666666666669</v>
      </c>
      <c r="H290">
        <v>6</v>
      </c>
      <c r="I290" t="s">
        <v>100</v>
      </c>
      <c r="J290" t="s">
        <v>101</v>
      </c>
      <c r="K290" t="s">
        <v>157</v>
      </c>
      <c r="L290" t="s">
        <v>127</v>
      </c>
    </row>
    <row r="291" spans="1:12" x14ac:dyDescent="0.2">
      <c r="A291">
        <v>5804</v>
      </c>
      <c r="B291" t="s">
        <v>216</v>
      </c>
      <c r="C291" s="19">
        <v>45579</v>
      </c>
      <c r="D291" s="2">
        <v>0.29166666666666669</v>
      </c>
      <c r="E291" s="2">
        <v>0.64583333333333337</v>
      </c>
      <c r="F291">
        <v>30</v>
      </c>
      <c r="G291" s="2">
        <v>0.5</v>
      </c>
      <c r="H291">
        <v>8</v>
      </c>
      <c r="I291" t="s">
        <v>100</v>
      </c>
      <c r="J291" t="s">
        <v>101</v>
      </c>
      <c r="K291" t="s">
        <v>157</v>
      </c>
      <c r="L291" t="s">
        <v>127</v>
      </c>
    </row>
    <row r="292" spans="1:12" x14ac:dyDescent="0.2">
      <c r="A292">
        <v>5831</v>
      </c>
      <c r="B292" t="s">
        <v>217</v>
      </c>
      <c r="C292" s="19">
        <v>45579</v>
      </c>
      <c r="D292" s="2">
        <v>0.29166666666666669</v>
      </c>
      <c r="E292" s="2">
        <v>0.64583333333333337</v>
      </c>
      <c r="F292">
        <v>30</v>
      </c>
      <c r="G292" s="2">
        <v>0.47916666666666669</v>
      </c>
      <c r="H292">
        <v>8</v>
      </c>
      <c r="I292" t="s">
        <v>100</v>
      </c>
      <c r="J292" t="s">
        <v>101</v>
      </c>
      <c r="K292" t="s">
        <v>175</v>
      </c>
      <c r="L292" t="s">
        <v>127</v>
      </c>
    </row>
    <row r="293" spans="1:12" x14ac:dyDescent="0.2">
      <c r="A293">
        <v>5709</v>
      </c>
      <c r="B293" t="s">
        <v>159</v>
      </c>
      <c r="C293" s="19">
        <v>45579</v>
      </c>
      <c r="D293" s="2">
        <v>0.29166666666666669</v>
      </c>
      <c r="E293" s="2">
        <v>0.64583333333333337</v>
      </c>
      <c r="F293">
        <v>30</v>
      </c>
      <c r="G293" s="2">
        <v>0.5</v>
      </c>
      <c r="H293">
        <v>8</v>
      </c>
      <c r="I293" t="s">
        <v>100</v>
      </c>
      <c r="J293" t="s">
        <v>101</v>
      </c>
      <c r="K293" t="s">
        <v>179</v>
      </c>
      <c r="L293" t="s">
        <v>127</v>
      </c>
    </row>
    <row r="294" spans="1:12" x14ac:dyDescent="0.2">
      <c r="A294">
        <v>4460</v>
      </c>
      <c r="B294" t="s">
        <v>180</v>
      </c>
      <c r="C294" s="19">
        <v>45579</v>
      </c>
      <c r="D294" s="2">
        <v>0.29166666666666669</v>
      </c>
      <c r="E294" s="2">
        <v>0.64583333333333337</v>
      </c>
      <c r="F294">
        <v>30</v>
      </c>
      <c r="G294" s="2">
        <v>0.47916666666666669</v>
      </c>
      <c r="H294">
        <v>8</v>
      </c>
      <c r="I294" t="s">
        <v>100</v>
      </c>
      <c r="J294" t="s">
        <v>101</v>
      </c>
      <c r="K294" t="s">
        <v>184</v>
      </c>
      <c r="L294" t="s">
        <v>127</v>
      </c>
    </row>
    <row r="295" spans="1:12" x14ac:dyDescent="0.2">
      <c r="A295">
        <v>4979</v>
      </c>
      <c r="B295" t="s">
        <v>158</v>
      </c>
      <c r="C295" s="19">
        <v>45579</v>
      </c>
      <c r="D295" s="2">
        <v>0.29166666666666669</v>
      </c>
      <c r="E295" s="2">
        <v>0.64583333333333337</v>
      </c>
      <c r="F295">
        <v>30</v>
      </c>
      <c r="G295" s="2">
        <v>0.47916666666666669</v>
      </c>
      <c r="H295">
        <v>8</v>
      </c>
      <c r="I295" t="s">
        <v>100</v>
      </c>
      <c r="J295" t="s">
        <v>101</v>
      </c>
      <c r="K295" t="s">
        <v>187</v>
      </c>
      <c r="L295" t="s">
        <v>127</v>
      </c>
    </row>
    <row r="296" spans="1:12" x14ac:dyDescent="0.2">
      <c r="A296">
        <v>1581</v>
      </c>
      <c r="B296" t="s">
        <v>136</v>
      </c>
      <c r="C296" s="19">
        <v>45579</v>
      </c>
      <c r="D296" s="2">
        <v>0.29166666666666669</v>
      </c>
      <c r="E296" s="2">
        <v>0.64583333333333337</v>
      </c>
      <c r="F296">
        <v>30</v>
      </c>
      <c r="G296" s="2">
        <v>0.5</v>
      </c>
      <c r="H296">
        <v>8</v>
      </c>
      <c r="I296" t="s">
        <v>100</v>
      </c>
      <c r="J296" t="s">
        <v>101</v>
      </c>
      <c r="K296" t="s">
        <v>188</v>
      </c>
      <c r="L296" t="s">
        <v>127</v>
      </c>
    </row>
    <row r="297" spans="1:12" x14ac:dyDescent="0.2">
      <c r="A297">
        <v>5542</v>
      </c>
      <c r="B297" t="s">
        <v>190</v>
      </c>
      <c r="C297" s="19">
        <v>45579</v>
      </c>
      <c r="D297" s="2">
        <v>0.29166666666666669</v>
      </c>
      <c r="E297" s="2">
        <v>0.64583333333333337</v>
      </c>
      <c r="F297">
        <v>30</v>
      </c>
      <c r="G297" s="2">
        <v>0.47916666666666669</v>
      </c>
      <c r="H297">
        <v>8</v>
      </c>
      <c r="I297" t="s">
        <v>100</v>
      </c>
      <c r="J297" t="s">
        <v>101</v>
      </c>
      <c r="K297" t="s">
        <v>192</v>
      </c>
      <c r="L297" t="s">
        <v>127</v>
      </c>
    </row>
    <row r="298" spans="1:12" x14ac:dyDescent="0.2">
      <c r="A298">
        <v>5782</v>
      </c>
      <c r="B298" t="s">
        <v>164</v>
      </c>
      <c r="C298" s="19">
        <v>45579</v>
      </c>
      <c r="D298" s="2">
        <v>0.29166666666666669</v>
      </c>
      <c r="E298" s="2">
        <v>0.5625</v>
      </c>
      <c r="F298">
        <v>30</v>
      </c>
      <c r="G298" s="2">
        <v>0.47916666666666669</v>
      </c>
      <c r="H298">
        <v>6</v>
      </c>
      <c r="I298" t="s">
        <v>100</v>
      </c>
      <c r="J298" t="s">
        <v>101</v>
      </c>
      <c r="K298" t="s">
        <v>194</v>
      </c>
      <c r="L298" t="s">
        <v>127</v>
      </c>
    </row>
    <row r="299" spans="1:12" x14ac:dyDescent="0.2">
      <c r="A299">
        <v>23</v>
      </c>
      <c r="B299" t="s">
        <v>135</v>
      </c>
      <c r="C299" s="19">
        <v>45579</v>
      </c>
      <c r="D299" s="2">
        <v>0.29166666666666669</v>
      </c>
      <c r="E299" s="2">
        <v>0.41666666666666669</v>
      </c>
      <c r="F299">
        <v>30</v>
      </c>
      <c r="G299" s="2">
        <v>0.29166666666666669</v>
      </c>
      <c r="H299">
        <v>2.5</v>
      </c>
      <c r="I299" t="s">
        <v>100</v>
      </c>
      <c r="J299" t="s">
        <v>101</v>
      </c>
      <c r="K299" t="s">
        <v>196</v>
      </c>
      <c r="L299" t="s">
        <v>127</v>
      </c>
    </row>
    <row r="300" spans="1:12" x14ac:dyDescent="0.2">
      <c r="A300">
        <v>617</v>
      </c>
      <c r="B300" t="s">
        <v>115</v>
      </c>
      <c r="C300" s="19">
        <v>45579</v>
      </c>
      <c r="D300" s="2">
        <v>0.29166666666666669</v>
      </c>
      <c r="E300" s="2">
        <v>0.64583333333333337</v>
      </c>
      <c r="F300">
        <v>30</v>
      </c>
      <c r="G300" s="2">
        <v>0.5</v>
      </c>
      <c r="H300">
        <v>8</v>
      </c>
      <c r="I300" t="s">
        <v>100</v>
      </c>
      <c r="J300" t="s">
        <v>101</v>
      </c>
      <c r="K300" t="s">
        <v>103</v>
      </c>
      <c r="L300" t="s">
        <v>114</v>
      </c>
    </row>
    <row r="301" spans="1:12" x14ac:dyDescent="0.2">
      <c r="A301">
        <v>5713</v>
      </c>
      <c r="B301" t="s">
        <v>128</v>
      </c>
      <c r="C301" s="19">
        <v>45579</v>
      </c>
      <c r="D301" s="2">
        <v>0.29166666666666669</v>
      </c>
      <c r="E301" s="2">
        <v>0.64583333333333337</v>
      </c>
      <c r="F301">
        <v>30</v>
      </c>
      <c r="G301" s="2">
        <v>0.5</v>
      </c>
      <c r="H301">
        <v>8</v>
      </c>
      <c r="I301" t="s">
        <v>100</v>
      </c>
      <c r="J301" t="s">
        <v>101</v>
      </c>
      <c r="K301" t="s">
        <v>112</v>
      </c>
      <c r="L301" t="s">
        <v>114</v>
      </c>
    </row>
    <row r="302" spans="1:12" x14ac:dyDescent="0.2">
      <c r="A302">
        <v>5667</v>
      </c>
      <c r="B302" t="s">
        <v>106</v>
      </c>
      <c r="C302" s="19">
        <v>45579</v>
      </c>
      <c r="D302" s="2">
        <v>0.29166666666666669</v>
      </c>
      <c r="E302" s="2">
        <v>0.64583333333333337</v>
      </c>
      <c r="F302">
        <v>30</v>
      </c>
      <c r="G302" s="2">
        <v>0.29166666666666669</v>
      </c>
      <c r="H302">
        <v>8</v>
      </c>
      <c r="I302" t="s">
        <v>100</v>
      </c>
      <c r="J302" t="s">
        <v>101</v>
      </c>
      <c r="K302" t="s">
        <v>103</v>
      </c>
      <c r="L302" t="s">
        <v>102</v>
      </c>
    </row>
    <row r="303" spans="1:12" x14ac:dyDescent="0.2">
      <c r="A303">
        <v>4947</v>
      </c>
      <c r="B303" t="s">
        <v>110</v>
      </c>
      <c r="C303" s="19">
        <v>45579</v>
      </c>
      <c r="D303" s="2">
        <v>0.29166666666666669</v>
      </c>
      <c r="E303" s="2">
        <v>0.64583333333333337</v>
      </c>
      <c r="F303">
        <v>30</v>
      </c>
      <c r="G303" s="2">
        <v>0.5</v>
      </c>
      <c r="H303">
        <v>8</v>
      </c>
      <c r="I303" t="s">
        <v>100</v>
      </c>
      <c r="J303" t="s">
        <v>101</v>
      </c>
      <c r="K303" t="s">
        <v>103</v>
      </c>
      <c r="L303" t="s">
        <v>102</v>
      </c>
    </row>
    <row r="304" spans="1:12" x14ac:dyDescent="0.2">
      <c r="A304">
        <v>5555</v>
      </c>
      <c r="B304" t="s">
        <v>109</v>
      </c>
      <c r="C304" s="19">
        <v>45579</v>
      </c>
      <c r="D304" s="2">
        <v>0.29166666666666669</v>
      </c>
      <c r="E304" s="2">
        <v>0.5625</v>
      </c>
      <c r="F304">
        <v>30</v>
      </c>
      <c r="G304" s="2">
        <v>0.5</v>
      </c>
      <c r="H304">
        <v>6</v>
      </c>
      <c r="I304" t="s">
        <v>100</v>
      </c>
      <c r="J304" t="s">
        <v>101</v>
      </c>
      <c r="K304" t="s">
        <v>112</v>
      </c>
      <c r="L304" t="s">
        <v>102</v>
      </c>
    </row>
    <row r="305" spans="1:12" x14ac:dyDescent="0.2">
      <c r="A305">
        <v>5139</v>
      </c>
      <c r="B305" t="s">
        <v>111</v>
      </c>
      <c r="C305" s="19">
        <v>45579</v>
      </c>
      <c r="D305" s="2">
        <v>0.29166666666666669</v>
      </c>
      <c r="E305" s="2">
        <v>0.64583333333333337</v>
      </c>
      <c r="F305">
        <v>30</v>
      </c>
      <c r="G305" s="2">
        <v>0.5</v>
      </c>
      <c r="H305">
        <v>8</v>
      </c>
      <c r="I305" t="s">
        <v>100</v>
      </c>
      <c r="J305" t="s">
        <v>101</v>
      </c>
      <c r="K305" t="s">
        <v>112</v>
      </c>
      <c r="L305" t="s">
        <v>102</v>
      </c>
    </row>
    <row r="306" spans="1:12" x14ac:dyDescent="0.2">
      <c r="A306">
        <v>5382</v>
      </c>
      <c r="B306" t="s">
        <v>206</v>
      </c>
      <c r="C306" s="19">
        <v>45579</v>
      </c>
      <c r="D306" s="2">
        <v>0.58333333333333337</v>
      </c>
      <c r="E306" s="2">
        <v>0.9375</v>
      </c>
      <c r="F306">
        <v>30</v>
      </c>
      <c r="G306" s="2">
        <v>0.72916666666666663</v>
      </c>
      <c r="H306">
        <v>8</v>
      </c>
      <c r="I306" t="s">
        <v>100</v>
      </c>
      <c r="J306" t="s">
        <v>101</v>
      </c>
      <c r="K306" t="s">
        <v>112</v>
      </c>
      <c r="L306" t="s">
        <v>102</v>
      </c>
    </row>
    <row r="307" spans="1:12" x14ac:dyDescent="0.2">
      <c r="A307">
        <v>5682</v>
      </c>
      <c r="B307" t="s">
        <v>105</v>
      </c>
      <c r="C307" s="19">
        <v>45579</v>
      </c>
      <c r="D307" s="2">
        <v>0.58333333333333337</v>
      </c>
      <c r="E307" s="2">
        <v>0.9375</v>
      </c>
      <c r="F307">
        <v>30</v>
      </c>
      <c r="G307" s="2">
        <v>0.72916666666666663</v>
      </c>
      <c r="H307">
        <v>8</v>
      </c>
      <c r="I307" t="s">
        <v>100</v>
      </c>
      <c r="J307" t="s">
        <v>101</v>
      </c>
      <c r="K307" t="s">
        <v>103</v>
      </c>
      <c r="L307" t="s">
        <v>102</v>
      </c>
    </row>
    <row r="308" spans="1:12" x14ac:dyDescent="0.2">
      <c r="A308">
        <v>5810</v>
      </c>
      <c r="B308" t="s">
        <v>213</v>
      </c>
      <c r="C308" s="19">
        <v>45579</v>
      </c>
      <c r="D308" s="2">
        <v>0.63541666666666663</v>
      </c>
      <c r="E308" s="2">
        <v>0.88541666666666663</v>
      </c>
      <c r="F308">
        <v>30</v>
      </c>
      <c r="G308" s="2">
        <v>0.72916666666666663</v>
      </c>
      <c r="H308">
        <v>5.5</v>
      </c>
      <c r="I308" t="s">
        <v>100</v>
      </c>
      <c r="J308" t="s">
        <v>101</v>
      </c>
      <c r="K308" t="s">
        <v>126</v>
      </c>
      <c r="L308" t="s">
        <v>127</v>
      </c>
    </row>
    <row r="309" spans="1:12" x14ac:dyDescent="0.2">
      <c r="A309">
        <v>5781</v>
      </c>
      <c r="B309" t="s">
        <v>155</v>
      </c>
      <c r="C309" s="19">
        <v>45579</v>
      </c>
      <c r="D309" s="2">
        <v>0.63541666666666663</v>
      </c>
      <c r="E309" s="2">
        <v>0.88541666666666663</v>
      </c>
      <c r="F309">
        <v>30</v>
      </c>
      <c r="G309" s="2">
        <v>0.84375</v>
      </c>
      <c r="H309">
        <v>5.5</v>
      </c>
      <c r="I309" t="s">
        <v>100</v>
      </c>
      <c r="J309" t="s">
        <v>101</v>
      </c>
      <c r="K309" t="s">
        <v>153</v>
      </c>
      <c r="L309" t="s">
        <v>127</v>
      </c>
    </row>
    <row r="310" spans="1:12" x14ac:dyDescent="0.2">
      <c r="A310">
        <v>5787</v>
      </c>
      <c r="B310" t="s">
        <v>130</v>
      </c>
      <c r="C310" s="19">
        <v>45579</v>
      </c>
      <c r="D310" s="2">
        <v>0.63541666666666663</v>
      </c>
      <c r="E310" s="2">
        <v>0.94791666666666663</v>
      </c>
      <c r="F310">
        <v>30</v>
      </c>
      <c r="G310" s="2">
        <v>0.72916666666666663</v>
      </c>
      <c r="H310">
        <v>7</v>
      </c>
      <c r="I310" t="s">
        <v>100</v>
      </c>
      <c r="J310" t="s">
        <v>101</v>
      </c>
      <c r="K310" t="s">
        <v>157</v>
      </c>
      <c r="L310" t="s">
        <v>127</v>
      </c>
    </row>
    <row r="311" spans="1:12" x14ac:dyDescent="0.2">
      <c r="A311">
        <v>283</v>
      </c>
      <c r="B311" t="s">
        <v>171</v>
      </c>
      <c r="C311" s="19">
        <v>45579</v>
      </c>
      <c r="D311" s="2">
        <v>0.63541666666666663</v>
      </c>
      <c r="E311" s="2">
        <v>0.94791666666666663</v>
      </c>
      <c r="F311">
        <v>30</v>
      </c>
      <c r="G311" s="2">
        <v>0.72916666666666663</v>
      </c>
      <c r="H311">
        <v>7</v>
      </c>
      <c r="I311" t="s">
        <v>100</v>
      </c>
      <c r="J311" t="s">
        <v>101</v>
      </c>
      <c r="K311" t="s">
        <v>168</v>
      </c>
      <c r="L311" t="s">
        <v>127</v>
      </c>
    </row>
    <row r="312" spans="1:12" x14ac:dyDescent="0.2">
      <c r="A312">
        <v>3572</v>
      </c>
      <c r="B312" t="s">
        <v>156</v>
      </c>
      <c r="C312" s="19">
        <v>45579</v>
      </c>
      <c r="D312" s="2">
        <v>0.63541666666666663</v>
      </c>
      <c r="E312" s="2">
        <v>0.88541666666666663</v>
      </c>
      <c r="F312">
        <v>30</v>
      </c>
      <c r="G312" s="2">
        <v>0.72916666666666663</v>
      </c>
      <c r="H312">
        <v>5.5</v>
      </c>
      <c r="I312" t="s">
        <v>100</v>
      </c>
      <c r="J312" t="s">
        <v>101</v>
      </c>
      <c r="K312" t="s">
        <v>175</v>
      </c>
      <c r="L312" t="s">
        <v>127</v>
      </c>
    </row>
    <row r="313" spans="1:12" x14ac:dyDescent="0.2">
      <c r="A313">
        <v>5779</v>
      </c>
      <c r="B313" t="s">
        <v>163</v>
      </c>
      <c r="C313" s="19">
        <v>45579</v>
      </c>
      <c r="D313" s="2">
        <v>0.63541666666666663</v>
      </c>
      <c r="E313" s="2">
        <v>0.88541666666666663</v>
      </c>
      <c r="F313">
        <v>30</v>
      </c>
      <c r="G313" s="2">
        <v>0.72916666666666663</v>
      </c>
      <c r="H313">
        <v>5.5</v>
      </c>
      <c r="I313" t="s">
        <v>100</v>
      </c>
      <c r="J313" t="s">
        <v>101</v>
      </c>
      <c r="K313" t="s">
        <v>179</v>
      </c>
      <c r="L313" t="s">
        <v>127</v>
      </c>
    </row>
    <row r="314" spans="1:12" x14ac:dyDescent="0.2">
      <c r="A314">
        <v>5734</v>
      </c>
      <c r="B314" t="s">
        <v>181</v>
      </c>
      <c r="C314" s="19">
        <v>45579</v>
      </c>
      <c r="D314" s="2">
        <v>0.63541666666666663</v>
      </c>
      <c r="E314" s="2">
        <v>0.88541666666666663</v>
      </c>
      <c r="F314">
        <v>30</v>
      </c>
      <c r="G314" s="2">
        <v>0.72916666666666663</v>
      </c>
      <c r="H314">
        <v>5.5</v>
      </c>
      <c r="I314" t="s">
        <v>100</v>
      </c>
      <c r="J314" t="s">
        <v>101</v>
      </c>
      <c r="K314" t="s">
        <v>184</v>
      </c>
      <c r="L314" t="s">
        <v>127</v>
      </c>
    </row>
    <row r="315" spans="1:12" x14ac:dyDescent="0.2">
      <c r="A315">
        <v>5759</v>
      </c>
      <c r="B315" t="s">
        <v>131</v>
      </c>
      <c r="C315" s="19">
        <v>45579</v>
      </c>
      <c r="D315" s="2">
        <v>0.63541666666666663</v>
      </c>
      <c r="E315" s="2">
        <v>0.94791666666666663</v>
      </c>
      <c r="F315">
        <v>30</v>
      </c>
      <c r="G315" s="2">
        <v>0.72916666666666663</v>
      </c>
      <c r="H315">
        <v>7</v>
      </c>
      <c r="I315" t="s">
        <v>100</v>
      </c>
      <c r="J315" t="s">
        <v>101</v>
      </c>
      <c r="K315" t="s">
        <v>185</v>
      </c>
      <c r="L315" t="s">
        <v>127</v>
      </c>
    </row>
    <row r="316" spans="1:12" x14ac:dyDescent="0.2">
      <c r="A316">
        <v>5801</v>
      </c>
      <c r="B316" t="s">
        <v>220</v>
      </c>
      <c r="C316" s="19">
        <v>45579</v>
      </c>
      <c r="D316" s="2">
        <v>0.63541666666666663</v>
      </c>
      <c r="E316" s="2">
        <v>0.88541666666666663</v>
      </c>
      <c r="F316">
        <v>30</v>
      </c>
      <c r="G316" s="2">
        <v>0.72916666666666663</v>
      </c>
      <c r="H316">
        <v>5.5</v>
      </c>
      <c r="I316" t="s">
        <v>100</v>
      </c>
      <c r="J316" t="s">
        <v>101</v>
      </c>
      <c r="K316" t="s">
        <v>187</v>
      </c>
      <c r="L316" t="s">
        <v>127</v>
      </c>
    </row>
    <row r="317" spans="1:12" x14ac:dyDescent="0.2">
      <c r="A317">
        <v>5690</v>
      </c>
      <c r="B317" t="s">
        <v>174</v>
      </c>
      <c r="C317" s="19">
        <v>45579</v>
      </c>
      <c r="D317" s="2">
        <v>0.63541666666666663</v>
      </c>
      <c r="E317" s="2">
        <v>0.94791666666666663</v>
      </c>
      <c r="F317">
        <v>30</v>
      </c>
      <c r="G317" s="2">
        <v>0.72916666666666663</v>
      </c>
      <c r="H317">
        <v>7</v>
      </c>
      <c r="I317" t="s">
        <v>100</v>
      </c>
      <c r="J317" t="s">
        <v>101</v>
      </c>
      <c r="K317" t="s">
        <v>189</v>
      </c>
      <c r="L317" t="s">
        <v>127</v>
      </c>
    </row>
    <row r="318" spans="1:12" x14ac:dyDescent="0.2">
      <c r="A318">
        <v>94</v>
      </c>
      <c r="B318" t="s">
        <v>137</v>
      </c>
      <c r="C318" s="19">
        <v>45579</v>
      </c>
      <c r="D318" s="2">
        <v>0.63541666666666663</v>
      </c>
      <c r="E318" s="2">
        <v>0.88541666666666663</v>
      </c>
      <c r="F318">
        <v>30</v>
      </c>
      <c r="G318" s="2">
        <v>0.72916666666666663</v>
      </c>
      <c r="H318">
        <v>5.5</v>
      </c>
      <c r="I318" t="s">
        <v>100</v>
      </c>
      <c r="J318" t="s">
        <v>101</v>
      </c>
      <c r="K318" t="s">
        <v>192</v>
      </c>
      <c r="L318" t="s">
        <v>127</v>
      </c>
    </row>
    <row r="319" spans="1:12" x14ac:dyDescent="0.2">
      <c r="A319">
        <v>2970</v>
      </c>
      <c r="B319" t="s">
        <v>195</v>
      </c>
      <c r="C319" s="19">
        <v>45579</v>
      </c>
      <c r="D319" s="2">
        <v>0.63541666666666663</v>
      </c>
      <c r="E319" s="2">
        <v>0.88541666666666663</v>
      </c>
      <c r="F319">
        <v>30</v>
      </c>
      <c r="G319" s="2">
        <v>0.72916666666666663</v>
      </c>
      <c r="H319">
        <v>5.5</v>
      </c>
      <c r="I319" t="s">
        <v>100</v>
      </c>
      <c r="J319" t="s">
        <v>101</v>
      </c>
      <c r="K319" t="s">
        <v>194</v>
      </c>
      <c r="L319" t="s">
        <v>127</v>
      </c>
    </row>
    <row r="320" spans="1:12" x14ac:dyDescent="0.2">
      <c r="A320">
        <v>4859</v>
      </c>
      <c r="B320" t="s">
        <v>113</v>
      </c>
      <c r="C320" s="19">
        <v>45579</v>
      </c>
      <c r="D320" s="2">
        <v>0.63541666666666663</v>
      </c>
      <c r="E320" s="2">
        <v>0.94791666666666663</v>
      </c>
      <c r="F320">
        <v>30</v>
      </c>
      <c r="G320" s="2">
        <v>0.72916666666666663</v>
      </c>
      <c r="H320">
        <v>7</v>
      </c>
      <c r="I320" t="s">
        <v>100</v>
      </c>
      <c r="J320" t="s">
        <v>101</v>
      </c>
      <c r="K320" t="s">
        <v>112</v>
      </c>
      <c r="L320" t="s">
        <v>114</v>
      </c>
    </row>
    <row r="321" spans="1:12" x14ac:dyDescent="0.2">
      <c r="A321">
        <v>646</v>
      </c>
      <c r="B321" t="s">
        <v>124</v>
      </c>
      <c r="C321" s="19">
        <v>45579</v>
      </c>
      <c r="D321" s="2">
        <v>0.63541666666666663</v>
      </c>
      <c r="E321" s="2">
        <v>0.94791666666666663</v>
      </c>
      <c r="F321">
        <v>30</v>
      </c>
      <c r="G321" s="2">
        <v>0.72916666666666663</v>
      </c>
      <c r="H321">
        <v>7</v>
      </c>
      <c r="I321" t="s">
        <v>100</v>
      </c>
      <c r="J321" t="s">
        <v>101</v>
      </c>
      <c r="K321" t="s">
        <v>123</v>
      </c>
      <c r="L321" t="s">
        <v>114</v>
      </c>
    </row>
    <row r="322" spans="1:12" x14ac:dyDescent="0.2">
      <c r="A322">
        <v>2564</v>
      </c>
      <c r="B322" t="s">
        <v>208</v>
      </c>
      <c r="C322" s="19">
        <v>45579</v>
      </c>
      <c r="D322" s="2">
        <v>0.90625</v>
      </c>
      <c r="E322" s="2">
        <v>0.30208333333333331</v>
      </c>
      <c r="F322">
        <v>0</v>
      </c>
      <c r="G322" s="2"/>
      <c r="H322">
        <v>9.5</v>
      </c>
      <c r="I322" t="s">
        <v>100</v>
      </c>
      <c r="J322" t="s">
        <v>101</v>
      </c>
      <c r="K322" t="s">
        <v>91</v>
      </c>
      <c r="L322" t="s">
        <v>102</v>
      </c>
    </row>
    <row r="323" spans="1:12" x14ac:dyDescent="0.2">
      <c r="A323">
        <v>153</v>
      </c>
      <c r="B323" t="s">
        <v>146</v>
      </c>
      <c r="C323" s="19">
        <v>45579</v>
      </c>
      <c r="D323" s="2">
        <v>0.9375</v>
      </c>
      <c r="E323" s="2">
        <v>0.30208333333333331</v>
      </c>
      <c r="F323">
        <v>30</v>
      </c>
      <c r="G323" s="2">
        <v>0.14583333333333334</v>
      </c>
      <c r="H323">
        <v>8.25</v>
      </c>
      <c r="I323" t="s">
        <v>100</v>
      </c>
      <c r="J323" t="s">
        <v>101</v>
      </c>
      <c r="K323" t="s">
        <v>139</v>
      </c>
      <c r="L323" t="s">
        <v>127</v>
      </c>
    </row>
    <row r="324" spans="1:12" x14ac:dyDescent="0.2">
      <c r="A324">
        <v>5778</v>
      </c>
      <c r="B324" t="s">
        <v>145</v>
      </c>
      <c r="C324" s="19">
        <v>45579</v>
      </c>
      <c r="D324" s="2">
        <v>0.9375</v>
      </c>
      <c r="E324" s="2">
        <v>0.30208333333333331</v>
      </c>
      <c r="F324">
        <v>30</v>
      </c>
      <c r="G324" s="2">
        <v>0.14583333333333334</v>
      </c>
      <c r="H324">
        <v>8.25</v>
      </c>
      <c r="I324" t="s">
        <v>100</v>
      </c>
      <c r="J324" t="s">
        <v>101</v>
      </c>
      <c r="K324" t="s">
        <v>147</v>
      </c>
      <c r="L324" t="s">
        <v>127</v>
      </c>
    </row>
    <row r="325" spans="1:12" x14ac:dyDescent="0.2">
      <c r="A325">
        <v>1941</v>
      </c>
      <c r="B325" t="s">
        <v>138</v>
      </c>
      <c r="C325" s="19">
        <v>45579</v>
      </c>
      <c r="D325" s="2">
        <v>0.9375</v>
      </c>
      <c r="E325" s="2">
        <v>0.30208333333333331</v>
      </c>
      <c r="F325">
        <v>30</v>
      </c>
      <c r="G325" s="2">
        <v>0.14583333333333334</v>
      </c>
      <c r="H325">
        <v>8.25</v>
      </c>
      <c r="I325" t="s">
        <v>100</v>
      </c>
      <c r="J325" t="s">
        <v>101</v>
      </c>
      <c r="K325" t="s">
        <v>168</v>
      </c>
      <c r="L325" t="s">
        <v>127</v>
      </c>
    </row>
    <row r="326" spans="1:12" x14ac:dyDescent="0.2">
      <c r="A326">
        <v>5486</v>
      </c>
      <c r="B326" t="s">
        <v>141</v>
      </c>
      <c r="C326" s="19">
        <v>45579</v>
      </c>
      <c r="D326" s="2">
        <v>0.9375</v>
      </c>
      <c r="E326" s="2">
        <v>0.30208333333333331</v>
      </c>
      <c r="F326">
        <v>30</v>
      </c>
      <c r="G326" s="2">
        <v>0.14583333333333334</v>
      </c>
      <c r="H326">
        <v>8.25</v>
      </c>
      <c r="I326" t="s">
        <v>100</v>
      </c>
      <c r="J326" t="s">
        <v>101</v>
      </c>
      <c r="K326" t="s">
        <v>179</v>
      </c>
      <c r="L326" t="s">
        <v>127</v>
      </c>
    </row>
    <row r="327" spans="1:12" x14ac:dyDescent="0.2">
      <c r="A327">
        <v>195</v>
      </c>
      <c r="B327" t="s">
        <v>183</v>
      </c>
      <c r="C327" s="19">
        <v>45579</v>
      </c>
      <c r="D327" s="2">
        <v>0.9375</v>
      </c>
      <c r="E327" s="2">
        <v>0.30208333333333331</v>
      </c>
      <c r="F327">
        <v>30</v>
      </c>
      <c r="G327" s="2">
        <v>0.14583333333333334</v>
      </c>
      <c r="H327">
        <v>8.25</v>
      </c>
      <c r="I327" t="s">
        <v>100</v>
      </c>
      <c r="J327" t="s">
        <v>101</v>
      </c>
      <c r="K327" t="s">
        <v>185</v>
      </c>
      <c r="L327" t="s">
        <v>127</v>
      </c>
    </row>
    <row r="328" spans="1:12" x14ac:dyDescent="0.2">
      <c r="A328">
        <v>3016</v>
      </c>
      <c r="B328" t="s">
        <v>172</v>
      </c>
      <c r="C328" s="19">
        <v>45579</v>
      </c>
      <c r="D328" s="2">
        <v>0.9375</v>
      </c>
      <c r="E328" s="2">
        <v>0.30208333333333331</v>
      </c>
      <c r="F328">
        <v>30</v>
      </c>
      <c r="G328" s="2">
        <v>0.14583333333333334</v>
      </c>
      <c r="H328">
        <v>8.25</v>
      </c>
      <c r="I328" t="s">
        <v>100</v>
      </c>
      <c r="J328" t="s">
        <v>101</v>
      </c>
      <c r="K328" t="s">
        <v>197</v>
      </c>
      <c r="L328" t="s">
        <v>127</v>
      </c>
    </row>
    <row r="329" spans="1:12" x14ac:dyDescent="0.2">
      <c r="A329">
        <v>4848</v>
      </c>
      <c r="B329" t="s">
        <v>125</v>
      </c>
      <c r="C329" s="19">
        <v>45580</v>
      </c>
      <c r="D329" s="2">
        <v>0.29166666666666669</v>
      </c>
      <c r="E329" s="2">
        <v>0.64583333333333337</v>
      </c>
      <c r="F329">
        <v>30</v>
      </c>
      <c r="G329" s="2">
        <v>0.5</v>
      </c>
      <c r="H329">
        <v>8</v>
      </c>
      <c r="I329" t="s">
        <v>100</v>
      </c>
      <c r="J329" t="s">
        <v>101</v>
      </c>
      <c r="K329" t="s">
        <v>157</v>
      </c>
      <c r="L329" t="s">
        <v>127</v>
      </c>
    </row>
    <row r="330" spans="1:12" x14ac:dyDescent="0.2">
      <c r="A330">
        <v>5713</v>
      </c>
      <c r="B330" t="s">
        <v>128</v>
      </c>
      <c r="C330" s="19">
        <v>45580</v>
      </c>
      <c r="D330" s="2">
        <v>0.29166666666666669</v>
      </c>
      <c r="E330" s="2">
        <v>0.64583333333333337</v>
      </c>
      <c r="F330">
        <v>30</v>
      </c>
      <c r="G330" s="2">
        <v>0.47916666666666669</v>
      </c>
      <c r="H330">
        <v>8</v>
      </c>
      <c r="I330" t="s">
        <v>100</v>
      </c>
      <c r="J330" t="s">
        <v>101</v>
      </c>
      <c r="K330" t="s">
        <v>168</v>
      </c>
      <c r="L330" t="s">
        <v>127</v>
      </c>
    </row>
    <row r="331" spans="1:12" x14ac:dyDescent="0.2">
      <c r="A331">
        <v>5631</v>
      </c>
      <c r="B331" t="s">
        <v>182</v>
      </c>
      <c r="C331" s="19">
        <v>45580</v>
      </c>
      <c r="D331" s="2">
        <v>0.29166666666666669</v>
      </c>
      <c r="E331" s="2">
        <v>0.64583333333333337</v>
      </c>
      <c r="F331">
        <v>30</v>
      </c>
      <c r="G331" s="2">
        <v>0.47916666666666669</v>
      </c>
      <c r="H331">
        <v>8</v>
      </c>
      <c r="I331" t="s">
        <v>100</v>
      </c>
      <c r="J331" t="s">
        <v>101</v>
      </c>
      <c r="K331" t="s">
        <v>175</v>
      </c>
      <c r="L331" t="s">
        <v>127</v>
      </c>
    </row>
    <row r="332" spans="1:12" x14ac:dyDescent="0.2">
      <c r="A332">
        <v>5709</v>
      </c>
      <c r="B332" t="s">
        <v>159</v>
      </c>
      <c r="C332" s="19">
        <v>45580</v>
      </c>
      <c r="D332" s="2">
        <v>0.29166666666666669</v>
      </c>
      <c r="E332" s="2">
        <v>0.64583333333333337</v>
      </c>
      <c r="F332">
        <v>30</v>
      </c>
      <c r="G332" s="2">
        <v>0.47916666666666669</v>
      </c>
      <c r="H332">
        <v>8</v>
      </c>
      <c r="I332" t="s">
        <v>100</v>
      </c>
      <c r="J332" t="s">
        <v>101</v>
      </c>
      <c r="K332" t="s">
        <v>178</v>
      </c>
      <c r="L332" t="s">
        <v>127</v>
      </c>
    </row>
    <row r="333" spans="1:12" x14ac:dyDescent="0.2">
      <c r="A333">
        <v>618</v>
      </c>
      <c r="B333" t="s">
        <v>218</v>
      </c>
      <c r="C333" s="19">
        <v>45580</v>
      </c>
      <c r="D333" s="2">
        <v>0.29166666666666669</v>
      </c>
      <c r="E333" s="2">
        <v>0.5625</v>
      </c>
      <c r="F333">
        <v>30</v>
      </c>
      <c r="G333" s="2">
        <v>0.5</v>
      </c>
      <c r="H333">
        <v>6</v>
      </c>
      <c r="I333" t="s">
        <v>100</v>
      </c>
      <c r="J333" t="s">
        <v>101</v>
      </c>
      <c r="K333" t="s">
        <v>179</v>
      </c>
      <c r="L333" t="s">
        <v>127</v>
      </c>
    </row>
    <row r="334" spans="1:12" x14ac:dyDescent="0.2">
      <c r="A334">
        <v>4460</v>
      </c>
      <c r="B334" t="s">
        <v>180</v>
      </c>
      <c r="C334" s="19">
        <v>45580</v>
      </c>
      <c r="D334" s="2">
        <v>0.29166666666666669</v>
      </c>
      <c r="E334" s="2">
        <v>0.64583333333333337</v>
      </c>
      <c r="F334">
        <v>30</v>
      </c>
      <c r="G334" s="2">
        <v>0.47916666666666669</v>
      </c>
      <c r="H334">
        <v>8</v>
      </c>
      <c r="I334" t="s">
        <v>100</v>
      </c>
      <c r="J334" t="s">
        <v>101</v>
      </c>
      <c r="K334" t="s">
        <v>184</v>
      </c>
      <c r="L334" t="s">
        <v>127</v>
      </c>
    </row>
    <row r="335" spans="1:12" x14ac:dyDescent="0.2">
      <c r="A335">
        <v>4979</v>
      </c>
      <c r="B335" t="s">
        <v>158</v>
      </c>
      <c r="C335" s="19">
        <v>45580</v>
      </c>
      <c r="D335" s="2">
        <v>0.29166666666666669</v>
      </c>
      <c r="E335" s="2">
        <v>0.64583333333333337</v>
      </c>
      <c r="F335">
        <v>30</v>
      </c>
      <c r="G335" s="2">
        <v>0.5</v>
      </c>
      <c r="H335">
        <v>8</v>
      </c>
      <c r="I335" t="s">
        <v>100</v>
      </c>
      <c r="J335" t="s">
        <v>101</v>
      </c>
      <c r="K335" t="s">
        <v>185</v>
      </c>
      <c r="L335" t="s">
        <v>127</v>
      </c>
    </row>
    <row r="336" spans="1:12" x14ac:dyDescent="0.2">
      <c r="A336">
        <v>94</v>
      </c>
      <c r="B336" t="s">
        <v>137</v>
      </c>
      <c r="C336" s="19">
        <v>45580</v>
      </c>
      <c r="D336" s="2">
        <v>0.29166666666666669</v>
      </c>
      <c r="E336" s="2">
        <v>0.64583333333333337</v>
      </c>
      <c r="F336">
        <v>30</v>
      </c>
      <c r="G336" s="2">
        <v>0.47916666666666669</v>
      </c>
      <c r="H336">
        <v>8</v>
      </c>
      <c r="I336" t="s">
        <v>100</v>
      </c>
      <c r="J336" t="s">
        <v>101</v>
      </c>
      <c r="K336" t="s">
        <v>187</v>
      </c>
      <c r="L336" t="s">
        <v>127</v>
      </c>
    </row>
    <row r="337" spans="1:12" x14ac:dyDescent="0.2">
      <c r="A337">
        <v>5831</v>
      </c>
      <c r="B337" t="s">
        <v>217</v>
      </c>
      <c r="C337" s="19">
        <v>45580</v>
      </c>
      <c r="D337" s="2">
        <v>0.29166666666666669</v>
      </c>
      <c r="E337" s="2">
        <v>0.64583333333333337</v>
      </c>
      <c r="F337">
        <v>30</v>
      </c>
      <c r="G337" s="2">
        <v>0.5</v>
      </c>
      <c r="H337">
        <v>8</v>
      </c>
      <c r="I337" t="s">
        <v>100</v>
      </c>
      <c r="J337" t="s">
        <v>101</v>
      </c>
      <c r="K337" t="s">
        <v>188</v>
      </c>
      <c r="L337" t="s">
        <v>127</v>
      </c>
    </row>
    <row r="338" spans="1:12" x14ac:dyDescent="0.2">
      <c r="A338">
        <v>5542</v>
      </c>
      <c r="B338" t="s">
        <v>190</v>
      </c>
      <c r="C338" s="19">
        <v>45580</v>
      </c>
      <c r="D338" s="2">
        <v>0.29166666666666669</v>
      </c>
      <c r="E338" s="2">
        <v>0.64583333333333337</v>
      </c>
      <c r="F338">
        <v>30</v>
      </c>
      <c r="G338" s="2">
        <v>0.47916666666666669</v>
      </c>
      <c r="H338">
        <v>8</v>
      </c>
      <c r="I338" t="s">
        <v>100</v>
      </c>
      <c r="J338" t="s">
        <v>101</v>
      </c>
      <c r="K338" t="s">
        <v>189</v>
      </c>
      <c r="L338" t="s">
        <v>127</v>
      </c>
    </row>
    <row r="339" spans="1:12" x14ac:dyDescent="0.2">
      <c r="A339">
        <v>5291</v>
      </c>
      <c r="B339" t="s">
        <v>177</v>
      </c>
      <c r="C339" s="19">
        <v>45580</v>
      </c>
      <c r="D339" s="2">
        <v>0.29166666666666669</v>
      </c>
      <c r="E339" s="2">
        <v>0.64583333333333337</v>
      </c>
      <c r="F339">
        <v>30</v>
      </c>
      <c r="G339" s="2">
        <v>0.47916666666666669</v>
      </c>
      <c r="H339">
        <v>8</v>
      </c>
      <c r="I339" t="s">
        <v>100</v>
      </c>
      <c r="J339" t="s">
        <v>101</v>
      </c>
      <c r="K339" t="s">
        <v>192</v>
      </c>
      <c r="L339" t="s">
        <v>127</v>
      </c>
    </row>
    <row r="340" spans="1:12" x14ac:dyDescent="0.2">
      <c r="A340">
        <v>5697</v>
      </c>
      <c r="B340" t="s">
        <v>150</v>
      </c>
      <c r="C340" s="19">
        <v>45580</v>
      </c>
      <c r="D340" s="2">
        <v>0.29166666666666669</v>
      </c>
      <c r="E340" s="2">
        <v>0.5625</v>
      </c>
      <c r="F340">
        <v>30</v>
      </c>
      <c r="G340" s="2">
        <v>0.47916666666666669</v>
      </c>
      <c r="H340">
        <v>6</v>
      </c>
      <c r="I340" t="s">
        <v>100</v>
      </c>
      <c r="J340" t="s">
        <v>101</v>
      </c>
      <c r="K340" t="s">
        <v>194</v>
      </c>
      <c r="L340" t="s">
        <v>127</v>
      </c>
    </row>
    <row r="341" spans="1:12" x14ac:dyDescent="0.2">
      <c r="A341">
        <v>2720</v>
      </c>
      <c r="B341" t="s">
        <v>173</v>
      </c>
      <c r="C341" s="19">
        <v>45580</v>
      </c>
      <c r="D341" s="2">
        <v>0.29166666666666669</v>
      </c>
      <c r="E341" s="2">
        <v>0.5625</v>
      </c>
      <c r="F341">
        <v>30</v>
      </c>
      <c r="G341" s="2">
        <v>0.5</v>
      </c>
      <c r="H341">
        <v>6</v>
      </c>
      <c r="I341" t="s">
        <v>100</v>
      </c>
      <c r="J341" t="s">
        <v>101</v>
      </c>
      <c r="K341" t="s">
        <v>196</v>
      </c>
      <c r="L341" t="s">
        <v>127</v>
      </c>
    </row>
    <row r="342" spans="1:12" x14ac:dyDescent="0.2">
      <c r="A342">
        <v>5711</v>
      </c>
      <c r="B342" t="s">
        <v>117</v>
      </c>
      <c r="C342" s="19">
        <v>45580</v>
      </c>
      <c r="D342" s="2">
        <v>0.29166666666666669</v>
      </c>
      <c r="E342" s="2">
        <v>0.58333333333333337</v>
      </c>
      <c r="F342">
        <v>30</v>
      </c>
      <c r="G342" s="2">
        <v>0.5</v>
      </c>
      <c r="H342">
        <v>6.5</v>
      </c>
      <c r="I342" t="s">
        <v>100</v>
      </c>
      <c r="J342" t="s">
        <v>101</v>
      </c>
      <c r="K342" t="s">
        <v>103</v>
      </c>
      <c r="L342" t="s">
        <v>114</v>
      </c>
    </row>
    <row r="343" spans="1:12" x14ac:dyDescent="0.2">
      <c r="A343">
        <v>5710</v>
      </c>
      <c r="B343" t="s">
        <v>210</v>
      </c>
      <c r="C343" s="19">
        <v>45580</v>
      </c>
      <c r="D343" s="2">
        <v>0.29166666666666669</v>
      </c>
      <c r="E343" s="2">
        <v>0.64583333333333337</v>
      </c>
      <c r="F343">
        <v>30</v>
      </c>
      <c r="G343" s="2">
        <v>0.5</v>
      </c>
      <c r="H343">
        <v>8</v>
      </c>
      <c r="I343" t="s">
        <v>100</v>
      </c>
      <c r="J343" t="s">
        <v>101</v>
      </c>
      <c r="K343" t="s">
        <v>103</v>
      </c>
      <c r="L343" t="s">
        <v>102</v>
      </c>
    </row>
    <row r="344" spans="1:12" x14ac:dyDescent="0.2">
      <c r="A344">
        <v>4947</v>
      </c>
      <c r="B344" t="s">
        <v>110</v>
      </c>
      <c r="C344" s="19">
        <v>45580</v>
      </c>
      <c r="D344" s="2">
        <v>0.29166666666666669</v>
      </c>
      <c r="E344" s="2">
        <v>0.64583333333333337</v>
      </c>
      <c r="F344">
        <v>30</v>
      </c>
      <c r="G344" s="2">
        <v>0.5</v>
      </c>
      <c r="H344">
        <v>8</v>
      </c>
      <c r="I344" t="s">
        <v>100</v>
      </c>
      <c r="J344" t="s">
        <v>101</v>
      </c>
      <c r="K344" t="s">
        <v>103</v>
      </c>
      <c r="L344" t="s">
        <v>102</v>
      </c>
    </row>
    <row r="345" spans="1:12" x14ac:dyDescent="0.2">
      <c r="A345">
        <v>5682</v>
      </c>
      <c r="B345" t="s">
        <v>105</v>
      </c>
      <c r="C345" s="19">
        <v>45580</v>
      </c>
      <c r="D345" s="2">
        <v>0.29166666666666669</v>
      </c>
      <c r="E345" s="2">
        <v>0.875</v>
      </c>
      <c r="F345">
        <v>60</v>
      </c>
      <c r="G345" s="2">
        <v>0.70833333333333337</v>
      </c>
      <c r="H345">
        <v>13</v>
      </c>
      <c r="I345" t="s">
        <v>100</v>
      </c>
      <c r="J345" t="s">
        <v>101</v>
      </c>
      <c r="K345" t="s">
        <v>112</v>
      </c>
      <c r="L345" t="s">
        <v>102</v>
      </c>
    </row>
    <row r="346" spans="1:12" x14ac:dyDescent="0.2">
      <c r="A346">
        <v>5382</v>
      </c>
      <c r="B346" t="s">
        <v>206</v>
      </c>
      <c r="C346" s="19">
        <v>45580</v>
      </c>
      <c r="D346" s="2">
        <v>0.58333333333333337</v>
      </c>
      <c r="E346" s="2">
        <v>0.9375</v>
      </c>
      <c r="F346">
        <v>30</v>
      </c>
      <c r="G346" s="2">
        <v>0.72916666666666663</v>
      </c>
      <c r="H346">
        <v>8</v>
      </c>
      <c r="I346" t="s">
        <v>100</v>
      </c>
      <c r="J346" t="s">
        <v>101</v>
      </c>
      <c r="K346" t="s">
        <v>112</v>
      </c>
      <c r="L346" t="s">
        <v>102</v>
      </c>
    </row>
    <row r="347" spans="1:12" x14ac:dyDescent="0.2">
      <c r="A347">
        <v>5667</v>
      </c>
      <c r="B347" t="s">
        <v>106</v>
      </c>
      <c r="C347" s="19">
        <v>45580</v>
      </c>
      <c r="D347" s="2">
        <v>0.58333333333333337</v>
      </c>
      <c r="E347" s="2">
        <v>0.9375</v>
      </c>
      <c r="F347">
        <v>30</v>
      </c>
      <c r="G347" s="2">
        <v>0.79166666666666663</v>
      </c>
      <c r="H347">
        <v>8</v>
      </c>
      <c r="I347" t="s">
        <v>100</v>
      </c>
      <c r="J347" t="s">
        <v>101</v>
      </c>
      <c r="K347" t="s">
        <v>91</v>
      </c>
      <c r="L347" t="s">
        <v>102</v>
      </c>
    </row>
    <row r="348" spans="1:12" x14ac:dyDescent="0.2">
      <c r="A348">
        <v>3572</v>
      </c>
      <c r="B348" t="s">
        <v>156</v>
      </c>
      <c r="C348" s="19">
        <v>45580</v>
      </c>
      <c r="D348" s="2">
        <v>0.63541666666666663</v>
      </c>
      <c r="E348" s="2">
        <v>0.88541666666666663</v>
      </c>
      <c r="F348">
        <v>30</v>
      </c>
      <c r="G348" s="2">
        <v>0.72916666666666663</v>
      </c>
      <c r="H348">
        <v>5.5</v>
      </c>
      <c r="I348" t="s">
        <v>100</v>
      </c>
      <c r="J348" t="s">
        <v>101</v>
      </c>
      <c r="K348" t="s">
        <v>126</v>
      </c>
      <c r="L348" t="s">
        <v>127</v>
      </c>
    </row>
    <row r="349" spans="1:12" x14ac:dyDescent="0.2">
      <c r="A349">
        <v>5729</v>
      </c>
      <c r="B349" t="s">
        <v>165</v>
      </c>
      <c r="C349" s="19">
        <v>45580</v>
      </c>
      <c r="D349" s="2">
        <v>0.63541666666666663</v>
      </c>
      <c r="E349" s="2">
        <v>0.88541666666666663</v>
      </c>
      <c r="F349">
        <v>30</v>
      </c>
      <c r="G349" s="2">
        <v>0.84375</v>
      </c>
      <c r="H349">
        <v>5.5</v>
      </c>
      <c r="I349" t="s">
        <v>100</v>
      </c>
      <c r="J349" t="s">
        <v>101</v>
      </c>
      <c r="K349" t="s">
        <v>153</v>
      </c>
      <c r="L349" t="s">
        <v>127</v>
      </c>
    </row>
    <row r="350" spans="1:12" x14ac:dyDescent="0.2">
      <c r="A350">
        <v>5787</v>
      </c>
      <c r="B350" t="s">
        <v>130</v>
      </c>
      <c r="C350" s="19">
        <v>45580</v>
      </c>
      <c r="D350" s="2">
        <v>0.63541666666666663</v>
      </c>
      <c r="E350" s="2">
        <v>0.94791666666666663</v>
      </c>
      <c r="F350">
        <v>30</v>
      </c>
      <c r="G350" s="2">
        <v>0.72916666666666663</v>
      </c>
      <c r="H350">
        <v>7</v>
      </c>
      <c r="I350" t="s">
        <v>100</v>
      </c>
      <c r="J350" t="s">
        <v>101</v>
      </c>
      <c r="K350" t="s">
        <v>157</v>
      </c>
      <c r="L350" t="s">
        <v>127</v>
      </c>
    </row>
    <row r="351" spans="1:12" x14ac:dyDescent="0.2">
      <c r="A351">
        <v>5621</v>
      </c>
      <c r="B351" t="s">
        <v>144</v>
      </c>
      <c r="C351" s="19">
        <v>45580</v>
      </c>
      <c r="D351" s="2">
        <v>0.63541666666666663</v>
      </c>
      <c r="E351" s="2">
        <v>0.94791666666666663</v>
      </c>
      <c r="F351">
        <v>30</v>
      </c>
      <c r="G351" s="2">
        <v>0.72916666666666663</v>
      </c>
      <c r="H351">
        <v>7</v>
      </c>
      <c r="I351" t="s">
        <v>100</v>
      </c>
      <c r="J351" t="s">
        <v>101</v>
      </c>
      <c r="K351" t="s">
        <v>168</v>
      </c>
      <c r="L351" t="s">
        <v>127</v>
      </c>
    </row>
    <row r="352" spans="1:12" x14ac:dyDescent="0.2">
      <c r="A352">
        <v>283</v>
      </c>
      <c r="B352" t="s">
        <v>171</v>
      </c>
      <c r="C352" s="19">
        <v>45580</v>
      </c>
      <c r="D352" s="2">
        <v>0.63541666666666663</v>
      </c>
      <c r="E352" s="2">
        <v>0.88541666666666663</v>
      </c>
      <c r="F352">
        <v>30</v>
      </c>
      <c r="G352" s="2">
        <v>0.72916666666666663</v>
      </c>
      <c r="H352">
        <v>5.5</v>
      </c>
      <c r="I352" t="s">
        <v>100</v>
      </c>
      <c r="J352" t="s">
        <v>101</v>
      </c>
      <c r="K352" t="s">
        <v>175</v>
      </c>
      <c r="L352" t="s">
        <v>127</v>
      </c>
    </row>
    <row r="353" spans="1:12" x14ac:dyDescent="0.2">
      <c r="A353">
        <v>4859</v>
      </c>
      <c r="B353" t="s">
        <v>113</v>
      </c>
      <c r="C353" s="19">
        <v>45580</v>
      </c>
      <c r="D353" s="2">
        <v>0.63541666666666663</v>
      </c>
      <c r="E353" s="2">
        <v>0.94791666666666663</v>
      </c>
      <c r="F353">
        <v>30</v>
      </c>
      <c r="G353" s="2">
        <v>0.72916666666666663</v>
      </c>
      <c r="H353">
        <v>7</v>
      </c>
      <c r="I353" t="s">
        <v>100</v>
      </c>
      <c r="J353" t="s">
        <v>101</v>
      </c>
      <c r="K353" t="s">
        <v>179</v>
      </c>
      <c r="L353" t="s">
        <v>127</v>
      </c>
    </row>
    <row r="354" spans="1:12" x14ac:dyDescent="0.2">
      <c r="A354">
        <v>5531</v>
      </c>
      <c r="B354" t="s">
        <v>132</v>
      </c>
      <c r="C354" s="19">
        <v>45580</v>
      </c>
      <c r="D354" s="2">
        <v>0.63541666666666663</v>
      </c>
      <c r="E354" s="2">
        <v>0.88541666666666663</v>
      </c>
      <c r="F354">
        <v>30</v>
      </c>
      <c r="G354" s="2">
        <v>0.72916666666666663</v>
      </c>
      <c r="H354">
        <v>5.5</v>
      </c>
      <c r="I354" t="s">
        <v>100</v>
      </c>
      <c r="J354" t="s">
        <v>101</v>
      </c>
      <c r="K354" t="s">
        <v>184</v>
      </c>
      <c r="L354" t="s">
        <v>127</v>
      </c>
    </row>
    <row r="355" spans="1:12" x14ac:dyDescent="0.2">
      <c r="A355">
        <v>5624</v>
      </c>
      <c r="B355" t="s">
        <v>169</v>
      </c>
      <c r="C355" s="19">
        <v>45580</v>
      </c>
      <c r="D355" s="2">
        <v>0.63541666666666663</v>
      </c>
      <c r="E355" s="2">
        <v>0.94791666666666663</v>
      </c>
      <c r="F355">
        <v>30</v>
      </c>
      <c r="G355" s="2">
        <v>0.84375</v>
      </c>
      <c r="H355">
        <v>7</v>
      </c>
      <c r="I355" t="s">
        <v>100</v>
      </c>
      <c r="J355" t="s">
        <v>101</v>
      </c>
      <c r="K355" t="s">
        <v>185</v>
      </c>
      <c r="L355" t="s">
        <v>127</v>
      </c>
    </row>
    <row r="356" spans="1:12" x14ac:dyDescent="0.2">
      <c r="A356">
        <v>5835</v>
      </c>
      <c r="B356" t="s">
        <v>215</v>
      </c>
      <c r="C356" s="19">
        <v>45580</v>
      </c>
      <c r="D356" s="2">
        <v>0.63541666666666663</v>
      </c>
      <c r="E356" s="2">
        <v>0.88541666666666663</v>
      </c>
      <c r="F356">
        <v>30</v>
      </c>
      <c r="G356" s="2">
        <v>0.72916666666666663</v>
      </c>
      <c r="H356">
        <v>5.5</v>
      </c>
      <c r="I356" t="s">
        <v>100</v>
      </c>
      <c r="J356" t="s">
        <v>101</v>
      </c>
      <c r="K356" t="s">
        <v>187</v>
      </c>
      <c r="L356" t="s">
        <v>127</v>
      </c>
    </row>
    <row r="357" spans="1:12" x14ac:dyDescent="0.2">
      <c r="A357">
        <v>1581</v>
      </c>
      <c r="B357" t="s">
        <v>136</v>
      </c>
      <c r="C357" s="19">
        <v>45580</v>
      </c>
      <c r="D357" s="2">
        <v>0.63541666666666663</v>
      </c>
      <c r="E357" s="2">
        <v>0.94791666666666663</v>
      </c>
      <c r="F357">
        <v>30</v>
      </c>
      <c r="G357" s="2">
        <v>0.72916666666666663</v>
      </c>
      <c r="H357">
        <v>7</v>
      </c>
      <c r="I357" t="s">
        <v>100</v>
      </c>
      <c r="J357" t="s">
        <v>101</v>
      </c>
      <c r="K357" t="s">
        <v>189</v>
      </c>
      <c r="L357" t="s">
        <v>127</v>
      </c>
    </row>
    <row r="358" spans="1:12" x14ac:dyDescent="0.2">
      <c r="A358">
        <v>5829</v>
      </c>
      <c r="B358" t="s">
        <v>212</v>
      </c>
      <c r="C358" s="19">
        <v>45580</v>
      </c>
      <c r="D358" s="2">
        <v>0.63541666666666663</v>
      </c>
      <c r="E358" s="2">
        <v>0.88541666666666663</v>
      </c>
      <c r="F358">
        <v>30</v>
      </c>
      <c r="G358" s="2">
        <v>0.72916666666666663</v>
      </c>
      <c r="H358">
        <v>5.5</v>
      </c>
      <c r="I358" t="s">
        <v>100</v>
      </c>
      <c r="J358" t="s">
        <v>101</v>
      </c>
      <c r="K358" t="s">
        <v>192</v>
      </c>
      <c r="L358" t="s">
        <v>127</v>
      </c>
    </row>
    <row r="359" spans="1:12" x14ac:dyDescent="0.2">
      <c r="A359">
        <v>2970</v>
      </c>
      <c r="B359" t="s">
        <v>195</v>
      </c>
      <c r="C359" s="19">
        <v>45580</v>
      </c>
      <c r="D359" s="2">
        <v>0.63541666666666663</v>
      </c>
      <c r="E359" s="2">
        <v>0.94791666666666663</v>
      </c>
      <c r="F359">
        <v>30</v>
      </c>
      <c r="G359" s="2">
        <v>0.72916666666666663</v>
      </c>
      <c r="H359">
        <v>7</v>
      </c>
      <c r="I359" t="s">
        <v>100</v>
      </c>
      <c r="J359" t="s">
        <v>101</v>
      </c>
      <c r="K359" t="s">
        <v>193</v>
      </c>
      <c r="L359" t="s">
        <v>127</v>
      </c>
    </row>
    <row r="360" spans="1:12" x14ac:dyDescent="0.2">
      <c r="A360">
        <v>5690</v>
      </c>
      <c r="B360" t="s">
        <v>174</v>
      </c>
      <c r="C360" s="19">
        <v>45580</v>
      </c>
      <c r="D360" s="2">
        <v>0.63541666666666663</v>
      </c>
      <c r="E360" s="2">
        <v>0.88541666666666663</v>
      </c>
      <c r="F360">
        <v>30</v>
      </c>
      <c r="G360" s="2">
        <v>0.72916666666666663</v>
      </c>
      <c r="H360">
        <v>5.5</v>
      </c>
      <c r="I360" t="s">
        <v>100</v>
      </c>
      <c r="J360" t="s">
        <v>101</v>
      </c>
      <c r="K360" t="s">
        <v>194</v>
      </c>
      <c r="L360" t="s">
        <v>127</v>
      </c>
    </row>
    <row r="361" spans="1:12" x14ac:dyDescent="0.2">
      <c r="A361">
        <v>5496</v>
      </c>
      <c r="B361" t="s">
        <v>167</v>
      </c>
      <c r="C361" s="19">
        <v>45580</v>
      </c>
      <c r="D361" s="2">
        <v>0.63541666666666663</v>
      </c>
      <c r="E361" s="2">
        <v>0.88541666666666663</v>
      </c>
      <c r="F361">
        <v>30</v>
      </c>
      <c r="G361" s="2">
        <v>0.72916666666666663</v>
      </c>
      <c r="H361">
        <v>5.5</v>
      </c>
      <c r="I361" t="s">
        <v>100</v>
      </c>
      <c r="J361" t="s">
        <v>101</v>
      </c>
      <c r="K361" t="s">
        <v>112</v>
      </c>
      <c r="L361" t="s">
        <v>114</v>
      </c>
    </row>
    <row r="362" spans="1:12" x14ac:dyDescent="0.2">
      <c r="A362">
        <v>5227</v>
      </c>
      <c r="B362" t="s">
        <v>118</v>
      </c>
      <c r="C362" s="19">
        <v>45580</v>
      </c>
      <c r="D362" s="2">
        <v>0.63541666666666663</v>
      </c>
      <c r="E362" s="2">
        <v>0.88541666666666663</v>
      </c>
      <c r="F362">
        <v>30</v>
      </c>
      <c r="G362" s="2">
        <v>0.72916666666666663</v>
      </c>
      <c r="H362">
        <v>5.5</v>
      </c>
      <c r="I362" t="s">
        <v>100</v>
      </c>
      <c r="J362" t="s">
        <v>101</v>
      </c>
      <c r="K362" t="s">
        <v>123</v>
      </c>
      <c r="L362" t="s">
        <v>114</v>
      </c>
    </row>
    <row r="363" spans="1:12" x14ac:dyDescent="0.2">
      <c r="A363">
        <v>5486</v>
      </c>
      <c r="B363" t="s">
        <v>141</v>
      </c>
      <c r="C363" s="19">
        <v>45580</v>
      </c>
      <c r="D363" s="2">
        <v>0.9375</v>
      </c>
      <c r="E363" s="2">
        <v>0.30208333333333331</v>
      </c>
      <c r="F363">
        <v>30</v>
      </c>
      <c r="G363" s="2">
        <v>0.14583333333333334</v>
      </c>
      <c r="H363">
        <v>8.25</v>
      </c>
      <c r="I363" t="s">
        <v>100</v>
      </c>
      <c r="J363" t="s">
        <v>101</v>
      </c>
      <c r="K363" t="s">
        <v>139</v>
      </c>
      <c r="L363" t="s">
        <v>127</v>
      </c>
    </row>
    <row r="364" spans="1:12" x14ac:dyDescent="0.2">
      <c r="A364">
        <v>5653</v>
      </c>
      <c r="B364" t="s">
        <v>143</v>
      </c>
      <c r="C364" s="19">
        <v>45580</v>
      </c>
      <c r="D364" s="2">
        <v>0.9375</v>
      </c>
      <c r="E364" s="2">
        <v>0.30208333333333331</v>
      </c>
      <c r="F364">
        <v>30</v>
      </c>
      <c r="G364" s="2">
        <v>0.14583333333333334</v>
      </c>
      <c r="H364">
        <v>8.25</v>
      </c>
      <c r="I364" t="s">
        <v>100</v>
      </c>
      <c r="J364" t="s">
        <v>101</v>
      </c>
      <c r="K364" t="s">
        <v>147</v>
      </c>
      <c r="L364" t="s">
        <v>127</v>
      </c>
    </row>
    <row r="365" spans="1:12" x14ac:dyDescent="0.2">
      <c r="A365">
        <v>195</v>
      </c>
      <c r="B365" t="s">
        <v>183</v>
      </c>
      <c r="C365" s="19">
        <v>45580</v>
      </c>
      <c r="D365" s="2">
        <v>0.9375</v>
      </c>
      <c r="E365" s="2">
        <v>0.30208333333333331</v>
      </c>
      <c r="F365">
        <v>30</v>
      </c>
      <c r="G365" s="2">
        <v>0.14583333333333334</v>
      </c>
      <c r="H365">
        <v>8.25</v>
      </c>
      <c r="I365" t="s">
        <v>100</v>
      </c>
      <c r="J365" t="s">
        <v>101</v>
      </c>
      <c r="K365" t="s">
        <v>168</v>
      </c>
      <c r="L365" t="s">
        <v>127</v>
      </c>
    </row>
    <row r="366" spans="1:12" x14ac:dyDescent="0.2">
      <c r="A366">
        <v>5574</v>
      </c>
      <c r="B366" t="s">
        <v>154</v>
      </c>
      <c r="C366" s="19">
        <v>45580</v>
      </c>
      <c r="D366" s="2">
        <v>0.9375</v>
      </c>
      <c r="E366" s="2">
        <v>0.30208333333333331</v>
      </c>
      <c r="F366">
        <v>30</v>
      </c>
      <c r="G366" s="2">
        <v>0.14583333333333334</v>
      </c>
      <c r="H366">
        <v>8.25</v>
      </c>
      <c r="I366" t="s">
        <v>100</v>
      </c>
      <c r="J366" t="s">
        <v>101</v>
      </c>
      <c r="K366" t="s">
        <v>179</v>
      </c>
      <c r="L366" t="s">
        <v>127</v>
      </c>
    </row>
    <row r="367" spans="1:12" x14ac:dyDescent="0.2">
      <c r="A367">
        <v>3016</v>
      </c>
      <c r="B367" t="s">
        <v>172</v>
      </c>
      <c r="C367" s="19">
        <v>45580</v>
      </c>
      <c r="D367" s="2">
        <v>0.9375</v>
      </c>
      <c r="E367" s="2">
        <v>0.30208333333333331</v>
      </c>
      <c r="F367">
        <v>30</v>
      </c>
      <c r="G367" s="2">
        <v>0.14583333333333334</v>
      </c>
      <c r="H367">
        <v>8.25</v>
      </c>
      <c r="I367" t="s">
        <v>100</v>
      </c>
      <c r="J367" t="s">
        <v>101</v>
      </c>
      <c r="K367" t="s">
        <v>185</v>
      </c>
      <c r="L367" t="s">
        <v>127</v>
      </c>
    </row>
    <row r="368" spans="1:12" x14ac:dyDescent="0.2">
      <c r="A368">
        <v>153</v>
      </c>
      <c r="B368" t="s">
        <v>146</v>
      </c>
      <c r="C368" s="19">
        <v>45580</v>
      </c>
      <c r="D368" s="2">
        <v>0.9375</v>
      </c>
      <c r="E368" s="2">
        <v>0.30208333333333331</v>
      </c>
      <c r="F368">
        <v>30</v>
      </c>
      <c r="G368" s="2">
        <v>0.14583333333333334</v>
      </c>
      <c r="H368">
        <v>8.25</v>
      </c>
      <c r="I368" t="s">
        <v>100</v>
      </c>
      <c r="J368" t="s">
        <v>101</v>
      </c>
      <c r="K368" t="s">
        <v>197</v>
      </c>
      <c r="L368" t="s">
        <v>127</v>
      </c>
    </row>
    <row r="369" spans="1:12" x14ac:dyDescent="0.2">
      <c r="A369">
        <v>5837</v>
      </c>
      <c r="B369" t="s">
        <v>211</v>
      </c>
      <c r="C369" s="19">
        <v>45581</v>
      </c>
      <c r="D369" s="2">
        <v>0.29166666666666669</v>
      </c>
      <c r="E369" s="2">
        <v>0.5625</v>
      </c>
      <c r="F369">
        <v>30</v>
      </c>
      <c r="G369" s="2">
        <v>0.5</v>
      </c>
      <c r="H369">
        <v>6</v>
      </c>
      <c r="I369" t="s">
        <v>100</v>
      </c>
      <c r="J369" t="s">
        <v>101</v>
      </c>
      <c r="K369" t="s">
        <v>126</v>
      </c>
      <c r="L369" t="s">
        <v>127</v>
      </c>
    </row>
    <row r="370" spans="1:12" x14ac:dyDescent="0.2">
      <c r="A370">
        <v>4848</v>
      </c>
      <c r="B370" t="s">
        <v>125</v>
      </c>
      <c r="C370" s="19">
        <v>45581</v>
      </c>
      <c r="D370" s="2">
        <v>0.29166666666666669</v>
      </c>
      <c r="E370" s="2">
        <v>0.64583333333333337</v>
      </c>
      <c r="F370">
        <v>30</v>
      </c>
      <c r="G370" s="2">
        <v>0.5</v>
      </c>
      <c r="H370">
        <v>8</v>
      </c>
      <c r="I370" t="s">
        <v>100</v>
      </c>
      <c r="J370" t="s">
        <v>101</v>
      </c>
      <c r="K370" t="s">
        <v>157</v>
      </c>
      <c r="L370" t="s">
        <v>127</v>
      </c>
    </row>
    <row r="371" spans="1:12" x14ac:dyDescent="0.2">
      <c r="A371">
        <v>5729</v>
      </c>
      <c r="B371" t="s">
        <v>165</v>
      </c>
      <c r="C371" s="19">
        <v>45581</v>
      </c>
      <c r="D371" s="2">
        <v>0.29166666666666669</v>
      </c>
      <c r="E371" s="2">
        <v>0.5625</v>
      </c>
      <c r="F371">
        <v>30</v>
      </c>
      <c r="G371" s="2">
        <v>0.47916666666666669</v>
      </c>
      <c r="H371">
        <v>6</v>
      </c>
      <c r="I371" t="s">
        <v>100</v>
      </c>
      <c r="J371" t="s">
        <v>101</v>
      </c>
      <c r="K371" t="s">
        <v>157</v>
      </c>
      <c r="L371" t="s">
        <v>127</v>
      </c>
    </row>
    <row r="372" spans="1:12" x14ac:dyDescent="0.2">
      <c r="A372">
        <v>2720</v>
      </c>
      <c r="B372" t="s">
        <v>173</v>
      </c>
      <c r="C372" s="19">
        <v>45581</v>
      </c>
      <c r="D372" s="2">
        <v>0.29166666666666669</v>
      </c>
      <c r="E372" s="2">
        <v>0.64583333333333337</v>
      </c>
      <c r="F372">
        <v>30</v>
      </c>
      <c r="G372" s="2">
        <v>0.47916666666666669</v>
      </c>
      <c r="H372">
        <v>8</v>
      </c>
      <c r="I372" t="s">
        <v>100</v>
      </c>
      <c r="J372" t="s">
        <v>101</v>
      </c>
      <c r="K372" t="s">
        <v>168</v>
      </c>
      <c r="L372" t="s">
        <v>127</v>
      </c>
    </row>
    <row r="373" spans="1:12" x14ac:dyDescent="0.2">
      <c r="A373">
        <v>5661</v>
      </c>
      <c r="B373" t="s">
        <v>133</v>
      </c>
      <c r="C373" s="19">
        <v>45581</v>
      </c>
      <c r="D373" s="2">
        <v>0.29166666666666669</v>
      </c>
      <c r="E373" s="2">
        <v>0.64583333333333337</v>
      </c>
      <c r="F373">
        <v>30</v>
      </c>
      <c r="G373" s="2">
        <v>0.47916666666666669</v>
      </c>
      <c r="H373">
        <v>8</v>
      </c>
      <c r="I373" t="s">
        <v>100</v>
      </c>
      <c r="J373" t="s">
        <v>101</v>
      </c>
      <c r="K373" t="s">
        <v>175</v>
      </c>
      <c r="L373" t="s">
        <v>127</v>
      </c>
    </row>
    <row r="374" spans="1:12" x14ac:dyDescent="0.2">
      <c r="A374">
        <v>4460</v>
      </c>
      <c r="B374" t="s">
        <v>180</v>
      </c>
      <c r="C374" s="19">
        <v>45581</v>
      </c>
      <c r="D374" s="2">
        <v>0.29166666666666669</v>
      </c>
      <c r="E374" s="2">
        <v>0.5625</v>
      </c>
      <c r="F374">
        <v>30</v>
      </c>
      <c r="G374" s="2">
        <v>0.5</v>
      </c>
      <c r="H374">
        <v>6</v>
      </c>
      <c r="I374" t="s">
        <v>100</v>
      </c>
      <c r="J374" t="s">
        <v>101</v>
      </c>
      <c r="K374" t="s">
        <v>179</v>
      </c>
      <c r="L374" t="s">
        <v>127</v>
      </c>
    </row>
    <row r="375" spans="1:12" x14ac:dyDescent="0.2">
      <c r="A375">
        <v>5291</v>
      </c>
      <c r="B375" t="s">
        <v>177</v>
      </c>
      <c r="C375" s="19">
        <v>45581</v>
      </c>
      <c r="D375" s="2">
        <v>0.29166666666666669</v>
      </c>
      <c r="E375" s="2">
        <v>0.64583333333333337</v>
      </c>
      <c r="F375">
        <v>30</v>
      </c>
      <c r="G375" s="2">
        <v>0.5</v>
      </c>
      <c r="H375">
        <v>8</v>
      </c>
      <c r="I375" t="s">
        <v>100</v>
      </c>
      <c r="J375" t="s">
        <v>101</v>
      </c>
      <c r="K375" t="s">
        <v>185</v>
      </c>
      <c r="L375" t="s">
        <v>127</v>
      </c>
    </row>
    <row r="376" spans="1:12" x14ac:dyDescent="0.2">
      <c r="A376">
        <v>4979</v>
      </c>
      <c r="B376" t="s">
        <v>158</v>
      </c>
      <c r="C376" s="19">
        <v>45581</v>
      </c>
      <c r="D376" s="2">
        <v>0.29166666666666669</v>
      </c>
      <c r="E376" s="2">
        <v>0.64583333333333337</v>
      </c>
      <c r="F376">
        <v>30</v>
      </c>
      <c r="G376" s="2">
        <v>0.47916666666666669</v>
      </c>
      <c r="H376">
        <v>8</v>
      </c>
      <c r="I376" t="s">
        <v>100</v>
      </c>
      <c r="J376" t="s">
        <v>101</v>
      </c>
      <c r="K376" t="s">
        <v>187</v>
      </c>
      <c r="L376" t="s">
        <v>127</v>
      </c>
    </row>
    <row r="377" spans="1:12" x14ac:dyDescent="0.2">
      <c r="A377">
        <v>5542</v>
      </c>
      <c r="B377" t="s">
        <v>190</v>
      </c>
      <c r="C377" s="19">
        <v>45581</v>
      </c>
      <c r="D377" s="2">
        <v>0.29166666666666669</v>
      </c>
      <c r="E377" s="2">
        <v>0.64583333333333337</v>
      </c>
      <c r="F377">
        <v>30</v>
      </c>
      <c r="G377" s="2">
        <v>0.47916666666666669</v>
      </c>
      <c r="H377">
        <v>8</v>
      </c>
      <c r="I377" t="s">
        <v>100</v>
      </c>
      <c r="J377" t="s">
        <v>101</v>
      </c>
      <c r="K377" t="s">
        <v>189</v>
      </c>
      <c r="L377" t="s">
        <v>127</v>
      </c>
    </row>
    <row r="378" spans="1:12" x14ac:dyDescent="0.2">
      <c r="A378">
        <v>5690</v>
      </c>
      <c r="B378" t="s">
        <v>174</v>
      </c>
      <c r="C378" s="19">
        <v>45581</v>
      </c>
      <c r="D378" s="2">
        <v>0.29166666666666669</v>
      </c>
      <c r="E378" s="2">
        <v>0.64583333333333337</v>
      </c>
      <c r="F378">
        <v>30</v>
      </c>
      <c r="G378" s="2">
        <v>0.47916666666666669</v>
      </c>
      <c r="H378">
        <v>8</v>
      </c>
      <c r="I378" t="s">
        <v>100</v>
      </c>
      <c r="J378" t="s">
        <v>101</v>
      </c>
      <c r="K378" t="s">
        <v>192</v>
      </c>
      <c r="L378" t="s">
        <v>127</v>
      </c>
    </row>
    <row r="379" spans="1:12" x14ac:dyDescent="0.2">
      <c r="A379">
        <v>5831</v>
      </c>
      <c r="B379" t="s">
        <v>217</v>
      </c>
      <c r="C379" s="19">
        <v>45581</v>
      </c>
      <c r="D379" s="2">
        <v>0.29166666666666669</v>
      </c>
      <c r="E379" s="2">
        <v>0.64583333333333337</v>
      </c>
      <c r="F379">
        <v>30</v>
      </c>
      <c r="G379" s="2">
        <v>0.5</v>
      </c>
      <c r="H379">
        <v>8</v>
      </c>
      <c r="I379" t="s">
        <v>100</v>
      </c>
      <c r="J379" t="s">
        <v>101</v>
      </c>
      <c r="K379" t="s">
        <v>196</v>
      </c>
      <c r="L379" t="s">
        <v>127</v>
      </c>
    </row>
    <row r="380" spans="1:12" x14ac:dyDescent="0.2">
      <c r="A380">
        <v>5711</v>
      </c>
      <c r="B380" t="s">
        <v>117</v>
      </c>
      <c r="C380" s="19">
        <v>45581</v>
      </c>
      <c r="D380" s="2">
        <v>0.29166666666666669</v>
      </c>
      <c r="E380" s="2">
        <v>0.58333333333333337</v>
      </c>
      <c r="F380">
        <v>30</v>
      </c>
      <c r="G380" s="2">
        <v>0.5</v>
      </c>
      <c r="H380">
        <v>6.5</v>
      </c>
      <c r="I380" t="s">
        <v>100</v>
      </c>
      <c r="J380" t="s">
        <v>101</v>
      </c>
      <c r="K380" t="s">
        <v>103</v>
      </c>
      <c r="L380" t="s">
        <v>114</v>
      </c>
    </row>
    <row r="381" spans="1:12" x14ac:dyDescent="0.2">
      <c r="A381">
        <v>5713</v>
      </c>
      <c r="B381" t="s">
        <v>128</v>
      </c>
      <c r="C381" s="19">
        <v>45581</v>
      </c>
      <c r="D381" s="2">
        <v>0.29166666666666669</v>
      </c>
      <c r="E381" s="2">
        <v>0.64583333333333337</v>
      </c>
      <c r="F381">
        <v>30</v>
      </c>
      <c r="G381" s="2">
        <v>0.5</v>
      </c>
      <c r="H381">
        <v>8</v>
      </c>
      <c r="I381" t="s">
        <v>100</v>
      </c>
      <c r="J381" t="s">
        <v>101</v>
      </c>
      <c r="K381" t="s">
        <v>112</v>
      </c>
      <c r="L381" t="s">
        <v>114</v>
      </c>
    </row>
    <row r="382" spans="1:12" x14ac:dyDescent="0.2">
      <c r="A382">
        <v>5836</v>
      </c>
      <c r="B382" t="s">
        <v>209</v>
      </c>
      <c r="C382" s="19">
        <v>45581</v>
      </c>
      <c r="D382" s="2">
        <v>0.29166666666666669</v>
      </c>
      <c r="E382" s="2">
        <v>0.64583333333333337</v>
      </c>
      <c r="F382">
        <v>30</v>
      </c>
      <c r="G382" s="2">
        <v>0.5</v>
      </c>
      <c r="H382">
        <v>8</v>
      </c>
      <c r="I382" t="s">
        <v>100</v>
      </c>
      <c r="J382" t="s">
        <v>101</v>
      </c>
      <c r="K382" t="s">
        <v>103</v>
      </c>
      <c r="L382" t="s">
        <v>102</v>
      </c>
    </row>
    <row r="383" spans="1:12" x14ac:dyDescent="0.2">
      <c r="A383">
        <v>5538</v>
      </c>
      <c r="B383" t="s">
        <v>104</v>
      </c>
      <c r="C383" s="19">
        <v>45581</v>
      </c>
      <c r="D383" s="2">
        <v>0.29166666666666669</v>
      </c>
      <c r="E383" s="2">
        <v>0.64583333333333337</v>
      </c>
      <c r="F383">
        <v>30</v>
      </c>
      <c r="G383" s="2">
        <v>0.5</v>
      </c>
      <c r="H383">
        <v>8</v>
      </c>
      <c r="I383" t="s">
        <v>100</v>
      </c>
      <c r="J383" t="s">
        <v>101</v>
      </c>
      <c r="K383" t="s">
        <v>103</v>
      </c>
      <c r="L383" t="s">
        <v>102</v>
      </c>
    </row>
    <row r="384" spans="1:12" x14ac:dyDescent="0.2">
      <c r="A384">
        <v>5555</v>
      </c>
      <c r="B384" t="s">
        <v>109</v>
      </c>
      <c r="C384" s="19">
        <v>45581</v>
      </c>
      <c r="D384" s="2">
        <v>0.29166666666666669</v>
      </c>
      <c r="E384" s="2">
        <v>0.64583333333333337</v>
      </c>
      <c r="F384">
        <v>30</v>
      </c>
      <c r="G384" s="2">
        <v>0.5</v>
      </c>
      <c r="H384">
        <v>8</v>
      </c>
      <c r="I384" t="s">
        <v>100</v>
      </c>
      <c r="J384" t="s">
        <v>101</v>
      </c>
      <c r="K384" t="s">
        <v>112</v>
      </c>
      <c r="L384" t="s">
        <v>102</v>
      </c>
    </row>
    <row r="385" spans="1:12" x14ac:dyDescent="0.2">
      <c r="A385">
        <v>5682</v>
      </c>
      <c r="B385" t="s">
        <v>105</v>
      </c>
      <c r="C385" s="19">
        <v>45581</v>
      </c>
      <c r="D385" s="2">
        <v>0.29166666666666669</v>
      </c>
      <c r="E385" s="2">
        <v>0.5625</v>
      </c>
      <c r="F385">
        <v>30</v>
      </c>
      <c r="G385" s="2">
        <v>0.5</v>
      </c>
      <c r="H385">
        <v>6</v>
      </c>
      <c r="I385" t="s">
        <v>100</v>
      </c>
      <c r="J385" t="s">
        <v>101</v>
      </c>
      <c r="K385" t="s">
        <v>112</v>
      </c>
      <c r="L385" t="s">
        <v>102</v>
      </c>
    </row>
    <row r="386" spans="1:12" x14ac:dyDescent="0.2">
      <c r="A386">
        <v>5139</v>
      </c>
      <c r="B386" t="s">
        <v>111</v>
      </c>
      <c r="C386" s="19">
        <v>45581</v>
      </c>
      <c r="D386" s="2">
        <v>0.58333333333333337</v>
      </c>
      <c r="E386" s="2">
        <v>0.9375</v>
      </c>
      <c r="F386">
        <v>30</v>
      </c>
      <c r="G386" s="2">
        <v>0.72916666666666663</v>
      </c>
      <c r="H386">
        <v>8</v>
      </c>
      <c r="I386" t="s">
        <v>100</v>
      </c>
      <c r="J386" t="s">
        <v>101</v>
      </c>
      <c r="K386" t="s">
        <v>112</v>
      </c>
      <c r="L386" t="s">
        <v>102</v>
      </c>
    </row>
    <row r="387" spans="1:12" x14ac:dyDescent="0.2">
      <c r="A387">
        <v>5829</v>
      </c>
      <c r="B387" t="s">
        <v>212</v>
      </c>
      <c r="C387" s="19">
        <v>45581</v>
      </c>
      <c r="D387" s="2">
        <v>0.63541666666666663</v>
      </c>
      <c r="E387" s="2">
        <v>0.88541666666666663</v>
      </c>
      <c r="F387">
        <v>30</v>
      </c>
      <c r="G387" s="2">
        <v>0.72916666666666663</v>
      </c>
      <c r="H387">
        <v>5.5</v>
      </c>
      <c r="I387" t="s">
        <v>100</v>
      </c>
      <c r="J387" t="s">
        <v>101</v>
      </c>
      <c r="K387" t="s">
        <v>126</v>
      </c>
      <c r="L387" t="s">
        <v>127</v>
      </c>
    </row>
    <row r="388" spans="1:12" x14ac:dyDescent="0.2">
      <c r="A388">
        <v>5781</v>
      </c>
      <c r="B388" t="s">
        <v>155</v>
      </c>
      <c r="C388" s="19">
        <v>45581</v>
      </c>
      <c r="D388" s="2">
        <v>0.63541666666666663</v>
      </c>
      <c r="E388" s="2">
        <v>0.88541666666666663</v>
      </c>
      <c r="F388">
        <v>30</v>
      </c>
      <c r="G388" s="2">
        <v>0.84375</v>
      </c>
      <c r="H388">
        <v>5.5</v>
      </c>
      <c r="I388" t="s">
        <v>100</v>
      </c>
      <c r="J388" t="s">
        <v>101</v>
      </c>
      <c r="K388" t="s">
        <v>153</v>
      </c>
      <c r="L388" t="s">
        <v>127</v>
      </c>
    </row>
    <row r="389" spans="1:12" x14ac:dyDescent="0.2">
      <c r="A389">
        <v>5819</v>
      </c>
      <c r="B389" t="s">
        <v>129</v>
      </c>
      <c r="C389" s="19">
        <v>45581</v>
      </c>
      <c r="D389" s="2">
        <v>0.63541666666666663</v>
      </c>
      <c r="E389" s="2">
        <v>0.88541666666666663</v>
      </c>
      <c r="F389">
        <v>30</v>
      </c>
      <c r="G389" s="2">
        <v>0.72916666666666663</v>
      </c>
      <c r="H389">
        <v>5.5</v>
      </c>
      <c r="I389" t="s">
        <v>100</v>
      </c>
      <c r="J389" t="s">
        <v>101</v>
      </c>
      <c r="K389" t="s">
        <v>157</v>
      </c>
      <c r="L389" t="s">
        <v>127</v>
      </c>
    </row>
    <row r="390" spans="1:12" x14ac:dyDescent="0.2">
      <c r="A390">
        <v>5520</v>
      </c>
      <c r="B390" t="s">
        <v>170</v>
      </c>
      <c r="C390" s="19">
        <v>45581</v>
      </c>
      <c r="D390" s="2">
        <v>0.63541666666666663</v>
      </c>
      <c r="E390" s="2">
        <v>0.94791666666666663</v>
      </c>
      <c r="F390">
        <v>30</v>
      </c>
      <c r="G390" s="2">
        <v>0.72916666666666663</v>
      </c>
      <c r="H390">
        <v>7</v>
      </c>
      <c r="I390" t="s">
        <v>100</v>
      </c>
      <c r="J390" t="s">
        <v>101</v>
      </c>
      <c r="K390" t="s">
        <v>168</v>
      </c>
      <c r="L390" t="s">
        <v>127</v>
      </c>
    </row>
    <row r="391" spans="1:12" x14ac:dyDescent="0.2">
      <c r="A391">
        <v>5810</v>
      </c>
      <c r="B391" t="s">
        <v>213</v>
      </c>
      <c r="C391" s="19">
        <v>45581</v>
      </c>
      <c r="D391" s="2">
        <v>0.63541666666666663</v>
      </c>
      <c r="E391" s="2">
        <v>0.94791666666666663</v>
      </c>
      <c r="F391">
        <v>30</v>
      </c>
      <c r="G391" s="2">
        <v>0.72916666666666663</v>
      </c>
      <c r="H391">
        <v>7</v>
      </c>
      <c r="I391" t="s">
        <v>100</v>
      </c>
      <c r="J391" t="s">
        <v>101</v>
      </c>
      <c r="K391" t="s">
        <v>179</v>
      </c>
      <c r="L391" t="s">
        <v>127</v>
      </c>
    </row>
    <row r="392" spans="1:12" x14ac:dyDescent="0.2">
      <c r="A392">
        <v>5531</v>
      </c>
      <c r="B392" t="s">
        <v>132</v>
      </c>
      <c r="C392" s="19">
        <v>45581</v>
      </c>
      <c r="D392" s="2">
        <v>0.63541666666666663</v>
      </c>
      <c r="E392" s="2">
        <v>0.88541666666666663</v>
      </c>
      <c r="F392">
        <v>30</v>
      </c>
      <c r="G392" s="2">
        <v>0.72916666666666663</v>
      </c>
      <c r="H392">
        <v>5.5</v>
      </c>
      <c r="I392" t="s">
        <v>100</v>
      </c>
      <c r="J392" t="s">
        <v>101</v>
      </c>
      <c r="K392" t="s">
        <v>184</v>
      </c>
      <c r="L392" t="s">
        <v>127</v>
      </c>
    </row>
    <row r="393" spans="1:12" x14ac:dyDescent="0.2">
      <c r="A393">
        <v>5624</v>
      </c>
      <c r="B393" t="s">
        <v>169</v>
      </c>
      <c r="C393" s="19">
        <v>45581</v>
      </c>
      <c r="D393" s="2">
        <v>0.63541666666666663</v>
      </c>
      <c r="E393" s="2">
        <v>0.94791666666666663</v>
      </c>
      <c r="F393">
        <v>30</v>
      </c>
      <c r="G393" s="2">
        <v>0.84375</v>
      </c>
      <c r="H393">
        <v>7</v>
      </c>
      <c r="I393" t="s">
        <v>100</v>
      </c>
      <c r="J393" t="s">
        <v>101</v>
      </c>
      <c r="K393" t="s">
        <v>185</v>
      </c>
      <c r="L393" t="s">
        <v>127</v>
      </c>
    </row>
    <row r="394" spans="1:12" x14ac:dyDescent="0.2">
      <c r="A394">
        <v>5745</v>
      </c>
      <c r="B394" t="s">
        <v>176</v>
      </c>
      <c r="C394" s="19">
        <v>45581</v>
      </c>
      <c r="D394" s="2">
        <v>0.63541666666666663</v>
      </c>
      <c r="E394" s="2">
        <v>0.88541666666666663</v>
      </c>
      <c r="F394">
        <v>30</v>
      </c>
      <c r="G394" s="2">
        <v>0.72916666666666663</v>
      </c>
      <c r="H394">
        <v>5.5</v>
      </c>
      <c r="I394" t="s">
        <v>100</v>
      </c>
      <c r="J394" t="s">
        <v>101</v>
      </c>
      <c r="K394" t="s">
        <v>187</v>
      </c>
      <c r="L394" t="s">
        <v>127</v>
      </c>
    </row>
    <row r="395" spans="1:12" x14ac:dyDescent="0.2">
      <c r="A395">
        <v>94</v>
      </c>
      <c r="B395" t="s">
        <v>137</v>
      </c>
      <c r="C395" s="19">
        <v>45581</v>
      </c>
      <c r="D395" s="2">
        <v>0.63541666666666663</v>
      </c>
      <c r="E395" s="2">
        <v>0.94791666666666663</v>
      </c>
      <c r="F395">
        <v>30</v>
      </c>
      <c r="G395" s="2">
        <v>0.72916666666666663</v>
      </c>
      <c r="H395">
        <v>7</v>
      </c>
      <c r="I395" t="s">
        <v>100</v>
      </c>
      <c r="J395" t="s">
        <v>101</v>
      </c>
      <c r="K395" t="s">
        <v>189</v>
      </c>
      <c r="L395" t="s">
        <v>127</v>
      </c>
    </row>
    <row r="396" spans="1:12" x14ac:dyDescent="0.2">
      <c r="A396">
        <v>5835</v>
      </c>
      <c r="B396" t="s">
        <v>215</v>
      </c>
      <c r="C396" s="19">
        <v>45581</v>
      </c>
      <c r="D396" s="2">
        <v>0.63541666666666663</v>
      </c>
      <c r="E396" s="2">
        <v>0.88541666666666663</v>
      </c>
      <c r="F396">
        <v>30</v>
      </c>
      <c r="G396" s="2">
        <v>0.72916666666666663</v>
      </c>
      <c r="H396">
        <v>5.5</v>
      </c>
      <c r="I396" t="s">
        <v>100</v>
      </c>
      <c r="J396" t="s">
        <v>101</v>
      </c>
      <c r="K396" t="s">
        <v>192</v>
      </c>
      <c r="L396" t="s">
        <v>127</v>
      </c>
    </row>
    <row r="397" spans="1:12" x14ac:dyDescent="0.2">
      <c r="A397">
        <v>5759</v>
      </c>
      <c r="B397" t="s">
        <v>131</v>
      </c>
      <c r="C397" s="19">
        <v>45581</v>
      </c>
      <c r="D397" s="2">
        <v>0.63541666666666663</v>
      </c>
      <c r="E397" s="2">
        <v>0.94791666666666663</v>
      </c>
      <c r="F397">
        <v>30</v>
      </c>
      <c r="G397" s="2">
        <v>0.72916666666666663</v>
      </c>
      <c r="H397">
        <v>7</v>
      </c>
      <c r="I397" t="s">
        <v>100</v>
      </c>
      <c r="J397" t="s">
        <v>101</v>
      </c>
      <c r="K397" t="s">
        <v>193</v>
      </c>
      <c r="L397" t="s">
        <v>127</v>
      </c>
    </row>
    <row r="398" spans="1:12" x14ac:dyDescent="0.2">
      <c r="A398">
        <v>5786</v>
      </c>
      <c r="B398" t="s">
        <v>162</v>
      </c>
      <c r="C398" s="19">
        <v>45581</v>
      </c>
      <c r="D398" s="2">
        <v>0.63541666666666663</v>
      </c>
      <c r="E398" s="2">
        <v>0.88541666666666663</v>
      </c>
      <c r="F398">
        <v>30</v>
      </c>
      <c r="G398" s="2">
        <v>0.72916666666666663</v>
      </c>
      <c r="H398">
        <v>5.5</v>
      </c>
      <c r="I398" t="s">
        <v>100</v>
      </c>
      <c r="J398" t="s">
        <v>101</v>
      </c>
      <c r="K398" t="s">
        <v>194</v>
      </c>
      <c r="L398" t="s">
        <v>127</v>
      </c>
    </row>
    <row r="399" spans="1:12" x14ac:dyDescent="0.2">
      <c r="A399">
        <v>5631</v>
      </c>
      <c r="B399" t="s">
        <v>182</v>
      </c>
      <c r="C399" s="19">
        <v>45581</v>
      </c>
      <c r="D399" s="2">
        <v>0.63541666666666663</v>
      </c>
      <c r="E399" s="2">
        <v>0.88541666666666663</v>
      </c>
      <c r="F399">
        <v>30</v>
      </c>
      <c r="G399" s="2">
        <v>0.72916666666666663</v>
      </c>
      <c r="H399">
        <v>5.5</v>
      </c>
      <c r="I399" t="s">
        <v>100</v>
      </c>
      <c r="J399" t="s">
        <v>101</v>
      </c>
      <c r="K399" t="s">
        <v>112</v>
      </c>
      <c r="L399" t="s">
        <v>114</v>
      </c>
    </row>
    <row r="400" spans="1:12" x14ac:dyDescent="0.2">
      <c r="A400">
        <v>5496</v>
      </c>
      <c r="B400" t="s">
        <v>167</v>
      </c>
      <c r="C400" s="19">
        <v>45581</v>
      </c>
      <c r="D400" s="2">
        <v>0.63541666666666663</v>
      </c>
      <c r="E400" s="2">
        <v>0.88541666666666663</v>
      </c>
      <c r="F400">
        <v>30</v>
      </c>
      <c r="G400" s="2">
        <v>0.72916666666666663</v>
      </c>
      <c r="H400">
        <v>5.5</v>
      </c>
      <c r="I400" t="s">
        <v>100</v>
      </c>
      <c r="J400" t="s">
        <v>101</v>
      </c>
      <c r="K400" t="s">
        <v>123</v>
      </c>
      <c r="L400" t="s">
        <v>114</v>
      </c>
    </row>
    <row r="401" spans="1:12" x14ac:dyDescent="0.2">
      <c r="A401">
        <v>5227</v>
      </c>
      <c r="B401" t="s">
        <v>118</v>
      </c>
      <c r="C401" s="19">
        <v>45581</v>
      </c>
      <c r="D401" s="2">
        <v>0.63541666666666663</v>
      </c>
      <c r="E401" s="2">
        <v>0.88541666666666663</v>
      </c>
      <c r="F401">
        <v>30</v>
      </c>
      <c r="G401" s="2">
        <v>0.72916666666666663</v>
      </c>
      <c r="H401">
        <v>5.5</v>
      </c>
      <c r="I401" t="s">
        <v>100</v>
      </c>
      <c r="J401" t="s">
        <v>101</v>
      </c>
      <c r="K401" t="s">
        <v>123</v>
      </c>
      <c r="L401" t="s">
        <v>114</v>
      </c>
    </row>
    <row r="402" spans="1:12" x14ac:dyDescent="0.2">
      <c r="A402">
        <v>5653</v>
      </c>
      <c r="B402" t="s">
        <v>143</v>
      </c>
      <c r="C402" s="19">
        <v>45581</v>
      </c>
      <c r="D402" s="2">
        <v>0.9375</v>
      </c>
      <c r="E402" s="2">
        <v>0.30208333333333331</v>
      </c>
      <c r="F402">
        <v>30</v>
      </c>
      <c r="G402" s="2">
        <v>0.14583333333333334</v>
      </c>
      <c r="H402">
        <v>8.25</v>
      </c>
      <c r="I402" t="s">
        <v>100</v>
      </c>
      <c r="J402" t="s">
        <v>101</v>
      </c>
      <c r="K402" t="s">
        <v>147</v>
      </c>
      <c r="L402" t="s">
        <v>127</v>
      </c>
    </row>
    <row r="403" spans="1:12" x14ac:dyDescent="0.2">
      <c r="A403">
        <v>153</v>
      </c>
      <c r="B403" t="s">
        <v>146</v>
      </c>
      <c r="C403" s="19">
        <v>45581</v>
      </c>
      <c r="D403" s="2">
        <v>0.9375</v>
      </c>
      <c r="E403" s="2">
        <v>0.30208333333333331</v>
      </c>
      <c r="F403">
        <v>30</v>
      </c>
      <c r="G403" s="2">
        <v>0.28125</v>
      </c>
      <c r="H403">
        <v>8.25</v>
      </c>
      <c r="I403" t="s">
        <v>100</v>
      </c>
      <c r="J403" t="s">
        <v>101</v>
      </c>
      <c r="K403" t="s">
        <v>168</v>
      </c>
      <c r="L403" t="s">
        <v>127</v>
      </c>
    </row>
    <row r="404" spans="1:12" x14ac:dyDescent="0.2">
      <c r="A404">
        <v>195</v>
      </c>
      <c r="B404" t="s">
        <v>183</v>
      </c>
      <c r="C404" s="19">
        <v>45581</v>
      </c>
      <c r="D404" s="2">
        <v>0.9375</v>
      </c>
      <c r="E404" s="2">
        <v>0.30208333333333331</v>
      </c>
      <c r="F404">
        <v>30</v>
      </c>
      <c r="G404" s="2">
        <v>0.14583333333333334</v>
      </c>
      <c r="H404">
        <v>8.25</v>
      </c>
      <c r="I404" t="s">
        <v>100</v>
      </c>
      <c r="J404" t="s">
        <v>101</v>
      </c>
      <c r="K404" t="s">
        <v>185</v>
      </c>
      <c r="L404" t="s">
        <v>127</v>
      </c>
    </row>
    <row r="405" spans="1:12" x14ac:dyDescent="0.2">
      <c r="A405">
        <v>5503</v>
      </c>
      <c r="B405" t="s">
        <v>142</v>
      </c>
      <c r="C405" s="19">
        <v>45581</v>
      </c>
      <c r="D405" s="2">
        <v>0.9375</v>
      </c>
      <c r="E405" s="2">
        <v>0.30208333333333331</v>
      </c>
      <c r="F405">
        <v>30</v>
      </c>
      <c r="G405" s="2">
        <v>0.14583333333333334</v>
      </c>
      <c r="H405">
        <v>8.25</v>
      </c>
      <c r="I405" t="s">
        <v>100</v>
      </c>
      <c r="J405" t="s">
        <v>101</v>
      </c>
      <c r="K405" t="s">
        <v>185</v>
      </c>
      <c r="L405" t="s">
        <v>127</v>
      </c>
    </row>
    <row r="406" spans="1:12" x14ac:dyDescent="0.2">
      <c r="A406">
        <v>3016</v>
      </c>
      <c r="B406" t="s">
        <v>172</v>
      </c>
      <c r="C406" s="19">
        <v>45581</v>
      </c>
      <c r="D406" s="2">
        <v>0.9375</v>
      </c>
      <c r="E406" s="2">
        <v>0.30208333333333331</v>
      </c>
      <c r="F406">
        <v>30</v>
      </c>
      <c r="G406" s="2">
        <v>0.14583333333333334</v>
      </c>
      <c r="H406">
        <v>8.25</v>
      </c>
      <c r="I406" t="s">
        <v>100</v>
      </c>
      <c r="J406" t="s">
        <v>101</v>
      </c>
      <c r="K406" t="s">
        <v>197</v>
      </c>
      <c r="L406" t="s">
        <v>127</v>
      </c>
    </row>
    <row r="407" spans="1:12" x14ac:dyDescent="0.2">
      <c r="A407">
        <v>5661</v>
      </c>
      <c r="B407" t="s">
        <v>133</v>
      </c>
      <c r="C407" s="19">
        <v>45582</v>
      </c>
      <c r="D407" s="2">
        <v>0.29166666666666669</v>
      </c>
      <c r="E407" s="2">
        <v>0.5625</v>
      </c>
      <c r="F407">
        <v>30</v>
      </c>
      <c r="G407" s="2">
        <v>0.5</v>
      </c>
      <c r="H407">
        <v>6</v>
      </c>
      <c r="I407" t="s">
        <v>100</v>
      </c>
      <c r="J407" t="s">
        <v>101</v>
      </c>
      <c r="K407" t="s">
        <v>126</v>
      </c>
      <c r="L407" t="s">
        <v>127</v>
      </c>
    </row>
    <row r="408" spans="1:12" x14ac:dyDescent="0.2">
      <c r="A408">
        <v>4848</v>
      </c>
      <c r="B408" t="s">
        <v>125</v>
      </c>
      <c r="C408" s="19">
        <v>45582</v>
      </c>
      <c r="D408" s="2">
        <v>0.29166666666666669</v>
      </c>
      <c r="E408" s="2">
        <v>0.64583333333333337</v>
      </c>
      <c r="F408">
        <v>30</v>
      </c>
      <c r="G408" s="2">
        <v>0.5</v>
      </c>
      <c r="H408">
        <v>8</v>
      </c>
      <c r="I408" t="s">
        <v>100</v>
      </c>
      <c r="J408" t="s">
        <v>101</v>
      </c>
      <c r="K408" t="s">
        <v>157</v>
      </c>
      <c r="L408" t="s">
        <v>127</v>
      </c>
    </row>
    <row r="409" spans="1:12" x14ac:dyDescent="0.2">
      <c r="A409">
        <v>5729</v>
      </c>
      <c r="B409" t="s">
        <v>165</v>
      </c>
      <c r="C409" s="19">
        <v>45582</v>
      </c>
      <c r="D409" s="2">
        <v>0.29166666666666669</v>
      </c>
      <c r="E409" s="2">
        <v>0.5625</v>
      </c>
      <c r="F409">
        <v>30</v>
      </c>
      <c r="G409" s="2">
        <v>0.47916666666666669</v>
      </c>
      <c r="H409">
        <v>6</v>
      </c>
      <c r="I409" t="s">
        <v>100</v>
      </c>
      <c r="J409" t="s">
        <v>101</v>
      </c>
      <c r="K409" t="s">
        <v>157</v>
      </c>
      <c r="L409" t="s">
        <v>127</v>
      </c>
    </row>
    <row r="410" spans="1:12" x14ac:dyDescent="0.2">
      <c r="A410">
        <v>2720</v>
      </c>
      <c r="B410" t="s">
        <v>173</v>
      </c>
      <c r="C410" s="19">
        <v>45582</v>
      </c>
      <c r="D410" s="2">
        <v>0.29166666666666669</v>
      </c>
      <c r="E410" s="2">
        <v>0.64583333333333337</v>
      </c>
      <c r="F410">
        <v>30</v>
      </c>
      <c r="G410" s="2">
        <v>0.47916666666666669</v>
      </c>
      <c r="H410">
        <v>8</v>
      </c>
      <c r="I410" t="s">
        <v>100</v>
      </c>
      <c r="J410" t="s">
        <v>101</v>
      </c>
      <c r="K410" t="s">
        <v>168</v>
      </c>
      <c r="L410" t="s">
        <v>127</v>
      </c>
    </row>
    <row r="411" spans="1:12" x14ac:dyDescent="0.2">
      <c r="A411">
        <v>5690</v>
      </c>
      <c r="B411" t="s">
        <v>174</v>
      </c>
      <c r="C411" s="19">
        <v>45582</v>
      </c>
      <c r="D411" s="2">
        <v>0.29166666666666669</v>
      </c>
      <c r="E411" s="2">
        <v>0.5625</v>
      </c>
      <c r="F411">
        <v>30</v>
      </c>
      <c r="G411" s="2">
        <v>0.47916666666666669</v>
      </c>
      <c r="H411">
        <v>6</v>
      </c>
      <c r="I411" t="s">
        <v>100</v>
      </c>
      <c r="J411" t="s">
        <v>101</v>
      </c>
      <c r="K411" t="s">
        <v>175</v>
      </c>
      <c r="L411" t="s">
        <v>127</v>
      </c>
    </row>
    <row r="412" spans="1:12" x14ac:dyDescent="0.2">
      <c r="A412">
        <v>5804</v>
      </c>
      <c r="B412" t="s">
        <v>216</v>
      </c>
      <c r="C412" s="19">
        <v>45582</v>
      </c>
      <c r="D412" s="2">
        <v>0.29166666666666669</v>
      </c>
      <c r="E412" s="2">
        <v>0.5625</v>
      </c>
      <c r="F412">
        <v>30</v>
      </c>
      <c r="G412" s="2">
        <v>0.47916666666666669</v>
      </c>
      <c r="H412">
        <v>6</v>
      </c>
      <c r="I412" t="s">
        <v>100</v>
      </c>
      <c r="J412" t="s">
        <v>101</v>
      </c>
      <c r="K412" t="s">
        <v>178</v>
      </c>
      <c r="L412" t="s">
        <v>127</v>
      </c>
    </row>
    <row r="413" spans="1:12" x14ac:dyDescent="0.2">
      <c r="A413">
        <v>5781</v>
      </c>
      <c r="B413" t="s">
        <v>155</v>
      </c>
      <c r="C413" s="19">
        <v>45582</v>
      </c>
      <c r="D413" s="2">
        <v>0.29166666666666669</v>
      </c>
      <c r="E413" s="2">
        <v>0.5625</v>
      </c>
      <c r="F413">
        <v>30</v>
      </c>
      <c r="G413" s="2">
        <v>0.5</v>
      </c>
      <c r="H413">
        <v>6</v>
      </c>
      <c r="I413" t="s">
        <v>100</v>
      </c>
      <c r="J413" t="s">
        <v>101</v>
      </c>
      <c r="K413" t="s">
        <v>179</v>
      </c>
      <c r="L413" t="s">
        <v>127</v>
      </c>
    </row>
    <row r="414" spans="1:12" x14ac:dyDescent="0.2">
      <c r="A414">
        <v>4460</v>
      </c>
      <c r="B414" t="s">
        <v>180</v>
      </c>
      <c r="C414" s="19">
        <v>45582</v>
      </c>
      <c r="D414" s="2">
        <v>0.29166666666666669</v>
      </c>
      <c r="E414" s="2">
        <v>0.64583333333333337</v>
      </c>
      <c r="F414">
        <v>30</v>
      </c>
      <c r="G414" s="2">
        <v>0.47916666666666669</v>
      </c>
      <c r="H414">
        <v>8</v>
      </c>
      <c r="I414" t="s">
        <v>100</v>
      </c>
      <c r="J414" t="s">
        <v>101</v>
      </c>
      <c r="K414" t="s">
        <v>184</v>
      </c>
      <c r="L414" t="s">
        <v>127</v>
      </c>
    </row>
    <row r="415" spans="1:12" x14ac:dyDescent="0.2">
      <c r="A415">
        <v>5709</v>
      </c>
      <c r="B415" t="s">
        <v>159</v>
      </c>
      <c r="C415" s="19">
        <v>45582</v>
      </c>
      <c r="D415" s="2">
        <v>0.29166666666666669</v>
      </c>
      <c r="E415" s="2">
        <v>0.64583333333333337</v>
      </c>
      <c r="F415">
        <v>30</v>
      </c>
      <c r="G415" s="2">
        <v>0.5</v>
      </c>
      <c r="H415">
        <v>8</v>
      </c>
      <c r="I415" t="s">
        <v>100</v>
      </c>
      <c r="J415" t="s">
        <v>101</v>
      </c>
      <c r="K415" t="s">
        <v>185</v>
      </c>
      <c r="L415" t="s">
        <v>127</v>
      </c>
    </row>
    <row r="416" spans="1:12" x14ac:dyDescent="0.2">
      <c r="A416">
        <v>5713</v>
      </c>
      <c r="B416" t="s">
        <v>128</v>
      </c>
      <c r="C416" s="19">
        <v>45582</v>
      </c>
      <c r="D416" s="2">
        <v>0.29166666666666669</v>
      </c>
      <c r="E416" s="2">
        <v>0.64583333333333337</v>
      </c>
      <c r="F416">
        <v>30</v>
      </c>
      <c r="G416" s="2">
        <v>0.5</v>
      </c>
      <c r="H416">
        <v>8</v>
      </c>
      <c r="I416" t="s">
        <v>100</v>
      </c>
      <c r="J416" t="s">
        <v>101</v>
      </c>
      <c r="K416" t="s">
        <v>188</v>
      </c>
      <c r="L416" t="s">
        <v>127</v>
      </c>
    </row>
    <row r="417" spans="1:12" x14ac:dyDescent="0.2">
      <c r="A417">
        <v>5831</v>
      </c>
      <c r="B417" t="s">
        <v>217</v>
      </c>
      <c r="C417" s="19">
        <v>45582</v>
      </c>
      <c r="D417" s="2">
        <v>0.29166666666666669</v>
      </c>
      <c r="E417" s="2">
        <v>0.64583333333333337</v>
      </c>
      <c r="F417">
        <v>30</v>
      </c>
      <c r="G417" s="2">
        <v>0.47916666666666669</v>
      </c>
      <c r="H417">
        <v>8</v>
      </c>
      <c r="I417" t="s">
        <v>100</v>
      </c>
      <c r="J417" t="s">
        <v>101</v>
      </c>
      <c r="K417" t="s">
        <v>189</v>
      </c>
      <c r="L417" t="s">
        <v>127</v>
      </c>
    </row>
    <row r="418" spans="1:12" x14ac:dyDescent="0.2">
      <c r="A418">
        <v>5291</v>
      </c>
      <c r="B418" t="s">
        <v>177</v>
      </c>
      <c r="C418" s="19">
        <v>45582</v>
      </c>
      <c r="D418" s="2">
        <v>0.29166666666666669</v>
      </c>
      <c r="E418" s="2">
        <v>0.64583333333333337</v>
      </c>
      <c r="F418">
        <v>30</v>
      </c>
      <c r="G418" s="2">
        <v>0.47916666666666669</v>
      </c>
      <c r="H418">
        <v>8</v>
      </c>
      <c r="I418" t="s">
        <v>100</v>
      </c>
      <c r="J418" t="s">
        <v>101</v>
      </c>
      <c r="K418" t="s">
        <v>192</v>
      </c>
      <c r="L418" t="s">
        <v>127</v>
      </c>
    </row>
    <row r="419" spans="1:12" x14ac:dyDescent="0.2">
      <c r="A419">
        <v>5631</v>
      </c>
      <c r="B419" t="s">
        <v>182</v>
      </c>
      <c r="C419" s="19">
        <v>45582</v>
      </c>
      <c r="D419" s="2">
        <v>0.29166666666666669</v>
      </c>
      <c r="E419" s="2">
        <v>0.64583333333333337</v>
      </c>
      <c r="F419">
        <v>30</v>
      </c>
      <c r="G419" s="2">
        <v>0.47916666666666669</v>
      </c>
      <c r="H419">
        <v>8</v>
      </c>
      <c r="I419" t="s">
        <v>100</v>
      </c>
      <c r="J419" t="s">
        <v>101</v>
      </c>
      <c r="K419" t="s">
        <v>193</v>
      </c>
      <c r="L419" t="s">
        <v>127</v>
      </c>
    </row>
    <row r="420" spans="1:12" x14ac:dyDescent="0.2">
      <c r="A420">
        <v>5782</v>
      </c>
      <c r="B420" t="s">
        <v>164</v>
      </c>
      <c r="C420" s="19">
        <v>45582</v>
      </c>
      <c r="D420" s="2">
        <v>0.29166666666666669</v>
      </c>
      <c r="E420" s="2">
        <v>0.5625</v>
      </c>
      <c r="F420">
        <v>30</v>
      </c>
      <c r="G420" s="2">
        <v>0.47916666666666669</v>
      </c>
      <c r="H420">
        <v>6</v>
      </c>
      <c r="I420" t="s">
        <v>100</v>
      </c>
      <c r="J420" t="s">
        <v>101</v>
      </c>
      <c r="K420" t="s">
        <v>194</v>
      </c>
      <c r="L420" t="s">
        <v>127</v>
      </c>
    </row>
    <row r="421" spans="1:12" x14ac:dyDescent="0.2">
      <c r="A421">
        <v>5786</v>
      </c>
      <c r="B421" t="s">
        <v>162</v>
      </c>
      <c r="C421" s="19">
        <v>45582</v>
      </c>
      <c r="D421" s="2">
        <v>0.29166666666666669</v>
      </c>
      <c r="E421" s="2">
        <v>0.5625</v>
      </c>
      <c r="F421">
        <v>30</v>
      </c>
      <c r="G421" s="2">
        <v>0.5</v>
      </c>
      <c r="H421">
        <v>6</v>
      </c>
      <c r="I421" t="s">
        <v>100</v>
      </c>
      <c r="J421" t="s">
        <v>101</v>
      </c>
      <c r="K421" t="s">
        <v>196</v>
      </c>
      <c r="L421" t="s">
        <v>127</v>
      </c>
    </row>
    <row r="422" spans="1:12" x14ac:dyDescent="0.2">
      <c r="A422">
        <v>617</v>
      </c>
      <c r="B422" t="s">
        <v>115</v>
      </c>
      <c r="C422" s="19">
        <v>45582</v>
      </c>
      <c r="D422" s="2">
        <v>0.29166666666666669</v>
      </c>
      <c r="E422" s="2">
        <v>0.64583333333333337</v>
      </c>
      <c r="F422">
        <v>30</v>
      </c>
      <c r="G422" s="2">
        <v>0.5</v>
      </c>
      <c r="H422">
        <v>8</v>
      </c>
      <c r="I422" t="s">
        <v>100</v>
      </c>
      <c r="J422" t="s">
        <v>101</v>
      </c>
      <c r="K422" t="s">
        <v>103</v>
      </c>
      <c r="L422" t="s">
        <v>114</v>
      </c>
    </row>
    <row r="423" spans="1:12" x14ac:dyDescent="0.2">
      <c r="A423">
        <v>5707</v>
      </c>
      <c r="B423" t="s">
        <v>119</v>
      </c>
      <c r="C423" s="19">
        <v>45582</v>
      </c>
      <c r="D423" s="2">
        <v>0.29166666666666669</v>
      </c>
      <c r="E423" s="2">
        <v>0.64583333333333337</v>
      </c>
      <c r="F423">
        <v>30</v>
      </c>
      <c r="G423" s="2">
        <v>0.5</v>
      </c>
      <c r="H423">
        <v>8</v>
      </c>
      <c r="I423" t="s">
        <v>100</v>
      </c>
      <c r="J423" t="s">
        <v>101</v>
      </c>
      <c r="K423" t="s">
        <v>112</v>
      </c>
      <c r="L423" t="s">
        <v>114</v>
      </c>
    </row>
    <row r="424" spans="1:12" x14ac:dyDescent="0.2">
      <c r="A424">
        <v>5836</v>
      </c>
      <c r="B424" t="s">
        <v>209</v>
      </c>
      <c r="C424" s="19">
        <v>45582</v>
      </c>
      <c r="D424" s="2">
        <v>0.29166666666666669</v>
      </c>
      <c r="E424" s="2">
        <v>0.64583333333333337</v>
      </c>
      <c r="F424">
        <v>30</v>
      </c>
      <c r="G424" s="2">
        <v>0.5</v>
      </c>
      <c r="H424">
        <v>8</v>
      </c>
      <c r="I424" t="s">
        <v>100</v>
      </c>
      <c r="J424" t="s">
        <v>101</v>
      </c>
      <c r="K424" t="s">
        <v>103</v>
      </c>
      <c r="L424" t="s">
        <v>102</v>
      </c>
    </row>
    <row r="425" spans="1:12" x14ac:dyDescent="0.2">
      <c r="A425">
        <v>5538</v>
      </c>
      <c r="B425" t="s">
        <v>104</v>
      </c>
      <c r="C425" s="19">
        <v>45582</v>
      </c>
      <c r="D425" s="2">
        <v>0.29166666666666669</v>
      </c>
      <c r="E425" s="2">
        <v>0.64583333333333337</v>
      </c>
      <c r="F425">
        <v>30</v>
      </c>
      <c r="G425" s="2">
        <v>0.5</v>
      </c>
      <c r="H425">
        <v>8</v>
      </c>
      <c r="I425" t="s">
        <v>100</v>
      </c>
      <c r="J425" t="s">
        <v>101</v>
      </c>
      <c r="K425" t="s">
        <v>103</v>
      </c>
      <c r="L425" t="s">
        <v>102</v>
      </c>
    </row>
    <row r="426" spans="1:12" x14ac:dyDescent="0.2">
      <c r="A426">
        <v>4947</v>
      </c>
      <c r="B426" t="s">
        <v>110</v>
      </c>
      <c r="C426" s="19">
        <v>45582</v>
      </c>
      <c r="D426" s="2">
        <v>0.29166666666666669</v>
      </c>
      <c r="E426" s="2">
        <v>0.64583333333333337</v>
      </c>
      <c r="F426">
        <v>30</v>
      </c>
      <c r="G426" s="2">
        <v>0.5</v>
      </c>
      <c r="H426">
        <v>8</v>
      </c>
      <c r="I426" t="s">
        <v>100</v>
      </c>
      <c r="J426" t="s">
        <v>101</v>
      </c>
      <c r="K426" t="s">
        <v>112</v>
      </c>
      <c r="L426" t="s">
        <v>102</v>
      </c>
    </row>
    <row r="427" spans="1:12" x14ac:dyDescent="0.2">
      <c r="A427">
        <v>5667</v>
      </c>
      <c r="B427" t="s">
        <v>106</v>
      </c>
      <c r="C427" s="19">
        <v>45582</v>
      </c>
      <c r="D427" s="2">
        <v>0.29166666666666669</v>
      </c>
      <c r="E427" s="2">
        <v>0.9375</v>
      </c>
      <c r="F427">
        <v>60</v>
      </c>
      <c r="G427" s="2">
        <v>0.70833333333333337</v>
      </c>
      <c r="H427">
        <v>14.5</v>
      </c>
      <c r="I427" t="s">
        <v>100</v>
      </c>
      <c r="J427" t="s">
        <v>101</v>
      </c>
      <c r="K427" t="s">
        <v>112</v>
      </c>
      <c r="L427" t="s">
        <v>102</v>
      </c>
    </row>
    <row r="428" spans="1:12" x14ac:dyDescent="0.2">
      <c r="A428">
        <v>3572</v>
      </c>
      <c r="B428" t="s">
        <v>156</v>
      </c>
      <c r="C428" s="19">
        <v>45582</v>
      </c>
      <c r="D428" s="2">
        <v>0.5625</v>
      </c>
      <c r="E428" s="2">
        <v>0.88541666666666663</v>
      </c>
      <c r="F428">
        <v>30</v>
      </c>
      <c r="G428" s="2">
        <v>0.72916666666666663</v>
      </c>
      <c r="H428">
        <v>7.25</v>
      </c>
      <c r="I428" t="s">
        <v>100</v>
      </c>
      <c r="J428" t="s">
        <v>101</v>
      </c>
      <c r="K428" t="s">
        <v>192</v>
      </c>
      <c r="L428" t="s">
        <v>127</v>
      </c>
    </row>
    <row r="429" spans="1:12" x14ac:dyDescent="0.2">
      <c r="A429">
        <v>5407</v>
      </c>
      <c r="B429" t="s">
        <v>205</v>
      </c>
      <c r="C429" s="19">
        <v>45582</v>
      </c>
      <c r="D429" s="2">
        <v>0.58333333333333337</v>
      </c>
      <c r="E429" s="2">
        <v>0.9375</v>
      </c>
      <c r="F429">
        <v>30</v>
      </c>
      <c r="G429" s="2">
        <v>0.72916666666666663</v>
      </c>
      <c r="H429">
        <v>8</v>
      </c>
      <c r="I429" t="s">
        <v>100</v>
      </c>
      <c r="J429" t="s">
        <v>101</v>
      </c>
      <c r="K429" t="s">
        <v>112</v>
      </c>
      <c r="L429" t="s">
        <v>102</v>
      </c>
    </row>
    <row r="430" spans="1:12" x14ac:dyDescent="0.2">
      <c r="A430">
        <v>5682</v>
      </c>
      <c r="B430" t="s">
        <v>105</v>
      </c>
      <c r="C430" s="19">
        <v>45582</v>
      </c>
      <c r="D430" s="2">
        <v>0.58333333333333337</v>
      </c>
      <c r="E430" s="2">
        <v>0.9375</v>
      </c>
      <c r="F430">
        <v>30</v>
      </c>
      <c r="G430" s="2">
        <v>0.72916666666666663</v>
      </c>
      <c r="H430">
        <v>8</v>
      </c>
      <c r="I430" t="s">
        <v>100</v>
      </c>
      <c r="J430" t="s">
        <v>101</v>
      </c>
      <c r="K430" t="s">
        <v>103</v>
      </c>
      <c r="L430" t="s">
        <v>102</v>
      </c>
    </row>
    <row r="431" spans="1:12" x14ac:dyDescent="0.2">
      <c r="A431">
        <v>5531</v>
      </c>
      <c r="B431" t="s">
        <v>132</v>
      </c>
      <c r="C431" s="19">
        <v>45582</v>
      </c>
      <c r="D431" s="2">
        <v>0.63541666666666663</v>
      </c>
      <c r="E431" s="2">
        <v>0.88541666666666663</v>
      </c>
      <c r="F431">
        <v>30</v>
      </c>
      <c r="G431" s="2">
        <v>0.72916666666666663</v>
      </c>
      <c r="H431">
        <v>5.5</v>
      </c>
      <c r="I431" t="s">
        <v>100</v>
      </c>
      <c r="J431" t="s">
        <v>101</v>
      </c>
      <c r="K431" t="s">
        <v>126</v>
      </c>
      <c r="L431" t="s">
        <v>127</v>
      </c>
    </row>
    <row r="432" spans="1:12" x14ac:dyDescent="0.2">
      <c r="A432">
        <v>4859</v>
      </c>
      <c r="B432" t="s">
        <v>113</v>
      </c>
      <c r="C432" s="19">
        <v>45582</v>
      </c>
      <c r="D432" s="2">
        <v>0.63541666666666663</v>
      </c>
      <c r="E432" s="2">
        <v>0.88541666666666663</v>
      </c>
      <c r="F432">
        <v>30</v>
      </c>
      <c r="G432" s="2">
        <v>0.86458333333333337</v>
      </c>
      <c r="H432">
        <v>5.5</v>
      </c>
      <c r="I432" t="s">
        <v>100</v>
      </c>
      <c r="J432" t="s">
        <v>101</v>
      </c>
      <c r="K432" t="s">
        <v>153</v>
      </c>
      <c r="L432" t="s">
        <v>127</v>
      </c>
    </row>
    <row r="433" spans="1:12" x14ac:dyDescent="0.2">
      <c r="A433">
        <v>5835</v>
      </c>
      <c r="B433" t="s">
        <v>215</v>
      </c>
      <c r="C433" s="19">
        <v>45582</v>
      </c>
      <c r="D433" s="2">
        <v>0.63541666666666663</v>
      </c>
      <c r="E433" s="2">
        <v>0.94791666666666663</v>
      </c>
      <c r="F433">
        <v>30</v>
      </c>
      <c r="G433" s="2">
        <v>0.72916666666666663</v>
      </c>
      <c r="H433">
        <v>7</v>
      </c>
      <c r="I433" t="s">
        <v>100</v>
      </c>
      <c r="J433" t="s">
        <v>101</v>
      </c>
      <c r="K433" t="s">
        <v>157</v>
      </c>
      <c r="L433" t="s">
        <v>127</v>
      </c>
    </row>
    <row r="434" spans="1:12" x14ac:dyDescent="0.2">
      <c r="A434">
        <v>5810</v>
      </c>
      <c r="B434" t="s">
        <v>213</v>
      </c>
      <c r="C434" s="19">
        <v>45582</v>
      </c>
      <c r="D434" s="2">
        <v>0.63541666666666663</v>
      </c>
      <c r="E434" s="2">
        <v>0.94791666666666663</v>
      </c>
      <c r="F434">
        <v>30</v>
      </c>
      <c r="G434" s="2">
        <v>0.72916666666666663</v>
      </c>
      <c r="H434">
        <v>7</v>
      </c>
      <c r="I434" t="s">
        <v>100</v>
      </c>
      <c r="J434" t="s">
        <v>101</v>
      </c>
      <c r="K434" t="s">
        <v>168</v>
      </c>
      <c r="L434" t="s">
        <v>127</v>
      </c>
    </row>
    <row r="435" spans="1:12" x14ac:dyDescent="0.2">
      <c r="A435">
        <v>5745</v>
      </c>
      <c r="B435" t="s">
        <v>176</v>
      </c>
      <c r="C435" s="19">
        <v>45582</v>
      </c>
      <c r="D435" s="2">
        <v>0.63541666666666663</v>
      </c>
      <c r="E435" s="2">
        <v>0.88541666666666663</v>
      </c>
      <c r="F435">
        <v>30</v>
      </c>
      <c r="G435" s="2">
        <v>0.72916666666666663</v>
      </c>
      <c r="H435">
        <v>5.5</v>
      </c>
      <c r="I435" t="s">
        <v>100</v>
      </c>
      <c r="J435" t="s">
        <v>101</v>
      </c>
      <c r="K435" t="s">
        <v>175</v>
      </c>
      <c r="L435" t="s">
        <v>127</v>
      </c>
    </row>
    <row r="436" spans="1:12" x14ac:dyDescent="0.2">
      <c r="A436">
        <v>5697</v>
      </c>
      <c r="B436" t="s">
        <v>150</v>
      </c>
      <c r="C436" s="19">
        <v>45582</v>
      </c>
      <c r="D436" s="2">
        <v>0.63541666666666663</v>
      </c>
      <c r="E436" s="2">
        <v>0.94791666666666663</v>
      </c>
      <c r="F436">
        <v>30</v>
      </c>
      <c r="G436" s="2">
        <v>0.72916666666666663</v>
      </c>
      <c r="H436">
        <v>7</v>
      </c>
      <c r="I436" t="s">
        <v>100</v>
      </c>
      <c r="J436" t="s">
        <v>101</v>
      </c>
      <c r="K436" t="s">
        <v>179</v>
      </c>
      <c r="L436" t="s">
        <v>127</v>
      </c>
    </row>
    <row r="437" spans="1:12" x14ac:dyDescent="0.2">
      <c r="A437">
        <v>5624</v>
      </c>
      <c r="B437" t="s">
        <v>169</v>
      </c>
      <c r="C437" s="19">
        <v>45582</v>
      </c>
      <c r="D437" s="2">
        <v>0.63541666666666663</v>
      </c>
      <c r="E437" s="2">
        <v>0.88541666666666663</v>
      </c>
      <c r="F437">
        <v>30</v>
      </c>
      <c r="G437" s="2">
        <v>0.72916666666666663</v>
      </c>
      <c r="H437">
        <v>5.5</v>
      </c>
      <c r="I437" t="s">
        <v>100</v>
      </c>
      <c r="J437" t="s">
        <v>101</v>
      </c>
      <c r="K437" t="s">
        <v>184</v>
      </c>
      <c r="L437" t="s">
        <v>127</v>
      </c>
    </row>
    <row r="438" spans="1:12" x14ac:dyDescent="0.2">
      <c r="A438">
        <v>5520</v>
      </c>
      <c r="B438" t="s">
        <v>170</v>
      </c>
      <c r="C438" s="19">
        <v>45582</v>
      </c>
      <c r="D438" s="2">
        <v>0.63541666666666663</v>
      </c>
      <c r="E438" s="2">
        <v>0.94791666666666663</v>
      </c>
      <c r="F438">
        <v>30</v>
      </c>
      <c r="G438" s="2">
        <v>0.72916666666666663</v>
      </c>
      <c r="H438">
        <v>7</v>
      </c>
      <c r="I438" t="s">
        <v>100</v>
      </c>
      <c r="J438" t="s">
        <v>101</v>
      </c>
      <c r="K438" t="s">
        <v>185</v>
      </c>
      <c r="L438" t="s">
        <v>127</v>
      </c>
    </row>
    <row r="439" spans="1:12" x14ac:dyDescent="0.2">
      <c r="A439">
        <v>5574</v>
      </c>
      <c r="B439" t="s">
        <v>154</v>
      </c>
      <c r="C439" s="19">
        <v>45582</v>
      </c>
      <c r="D439" s="2">
        <v>0.63541666666666663</v>
      </c>
      <c r="E439" s="2">
        <v>0.88541666666666663</v>
      </c>
      <c r="F439">
        <v>30</v>
      </c>
      <c r="G439" s="2">
        <v>0.72916666666666663</v>
      </c>
      <c r="H439">
        <v>5.5</v>
      </c>
      <c r="I439" t="s">
        <v>100</v>
      </c>
      <c r="J439" t="s">
        <v>101</v>
      </c>
      <c r="K439" t="s">
        <v>187</v>
      </c>
      <c r="L439" t="s">
        <v>127</v>
      </c>
    </row>
    <row r="440" spans="1:12" x14ac:dyDescent="0.2">
      <c r="A440">
        <v>1581</v>
      </c>
      <c r="B440" t="s">
        <v>136</v>
      </c>
      <c r="C440" s="19">
        <v>45582</v>
      </c>
      <c r="D440" s="2">
        <v>0.63541666666666663</v>
      </c>
      <c r="E440" s="2">
        <v>0.94791666666666663</v>
      </c>
      <c r="F440">
        <v>30</v>
      </c>
      <c r="G440" s="2">
        <v>0.72916666666666663</v>
      </c>
      <c r="H440">
        <v>7</v>
      </c>
      <c r="I440" t="s">
        <v>100</v>
      </c>
      <c r="J440" t="s">
        <v>101</v>
      </c>
      <c r="K440" t="s">
        <v>189</v>
      </c>
      <c r="L440" t="s">
        <v>127</v>
      </c>
    </row>
    <row r="441" spans="1:12" x14ac:dyDescent="0.2">
      <c r="A441">
        <v>5787</v>
      </c>
      <c r="B441" t="s">
        <v>130</v>
      </c>
      <c r="C441" s="19">
        <v>45582</v>
      </c>
      <c r="D441" s="2">
        <v>0.63541666666666663</v>
      </c>
      <c r="E441" s="2">
        <v>0.88541666666666663</v>
      </c>
      <c r="F441">
        <v>30</v>
      </c>
      <c r="G441" s="2">
        <v>0.72916666666666663</v>
      </c>
      <c r="H441">
        <v>5.5</v>
      </c>
      <c r="I441" t="s">
        <v>100</v>
      </c>
      <c r="J441" t="s">
        <v>101</v>
      </c>
      <c r="K441" t="s">
        <v>193</v>
      </c>
      <c r="L441" t="s">
        <v>127</v>
      </c>
    </row>
    <row r="442" spans="1:12" x14ac:dyDescent="0.2">
      <c r="A442">
        <v>5399</v>
      </c>
      <c r="B442" t="s">
        <v>122</v>
      </c>
      <c r="C442" s="19">
        <v>45582</v>
      </c>
      <c r="D442" s="2">
        <v>0.63541666666666663</v>
      </c>
      <c r="E442" s="2">
        <v>0.88541666666666663</v>
      </c>
      <c r="F442">
        <v>30</v>
      </c>
      <c r="G442" s="2">
        <v>0.72916666666666663</v>
      </c>
      <c r="H442">
        <v>5.5</v>
      </c>
      <c r="I442" t="s">
        <v>100</v>
      </c>
      <c r="J442" t="s">
        <v>101</v>
      </c>
      <c r="K442" t="s">
        <v>194</v>
      </c>
      <c r="L442" t="s">
        <v>127</v>
      </c>
    </row>
    <row r="443" spans="1:12" x14ac:dyDescent="0.2">
      <c r="A443">
        <v>646</v>
      </c>
      <c r="B443" t="s">
        <v>124</v>
      </c>
      <c r="C443" s="19">
        <v>45582</v>
      </c>
      <c r="D443" s="2">
        <v>0.63541666666666663</v>
      </c>
      <c r="E443" s="2">
        <v>0.88541666666666663</v>
      </c>
      <c r="F443">
        <v>30</v>
      </c>
      <c r="G443" s="2">
        <v>0.72916666666666663</v>
      </c>
      <c r="H443">
        <v>5.5</v>
      </c>
      <c r="I443" t="s">
        <v>100</v>
      </c>
      <c r="J443" t="s">
        <v>101</v>
      </c>
      <c r="K443" t="s">
        <v>112</v>
      </c>
      <c r="L443" t="s">
        <v>114</v>
      </c>
    </row>
    <row r="444" spans="1:12" x14ac:dyDescent="0.2">
      <c r="A444">
        <v>5496</v>
      </c>
      <c r="B444" t="s">
        <v>167</v>
      </c>
      <c r="C444" s="19">
        <v>45582</v>
      </c>
      <c r="D444" s="2">
        <v>0.63541666666666663</v>
      </c>
      <c r="E444" s="2">
        <v>0.94791666666666663</v>
      </c>
      <c r="F444">
        <v>30</v>
      </c>
      <c r="G444" s="2">
        <v>0.72916666666666663</v>
      </c>
      <c r="H444">
        <v>7</v>
      </c>
      <c r="I444" t="s">
        <v>100</v>
      </c>
      <c r="J444" t="s">
        <v>101</v>
      </c>
      <c r="K444" t="s">
        <v>123</v>
      </c>
      <c r="L444" t="s">
        <v>114</v>
      </c>
    </row>
    <row r="445" spans="1:12" x14ac:dyDescent="0.2">
      <c r="A445">
        <v>2564</v>
      </c>
      <c r="B445" t="s">
        <v>208</v>
      </c>
      <c r="C445" s="19">
        <v>45582</v>
      </c>
      <c r="D445" s="2">
        <v>0.90625</v>
      </c>
      <c r="E445" s="2">
        <v>0.30208333333333331</v>
      </c>
      <c r="F445">
        <v>0</v>
      </c>
      <c r="G445" s="2"/>
      <c r="H445">
        <v>9.5</v>
      </c>
      <c r="I445" t="s">
        <v>100</v>
      </c>
      <c r="J445" t="s">
        <v>101</v>
      </c>
      <c r="K445" t="s">
        <v>91</v>
      </c>
      <c r="L445" t="s">
        <v>102</v>
      </c>
    </row>
    <row r="446" spans="1:12" x14ac:dyDescent="0.2">
      <c r="A446">
        <v>5829</v>
      </c>
      <c r="B446" t="s">
        <v>212</v>
      </c>
      <c r="C446" s="19">
        <v>45582</v>
      </c>
      <c r="D446" s="2">
        <v>0.9375</v>
      </c>
      <c r="E446" s="2">
        <v>0.30208333333333331</v>
      </c>
      <c r="F446">
        <v>30</v>
      </c>
      <c r="G446" s="2">
        <v>0.14583333333333334</v>
      </c>
      <c r="H446">
        <v>8.25</v>
      </c>
      <c r="I446" t="s">
        <v>100</v>
      </c>
      <c r="J446" t="s">
        <v>101</v>
      </c>
      <c r="K446" t="s">
        <v>139</v>
      </c>
      <c r="L446" t="s">
        <v>127</v>
      </c>
    </row>
    <row r="447" spans="1:12" x14ac:dyDescent="0.2">
      <c r="A447">
        <v>5653</v>
      </c>
      <c r="B447" t="s">
        <v>143</v>
      </c>
      <c r="C447" s="19">
        <v>45582</v>
      </c>
      <c r="D447" s="2">
        <v>0.9375</v>
      </c>
      <c r="E447" s="2">
        <v>0.30208333333333331</v>
      </c>
      <c r="F447">
        <v>30</v>
      </c>
      <c r="G447" s="2">
        <v>0.14583333333333334</v>
      </c>
      <c r="H447">
        <v>8.25</v>
      </c>
      <c r="I447" t="s">
        <v>100</v>
      </c>
      <c r="J447" t="s">
        <v>101</v>
      </c>
      <c r="K447" t="s">
        <v>147</v>
      </c>
      <c r="L447" t="s">
        <v>127</v>
      </c>
    </row>
    <row r="448" spans="1:12" x14ac:dyDescent="0.2">
      <c r="A448">
        <v>5621</v>
      </c>
      <c r="B448" t="s">
        <v>144</v>
      </c>
      <c r="C448" s="19">
        <v>45582</v>
      </c>
      <c r="D448" s="2">
        <v>0.9375</v>
      </c>
      <c r="E448" s="2">
        <v>0.30208333333333331</v>
      </c>
      <c r="F448">
        <v>30</v>
      </c>
      <c r="G448" s="2">
        <v>0.14583333333333334</v>
      </c>
      <c r="H448">
        <v>8.25</v>
      </c>
      <c r="I448" t="s">
        <v>100</v>
      </c>
      <c r="J448" t="s">
        <v>101</v>
      </c>
      <c r="K448" t="s">
        <v>168</v>
      </c>
      <c r="L448" t="s">
        <v>127</v>
      </c>
    </row>
    <row r="449" spans="1:12" x14ac:dyDescent="0.2">
      <c r="A449">
        <v>5503</v>
      </c>
      <c r="B449" t="s">
        <v>142</v>
      </c>
      <c r="C449" s="19">
        <v>45582</v>
      </c>
      <c r="D449" s="2">
        <v>0.9375</v>
      </c>
      <c r="E449" s="2">
        <v>0.30208333333333331</v>
      </c>
      <c r="F449">
        <v>30</v>
      </c>
      <c r="G449" s="2">
        <v>0.14583333333333334</v>
      </c>
      <c r="H449">
        <v>8.25</v>
      </c>
      <c r="I449" t="s">
        <v>100</v>
      </c>
      <c r="J449" t="s">
        <v>101</v>
      </c>
      <c r="K449" t="s">
        <v>179</v>
      </c>
      <c r="L449" t="s">
        <v>127</v>
      </c>
    </row>
    <row r="450" spans="1:12" x14ac:dyDescent="0.2">
      <c r="A450">
        <v>1941</v>
      </c>
      <c r="B450" t="s">
        <v>138</v>
      </c>
      <c r="C450" s="19">
        <v>45582</v>
      </c>
      <c r="D450" s="2">
        <v>0.9375</v>
      </c>
      <c r="E450" s="2">
        <v>0.30208333333333331</v>
      </c>
      <c r="F450">
        <v>30</v>
      </c>
      <c r="G450" s="2">
        <v>0.14583333333333334</v>
      </c>
      <c r="H450">
        <v>8.25</v>
      </c>
      <c r="I450" t="s">
        <v>100</v>
      </c>
      <c r="J450" t="s">
        <v>101</v>
      </c>
      <c r="K450" t="s">
        <v>185</v>
      </c>
      <c r="L450" t="s">
        <v>127</v>
      </c>
    </row>
    <row r="451" spans="1:12" x14ac:dyDescent="0.2">
      <c r="A451">
        <v>110</v>
      </c>
      <c r="B451" t="s">
        <v>140</v>
      </c>
      <c r="C451" s="19">
        <v>45582</v>
      </c>
      <c r="D451" s="2">
        <v>0.9375</v>
      </c>
      <c r="E451" s="2">
        <v>0.30208333333333331</v>
      </c>
      <c r="F451">
        <v>30</v>
      </c>
      <c r="G451" s="2">
        <v>0.14583333333333334</v>
      </c>
      <c r="H451">
        <v>8.25</v>
      </c>
      <c r="I451" t="s">
        <v>100</v>
      </c>
      <c r="J451" t="s">
        <v>101</v>
      </c>
      <c r="K451" t="s">
        <v>197</v>
      </c>
      <c r="L451" t="s">
        <v>127</v>
      </c>
    </row>
    <row r="452" spans="1:12" x14ac:dyDescent="0.2">
      <c r="A452">
        <v>5690</v>
      </c>
      <c r="B452" t="s">
        <v>174</v>
      </c>
      <c r="C452" s="19">
        <v>45583</v>
      </c>
      <c r="D452" s="2">
        <v>0.29166666666666669</v>
      </c>
      <c r="E452" s="2">
        <v>0.5625</v>
      </c>
      <c r="F452">
        <v>30</v>
      </c>
      <c r="G452" s="2">
        <v>0.5</v>
      </c>
      <c r="H452">
        <v>6</v>
      </c>
      <c r="I452" t="s">
        <v>100</v>
      </c>
      <c r="J452" t="s">
        <v>101</v>
      </c>
      <c r="K452" t="s">
        <v>126</v>
      </c>
      <c r="L452" t="s">
        <v>127</v>
      </c>
    </row>
    <row r="453" spans="1:12" x14ac:dyDescent="0.2">
      <c r="A453">
        <v>5399</v>
      </c>
      <c r="B453" t="s">
        <v>122</v>
      </c>
      <c r="C453" s="19">
        <v>45583</v>
      </c>
      <c r="D453" s="2">
        <v>0.29166666666666669</v>
      </c>
      <c r="E453" s="2">
        <v>0.5625</v>
      </c>
      <c r="F453">
        <v>30</v>
      </c>
      <c r="G453" s="2">
        <v>0.5</v>
      </c>
      <c r="H453">
        <v>6</v>
      </c>
      <c r="I453" t="s">
        <v>100</v>
      </c>
      <c r="J453" t="s">
        <v>101</v>
      </c>
      <c r="K453" t="s">
        <v>157</v>
      </c>
      <c r="L453" t="s">
        <v>127</v>
      </c>
    </row>
    <row r="454" spans="1:12" x14ac:dyDescent="0.2">
      <c r="A454">
        <v>5810</v>
      </c>
      <c r="B454" t="s">
        <v>213</v>
      </c>
      <c r="C454" s="19">
        <v>45583</v>
      </c>
      <c r="D454" s="2">
        <v>0.29166666666666669</v>
      </c>
      <c r="E454" s="2">
        <v>0.64583333333333337</v>
      </c>
      <c r="F454">
        <v>30</v>
      </c>
      <c r="G454" s="2">
        <v>0.5</v>
      </c>
      <c r="H454">
        <v>8</v>
      </c>
      <c r="I454" t="s">
        <v>100</v>
      </c>
      <c r="J454" t="s">
        <v>101</v>
      </c>
      <c r="K454" t="s">
        <v>157</v>
      </c>
      <c r="L454" t="s">
        <v>127</v>
      </c>
    </row>
    <row r="455" spans="1:12" x14ac:dyDescent="0.2">
      <c r="A455">
        <v>2720</v>
      </c>
      <c r="B455" t="s">
        <v>173</v>
      </c>
      <c r="C455" s="19">
        <v>45583</v>
      </c>
      <c r="D455" s="2">
        <v>0.29166666666666669</v>
      </c>
      <c r="E455" s="2">
        <v>0.64583333333333337</v>
      </c>
      <c r="F455">
        <v>30</v>
      </c>
      <c r="G455" s="2">
        <v>0.47916666666666669</v>
      </c>
      <c r="H455">
        <v>8</v>
      </c>
      <c r="I455" t="s">
        <v>100</v>
      </c>
      <c r="J455" t="s">
        <v>101</v>
      </c>
      <c r="K455" t="s">
        <v>168</v>
      </c>
      <c r="L455" t="s">
        <v>127</v>
      </c>
    </row>
    <row r="456" spans="1:12" x14ac:dyDescent="0.2">
      <c r="A456">
        <v>618</v>
      </c>
      <c r="B456" t="s">
        <v>218</v>
      </c>
      <c r="C456" s="19">
        <v>45583</v>
      </c>
      <c r="D456" s="2">
        <v>0.29166666666666669</v>
      </c>
      <c r="E456" s="2">
        <v>0.64583333333333337</v>
      </c>
      <c r="F456">
        <v>30</v>
      </c>
      <c r="G456" s="2">
        <v>0.47916666666666669</v>
      </c>
      <c r="H456">
        <v>8</v>
      </c>
      <c r="I456" t="s">
        <v>100</v>
      </c>
      <c r="J456" t="s">
        <v>101</v>
      </c>
      <c r="K456" t="s">
        <v>175</v>
      </c>
      <c r="L456" t="s">
        <v>127</v>
      </c>
    </row>
    <row r="457" spans="1:12" x14ac:dyDescent="0.2">
      <c r="A457">
        <v>5831</v>
      </c>
      <c r="B457" t="s">
        <v>217</v>
      </c>
      <c r="C457" s="19">
        <v>45583</v>
      </c>
      <c r="D457" s="2">
        <v>0.29166666666666669</v>
      </c>
      <c r="E457" s="2">
        <v>0.5625</v>
      </c>
      <c r="F457">
        <v>30</v>
      </c>
      <c r="G457" s="2">
        <v>0.47916666666666669</v>
      </c>
      <c r="H457">
        <v>6</v>
      </c>
      <c r="I457" t="s">
        <v>100</v>
      </c>
      <c r="J457" t="s">
        <v>101</v>
      </c>
      <c r="K457" t="s">
        <v>178</v>
      </c>
      <c r="L457" t="s">
        <v>127</v>
      </c>
    </row>
    <row r="458" spans="1:12" x14ac:dyDescent="0.2">
      <c r="A458">
        <v>5574</v>
      </c>
      <c r="B458" t="s">
        <v>154</v>
      </c>
      <c r="C458" s="19">
        <v>45583</v>
      </c>
      <c r="D458" s="2">
        <v>0.29166666666666669</v>
      </c>
      <c r="E458" s="2">
        <v>0.5625</v>
      </c>
      <c r="F458">
        <v>30</v>
      </c>
      <c r="G458" s="2">
        <v>0.5</v>
      </c>
      <c r="H458">
        <v>6</v>
      </c>
      <c r="I458" t="s">
        <v>100</v>
      </c>
      <c r="J458" t="s">
        <v>101</v>
      </c>
      <c r="K458" t="s">
        <v>179</v>
      </c>
      <c r="L458" t="s">
        <v>127</v>
      </c>
    </row>
    <row r="459" spans="1:12" x14ac:dyDescent="0.2">
      <c r="A459">
        <v>5672</v>
      </c>
      <c r="B459" t="s">
        <v>134</v>
      </c>
      <c r="C459" s="19">
        <v>45583</v>
      </c>
      <c r="D459" s="2">
        <v>0.29166666666666669</v>
      </c>
      <c r="E459" s="2">
        <v>0.64583333333333337</v>
      </c>
      <c r="F459">
        <v>30</v>
      </c>
      <c r="G459" s="2">
        <v>0.47916666666666669</v>
      </c>
      <c r="H459">
        <v>8</v>
      </c>
      <c r="I459" t="s">
        <v>100</v>
      </c>
      <c r="J459" t="s">
        <v>101</v>
      </c>
      <c r="K459" t="s">
        <v>184</v>
      </c>
      <c r="L459" t="s">
        <v>127</v>
      </c>
    </row>
    <row r="460" spans="1:12" x14ac:dyDescent="0.2">
      <c r="A460">
        <v>5291</v>
      </c>
      <c r="B460" t="s">
        <v>177</v>
      </c>
      <c r="C460" s="19">
        <v>45583</v>
      </c>
      <c r="D460" s="2">
        <v>0.29166666666666669</v>
      </c>
      <c r="E460" s="2">
        <v>0.64583333333333337</v>
      </c>
      <c r="F460">
        <v>30</v>
      </c>
      <c r="G460" s="2">
        <v>0.5</v>
      </c>
      <c r="H460">
        <v>8</v>
      </c>
      <c r="I460" t="s">
        <v>100</v>
      </c>
      <c r="J460" t="s">
        <v>101</v>
      </c>
      <c r="K460" t="s">
        <v>185</v>
      </c>
      <c r="L460" t="s">
        <v>127</v>
      </c>
    </row>
    <row r="461" spans="1:12" x14ac:dyDescent="0.2">
      <c r="A461">
        <v>4848</v>
      </c>
      <c r="B461" t="s">
        <v>125</v>
      </c>
      <c r="C461" s="19">
        <v>45583</v>
      </c>
      <c r="D461" s="2">
        <v>0.29166666666666669</v>
      </c>
      <c r="E461" s="2">
        <v>0.64583333333333337</v>
      </c>
      <c r="F461">
        <v>30</v>
      </c>
      <c r="G461" s="2">
        <v>0.47916666666666669</v>
      </c>
      <c r="H461">
        <v>8</v>
      </c>
      <c r="I461" t="s">
        <v>100</v>
      </c>
      <c r="J461" t="s">
        <v>101</v>
      </c>
      <c r="K461" t="s">
        <v>187</v>
      </c>
      <c r="L461" t="s">
        <v>127</v>
      </c>
    </row>
    <row r="462" spans="1:12" x14ac:dyDescent="0.2">
      <c r="A462">
        <v>5661</v>
      </c>
      <c r="B462" t="s">
        <v>133</v>
      </c>
      <c r="C462" s="19">
        <v>45583</v>
      </c>
      <c r="D462" s="2">
        <v>0.29166666666666669</v>
      </c>
      <c r="E462" s="2">
        <v>0.64583333333333337</v>
      </c>
      <c r="F462">
        <v>30</v>
      </c>
      <c r="G462" s="2">
        <v>0.5</v>
      </c>
      <c r="H462">
        <v>8</v>
      </c>
      <c r="I462" t="s">
        <v>100</v>
      </c>
      <c r="J462" t="s">
        <v>101</v>
      </c>
      <c r="K462" t="s">
        <v>188</v>
      </c>
      <c r="L462" t="s">
        <v>127</v>
      </c>
    </row>
    <row r="463" spans="1:12" x14ac:dyDescent="0.2">
      <c r="A463">
        <v>5782</v>
      </c>
      <c r="B463" t="s">
        <v>164</v>
      </c>
      <c r="C463" s="19">
        <v>45583</v>
      </c>
      <c r="D463" s="2">
        <v>0.29166666666666669</v>
      </c>
      <c r="E463" s="2">
        <v>0.64583333333333337</v>
      </c>
      <c r="F463">
        <v>30</v>
      </c>
      <c r="G463" s="2">
        <v>0.47916666666666669</v>
      </c>
      <c r="H463">
        <v>8</v>
      </c>
      <c r="I463" t="s">
        <v>100</v>
      </c>
      <c r="J463" t="s">
        <v>101</v>
      </c>
      <c r="K463" t="s">
        <v>189</v>
      </c>
      <c r="L463" t="s">
        <v>127</v>
      </c>
    </row>
    <row r="464" spans="1:12" x14ac:dyDescent="0.2">
      <c r="A464">
        <v>5779</v>
      </c>
      <c r="B464" t="s">
        <v>163</v>
      </c>
      <c r="C464" s="19">
        <v>45583</v>
      </c>
      <c r="D464" s="2">
        <v>0.29166666666666669</v>
      </c>
      <c r="E464" s="2">
        <v>0.64583333333333337</v>
      </c>
      <c r="F464">
        <v>30</v>
      </c>
      <c r="G464" s="2">
        <v>0.47916666666666669</v>
      </c>
      <c r="H464">
        <v>8</v>
      </c>
      <c r="I464" t="s">
        <v>100</v>
      </c>
      <c r="J464" t="s">
        <v>101</v>
      </c>
      <c r="K464" t="s">
        <v>192</v>
      </c>
      <c r="L464" t="s">
        <v>127</v>
      </c>
    </row>
    <row r="465" spans="1:12" x14ac:dyDescent="0.2">
      <c r="A465">
        <v>5819</v>
      </c>
      <c r="B465" t="s">
        <v>129</v>
      </c>
      <c r="C465" s="19">
        <v>45583</v>
      </c>
      <c r="D465" s="2">
        <v>0.29166666666666669</v>
      </c>
      <c r="E465" s="2">
        <v>0.64583333333333337</v>
      </c>
      <c r="F465">
        <v>30</v>
      </c>
      <c r="G465" s="2">
        <v>0.47916666666666669</v>
      </c>
      <c r="H465">
        <v>8</v>
      </c>
      <c r="I465" t="s">
        <v>100</v>
      </c>
      <c r="J465" t="s">
        <v>101</v>
      </c>
      <c r="K465" t="s">
        <v>193</v>
      </c>
      <c r="L465" t="s">
        <v>127</v>
      </c>
    </row>
    <row r="466" spans="1:12" x14ac:dyDescent="0.2">
      <c r="A466">
        <v>4979</v>
      </c>
      <c r="B466" t="s">
        <v>158</v>
      </c>
      <c r="C466" s="19">
        <v>45583</v>
      </c>
      <c r="D466" s="2">
        <v>0.29166666666666669</v>
      </c>
      <c r="E466" s="2">
        <v>0.5625</v>
      </c>
      <c r="F466">
        <v>30</v>
      </c>
      <c r="G466" s="2">
        <v>0.5</v>
      </c>
      <c r="H466">
        <v>6</v>
      </c>
      <c r="I466" t="s">
        <v>100</v>
      </c>
      <c r="J466" t="s">
        <v>101</v>
      </c>
      <c r="K466" t="s">
        <v>196</v>
      </c>
      <c r="L466" t="s">
        <v>127</v>
      </c>
    </row>
    <row r="467" spans="1:12" x14ac:dyDescent="0.2">
      <c r="A467">
        <v>5631</v>
      </c>
      <c r="B467" t="s">
        <v>182</v>
      </c>
      <c r="C467" s="19">
        <v>45583</v>
      </c>
      <c r="D467" s="2">
        <v>0.29166666666666669</v>
      </c>
      <c r="E467" s="2">
        <v>0.64583333333333337</v>
      </c>
      <c r="F467">
        <v>30</v>
      </c>
      <c r="G467" s="2">
        <v>0.5</v>
      </c>
      <c r="H467">
        <v>8</v>
      </c>
      <c r="I467" t="s">
        <v>100</v>
      </c>
      <c r="J467" t="s">
        <v>101</v>
      </c>
      <c r="K467" t="s">
        <v>103</v>
      </c>
      <c r="L467" t="s">
        <v>114</v>
      </c>
    </row>
    <row r="468" spans="1:12" x14ac:dyDescent="0.2">
      <c r="A468">
        <v>4859</v>
      </c>
      <c r="B468" t="s">
        <v>113</v>
      </c>
      <c r="C468" s="19">
        <v>45583</v>
      </c>
      <c r="D468" s="2">
        <v>0.29166666666666669</v>
      </c>
      <c r="E468" s="2">
        <v>0.64583333333333337</v>
      </c>
      <c r="F468">
        <v>30</v>
      </c>
      <c r="G468" s="2">
        <v>0.5</v>
      </c>
      <c r="H468">
        <v>8</v>
      </c>
      <c r="I468" t="s">
        <v>100</v>
      </c>
      <c r="J468" t="s">
        <v>101</v>
      </c>
      <c r="K468" t="s">
        <v>112</v>
      </c>
      <c r="L468" t="s">
        <v>114</v>
      </c>
    </row>
    <row r="469" spans="1:12" x14ac:dyDescent="0.2">
      <c r="A469">
        <v>5836</v>
      </c>
      <c r="B469" t="s">
        <v>209</v>
      </c>
      <c r="C469" s="19">
        <v>45583</v>
      </c>
      <c r="D469" s="2">
        <v>0.29166666666666669</v>
      </c>
      <c r="E469" s="2">
        <v>0.64583333333333337</v>
      </c>
      <c r="F469">
        <v>30</v>
      </c>
      <c r="G469" s="2">
        <v>0.5</v>
      </c>
      <c r="H469">
        <v>8</v>
      </c>
      <c r="I469" t="s">
        <v>100</v>
      </c>
      <c r="J469" t="s">
        <v>101</v>
      </c>
      <c r="K469" t="s">
        <v>103</v>
      </c>
      <c r="L469" t="s">
        <v>102</v>
      </c>
    </row>
    <row r="470" spans="1:12" x14ac:dyDescent="0.2">
      <c r="A470">
        <v>5538</v>
      </c>
      <c r="B470" t="s">
        <v>104</v>
      </c>
      <c r="C470" s="19">
        <v>45583</v>
      </c>
      <c r="D470" s="2">
        <v>0.29166666666666669</v>
      </c>
      <c r="E470" s="2">
        <v>0.64583333333333337</v>
      </c>
      <c r="F470">
        <v>30</v>
      </c>
      <c r="G470" s="2">
        <v>0.5</v>
      </c>
      <c r="H470">
        <v>8</v>
      </c>
      <c r="I470" t="s">
        <v>100</v>
      </c>
      <c r="J470" t="s">
        <v>101</v>
      </c>
      <c r="K470" t="s">
        <v>103</v>
      </c>
      <c r="L470" t="s">
        <v>102</v>
      </c>
    </row>
    <row r="471" spans="1:12" x14ac:dyDescent="0.2">
      <c r="A471">
        <v>4947</v>
      </c>
      <c r="B471" t="s">
        <v>110</v>
      </c>
      <c r="C471" s="19">
        <v>45583</v>
      </c>
      <c r="D471" s="2">
        <v>0.29166666666666669</v>
      </c>
      <c r="E471" s="2">
        <v>0.5625</v>
      </c>
      <c r="F471">
        <v>30</v>
      </c>
      <c r="G471" s="2">
        <v>0.5</v>
      </c>
      <c r="H471">
        <v>6</v>
      </c>
      <c r="I471" t="s">
        <v>100</v>
      </c>
      <c r="J471" t="s">
        <v>101</v>
      </c>
      <c r="K471" t="s">
        <v>112</v>
      </c>
      <c r="L471" t="s">
        <v>102</v>
      </c>
    </row>
    <row r="472" spans="1:12" x14ac:dyDescent="0.2">
      <c r="A472">
        <v>5667</v>
      </c>
      <c r="B472" t="s">
        <v>106</v>
      </c>
      <c r="C472" s="19">
        <v>45583</v>
      </c>
      <c r="D472" s="2">
        <v>0.35416666666666669</v>
      </c>
      <c r="E472" s="2">
        <v>0.64583333333333337</v>
      </c>
      <c r="F472">
        <v>30</v>
      </c>
      <c r="G472" s="2">
        <v>0.5</v>
      </c>
      <c r="H472">
        <v>6.5</v>
      </c>
      <c r="I472" t="s">
        <v>100</v>
      </c>
      <c r="J472" t="s">
        <v>101</v>
      </c>
      <c r="K472" t="s">
        <v>112</v>
      </c>
      <c r="L472" t="s">
        <v>102</v>
      </c>
    </row>
    <row r="473" spans="1:12" x14ac:dyDescent="0.2">
      <c r="A473">
        <v>5407</v>
      </c>
      <c r="B473" t="s">
        <v>205</v>
      </c>
      <c r="C473" s="19">
        <v>45583</v>
      </c>
      <c r="D473" s="2">
        <v>0.58333333333333337</v>
      </c>
      <c r="E473" s="2">
        <v>0.9375</v>
      </c>
      <c r="F473">
        <v>30</v>
      </c>
      <c r="G473" s="2">
        <v>0.72916666666666663</v>
      </c>
      <c r="H473">
        <v>8</v>
      </c>
      <c r="I473" t="s">
        <v>100</v>
      </c>
      <c r="J473" t="s">
        <v>101</v>
      </c>
      <c r="K473" t="s">
        <v>112</v>
      </c>
      <c r="L473" t="s">
        <v>102</v>
      </c>
    </row>
    <row r="474" spans="1:12" x14ac:dyDescent="0.2">
      <c r="A474">
        <v>5682</v>
      </c>
      <c r="B474" t="s">
        <v>105</v>
      </c>
      <c r="C474" s="19">
        <v>45583</v>
      </c>
      <c r="D474" s="2">
        <v>0.58333333333333337</v>
      </c>
      <c r="E474" s="2">
        <v>0.9375</v>
      </c>
      <c r="F474">
        <v>30</v>
      </c>
      <c r="G474" s="2">
        <v>0.72916666666666663</v>
      </c>
      <c r="H474">
        <v>8</v>
      </c>
      <c r="I474" t="s">
        <v>100</v>
      </c>
      <c r="J474" t="s">
        <v>101</v>
      </c>
      <c r="K474" t="s">
        <v>103</v>
      </c>
      <c r="L474" t="s">
        <v>102</v>
      </c>
    </row>
    <row r="475" spans="1:12" x14ac:dyDescent="0.2">
      <c r="A475">
        <v>5787</v>
      </c>
      <c r="B475" t="s">
        <v>130</v>
      </c>
      <c r="C475" s="19">
        <v>45583</v>
      </c>
      <c r="D475" s="2">
        <v>0.63541666666666663</v>
      </c>
      <c r="E475" s="2">
        <v>0.88541666666666663</v>
      </c>
      <c r="F475">
        <v>30</v>
      </c>
      <c r="G475" s="2">
        <v>0.72916666666666663</v>
      </c>
      <c r="H475">
        <v>5.5</v>
      </c>
      <c r="I475" t="s">
        <v>100</v>
      </c>
      <c r="J475" t="s">
        <v>101</v>
      </c>
      <c r="K475" t="s">
        <v>126</v>
      </c>
      <c r="L475" t="s">
        <v>127</v>
      </c>
    </row>
    <row r="476" spans="1:12" x14ac:dyDescent="0.2">
      <c r="A476">
        <v>5786</v>
      </c>
      <c r="B476" t="s">
        <v>162</v>
      </c>
      <c r="C476" s="19">
        <v>45583</v>
      </c>
      <c r="D476" s="2">
        <v>0.63541666666666663</v>
      </c>
      <c r="E476" s="2">
        <v>0.88541666666666663</v>
      </c>
      <c r="F476">
        <v>30</v>
      </c>
      <c r="G476" s="2">
        <v>0.86458333333333337</v>
      </c>
      <c r="H476">
        <v>5.5</v>
      </c>
      <c r="I476" t="s">
        <v>100</v>
      </c>
      <c r="J476" t="s">
        <v>101</v>
      </c>
      <c r="K476" t="s">
        <v>153</v>
      </c>
      <c r="L476" t="s">
        <v>127</v>
      </c>
    </row>
    <row r="477" spans="1:12" x14ac:dyDescent="0.2">
      <c r="A477">
        <v>5541</v>
      </c>
      <c r="B477" t="s">
        <v>152</v>
      </c>
      <c r="C477" s="19">
        <v>45583</v>
      </c>
      <c r="D477" s="2">
        <v>0.63541666666666663</v>
      </c>
      <c r="E477" s="2">
        <v>0.88541666666666663</v>
      </c>
      <c r="F477">
        <v>30</v>
      </c>
      <c r="G477" s="2">
        <v>0.72916666666666663</v>
      </c>
      <c r="H477">
        <v>5.5</v>
      </c>
      <c r="I477" t="s">
        <v>100</v>
      </c>
      <c r="J477" t="s">
        <v>101</v>
      </c>
      <c r="K477" t="s">
        <v>157</v>
      </c>
      <c r="L477" t="s">
        <v>127</v>
      </c>
    </row>
    <row r="478" spans="1:12" x14ac:dyDescent="0.2">
      <c r="A478">
        <v>283</v>
      </c>
      <c r="B478" t="s">
        <v>171</v>
      </c>
      <c r="C478" s="19">
        <v>45583</v>
      </c>
      <c r="D478" s="2">
        <v>0.63541666666666663</v>
      </c>
      <c r="E478" s="2">
        <v>0.94791666666666663</v>
      </c>
      <c r="F478">
        <v>30</v>
      </c>
      <c r="G478" s="2">
        <v>0.72916666666666663</v>
      </c>
      <c r="H478">
        <v>7</v>
      </c>
      <c r="I478" t="s">
        <v>100</v>
      </c>
      <c r="J478" t="s">
        <v>101</v>
      </c>
      <c r="K478" t="s">
        <v>168</v>
      </c>
      <c r="L478" t="s">
        <v>127</v>
      </c>
    </row>
    <row r="479" spans="1:12" x14ac:dyDescent="0.2">
      <c r="A479">
        <v>5829</v>
      </c>
      <c r="B479" t="s">
        <v>212</v>
      </c>
      <c r="C479" s="19">
        <v>45583</v>
      </c>
      <c r="D479" s="2">
        <v>0.63541666666666663</v>
      </c>
      <c r="E479" s="2">
        <v>0.94791666666666663</v>
      </c>
      <c r="F479">
        <v>30</v>
      </c>
      <c r="G479" s="2">
        <v>0.72916666666666663</v>
      </c>
      <c r="H479">
        <v>7</v>
      </c>
      <c r="I479" t="s">
        <v>100</v>
      </c>
      <c r="J479" t="s">
        <v>101</v>
      </c>
      <c r="K479" t="s">
        <v>179</v>
      </c>
      <c r="L479" t="s">
        <v>127</v>
      </c>
    </row>
    <row r="480" spans="1:12" x14ac:dyDescent="0.2">
      <c r="A480">
        <v>5520</v>
      </c>
      <c r="B480" t="s">
        <v>170</v>
      </c>
      <c r="C480" s="19">
        <v>45583</v>
      </c>
      <c r="D480" s="2">
        <v>0.63541666666666663</v>
      </c>
      <c r="E480" s="2">
        <v>0.88541666666666663</v>
      </c>
      <c r="F480">
        <v>30</v>
      </c>
      <c r="G480" s="2">
        <v>0.72916666666666663</v>
      </c>
      <c r="H480">
        <v>5.5</v>
      </c>
      <c r="I480" t="s">
        <v>100</v>
      </c>
      <c r="J480" t="s">
        <v>101</v>
      </c>
      <c r="K480" t="s">
        <v>184</v>
      </c>
      <c r="L480" t="s">
        <v>127</v>
      </c>
    </row>
    <row r="481" spans="1:12" x14ac:dyDescent="0.2">
      <c r="A481">
        <v>5801</v>
      </c>
      <c r="B481" t="s">
        <v>220</v>
      </c>
      <c r="C481" s="19">
        <v>45583</v>
      </c>
      <c r="D481" s="2">
        <v>0.63541666666666663</v>
      </c>
      <c r="E481" s="2">
        <v>0.94791666666666663</v>
      </c>
      <c r="F481">
        <v>30</v>
      </c>
      <c r="G481" s="2">
        <v>0.72916666666666663</v>
      </c>
      <c r="H481">
        <v>7</v>
      </c>
      <c r="I481" t="s">
        <v>100</v>
      </c>
      <c r="J481" t="s">
        <v>101</v>
      </c>
      <c r="K481" t="s">
        <v>185</v>
      </c>
      <c r="L481" t="s">
        <v>127</v>
      </c>
    </row>
    <row r="482" spans="1:12" x14ac:dyDescent="0.2">
      <c r="A482">
        <v>5745</v>
      </c>
      <c r="B482" t="s">
        <v>176</v>
      </c>
      <c r="C482" s="19">
        <v>45583</v>
      </c>
      <c r="D482" s="2">
        <v>0.63541666666666663</v>
      </c>
      <c r="E482" s="2">
        <v>0.88541666666666663</v>
      </c>
      <c r="F482">
        <v>30</v>
      </c>
      <c r="G482" s="2">
        <v>0.72916666666666663</v>
      </c>
      <c r="H482">
        <v>5.5</v>
      </c>
      <c r="I482" t="s">
        <v>100</v>
      </c>
      <c r="J482" t="s">
        <v>101</v>
      </c>
      <c r="K482" t="s">
        <v>187</v>
      </c>
      <c r="L482" t="s">
        <v>127</v>
      </c>
    </row>
    <row r="483" spans="1:12" x14ac:dyDescent="0.2">
      <c r="A483">
        <v>5227</v>
      </c>
      <c r="B483" t="s">
        <v>118</v>
      </c>
      <c r="C483" s="19">
        <v>45583</v>
      </c>
      <c r="D483" s="2">
        <v>0.63541666666666663</v>
      </c>
      <c r="E483" s="2">
        <v>0.94791666666666663</v>
      </c>
      <c r="F483">
        <v>30</v>
      </c>
      <c r="G483" s="2">
        <v>0.72916666666666663</v>
      </c>
      <c r="H483">
        <v>7</v>
      </c>
      <c r="I483" t="s">
        <v>100</v>
      </c>
      <c r="J483" t="s">
        <v>101</v>
      </c>
      <c r="K483" t="s">
        <v>189</v>
      </c>
      <c r="L483" t="s">
        <v>127</v>
      </c>
    </row>
    <row r="484" spans="1:12" x14ac:dyDescent="0.2">
      <c r="A484">
        <v>5835</v>
      </c>
      <c r="B484" t="s">
        <v>215</v>
      </c>
      <c r="C484" s="19">
        <v>45583</v>
      </c>
      <c r="D484" s="2">
        <v>0.63541666666666663</v>
      </c>
      <c r="E484" s="2">
        <v>0.88541666666666663</v>
      </c>
      <c r="F484">
        <v>30</v>
      </c>
      <c r="G484" s="2">
        <v>0.72916666666666663</v>
      </c>
      <c r="H484">
        <v>5.5</v>
      </c>
      <c r="I484" t="s">
        <v>100</v>
      </c>
      <c r="J484" t="s">
        <v>101</v>
      </c>
      <c r="K484" t="s">
        <v>192</v>
      </c>
      <c r="L484" t="s">
        <v>127</v>
      </c>
    </row>
    <row r="485" spans="1:12" x14ac:dyDescent="0.2">
      <c r="A485">
        <v>2970</v>
      </c>
      <c r="B485" t="s">
        <v>195</v>
      </c>
      <c r="C485" s="19">
        <v>45583</v>
      </c>
      <c r="D485" s="2">
        <v>0.63541666666666663</v>
      </c>
      <c r="E485" s="2">
        <v>0.94791666666666663</v>
      </c>
      <c r="F485">
        <v>30</v>
      </c>
      <c r="G485" s="2">
        <v>0.72916666666666663</v>
      </c>
      <c r="H485">
        <v>7</v>
      </c>
      <c r="I485" t="s">
        <v>100</v>
      </c>
      <c r="J485" t="s">
        <v>101</v>
      </c>
      <c r="K485" t="s">
        <v>193</v>
      </c>
      <c r="L485" t="s">
        <v>127</v>
      </c>
    </row>
    <row r="486" spans="1:12" x14ac:dyDescent="0.2">
      <c r="A486">
        <v>5767</v>
      </c>
      <c r="B486" t="s">
        <v>148</v>
      </c>
      <c r="C486" s="19">
        <v>45583</v>
      </c>
      <c r="D486" s="2">
        <v>0.63541666666666663</v>
      </c>
      <c r="E486" s="2">
        <v>0.88541666666666663</v>
      </c>
      <c r="F486">
        <v>30</v>
      </c>
      <c r="G486" s="2">
        <v>0.72916666666666663</v>
      </c>
      <c r="H486">
        <v>5.5</v>
      </c>
      <c r="I486" t="s">
        <v>100</v>
      </c>
      <c r="J486" t="s">
        <v>101</v>
      </c>
      <c r="K486" t="s">
        <v>194</v>
      </c>
      <c r="L486" t="s">
        <v>127</v>
      </c>
    </row>
    <row r="487" spans="1:12" x14ac:dyDescent="0.2">
      <c r="A487">
        <v>5713</v>
      </c>
      <c r="B487" t="s">
        <v>128</v>
      </c>
      <c r="C487" s="19">
        <v>45583</v>
      </c>
      <c r="D487" s="2">
        <v>0.63541666666666663</v>
      </c>
      <c r="E487" s="2">
        <v>0.88541666666666663</v>
      </c>
      <c r="F487">
        <v>30</v>
      </c>
      <c r="G487" s="2">
        <v>0.72916666666666663</v>
      </c>
      <c r="H487">
        <v>5.5</v>
      </c>
      <c r="I487" t="s">
        <v>100</v>
      </c>
      <c r="J487" t="s">
        <v>101</v>
      </c>
      <c r="K487" t="s">
        <v>112</v>
      </c>
      <c r="L487" t="s">
        <v>114</v>
      </c>
    </row>
    <row r="488" spans="1:12" x14ac:dyDescent="0.2">
      <c r="A488">
        <v>5496</v>
      </c>
      <c r="B488" t="s">
        <v>167</v>
      </c>
      <c r="C488" s="19">
        <v>45583</v>
      </c>
      <c r="D488" s="2">
        <v>0.63541666666666663</v>
      </c>
      <c r="E488" s="2">
        <v>0.94791666666666663</v>
      </c>
      <c r="F488">
        <v>30</v>
      </c>
      <c r="G488" s="2">
        <v>0.72916666666666663</v>
      </c>
      <c r="H488">
        <v>7</v>
      </c>
      <c r="I488" t="s">
        <v>100</v>
      </c>
      <c r="J488" t="s">
        <v>101</v>
      </c>
      <c r="K488" t="s">
        <v>123</v>
      </c>
      <c r="L488" t="s">
        <v>114</v>
      </c>
    </row>
    <row r="489" spans="1:12" x14ac:dyDescent="0.2">
      <c r="A489">
        <v>1933</v>
      </c>
      <c r="B489" t="s">
        <v>207</v>
      </c>
      <c r="C489" s="19">
        <v>45583</v>
      </c>
      <c r="D489" s="2">
        <v>0.88541666666666663</v>
      </c>
      <c r="E489" s="2">
        <v>0.30208333333333331</v>
      </c>
      <c r="F489">
        <v>0</v>
      </c>
      <c r="G489" s="2"/>
      <c r="H489">
        <v>10</v>
      </c>
      <c r="I489" t="s">
        <v>100</v>
      </c>
      <c r="J489" t="s">
        <v>101</v>
      </c>
      <c r="K489" t="s">
        <v>91</v>
      </c>
      <c r="L489" t="s">
        <v>102</v>
      </c>
    </row>
    <row r="490" spans="1:12" x14ac:dyDescent="0.2">
      <c r="A490">
        <v>5778</v>
      </c>
      <c r="B490" t="s">
        <v>145</v>
      </c>
      <c r="C490" s="19">
        <v>45583</v>
      </c>
      <c r="D490" s="2">
        <v>0.9375</v>
      </c>
      <c r="E490" s="2">
        <v>0.30208333333333331</v>
      </c>
      <c r="F490">
        <v>30</v>
      </c>
      <c r="G490" s="2">
        <v>0.14583333333333334</v>
      </c>
      <c r="H490">
        <v>8.25</v>
      </c>
      <c r="I490" t="s">
        <v>100</v>
      </c>
      <c r="J490" t="s">
        <v>101</v>
      </c>
      <c r="K490" t="s">
        <v>139</v>
      </c>
      <c r="L490" t="s">
        <v>127</v>
      </c>
    </row>
    <row r="491" spans="1:12" x14ac:dyDescent="0.2">
      <c r="A491">
        <v>5503</v>
      </c>
      <c r="B491" t="s">
        <v>142</v>
      </c>
      <c r="C491" s="19">
        <v>45583</v>
      </c>
      <c r="D491" s="2">
        <v>0.9375</v>
      </c>
      <c r="E491" s="2">
        <v>0.30208333333333331</v>
      </c>
      <c r="F491">
        <v>30</v>
      </c>
      <c r="G491" s="2">
        <v>0.14583333333333334</v>
      </c>
      <c r="H491">
        <v>8.25</v>
      </c>
      <c r="I491" t="s">
        <v>100</v>
      </c>
      <c r="J491" t="s">
        <v>101</v>
      </c>
      <c r="K491" t="s">
        <v>147</v>
      </c>
      <c r="L491" t="s">
        <v>127</v>
      </c>
    </row>
    <row r="492" spans="1:12" x14ac:dyDescent="0.2">
      <c r="A492">
        <v>5746</v>
      </c>
      <c r="B492" t="s">
        <v>149</v>
      </c>
      <c r="C492" s="19">
        <v>45583</v>
      </c>
      <c r="D492" s="2">
        <v>0.9375</v>
      </c>
      <c r="E492" s="2">
        <v>0.30208333333333331</v>
      </c>
      <c r="F492">
        <v>30</v>
      </c>
      <c r="G492" s="2">
        <v>0.14583333333333334</v>
      </c>
      <c r="H492">
        <v>8.25</v>
      </c>
      <c r="I492" t="s">
        <v>100</v>
      </c>
      <c r="J492" t="s">
        <v>101</v>
      </c>
      <c r="K492" t="s">
        <v>168</v>
      </c>
      <c r="L492" t="s">
        <v>127</v>
      </c>
    </row>
    <row r="493" spans="1:12" x14ac:dyDescent="0.2">
      <c r="A493">
        <v>5653</v>
      </c>
      <c r="B493" t="s">
        <v>143</v>
      </c>
      <c r="C493" s="19">
        <v>45583</v>
      </c>
      <c r="D493" s="2">
        <v>0.9375</v>
      </c>
      <c r="E493" s="2">
        <v>0.30208333333333331</v>
      </c>
      <c r="F493">
        <v>30</v>
      </c>
      <c r="G493" s="2">
        <v>0.14583333333333334</v>
      </c>
      <c r="H493">
        <v>8.25</v>
      </c>
      <c r="I493" t="s">
        <v>100</v>
      </c>
      <c r="J493" t="s">
        <v>101</v>
      </c>
      <c r="K493" t="s">
        <v>179</v>
      </c>
      <c r="L493" t="s">
        <v>127</v>
      </c>
    </row>
    <row r="494" spans="1:12" x14ac:dyDescent="0.2">
      <c r="A494">
        <v>195</v>
      </c>
      <c r="B494" t="s">
        <v>183</v>
      </c>
      <c r="C494" s="19">
        <v>45583</v>
      </c>
      <c r="D494" s="2">
        <v>0.9375</v>
      </c>
      <c r="E494" s="2">
        <v>0.30208333333333331</v>
      </c>
      <c r="F494">
        <v>30</v>
      </c>
      <c r="G494" s="2">
        <v>0.14583333333333334</v>
      </c>
      <c r="H494">
        <v>8.25</v>
      </c>
      <c r="I494" t="s">
        <v>100</v>
      </c>
      <c r="J494" t="s">
        <v>101</v>
      </c>
      <c r="K494" t="s">
        <v>185</v>
      </c>
      <c r="L494" t="s">
        <v>127</v>
      </c>
    </row>
    <row r="495" spans="1:12" x14ac:dyDescent="0.2">
      <c r="A495">
        <v>110</v>
      </c>
      <c r="B495" t="s">
        <v>140</v>
      </c>
      <c r="C495" s="19">
        <v>45583</v>
      </c>
      <c r="D495" s="2">
        <v>0.9375</v>
      </c>
      <c r="E495" s="2">
        <v>0.30208333333333331</v>
      </c>
      <c r="F495">
        <v>30</v>
      </c>
      <c r="G495" s="2">
        <v>0.14583333333333334</v>
      </c>
      <c r="H495">
        <v>8.25</v>
      </c>
      <c r="I495" t="s">
        <v>100</v>
      </c>
      <c r="J495" t="s">
        <v>101</v>
      </c>
      <c r="K495" t="s">
        <v>197</v>
      </c>
      <c r="L495" t="s">
        <v>127</v>
      </c>
    </row>
    <row r="496" spans="1:12" x14ac:dyDescent="0.2">
      <c r="A496">
        <v>5672</v>
      </c>
      <c r="B496" t="s">
        <v>134</v>
      </c>
      <c r="C496" s="19">
        <v>45584</v>
      </c>
      <c r="D496" s="2">
        <v>0.29166666666666669</v>
      </c>
      <c r="E496" s="2">
        <v>0.5625</v>
      </c>
      <c r="F496">
        <v>30</v>
      </c>
      <c r="G496" s="2">
        <v>0.5</v>
      </c>
      <c r="H496">
        <v>6</v>
      </c>
      <c r="I496" t="s">
        <v>100</v>
      </c>
      <c r="J496" t="s">
        <v>101</v>
      </c>
      <c r="K496" t="s">
        <v>126</v>
      </c>
      <c r="L496" t="s">
        <v>127</v>
      </c>
    </row>
    <row r="497" spans="1:12" x14ac:dyDescent="0.2">
      <c r="A497">
        <v>2395</v>
      </c>
      <c r="B497" t="s">
        <v>160</v>
      </c>
      <c r="C497" s="19">
        <v>45584</v>
      </c>
      <c r="D497" s="2">
        <v>0.29166666666666669</v>
      </c>
      <c r="E497" s="2">
        <v>0.5625</v>
      </c>
      <c r="F497">
        <v>30</v>
      </c>
      <c r="G497" s="2">
        <v>0.47916666666666669</v>
      </c>
      <c r="H497">
        <v>6</v>
      </c>
      <c r="I497" t="s">
        <v>100</v>
      </c>
      <c r="J497" t="s">
        <v>101</v>
      </c>
      <c r="K497" t="s">
        <v>157</v>
      </c>
      <c r="L497" t="s">
        <v>127</v>
      </c>
    </row>
    <row r="498" spans="1:12" x14ac:dyDescent="0.2">
      <c r="A498">
        <v>1270</v>
      </c>
      <c r="B498" t="s">
        <v>166</v>
      </c>
      <c r="C498" s="19">
        <v>45584</v>
      </c>
      <c r="D498" s="2">
        <v>0.29166666666666669</v>
      </c>
      <c r="E498" s="2">
        <v>0.64583333333333337</v>
      </c>
      <c r="F498">
        <v>30</v>
      </c>
      <c r="G498" s="2">
        <v>0.5</v>
      </c>
      <c r="H498">
        <v>8</v>
      </c>
      <c r="I498" t="s">
        <v>100</v>
      </c>
      <c r="J498" t="s">
        <v>101</v>
      </c>
      <c r="K498" t="s">
        <v>157</v>
      </c>
      <c r="L498" t="s">
        <v>127</v>
      </c>
    </row>
    <row r="499" spans="1:12" x14ac:dyDescent="0.2">
      <c r="A499">
        <v>618</v>
      </c>
      <c r="B499" t="s">
        <v>218</v>
      </c>
      <c r="C499" s="19">
        <v>45584</v>
      </c>
      <c r="D499" s="2">
        <v>0.29166666666666669</v>
      </c>
      <c r="E499" s="2">
        <v>0.64583333333333337</v>
      </c>
      <c r="F499">
        <v>30</v>
      </c>
      <c r="G499" s="2">
        <v>0.47916666666666669</v>
      </c>
      <c r="H499">
        <v>8</v>
      </c>
      <c r="I499" t="s">
        <v>100</v>
      </c>
      <c r="J499" t="s">
        <v>101</v>
      </c>
      <c r="K499" t="s">
        <v>168</v>
      </c>
      <c r="L499" t="s">
        <v>127</v>
      </c>
    </row>
    <row r="500" spans="1:12" x14ac:dyDescent="0.2">
      <c r="A500">
        <v>1581</v>
      </c>
      <c r="B500" t="s">
        <v>136</v>
      </c>
      <c r="C500" s="19">
        <v>45584</v>
      </c>
      <c r="D500" s="2">
        <v>0.29166666666666669</v>
      </c>
      <c r="E500" s="2">
        <v>0.64583333333333337</v>
      </c>
      <c r="F500">
        <v>30</v>
      </c>
      <c r="G500" s="2">
        <v>0.47916666666666669</v>
      </c>
      <c r="H500">
        <v>8</v>
      </c>
      <c r="I500" t="s">
        <v>100</v>
      </c>
      <c r="J500" t="s">
        <v>101</v>
      </c>
      <c r="K500" t="s">
        <v>175</v>
      </c>
      <c r="L500" t="s">
        <v>127</v>
      </c>
    </row>
    <row r="501" spans="1:12" x14ac:dyDescent="0.2">
      <c r="A501">
        <v>5291</v>
      </c>
      <c r="B501" t="s">
        <v>177</v>
      </c>
      <c r="C501" s="19">
        <v>45584</v>
      </c>
      <c r="D501" s="2">
        <v>0.29166666666666669</v>
      </c>
      <c r="E501" s="2">
        <v>0.5625</v>
      </c>
      <c r="F501">
        <v>30</v>
      </c>
      <c r="G501" s="2">
        <v>0.47916666666666669</v>
      </c>
      <c r="H501">
        <v>6</v>
      </c>
      <c r="I501" t="s">
        <v>100</v>
      </c>
      <c r="J501" t="s">
        <v>101</v>
      </c>
      <c r="K501" t="s">
        <v>178</v>
      </c>
      <c r="L501" t="s">
        <v>127</v>
      </c>
    </row>
    <row r="502" spans="1:12" x14ac:dyDescent="0.2">
      <c r="A502">
        <v>5835</v>
      </c>
      <c r="B502" t="s">
        <v>215</v>
      </c>
      <c r="C502" s="19">
        <v>45584</v>
      </c>
      <c r="D502" s="2">
        <v>0.29166666666666669</v>
      </c>
      <c r="E502" s="2">
        <v>0.5625</v>
      </c>
      <c r="F502">
        <v>30</v>
      </c>
      <c r="G502" s="2">
        <v>0.5</v>
      </c>
      <c r="H502">
        <v>6</v>
      </c>
      <c r="I502" t="s">
        <v>100</v>
      </c>
      <c r="J502" t="s">
        <v>101</v>
      </c>
      <c r="K502" t="s">
        <v>179</v>
      </c>
      <c r="L502" t="s">
        <v>127</v>
      </c>
    </row>
    <row r="503" spans="1:12" x14ac:dyDescent="0.2">
      <c r="A503">
        <v>5520</v>
      </c>
      <c r="B503" t="s">
        <v>170</v>
      </c>
      <c r="C503" s="19">
        <v>45584</v>
      </c>
      <c r="D503" s="2">
        <v>0.29166666666666669</v>
      </c>
      <c r="E503" s="2">
        <v>0.64583333333333337</v>
      </c>
      <c r="F503">
        <v>30</v>
      </c>
      <c r="G503" s="2">
        <v>0.47916666666666669</v>
      </c>
      <c r="H503">
        <v>8</v>
      </c>
      <c r="I503" t="s">
        <v>100</v>
      </c>
      <c r="J503" t="s">
        <v>101</v>
      </c>
      <c r="K503" t="s">
        <v>184</v>
      </c>
      <c r="L503" t="s">
        <v>127</v>
      </c>
    </row>
    <row r="504" spans="1:12" x14ac:dyDescent="0.2">
      <c r="A504">
        <v>94</v>
      </c>
      <c r="B504" t="s">
        <v>137</v>
      </c>
      <c r="C504" s="19">
        <v>45584</v>
      </c>
      <c r="D504" s="2">
        <v>0.29166666666666669</v>
      </c>
      <c r="E504" s="2">
        <v>0.64583333333333337</v>
      </c>
      <c r="F504">
        <v>30</v>
      </c>
      <c r="G504" s="2">
        <v>0.5</v>
      </c>
      <c r="H504">
        <v>8</v>
      </c>
      <c r="I504" t="s">
        <v>100</v>
      </c>
      <c r="J504" t="s">
        <v>101</v>
      </c>
      <c r="K504" t="s">
        <v>185</v>
      </c>
      <c r="L504" t="s">
        <v>127</v>
      </c>
    </row>
    <row r="505" spans="1:12" x14ac:dyDescent="0.2">
      <c r="A505">
        <v>5829</v>
      </c>
      <c r="B505" t="s">
        <v>212</v>
      </c>
      <c r="C505" s="19">
        <v>45584</v>
      </c>
      <c r="D505" s="2">
        <v>0.29166666666666669</v>
      </c>
      <c r="E505" s="2">
        <v>0.88541666666666663</v>
      </c>
      <c r="F505">
        <v>60</v>
      </c>
      <c r="G505" s="2">
        <v>0.70833333333333337</v>
      </c>
      <c r="H505">
        <v>13.25</v>
      </c>
      <c r="I505" t="s">
        <v>100</v>
      </c>
      <c r="J505" t="s">
        <v>101</v>
      </c>
      <c r="K505" t="s">
        <v>187</v>
      </c>
      <c r="L505" t="s">
        <v>127</v>
      </c>
    </row>
    <row r="506" spans="1:12" x14ac:dyDescent="0.2">
      <c r="A506">
        <v>5541</v>
      </c>
      <c r="B506" t="s">
        <v>152</v>
      </c>
      <c r="C506" s="19">
        <v>45584</v>
      </c>
      <c r="D506" s="2">
        <v>0.29166666666666669</v>
      </c>
      <c r="E506" s="2">
        <v>0.64583333333333337</v>
      </c>
      <c r="F506">
        <v>30</v>
      </c>
      <c r="G506" s="2">
        <v>0.5</v>
      </c>
      <c r="H506">
        <v>8</v>
      </c>
      <c r="I506" t="s">
        <v>100</v>
      </c>
      <c r="J506" t="s">
        <v>101</v>
      </c>
      <c r="K506" t="s">
        <v>188</v>
      </c>
      <c r="L506" t="s">
        <v>127</v>
      </c>
    </row>
    <row r="507" spans="1:12" x14ac:dyDescent="0.2">
      <c r="A507">
        <v>5779</v>
      </c>
      <c r="B507" t="s">
        <v>163</v>
      </c>
      <c r="C507" s="19">
        <v>45584</v>
      </c>
      <c r="D507" s="2">
        <v>0.29166666666666669</v>
      </c>
      <c r="E507" s="2">
        <v>0.64583333333333337</v>
      </c>
      <c r="F507">
        <v>30</v>
      </c>
      <c r="G507" s="2">
        <v>0.47916666666666669</v>
      </c>
      <c r="H507">
        <v>8</v>
      </c>
      <c r="I507" t="s">
        <v>100</v>
      </c>
      <c r="J507" t="s">
        <v>101</v>
      </c>
      <c r="K507" t="s">
        <v>189</v>
      </c>
      <c r="L507" t="s">
        <v>127</v>
      </c>
    </row>
    <row r="508" spans="1:12" x14ac:dyDescent="0.2">
      <c r="A508">
        <v>3572</v>
      </c>
      <c r="B508" t="s">
        <v>156</v>
      </c>
      <c r="C508" s="19">
        <v>45584</v>
      </c>
      <c r="D508" s="2">
        <v>0.29166666666666669</v>
      </c>
      <c r="E508" s="2">
        <v>0.64583333333333337</v>
      </c>
      <c r="F508">
        <v>30</v>
      </c>
      <c r="G508" s="2">
        <v>0.47916666666666669</v>
      </c>
      <c r="H508">
        <v>8</v>
      </c>
      <c r="I508" t="s">
        <v>100</v>
      </c>
      <c r="J508" t="s">
        <v>101</v>
      </c>
      <c r="K508" t="s">
        <v>192</v>
      </c>
      <c r="L508" t="s">
        <v>127</v>
      </c>
    </row>
    <row r="509" spans="1:12" x14ac:dyDescent="0.2">
      <c r="A509">
        <v>5804</v>
      </c>
      <c r="B509" t="s">
        <v>216</v>
      </c>
      <c r="C509" s="19">
        <v>45584</v>
      </c>
      <c r="D509" s="2">
        <v>0.29166666666666669</v>
      </c>
      <c r="E509" s="2">
        <v>0.64583333333333337</v>
      </c>
      <c r="F509">
        <v>30</v>
      </c>
      <c r="G509" s="2">
        <v>0.47916666666666669</v>
      </c>
      <c r="H509">
        <v>8</v>
      </c>
      <c r="I509" t="s">
        <v>100</v>
      </c>
      <c r="J509" t="s">
        <v>101</v>
      </c>
      <c r="K509" t="s">
        <v>193</v>
      </c>
      <c r="L509" t="s">
        <v>127</v>
      </c>
    </row>
    <row r="510" spans="1:12" x14ac:dyDescent="0.2">
      <c r="A510">
        <v>2720</v>
      </c>
      <c r="B510" t="s">
        <v>173</v>
      </c>
      <c r="C510" s="19">
        <v>45584</v>
      </c>
      <c r="D510" s="2">
        <v>0.29166666666666669</v>
      </c>
      <c r="E510" s="2">
        <v>0.5625</v>
      </c>
      <c r="F510">
        <v>30</v>
      </c>
      <c r="G510" s="2">
        <v>0.47916666666666669</v>
      </c>
      <c r="H510">
        <v>6</v>
      </c>
      <c r="I510" t="s">
        <v>100</v>
      </c>
      <c r="J510" t="s">
        <v>101</v>
      </c>
      <c r="K510" t="s">
        <v>194</v>
      </c>
      <c r="L510" t="s">
        <v>127</v>
      </c>
    </row>
    <row r="511" spans="1:12" x14ac:dyDescent="0.2">
      <c r="A511">
        <v>5838</v>
      </c>
      <c r="B511" t="s">
        <v>221</v>
      </c>
      <c r="C511" s="19">
        <v>45584</v>
      </c>
      <c r="D511" s="2">
        <v>0.29166666666666669</v>
      </c>
      <c r="E511" s="2">
        <v>0.5625</v>
      </c>
      <c r="F511">
        <v>30</v>
      </c>
      <c r="G511" s="2">
        <v>0.5</v>
      </c>
      <c r="H511">
        <v>6</v>
      </c>
      <c r="I511" t="s">
        <v>100</v>
      </c>
      <c r="J511" t="s">
        <v>101</v>
      </c>
      <c r="K511" t="s">
        <v>196</v>
      </c>
      <c r="L511" t="s">
        <v>127</v>
      </c>
    </row>
    <row r="512" spans="1:12" x14ac:dyDescent="0.2">
      <c r="A512">
        <v>5707</v>
      </c>
      <c r="B512" t="s">
        <v>119</v>
      </c>
      <c r="C512" s="19">
        <v>45584</v>
      </c>
      <c r="D512" s="2">
        <v>0.29166666666666669</v>
      </c>
      <c r="E512" s="2">
        <v>0.64583333333333337</v>
      </c>
      <c r="F512">
        <v>30</v>
      </c>
      <c r="G512" s="2">
        <v>0.5</v>
      </c>
      <c r="H512">
        <v>8</v>
      </c>
      <c r="I512" t="s">
        <v>100</v>
      </c>
      <c r="J512" t="s">
        <v>101</v>
      </c>
      <c r="K512" t="s">
        <v>103</v>
      </c>
      <c r="L512" t="s">
        <v>114</v>
      </c>
    </row>
    <row r="513" spans="1:12" x14ac:dyDescent="0.2">
      <c r="A513">
        <v>617</v>
      </c>
      <c r="B513" t="s">
        <v>115</v>
      </c>
      <c r="C513" s="19">
        <v>45584</v>
      </c>
      <c r="D513" s="2">
        <v>0.29166666666666669</v>
      </c>
      <c r="E513" s="2">
        <v>0.64583333333333337</v>
      </c>
      <c r="F513">
        <v>30</v>
      </c>
      <c r="G513" s="2">
        <v>0.5</v>
      </c>
      <c r="H513">
        <v>8</v>
      </c>
      <c r="I513" t="s">
        <v>100</v>
      </c>
      <c r="J513" t="s">
        <v>101</v>
      </c>
      <c r="K513" t="s">
        <v>112</v>
      </c>
      <c r="L513" t="s">
        <v>114</v>
      </c>
    </row>
    <row r="514" spans="1:12" x14ac:dyDescent="0.2">
      <c r="A514">
        <v>5836</v>
      </c>
      <c r="B514" t="s">
        <v>209</v>
      </c>
      <c r="C514" s="19">
        <v>45584</v>
      </c>
      <c r="D514" s="2">
        <v>0.29166666666666669</v>
      </c>
      <c r="E514" s="2">
        <v>0.64583333333333337</v>
      </c>
      <c r="F514">
        <v>30</v>
      </c>
      <c r="G514" s="2">
        <v>0.5</v>
      </c>
      <c r="H514">
        <v>8</v>
      </c>
      <c r="I514" t="s">
        <v>100</v>
      </c>
      <c r="J514" t="s">
        <v>101</v>
      </c>
      <c r="K514" t="s">
        <v>112</v>
      </c>
      <c r="L514" t="s">
        <v>102</v>
      </c>
    </row>
    <row r="515" spans="1:12" x14ac:dyDescent="0.2">
      <c r="A515">
        <v>5139</v>
      </c>
      <c r="B515" t="s">
        <v>111</v>
      </c>
      <c r="C515" s="19">
        <v>45584</v>
      </c>
      <c r="D515" s="2">
        <v>0.29166666666666669</v>
      </c>
      <c r="E515" s="2">
        <v>0.64583333333333337</v>
      </c>
      <c r="F515">
        <v>30</v>
      </c>
      <c r="G515" s="2">
        <v>0.5</v>
      </c>
      <c r="H515">
        <v>8</v>
      </c>
      <c r="I515" t="s">
        <v>100</v>
      </c>
      <c r="J515" t="s">
        <v>101</v>
      </c>
      <c r="K515" t="s">
        <v>103</v>
      </c>
      <c r="L515" t="s">
        <v>102</v>
      </c>
    </row>
    <row r="516" spans="1:12" x14ac:dyDescent="0.2">
      <c r="A516">
        <v>4947</v>
      </c>
      <c r="B516" t="s">
        <v>110</v>
      </c>
      <c r="C516" s="19">
        <v>45584</v>
      </c>
      <c r="D516" s="2">
        <v>0.33333333333333331</v>
      </c>
      <c r="E516" s="2">
        <v>0.6875</v>
      </c>
      <c r="F516">
        <v>30</v>
      </c>
      <c r="G516" s="2">
        <v>0.5</v>
      </c>
      <c r="H516">
        <v>8</v>
      </c>
      <c r="I516" t="s">
        <v>100</v>
      </c>
      <c r="J516" t="s">
        <v>101</v>
      </c>
      <c r="K516" t="s">
        <v>91</v>
      </c>
      <c r="L516" t="s">
        <v>102</v>
      </c>
    </row>
    <row r="517" spans="1:12" x14ac:dyDescent="0.2">
      <c r="A517">
        <v>5382</v>
      </c>
      <c r="B517" t="s">
        <v>206</v>
      </c>
      <c r="C517" s="19">
        <v>45584</v>
      </c>
      <c r="D517" s="2">
        <v>0.58333333333333337</v>
      </c>
      <c r="E517" s="2">
        <v>0.9375</v>
      </c>
      <c r="F517">
        <v>30</v>
      </c>
      <c r="G517" s="2">
        <v>0.72916666666666663</v>
      </c>
      <c r="H517">
        <v>8</v>
      </c>
      <c r="I517" t="s">
        <v>100</v>
      </c>
      <c r="J517" t="s">
        <v>101</v>
      </c>
      <c r="K517" t="s">
        <v>112</v>
      </c>
      <c r="L517" t="s">
        <v>102</v>
      </c>
    </row>
    <row r="518" spans="1:12" x14ac:dyDescent="0.2">
      <c r="A518">
        <v>5682</v>
      </c>
      <c r="B518" t="s">
        <v>105</v>
      </c>
      <c r="C518" s="19">
        <v>45584</v>
      </c>
      <c r="D518" s="2">
        <v>0.58333333333333337</v>
      </c>
      <c r="E518" s="2">
        <v>0.9375</v>
      </c>
      <c r="F518">
        <v>30</v>
      </c>
      <c r="G518" s="2">
        <v>0.72916666666666663</v>
      </c>
      <c r="H518">
        <v>8</v>
      </c>
      <c r="I518" t="s">
        <v>100</v>
      </c>
      <c r="J518" t="s">
        <v>101</v>
      </c>
      <c r="K518" t="s">
        <v>103</v>
      </c>
      <c r="L518" t="s">
        <v>102</v>
      </c>
    </row>
    <row r="519" spans="1:12" x14ac:dyDescent="0.2">
      <c r="A519">
        <v>5810</v>
      </c>
      <c r="B519" t="s">
        <v>213</v>
      </c>
      <c r="C519" s="19">
        <v>45584</v>
      </c>
      <c r="D519" s="2">
        <v>0.63541666666666663</v>
      </c>
      <c r="E519" s="2">
        <v>0.88541666666666663</v>
      </c>
      <c r="F519">
        <v>30</v>
      </c>
      <c r="G519" s="2">
        <v>0.72916666666666663</v>
      </c>
      <c r="H519">
        <v>5.5</v>
      </c>
      <c r="I519" t="s">
        <v>100</v>
      </c>
      <c r="J519" t="s">
        <v>101</v>
      </c>
      <c r="K519" t="s">
        <v>126</v>
      </c>
      <c r="L519" t="s">
        <v>127</v>
      </c>
    </row>
    <row r="520" spans="1:12" x14ac:dyDescent="0.2">
      <c r="A520">
        <v>5819</v>
      </c>
      <c r="B520" t="s">
        <v>129</v>
      </c>
      <c r="C520" s="19">
        <v>45584</v>
      </c>
      <c r="D520" s="2">
        <v>0.63541666666666663</v>
      </c>
      <c r="E520" s="2">
        <v>0.88541666666666663</v>
      </c>
      <c r="F520">
        <v>30</v>
      </c>
      <c r="G520" s="2">
        <v>0.84375</v>
      </c>
      <c r="H520">
        <v>5.5</v>
      </c>
      <c r="I520" t="s">
        <v>100</v>
      </c>
      <c r="J520" t="s">
        <v>101</v>
      </c>
      <c r="K520" t="s">
        <v>153</v>
      </c>
      <c r="L520" t="s">
        <v>127</v>
      </c>
    </row>
    <row r="521" spans="1:12" x14ac:dyDescent="0.2">
      <c r="A521">
        <v>5574</v>
      </c>
      <c r="B521" t="s">
        <v>154</v>
      </c>
      <c r="C521" s="19">
        <v>45584</v>
      </c>
      <c r="D521" s="2">
        <v>0.63541666666666663</v>
      </c>
      <c r="E521" s="2">
        <v>0.94791666666666663</v>
      </c>
      <c r="F521">
        <v>30</v>
      </c>
      <c r="G521" s="2">
        <v>0.72916666666666663</v>
      </c>
      <c r="H521">
        <v>7</v>
      </c>
      <c r="I521" t="s">
        <v>100</v>
      </c>
      <c r="J521" t="s">
        <v>101</v>
      </c>
      <c r="K521" t="s">
        <v>157</v>
      </c>
      <c r="L521" t="s">
        <v>127</v>
      </c>
    </row>
    <row r="522" spans="1:12" x14ac:dyDescent="0.2">
      <c r="A522">
        <v>5746</v>
      </c>
      <c r="B522" t="s">
        <v>149</v>
      </c>
      <c r="C522" s="19">
        <v>45584</v>
      </c>
      <c r="D522" s="2">
        <v>0.63541666666666663</v>
      </c>
      <c r="E522" s="2">
        <v>0.94791666666666663</v>
      </c>
      <c r="F522">
        <v>30</v>
      </c>
      <c r="G522" s="2">
        <v>0.72916666666666663</v>
      </c>
      <c r="H522">
        <v>7</v>
      </c>
      <c r="I522" t="s">
        <v>100</v>
      </c>
      <c r="J522" t="s">
        <v>101</v>
      </c>
      <c r="K522" t="s">
        <v>168</v>
      </c>
      <c r="L522" t="s">
        <v>127</v>
      </c>
    </row>
    <row r="523" spans="1:12" x14ac:dyDescent="0.2">
      <c r="A523">
        <v>283</v>
      </c>
      <c r="B523" t="s">
        <v>171</v>
      </c>
      <c r="C523" s="19">
        <v>45584</v>
      </c>
      <c r="D523" s="2">
        <v>0.63541666666666663</v>
      </c>
      <c r="E523" s="2">
        <v>0.88541666666666663</v>
      </c>
      <c r="F523">
        <v>30</v>
      </c>
      <c r="G523" s="2">
        <v>0.72916666666666663</v>
      </c>
      <c r="H523">
        <v>5.5</v>
      </c>
      <c r="I523" t="s">
        <v>100</v>
      </c>
      <c r="J523" t="s">
        <v>101</v>
      </c>
      <c r="K523" t="s">
        <v>175</v>
      </c>
      <c r="L523" t="s">
        <v>127</v>
      </c>
    </row>
    <row r="524" spans="1:12" x14ac:dyDescent="0.2">
      <c r="A524">
        <v>5661</v>
      </c>
      <c r="B524" t="s">
        <v>133</v>
      </c>
      <c r="C524" s="19">
        <v>45584</v>
      </c>
      <c r="D524" s="2">
        <v>0.63541666666666663</v>
      </c>
      <c r="E524" s="2">
        <v>0.94791666666666663</v>
      </c>
      <c r="F524">
        <v>30</v>
      </c>
      <c r="G524" s="2">
        <v>0.72916666666666663</v>
      </c>
      <c r="H524">
        <v>7</v>
      </c>
      <c r="I524" t="s">
        <v>100</v>
      </c>
      <c r="J524" t="s">
        <v>101</v>
      </c>
      <c r="K524" t="s">
        <v>179</v>
      </c>
      <c r="L524" t="s">
        <v>127</v>
      </c>
    </row>
    <row r="525" spans="1:12" x14ac:dyDescent="0.2">
      <c r="A525">
        <v>4859</v>
      </c>
      <c r="B525" t="s">
        <v>113</v>
      </c>
      <c r="C525" s="19">
        <v>45584</v>
      </c>
      <c r="D525" s="2">
        <v>0.63541666666666663</v>
      </c>
      <c r="E525" s="2">
        <v>0.88541666666666663</v>
      </c>
      <c r="F525">
        <v>30</v>
      </c>
      <c r="G525" s="2">
        <v>0.72916666666666663</v>
      </c>
      <c r="H525">
        <v>5.5</v>
      </c>
      <c r="I525" t="s">
        <v>100</v>
      </c>
      <c r="J525" t="s">
        <v>101</v>
      </c>
      <c r="K525" t="s">
        <v>184</v>
      </c>
      <c r="L525" t="s">
        <v>127</v>
      </c>
    </row>
    <row r="526" spans="1:12" x14ac:dyDescent="0.2">
      <c r="A526">
        <v>5745</v>
      </c>
      <c r="B526" t="s">
        <v>176</v>
      </c>
      <c r="C526" s="19">
        <v>45584</v>
      </c>
      <c r="D526" s="2">
        <v>0.63541666666666663</v>
      </c>
      <c r="E526" s="2">
        <v>0.94791666666666663</v>
      </c>
      <c r="F526">
        <v>30</v>
      </c>
      <c r="G526" s="2">
        <v>0.72916666666666663</v>
      </c>
      <c r="H526">
        <v>7</v>
      </c>
      <c r="I526" t="s">
        <v>100</v>
      </c>
      <c r="J526" t="s">
        <v>101</v>
      </c>
      <c r="K526" t="s">
        <v>185</v>
      </c>
      <c r="L526" t="s">
        <v>127</v>
      </c>
    </row>
    <row r="527" spans="1:12" x14ac:dyDescent="0.2">
      <c r="A527">
        <v>5713</v>
      </c>
      <c r="B527" t="s">
        <v>128</v>
      </c>
      <c r="C527" s="19">
        <v>45584</v>
      </c>
      <c r="D527" s="2">
        <v>0.63541666666666663</v>
      </c>
      <c r="E527" s="2">
        <v>0.88541666666666663</v>
      </c>
      <c r="F527">
        <v>30</v>
      </c>
      <c r="G527" s="2">
        <v>0.72916666666666663</v>
      </c>
      <c r="H527">
        <v>5.5</v>
      </c>
      <c r="I527" t="s">
        <v>100</v>
      </c>
      <c r="J527" t="s">
        <v>101</v>
      </c>
      <c r="K527" t="s">
        <v>187</v>
      </c>
      <c r="L527" t="s">
        <v>127</v>
      </c>
    </row>
    <row r="528" spans="1:12" x14ac:dyDescent="0.2">
      <c r="A528">
        <v>5542</v>
      </c>
      <c r="B528" t="s">
        <v>190</v>
      </c>
      <c r="C528" s="19">
        <v>45584</v>
      </c>
      <c r="D528" s="2">
        <v>0.63541666666666663</v>
      </c>
      <c r="E528" s="2">
        <v>0.94791666666666663</v>
      </c>
      <c r="F528">
        <v>30</v>
      </c>
      <c r="G528" s="2">
        <v>0.72916666666666663</v>
      </c>
      <c r="H528">
        <v>7</v>
      </c>
      <c r="I528" t="s">
        <v>100</v>
      </c>
      <c r="J528" t="s">
        <v>101</v>
      </c>
      <c r="K528" t="s">
        <v>189</v>
      </c>
      <c r="L528" t="s">
        <v>127</v>
      </c>
    </row>
    <row r="529" spans="1:12" x14ac:dyDescent="0.2">
      <c r="A529">
        <v>2970</v>
      </c>
      <c r="B529" t="s">
        <v>195</v>
      </c>
      <c r="C529" s="19">
        <v>45584</v>
      </c>
      <c r="D529" s="2">
        <v>0.63541666666666663</v>
      </c>
      <c r="E529" s="2">
        <v>0.94791666666666663</v>
      </c>
      <c r="F529">
        <v>30</v>
      </c>
      <c r="G529" s="2">
        <v>0.72916666666666663</v>
      </c>
      <c r="H529">
        <v>7</v>
      </c>
      <c r="I529" t="s">
        <v>100</v>
      </c>
      <c r="J529" t="s">
        <v>101</v>
      </c>
      <c r="K529" t="s">
        <v>193</v>
      </c>
      <c r="L529" t="s">
        <v>127</v>
      </c>
    </row>
    <row r="530" spans="1:12" x14ac:dyDescent="0.2">
      <c r="A530">
        <v>5399</v>
      </c>
      <c r="B530" t="s">
        <v>122</v>
      </c>
      <c r="C530" s="19">
        <v>45584</v>
      </c>
      <c r="D530" s="2">
        <v>0.63541666666666663</v>
      </c>
      <c r="E530" s="2">
        <v>0.88541666666666663</v>
      </c>
      <c r="F530">
        <v>30</v>
      </c>
      <c r="G530" s="2">
        <v>0.72916666666666663</v>
      </c>
      <c r="H530">
        <v>5.5</v>
      </c>
      <c r="I530" t="s">
        <v>100</v>
      </c>
      <c r="J530" t="s">
        <v>101</v>
      </c>
      <c r="K530" t="s">
        <v>112</v>
      </c>
      <c r="L530" t="s">
        <v>114</v>
      </c>
    </row>
    <row r="531" spans="1:12" x14ac:dyDescent="0.2">
      <c r="A531">
        <v>5227</v>
      </c>
      <c r="B531" t="s">
        <v>118</v>
      </c>
      <c r="C531" s="19">
        <v>45584</v>
      </c>
      <c r="D531" s="2">
        <v>0.63541666666666663</v>
      </c>
      <c r="E531" s="2">
        <v>0.88541666666666663</v>
      </c>
      <c r="F531">
        <v>30</v>
      </c>
      <c r="G531" s="2">
        <v>0.72916666666666663</v>
      </c>
      <c r="H531">
        <v>5.5</v>
      </c>
      <c r="I531" t="s">
        <v>100</v>
      </c>
      <c r="J531" t="s">
        <v>101</v>
      </c>
      <c r="K531" t="s">
        <v>123</v>
      </c>
      <c r="L531" t="s">
        <v>114</v>
      </c>
    </row>
    <row r="532" spans="1:12" x14ac:dyDescent="0.2">
      <c r="A532">
        <v>2564</v>
      </c>
      <c r="B532" t="s">
        <v>208</v>
      </c>
      <c r="C532" s="19">
        <v>45584</v>
      </c>
      <c r="D532" s="2">
        <v>0.90625</v>
      </c>
      <c r="E532" s="2">
        <v>0.30208333333333331</v>
      </c>
      <c r="F532">
        <v>0</v>
      </c>
      <c r="G532" s="2"/>
      <c r="H532">
        <v>9.5</v>
      </c>
      <c r="I532" t="s">
        <v>100</v>
      </c>
      <c r="J532" t="s">
        <v>101</v>
      </c>
      <c r="K532" t="s">
        <v>91</v>
      </c>
      <c r="L532" t="s">
        <v>102</v>
      </c>
    </row>
    <row r="533" spans="1:12" x14ac:dyDescent="0.2">
      <c r="A533">
        <v>110</v>
      </c>
      <c r="B533" t="s">
        <v>140</v>
      </c>
      <c r="C533" s="19">
        <v>45584</v>
      </c>
      <c r="D533" s="2">
        <v>0.9375</v>
      </c>
      <c r="E533" s="2">
        <v>0.30208333333333331</v>
      </c>
      <c r="F533">
        <v>30</v>
      </c>
      <c r="G533" s="2">
        <v>0.14583333333333334</v>
      </c>
      <c r="H533">
        <v>8.25</v>
      </c>
      <c r="I533" t="s">
        <v>100</v>
      </c>
      <c r="J533" t="s">
        <v>101</v>
      </c>
      <c r="K533" t="s">
        <v>139</v>
      </c>
      <c r="L533" t="s">
        <v>127</v>
      </c>
    </row>
    <row r="534" spans="1:12" x14ac:dyDescent="0.2">
      <c r="A534">
        <v>1445</v>
      </c>
      <c r="B534" t="s">
        <v>214</v>
      </c>
      <c r="C534" s="19">
        <v>45584</v>
      </c>
      <c r="D534" s="2">
        <v>0.9375</v>
      </c>
      <c r="E534" s="2">
        <v>0.30208333333333331</v>
      </c>
      <c r="F534">
        <v>30</v>
      </c>
      <c r="G534" s="2">
        <v>0.14583333333333334</v>
      </c>
      <c r="H534">
        <v>8.25</v>
      </c>
      <c r="I534" t="s">
        <v>100</v>
      </c>
      <c r="J534" t="s">
        <v>101</v>
      </c>
      <c r="K534" t="s">
        <v>147</v>
      </c>
      <c r="L534" t="s">
        <v>127</v>
      </c>
    </row>
    <row r="535" spans="1:12" x14ac:dyDescent="0.2">
      <c r="A535">
        <v>5778</v>
      </c>
      <c r="B535" t="s">
        <v>145</v>
      </c>
      <c r="C535" s="19">
        <v>45584</v>
      </c>
      <c r="D535" s="2">
        <v>0.9375</v>
      </c>
      <c r="E535" s="2">
        <v>0.30208333333333331</v>
      </c>
      <c r="F535">
        <v>30</v>
      </c>
      <c r="G535" s="2">
        <v>0.14583333333333334</v>
      </c>
      <c r="H535">
        <v>8.25</v>
      </c>
      <c r="I535" t="s">
        <v>100</v>
      </c>
      <c r="J535" t="s">
        <v>101</v>
      </c>
      <c r="K535" t="s">
        <v>168</v>
      </c>
      <c r="L535" t="s">
        <v>127</v>
      </c>
    </row>
    <row r="536" spans="1:12" x14ac:dyDescent="0.2">
      <c r="A536">
        <v>195</v>
      </c>
      <c r="B536" t="s">
        <v>183</v>
      </c>
      <c r="C536" s="19">
        <v>45584</v>
      </c>
      <c r="D536" s="2">
        <v>0.9375</v>
      </c>
      <c r="E536" s="2">
        <v>0.30208333333333331</v>
      </c>
      <c r="F536">
        <v>30</v>
      </c>
      <c r="G536" s="2">
        <v>0.14583333333333334</v>
      </c>
      <c r="H536">
        <v>8.25</v>
      </c>
      <c r="I536" t="s">
        <v>100</v>
      </c>
      <c r="J536" t="s">
        <v>101</v>
      </c>
      <c r="K536" t="s">
        <v>179</v>
      </c>
      <c r="L536" t="s">
        <v>127</v>
      </c>
    </row>
    <row r="537" spans="1:12" x14ac:dyDescent="0.2">
      <c r="A537">
        <v>5621</v>
      </c>
      <c r="B537" t="s">
        <v>144</v>
      </c>
      <c r="C537" s="19">
        <v>45584</v>
      </c>
      <c r="D537" s="2">
        <v>0.9375</v>
      </c>
      <c r="E537" s="2">
        <v>0.30208333333333331</v>
      </c>
      <c r="F537">
        <v>30</v>
      </c>
      <c r="G537" s="2">
        <v>0.14583333333333334</v>
      </c>
      <c r="H537">
        <v>8.25</v>
      </c>
      <c r="I537" t="s">
        <v>100</v>
      </c>
      <c r="J537" t="s">
        <v>101</v>
      </c>
      <c r="K537" t="s">
        <v>185</v>
      </c>
      <c r="L537" t="s">
        <v>127</v>
      </c>
    </row>
    <row r="538" spans="1:12" x14ac:dyDescent="0.2">
      <c r="A538">
        <v>369</v>
      </c>
      <c r="B538" t="s">
        <v>151</v>
      </c>
      <c r="C538" s="19">
        <v>45584</v>
      </c>
      <c r="D538" s="2">
        <v>0.9375</v>
      </c>
      <c r="E538" s="2">
        <v>0.30208333333333331</v>
      </c>
      <c r="F538">
        <v>30</v>
      </c>
      <c r="G538" s="2">
        <v>0.14583333333333334</v>
      </c>
      <c r="H538">
        <v>8.25</v>
      </c>
      <c r="I538" t="s">
        <v>100</v>
      </c>
      <c r="J538" t="s">
        <v>101</v>
      </c>
      <c r="K538" t="s">
        <v>197</v>
      </c>
      <c r="L538" t="s">
        <v>127</v>
      </c>
    </row>
    <row r="539" spans="1:12" x14ac:dyDescent="0.2">
      <c r="A539">
        <v>5711</v>
      </c>
      <c r="B539" t="s">
        <v>117</v>
      </c>
      <c r="C539" s="19">
        <v>45585</v>
      </c>
      <c r="D539" s="2">
        <v>0.29166666666666669</v>
      </c>
      <c r="E539" s="2">
        <v>0.5625</v>
      </c>
      <c r="F539">
        <v>30</v>
      </c>
      <c r="G539" s="2">
        <v>0.5</v>
      </c>
      <c r="H539">
        <v>6</v>
      </c>
      <c r="I539" t="s">
        <v>100</v>
      </c>
      <c r="J539" t="s">
        <v>101</v>
      </c>
      <c r="K539" t="s">
        <v>126</v>
      </c>
      <c r="L539" t="s">
        <v>127</v>
      </c>
    </row>
    <row r="540" spans="1:12" x14ac:dyDescent="0.2">
      <c r="A540">
        <v>4979</v>
      </c>
      <c r="B540" t="s">
        <v>158</v>
      </c>
      <c r="C540" s="19">
        <v>45585</v>
      </c>
      <c r="D540" s="2">
        <v>0.29166666666666669</v>
      </c>
      <c r="E540" s="2">
        <v>0.64583333333333337</v>
      </c>
      <c r="F540">
        <v>30</v>
      </c>
      <c r="G540" s="2">
        <v>0.5</v>
      </c>
      <c r="H540">
        <v>8</v>
      </c>
      <c r="I540" t="s">
        <v>100</v>
      </c>
      <c r="J540" t="s">
        <v>101</v>
      </c>
      <c r="K540" t="s">
        <v>157</v>
      </c>
      <c r="L540" t="s">
        <v>127</v>
      </c>
    </row>
    <row r="541" spans="1:12" x14ac:dyDescent="0.2">
      <c r="A541">
        <v>5707</v>
      </c>
      <c r="B541" t="s">
        <v>119</v>
      </c>
      <c r="C541" s="19">
        <v>45585</v>
      </c>
      <c r="D541" s="2">
        <v>0.29166666666666669</v>
      </c>
      <c r="E541" s="2">
        <v>0.5625</v>
      </c>
      <c r="F541">
        <v>30</v>
      </c>
      <c r="G541" s="2">
        <v>0.47916666666666669</v>
      </c>
      <c r="H541">
        <v>6</v>
      </c>
      <c r="I541" t="s">
        <v>100</v>
      </c>
      <c r="J541" t="s">
        <v>101</v>
      </c>
      <c r="K541" t="s">
        <v>157</v>
      </c>
      <c r="L541" t="s">
        <v>127</v>
      </c>
    </row>
    <row r="542" spans="1:12" x14ac:dyDescent="0.2">
      <c r="A542">
        <v>618</v>
      </c>
      <c r="B542" t="s">
        <v>218</v>
      </c>
      <c r="C542" s="19">
        <v>45585</v>
      </c>
      <c r="D542" s="2">
        <v>0.29166666666666669</v>
      </c>
      <c r="E542" s="2">
        <v>0.64583333333333337</v>
      </c>
      <c r="F542">
        <v>30</v>
      </c>
      <c r="G542" s="2">
        <v>0.5</v>
      </c>
      <c r="H542">
        <v>8</v>
      </c>
      <c r="I542" t="s">
        <v>100</v>
      </c>
      <c r="J542" t="s">
        <v>101</v>
      </c>
      <c r="K542" t="s">
        <v>168</v>
      </c>
      <c r="L542" t="s">
        <v>127</v>
      </c>
    </row>
    <row r="543" spans="1:12" x14ac:dyDescent="0.2">
      <c r="A543">
        <v>5779</v>
      </c>
      <c r="B543" t="s">
        <v>163</v>
      </c>
      <c r="C543" s="19">
        <v>45585</v>
      </c>
      <c r="D543" s="2">
        <v>0.29166666666666669</v>
      </c>
      <c r="E543" s="2">
        <v>0.64583333333333337</v>
      </c>
      <c r="F543">
        <v>30</v>
      </c>
      <c r="G543" s="2">
        <v>0.47916666666666669</v>
      </c>
      <c r="H543">
        <v>8</v>
      </c>
      <c r="I543" t="s">
        <v>100</v>
      </c>
      <c r="J543" t="s">
        <v>101</v>
      </c>
      <c r="K543" t="s">
        <v>175</v>
      </c>
      <c r="L543" t="s">
        <v>127</v>
      </c>
    </row>
    <row r="544" spans="1:12" x14ac:dyDescent="0.2">
      <c r="A544">
        <v>5690</v>
      </c>
      <c r="B544" t="s">
        <v>174</v>
      </c>
      <c r="C544" s="19">
        <v>45585</v>
      </c>
      <c r="D544" s="2">
        <v>0.29166666666666669</v>
      </c>
      <c r="E544" s="2">
        <v>0.5625</v>
      </c>
      <c r="F544">
        <v>30</v>
      </c>
      <c r="G544" s="2">
        <v>0.47916666666666669</v>
      </c>
      <c r="H544">
        <v>6</v>
      </c>
      <c r="I544" t="s">
        <v>100</v>
      </c>
      <c r="J544" t="s">
        <v>101</v>
      </c>
      <c r="K544" t="s">
        <v>178</v>
      </c>
      <c r="L544" t="s">
        <v>127</v>
      </c>
    </row>
    <row r="545" spans="1:12" x14ac:dyDescent="0.2">
      <c r="A545">
        <v>5804</v>
      </c>
      <c r="B545" t="s">
        <v>216</v>
      </c>
      <c r="C545" s="19">
        <v>45585</v>
      </c>
      <c r="D545" s="2">
        <v>0.29166666666666669</v>
      </c>
      <c r="E545" s="2">
        <v>0.5625</v>
      </c>
      <c r="F545">
        <v>30</v>
      </c>
      <c r="G545" s="2">
        <v>0.5</v>
      </c>
      <c r="H545">
        <v>6</v>
      </c>
      <c r="I545" t="s">
        <v>100</v>
      </c>
      <c r="J545" t="s">
        <v>101</v>
      </c>
      <c r="K545" t="s">
        <v>179</v>
      </c>
      <c r="L545" t="s">
        <v>127</v>
      </c>
    </row>
    <row r="546" spans="1:12" x14ac:dyDescent="0.2">
      <c r="A546">
        <v>5520</v>
      </c>
      <c r="B546" t="s">
        <v>170</v>
      </c>
      <c r="C546" s="19">
        <v>45585</v>
      </c>
      <c r="D546" s="2">
        <v>0.29166666666666669</v>
      </c>
      <c r="E546" s="2">
        <v>0.64583333333333337</v>
      </c>
      <c r="F546">
        <v>30</v>
      </c>
      <c r="G546" s="2">
        <v>0.47916666666666669</v>
      </c>
      <c r="H546">
        <v>8</v>
      </c>
      <c r="I546" t="s">
        <v>100</v>
      </c>
      <c r="J546" t="s">
        <v>101</v>
      </c>
      <c r="K546" t="s">
        <v>184</v>
      </c>
      <c r="L546" t="s">
        <v>127</v>
      </c>
    </row>
    <row r="547" spans="1:12" x14ac:dyDescent="0.2">
      <c r="A547">
        <v>94</v>
      </c>
      <c r="B547" t="s">
        <v>137</v>
      </c>
      <c r="C547" s="19">
        <v>45585</v>
      </c>
      <c r="D547" s="2">
        <v>0.29166666666666669</v>
      </c>
      <c r="E547" s="2">
        <v>0.64583333333333337</v>
      </c>
      <c r="F547">
        <v>30</v>
      </c>
      <c r="G547" s="2">
        <v>0.5</v>
      </c>
      <c r="H547">
        <v>8</v>
      </c>
      <c r="I547" t="s">
        <v>100</v>
      </c>
      <c r="J547" t="s">
        <v>101</v>
      </c>
      <c r="K547" t="s">
        <v>185</v>
      </c>
      <c r="L547" t="s">
        <v>127</v>
      </c>
    </row>
    <row r="548" spans="1:12" x14ac:dyDescent="0.2">
      <c r="A548">
        <v>3572</v>
      </c>
      <c r="B548" t="s">
        <v>156</v>
      </c>
      <c r="C548" s="19">
        <v>45585</v>
      </c>
      <c r="D548" s="2">
        <v>0.29166666666666669</v>
      </c>
      <c r="E548" s="2">
        <v>0.64583333333333337</v>
      </c>
      <c r="F548">
        <v>30</v>
      </c>
      <c r="G548" s="2">
        <v>0.47916666666666669</v>
      </c>
      <c r="H548">
        <v>8</v>
      </c>
      <c r="I548" t="s">
        <v>100</v>
      </c>
      <c r="J548" t="s">
        <v>101</v>
      </c>
      <c r="K548" t="s">
        <v>187</v>
      </c>
      <c r="L548" t="s">
        <v>127</v>
      </c>
    </row>
    <row r="549" spans="1:12" x14ac:dyDescent="0.2">
      <c r="A549">
        <v>5672</v>
      </c>
      <c r="B549" t="s">
        <v>134</v>
      </c>
      <c r="C549" s="19">
        <v>45585</v>
      </c>
      <c r="D549" s="2">
        <v>0.29166666666666669</v>
      </c>
      <c r="E549" s="2">
        <v>0.64583333333333337</v>
      </c>
      <c r="F549">
        <v>30</v>
      </c>
      <c r="G549" s="2">
        <v>0.5</v>
      </c>
      <c r="H549">
        <v>8</v>
      </c>
      <c r="I549" t="s">
        <v>100</v>
      </c>
      <c r="J549" t="s">
        <v>101</v>
      </c>
      <c r="K549" t="s">
        <v>188</v>
      </c>
      <c r="L549" t="s">
        <v>127</v>
      </c>
    </row>
    <row r="550" spans="1:12" x14ac:dyDescent="0.2">
      <c r="A550">
        <v>1581</v>
      </c>
      <c r="B550" t="s">
        <v>136</v>
      </c>
      <c r="C550" s="19">
        <v>45585</v>
      </c>
      <c r="D550" s="2">
        <v>0.29166666666666669</v>
      </c>
      <c r="E550" s="2">
        <v>0.64583333333333337</v>
      </c>
      <c r="F550">
        <v>30</v>
      </c>
      <c r="G550" s="2">
        <v>0.47916666666666669</v>
      </c>
      <c r="H550">
        <v>8</v>
      </c>
      <c r="I550" t="s">
        <v>100</v>
      </c>
      <c r="J550" t="s">
        <v>101</v>
      </c>
      <c r="K550" t="s">
        <v>189</v>
      </c>
      <c r="L550" t="s">
        <v>127</v>
      </c>
    </row>
    <row r="551" spans="1:12" x14ac:dyDescent="0.2">
      <c r="A551">
        <v>5746</v>
      </c>
      <c r="B551" t="s">
        <v>149</v>
      </c>
      <c r="C551" s="19">
        <v>45585</v>
      </c>
      <c r="D551" s="2">
        <v>0.29166666666666669</v>
      </c>
      <c r="E551" s="2">
        <v>0.64583333333333337</v>
      </c>
      <c r="F551">
        <v>30</v>
      </c>
      <c r="G551" s="2">
        <v>0.47916666666666669</v>
      </c>
      <c r="H551">
        <v>8</v>
      </c>
      <c r="I551" t="s">
        <v>100</v>
      </c>
      <c r="J551" t="s">
        <v>101</v>
      </c>
      <c r="K551" t="s">
        <v>192</v>
      </c>
      <c r="L551" t="s">
        <v>127</v>
      </c>
    </row>
    <row r="552" spans="1:12" x14ac:dyDescent="0.2">
      <c r="A552">
        <v>5661</v>
      </c>
      <c r="B552" t="s">
        <v>133</v>
      </c>
      <c r="C552" s="19">
        <v>45585</v>
      </c>
      <c r="D552" s="2">
        <v>0.29166666666666669</v>
      </c>
      <c r="E552" s="2">
        <v>0.88541666666666663</v>
      </c>
      <c r="F552">
        <v>60</v>
      </c>
      <c r="G552" s="2">
        <v>0.70833333333333337</v>
      </c>
      <c r="H552">
        <v>13.25</v>
      </c>
      <c r="I552" t="s">
        <v>100</v>
      </c>
      <c r="J552" t="s">
        <v>101</v>
      </c>
      <c r="K552" t="s">
        <v>193</v>
      </c>
      <c r="L552" t="s">
        <v>127</v>
      </c>
    </row>
    <row r="553" spans="1:12" x14ac:dyDescent="0.2">
      <c r="A553">
        <v>5631</v>
      </c>
      <c r="B553" t="s">
        <v>182</v>
      </c>
      <c r="C553" s="19">
        <v>45585</v>
      </c>
      <c r="D553" s="2">
        <v>0.29166666666666669</v>
      </c>
      <c r="E553" s="2">
        <v>0.5625</v>
      </c>
      <c r="F553">
        <v>30</v>
      </c>
      <c r="G553" s="2">
        <v>0.47916666666666669</v>
      </c>
      <c r="H553">
        <v>6</v>
      </c>
      <c r="I553" t="s">
        <v>100</v>
      </c>
      <c r="J553" t="s">
        <v>101</v>
      </c>
      <c r="K553" t="s">
        <v>194</v>
      </c>
      <c r="L553" t="s">
        <v>127</v>
      </c>
    </row>
    <row r="554" spans="1:12" x14ac:dyDescent="0.2">
      <c r="A554">
        <v>5399</v>
      </c>
      <c r="B554" t="s">
        <v>122</v>
      </c>
      <c r="C554" s="19">
        <v>45585</v>
      </c>
      <c r="D554" s="2">
        <v>0.29166666666666669</v>
      </c>
      <c r="E554" s="2">
        <v>0.88541666666666663</v>
      </c>
      <c r="F554">
        <v>60</v>
      </c>
      <c r="G554" s="2">
        <v>0.72916666666666663</v>
      </c>
      <c r="H554">
        <v>13.25</v>
      </c>
      <c r="I554" t="s">
        <v>100</v>
      </c>
      <c r="J554" t="s">
        <v>101</v>
      </c>
      <c r="K554" t="s">
        <v>112</v>
      </c>
      <c r="L554" t="s">
        <v>114</v>
      </c>
    </row>
    <row r="555" spans="1:12" x14ac:dyDescent="0.2">
      <c r="A555">
        <v>4859</v>
      </c>
      <c r="B555" t="s">
        <v>113</v>
      </c>
      <c r="C555" s="19">
        <v>45585</v>
      </c>
      <c r="D555" s="2">
        <v>0.29166666666666669</v>
      </c>
      <c r="E555" s="2">
        <v>0.64583333333333337</v>
      </c>
      <c r="F555">
        <v>30</v>
      </c>
      <c r="G555" s="2">
        <v>0.5</v>
      </c>
      <c r="H555">
        <v>8</v>
      </c>
      <c r="I555" t="s">
        <v>100</v>
      </c>
      <c r="J555" t="s">
        <v>101</v>
      </c>
      <c r="K555" t="s">
        <v>103</v>
      </c>
      <c r="L555" t="s">
        <v>114</v>
      </c>
    </row>
    <row r="556" spans="1:12" x14ac:dyDescent="0.2">
      <c r="A556">
        <v>617</v>
      </c>
      <c r="B556" t="s">
        <v>115</v>
      </c>
      <c r="C556" s="19">
        <v>45585</v>
      </c>
      <c r="D556" s="2">
        <v>0.29166666666666669</v>
      </c>
      <c r="E556" s="2">
        <v>0.64583333333333337</v>
      </c>
      <c r="F556">
        <v>30</v>
      </c>
      <c r="G556" s="2">
        <v>0.5</v>
      </c>
      <c r="H556">
        <v>8</v>
      </c>
      <c r="I556" t="s">
        <v>100</v>
      </c>
      <c r="J556" t="s">
        <v>101</v>
      </c>
      <c r="K556" t="s">
        <v>112</v>
      </c>
      <c r="L556" t="s">
        <v>114</v>
      </c>
    </row>
    <row r="557" spans="1:12" x14ac:dyDescent="0.2">
      <c r="A557">
        <v>5555</v>
      </c>
      <c r="B557" t="s">
        <v>109</v>
      </c>
      <c r="C557" s="19">
        <v>45585</v>
      </c>
      <c r="D557" s="2">
        <v>0.29166666666666669</v>
      </c>
      <c r="E557" s="2">
        <v>0.625</v>
      </c>
      <c r="F557">
        <v>30</v>
      </c>
      <c r="G557" s="2">
        <v>0.5</v>
      </c>
      <c r="H557">
        <v>7.5</v>
      </c>
      <c r="I557" t="s">
        <v>100</v>
      </c>
      <c r="J557" t="s">
        <v>101</v>
      </c>
      <c r="K557" t="s">
        <v>103</v>
      </c>
      <c r="L557" t="s">
        <v>102</v>
      </c>
    </row>
    <row r="558" spans="1:12" x14ac:dyDescent="0.2">
      <c r="A558">
        <v>5139</v>
      </c>
      <c r="B558" t="s">
        <v>111</v>
      </c>
      <c r="C558" s="19">
        <v>45585</v>
      </c>
      <c r="D558" s="2">
        <v>0.29166666666666669</v>
      </c>
      <c r="E558" s="2">
        <v>0.64583333333333337</v>
      </c>
      <c r="F558">
        <v>30</v>
      </c>
      <c r="G558" s="2">
        <v>0.5</v>
      </c>
      <c r="H558">
        <v>8</v>
      </c>
      <c r="I558" t="s">
        <v>100</v>
      </c>
      <c r="J558" t="s">
        <v>101</v>
      </c>
      <c r="K558" t="s">
        <v>112</v>
      </c>
      <c r="L558" t="s">
        <v>102</v>
      </c>
    </row>
    <row r="559" spans="1:12" x14ac:dyDescent="0.2">
      <c r="A559">
        <v>5407</v>
      </c>
      <c r="B559" t="s">
        <v>205</v>
      </c>
      <c r="C559" s="19">
        <v>45585</v>
      </c>
      <c r="D559" s="2">
        <v>0.33333333333333331</v>
      </c>
      <c r="E559" s="2">
        <v>0.6875</v>
      </c>
      <c r="F559">
        <v>30</v>
      </c>
      <c r="G559" s="2">
        <v>0.5</v>
      </c>
      <c r="H559">
        <v>8</v>
      </c>
      <c r="I559" t="s">
        <v>100</v>
      </c>
      <c r="J559" t="s">
        <v>101</v>
      </c>
      <c r="K559" t="s">
        <v>91</v>
      </c>
      <c r="L559" t="s">
        <v>102</v>
      </c>
    </row>
    <row r="560" spans="1:12" x14ac:dyDescent="0.2">
      <c r="A560">
        <v>1933</v>
      </c>
      <c r="B560" t="s">
        <v>207</v>
      </c>
      <c r="C560" s="19">
        <v>45585</v>
      </c>
      <c r="D560" s="2">
        <v>0.58333333333333337</v>
      </c>
      <c r="E560" s="2">
        <v>0.9375</v>
      </c>
      <c r="F560">
        <v>30</v>
      </c>
      <c r="G560" s="2">
        <v>0.72916666666666663</v>
      </c>
      <c r="H560">
        <v>8</v>
      </c>
      <c r="I560" t="s">
        <v>100</v>
      </c>
      <c r="J560" t="s">
        <v>101</v>
      </c>
      <c r="K560" t="s">
        <v>112</v>
      </c>
      <c r="L560" t="s">
        <v>102</v>
      </c>
    </row>
    <row r="561" spans="1:12" x14ac:dyDescent="0.2">
      <c r="A561">
        <v>5667</v>
      </c>
      <c r="B561" t="s">
        <v>106</v>
      </c>
      <c r="C561" s="19">
        <v>45585</v>
      </c>
      <c r="D561" s="2">
        <v>0.58333333333333337</v>
      </c>
      <c r="E561" s="2">
        <v>0.9375</v>
      </c>
      <c r="F561">
        <v>30</v>
      </c>
      <c r="G561" s="2">
        <v>0.72916666666666663</v>
      </c>
      <c r="H561">
        <v>8</v>
      </c>
      <c r="I561" t="s">
        <v>100</v>
      </c>
      <c r="J561" t="s">
        <v>101</v>
      </c>
      <c r="K561" t="s">
        <v>103</v>
      </c>
      <c r="L561" t="s">
        <v>102</v>
      </c>
    </row>
    <row r="562" spans="1:12" x14ac:dyDescent="0.2">
      <c r="A562">
        <v>5759</v>
      </c>
      <c r="B562" t="s">
        <v>131</v>
      </c>
      <c r="C562" s="19">
        <v>45585</v>
      </c>
      <c r="D562" s="2">
        <v>0.63541666666666663</v>
      </c>
      <c r="E562" s="2">
        <v>0.88541666666666663</v>
      </c>
      <c r="F562">
        <v>30</v>
      </c>
      <c r="G562" s="2">
        <v>0.72916666666666663</v>
      </c>
      <c r="H562">
        <v>5.5</v>
      </c>
      <c r="I562" t="s">
        <v>100</v>
      </c>
      <c r="J562" t="s">
        <v>101</v>
      </c>
      <c r="K562" t="s">
        <v>126</v>
      </c>
      <c r="L562" t="s">
        <v>127</v>
      </c>
    </row>
    <row r="563" spans="1:12" x14ac:dyDescent="0.2">
      <c r="A563">
        <v>5810</v>
      </c>
      <c r="B563" t="s">
        <v>213</v>
      </c>
      <c r="C563" s="19">
        <v>45585</v>
      </c>
      <c r="D563" s="2">
        <v>0.63541666666666663</v>
      </c>
      <c r="E563" s="2">
        <v>0.88541666666666663</v>
      </c>
      <c r="F563">
        <v>30</v>
      </c>
      <c r="G563" s="2">
        <v>0.86458333333333337</v>
      </c>
      <c r="H563">
        <v>5.5</v>
      </c>
      <c r="I563" t="s">
        <v>100</v>
      </c>
      <c r="J563" t="s">
        <v>101</v>
      </c>
      <c r="K563" t="s">
        <v>153</v>
      </c>
      <c r="L563" t="s">
        <v>127</v>
      </c>
    </row>
    <row r="564" spans="1:12" x14ac:dyDescent="0.2">
      <c r="A564">
        <v>4460</v>
      </c>
      <c r="B564" t="s">
        <v>180</v>
      </c>
      <c r="C564" s="19">
        <v>45585</v>
      </c>
      <c r="D564" s="2">
        <v>0.63541666666666663</v>
      </c>
      <c r="E564" s="2">
        <v>0.94791666666666663</v>
      </c>
      <c r="F564">
        <v>30</v>
      </c>
      <c r="G564" s="2">
        <v>0.72916666666666663</v>
      </c>
      <c r="H564">
        <v>7</v>
      </c>
      <c r="I564" t="s">
        <v>100</v>
      </c>
      <c r="J564" t="s">
        <v>101</v>
      </c>
      <c r="K564" t="s">
        <v>157</v>
      </c>
      <c r="L564" t="s">
        <v>127</v>
      </c>
    </row>
    <row r="565" spans="1:12" x14ac:dyDescent="0.2">
      <c r="A565">
        <v>5734</v>
      </c>
      <c r="B565" t="s">
        <v>181</v>
      </c>
      <c r="C565" s="19">
        <v>45585</v>
      </c>
      <c r="D565" s="2">
        <v>0.63541666666666663</v>
      </c>
      <c r="E565" s="2">
        <v>0.94791666666666663</v>
      </c>
      <c r="F565">
        <v>30</v>
      </c>
      <c r="G565" s="2">
        <v>0.72916666666666663</v>
      </c>
      <c r="H565">
        <v>7</v>
      </c>
      <c r="I565" t="s">
        <v>100</v>
      </c>
      <c r="J565" t="s">
        <v>101</v>
      </c>
      <c r="K565" t="s">
        <v>168</v>
      </c>
      <c r="L565" t="s">
        <v>127</v>
      </c>
    </row>
    <row r="566" spans="1:12" x14ac:dyDescent="0.2">
      <c r="A566">
        <v>5786</v>
      </c>
      <c r="B566" t="s">
        <v>162</v>
      </c>
      <c r="C566" s="19">
        <v>45585</v>
      </c>
      <c r="D566" s="2">
        <v>0.63541666666666663</v>
      </c>
      <c r="E566" s="2">
        <v>0.88541666666666663</v>
      </c>
      <c r="F566">
        <v>30</v>
      </c>
      <c r="G566" s="2">
        <v>0.72916666666666663</v>
      </c>
      <c r="H566">
        <v>5.5</v>
      </c>
      <c r="I566" t="s">
        <v>100</v>
      </c>
      <c r="J566" t="s">
        <v>101</v>
      </c>
      <c r="K566" t="s">
        <v>175</v>
      </c>
      <c r="L566" t="s">
        <v>127</v>
      </c>
    </row>
    <row r="567" spans="1:12" x14ac:dyDescent="0.2">
      <c r="A567">
        <v>5767</v>
      </c>
      <c r="B567" t="s">
        <v>148</v>
      </c>
      <c r="C567" s="19">
        <v>45585</v>
      </c>
      <c r="D567" s="2">
        <v>0.63541666666666663</v>
      </c>
      <c r="E567" s="2">
        <v>0.30208333333333331</v>
      </c>
      <c r="F567">
        <v>60</v>
      </c>
      <c r="G567" s="2">
        <v>5.2083333333333336E-2</v>
      </c>
      <c r="H567">
        <v>15</v>
      </c>
      <c r="I567" t="s">
        <v>100</v>
      </c>
      <c r="J567" t="s">
        <v>101</v>
      </c>
      <c r="K567" t="s">
        <v>179</v>
      </c>
      <c r="L567" t="s">
        <v>127</v>
      </c>
    </row>
    <row r="568" spans="1:12" x14ac:dyDescent="0.2">
      <c r="A568">
        <v>1270</v>
      </c>
      <c r="B568" t="s">
        <v>166</v>
      </c>
      <c r="C568" s="19">
        <v>45585</v>
      </c>
      <c r="D568" s="2">
        <v>0.63541666666666663</v>
      </c>
      <c r="E568" s="2">
        <v>0.94791666666666663</v>
      </c>
      <c r="F568">
        <v>30</v>
      </c>
      <c r="G568" s="2">
        <v>0.72916666666666663</v>
      </c>
      <c r="H568">
        <v>7</v>
      </c>
      <c r="I568" t="s">
        <v>100</v>
      </c>
      <c r="J568" t="s">
        <v>101</v>
      </c>
      <c r="K568" t="s">
        <v>185</v>
      </c>
      <c r="L568" t="s">
        <v>127</v>
      </c>
    </row>
    <row r="569" spans="1:12" x14ac:dyDescent="0.2">
      <c r="A569">
        <v>5542</v>
      </c>
      <c r="B569" t="s">
        <v>190</v>
      </c>
      <c r="C569" s="19">
        <v>45585</v>
      </c>
      <c r="D569" s="2">
        <v>0.63541666666666663</v>
      </c>
      <c r="E569" s="2">
        <v>0.94791666666666663</v>
      </c>
      <c r="F569">
        <v>30</v>
      </c>
      <c r="G569" s="2">
        <v>0.72916666666666663</v>
      </c>
      <c r="H569">
        <v>7</v>
      </c>
      <c r="I569" t="s">
        <v>100</v>
      </c>
      <c r="J569" t="s">
        <v>101</v>
      </c>
      <c r="K569" t="s">
        <v>187</v>
      </c>
      <c r="L569" t="s">
        <v>127</v>
      </c>
    </row>
    <row r="570" spans="1:12" x14ac:dyDescent="0.2">
      <c r="A570">
        <v>646</v>
      </c>
      <c r="B570" t="s">
        <v>124</v>
      </c>
      <c r="C570" s="19">
        <v>45585</v>
      </c>
      <c r="D570" s="2">
        <v>0.63541666666666663</v>
      </c>
      <c r="E570" s="2">
        <v>0.88541666666666663</v>
      </c>
      <c r="F570">
        <v>30</v>
      </c>
      <c r="G570" s="2">
        <v>0.72916666666666663</v>
      </c>
      <c r="H570">
        <v>5.5</v>
      </c>
      <c r="I570" t="s">
        <v>100</v>
      </c>
      <c r="J570" t="s">
        <v>101</v>
      </c>
      <c r="K570" t="s">
        <v>189</v>
      </c>
      <c r="L570" t="s">
        <v>127</v>
      </c>
    </row>
    <row r="571" spans="1:12" x14ac:dyDescent="0.2">
      <c r="A571">
        <v>5787</v>
      </c>
      <c r="B571" t="s">
        <v>130</v>
      </c>
      <c r="C571" s="19">
        <v>45585</v>
      </c>
      <c r="D571" s="2">
        <v>0.63541666666666663</v>
      </c>
      <c r="E571" s="2">
        <v>0.88541666666666663</v>
      </c>
      <c r="F571">
        <v>30</v>
      </c>
      <c r="G571" s="2">
        <v>0.72916666666666663</v>
      </c>
      <c r="H571">
        <v>5.5</v>
      </c>
      <c r="I571" t="s">
        <v>100</v>
      </c>
      <c r="J571" t="s">
        <v>101</v>
      </c>
      <c r="K571" t="s">
        <v>192</v>
      </c>
      <c r="L571" t="s">
        <v>127</v>
      </c>
    </row>
    <row r="572" spans="1:12" x14ac:dyDescent="0.2">
      <c r="A572">
        <v>2970</v>
      </c>
      <c r="B572" t="s">
        <v>195</v>
      </c>
      <c r="C572" s="19">
        <v>45585</v>
      </c>
      <c r="D572" s="2">
        <v>0.63541666666666663</v>
      </c>
      <c r="E572" s="2">
        <v>0.94791666666666663</v>
      </c>
      <c r="F572">
        <v>30</v>
      </c>
      <c r="G572" s="2">
        <v>0.72916666666666663</v>
      </c>
      <c r="H572">
        <v>7</v>
      </c>
      <c r="I572" t="s">
        <v>100</v>
      </c>
      <c r="J572" t="s">
        <v>101</v>
      </c>
      <c r="K572" t="s">
        <v>193</v>
      </c>
      <c r="L572" t="s">
        <v>127</v>
      </c>
    </row>
    <row r="573" spans="1:12" x14ac:dyDescent="0.2">
      <c r="A573">
        <v>5729</v>
      </c>
      <c r="B573" t="s">
        <v>165</v>
      </c>
      <c r="C573" s="19">
        <v>45585</v>
      </c>
      <c r="D573" s="2">
        <v>0.63541666666666663</v>
      </c>
      <c r="E573" s="2">
        <v>0.88541666666666663</v>
      </c>
      <c r="F573">
        <v>30</v>
      </c>
      <c r="G573" s="2">
        <v>0.72916666666666663</v>
      </c>
      <c r="H573">
        <v>5.5</v>
      </c>
      <c r="I573" t="s">
        <v>100</v>
      </c>
      <c r="J573" t="s">
        <v>101</v>
      </c>
      <c r="K573" t="s">
        <v>194</v>
      </c>
      <c r="L573" t="s">
        <v>127</v>
      </c>
    </row>
    <row r="574" spans="1:12" x14ac:dyDescent="0.2">
      <c r="A574">
        <v>5227</v>
      </c>
      <c r="B574" t="s">
        <v>118</v>
      </c>
      <c r="C574" s="19">
        <v>45585</v>
      </c>
      <c r="D574" s="2">
        <v>0.63541666666666663</v>
      </c>
      <c r="E574" s="2">
        <v>0.88541666666666663</v>
      </c>
      <c r="F574">
        <v>30</v>
      </c>
      <c r="G574" s="2">
        <v>0.72916666666666663</v>
      </c>
      <c r="H574">
        <v>5.5</v>
      </c>
      <c r="I574" t="s">
        <v>100</v>
      </c>
      <c r="J574" t="s">
        <v>101</v>
      </c>
      <c r="K574" t="s">
        <v>123</v>
      </c>
      <c r="L574" t="s">
        <v>114</v>
      </c>
    </row>
    <row r="575" spans="1:12" x14ac:dyDescent="0.2">
      <c r="A575">
        <v>1445</v>
      </c>
      <c r="B575" t="s">
        <v>214</v>
      </c>
      <c r="C575" s="19">
        <v>45585</v>
      </c>
      <c r="D575" s="2">
        <v>0.9375</v>
      </c>
      <c r="E575" s="2">
        <v>0.30208333333333331</v>
      </c>
      <c r="F575">
        <v>30</v>
      </c>
      <c r="G575" s="2">
        <v>0.14583333333333334</v>
      </c>
      <c r="H575">
        <v>8.25</v>
      </c>
      <c r="I575" t="s">
        <v>100</v>
      </c>
      <c r="J575" t="s">
        <v>101</v>
      </c>
      <c r="K575" t="s">
        <v>139</v>
      </c>
      <c r="L575" t="s">
        <v>127</v>
      </c>
    </row>
    <row r="576" spans="1:12" x14ac:dyDescent="0.2">
      <c r="A576">
        <v>369</v>
      </c>
      <c r="B576" t="s">
        <v>151</v>
      </c>
      <c r="C576" s="19">
        <v>45585</v>
      </c>
      <c r="D576" s="2">
        <v>0.9375</v>
      </c>
      <c r="E576" s="2">
        <v>0.28125</v>
      </c>
      <c r="F576">
        <v>30</v>
      </c>
      <c r="G576" s="2">
        <v>0.14583333333333334</v>
      </c>
      <c r="H576">
        <v>7.75</v>
      </c>
      <c r="I576" t="s">
        <v>100</v>
      </c>
      <c r="J576" t="s">
        <v>101</v>
      </c>
      <c r="K576" t="s">
        <v>147</v>
      </c>
      <c r="L576" t="s">
        <v>127</v>
      </c>
    </row>
    <row r="577" spans="1:12" x14ac:dyDescent="0.2">
      <c r="A577">
        <v>110</v>
      </c>
      <c r="B577" t="s">
        <v>140</v>
      </c>
      <c r="C577" s="19">
        <v>45585</v>
      </c>
      <c r="D577" s="2">
        <v>0.9375</v>
      </c>
      <c r="E577" s="2">
        <v>0.30208333333333331</v>
      </c>
      <c r="F577">
        <v>30</v>
      </c>
      <c r="G577" s="2">
        <v>0.14583333333333334</v>
      </c>
      <c r="H577">
        <v>8.25</v>
      </c>
      <c r="I577" t="s">
        <v>100</v>
      </c>
      <c r="J577" t="s">
        <v>101</v>
      </c>
      <c r="K577" t="s">
        <v>168</v>
      </c>
      <c r="L577" t="s">
        <v>127</v>
      </c>
    </row>
    <row r="578" spans="1:12" x14ac:dyDescent="0.2">
      <c r="A578">
        <v>153</v>
      </c>
      <c r="B578" t="s">
        <v>146</v>
      </c>
      <c r="C578" s="19">
        <v>45585</v>
      </c>
      <c r="D578" s="2">
        <v>0.9375</v>
      </c>
      <c r="E578" s="2">
        <v>0.30208333333333331</v>
      </c>
      <c r="F578">
        <v>30</v>
      </c>
      <c r="G578" s="2">
        <v>0.14583333333333334</v>
      </c>
      <c r="H578">
        <v>8.25</v>
      </c>
      <c r="I578" t="s">
        <v>100</v>
      </c>
      <c r="J578" t="s">
        <v>101</v>
      </c>
      <c r="K578" t="s">
        <v>185</v>
      </c>
      <c r="L578" t="s">
        <v>127</v>
      </c>
    </row>
    <row r="579" spans="1:12" x14ac:dyDescent="0.2">
      <c r="A579">
        <v>5653</v>
      </c>
      <c r="B579" t="s">
        <v>143</v>
      </c>
      <c r="C579" s="19">
        <v>45585</v>
      </c>
      <c r="D579" s="2">
        <v>0.9375</v>
      </c>
      <c r="E579" s="2">
        <v>0.30208333333333331</v>
      </c>
      <c r="F579">
        <v>30</v>
      </c>
      <c r="G579" s="2">
        <v>0.14583333333333334</v>
      </c>
      <c r="H579">
        <v>8.25</v>
      </c>
      <c r="I579" t="s">
        <v>100</v>
      </c>
      <c r="J579" t="s">
        <v>101</v>
      </c>
      <c r="K579" t="s">
        <v>197</v>
      </c>
      <c r="L579" t="s">
        <v>127</v>
      </c>
    </row>
    <row r="2280" spans="18:24" x14ac:dyDescent="0.2">
      <c r="R2280" t="s">
        <v>13</v>
      </c>
      <c r="V2280" t="s">
        <v>13</v>
      </c>
      <c r="W2280">
        <v>44872</v>
      </c>
      <c r="X2280" t="s">
        <v>77</v>
      </c>
    </row>
    <row r="2281" spans="18:24" x14ac:dyDescent="0.2">
      <c r="R2281" t="s">
        <v>27</v>
      </c>
      <c r="V2281" t="s">
        <v>27</v>
      </c>
      <c r="W2281">
        <v>44872</v>
      </c>
      <c r="X2281" t="s">
        <v>77</v>
      </c>
    </row>
    <row r="2282" spans="18:24" x14ac:dyDescent="0.2">
      <c r="R2282" t="s">
        <v>15</v>
      </c>
      <c r="V2282" t="s">
        <v>19</v>
      </c>
      <c r="W2282">
        <v>44872</v>
      </c>
      <c r="X2282" t="s">
        <v>77</v>
      </c>
    </row>
    <row r="2283" spans="18:24" x14ac:dyDescent="0.2">
      <c r="R2283" t="s">
        <v>19</v>
      </c>
      <c r="V2283" t="s">
        <v>26</v>
      </c>
      <c r="W2283">
        <v>44872</v>
      </c>
      <c r="X2283" t="s">
        <v>77</v>
      </c>
    </row>
    <row r="2284" spans="18:24" x14ac:dyDescent="0.2">
      <c r="R2284" t="s">
        <v>25</v>
      </c>
      <c r="V2284" t="s">
        <v>16</v>
      </c>
      <c r="W2284">
        <v>44872</v>
      </c>
      <c r="X2284" t="s">
        <v>77</v>
      </c>
    </row>
    <row r="2285" spans="18:24" x14ac:dyDescent="0.2">
      <c r="R2285" t="s">
        <v>31</v>
      </c>
      <c r="V2285" t="s">
        <v>10</v>
      </c>
      <c r="W2285">
        <v>44872</v>
      </c>
      <c r="X2285" t="s">
        <v>77</v>
      </c>
    </row>
    <row r="2286" spans="18:24" x14ac:dyDescent="0.2">
      <c r="R2286" t="s">
        <v>26</v>
      </c>
      <c r="V2286" t="s">
        <v>23</v>
      </c>
      <c r="W2286">
        <v>44872</v>
      </c>
      <c r="X2286" t="s">
        <v>77</v>
      </c>
    </row>
    <row r="2287" spans="18:24" x14ac:dyDescent="0.2">
      <c r="R2287" t="s">
        <v>33</v>
      </c>
      <c r="V2287" t="s">
        <v>32</v>
      </c>
      <c r="W2287">
        <v>44872</v>
      </c>
      <c r="X2287" t="s">
        <v>77</v>
      </c>
    </row>
    <row r="2288" spans="18:24" x14ac:dyDescent="0.2">
      <c r="R2288" t="s">
        <v>28</v>
      </c>
      <c r="V2288" t="s">
        <v>34</v>
      </c>
      <c r="W2288">
        <v>44872</v>
      </c>
      <c r="X2288" t="s">
        <v>77</v>
      </c>
    </row>
    <row r="2289" spans="18:24" x14ac:dyDescent="0.2">
      <c r="R2289" t="s">
        <v>11</v>
      </c>
      <c r="V2289" t="s">
        <v>28</v>
      </c>
      <c r="W2289">
        <v>44872</v>
      </c>
      <c r="X2289" t="s">
        <v>78</v>
      </c>
    </row>
    <row r="2290" spans="18:24" x14ac:dyDescent="0.2">
      <c r="R2290" t="s">
        <v>20</v>
      </c>
      <c r="V2290" t="s">
        <v>24</v>
      </c>
      <c r="W2290">
        <v>44872</v>
      </c>
      <c r="X2290" t="s">
        <v>78</v>
      </c>
    </row>
    <row r="2291" spans="18:24" x14ac:dyDescent="0.2">
      <c r="R2291" t="s">
        <v>29</v>
      </c>
    </row>
    <row r="2292" spans="18:24" x14ac:dyDescent="0.2">
      <c r="R2292" t="s">
        <v>22</v>
      </c>
    </row>
    <row r="2293" spans="18:24" x14ac:dyDescent="0.2">
      <c r="R2293" t="s">
        <v>18</v>
      </c>
    </row>
    <row r="2294" spans="18:24" x14ac:dyDescent="0.2">
      <c r="R2294" t="s">
        <v>21</v>
      </c>
    </row>
    <row r="2295" spans="18:24" x14ac:dyDescent="0.2">
      <c r="R2295" t="s">
        <v>24</v>
      </c>
    </row>
    <row r="2296" spans="18:24" x14ac:dyDescent="0.2">
      <c r="R2296" t="s">
        <v>14</v>
      </c>
    </row>
    <row r="2297" spans="18:24" x14ac:dyDescent="0.2">
      <c r="R2297" t="s">
        <v>16</v>
      </c>
    </row>
    <row r="2298" spans="18:24" x14ac:dyDescent="0.2">
      <c r="R2298" t="s">
        <v>10</v>
      </c>
    </row>
    <row r="2299" spans="18:24" x14ac:dyDescent="0.2">
      <c r="R2299" t="s">
        <v>23</v>
      </c>
    </row>
    <row r="2300" spans="18:24" x14ac:dyDescent="0.2">
      <c r="R2300" t="s">
        <v>32</v>
      </c>
    </row>
    <row r="2301" spans="18:24" x14ac:dyDescent="0.2">
      <c r="R2301" t="s">
        <v>30</v>
      </c>
    </row>
    <row r="2302" spans="18:24" x14ac:dyDescent="0.2">
      <c r="R2302" t="s">
        <v>17</v>
      </c>
    </row>
    <row r="2303" spans="18:24" x14ac:dyDescent="0.2">
      <c r="R2303" t="s">
        <v>12</v>
      </c>
    </row>
    <row r="2304" spans="18:24" x14ac:dyDescent="0.2">
      <c r="R2304" t="s">
        <v>34</v>
      </c>
    </row>
  </sheetData>
  <phoneticPr fontId="1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A1F48090-5841-4279-A35F-1B74E3C436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527086-B5BC-47F8-94D3-AECCB392F1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26139D-4069-4FA0-8A01-B3BE91953CEA}">
  <ds:schemaRefs>
    <ds:schemaRef ds:uri="http://purl.org/dc/elements/1.1/"/>
    <ds:schemaRef ds:uri="http://purl.org/dc/terms/"/>
    <ds:schemaRef ds:uri="http://schemas.openxmlformats.org/package/2006/metadata/core-properties"/>
    <ds:schemaRef ds:uri="3be0b85a-8471-4f10-b038-505fde09e598"/>
    <ds:schemaRef ds:uri="http://purl.org/dc/dcmitype/"/>
    <ds:schemaRef ds:uri="http://schemas.microsoft.com/office/2006/documentManagement/types"/>
    <ds:schemaRef ds:uri="http://schemas.microsoft.com/office/infopath/2007/PartnerControls"/>
    <ds:schemaRef ds:uri="f82d1b6b-c0e6-44b0-99a2-d357b2d50896"/>
    <ds:schemaRef ds:uri="http://schemas.microsoft.com/office/2006/metadata/properties"/>
    <ds:schemaRef ds:uri="http://www.w3.org/XML/1998/namespace"/>
    <ds:schemaRef ds:uri="f574b478-68e4-495d-9b17-0f93d51a8ef7"/>
    <ds:schemaRef ds:uri="a6ef9c2c-1ad1-4c09-9d1c-8c71a768c11f"/>
  </ds:schemaRefs>
</ds:datastoreItem>
</file>

<file path=customXml/itemProps4.xml><?xml version="1.0" encoding="utf-8"?>
<ds:datastoreItem xmlns:ds="http://schemas.openxmlformats.org/officeDocument/2006/customXml" ds:itemID="{FD309B9C-6EDB-4C57-944D-FB4C9A6276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FilePath</vt:lpstr>
      <vt:lpstr>FILEPATH-Facility</vt:lpstr>
      <vt:lpstr>MaxCapacity</vt:lpstr>
      <vt:lpstr>ShiftHours</vt:lpstr>
      <vt:lpstr>PermutationDimensions (2)</vt:lpstr>
      <vt:lpstr>DimensionPermutations</vt:lpstr>
      <vt:lpstr>Metadata</vt:lpstr>
      <vt:lpstr>AllocationExtracted</vt:lpstr>
      <vt:lpstr>'FILEPATH-Facility'!Client</vt:lpstr>
      <vt:lpstr>'FILEPATH-Facility'!Role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TrinGrid - Final (Hours)</dc:title>
  <dc:creator>steph</dc:creator>
  <cp:lastModifiedBy>Cliff James</cp:lastModifiedBy>
  <dcterms:created xsi:type="dcterms:W3CDTF">2022-12-14T06:23:17Z</dcterms:created>
  <dcterms:modified xsi:type="dcterms:W3CDTF">2026-05-21T05:17:41Z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2022-12-06T00:00:00Z</vt:filetime>
  </property>
  <property fmtid="{D5CDD505-2E9C-101B-9397-08002B2CF9AE}" pid="3" name="LastSaved">
    <vt:filetime>2022-12-14T00:00:00Z</vt:filetime>
  </property>
  <property fmtid="{D5CDD505-2E9C-101B-9397-08002B2CF9AE}" pid="4" name="Producer">
    <vt:lpwstr>Microsoft: Print To PDF</vt:lpwstr>
  </property>
  <property fmtid="{D5CDD505-2E9C-101B-9397-08002B2CF9AE}" pid="5" name="MediaServiceImageTags">
    <vt:lpwstr/>
  </property>
  <property fmtid="{D5CDD505-2E9C-101B-9397-08002B2CF9AE}" pid="6" name="ContentTypeId">
    <vt:lpwstr>0x0101008BBE42521EE0684FB91080D193FD289B</vt:lpwstr>
  </property>
</Properties>
</file>