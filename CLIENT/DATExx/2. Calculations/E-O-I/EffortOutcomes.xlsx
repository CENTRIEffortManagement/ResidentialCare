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ntri001.sharepoint.com/sites/3Product/Shared Documents/AEM/Excel Template/CLIENT/DATExx/2. Calculations/E-O-I/"/>
    </mc:Choice>
  </mc:AlternateContent>
  <xr:revisionPtr revIDLastSave="454" documentId="13_ncr:1_{469192FF-9D60-419A-9806-83D1D3CD8DDD}" xr6:coauthVersionLast="47" xr6:coauthVersionMax="47" xr10:uidLastSave="{B083ED03-B2B8-4A6C-A384-D21E7431B84F}"/>
  <bookViews>
    <workbookView xWindow="-120" yWindow="-120" windowWidth="38640" windowHeight="15840" xr2:uid="{54BCF897-9282-43A6-91D7-49C181E3DA9F}"/>
  </bookViews>
  <sheets>
    <sheet name="Unit1Path" sheetId="12" r:id="rId1"/>
    <sheet name="FILEPATH-EffortALL" sheetId="11" r:id="rId2"/>
    <sheet name="Table_EffortAllMatrixAG1_1D" sheetId="8" r:id="rId3"/>
    <sheet name="EffortOutcomesAG1-1DayShift" sheetId="3" r:id="rId4"/>
  </sheets>
  <externalReferences>
    <externalReference r:id="rId5"/>
    <externalReference r:id="rId6"/>
    <externalReference r:id="rId7"/>
    <externalReference r:id="rId8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1">'FILEPATH-EffortALL'!$B$14</definedName>
    <definedName name="Client" localSheetId="0">Unit1Path!$B$19</definedName>
    <definedName name="Client">#REF!</definedName>
    <definedName name="Contractor_Margin" localSheetId="0">#REF!</definedName>
    <definedName name="Contractor_Margin">#REF!</definedName>
    <definedName name="Date" localSheetId="1">[1]FILEPATH!$B$21</definedName>
    <definedName name="Date">#REF!</definedName>
    <definedName name="Directory" localSheetId="1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Unit1Path!$A$3:$B$10</definedName>
    <definedName name="ExternalData_2" localSheetId="3" hidden="1">'EffortOutcomesAG1-1DayShift'!$A$1:$U$253</definedName>
    <definedName name="ExternalData_3" localSheetId="2" hidden="1">Table_EffortAllMatrixAG1_1D!$A$1:$L$253</definedName>
    <definedName name="Facility" localSheetId="0">#REF!</definedName>
    <definedName name="Facility">#REF!</definedName>
    <definedName name="FilePathUrl">Unit1Path!$B$1</definedName>
    <definedName name="FTE" localSheetId="1">#REF!</definedName>
    <definedName name="FTE">#REF!</definedName>
    <definedName name="HRS" localSheetId="1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1">'FILEPATH-EffortALL'!$B$18</definedName>
    <definedName name="Location" localSheetId="0">Unit1Path!#REF!</definedName>
    <definedName name="Location">#REF!</definedName>
    <definedName name="MAIT_date_adjusted_for_example" localSheetId="1">#REF!</definedName>
    <definedName name="MAIT_date_adjusted_for_example">#REF!</definedName>
    <definedName name="Max_HRS" localSheetId="1">[2]RN!$P$2</definedName>
    <definedName name="Max_HRS">#REF!</definedName>
    <definedName name="MaxCapacityFactor">[3]MaxCapacity!$A$2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Unit1Path!$B$40</definedName>
    <definedName name="Role">#REF!</definedName>
    <definedName name="ROLE_TITLE">#REF!</definedName>
    <definedName name="Type" localSheetId="1">[1]FILEPATH!$B$19</definedName>
    <definedName name="Type">#REF!</definedName>
    <definedName name="UNIT" localSheetId="1">[2]RN!$M$2</definedName>
    <definedName name="UNIT">#REF!</definedName>
    <definedName name="xxxxRange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2" l="1" a="1"/>
  <c r="B1" i="12" s="1"/>
  <c r="C19" i="11"/>
  <c r="B14" i="11" a="1"/>
  <c r="B14" i="11" s="1"/>
  <c r="B18" i="11" s="1"/>
  <c r="B9" i="11" a="1"/>
  <c r="B9" i="11" s="1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2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2" i="8"/>
  <c r="B15" i="11" l="1" a="1"/>
  <c r="B15" i="11" s="1"/>
  <c r="C15" i="11" s="1"/>
  <c r="C20" i="11" s="1"/>
  <c r="B27" i="11"/>
  <c r="C18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4FC707-12E7-4DF1-9C1C-024B1E387620}" keepAlive="1" name="Query - EffortOutcomesAG1-1DayShift" description="Connection to the 'EffortOutcomesAG1-1DayShift' query in the workbook." type="5" refreshedVersion="8" background="1" saveData="1">
    <dbPr connection="Provider=Microsoft.Mashup.OleDb.1;Data Source=$Workbook$;Location=EffortOutcomesAG1-1DayShift;Extended Properties=&quot;&quot;" command="SELECT * FROM [EffortOutcomesAG1-1DayShift]"/>
  </connection>
  <connection id="2" xr16:uid="{11521046-7509-4E0F-B479-EC31FD44D76F}" keepAlive="1" name="Query - Folder !!" description="Connection to the 'Folder !!' query in the workbook." type="5" refreshedVersion="0" background="1" saveData="1">
    <dbPr connection="Provider=Microsoft.Mashup.OleDb.1;Data Source=$Workbook$;Location=&quot;Folder !!&quot;;Extended Properties=&quot;&quot;" command="SELECT * FROM [Folder !!]"/>
  </connection>
  <connection id="3" xr16:uid="{DAB46E10-74AE-451A-92EE-4B269117B419}" keepAlive="1" name="Query - IMPORT Table_EffortAllMatrixAG1_1D !!" description="Connection to the 'IMPORT Table_EffortAllMatrixAG1_1D !!' query in the workbook." type="5" refreshedVersion="8" background="1" saveData="1">
    <dbPr connection="Provider=Microsoft.Mashup.OleDb.1;Data Source=$Workbook$;Location=&quot;IMPORT Table_EffortAllMatrixAG1_1D !!&quot;;Extended Properties=&quot;&quot;" command="SELECT * FROM [IMPORT Table_EffortAllMatrixAG1_1D !!]"/>
  </connection>
  <connection id="4" xr16:uid="{6EABCF84-B0AC-40DE-A79E-656E0603A841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<sst xmlns="http://schemas.openxmlformats.org/spreadsheetml/2006/main" count="2083" uniqueCount="98">
  <si>
    <t>Date</t>
  </si>
  <si>
    <t>Role</t>
  </si>
  <si>
    <t>Allocation</t>
  </si>
  <si>
    <t>Demand</t>
  </si>
  <si>
    <t>Capacity</t>
  </si>
  <si>
    <t>CapacityX</t>
  </si>
  <si>
    <t>Apn</t>
  </si>
  <si>
    <t>Apx</t>
  </si>
  <si>
    <t>Ai</t>
  </si>
  <si>
    <t>Epn</t>
  </si>
  <si>
    <t>EpX</t>
  </si>
  <si>
    <t>Ein</t>
  </si>
  <si>
    <t>Ipx</t>
  </si>
  <si>
    <t>AM</t>
  </si>
  <si>
    <t>PM</t>
  </si>
  <si>
    <t>NIGHT</t>
  </si>
  <si>
    <t>Iin</t>
  </si>
  <si>
    <t>Ipn</t>
  </si>
  <si>
    <t>Folder</t>
  </si>
  <si>
    <t>CapacityMaxHC</t>
  </si>
  <si>
    <t>DATESHIFT</t>
  </si>
  <si>
    <t>Shift</t>
  </si>
  <si>
    <t>Facility</t>
  </si>
  <si>
    <t>SharedPath</t>
  </si>
  <si>
    <t>Client</t>
  </si>
  <si>
    <t>Type</t>
  </si>
  <si>
    <t>04 Analysis</t>
  </si>
  <si>
    <t>Location</t>
  </si>
  <si>
    <t>ShiftDurations.ShiftDuration</t>
  </si>
  <si>
    <t>ASHB</t>
  </si>
  <si>
    <t>COUR</t>
  </si>
  <si>
    <t>From Computerpath</t>
  </si>
  <si>
    <t>CommonSharedPath</t>
  </si>
  <si>
    <t>Manual Entry</t>
  </si>
  <si>
    <t>Calcualted</t>
  </si>
  <si>
    <t>Facility1</t>
  </si>
  <si>
    <t>Facility2</t>
  </si>
  <si>
    <t>DateAlignment</t>
  </si>
  <si>
    <t>AIN</t>
  </si>
  <si>
    <t>7/10/2024PM</t>
  </si>
  <si>
    <t>7/10/2024NIGHT</t>
  </si>
  <si>
    <t>7/10/2024AM</t>
  </si>
  <si>
    <t>RN</t>
  </si>
  <si>
    <t>8/10/2024NIGHT</t>
  </si>
  <si>
    <t>8/10/2024AM</t>
  </si>
  <si>
    <t>8/10/2024PM</t>
  </si>
  <si>
    <t>9/10/2024PM</t>
  </si>
  <si>
    <t>9/10/2024AM</t>
  </si>
  <si>
    <t>9/10/2024NIGHT</t>
  </si>
  <si>
    <t>10/10/2024PM</t>
  </si>
  <si>
    <t>10/10/2024NIGHT</t>
  </si>
  <si>
    <t>10/10/2024AM</t>
  </si>
  <si>
    <t>11/10/2024NIGHT</t>
  </si>
  <si>
    <t>11/10/2024AM</t>
  </si>
  <si>
    <t>11/10/2024PM</t>
  </si>
  <si>
    <t>12/10/2024NIGHT</t>
  </si>
  <si>
    <t>12/10/2024AM</t>
  </si>
  <si>
    <t>12/10/2024PM</t>
  </si>
  <si>
    <t>13/10/2024PM</t>
  </si>
  <si>
    <t>13/10/2024NIGHT</t>
  </si>
  <si>
    <t>13/10/2024AM</t>
  </si>
  <si>
    <t>14/10/2024AM</t>
  </si>
  <si>
    <t>14/10/2024NIGHT</t>
  </si>
  <si>
    <t>14/10/2024PM</t>
  </si>
  <si>
    <t>15/10/2024PM</t>
  </si>
  <si>
    <t>15/10/2024NIGHT</t>
  </si>
  <si>
    <t>15/10/2024AM</t>
  </si>
  <si>
    <t>16/10/2024PM</t>
  </si>
  <si>
    <t>16/10/2024NIGHT</t>
  </si>
  <si>
    <t>16/10/2024AM</t>
  </si>
  <si>
    <t>17/10/2024NIGHT</t>
  </si>
  <si>
    <t>17/10/2024PM</t>
  </si>
  <si>
    <t>17/10/2024AM</t>
  </si>
  <si>
    <t>18/10/2024AM</t>
  </si>
  <si>
    <t>18/10/2024NIGHT</t>
  </si>
  <si>
    <t>18/10/2024PM</t>
  </si>
  <si>
    <t>19/10/2024PM</t>
  </si>
  <si>
    <t>19/10/2024NIGHT</t>
  </si>
  <si>
    <t>19/10/2024AM</t>
  </si>
  <si>
    <t>20/10/2024PM</t>
  </si>
  <si>
    <t>20/10/2024NIGHT</t>
  </si>
  <si>
    <t>20/10/2024AM</t>
  </si>
  <si>
    <t>AINC4</t>
  </si>
  <si>
    <t>DateX</t>
  </si>
  <si>
    <t>Variable Name</t>
  </si>
  <si>
    <t>Value</t>
  </si>
  <si>
    <t>UserName</t>
  </si>
  <si>
    <t>Root Path</t>
  </si>
  <si>
    <t>FilePathUrl</t>
  </si>
  <si>
    <t>Unit</t>
  </si>
  <si>
    <t>FileName</t>
  </si>
  <si>
    <t>Cliff's Computer</t>
  </si>
  <si>
    <t>C:\Users\Cliff's Computer\Centri\3. Product - Documents\AEM\Excel Template\CLIENT\DATExx\2. Calculations\E-O-I</t>
  </si>
  <si>
    <t>https:\\centri001.sharepoint.com\sites\3Product\Shared Documents\AEM\Excel Template\CLIENT\DATExx\2. Calculations\E-O-I\[EffortOutcomes.xlsx]Unit1Path</t>
  </si>
  <si>
    <t>AEM</t>
  </si>
  <si>
    <t>Excel Template</t>
  </si>
  <si>
    <t>DATExx</t>
  </si>
  <si>
    <t>EffortOutcomes.xlsx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</si>
</sst>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6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2" fillId="2" borderId="0" xfId="1" applyFill="1" applyAlignment="1">
      <alignment horizontal="left" vertical="top"/>
    </xf>
    <xf numFmtId="0" fontId="8" fillId="0" borderId="2" xfId="0" applyFont="1" applyBorder="1"/>
  </cellXfs>
  <cellStyles count="2">
    <cellStyle name="Normal" xfId="0" builtinId="0"/>
    <cellStyle name="Normal 2" xfId="1" xr:uid="{6F165663-C337-4181-9B50-027A78909AC2}"/>
  </cellStyles>
  <dxfs count="3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heetMetadata" Target="metadata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602/2.%20Calculations/Capacity.xlsx" TargetMode="External"/><Relationship Id="rId1" Type="http://schemas.openxmlformats.org/officeDocument/2006/relationships/externalLinkPath" Target="/sites/2.0Accounts/Shared%20Documents/2.1.1%20RFBI-PoC/2.0%20RFBI/04.1%20PoC/04%20Analysis/Berry/230629/2.%20Calculations/Capac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/sites/2.0Accounts/Shared%20Documents/2.1.1%20RFBI-PoC/2.0%20RFBI/04.1%20PoC/04%20Analysis/230714/2.%20Calculations/Change/ResidualAllocation-Temp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/sites/4.Production/Shared%20Documents/WFEffectiveness/4.1.1%20AGED%20CARE/01%20Christadelphian%20Aged%20Care/240715/FACILITIES/ASHB/2.%20Calculations/Settings%20Data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COMPUTERPATH.xlsx" TargetMode="External"/><Relationship Id="rId1" Type="http://schemas.openxmlformats.org/officeDocument/2006/relationships/externalLinkPath" Target="/sites/4.Production/Shared%20Documents/WFEffectiveness/4.1.1%20AGED%20CARE/01%20Christadelphian%20Aged%20Care/240715/COMPUTERPAT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"/>
      <sheetName val="AvailabilityDayShiftMATRIX"/>
      <sheetName val="PsuedoRoleCapacityMATRIX"/>
      <sheetName val="ResAvailWktCapMATRIXCheck"/>
      <sheetName val="RoleWardShiftCapacityLIST"/>
      <sheetName val="RoleCapacityWkCapLIST"/>
      <sheetName val="RoleShiftWardCapacityLIST"/>
      <sheetName val="RoleShiftWardCapacityMATRIXChec"/>
      <sheetName val="ResAvailWkCapMATRIXCheck"/>
      <sheetName val="ResDayShiftMaxMATRIX"/>
      <sheetName val="ResCapacityDay"/>
      <sheetName val="ResDayShiftMATRIX"/>
      <sheetName val="ResAvailabilityDayShift"/>
      <sheetName val="ResShiftAvailability"/>
      <sheetName val="RoleWardShiftCapacityLIST (2)"/>
      <sheetName val="NameCapacity"/>
      <sheetName val="WeeklyCapacityShifts"/>
      <sheetName val="DailyCapacityShift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uterpath"/>
    </sheetNames>
    <definedNames>
      <definedName name="Computerpath" refersTo="='Computerpath'!$B$15"/>
    </definedNames>
    <sheetDataSet>
      <sheetData sheetId="0">
        <row r="15">
          <cell r="B15" t="str">
            <v>C:\Users\Alex\Centri\4. Production - Documents\WFEffectiveness\4.1.1 AGED CARE\01 Christadelphian Aged Care\240715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F643977-ABBE-4A4B-8317-D8901169DCA3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4D645556-DFD2-4F1F-8A58-AA844C389480}" autoFormatId="16" applyNumberFormats="0" applyBorderFormats="0" applyFontFormats="0" applyPatternFormats="0" applyAlignmentFormats="0" applyWidthHeightFormats="0">
  <queryTableRefresh nextId="25">
    <queryTableFields count="12">
      <queryTableField id="1" name="Facility" tableColumnId="1"/>
      <queryTableField id="2" name="Role" tableColumnId="2"/>
      <queryTableField id="4" name="Shift" tableColumnId="4"/>
      <queryTableField id="5" name="Demand" tableColumnId="5"/>
      <queryTableField id="6" name="Capacity" tableColumnId="6"/>
      <queryTableField id="8" name="CapacityMaxHC" tableColumnId="8"/>
      <queryTableField id="7" name="CapacityX" tableColumnId="7"/>
      <queryTableField id="9" name="Allocation" tableColumnId="9"/>
      <queryTableField id="10" name="DATESHIFT" tableColumnId="10"/>
      <queryTableField id="13" name="ShiftDurations.ShiftDuration" tableColumnId="11"/>
      <queryTableField id="3" name="Date" tableColumnId="3"/>
      <queryTableField id="24" name="DateX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FFBC0DCC-878B-41B2-8DE6-BA1C24BAFC00}" autoFormatId="16" applyNumberFormats="0" applyBorderFormats="0" applyFontFormats="0" applyPatternFormats="0" applyAlignmentFormats="0" applyWidthHeightFormats="0">
  <queryTableRefresh nextId="59">
    <queryTableFields count="21">
      <queryTableField id="39" name="Facility" tableColumnId="19"/>
      <queryTableField id="28" name="Role" tableColumnId="3"/>
      <queryTableField id="37" name="Shift" tableColumnId="2"/>
      <queryTableField id="15" name="Demand" tableColumnId="4"/>
      <queryTableField id="16" name="Capacity" tableColumnId="5"/>
      <queryTableField id="25" name="CapacityMaxHC" tableColumnId="17"/>
      <queryTableField id="17" name="CapacityX" tableColumnId="15"/>
      <queryTableField id="18" name="Allocation" tableColumnId="16"/>
      <queryTableField id="33" name="DATESHIFT" tableColumnId="18"/>
      <queryTableField id="45" name="ShiftDurations.ShiftDuration" tableColumnId="20"/>
      <queryTableField id="1" name="Date" tableColumnId="1"/>
      <queryTableField id="57" name="DateX" tableColumnId="21"/>
      <queryTableField id="6" name="Apn" tableColumnId="6"/>
      <queryTableField id="7" name="Apx" tableColumnId="7"/>
      <queryTableField id="8" name="Ai" tableColumnId="8"/>
      <queryTableField id="9" name="Epn" tableColumnId="9"/>
      <queryTableField id="10" name="EpX" tableColumnId="10"/>
      <queryTableField id="11" name="Ein" tableColumnId="11"/>
      <queryTableField id="12" name="Ipn" tableColumnId="12"/>
      <queryTableField id="13" name="Ipx" tableColumnId="13"/>
      <queryTableField id="14" name="Iin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104006F-C315-44B8-B708-A510B47AD846}" name="UnitL1PathTABLE" displayName="UnitL1PathTABLE" ref="A3:B10" tableType="queryTable" totalsRowShown="0" headerRowDxfId="34" dataDxfId="33" headerRowCellStyle="Normal 2" dataCellStyle="Normal 2">
  <autoFilter ref="A3:B10" xr:uid="{1104006F-C315-44B8-B708-A510B47AD846}"/>
  <tableColumns count="2">
    <tableColumn id="1" xr3:uid="{2954DAA6-D857-4943-B2CF-738AB5C62B5B}" uniqueName="1" name="Variable Name" queryTableFieldId="1" dataDxfId="32" dataCellStyle="Normal 2"/>
    <tableColumn id="2" xr3:uid="{CF38F2D9-B626-448B-A35F-C8FFE697D17F}" uniqueName="2" name="Value" queryTableFieldId="2" dataDxfId="31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2FFA4E-52D9-411B-AE34-E59962F06D81}" name="Folder" displayName="Folder" ref="B26:B27" totalsRowShown="0" dataDxfId="30">
  <autoFilter ref="B26:B27" xr:uid="{336E7093-3530-42C5-AF8A-E29B36BB2C09}"/>
  <tableColumns count="1">
    <tableColumn id="1" xr3:uid="{2CCD0D41-6FD7-4F30-95DA-EC20844C2BB8}" name="Folder" dataDxfId="29">
      <calculatedColumnFormula>$B$18&amp;"\"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B3B224-E874-4BA3-93F4-A9F2726049CA}" name="Table3" displayName="Table3" ref="B33:C34" totalsRowShown="0" headerRowDxfId="28" dataDxfId="27" headerRowCellStyle="Normal 2" dataCellStyle="Normal 2">
  <autoFilter ref="B33:C34" xr:uid="{0255D31D-F9FA-4374-B7C7-436518B79140}"/>
  <tableColumns count="2">
    <tableColumn id="1" xr3:uid="{8CF1EED3-B2A1-40E8-8F99-5C2778EBD9A7}" name="Facility1" dataDxfId="26" dataCellStyle="Normal 2"/>
    <tableColumn id="2" xr3:uid="{69F7B9D1-DE25-494D-8AC7-55E765FFE61A}" name="Facility2" dataDxfId="25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1CF829B-D223-4A25-B1E1-D5B352A7DA91}" name="DateAlignment" displayName="DateAlignment" ref="B38:B39" totalsRowShown="0" headerRowDxfId="24" dataDxfId="23" headerRowCellStyle="Normal 2" dataCellStyle="Normal 2">
  <autoFilter ref="B38:B39" xr:uid="{12E4D58C-491D-408F-AF2D-91CA83457DA4}"/>
  <tableColumns count="1">
    <tableColumn id="1" xr3:uid="{4E6EB875-3551-4CD4-8926-AC272C326060}" name="DateAlignment" dataDxfId="22" dataCellStyle="Normal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B66B24-70C9-412B-9583-00B29438E74B}" name="IMPORT_Table_EffortAllMatrixAG1_1D" displayName="IMPORT_Table_EffortAllMatrixAG1_1D" ref="A1:L253" tableType="queryTable" totalsRowShown="0">
  <autoFilter ref="A1:L253" xr:uid="{D4B66B24-70C9-412B-9583-00B29438E74B}"/>
  <tableColumns count="12">
    <tableColumn id="1" xr3:uid="{F54DB5C9-E66C-425B-BAC5-6E27768F910D}" uniqueName="1" name="Facility" queryTableFieldId="1" dataDxfId="21"/>
    <tableColumn id="2" xr3:uid="{70F7E8C8-DA08-47AB-B417-D195F12B849B}" uniqueName="2" name="Role" queryTableFieldId="2" dataDxfId="20"/>
    <tableColumn id="4" xr3:uid="{891A5E37-5B48-408B-A4A4-B9F4D015DB77}" uniqueName="4" name="Shift" queryTableFieldId="4" dataDxfId="19"/>
    <tableColumn id="5" xr3:uid="{13C65675-28F5-4DB0-9DE5-7145D948148D}" uniqueName="5" name="Demand" queryTableFieldId="5" dataDxfId="18"/>
    <tableColumn id="6" xr3:uid="{E11B5A6C-C75B-4505-865F-56F3444CCE22}" uniqueName="6" name="Capacity" queryTableFieldId="6" dataDxfId="17"/>
    <tableColumn id="8" xr3:uid="{95A6631E-327F-4674-B4BA-D8E27A6B090F}" uniqueName="8" name="CapacityMaxHC" queryTableFieldId="8" dataDxfId="16"/>
    <tableColumn id="7" xr3:uid="{5852A6A5-A42C-4A09-8E6D-74290DD7DEC9}" uniqueName="7" name="CapacityX" queryTableFieldId="7" dataDxfId="15"/>
    <tableColumn id="9" xr3:uid="{6D8F2553-D59B-4DA6-B0CC-6FE4A9CD4CA1}" uniqueName="9" name="Allocation" queryTableFieldId="9" dataDxfId="14"/>
    <tableColumn id="10" xr3:uid="{055E6D43-F663-443E-A716-0F23B7BDE76B}" uniqueName="10" name="DATESHIFT" queryTableFieldId="10" dataDxfId="13"/>
    <tableColumn id="11" xr3:uid="{D57E9166-3D6B-4922-9B21-74C5D4296EBF}" uniqueName="11" name="ShiftDurations.ShiftDuration" queryTableFieldId="13"/>
    <tableColumn id="3" xr3:uid="{3DF1070A-67BF-428F-96A8-F6E4CC65BE8E}" uniqueName="3" name="Date" queryTableFieldId="3" dataDxfId="12"/>
    <tableColumn id="12" xr3:uid="{25EC1B9B-0218-4C4D-BAA4-F52824684807}" uniqueName="12" name="DateX" queryTableFieldId="2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76CDA7-A02B-4EB3-8987-D41E4FFB68E8}" name="EffortOutcomesAG1_1DayShift" displayName="EffortOutcomesAG1_1DayShift" ref="A1:U253" tableType="queryTable" totalsRowShown="0">
  <autoFilter ref="A1:U253" xr:uid="{E376CDA7-A02B-4EB3-8987-D41E4FFB68E8}"/>
  <sortState xmlns:xlrd2="http://schemas.microsoft.com/office/spreadsheetml/2017/richdata2" ref="A2:U253">
    <sortCondition ref="B1:B253"/>
  </sortState>
  <tableColumns count="21">
    <tableColumn id="19" xr3:uid="{57F01AFC-5859-4698-B903-9CE05E83E71D}" uniqueName="19" name="Facility" queryTableFieldId="39" dataDxfId="11"/>
    <tableColumn id="3" xr3:uid="{7E32F82B-F732-4D74-B9CB-DAC36EA21A23}" uniqueName="3" name="Role" queryTableFieldId="28" dataDxfId="10"/>
    <tableColumn id="2" xr3:uid="{6768E303-C1F9-431F-B122-A3D32916BF6F}" uniqueName="2" name="Shift" queryTableFieldId="37" dataDxfId="9"/>
    <tableColumn id="4" xr3:uid="{6C571069-025F-42BC-BBEE-D63EF56FB509}" uniqueName="4" name="Demand" queryTableFieldId="15" dataDxfId="8"/>
    <tableColumn id="5" xr3:uid="{8515A77B-BF20-4B1A-81C1-F81F740275A6}" uniqueName="5" name="Capacity" queryTableFieldId="16" dataDxfId="7"/>
    <tableColumn id="17" xr3:uid="{FBACAB40-A0D2-42EC-8B2D-7DAABE4DCBD8}" uniqueName="17" name="CapacityMaxHC" queryTableFieldId="25" dataDxfId="6"/>
    <tableColumn id="15" xr3:uid="{7A0CF3CF-31BE-499E-B5F9-1F9B01E54E3B}" uniqueName="15" name="CapacityX" queryTableFieldId="17" dataDxfId="5"/>
    <tableColumn id="16" xr3:uid="{6E3E4728-5A69-4410-9D54-62CB9720905C}" uniqueName="16" name="Allocation" queryTableFieldId="18" dataDxfId="4"/>
    <tableColumn id="18" xr3:uid="{34799610-D03A-4FCE-987A-356C335FB23E}" uniqueName="18" name="DATESHIFT" queryTableFieldId="33" dataDxfId="3"/>
    <tableColumn id="20" xr3:uid="{07AA019D-912D-4CDF-AEAB-91FEE2AA5776}" uniqueName="20" name="ShiftDurations.ShiftDuration" queryTableFieldId="45"/>
    <tableColumn id="1" xr3:uid="{BF6A5ED0-C159-40D2-B185-7FD90016ED97}" uniqueName="1" name="Date" queryTableFieldId="1" dataDxfId="2"/>
    <tableColumn id="21" xr3:uid="{95119627-9DF9-4D39-8F9B-109D1E23BAB7}" uniqueName="21" name="DateX" queryTableFieldId="57"/>
    <tableColumn id="6" xr3:uid="{EC4EB5DE-04F5-46BC-93AE-847142925712}" uniqueName="6" name="Apn" queryTableFieldId="6"/>
    <tableColumn id="7" xr3:uid="{38509A44-BBF3-4508-9629-A8F0069A9DC0}" uniqueName="7" name="Apx" queryTableFieldId="7"/>
    <tableColumn id="8" xr3:uid="{9AC23104-623B-4022-8CA5-7BEEEEBDF625}" uniqueName="8" name="Ai" queryTableFieldId="8"/>
    <tableColumn id="9" xr3:uid="{C4ECCD0F-1A8E-4265-880A-834099C57DAA}" uniqueName="9" name="Epn" queryTableFieldId="9"/>
    <tableColumn id="10" xr3:uid="{01B9638D-492A-4274-B41C-25221218AEA8}" uniqueName="10" name="EpX" queryTableFieldId="10"/>
    <tableColumn id="11" xr3:uid="{53DE65C2-5FC3-47C6-BF3A-0E1CABE379A2}" uniqueName="11" name="Ein" queryTableFieldId="11"/>
    <tableColumn id="12" xr3:uid="{E7027AC6-0A11-4D35-8427-B0AEBC3F25D2}" uniqueName="12" name="Ipn" queryTableFieldId="12"/>
    <tableColumn id="13" xr3:uid="{DC281649-415E-4313-BB1C-B0140D9E737C}" uniqueName="13" name="Ipx" queryTableFieldId="13"/>
    <tableColumn id="14" xr3:uid="{C8AD6387-D9FB-4835-871D-B3D2B94FFEE0}" uniqueName="14" name="Iin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77A3B-AF81-4D04-A8CC-F817BA01750A}">
  <sheetPr>
    <tabColor rgb="FFFFFF00"/>
  </sheetPr>
  <dimension ref="A1:D31"/>
  <sheetViews>
    <sheetView tabSelected="1" workbookViewId="0">
      <selection activeCell="B14" sqref="B14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1" t="s">
        <v>23</v>
      </c>
      <c r="B1" s="11" t="str" cm="1">
        <f t="array" aca="1" ref="B1" ca="1">CELL("filename")</f>
        <v>https://centri001.sharepoint.com/sites/3Product/Shared Documents/AEM/Excel Template/CLIENT/DATExx/2. Calculations/E-O-I/[EffortOutcomes.xlsx]Unit1Path</v>
      </c>
    </row>
    <row r="2" spans="1:4" x14ac:dyDescent="0.25">
      <c r="A2" s="3"/>
      <c r="B2" s="3"/>
    </row>
    <row r="3" spans="1:4" x14ac:dyDescent="0.25">
      <c r="A3" s="2" t="s">
        <v>84</v>
      </c>
      <c r="B3" s="2" t="s">
        <v>85</v>
      </c>
    </row>
    <row r="4" spans="1:4" ht="15" x14ac:dyDescent="0.25">
      <c r="A4" t="s">
        <v>86</v>
      </c>
      <c r="B4" t="s">
        <v>91</v>
      </c>
    </row>
    <row r="5" spans="1:4" ht="15" x14ac:dyDescent="0.25">
      <c r="A5" t="s">
        <v>87</v>
      </c>
      <c r="B5" t="s">
        <v>92</v>
      </c>
    </row>
    <row r="6" spans="1:4" ht="15" x14ac:dyDescent="0.25">
      <c r="A6" t="s">
        <v>88</v>
      </c>
      <c r="B6" t="s">
        <v>93</v>
      </c>
    </row>
    <row r="7" spans="1:4" ht="15" x14ac:dyDescent="0.25">
      <c r="A7" t="s">
        <v>24</v>
      </c>
      <c r="B7" t="s">
        <v>94</v>
      </c>
    </row>
    <row r="8" spans="1:4" ht="15" x14ac:dyDescent="0.25">
      <c r="A8" t="s">
        <v>0</v>
      </c>
      <c r="B8" t="s">
        <v>95</v>
      </c>
    </row>
    <row r="9" spans="1:4" ht="15" x14ac:dyDescent="0.25">
      <c r="A9" t="s">
        <v>89</v>
      </c>
      <c r="B9" t="s">
        <v>96</v>
      </c>
    </row>
    <row r="10" spans="1:4" ht="15" x14ac:dyDescent="0.25">
      <c r="A10" t="s">
        <v>90</v>
      </c>
      <c r="B10" t="s">
        <v>97</v>
      </c>
    </row>
    <row r="12" spans="1:4" x14ac:dyDescent="0.25">
      <c r="B12" s="1"/>
      <c r="D12" s="1"/>
    </row>
    <row r="15" spans="1:4" x14ac:dyDescent="0.25">
      <c r="A15" s="3"/>
      <c r="B15" s="3"/>
    </row>
    <row r="16" spans="1:4" x14ac:dyDescent="0.25">
      <c r="A16" s="7"/>
      <c r="B16" s="3"/>
    </row>
    <row r="17" spans="1:3" x14ac:dyDescent="0.25">
      <c r="A17" s="3"/>
      <c r="B17" s="3"/>
    </row>
    <row r="18" spans="1:3" x14ac:dyDescent="0.25">
      <c r="A18" s="3"/>
      <c r="B18" s="3"/>
    </row>
    <row r="19" spans="1:3" ht="15" x14ac:dyDescent="0.25">
      <c r="A19" s="4"/>
      <c r="B19"/>
    </row>
    <row r="20" spans="1:3" x14ac:dyDescent="0.25">
      <c r="A20" s="3"/>
      <c r="B20" s="3"/>
      <c r="C20" s="8"/>
    </row>
    <row r="21" spans="1:3" x14ac:dyDescent="0.25">
      <c r="C21" s="8"/>
    </row>
    <row r="22" spans="1:3" x14ac:dyDescent="0.25">
      <c r="C22" s="8"/>
    </row>
    <row r="23" spans="1:3" x14ac:dyDescent="0.25">
      <c r="C23" s="8"/>
    </row>
    <row r="24" spans="1:3" x14ac:dyDescent="0.25">
      <c r="A24" s="1"/>
      <c r="B24" s="1"/>
      <c r="C24" s="9"/>
    </row>
    <row r="25" spans="1:3" x14ac:dyDescent="0.25">
      <c r="C25" s="8"/>
    </row>
    <row r="26" spans="1:3" x14ac:dyDescent="0.25">
      <c r="A26" s="8"/>
      <c r="B26" s="8"/>
      <c r="C26" s="8"/>
    </row>
    <row r="27" spans="1:3" x14ac:dyDescent="0.25">
      <c r="A27" s="8"/>
      <c r="B27" s="8"/>
      <c r="C27" s="8"/>
    </row>
    <row r="31" spans="1:3" x14ac:dyDescent="0.25">
      <c r="B31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5853-AF8B-47EB-B45B-660264DFB90A}">
  <dimension ref="A7:D39"/>
  <sheetViews>
    <sheetView workbookViewId="0">
      <selection activeCell="B19" sqref="B19"/>
    </sheetView>
  </sheetViews>
  <sheetFormatPr defaultColWidth="8" defaultRowHeight="12.75" x14ac:dyDescent="0.25"/>
  <cols>
    <col min="1" max="1" width="23.140625" style="2" customWidth="1"/>
    <col min="2" max="2" width="131.42578125" style="2" customWidth="1"/>
    <col min="3" max="3" width="12.140625" style="2" customWidth="1"/>
    <col min="4" max="16384" width="8" style="2"/>
  </cols>
  <sheetData>
    <row r="7" spans="1:4" x14ac:dyDescent="0.25">
      <c r="A7" s="1"/>
      <c r="B7" s="1"/>
      <c r="C7" s="1"/>
      <c r="D7" s="1"/>
    </row>
    <row r="9" spans="1:4" x14ac:dyDescent="0.25">
      <c r="A9" s="3" t="s">
        <v>23</v>
      </c>
      <c r="B9" s="3" t="str" cm="1">
        <f t="array" aca="1" ref="B9" ca="1">CELL("filename",E16)</f>
        <v>https://centri001.sharepoint.com/sites/3Product/Shared Documents/AEM/Excel Template/CLIENT/DATExx/2. Calculations/E-O-I/[EffortOutcomes.xlsx]FILEPATH-EffortALL</v>
      </c>
    </row>
    <row r="10" spans="1:4" x14ac:dyDescent="0.25">
      <c r="A10" s="3"/>
      <c r="B10" s="3"/>
    </row>
    <row r="11" spans="1:4" x14ac:dyDescent="0.25">
      <c r="A11" s="7"/>
      <c r="B11" s="3"/>
    </row>
    <row r="12" spans="1:4" x14ac:dyDescent="0.25">
      <c r="A12" s="3"/>
      <c r="B12" s="3"/>
    </row>
    <row r="13" spans="1:4" x14ac:dyDescent="0.25">
      <c r="A13" s="3"/>
      <c r="B13" s="3"/>
    </row>
    <row r="14" spans="1:4" x14ac:dyDescent="0.25">
      <c r="A14" s="4" t="s">
        <v>24</v>
      </c>
      <c r="B14" s="4" t="str" cm="1">
        <f t="array" ref="B14">[4]!Computerpath</f>
        <v>C:\Users\Alex\Centri\4. Production - Documents\WFEffectiveness\4.1.1 AGED CARE\01 Christadelphian Aged Care\240715</v>
      </c>
      <c r="D14" s="2" t="s">
        <v>31</v>
      </c>
    </row>
    <row r="15" spans="1:4" x14ac:dyDescent="0.25">
      <c r="A15" s="3" t="s">
        <v>32</v>
      </c>
      <c r="B15" s="3" t="e" cm="1">
        <f t="array" aca="1" ref="B15" ca="1">LEFT(CELL("filename",B9),FIND(Client,CELL("filename",B9),1)-1)</f>
        <v>#VALUE!</v>
      </c>
      <c r="C15" s="8" t="e">
        <f ca="1">LEN(B15)</f>
        <v>#VALUE!</v>
      </c>
    </row>
    <row r="16" spans="1:4" x14ac:dyDescent="0.25">
      <c r="C16" s="8"/>
    </row>
    <row r="17" spans="1:4" x14ac:dyDescent="0.25">
      <c r="C17" s="8"/>
    </row>
    <row r="18" spans="1:4" x14ac:dyDescent="0.25">
      <c r="A18" s="4" t="s">
        <v>27</v>
      </c>
      <c r="B18" s="4" t="str">
        <f>Client</f>
        <v>C:\Users\Alex\Centri\4. Production - Documents\WFEffectiveness\4.1.1 AGED CARE\01 Christadelphian Aged Care\240715</v>
      </c>
      <c r="C18" s="8">
        <f>LEN(B14)</f>
        <v>114</v>
      </c>
      <c r="D18" s="2" t="s">
        <v>31</v>
      </c>
    </row>
    <row r="19" spans="1:4" x14ac:dyDescent="0.25">
      <c r="A19" s="1" t="s">
        <v>25</v>
      </c>
      <c r="B19" s="1" t="s">
        <v>26</v>
      </c>
      <c r="C19" s="9">
        <f>LEN(B19)</f>
        <v>11</v>
      </c>
      <c r="D19" s="2" t="s">
        <v>33</v>
      </c>
    </row>
    <row r="20" spans="1:4" x14ac:dyDescent="0.25">
      <c r="C20" s="8" t="e">
        <f ca="1">SUM(C15:C19)</f>
        <v>#VALUE!</v>
      </c>
    </row>
    <row r="21" spans="1:4" x14ac:dyDescent="0.25">
      <c r="C21" s="8"/>
    </row>
    <row r="22" spans="1:4" x14ac:dyDescent="0.25">
      <c r="C22" s="8"/>
    </row>
    <row r="23" spans="1:4" x14ac:dyDescent="0.25">
      <c r="A23" s="2" t="s">
        <v>0</v>
      </c>
      <c r="B23" s="5"/>
      <c r="C23" s="8"/>
    </row>
    <row r="24" spans="1:4" x14ac:dyDescent="0.25">
      <c r="D24" s="2" t="s">
        <v>34</v>
      </c>
    </row>
    <row r="26" spans="1:4" x14ac:dyDescent="0.25">
      <c r="B26" s="2" t="s">
        <v>18</v>
      </c>
    </row>
    <row r="27" spans="1:4" x14ac:dyDescent="0.25">
      <c r="B27" s="5" t="str">
        <f>$B$18&amp;"\"</f>
        <v>C:\Users\Alex\Centri\4. Production - Documents\WFEffectiveness\4.1.1 AGED CARE\01 Christadelphian Aged Care\240715\</v>
      </c>
    </row>
    <row r="29" spans="1:4" x14ac:dyDescent="0.25">
      <c r="B29" s="10"/>
    </row>
    <row r="33" spans="2:3" x14ac:dyDescent="0.25">
      <c r="B33" s="2" t="s">
        <v>35</v>
      </c>
      <c r="C33" s="2" t="s">
        <v>36</v>
      </c>
    </row>
    <row r="34" spans="2:3" x14ac:dyDescent="0.25">
      <c r="B34" s="2" t="s">
        <v>30</v>
      </c>
      <c r="C34" s="2" t="s">
        <v>29</v>
      </c>
    </row>
    <row r="38" spans="2:3" x14ac:dyDescent="0.25">
      <c r="B38" s="2" t="s">
        <v>37</v>
      </c>
    </row>
    <row r="39" spans="2:3" x14ac:dyDescent="0.25">
      <c r="B39" s="2">
        <v>0</v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CC842-69EA-4A95-AF74-1E12A4EC71DC}">
  <dimension ref="A1:P253"/>
  <sheetViews>
    <sheetView workbookViewId="0">
      <selection activeCell="K14" sqref="K14"/>
    </sheetView>
  </sheetViews>
  <sheetFormatPr defaultRowHeight="15" x14ac:dyDescent="0.25"/>
  <cols>
    <col min="1" max="1" width="9.5703125" bestFit="1" customWidth="1"/>
    <col min="2" max="2" width="7.28515625" bestFit="1" customWidth="1"/>
    <col min="3" max="3" width="7.42578125" bestFit="1" customWidth="1"/>
    <col min="4" max="4" width="12" bestFit="1" customWidth="1"/>
    <col min="5" max="5" width="10.7109375" bestFit="1" customWidth="1"/>
    <col min="6" max="6" width="17.140625" bestFit="1" customWidth="1"/>
    <col min="7" max="7" width="11.85546875" bestFit="1" customWidth="1"/>
    <col min="8" max="8" width="12.28515625" bestFit="1" customWidth="1"/>
    <col min="9" max="9" width="16.42578125" bestFit="1" customWidth="1"/>
    <col min="10" max="10" width="29" bestFit="1" customWidth="1"/>
    <col min="11" max="11" width="7.42578125" bestFit="1" customWidth="1"/>
    <col min="12" max="12" width="8.5703125" bestFit="1" customWidth="1"/>
    <col min="13" max="13" width="7.42578125" bestFit="1" customWidth="1"/>
    <col min="14" max="14" width="16.7109375" bestFit="1" customWidth="1"/>
  </cols>
  <sheetData>
    <row r="1" spans="1:16" x14ac:dyDescent="0.25">
      <c r="A1" t="s">
        <v>22</v>
      </c>
      <c r="B1" t="s">
        <v>1</v>
      </c>
      <c r="C1" t="s">
        <v>21</v>
      </c>
      <c r="D1" t="s">
        <v>3</v>
      </c>
      <c r="E1" t="s">
        <v>4</v>
      </c>
      <c r="F1" t="s">
        <v>19</v>
      </c>
      <c r="G1" t="s">
        <v>5</v>
      </c>
      <c r="H1" t="s">
        <v>2</v>
      </c>
      <c r="I1" t="s">
        <v>20</v>
      </c>
      <c r="J1" t="s">
        <v>28</v>
      </c>
      <c r="K1" t="s">
        <v>0</v>
      </c>
      <c r="L1" t="s">
        <v>83</v>
      </c>
    </row>
    <row r="2" spans="1:16" x14ac:dyDescent="0.25">
      <c r="A2" t="s">
        <v>29</v>
      </c>
      <c r="B2" t="s">
        <v>38</v>
      </c>
      <c r="C2" t="s">
        <v>15</v>
      </c>
      <c r="D2">
        <v>5.3662728249194425</v>
      </c>
      <c r="E2">
        <v>5.6999999999999993</v>
      </c>
      <c r="F2">
        <v>10</v>
      </c>
      <c r="G2">
        <v>5.6999999999999993</v>
      </c>
      <c r="H2">
        <v>5.7943977591036422</v>
      </c>
      <c r="I2" t="s">
        <v>40</v>
      </c>
      <c r="J2">
        <v>1</v>
      </c>
      <c r="K2">
        <v>45572</v>
      </c>
      <c r="L2">
        <v>45572</v>
      </c>
      <c r="O2">
        <f t="shared" ref="O2:O42" si="0">H2-D2</f>
        <v>0.42812493418419972</v>
      </c>
      <c r="P2">
        <f t="shared" ref="P2:P42" si="1">E2-D2</f>
        <v>0.33372717508055683</v>
      </c>
    </row>
    <row r="3" spans="1:16" x14ac:dyDescent="0.25">
      <c r="A3" t="s">
        <v>29</v>
      </c>
      <c r="B3" t="s">
        <v>38</v>
      </c>
      <c r="C3" t="s">
        <v>14</v>
      </c>
      <c r="D3">
        <v>11.626924453992126</v>
      </c>
      <c r="E3">
        <v>16.149999999999999</v>
      </c>
      <c r="F3">
        <v>10</v>
      </c>
      <c r="G3">
        <v>16.149999999999999</v>
      </c>
      <c r="H3">
        <v>10.301555104800538</v>
      </c>
      <c r="I3" t="s">
        <v>39</v>
      </c>
      <c r="J3">
        <v>1</v>
      </c>
      <c r="K3">
        <v>45572</v>
      </c>
      <c r="L3">
        <v>45572</v>
      </c>
      <c r="O3">
        <f t="shared" si="0"/>
        <v>-1.3253693491915879</v>
      </c>
      <c r="P3">
        <f t="shared" si="1"/>
        <v>4.5230755460078722</v>
      </c>
    </row>
    <row r="4" spans="1:16" x14ac:dyDescent="0.25">
      <c r="A4" t="s">
        <v>29</v>
      </c>
      <c r="B4" t="s">
        <v>38</v>
      </c>
      <c r="C4" t="s">
        <v>13</v>
      </c>
      <c r="D4">
        <v>14.310060866451844</v>
      </c>
      <c r="E4">
        <v>13.3</v>
      </c>
      <c r="F4">
        <v>10</v>
      </c>
      <c r="G4">
        <v>13.3</v>
      </c>
      <c r="H4">
        <v>13.775401069518708</v>
      </c>
      <c r="I4" t="s">
        <v>41</v>
      </c>
      <c r="J4">
        <v>1</v>
      </c>
      <c r="K4">
        <v>45572</v>
      </c>
      <c r="L4">
        <v>45572</v>
      </c>
      <c r="O4">
        <f t="shared" si="0"/>
        <v>-0.53465979693313592</v>
      </c>
      <c r="P4">
        <f t="shared" si="1"/>
        <v>-1.0100608664518429</v>
      </c>
    </row>
    <row r="5" spans="1:16" x14ac:dyDescent="0.25">
      <c r="A5" t="s">
        <v>30</v>
      </c>
      <c r="B5" t="s">
        <v>38</v>
      </c>
      <c r="C5" t="s">
        <v>15</v>
      </c>
      <c r="D5">
        <v>3.5111676249447159</v>
      </c>
      <c r="E5">
        <v>9.5</v>
      </c>
      <c r="F5">
        <v>10</v>
      </c>
      <c r="G5">
        <v>9.5</v>
      </c>
      <c r="H5">
        <v>6.7878787878787872</v>
      </c>
      <c r="I5" t="s">
        <v>40</v>
      </c>
      <c r="K5">
        <v>45572</v>
      </c>
      <c r="L5">
        <v>45572</v>
      </c>
      <c r="O5">
        <f t="shared" si="0"/>
        <v>3.2767111629340713</v>
      </c>
      <c r="P5">
        <f t="shared" si="1"/>
        <v>5.9888323750552841</v>
      </c>
    </row>
    <row r="6" spans="1:16" x14ac:dyDescent="0.25">
      <c r="A6" t="s">
        <v>30</v>
      </c>
      <c r="B6" t="s">
        <v>38</v>
      </c>
      <c r="C6" t="s">
        <v>14</v>
      </c>
      <c r="D6">
        <v>12.417771069086861</v>
      </c>
      <c r="E6">
        <v>10.45</v>
      </c>
      <c r="F6">
        <v>10</v>
      </c>
      <c r="G6">
        <v>10.45</v>
      </c>
      <c r="H6">
        <v>10.50868983957219</v>
      </c>
      <c r="I6" t="s">
        <v>39</v>
      </c>
      <c r="K6">
        <v>45572</v>
      </c>
      <c r="L6">
        <v>45572</v>
      </c>
      <c r="O6">
        <f t="shared" si="0"/>
        <v>-1.9090812295146709</v>
      </c>
      <c r="P6">
        <f t="shared" si="1"/>
        <v>-1.9677710690868615</v>
      </c>
    </row>
    <row r="7" spans="1:16" x14ac:dyDescent="0.25">
      <c r="A7" t="s">
        <v>30</v>
      </c>
      <c r="B7" t="s">
        <v>38</v>
      </c>
      <c r="C7" t="s">
        <v>13</v>
      </c>
      <c r="D7">
        <v>14.129216521561023</v>
      </c>
      <c r="E7">
        <v>22.799999999999997</v>
      </c>
      <c r="F7">
        <v>10</v>
      </c>
      <c r="G7">
        <v>22.799999999999997</v>
      </c>
      <c r="H7">
        <v>12.620833333333332</v>
      </c>
      <c r="I7" t="s">
        <v>41</v>
      </c>
      <c r="K7">
        <v>45572</v>
      </c>
      <c r="L7">
        <v>45572</v>
      </c>
      <c r="O7">
        <f t="shared" si="0"/>
        <v>-1.5083831882276915</v>
      </c>
      <c r="P7">
        <f t="shared" si="1"/>
        <v>8.6707834784389739</v>
      </c>
    </row>
    <row r="8" spans="1:16" x14ac:dyDescent="0.25">
      <c r="A8" t="s">
        <v>29</v>
      </c>
      <c r="B8" t="s">
        <v>82</v>
      </c>
      <c r="C8" t="s">
        <v>14</v>
      </c>
      <c r="D8">
        <v>2.1042606516290729</v>
      </c>
      <c r="E8">
        <v>0.95</v>
      </c>
      <c r="F8">
        <v>10</v>
      </c>
      <c r="G8">
        <v>0.95</v>
      </c>
      <c r="H8">
        <v>1.7568627450980394</v>
      </c>
      <c r="I8" t="s">
        <v>39</v>
      </c>
      <c r="J8">
        <v>1</v>
      </c>
      <c r="K8">
        <v>45572</v>
      </c>
      <c r="L8">
        <v>45572</v>
      </c>
      <c r="O8">
        <f t="shared" si="0"/>
        <v>-0.34739790653103353</v>
      </c>
      <c r="P8">
        <f t="shared" si="1"/>
        <v>-1.154260651629073</v>
      </c>
    </row>
    <row r="9" spans="1:16" x14ac:dyDescent="0.25">
      <c r="A9" t="s">
        <v>29</v>
      </c>
      <c r="B9" t="s">
        <v>82</v>
      </c>
      <c r="C9" t="s">
        <v>13</v>
      </c>
      <c r="D9">
        <v>3.1563909774436096</v>
      </c>
      <c r="E9">
        <v>2.8499999999999996</v>
      </c>
      <c r="F9">
        <v>10</v>
      </c>
      <c r="G9">
        <v>2.8499999999999996</v>
      </c>
      <c r="H9">
        <v>1.882352941176471</v>
      </c>
      <c r="I9" t="s">
        <v>41</v>
      </c>
      <c r="J9">
        <v>1</v>
      </c>
      <c r="K9">
        <v>45572</v>
      </c>
      <c r="L9">
        <v>45572</v>
      </c>
      <c r="O9">
        <f t="shared" si="0"/>
        <v>-1.2740380362671386</v>
      </c>
      <c r="P9">
        <f t="shared" si="1"/>
        <v>-0.30639097744360999</v>
      </c>
    </row>
    <row r="10" spans="1:16" x14ac:dyDescent="0.25">
      <c r="A10" t="s">
        <v>29</v>
      </c>
      <c r="B10" t="s">
        <v>82</v>
      </c>
      <c r="C10" t="s">
        <v>15</v>
      </c>
      <c r="D10">
        <v>1</v>
      </c>
      <c r="E10">
        <v>0</v>
      </c>
      <c r="F10">
        <v>10</v>
      </c>
      <c r="G10">
        <v>0</v>
      </c>
      <c r="H10">
        <v>2.7450980392156862E-2</v>
      </c>
      <c r="I10" t="s">
        <v>40</v>
      </c>
      <c r="J10">
        <v>1</v>
      </c>
      <c r="K10">
        <v>45572</v>
      </c>
      <c r="L10">
        <v>45572</v>
      </c>
      <c r="O10">
        <f t="shared" si="0"/>
        <v>-0.97254901960784312</v>
      </c>
      <c r="P10">
        <f t="shared" si="1"/>
        <v>-1</v>
      </c>
    </row>
    <row r="11" spans="1:16" x14ac:dyDescent="0.25">
      <c r="A11" t="s">
        <v>30</v>
      </c>
      <c r="B11" t="s">
        <v>82</v>
      </c>
      <c r="C11" t="s">
        <v>14</v>
      </c>
      <c r="D11">
        <v>4.5836142079336275</v>
      </c>
      <c r="E11">
        <v>3.8</v>
      </c>
      <c r="F11">
        <v>10</v>
      </c>
      <c r="G11">
        <v>3.8</v>
      </c>
      <c r="H11">
        <v>2.8368983957219247</v>
      </c>
      <c r="I11" t="s">
        <v>39</v>
      </c>
      <c r="K11">
        <v>45572</v>
      </c>
      <c r="L11">
        <v>45572</v>
      </c>
      <c r="O11">
        <f t="shared" si="0"/>
        <v>-1.7467158122117028</v>
      </c>
      <c r="P11">
        <f t="shared" si="1"/>
        <v>-0.78361420793362768</v>
      </c>
    </row>
    <row r="12" spans="1:16" x14ac:dyDescent="0.25">
      <c r="A12" t="s">
        <v>30</v>
      </c>
      <c r="B12" t="s">
        <v>82</v>
      </c>
      <c r="C12" t="s">
        <v>13</v>
      </c>
      <c r="D12">
        <v>3.7478639781271368</v>
      </c>
      <c r="E12">
        <v>2.8499999999999996</v>
      </c>
      <c r="F12">
        <v>10</v>
      </c>
      <c r="G12">
        <v>2.8499999999999996</v>
      </c>
      <c r="H12">
        <v>3.75</v>
      </c>
      <c r="I12" t="s">
        <v>41</v>
      </c>
      <c r="K12">
        <v>45572</v>
      </c>
      <c r="L12">
        <v>45572</v>
      </c>
      <c r="O12">
        <f t="shared" si="0"/>
        <v>2.1360218728632141E-3</v>
      </c>
      <c r="P12">
        <f t="shared" si="1"/>
        <v>-0.89786397812713714</v>
      </c>
    </row>
    <row r="13" spans="1:16" x14ac:dyDescent="0.25">
      <c r="A13" t="s">
        <v>30</v>
      </c>
      <c r="B13" t="s">
        <v>82</v>
      </c>
      <c r="C13" t="s">
        <v>15</v>
      </c>
      <c r="D13">
        <v>0.97058823529411775</v>
      </c>
      <c r="E13">
        <v>0</v>
      </c>
      <c r="F13">
        <v>10</v>
      </c>
      <c r="G13">
        <v>0</v>
      </c>
      <c r="H13">
        <v>5.7040998217468802E-2</v>
      </c>
      <c r="I13" t="s">
        <v>40</v>
      </c>
      <c r="K13">
        <v>45572</v>
      </c>
      <c r="L13">
        <v>45572</v>
      </c>
      <c r="O13">
        <f t="shared" si="0"/>
        <v>-0.91354723707664898</v>
      </c>
      <c r="P13">
        <f t="shared" si="1"/>
        <v>-0.97058823529411775</v>
      </c>
    </row>
    <row r="14" spans="1:16" x14ac:dyDescent="0.25">
      <c r="A14" t="s">
        <v>29</v>
      </c>
      <c r="B14" t="s">
        <v>42</v>
      </c>
      <c r="C14" t="s">
        <v>13</v>
      </c>
      <c r="D14">
        <v>5.7593984962406006</v>
      </c>
      <c r="E14">
        <v>4.75</v>
      </c>
      <c r="F14">
        <v>10</v>
      </c>
      <c r="G14">
        <v>4.75</v>
      </c>
      <c r="H14">
        <v>3.6806722689075615</v>
      </c>
      <c r="I14" t="s">
        <v>41</v>
      </c>
      <c r="J14">
        <v>1</v>
      </c>
      <c r="K14">
        <v>45572</v>
      </c>
      <c r="L14">
        <v>45572</v>
      </c>
      <c r="O14">
        <f t="shared" si="0"/>
        <v>-2.0787262273330391</v>
      </c>
      <c r="P14">
        <f t="shared" si="1"/>
        <v>-1.0093984962406006</v>
      </c>
    </row>
    <row r="15" spans="1:16" x14ac:dyDescent="0.25">
      <c r="A15" t="s">
        <v>29</v>
      </c>
      <c r="B15" t="s">
        <v>42</v>
      </c>
      <c r="C15" t="s">
        <v>15</v>
      </c>
      <c r="D15">
        <v>1</v>
      </c>
      <c r="E15">
        <v>0</v>
      </c>
      <c r="F15">
        <v>10</v>
      </c>
      <c r="G15">
        <v>0</v>
      </c>
      <c r="H15">
        <v>1.2607763753274592</v>
      </c>
      <c r="I15" t="s">
        <v>40</v>
      </c>
      <c r="J15">
        <v>1</v>
      </c>
      <c r="K15">
        <v>45572</v>
      </c>
      <c r="L15">
        <v>45572</v>
      </c>
      <c r="O15">
        <f t="shared" si="0"/>
        <v>0.26077637532745923</v>
      </c>
      <c r="P15">
        <f t="shared" si="1"/>
        <v>-1</v>
      </c>
    </row>
    <row r="16" spans="1:16" x14ac:dyDescent="0.25">
      <c r="A16" t="s">
        <v>29</v>
      </c>
      <c r="B16" t="s">
        <v>42</v>
      </c>
      <c r="C16" t="s">
        <v>14</v>
      </c>
      <c r="D16">
        <v>2.8796992481203003</v>
      </c>
      <c r="E16">
        <v>3.8</v>
      </c>
      <c r="F16">
        <v>10</v>
      </c>
      <c r="G16">
        <v>3.8</v>
      </c>
      <c r="H16">
        <v>3.4077079107505077</v>
      </c>
      <c r="I16" t="s">
        <v>39</v>
      </c>
      <c r="J16">
        <v>1</v>
      </c>
      <c r="K16">
        <v>45572</v>
      </c>
      <c r="L16">
        <v>45572</v>
      </c>
      <c r="O16">
        <f t="shared" si="0"/>
        <v>0.5280086626302074</v>
      </c>
      <c r="P16">
        <f t="shared" si="1"/>
        <v>0.92030075187969951</v>
      </c>
    </row>
    <row r="17" spans="1:16" x14ac:dyDescent="0.25">
      <c r="A17" t="s">
        <v>30</v>
      </c>
      <c r="B17" t="s">
        <v>42</v>
      </c>
      <c r="C17" t="s">
        <v>13</v>
      </c>
      <c r="D17">
        <v>6.8471096572600336</v>
      </c>
      <c r="E17">
        <v>3.8</v>
      </c>
      <c r="F17">
        <v>10</v>
      </c>
      <c r="G17">
        <v>3.8</v>
      </c>
      <c r="H17">
        <v>3.75</v>
      </c>
      <c r="I17" t="s">
        <v>41</v>
      </c>
      <c r="K17">
        <v>45572</v>
      </c>
      <c r="L17">
        <v>45572</v>
      </c>
      <c r="O17">
        <f t="shared" si="0"/>
        <v>-3.0971096572600336</v>
      </c>
      <c r="P17">
        <f t="shared" si="1"/>
        <v>-3.0471096572600338</v>
      </c>
    </row>
    <row r="18" spans="1:16" x14ac:dyDescent="0.25">
      <c r="A18" t="s">
        <v>30</v>
      </c>
      <c r="B18" t="s">
        <v>42</v>
      </c>
      <c r="C18" t="s">
        <v>15</v>
      </c>
      <c r="D18">
        <v>0.84615384615384603</v>
      </c>
      <c r="E18">
        <v>1.9</v>
      </c>
      <c r="F18">
        <v>10</v>
      </c>
      <c r="G18">
        <v>1.9</v>
      </c>
      <c r="H18">
        <v>1.9962624345926052</v>
      </c>
      <c r="I18" t="s">
        <v>40</v>
      </c>
      <c r="K18">
        <v>45572</v>
      </c>
      <c r="L18">
        <v>45572</v>
      </c>
      <c r="O18">
        <f t="shared" si="0"/>
        <v>1.1501085884387592</v>
      </c>
      <c r="P18">
        <f t="shared" si="1"/>
        <v>1.0538461538461539</v>
      </c>
    </row>
    <row r="19" spans="1:16" x14ac:dyDescent="0.25">
      <c r="A19" t="s">
        <v>30</v>
      </c>
      <c r="B19" t="s">
        <v>42</v>
      </c>
      <c r="C19" t="s">
        <v>14</v>
      </c>
      <c r="D19">
        <v>2.5351191458269504</v>
      </c>
      <c r="E19">
        <v>3.8</v>
      </c>
      <c r="F19">
        <v>10</v>
      </c>
      <c r="G19">
        <v>3.8</v>
      </c>
      <c r="H19">
        <v>3.9012420217353809</v>
      </c>
      <c r="I19" t="s">
        <v>39</v>
      </c>
      <c r="K19">
        <v>45572</v>
      </c>
      <c r="L19">
        <v>45572</v>
      </c>
      <c r="O19">
        <f t="shared" si="0"/>
        <v>1.3661228759084305</v>
      </c>
      <c r="P19">
        <f t="shared" si="1"/>
        <v>1.2648808541730494</v>
      </c>
    </row>
    <row r="20" spans="1:16" x14ac:dyDescent="0.25">
      <c r="A20" t="s">
        <v>29</v>
      </c>
      <c r="B20" t="s">
        <v>38</v>
      </c>
      <c r="C20" t="s">
        <v>15</v>
      </c>
      <c r="D20">
        <v>5.3662728249194425</v>
      </c>
      <c r="E20">
        <v>7.6</v>
      </c>
      <c r="F20">
        <v>10</v>
      </c>
      <c r="G20">
        <v>7.6</v>
      </c>
      <c r="H20">
        <v>5.8218487394957998</v>
      </c>
      <c r="I20" t="s">
        <v>43</v>
      </c>
      <c r="J20">
        <v>1</v>
      </c>
      <c r="K20">
        <v>45573</v>
      </c>
      <c r="L20">
        <v>45573</v>
      </c>
      <c r="O20">
        <f t="shared" si="0"/>
        <v>0.45557591457635738</v>
      </c>
      <c r="P20">
        <f t="shared" si="1"/>
        <v>2.2337271750805572</v>
      </c>
    </row>
    <row r="21" spans="1:16" x14ac:dyDescent="0.25">
      <c r="A21" t="s">
        <v>29</v>
      </c>
      <c r="B21" t="s">
        <v>38</v>
      </c>
      <c r="C21" t="s">
        <v>14</v>
      </c>
      <c r="D21">
        <v>11.626924453992125</v>
      </c>
      <c r="E21">
        <v>14.25</v>
      </c>
      <c r="F21">
        <v>10</v>
      </c>
      <c r="G21">
        <v>14.25</v>
      </c>
      <c r="H21">
        <v>10.443813387423935</v>
      </c>
      <c r="I21" t="s">
        <v>45</v>
      </c>
      <c r="J21">
        <v>1</v>
      </c>
      <c r="K21">
        <v>45573</v>
      </c>
      <c r="L21">
        <v>45573</v>
      </c>
      <c r="O21">
        <f t="shared" si="0"/>
        <v>-1.1831110665681894</v>
      </c>
      <c r="P21">
        <f t="shared" si="1"/>
        <v>2.6230755460078754</v>
      </c>
    </row>
    <row r="22" spans="1:16" x14ac:dyDescent="0.25">
      <c r="A22" t="s">
        <v>29</v>
      </c>
      <c r="B22" t="s">
        <v>38</v>
      </c>
      <c r="C22" t="s">
        <v>13</v>
      </c>
      <c r="D22">
        <v>14.310060866451844</v>
      </c>
      <c r="E22">
        <v>19.95</v>
      </c>
      <c r="F22">
        <v>10</v>
      </c>
      <c r="G22">
        <v>19.95</v>
      </c>
      <c r="H22">
        <v>12.278380443086323</v>
      </c>
      <c r="I22" t="s">
        <v>44</v>
      </c>
      <c r="J22">
        <v>1</v>
      </c>
      <c r="K22">
        <v>45573</v>
      </c>
      <c r="L22">
        <v>45573</v>
      </c>
      <c r="O22">
        <f t="shared" si="0"/>
        <v>-2.0316804233655201</v>
      </c>
      <c r="P22">
        <f t="shared" si="1"/>
        <v>5.6399391335481557</v>
      </c>
    </row>
    <row r="23" spans="1:16" x14ac:dyDescent="0.25">
      <c r="A23" t="s">
        <v>30</v>
      </c>
      <c r="B23" t="s">
        <v>38</v>
      </c>
      <c r="C23" t="s">
        <v>15</v>
      </c>
      <c r="D23">
        <v>3.5111676249447159</v>
      </c>
      <c r="E23">
        <v>7.6</v>
      </c>
      <c r="F23">
        <v>10</v>
      </c>
      <c r="G23">
        <v>7.6</v>
      </c>
      <c r="H23">
        <v>6.8163992869875214</v>
      </c>
      <c r="I23" t="s">
        <v>43</v>
      </c>
      <c r="K23">
        <v>45573</v>
      </c>
      <c r="L23">
        <v>45573</v>
      </c>
      <c r="O23">
        <f t="shared" si="0"/>
        <v>3.3052316620428055</v>
      </c>
      <c r="P23">
        <f t="shared" si="1"/>
        <v>4.0888323750552837</v>
      </c>
    </row>
    <row r="24" spans="1:16" x14ac:dyDescent="0.25">
      <c r="A24" t="s">
        <v>30</v>
      </c>
      <c r="B24" t="s">
        <v>38</v>
      </c>
      <c r="C24" t="s">
        <v>14</v>
      </c>
      <c r="D24">
        <v>12.417771069086861</v>
      </c>
      <c r="E24">
        <v>8.5499999999999989</v>
      </c>
      <c r="F24">
        <v>10</v>
      </c>
      <c r="G24">
        <v>8.5499999999999989</v>
      </c>
      <c r="H24">
        <v>10.722593582887695</v>
      </c>
      <c r="I24" t="s">
        <v>45</v>
      </c>
      <c r="K24">
        <v>45573</v>
      </c>
      <c r="L24">
        <v>45573</v>
      </c>
      <c r="O24">
        <f t="shared" si="0"/>
        <v>-1.6951774861991655</v>
      </c>
      <c r="P24">
        <f t="shared" si="1"/>
        <v>-3.8677710690868619</v>
      </c>
    </row>
    <row r="25" spans="1:16" x14ac:dyDescent="0.25">
      <c r="A25" t="s">
        <v>30</v>
      </c>
      <c r="B25" t="s">
        <v>38</v>
      </c>
      <c r="C25" t="s">
        <v>13</v>
      </c>
      <c r="D25">
        <v>14.129216521561023</v>
      </c>
      <c r="E25">
        <v>23.75</v>
      </c>
      <c r="F25">
        <v>10</v>
      </c>
      <c r="G25">
        <v>23.75</v>
      </c>
      <c r="H25">
        <v>12.040441176470583</v>
      </c>
      <c r="I25" t="s">
        <v>44</v>
      </c>
      <c r="K25">
        <v>45573</v>
      </c>
      <c r="L25">
        <v>45573</v>
      </c>
      <c r="O25">
        <f t="shared" si="0"/>
        <v>-2.0887753450904398</v>
      </c>
      <c r="P25">
        <f t="shared" si="1"/>
        <v>9.6207834784389767</v>
      </c>
    </row>
    <row r="26" spans="1:16" x14ac:dyDescent="0.25">
      <c r="A26" t="s">
        <v>29</v>
      </c>
      <c r="B26" t="s">
        <v>82</v>
      </c>
      <c r="C26" t="s">
        <v>13</v>
      </c>
      <c r="D26">
        <v>3.1563909774436096</v>
      </c>
      <c r="E26">
        <v>1.9</v>
      </c>
      <c r="F26">
        <v>10</v>
      </c>
      <c r="G26">
        <v>1.9</v>
      </c>
      <c r="H26">
        <v>1.7290552584670236</v>
      </c>
      <c r="I26" t="s">
        <v>44</v>
      </c>
      <c r="J26">
        <v>1</v>
      </c>
      <c r="K26">
        <v>45573</v>
      </c>
      <c r="L26">
        <v>45573</v>
      </c>
      <c r="O26">
        <f t="shared" si="0"/>
        <v>-1.4273357189765861</v>
      </c>
      <c r="P26">
        <f t="shared" si="1"/>
        <v>-1.2563909774436097</v>
      </c>
    </row>
    <row r="27" spans="1:16" x14ac:dyDescent="0.25">
      <c r="A27" t="s">
        <v>29</v>
      </c>
      <c r="B27" t="s">
        <v>82</v>
      </c>
      <c r="C27" t="s">
        <v>14</v>
      </c>
      <c r="D27">
        <v>2.1042606516290729</v>
      </c>
      <c r="E27">
        <v>2.8499999999999996</v>
      </c>
      <c r="F27">
        <v>10</v>
      </c>
      <c r="G27">
        <v>2.8499999999999996</v>
      </c>
      <c r="H27">
        <v>1.5496957403651117</v>
      </c>
      <c r="I27" t="s">
        <v>45</v>
      </c>
      <c r="J27">
        <v>1</v>
      </c>
      <c r="K27">
        <v>45573</v>
      </c>
      <c r="L27">
        <v>45573</v>
      </c>
      <c r="O27">
        <f t="shared" si="0"/>
        <v>-0.55456491126396124</v>
      </c>
      <c r="P27">
        <f t="shared" si="1"/>
        <v>0.7457393483709267</v>
      </c>
    </row>
    <row r="28" spans="1:16" x14ac:dyDescent="0.25">
      <c r="A28" t="s">
        <v>29</v>
      </c>
      <c r="B28" t="s">
        <v>82</v>
      </c>
      <c r="C28" t="s">
        <v>15</v>
      </c>
      <c r="D28">
        <v>1</v>
      </c>
      <c r="E28">
        <v>0</v>
      </c>
      <c r="F28">
        <v>10</v>
      </c>
      <c r="G28">
        <v>0</v>
      </c>
      <c r="H28">
        <v>0</v>
      </c>
      <c r="I28" t="s">
        <v>43</v>
      </c>
      <c r="J28">
        <v>1</v>
      </c>
      <c r="K28">
        <v>45573</v>
      </c>
      <c r="L28">
        <v>45573</v>
      </c>
      <c r="O28">
        <f t="shared" si="0"/>
        <v>-1</v>
      </c>
      <c r="P28">
        <f t="shared" si="1"/>
        <v>-1</v>
      </c>
    </row>
    <row r="29" spans="1:16" x14ac:dyDescent="0.25">
      <c r="A29" t="s">
        <v>30</v>
      </c>
      <c r="B29" t="s">
        <v>82</v>
      </c>
      <c r="C29" t="s">
        <v>13</v>
      </c>
      <c r="D29">
        <v>3.7478639781271368</v>
      </c>
      <c r="E29">
        <v>3.8</v>
      </c>
      <c r="F29">
        <v>10</v>
      </c>
      <c r="G29">
        <v>3.8</v>
      </c>
      <c r="H29">
        <v>3.75</v>
      </c>
      <c r="I29" t="s">
        <v>44</v>
      </c>
      <c r="K29">
        <v>45573</v>
      </c>
      <c r="L29">
        <v>45573</v>
      </c>
      <c r="O29">
        <f t="shared" si="0"/>
        <v>2.1360218728632141E-3</v>
      </c>
      <c r="P29">
        <f t="shared" si="1"/>
        <v>5.2136021872863036E-2</v>
      </c>
    </row>
    <row r="30" spans="1:16" x14ac:dyDescent="0.25">
      <c r="A30" t="s">
        <v>30</v>
      </c>
      <c r="B30" t="s">
        <v>82</v>
      </c>
      <c r="C30" t="s">
        <v>14</v>
      </c>
      <c r="D30">
        <v>4.5836142079336275</v>
      </c>
      <c r="E30">
        <v>4.75</v>
      </c>
      <c r="F30">
        <v>10</v>
      </c>
      <c r="G30">
        <v>4.75</v>
      </c>
      <c r="H30">
        <v>2.8368983957219247</v>
      </c>
      <c r="I30" t="s">
        <v>45</v>
      </c>
      <c r="K30">
        <v>45573</v>
      </c>
      <c r="L30">
        <v>45573</v>
      </c>
      <c r="O30">
        <f t="shared" si="0"/>
        <v>-1.7467158122117028</v>
      </c>
      <c r="P30">
        <f t="shared" si="1"/>
        <v>0.1663857920663725</v>
      </c>
    </row>
    <row r="31" spans="1:16" x14ac:dyDescent="0.25">
      <c r="A31" t="s">
        <v>30</v>
      </c>
      <c r="B31" t="s">
        <v>82</v>
      </c>
      <c r="C31" t="s">
        <v>15</v>
      </c>
      <c r="D31">
        <v>0.97058823529411775</v>
      </c>
      <c r="E31">
        <v>0.95</v>
      </c>
      <c r="F31">
        <v>10</v>
      </c>
      <c r="G31">
        <v>0.95</v>
      </c>
      <c r="H31">
        <v>0.99821746880570394</v>
      </c>
      <c r="I31" t="s">
        <v>43</v>
      </c>
      <c r="K31">
        <v>45573</v>
      </c>
      <c r="L31">
        <v>45573</v>
      </c>
      <c r="O31">
        <f t="shared" si="0"/>
        <v>2.7629233511586193E-2</v>
      </c>
      <c r="P31">
        <f t="shared" si="1"/>
        <v>-2.0588235294117796E-2</v>
      </c>
    </row>
    <row r="32" spans="1:16" x14ac:dyDescent="0.25">
      <c r="A32" t="s">
        <v>29</v>
      </c>
      <c r="B32" t="s">
        <v>42</v>
      </c>
      <c r="C32" t="s">
        <v>13</v>
      </c>
      <c r="D32">
        <v>5.7593984962406006</v>
      </c>
      <c r="E32">
        <v>3.8</v>
      </c>
      <c r="F32">
        <v>10</v>
      </c>
      <c r="G32">
        <v>3.8</v>
      </c>
      <c r="H32">
        <v>3.5676377851649996</v>
      </c>
      <c r="I32" t="s">
        <v>44</v>
      </c>
      <c r="J32">
        <v>1</v>
      </c>
      <c r="K32">
        <v>45573</v>
      </c>
      <c r="L32">
        <v>45573</v>
      </c>
      <c r="O32">
        <f t="shared" si="0"/>
        <v>-2.191760711075601</v>
      </c>
      <c r="P32">
        <f t="shared" si="1"/>
        <v>-1.9593984962406008</v>
      </c>
    </row>
    <row r="33" spans="1:16" x14ac:dyDescent="0.25">
      <c r="A33" t="s">
        <v>29</v>
      </c>
      <c r="B33" t="s">
        <v>42</v>
      </c>
      <c r="C33" t="s">
        <v>14</v>
      </c>
      <c r="D33">
        <v>2.8796992481203003</v>
      </c>
      <c r="E33">
        <v>2.8499999999999996</v>
      </c>
      <c r="F33">
        <v>10</v>
      </c>
      <c r="G33">
        <v>2.8499999999999996</v>
      </c>
      <c r="H33">
        <v>3.205666426748675</v>
      </c>
      <c r="I33" t="s">
        <v>45</v>
      </c>
      <c r="J33">
        <v>1</v>
      </c>
      <c r="K33">
        <v>45573</v>
      </c>
      <c r="L33">
        <v>45573</v>
      </c>
      <c r="O33">
        <f t="shared" si="0"/>
        <v>0.32596717862837465</v>
      </c>
      <c r="P33">
        <f t="shared" si="1"/>
        <v>-2.969924812030067E-2</v>
      </c>
    </row>
    <row r="34" spans="1:16" x14ac:dyDescent="0.25">
      <c r="A34" t="s">
        <v>29</v>
      </c>
      <c r="B34" t="s">
        <v>42</v>
      </c>
      <c r="C34" t="s">
        <v>15</v>
      </c>
      <c r="D34">
        <v>1</v>
      </c>
      <c r="E34">
        <v>0</v>
      </c>
      <c r="F34">
        <v>10</v>
      </c>
      <c r="G34">
        <v>0</v>
      </c>
      <c r="H34">
        <v>1.3112611297620786</v>
      </c>
      <c r="I34" t="s">
        <v>43</v>
      </c>
      <c r="J34">
        <v>1</v>
      </c>
      <c r="K34">
        <v>45573</v>
      </c>
      <c r="L34">
        <v>45573</v>
      </c>
      <c r="O34">
        <f t="shared" si="0"/>
        <v>0.31126112976207865</v>
      </c>
      <c r="P34">
        <f t="shared" si="1"/>
        <v>-1</v>
      </c>
    </row>
    <row r="35" spans="1:16" x14ac:dyDescent="0.25">
      <c r="A35" t="s">
        <v>30</v>
      </c>
      <c r="B35" t="s">
        <v>42</v>
      </c>
      <c r="C35" t="s">
        <v>13</v>
      </c>
      <c r="D35">
        <v>6.8471096572600336</v>
      </c>
      <c r="E35">
        <v>3.8</v>
      </c>
      <c r="F35">
        <v>10</v>
      </c>
      <c r="G35">
        <v>3.8</v>
      </c>
      <c r="H35">
        <v>2.8752450980392155</v>
      </c>
      <c r="I35" t="s">
        <v>44</v>
      </c>
      <c r="K35">
        <v>45573</v>
      </c>
      <c r="L35">
        <v>45573</v>
      </c>
      <c r="O35">
        <f t="shared" si="0"/>
        <v>-3.9718645592208182</v>
      </c>
      <c r="P35">
        <f t="shared" si="1"/>
        <v>-3.0471096572600338</v>
      </c>
    </row>
    <row r="36" spans="1:16" x14ac:dyDescent="0.25">
      <c r="A36" t="s">
        <v>30</v>
      </c>
      <c r="B36" t="s">
        <v>42</v>
      </c>
      <c r="C36" t="s">
        <v>14</v>
      </c>
      <c r="D36">
        <v>2.5351191458269504</v>
      </c>
      <c r="E36">
        <v>3.8</v>
      </c>
      <c r="F36">
        <v>10</v>
      </c>
      <c r="G36">
        <v>3.8</v>
      </c>
      <c r="H36">
        <v>3.9351604278074865</v>
      </c>
      <c r="I36" t="s">
        <v>45</v>
      </c>
      <c r="K36">
        <v>45573</v>
      </c>
      <c r="L36">
        <v>45573</v>
      </c>
      <c r="O36">
        <f t="shared" si="0"/>
        <v>1.4000412819805361</v>
      </c>
      <c r="P36">
        <f t="shared" si="1"/>
        <v>1.2648808541730494</v>
      </c>
    </row>
    <row r="37" spans="1:16" x14ac:dyDescent="0.25">
      <c r="A37" t="s">
        <v>30</v>
      </c>
      <c r="B37" t="s">
        <v>42</v>
      </c>
      <c r="C37" t="s">
        <v>15</v>
      </c>
      <c r="D37">
        <v>0.84615384615384603</v>
      </c>
      <c r="E37">
        <v>1.9</v>
      </c>
      <c r="F37">
        <v>10</v>
      </c>
      <c r="G37">
        <v>1.9</v>
      </c>
      <c r="H37">
        <v>1.9964349376114079</v>
      </c>
      <c r="I37" t="s">
        <v>43</v>
      </c>
      <c r="K37">
        <v>45573</v>
      </c>
      <c r="L37">
        <v>45573</v>
      </c>
      <c r="O37">
        <f t="shared" si="0"/>
        <v>1.1502810914575619</v>
      </c>
      <c r="P37">
        <f t="shared" si="1"/>
        <v>1.0538461538461539</v>
      </c>
    </row>
    <row r="38" spans="1:16" x14ac:dyDescent="0.25">
      <c r="A38" t="s">
        <v>29</v>
      </c>
      <c r="B38" t="s">
        <v>38</v>
      </c>
      <c r="C38" t="s">
        <v>14</v>
      </c>
      <c r="D38">
        <v>11.626924453992125</v>
      </c>
      <c r="E38">
        <v>16.149999999999999</v>
      </c>
      <c r="F38">
        <v>10</v>
      </c>
      <c r="G38">
        <v>16.149999999999999</v>
      </c>
      <c r="H38">
        <v>11.483222254419006</v>
      </c>
      <c r="I38" t="s">
        <v>46</v>
      </c>
      <c r="J38">
        <v>1</v>
      </c>
      <c r="K38">
        <v>45574</v>
      </c>
      <c r="L38">
        <v>45574</v>
      </c>
      <c r="O38">
        <f t="shared" si="0"/>
        <v>-0.14370219957311825</v>
      </c>
      <c r="P38">
        <f t="shared" si="1"/>
        <v>4.523075546007874</v>
      </c>
    </row>
    <row r="39" spans="1:16" x14ac:dyDescent="0.25">
      <c r="A39" t="s">
        <v>29</v>
      </c>
      <c r="B39" t="s">
        <v>38</v>
      </c>
      <c r="C39" t="s">
        <v>13</v>
      </c>
      <c r="D39">
        <v>14.310060866451844</v>
      </c>
      <c r="E39">
        <v>16.149999999999999</v>
      </c>
      <c r="F39">
        <v>10</v>
      </c>
      <c r="G39">
        <v>16.149999999999999</v>
      </c>
      <c r="H39">
        <v>12.4558696205755</v>
      </c>
      <c r="I39" t="s">
        <v>47</v>
      </c>
      <c r="J39">
        <v>1</v>
      </c>
      <c r="K39">
        <v>45574</v>
      </c>
      <c r="L39">
        <v>45574</v>
      </c>
      <c r="O39">
        <f t="shared" si="0"/>
        <v>-1.8541912458763434</v>
      </c>
      <c r="P39">
        <f t="shared" si="1"/>
        <v>1.839939133548155</v>
      </c>
    </row>
    <row r="40" spans="1:16" x14ac:dyDescent="0.25">
      <c r="A40" t="s">
        <v>29</v>
      </c>
      <c r="B40" t="s">
        <v>38</v>
      </c>
      <c r="C40" t="s">
        <v>15</v>
      </c>
      <c r="D40">
        <v>5.3662728249194425</v>
      </c>
      <c r="E40">
        <v>6.6499999999999995</v>
      </c>
      <c r="F40">
        <v>10</v>
      </c>
      <c r="G40">
        <v>6.6499999999999995</v>
      </c>
      <c r="H40">
        <v>5.8218487394957998</v>
      </c>
      <c r="I40" t="s">
        <v>48</v>
      </c>
      <c r="J40">
        <v>1</v>
      </c>
      <c r="K40">
        <v>45574</v>
      </c>
      <c r="L40">
        <v>45574</v>
      </c>
      <c r="O40">
        <f t="shared" si="0"/>
        <v>0.45557591457635738</v>
      </c>
      <c r="P40">
        <f t="shared" si="1"/>
        <v>1.283727175080557</v>
      </c>
    </row>
    <row r="41" spans="1:16" x14ac:dyDescent="0.25">
      <c r="A41" t="s">
        <v>30</v>
      </c>
      <c r="B41" t="s">
        <v>38</v>
      </c>
      <c r="C41" t="s">
        <v>14</v>
      </c>
      <c r="D41">
        <v>12.417771069086861</v>
      </c>
      <c r="E41">
        <v>11.4</v>
      </c>
      <c r="F41">
        <v>10</v>
      </c>
      <c r="G41">
        <v>11.4</v>
      </c>
      <c r="H41">
        <v>10.56550802139037</v>
      </c>
      <c r="I41" t="s">
        <v>46</v>
      </c>
      <c r="K41">
        <v>45574</v>
      </c>
      <c r="L41">
        <v>45574</v>
      </c>
      <c r="O41">
        <f t="shared" si="0"/>
        <v>-1.852263047696491</v>
      </c>
      <c r="P41">
        <f t="shared" si="1"/>
        <v>-1.0177710690868604</v>
      </c>
    </row>
    <row r="42" spans="1:16" x14ac:dyDescent="0.25">
      <c r="A42" t="s">
        <v>30</v>
      </c>
      <c r="B42" t="s">
        <v>38</v>
      </c>
      <c r="C42" t="s">
        <v>13</v>
      </c>
      <c r="D42">
        <v>14.129216521561023</v>
      </c>
      <c r="E42">
        <v>22.799999999999997</v>
      </c>
      <c r="F42">
        <v>10</v>
      </c>
      <c r="G42">
        <v>22.799999999999997</v>
      </c>
      <c r="H42">
        <v>12.177941176470586</v>
      </c>
      <c r="I42" t="s">
        <v>47</v>
      </c>
      <c r="K42">
        <v>45574</v>
      </c>
      <c r="L42">
        <v>45574</v>
      </c>
      <c r="O42">
        <f t="shared" si="0"/>
        <v>-1.951275345090437</v>
      </c>
      <c r="P42">
        <f t="shared" si="1"/>
        <v>8.6707834784389739</v>
      </c>
    </row>
    <row r="43" spans="1:16" x14ac:dyDescent="0.25">
      <c r="A43" t="s">
        <v>30</v>
      </c>
      <c r="B43" t="s">
        <v>38</v>
      </c>
      <c r="C43" t="s">
        <v>15</v>
      </c>
      <c r="D43">
        <v>3.5111676249447159</v>
      </c>
      <c r="E43">
        <v>5.6999999999999993</v>
      </c>
      <c r="F43">
        <v>10</v>
      </c>
      <c r="G43">
        <v>5.6999999999999993</v>
      </c>
      <c r="H43">
        <v>7.7290552584670227</v>
      </c>
      <c r="I43" t="s">
        <v>48</v>
      </c>
      <c r="K43">
        <v>45574</v>
      </c>
      <c r="L43">
        <v>45574</v>
      </c>
      <c r="O43" t="e">
        <f>#REF!-#REF!</f>
        <v>#REF!</v>
      </c>
      <c r="P43" t="e">
        <f>#REF!-#REF!</f>
        <v>#REF!</v>
      </c>
    </row>
    <row r="44" spans="1:16" x14ac:dyDescent="0.25">
      <c r="A44" t="s">
        <v>29</v>
      </c>
      <c r="B44" t="s">
        <v>82</v>
      </c>
      <c r="C44" t="s">
        <v>15</v>
      </c>
      <c r="D44">
        <v>1</v>
      </c>
      <c r="E44">
        <v>0</v>
      </c>
      <c r="F44">
        <v>10</v>
      </c>
      <c r="G44">
        <v>0</v>
      </c>
      <c r="H44">
        <v>0</v>
      </c>
      <c r="I44" t="s">
        <v>48</v>
      </c>
      <c r="J44">
        <v>1</v>
      </c>
      <c r="K44">
        <v>45574</v>
      </c>
      <c r="L44">
        <v>45574</v>
      </c>
      <c r="O44">
        <f>H253-D253</f>
        <v>-3.0343645592208177</v>
      </c>
      <c r="P44">
        <f>E253-D253</f>
        <v>-3.0471096572600329</v>
      </c>
    </row>
    <row r="45" spans="1:16" x14ac:dyDescent="0.25">
      <c r="A45" t="s">
        <v>29</v>
      </c>
      <c r="B45" t="s">
        <v>82</v>
      </c>
      <c r="C45" t="s">
        <v>13</v>
      </c>
      <c r="D45">
        <v>3.1563909774436096</v>
      </c>
      <c r="E45">
        <v>2.8499999999999996</v>
      </c>
      <c r="F45">
        <v>10</v>
      </c>
      <c r="G45">
        <v>2.8499999999999996</v>
      </c>
      <c r="H45">
        <v>1.7290552584670236</v>
      </c>
      <c r="I45" t="s">
        <v>47</v>
      </c>
      <c r="J45">
        <v>1</v>
      </c>
      <c r="K45">
        <v>45574</v>
      </c>
      <c r="L45">
        <v>45574</v>
      </c>
    </row>
    <row r="46" spans="1:16" x14ac:dyDescent="0.25">
      <c r="A46" t="s">
        <v>29</v>
      </c>
      <c r="B46" t="s">
        <v>82</v>
      </c>
      <c r="C46" t="s">
        <v>14</v>
      </c>
      <c r="D46">
        <v>2.1042606516290729</v>
      </c>
      <c r="E46">
        <v>1.9</v>
      </c>
      <c r="F46">
        <v>10</v>
      </c>
      <c r="G46">
        <v>1.9</v>
      </c>
      <c r="H46">
        <v>1.5496957403651113</v>
      </c>
      <c r="I46" t="s">
        <v>46</v>
      </c>
      <c r="J46">
        <v>1</v>
      </c>
      <c r="K46">
        <v>45574</v>
      </c>
      <c r="L46">
        <v>45574</v>
      </c>
    </row>
    <row r="47" spans="1:16" x14ac:dyDescent="0.25">
      <c r="A47" t="s">
        <v>30</v>
      </c>
      <c r="B47" t="s">
        <v>82</v>
      </c>
      <c r="C47" t="s">
        <v>15</v>
      </c>
      <c r="D47">
        <v>0.97058823529411775</v>
      </c>
      <c r="E47">
        <v>0.95</v>
      </c>
      <c r="F47">
        <v>10</v>
      </c>
      <c r="G47">
        <v>0.95</v>
      </c>
      <c r="H47">
        <v>5.7040998217468802E-2</v>
      </c>
      <c r="I47" t="s">
        <v>48</v>
      </c>
      <c r="K47">
        <v>45574</v>
      </c>
      <c r="L47">
        <v>45574</v>
      </c>
    </row>
    <row r="48" spans="1:16" x14ac:dyDescent="0.25">
      <c r="A48" t="s">
        <v>30</v>
      </c>
      <c r="B48" t="s">
        <v>82</v>
      </c>
      <c r="C48" t="s">
        <v>13</v>
      </c>
      <c r="D48">
        <v>3.7478639781271368</v>
      </c>
      <c r="E48">
        <v>4.75</v>
      </c>
      <c r="F48">
        <v>10</v>
      </c>
      <c r="G48">
        <v>4.75</v>
      </c>
      <c r="H48">
        <v>3.7813725490196082</v>
      </c>
      <c r="I48" t="s">
        <v>47</v>
      </c>
      <c r="K48">
        <v>45574</v>
      </c>
      <c r="L48">
        <v>45574</v>
      </c>
    </row>
    <row r="49" spans="1:12" x14ac:dyDescent="0.25">
      <c r="A49" t="s">
        <v>30</v>
      </c>
      <c r="B49" t="s">
        <v>82</v>
      </c>
      <c r="C49" t="s">
        <v>14</v>
      </c>
      <c r="D49">
        <v>4.5836142079336275</v>
      </c>
      <c r="E49">
        <v>2.8499999999999996</v>
      </c>
      <c r="F49">
        <v>10</v>
      </c>
      <c r="G49">
        <v>2.8499999999999996</v>
      </c>
      <c r="H49">
        <v>2.8368983957219247</v>
      </c>
      <c r="I49" t="s">
        <v>46</v>
      </c>
      <c r="K49">
        <v>45574</v>
      </c>
      <c r="L49">
        <v>45574</v>
      </c>
    </row>
    <row r="50" spans="1:12" x14ac:dyDescent="0.25">
      <c r="A50" t="s">
        <v>29</v>
      </c>
      <c r="B50" t="s">
        <v>42</v>
      </c>
      <c r="C50" t="s">
        <v>13</v>
      </c>
      <c r="D50">
        <v>5.7593984962406006</v>
      </c>
      <c r="E50">
        <v>3.8</v>
      </c>
      <c r="F50">
        <v>10</v>
      </c>
      <c r="G50">
        <v>3.8</v>
      </c>
      <c r="H50">
        <v>3.6431722689075623</v>
      </c>
      <c r="I50" t="s">
        <v>47</v>
      </c>
      <c r="J50">
        <v>1</v>
      </c>
      <c r="K50">
        <v>45574</v>
      </c>
      <c r="L50">
        <v>45574</v>
      </c>
    </row>
    <row r="51" spans="1:12" x14ac:dyDescent="0.25">
      <c r="A51" t="s">
        <v>29</v>
      </c>
      <c r="B51" t="s">
        <v>42</v>
      </c>
      <c r="C51" t="s">
        <v>15</v>
      </c>
      <c r="D51">
        <v>1</v>
      </c>
      <c r="E51">
        <v>0</v>
      </c>
      <c r="F51">
        <v>10</v>
      </c>
      <c r="G51">
        <v>0</v>
      </c>
      <c r="H51">
        <v>1.1913273001508298</v>
      </c>
      <c r="I51" t="s">
        <v>48</v>
      </c>
      <c r="J51">
        <v>1</v>
      </c>
      <c r="K51">
        <v>45574</v>
      </c>
      <c r="L51">
        <v>45574</v>
      </c>
    </row>
    <row r="52" spans="1:12" x14ac:dyDescent="0.25">
      <c r="A52" t="s">
        <v>29</v>
      </c>
      <c r="B52" t="s">
        <v>42</v>
      </c>
      <c r="C52" t="s">
        <v>14</v>
      </c>
      <c r="D52">
        <v>2.8796992481203008</v>
      </c>
      <c r="E52">
        <v>4.75</v>
      </c>
      <c r="F52">
        <v>10</v>
      </c>
      <c r="G52">
        <v>4.75</v>
      </c>
      <c r="H52">
        <v>2.4665314401622722</v>
      </c>
      <c r="I52" t="s">
        <v>46</v>
      </c>
      <c r="J52">
        <v>1</v>
      </c>
      <c r="K52">
        <v>45574</v>
      </c>
      <c r="L52">
        <v>45574</v>
      </c>
    </row>
    <row r="53" spans="1:12" x14ac:dyDescent="0.25">
      <c r="A53" t="s">
        <v>30</v>
      </c>
      <c r="B53" t="s">
        <v>42</v>
      </c>
      <c r="C53" t="s">
        <v>13</v>
      </c>
      <c r="D53">
        <v>6.8471096572600336</v>
      </c>
      <c r="E53">
        <v>2.8499999999999996</v>
      </c>
      <c r="F53">
        <v>10</v>
      </c>
      <c r="G53">
        <v>2.8499999999999996</v>
      </c>
      <c r="H53">
        <v>2.8752450980392155</v>
      </c>
      <c r="I53" t="s">
        <v>47</v>
      </c>
      <c r="K53">
        <v>45574</v>
      </c>
      <c r="L53">
        <v>45574</v>
      </c>
    </row>
    <row r="54" spans="1:12" x14ac:dyDescent="0.25">
      <c r="A54" t="s">
        <v>30</v>
      </c>
      <c r="B54" t="s">
        <v>42</v>
      </c>
      <c r="C54" t="s">
        <v>15</v>
      </c>
      <c r="D54">
        <v>0.84615384615384603</v>
      </c>
      <c r="E54">
        <v>1.9</v>
      </c>
      <c r="F54">
        <v>10</v>
      </c>
      <c r="G54">
        <v>1.9</v>
      </c>
      <c r="H54">
        <v>1.9964349376114079</v>
      </c>
      <c r="I54" t="s">
        <v>48</v>
      </c>
      <c r="K54">
        <v>45574</v>
      </c>
      <c r="L54">
        <v>45574</v>
      </c>
    </row>
    <row r="55" spans="1:12" x14ac:dyDescent="0.25">
      <c r="A55" t="s">
        <v>30</v>
      </c>
      <c r="B55" t="s">
        <v>42</v>
      </c>
      <c r="C55" t="s">
        <v>14</v>
      </c>
      <c r="D55">
        <v>2.5351191458269504</v>
      </c>
      <c r="E55">
        <v>2.8499999999999996</v>
      </c>
      <c r="F55">
        <v>10</v>
      </c>
      <c r="G55">
        <v>2.8499999999999996</v>
      </c>
      <c r="H55">
        <v>3.9351604278074865</v>
      </c>
      <c r="I55" t="s">
        <v>46</v>
      </c>
      <c r="K55">
        <v>45574</v>
      </c>
      <c r="L55">
        <v>45574</v>
      </c>
    </row>
    <row r="56" spans="1:12" x14ac:dyDescent="0.25">
      <c r="A56" t="s">
        <v>29</v>
      </c>
      <c r="B56" t="s">
        <v>38</v>
      </c>
      <c r="C56" t="s">
        <v>15</v>
      </c>
      <c r="D56">
        <v>5.3662728249194425</v>
      </c>
      <c r="E56">
        <v>5.6999999999999993</v>
      </c>
      <c r="F56">
        <v>10</v>
      </c>
      <c r="G56">
        <v>5.6999999999999993</v>
      </c>
      <c r="H56">
        <v>5.7669467787114854</v>
      </c>
      <c r="I56" t="s">
        <v>50</v>
      </c>
      <c r="J56">
        <v>1</v>
      </c>
      <c r="K56">
        <v>45575</v>
      </c>
      <c r="L56">
        <v>45575</v>
      </c>
    </row>
    <row r="57" spans="1:12" x14ac:dyDescent="0.25">
      <c r="A57" t="s">
        <v>29</v>
      </c>
      <c r="B57" t="s">
        <v>38</v>
      </c>
      <c r="C57" t="s">
        <v>14</v>
      </c>
      <c r="D57">
        <v>11.626924453992126</v>
      </c>
      <c r="E57">
        <v>14.25</v>
      </c>
      <c r="F57">
        <v>10</v>
      </c>
      <c r="G57">
        <v>14.25</v>
      </c>
      <c r="H57">
        <v>10.094388100067611</v>
      </c>
      <c r="I57" t="s">
        <v>49</v>
      </c>
      <c r="J57">
        <v>1</v>
      </c>
      <c r="K57">
        <v>45575</v>
      </c>
      <c r="L57">
        <v>45575</v>
      </c>
    </row>
    <row r="58" spans="1:12" x14ac:dyDescent="0.25">
      <c r="A58" t="s">
        <v>29</v>
      </c>
      <c r="B58" t="s">
        <v>38</v>
      </c>
      <c r="C58" t="s">
        <v>13</v>
      </c>
      <c r="D58">
        <v>14.310060866451844</v>
      </c>
      <c r="E58">
        <v>18.05</v>
      </c>
      <c r="F58">
        <v>10</v>
      </c>
      <c r="G58">
        <v>18.05</v>
      </c>
      <c r="H58">
        <v>10.823834988540863</v>
      </c>
      <c r="I58" t="s">
        <v>51</v>
      </c>
      <c r="J58">
        <v>1</v>
      </c>
      <c r="K58">
        <v>45575</v>
      </c>
      <c r="L58">
        <v>45575</v>
      </c>
    </row>
    <row r="59" spans="1:12" x14ac:dyDescent="0.25">
      <c r="A59" t="s">
        <v>30</v>
      </c>
      <c r="B59" t="s">
        <v>38</v>
      </c>
      <c r="C59" t="s">
        <v>15</v>
      </c>
      <c r="D59">
        <v>3.5111676249447159</v>
      </c>
      <c r="E59">
        <v>6.6499999999999995</v>
      </c>
      <c r="F59">
        <v>10</v>
      </c>
      <c r="G59">
        <v>6.6499999999999995</v>
      </c>
      <c r="H59">
        <v>5.8181818181818183</v>
      </c>
      <c r="I59" t="s">
        <v>50</v>
      </c>
      <c r="K59">
        <v>45575</v>
      </c>
      <c r="L59">
        <v>45575</v>
      </c>
    </row>
    <row r="60" spans="1:12" x14ac:dyDescent="0.25">
      <c r="A60" t="s">
        <v>30</v>
      </c>
      <c r="B60" t="s">
        <v>38</v>
      </c>
      <c r="C60" t="s">
        <v>14</v>
      </c>
      <c r="D60">
        <v>12.417771069086861</v>
      </c>
      <c r="E60">
        <v>14.25</v>
      </c>
      <c r="F60">
        <v>10</v>
      </c>
      <c r="G60">
        <v>14.25</v>
      </c>
      <c r="H60">
        <v>10.351604278074864</v>
      </c>
      <c r="I60" t="s">
        <v>49</v>
      </c>
      <c r="K60">
        <v>45575</v>
      </c>
      <c r="L60">
        <v>45575</v>
      </c>
    </row>
    <row r="61" spans="1:12" x14ac:dyDescent="0.25">
      <c r="A61" t="s">
        <v>30</v>
      </c>
      <c r="B61" t="s">
        <v>38</v>
      </c>
      <c r="C61" t="s">
        <v>13</v>
      </c>
      <c r="D61">
        <v>14.12921652156102</v>
      </c>
      <c r="E61">
        <v>18.05</v>
      </c>
      <c r="F61">
        <v>10</v>
      </c>
      <c r="G61">
        <v>18.05</v>
      </c>
      <c r="H61">
        <v>13.875980392156862</v>
      </c>
      <c r="I61" t="s">
        <v>51</v>
      </c>
      <c r="K61">
        <v>45575</v>
      </c>
      <c r="L61">
        <v>45575</v>
      </c>
    </row>
    <row r="62" spans="1:12" x14ac:dyDescent="0.25">
      <c r="A62" t="s">
        <v>29</v>
      </c>
      <c r="B62" t="s">
        <v>82</v>
      </c>
      <c r="C62" t="s">
        <v>13</v>
      </c>
      <c r="D62">
        <v>3.1563909774436087</v>
      </c>
      <c r="E62">
        <v>3.8</v>
      </c>
      <c r="F62">
        <v>10</v>
      </c>
      <c r="G62">
        <v>3.8</v>
      </c>
      <c r="H62">
        <v>1.882352941176471</v>
      </c>
      <c r="I62" t="s">
        <v>51</v>
      </c>
      <c r="J62">
        <v>1</v>
      </c>
      <c r="K62">
        <v>45575</v>
      </c>
      <c r="L62">
        <v>45575</v>
      </c>
    </row>
    <row r="63" spans="1:12" x14ac:dyDescent="0.25">
      <c r="A63" t="s">
        <v>29</v>
      </c>
      <c r="B63" t="s">
        <v>82</v>
      </c>
      <c r="C63" t="s">
        <v>15</v>
      </c>
      <c r="D63">
        <v>1</v>
      </c>
      <c r="E63">
        <v>0</v>
      </c>
      <c r="F63">
        <v>10</v>
      </c>
      <c r="G63">
        <v>0</v>
      </c>
      <c r="H63">
        <v>5.4901960784313725E-2</v>
      </c>
      <c r="I63" t="s">
        <v>50</v>
      </c>
      <c r="J63">
        <v>1</v>
      </c>
      <c r="K63">
        <v>45575</v>
      </c>
      <c r="L63">
        <v>45575</v>
      </c>
    </row>
    <row r="64" spans="1:12" x14ac:dyDescent="0.25">
      <c r="A64" t="s">
        <v>29</v>
      </c>
      <c r="B64" t="s">
        <v>82</v>
      </c>
      <c r="C64" t="s">
        <v>14</v>
      </c>
      <c r="D64">
        <v>2.1042606516290729</v>
      </c>
      <c r="E64">
        <v>1.9</v>
      </c>
      <c r="F64">
        <v>10</v>
      </c>
      <c r="G64">
        <v>1.9</v>
      </c>
      <c r="H64">
        <v>1.9315753887761999</v>
      </c>
      <c r="I64" t="s">
        <v>49</v>
      </c>
      <c r="J64">
        <v>1</v>
      </c>
      <c r="K64">
        <v>45575</v>
      </c>
      <c r="L64">
        <v>45575</v>
      </c>
    </row>
    <row r="65" spans="1:12" x14ac:dyDescent="0.25">
      <c r="A65" t="s">
        <v>30</v>
      </c>
      <c r="B65" t="s">
        <v>82</v>
      </c>
      <c r="C65" t="s">
        <v>13</v>
      </c>
      <c r="D65">
        <v>3.7478639781271368</v>
      </c>
      <c r="E65">
        <v>4.75</v>
      </c>
      <c r="F65">
        <v>10</v>
      </c>
      <c r="G65">
        <v>4.75</v>
      </c>
      <c r="H65">
        <v>3.75</v>
      </c>
      <c r="I65" t="s">
        <v>51</v>
      </c>
      <c r="K65">
        <v>45575</v>
      </c>
      <c r="L65">
        <v>45575</v>
      </c>
    </row>
    <row r="66" spans="1:12" x14ac:dyDescent="0.25">
      <c r="A66" t="s">
        <v>30</v>
      </c>
      <c r="B66" t="s">
        <v>82</v>
      </c>
      <c r="C66" t="s">
        <v>15</v>
      </c>
      <c r="D66">
        <v>0.97058823529411775</v>
      </c>
      <c r="E66">
        <v>0.95</v>
      </c>
      <c r="F66">
        <v>10</v>
      </c>
      <c r="G66">
        <v>0.95</v>
      </c>
      <c r="H66">
        <v>5.7040998217468802E-2</v>
      </c>
      <c r="I66" t="s">
        <v>50</v>
      </c>
      <c r="K66">
        <v>45575</v>
      </c>
      <c r="L66">
        <v>45575</v>
      </c>
    </row>
    <row r="67" spans="1:12" x14ac:dyDescent="0.25">
      <c r="A67" t="s">
        <v>30</v>
      </c>
      <c r="B67" t="s">
        <v>82</v>
      </c>
      <c r="C67" t="s">
        <v>14</v>
      </c>
      <c r="D67">
        <v>4.5836142079336275</v>
      </c>
      <c r="E67">
        <v>1.9</v>
      </c>
      <c r="F67">
        <v>10</v>
      </c>
      <c r="G67">
        <v>1.9</v>
      </c>
      <c r="H67">
        <v>2.8368983957219247</v>
      </c>
      <c r="I67" t="s">
        <v>49</v>
      </c>
      <c r="K67">
        <v>45575</v>
      </c>
      <c r="L67">
        <v>45575</v>
      </c>
    </row>
    <row r="68" spans="1:12" x14ac:dyDescent="0.25">
      <c r="A68" t="s">
        <v>29</v>
      </c>
      <c r="B68" t="s">
        <v>42</v>
      </c>
      <c r="C68" t="s">
        <v>13</v>
      </c>
      <c r="D68">
        <v>5.7593984962406006</v>
      </c>
      <c r="E68">
        <v>1.9</v>
      </c>
      <c r="F68">
        <v>10</v>
      </c>
      <c r="G68">
        <v>1.9</v>
      </c>
      <c r="H68">
        <v>2.857457983193278</v>
      </c>
      <c r="I68" t="s">
        <v>51</v>
      </c>
      <c r="J68">
        <v>1</v>
      </c>
      <c r="K68">
        <v>45575</v>
      </c>
      <c r="L68">
        <v>45575</v>
      </c>
    </row>
    <row r="69" spans="1:12" x14ac:dyDescent="0.25">
      <c r="A69" t="s">
        <v>29</v>
      </c>
      <c r="B69" t="s">
        <v>42</v>
      </c>
      <c r="C69" t="s">
        <v>15</v>
      </c>
      <c r="D69">
        <v>1</v>
      </c>
      <c r="E69">
        <v>0</v>
      </c>
      <c r="F69">
        <v>10</v>
      </c>
      <c r="G69">
        <v>0</v>
      </c>
      <c r="H69">
        <v>1.2607763753274592</v>
      </c>
      <c r="I69" t="s">
        <v>50</v>
      </c>
      <c r="J69">
        <v>1</v>
      </c>
      <c r="K69">
        <v>45575</v>
      </c>
      <c r="L69">
        <v>45575</v>
      </c>
    </row>
    <row r="70" spans="1:12" x14ac:dyDescent="0.25">
      <c r="A70" t="s">
        <v>29</v>
      </c>
      <c r="B70" t="s">
        <v>42</v>
      </c>
      <c r="C70" t="s">
        <v>14</v>
      </c>
      <c r="D70">
        <v>2.8796992481203003</v>
      </c>
      <c r="E70">
        <v>4.75</v>
      </c>
      <c r="F70">
        <v>10</v>
      </c>
      <c r="G70">
        <v>4.75</v>
      </c>
      <c r="H70">
        <v>3.4077079107505077</v>
      </c>
      <c r="I70" t="s">
        <v>49</v>
      </c>
      <c r="J70">
        <v>1</v>
      </c>
      <c r="K70">
        <v>45575</v>
      </c>
      <c r="L70">
        <v>45575</v>
      </c>
    </row>
    <row r="71" spans="1:12" x14ac:dyDescent="0.25">
      <c r="A71" t="s">
        <v>30</v>
      </c>
      <c r="B71" t="s">
        <v>42</v>
      </c>
      <c r="C71" t="s">
        <v>13</v>
      </c>
      <c r="D71">
        <v>6.8471096572600327</v>
      </c>
      <c r="E71">
        <v>3.8</v>
      </c>
      <c r="F71">
        <v>10</v>
      </c>
      <c r="G71">
        <v>3.8</v>
      </c>
      <c r="H71">
        <v>2.8752450980392155</v>
      </c>
      <c r="I71" t="s">
        <v>51</v>
      </c>
      <c r="K71">
        <v>45575</v>
      </c>
      <c r="L71">
        <v>45575</v>
      </c>
    </row>
    <row r="72" spans="1:12" x14ac:dyDescent="0.25">
      <c r="A72" t="s">
        <v>30</v>
      </c>
      <c r="B72" t="s">
        <v>42</v>
      </c>
      <c r="C72" t="s">
        <v>15</v>
      </c>
      <c r="D72">
        <v>0.84615384615384603</v>
      </c>
      <c r="E72">
        <v>1.9</v>
      </c>
      <c r="F72">
        <v>10</v>
      </c>
      <c r="G72">
        <v>1.9</v>
      </c>
      <c r="H72">
        <v>1.9393939393939392</v>
      </c>
      <c r="I72" t="s">
        <v>50</v>
      </c>
      <c r="K72">
        <v>45575</v>
      </c>
      <c r="L72">
        <v>45575</v>
      </c>
    </row>
    <row r="73" spans="1:12" x14ac:dyDescent="0.25">
      <c r="A73" t="s">
        <v>30</v>
      </c>
      <c r="B73" t="s">
        <v>42</v>
      </c>
      <c r="C73" t="s">
        <v>14</v>
      </c>
      <c r="D73">
        <v>2.5351191458269504</v>
      </c>
      <c r="E73">
        <v>4.75</v>
      </c>
      <c r="F73">
        <v>10</v>
      </c>
      <c r="G73">
        <v>4.75</v>
      </c>
      <c r="H73">
        <v>2.780080213903743</v>
      </c>
      <c r="I73" t="s">
        <v>49</v>
      </c>
      <c r="K73">
        <v>45575</v>
      </c>
      <c r="L73">
        <v>45575</v>
      </c>
    </row>
    <row r="74" spans="1:12" x14ac:dyDescent="0.25">
      <c r="A74" t="s">
        <v>29</v>
      </c>
      <c r="B74" t="s">
        <v>38</v>
      </c>
      <c r="C74" t="s">
        <v>13</v>
      </c>
      <c r="D74">
        <v>14.310060866451844</v>
      </c>
      <c r="E74">
        <v>19</v>
      </c>
      <c r="F74">
        <v>10</v>
      </c>
      <c r="G74">
        <v>19</v>
      </c>
      <c r="H74">
        <v>8.0003055767761602</v>
      </c>
      <c r="I74" t="s">
        <v>53</v>
      </c>
      <c r="J74">
        <v>1</v>
      </c>
      <c r="K74">
        <v>45576</v>
      </c>
      <c r="L74">
        <v>45576</v>
      </c>
    </row>
    <row r="75" spans="1:12" x14ac:dyDescent="0.25">
      <c r="A75" t="s">
        <v>29</v>
      </c>
      <c r="B75" t="s">
        <v>38</v>
      </c>
      <c r="C75" t="s">
        <v>15</v>
      </c>
      <c r="D75">
        <v>5.3662728249194425</v>
      </c>
      <c r="E75">
        <v>6.6499999999999995</v>
      </c>
      <c r="F75">
        <v>10</v>
      </c>
      <c r="G75">
        <v>6.6499999999999995</v>
      </c>
      <c r="H75">
        <v>5.8393599864188106</v>
      </c>
      <c r="I75" t="s">
        <v>52</v>
      </c>
      <c r="J75">
        <v>1</v>
      </c>
      <c r="K75">
        <v>45576</v>
      </c>
      <c r="L75">
        <v>45576</v>
      </c>
    </row>
    <row r="76" spans="1:12" x14ac:dyDescent="0.25">
      <c r="A76" t="s">
        <v>29</v>
      </c>
      <c r="B76" t="s">
        <v>38</v>
      </c>
      <c r="C76" t="s">
        <v>14</v>
      </c>
      <c r="D76">
        <v>11.626924453992125</v>
      </c>
      <c r="E76">
        <v>12.35</v>
      </c>
      <c r="F76">
        <v>10</v>
      </c>
      <c r="G76">
        <v>12.35</v>
      </c>
      <c r="H76">
        <v>9.6140922408670875</v>
      </c>
      <c r="I76" t="s">
        <v>54</v>
      </c>
      <c r="J76">
        <v>1</v>
      </c>
      <c r="K76">
        <v>45576</v>
      </c>
      <c r="L76">
        <v>45576</v>
      </c>
    </row>
    <row r="77" spans="1:12" x14ac:dyDescent="0.25">
      <c r="A77" t="s">
        <v>30</v>
      </c>
      <c r="B77" t="s">
        <v>38</v>
      </c>
      <c r="C77" t="s">
        <v>13</v>
      </c>
      <c r="D77">
        <v>14.129216521561023</v>
      </c>
      <c r="E77">
        <v>24.7</v>
      </c>
      <c r="F77">
        <v>10</v>
      </c>
      <c r="G77">
        <v>24.7</v>
      </c>
      <c r="H77">
        <v>12.009068627450976</v>
      </c>
      <c r="I77" t="s">
        <v>53</v>
      </c>
      <c r="K77">
        <v>45576</v>
      </c>
      <c r="L77">
        <v>45576</v>
      </c>
    </row>
    <row r="78" spans="1:12" x14ac:dyDescent="0.25">
      <c r="A78" t="s">
        <v>30</v>
      </c>
      <c r="B78" t="s">
        <v>38</v>
      </c>
      <c r="C78" t="s">
        <v>15</v>
      </c>
      <c r="D78">
        <v>3.5111676249447159</v>
      </c>
      <c r="E78">
        <v>7.6</v>
      </c>
      <c r="F78">
        <v>10</v>
      </c>
      <c r="G78">
        <v>7.6</v>
      </c>
      <c r="H78">
        <v>7.757575757575756</v>
      </c>
      <c r="I78" t="s">
        <v>52</v>
      </c>
      <c r="K78">
        <v>45576</v>
      </c>
      <c r="L78">
        <v>45576</v>
      </c>
    </row>
    <row r="79" spans="1:12" x14ac:dyDescent="0.25">
      <c r="A79" t="s">
        <v>30</v>
      </c>
      <c r="B79" t="s">
        <v>38</v>
      </c>
      <c r="C79" t="s">
        <v>14</v>
      </c>
      <c r="D79">
        <v>12.417771069086861</v>
      </c>
      <c r="E79">
        <v>9.5</v>
      </c>
      <c r="F79">
        <v>10</v>
      </c>
      <c r="G79">
        <v>9.5</v>
      </c>
      <c r="H79">
        <v>10.540775401069514</v>
      </c>
      <c r="I79" t="s">
        <v>54</v>
      </c>
      <c r="K79">
        <v>45576</v>
      </c>
      <c r="L79">
        <v>45576</v>
      </c>
    </row>
    <row r="80" spans="1:12" x14ac:dyDescent="0.25">
      <c r="A80" t="s">
        <v>29</v>
      </c>
      <c r="B80" t="s">
        <v>82</v>
      </c>
      <c r="C80" t="s">
        <v>13</v>
      </c>
      <c r="D80">
        <v>3.1563909774436087</v>
      </c>
      <c r="E80">
        <v>3.8</v>
      </c>
      <c r="F80">
        <v>10</v>
      </c>
      <c r="G80">
        <v>3.8</v>
      </c>
      <c r="H80">
        <v>1.882352941176471</v>
      </c>
      <c r="I80" t="s">
        <v>53</v>
      </c>
      <c r="J80">
        <v>1</v>
      </c>
      <c r="K80">
        <v>45576</v>
      </c>
      <c r="L80">
        <v>45576</v>
      </c>
    </row>
    <row r="81" spans="1:12" x14ac:dyDescent="0.25">
      <c r="A81" t="s">
        <v>29</v>
      </c>
      <c r="B81" t="s">
        <v>82</v>
      </c>
      <c r="C81" t="s">
        <v>15</v>
      </c>
      <c r="D81">
        <v>1</v>
      </c>
      <c r="E81">
        <v>0</v>
      </c>
      <c r="F81">
        <v>10</v>
      </c>
      <c r="G81">
        <v>0</v>
      </c>
      <c r="H81">
        <v>2.7450980392156862E-2</v>
      </c>
      <c r="I81" t="s">
        <v>52</v>
      </c>
      <c r="J81">
        <v>1</v>
      </c>
      <c r="K81">
        <v>45576</v>
      </c>
      <c r="L81">
        <v>45576</v>
      </c>
    </row>
    <row r="82" spans="1:12" x14ac:dyDescent="0.25">
      <c r="A82" t="s">
        <v>29</v>
      </c>
      <c r="B82" t="s">
        <v>82</v>
      </c>
      <c r="C82" t="s">
        <v>14</v>
      </c>
      <c r="D82">
        <v>2.1042606516290729</v>
      </c>
      <c r="E82">
        <v>2.8499999999999996</v>
      </c>
      <c r="F82">
        <v>10</v>
      </c>
      <c r="G82">
        <v>2.8499999999999996</v>
      </c>
      <c r="H82">
        <v>1.7568627450980387</v>
      </c>
      <c r="I82" t="s">
        <v>54</v>
      </c>
      <c r="J82">
        <v>1</v>
      </c>
      <c r="K82">
        <v>45576</v>
      </c>
      <c r="L82">
        <v>45576</v>
      </c>
    </row>
    <row r="83" spans="1:12" x14ac:dyDescent="0.25">
      <c r="A83" t="s">
        <v>30</v>
      </c>
      <c r="B83" t="s">
        <v>82</v>
      </c>
      <c r="C83" t="s">
        <v>13</v>
      </c>
      <c r="D83">
        <v>3.7478639781271368</v>
      </c>
      <c r="E83">
        <v>4.75</v>
      </c>
      <c r="F83">
        <v>10</v>
      </c>
      <c r="G83">
        <v>4.75</v>
      </c>
      <c r="H83">
        <v>3.75</v>
      </c>
      <c r="I83" t="s">
        <v>53</v>
      </c>
      <c r="K83">
        <v>45576</v>
      </c>
      <c r="L83">
        <v>45576</v>
      </c>
    </row>
    <row r="84" spans="1:12" x14ac:dyDescent="0.25">
      <c r="A84" t="s">
        <v>30</v>
      </c>
      <c r="B84" t="s">
        <v>82</v>
      </c>
      <c r="C84" t="s">
        <v>15</v>
      </c>
      <c r="D84">
        <v>0.97058823529411775</v>
      </c>
      <c r="E84">
        <v>0.95</v>
      </c>
      <c r="F84">
        <v>10</v>
      </c>
      <c r="G84">
        <v>0.95</v>
      </c>
      <c r="H84">
        <v>5.7040998217468802E-2</v>
      </c>
      <c r="I84" t="s">
        <v>52</v>
      </c>
      <c r="K84">
        <v>45576</v>
      </c>
      <c r="L84">
        <v>45576</v>
      </c>
    </row>
    <row r="85" spans="1:12" x14ac:dyDescent="0.25">
      <c r="A85" t="s">
        <v>30</v>
      </c>
      <c r="B85" t="s">
        <v>82</v>
      </c>
      <c r="C85" t="s">
        <v>14</v>
      </c>
      <c r="D85">
        <v>4.5836142079336275</v>
      </c>
      <c r="E85">
        <v>3.8</v>
      </c>
      <c r="F85">
        <v>10</v>
      </c>
      <c r="G85">
        <v>3.8</v>
      </c>
      <c r="H85">
        <v>3.5641711229946522</v>
      </c>
      <c r="I85" t="s">
        <v>54</v>
      </c>
      <c r="K85">
        <v>45576</v>
      </c>
      <c r="L85">
        <v>45576</v>
      </c>
    </row>
    <row r="86" spans="1:12" x14ac:dyDescent="0.25">
      <c r="A86" t="s">
        <v>29</v>
      </c>
      <c r="B86" t="s">
        <v>42</v>
      </c>
      <c r="C86" t="s">
        <v>13</v>
      </c>
      <c r="D86">
        <v>5.7593984962406006</v>
      </c>
      <c r="E86">
        <v>2.8499999999999996</v>
      </c>
      <c r="F86">
        <v>10</v>
      </c>
      <c r="G86">
        <v>2.8499999999999996</v>
      </c>
      <c r="H86">
        <v>3.714506855373727</v>
      </c>
      <c r="I86" t="s">
        <v>53</v>
      </c>
      <c r="J86">
        <v>1</v>
      </c>
      <c r="K86">
        <v>45576</v>
      </c>
      <c r="L86">
        <v>45576</v>
      </c>
    </row>
    <row r="87" spans="1:12" x14ac:dyDescent="0.25">
      <c r="A87" t="s">
        <v>29</v>
      </c>
      <c r="B87" t="s">
        <v>42</v>
      </c>
      <c r="C87" t="s">
        <v>14</v>
      </c>
      <c r="D87">
        <v>2.8796992481203008</v>
      </c>
      <c r="E87">
        <v>2.8499999999999996</v>
      </c>
      <c r="F87">
        <v>10</v>
      </c>
      <c r="G87">
        <v>2.8499999999999996</v>
      </c>
      <c r="H87">
        <v>2.6236195627676362</v>
      </c>
      <c r="I87" t="s">
        <v>54</v>
      </c>
      <c r="J87">
        <v>1</v>
      </c>
      <c r="K87">
        <v>45576</v>
      </c>
      <c r="L87">
        <v>45576</v>
      </c>
    </row>
    <row r="88" spans="1:12" x14ac:dyDescent="0.25">
      <c r="A88" t="s">
        <v>29</v>
      </c>
      <c r="B88" t="s">
        <v>42</v>
      </c>
      <c r="C88" t="s">
        <v>15</v>
      </c>
      <c r="D88">
        <v>1</v>
      </c>
      <c r="E88">
        <v>0</v>
      </c>
      <c r="F88">
        <v>10</v>
      </c>
      <c r="G88">
        <v>0</v>
      </c>
      <c r="H88">
        <v>1.1524384112619406</v>
      </c>
      <c r="I88" t="s">
        <v>52</v>
      </c>
      <c r="J88">
        <v>1</v>
      </c>
      <c r="K88">
        <v>45576</v>
      </c>
      <c r="L88">
        <v>45576</v>
      </c>
    </row>
    <row r="89" spans="1:12" x14ac:dyDescent="0.25">
      <c r="A89" t="s">
        <v>30</v>
      </c>
      <c r="B89" t="s">
        <v>42</v>
      </c>
      <c r="C89" t="s">
        <v>13</v>
      </c>
      <c r="D89">
        <v>6.8471096572600336</v>
      </c>
      <c r="E89">
        <v>2.8499999999999996</v>
      </c>
      <c r="F89">
        <v>10</v>
      </c>
      <c r="G89">
        <v>2.8499999999999996</v>
      </c>
      <c r="H89">
        <v>2.8420461733080331</v>
      </c>
      <c r="I89" t="s">
        <v>53</v>
      </c>
      <c r="K89">
        <v>45576</v>
      </c>
      <c r="L89">
        <v>45576</v>
      </c>
    </row>
    <row r="90" spans="1:12" x14ac:dyDescent="0.25">
      <c r="A90" t="s">
        <v>30</v>
      </c>
      <c r="B90" t="s">
        <v>42</v>
      </c>
      <c r="C90" t="s">
        <v>14</v>
      </c>
      <c r="D90">
        <v>2.5351191458269504</v>
      </c>
      <c r="E90">
        <v>3.8</v>
      </c>
      <c r="F90">
        <v>10</v>
      </c>
      <c r="G90">
        <v>3.8</v>
      </c>
      <c r="H90">
        <v>2.993861767580932</v>
      </c>
      <c r="I90" t="s">
        <v>54</v>
      </c>
      <c r="K90">
        <v>45576</v>
      </c>
      <c r="L90">
        <v>45576</v>
      </c>
    </row>
    <row r="91" spans="1:12" x14ac:dyDescent="0.25">
      <c r="A91" t="s">
        <v>30</v>
      </c>
      <c r="B91" t="s">
        <v>42</v>
      </c>
      <c r="C91" t="s">
        <v>15</v>
      </c>
      <c r="D91">
        <v>0.84615384615384603</v>
      </c>
      <c r="E91">
        <v>1.9</v>
      </c>
      <c r="F91">
        <v>10</v>
      </c>
      <c r="G91">
        <v>1.9</v>
      </c>
      <c r="H91">
        <v>1.9679144385026737</v>
      </c>
      <c r="I91" t="s">
        <v>52</v>
      </c>
      <c r="K91">
        <v>45576</v>
      </c>
      <c r="L91">
        <v>45576</v>
      </c>
    </row>
    <row r="92" spans="1:12" x14ac:dyDescent="0.25">
      <c r="A92" t="s">
        <v>29</v>
      </c>
      <c r="B92" t="s">
        <v>38</v>
      </c>
      <c r="C92" t="s">
        <v>13</v>
      </c>
      <c r="D92">
        <v>14.310060866451844</v>
      </c>
      <c r="E92">
        <v>19.95</v>
      </c>
      <c r="F92">
        <v>10</v>
      </c>
      <c r="G92">
        <v>19.95</v>
      </c>
      <c r="H92">
        <v>12.799132141378117</v>
      </c>
      <c r="I92" t="s">
        <v>56</v>
      </c>
      <c r="J92">
        <v>1</v>
      </c>
      <c r="K92">
        <v>45577</v>
      </c>
      <c r="L92">
        <v>45577</v>
      </c>
    </row>
    <row r="93" spans="1:12" x14ac:dyDescent="0.25">
      <c r="A93" t="s">
        <v>29</v>
      </c>
      <c r="B93" t="s">
        <v>38</v>
      </c>
      <c r="C93" t="s">
        <v>15</v>
      </c>
      <c r="D93">
        <v>5.3662728249194425</v>
      </c>
      <c r="E93">
        <v>7.6</v>
      </c>
      <c r="F93">
        <v>10</v>
      </c>
      <c r="G93">
        <v>7.6</v>
      </c>
      <c r="H93">
        <v>5.7943977591036422</v>
      </c>
      <c r="I93" t="s">
        <v>55</v>
      </c>
      <c r="J93">
        <v>1</v>
      </c>
      <c r="K93">
        <v>45577</v>
      </c>
      <c r="L93">
        <v>45577</v>
      </c>
    </row>
    <row r="94" spans="1:12" x14ac:dyDescent="0.25">
      <c r="A94" t="s">
        <v>29</v>
      </c>
      <c r="B94" t="s">
        <v>38</v>
      </c>
      <c r="C94" t="s">
        <v>14</v>
      </c>
      <c r="D94">
        <v>11.626924453992126</v>
      </c>
      <c r="E94">
        <v>18.05</v>
      </c>
      <c r="F94">
        <v>10</v>
      </c>
      <c r="G94">
        <v>18.05</v>
      </c>
      <c r="H94">
        <v>10.056408770404715</v>
      </c>
      <c r="I94" t="s">
        <v>57</v>
      </c>
      <c r="J94">
        <v>1</v>
      </c>
      <c r="K94">
        <v>45577</v>
      </c>
      <c r="L94">
        <v>45577</v>
      </c>
    </row>
    <row r="95" spans="1:12" x14ac:dyDescent="0.25">
      <c r="A95" t="s">
        <v>30</v>
      </c>
      <c r="B95" t="s">
        <v>38</v>
      </c>
      <c r="C95" t="s">
        <v>13</v>
      </c>
      <c r="D95">
        <v>14.12921652156102</v>
      </c>
      <c r="E95">
        <v>16.149999999999999</v>
      </c>
      <c r="F95">
        <v>10</v>
      </c>
      <c r="G95">
        <v>16.149999999999999</v>
      </c>
      <c r="H95">
        <v>13.875980392156862</v>
      </c>
      <c r="I95" t="s">
        <v>56</v>
      </c>
      <c r="K95">
        <v>45577</v>
      </c>
      <c r="L95">
        <v>45577</v>
      </c>
    </row>
    <row r="96" spans="1:12" x14ac:dyDescent="0.25">
      <c r="A96" t="s">
        <v>30</v>
      </c>
      <c r="B96" t="s">
        <v>38</v>
      </c>
      <c r="C96" t="s">
        <v>15</v>
      </c>
      <c r="D96">
        <v>3.5111676249447159</v>
      </c>
      <c r="E96">
        <v>6.6499999999999995</v>
      </c>
      <c r="F96">
        <v>10</v>
      </c>
      <c r="G96">
        <v>6.6499999999999995</v>
      </c>
      <c r="H96">
        <v>6.8449197860962556</v>
      </c>
      <c r="I96" t="s">
        <v>55</v>
      </c>
      <c r="K96">
        <v>45577</v>
      </c>
      <c r="L96">
        <v>45577</v>
      </c>
    </row>
    <row r="97" spans="1:12" x14ac:dyDescent="0.25">
      <c r="A97" t="s">
        <v>30</v>
      </c>
      <c r="B97" t="s">
        <v>38</v>
      </c>
      <c r="C97" t="s">
        <v>14</v>
      </c>
      <c r="D97">
        <v>12.417771069086861</v>
      </c>
      <c r="E97">
        <v>19</v>
      </c>
      <c r="F97">
        <v>10</v>
      </c>
      <c r="G97">
        <v>19</v>
      </c>
      <c r="H97">
        <v>10.993315508021384</v>
      </c>
      <c r="I97" t="s">
        <v>57</v>
      </c>
      <c r="K97">
        <v>45577</v>
      </c>
      <c r="L97">
        <v>45577</v>
      </c>
    </row>
    <row r="98" spans="1:12" x14ac:dyDescent="0.25">
      <c r="A98" t="s">
        <v>29</v>
      </c>
      <c r="B98" t="s">
        <v>82</v>
      </c>
      <c r="C98" t="s">
        <v>14</v>
      </c>
      <c r="D98">
        <v>2.1042606516290729</v>
      </c>
      <c r="E98">
        <v>1.9</v>
      </c>
      <c r="F98">
        <v>10</v>
      </c>
      <c r="G98">
        <v>1.9</v>
      </c>
      <c r="H98">
        <v>1.7568627450980394</v>
      </c>
      <c r="I98" t="s">
        <v>57</v>
      </c>
      <c r="J98">
        <v>1</v>
      </c>
      <c r="K98">
        <v>45577</v>
      </c>
      <c r="L98">
        <v>45577</v>
      </c>
    </row>
    <row r="99" spans="1:12" x14ac:dyDescent="0.25">
      <c r="A99" t="s">
        <v>29</v>
      </c>
      <c r="B99" t="s">
        <v>82</v>
      </c>
      <c r="C99" t="s">
        <v>13</v>
      </c>
      <c r="D99">
        <v>3.1563909774436096</v>
      </c>
      <c r="E99">
        <v>4.75</v>
      </c>
      <c r="F99">
        <v>10</v>
      </c>
      <c r="G99">
        <v>4.75</v>
      </c>
      <c r="H99">
        <v>1.882352941176471</v>
      </c>
      <c r="I99" t="s">
        <v>56</v>
      </c>
      <c r="J99">
        <v>1</v>
      </c>
      <c r="K99">
        <v>45577</v>
      </c>
      <c r="L99">
        <v>45577</v>
      </c>
    </row>
    <row r="100" spans="1:12" x14ac:dyDescent="0.25">
      <c r="A100" t="s">
        <v>29</v>
      </c>
      <c r="B100" t="s">
        <v>82</v>
      </c>
      <c r="C100" t="s">
        <v>15</v>
      </c>
      <c r="D100">
        <v>1</v>
      </c>
      <c r="E100">
        <v>0</v>
      </c>
      <c r="F100">
        <v>10</v>
      </c>
      <c r="G100">
        <v>0</v>
      </c>
      <c r="H100">
        <v>2.7450980392156862E-2</v>
      </c>
      <c r="I100" t="s">
        <v>55</v>
      </c>
      <c r="J100">
        <v>1</v>
      </c>
      <c r="K100">
        <v>45577</v>
      </c>
      <c r="L100">
        <v>45577</v>
      </c>
    </row>
    <row r="101" spans="1:12" x14ac:dyDescent="0.25">
      <c r="A101" t="s">
        <v>30</v>
      </c>
      <c r="B101" t="s">
        <v>82</v>
      </c>
      <c r="C101" t="s">
        <v>14</v>
      </c>
      <c r="D101">
        <v>4.5836142079336275</v>
      </c>
      <c r="E101">
        <v>3.8</v>
      </c>
      <c r="F101">
        <v>10</v>
      </c>
      <c r="G101">
        <v>3.8</v>
      </c>
      <c r="H101">
        <v>3.3502673796791447</v>
      </c>
      <c r="I101" t="s">
        <v>57</v>
      </c>
      <c r="K101">
        <v>45577</v>
      </c>
      <c r="L101">
        <v>45577</v>
      </c>
    </row>
    <row r="102" spans="1:12" x14ac:dyDescent="0.25">
      <c r="A102" t="s">
        <v>30</v>
      </c>
      <c r="B102" t="s">
        <v>82</v>
      </c>
      <c r="C102" t="s">
        <v>13</v>
      </c>
      <c r="D102">
        <v>3.7478639781271368</v>
      </c>
      <c r="E102">
        <v>4.75</v>
      </c>
      <c r="F102">
        <v>10</v>
      </c>
      <c r="G102">
        <v>4.75</v>
      </c>
      <c r="H102">
        <v>3.75</v>
      </c>
      <c r="I102" t="s">
        <v>56</v>
      </c>
      <c r="K102">
        <v>45577</v>
      </c>
      <c r="L102">
        <v>45577</v>
      </c>
    </row>
    <row r="103" spans="1:12" x14ac:dyDescent="0.25">
      <c r="A103" t="s">
        <v>30</v>
      </c>
      <c r="B103" t="s">
        <v>82</v>
      </c>
      <c r="C103" t="s">
        <v>15</v>
      </c>
      <c r="D103">
        <v>0.97058823529411775</v>
      </c>
      <c r="E103">
        <v>0.95</v>
      </c>
      <c r="F103">
        <v>10</v>
      </c>
      <c r="G103">
        <v>0.95</v>
      </c>
      <c r="H103">
        <v>2.8520499108734401E-2</v>
      </c>
      <c r="I103" t="s">
        <v>55</v>
      </c>
      <c r="K103">
        <v>45577</v>
      </c>
      <c r="L103">
        <v>45577</v>
      </c>
    </row>
    <row r="104" spans="1:12" x14ac:dyDescent="0.25">
      <c r="A104" t="s">
        <v>29</v>
      </c>
      <c r="B104" t="s">
        <v>42</v>
      </c>
      <c r="C104" t="s">
        <v>13</v>
      </c>
      <c r="D104">
        <v>5.7593984962406006</v>
      </c>
      <c r="E104">
        <v>3.8</v>
      </c>
      <c r="F104">
        <v>10</v>
      </c>
      <c r="G104">
        <v>3.8</v>
      </c>
      <c r="H104">
        <v>2.6288885669210211</v>
      </c>
      <c r="I104" t="s">
        <v>56</v>
      </c>
      <c r="J104">
        <v>1</v>
      </c>
      <c r="K104">
        <v>45577</v>
      </c>
      <c r="L104">
        <v>45577</v>
      </c>
    </row>
    <row r="105" spans="1:12" x14ac:dyDescent="0.25">
      <c r="A105" t="s">
        <v>29</v>
      </c>
      <c r="B105" t="s">
        <v>42</v>
      </c>
      <c r="C105" t="s">
        <v>15</v>
      </c>
      <c r="D105">
        <v>1</v>
      </c>
      <c r="E105">
        <v>0.95</v>
      </c>
      <c r="F105">
        <v>10</v>
      </c>
      <c r="G105">
        <v>0.95</v>
      </c>
      <c r="H105">
        <v>1.113207918481752</v>
      </c>
      <c r="I105" t="s">
        <v>55</v>
      </c>
      <c r="J105">
        <v>1</v>
      </c>
      <c r="K105">
        <v>45577</v>
      </c>
      <c r="L105">
        <v>45577</v>
      </c>
    </row>
    <row r="106" spans="1:12" x14ac:dyDescent="0.25">
      <c r="A106" t="s">
        <v>29</v>
      </c>
      <c r="B106" t="s">
        <v>42</v>
      </c>
      <c r="C106" t="s">
        <v>14</v>
      </c>
      <c r="D106">
        <v>2.8796992481203008</v>
      </c>
      <c r="E106">
        <v>0.95</v>
      </c>
      <c r="F106">
        <v>10</v>
      </c>
      <c r="G106">
        <v>0.95</v>
      </c>
      <c r="H106">
        <v>2.0669371196754565</v>
      </c>
      <c r="I106" t="s">
        <v>57</v>
      </c>
      <c r="J106">
        <v>1</v>
      </c>
      <c r="K106">
        <v>45577</v>
      </c>
      <c r="L106">
        <v>45577</v>
      </c>
    </row>
    <row r="107" spans="1:12" x14ac:dyDescent="0.25">
      <c r="A107" t="s">
        <v>30</v>
      </c>
      <c r="B107" t="s">
        <v>42</v>
      </c>
      <c r="C107" t="s">
        <v>13</v>
      </c>
      <c r="D107">
        <v>6.8471096572600327</v>
      </c>
      <c r="E107">
        <v>3.8</v>
      </c>
      <c r="F107">
        <v>10</v>
      </c>
      <c r="G107">
        <v>3.8</v>
      </c>
      <c r="H107">
        <v>3.812745098039215</v>
      </c>
      <c r="I107" t="s">
        <v>56</v>
      </c>
      <c r="K107">
        <v>45577</v>
      </c>
      <c r="L107">
        <v>45577</v>
      </c>
    </row>
    <row r="108" spans="1:12" x14ac:dyDescent="0.25">
      <c r="A108" t="s">
        <v>30</v>
      </c>
      <c r="B108" t="s">
        <v>42</v>
      </c>
      <c r="C108" t="s">
        <v>15</v>
      </c>
      <c r="D108">
        <v>0.84615384615384603</v>
      </c>
      <c r="E108">
        <v>1.9</v>
      </c>
      <c r="F108">
        <v>10</v>
      </c>
      <c r="G108">
        <v>1.9</v>
      </c>
      <c r="H108">
        <v>1.9963235294117645</v>
      </c>
      <c r="I108" t="s">
        <v>55</v>
      </c>
      <c r="K108">
        <v>45577</v>
      </c>
      <c r="L108">
        <v>45577</v>
      </c>
    </row>
    <row r="109" spans="1:12" x14ac:dyDescent="0.25">
      <c r="A109" t="s">
        <v>30</v>
      </c>
      <c r="B109" t="s">
        <v>42</v>
      </c>
      <c r="C109" t="s">
        <v>14</v>
      </c>
      <c r="D109">
        <v>2.5351191458269504</v>
      </c>
      <c r="E109">
        <v>3.8</v>
      </c>
      <c r="F109">
        <v>10</v>
      </c>
      <c r="G109">
        <v>3.8</v>
      </c>
      <c r="H109">
        <v>3.9314839572192506</v>
      </c>
      <c r="I109" t="s">
        <v>57</v>
      </c>
      <c r="K109">
        <v>45577</v>
      </c>
      <c r="L109">
        <v>45577</v>
      </c>
    </row>
    <row r="110" spans="1:12" x14ac:dyDescent="0.25">
      <c r="A110" t="s">
        <v>29</v>
      </c>
      <c r="B110" t="s">
        <v>38</v>
      </c>
      <c r="C110" t="s">
        <v>13</v>
      </c>
      <c r="D110">
        <v>14.310060866451844</v>
      </c>
      <c r="E110">
        <v>16.149999999999999</v>
      </c>
      <c r="F110">
        <v>10</v>
      </c>
      <c r="G110">
        <v>16.149999999999999</v>
      </c>
      <c r="H110">
        <v>13.390151025445141</v>
      </c>
      <c r="I110" t="s">
        <v>60</v>
      </c>
      <c r="J110">
        <v>1</v>
      </c>
      <c r="K110">
        <v>45578</v>
      </c>
      <c r="L110">
        <v>45578</v>
      </c>
    </row>
    <row r="111" spans="1:12" x14ac:dyDescent="0.25">
      <c r="A111" t="s">
        <v>29</v>
      </c>
      <c r="B111" t="s">
        <v>38</v>
      </c>
      <c r="C111" t="s">
        <v>15</v>
      </c>
      <c r="D111">
        <v>5.3662728249194425</v>
      </c>
      <c r="E111">
        <v>7.6</v>
      </c>
      <c r="F111">
        <v>10</v>
      </c>
      <c r="G111">
        <v>7.6</v>
      </c>
      <c r="H111">
        <v>4.8240896358543424</v>
      </c>
      <c r="I111" t="s">
        <v>59</v>
      </c>
      <c r="J111">
        <v>1</v>
      </c>
      <c r="K111">
        <v>45578</v>
      </c>
      <c r="L111">
        <v>45578</v>
      </c>
    </row>
    <row r="112" spans="1:12" x14ac:dyDescent="0.25">
      <c r="A112" t="s">
        <v>29</v>
      </c>
      <c r="B112" t="s">
        <v>38</v>
      </c>
      <c r="C112" t="s">
        <v>14</v>
      </c>
      <c r="D112">
        <v>11.626924453992126</v>
      </c>
      <c r="E112">
        <v>13.3</v>
      </c>
      <c r="F112">
        <v>10</v>
      </c>
      <c r="G112">
        <v>13.3</v>
      </c>
      <c r="H112">
        <v>7.5878905408317197</v>
      </c>
      <c r="I112" t="s">
        <v>58</v>
      </c>
      <c r="J112">
        <v>1</v>
      </c>
      <c r="K112">
        <v>45578</v>
      </c>
      <c r="L112">
        <v>45578</v>
      </c>
    </row>
    <row r="113" spans="1:12" x14ac:dyDescent="0.25">
      <c r="A113" t="s">
        <v>30</v>
      </c>
      <c r="B113" t="s">
        <v>38</v>
      </c>
      <c r="C113" t="s">
        <v>13</v>
      </c>
      <c r="D113">
        <v>14.12921652156102</v>
      </c>
      <c r="E113">
        <v>16.149999999999999</v>
      </c>
      <c r="F113">
        <v>10</v>
      </c>
      <c r="G113">
        <v>16.149999999999999</v>
      </c>
      <c r="H113">
        <v>13.844607843137254</v>
      </c>
      <c r="I113" t="s">
        <v>60</v>
      </c>
      <c r="K113">
        <v>45578</v>
      </c>
      <c r="L113">
        <v>45578</v>
      </c>
    </row>
    <row r="114" spans="1:12" x14ac:dyDescent="0.25">
      <c r="A114" t="s">
        <v>30</v>
      </c>
      <c r="B114" t="s">
        <v>38</v>
      </c>
      <c r="C114" t="s">
        <v>15</v>
      </c>
      <c r="D114">
        <v>3.5111676249447159</v>
      </c>
      <c r="E114">
        <v>5.6999999999999993</v>
      </c>
      <c r="F114">
        <v>10</v>
      </c>
      <c r="G114">
        <v>5.6999999999999993</v>
      </c>
      <c r="H114">
        <v>7.7290552584670227</v>
      </c>
      <c r="I114" t="s">
        <v>59</v>
      </c>
      <c r="K114">
        <v>45578</v>
      </c>
      <c r="L114">
        <v>45578</v>
      </c>
    </row>
    <row r="115" spans="1:12" x14ac:dyDescent="0.25">
      <c r="A115" t="s">
        <v>30</v>
      </c>
      <c r="B115" t="s">
        <v>38</v>
      </c>
      <c r="C115" t="s">
        <v>14</v>
      </c>
      <c r="D115">
        <v>12.417771069086861</v>
      </c>
      <c r="E115">
        <v>14.25</v>
      </c>
      <c r="F115">
        <v>10</v>
      </c>
      <c r="G115">
        <v>14.25</v>
      </c>
      <c r="H115">
        <v>10.56550802139037</v>
      </c>
      <c r="I115" t="s">
        <v>58</v>
      </c>
      <c r="K115">
        <v>45578</v>
      </c>
      <c r="L115">
        <v>45578</v>
      </c>
    </row>
    <row r="116" spans="1:12" x14ac:dyDescent="0.25">
      <c r="A116" t="s">
        <v>29</v>
      </c>
      <c r="B116" t="s">
        <v>82</v>
      </c>
      <c r="C116" t="s">
        <v>15</v>
      </c>
      <c r="D116">
        <v>1</v>
      </c>
      <c r="E116">
        <v>0</v>
      </c>
      <c r="F116">
        <v>10</v>
      </c>
      <c r="G116">
        <v>0</v>
      </c>
      <c r="H116">
        <v>0</v>
      </c>
      <c r="I116" t="s">
        <v>59</v>
      </c>
      <c r="J116">
        <v>1</v>
      </c>
      <c r="K116">
        <v>45578</v>
      </c>
      <c r="L116">
        <v>45578</v>
      </c>
    </row>
    <row r="117" spans="1:12" x14ac:dyDescent="0.25">
      <c r="A117" t="s">
        <v>29</v>
      </c>
      <c r="B117" t="s">
        <v>82</v>
      </c>
      <c r="C117" t="s">
        <v>13</v>
      </c>
      <c r="D117">
        <v>3.1563909774436096</v>
      </c>
      <c r="E117">
        <v>2.8499999999999996</v>
      </c>
      <c r="F117">
        <v>10</v>
      </c>
      <c r="G117">
        <v>2.8499999999999996</v>
      </c>
      <c r="H117">
        <v>1.882352941176471</v>
      </c>
      <c r="I117" t="s">
        <v>60</v>
      </c>
      <c r="J117">
        <v>1</v>
      </c>
      <c r="K117">
        <v>45578</v>
      </c>
      <c r="L117">
        <v>45578</v>
      </c>
    </row>
    <row r="118" spans="1:12" x14ac:dyDescent="0.25">
      <c r="A118" t="s">
        <v>29</v>
      </c>
      <c r="B118" t="s">
        <v>82</v>
      </c>
      <c r="C118" t="s">
        <v>14</v>
      </c>
      <c r="D118">
        <v>2.1042606516290729</v>
      </c>
      <c r="E118">
        <v>1.9</v>
      </c>
      <c r="F118">
        <v>10</v>
      </c>
      <c r="G118">
        <v>1.9</v>
      </c>
      <c r="H118">
        <v>1.5821501014198778</v>
      </c>
      <c r="I118" t="s">
        <v>58</v>
      </c>
      <c r="J118">
        <v>1</v>
      </c>
      <c r="K118">
        <v>45578</v>
      </c>
      <c r="L118">
        <v>45578</v>
      </c>
    </row>
    <row r="119" spans="1:12" x14ac:dyDescent="0.25">
      <c r="A119" t="s">
        <v>30</v>
      </c>
      <c r="B119" t="s">
        <v>82</v>
      </c>
      <c r="C119" t="s">
        <v>15</v>
      </c>
      <c r="D119">
        <v>0.97058823529411775</v>
      </c>
      <c r="E119">
        <v>0.95</v>
      </c>
      <c r="F119">
        <v>10</v>
      </c>
      <c r="G119">
        <v>0.95</v>
      </c>
      <c r="H119">
        <v>8.5561497326203204E-2</v>
      </c>
      <c r="I119" t="s">
        <v>59</v>
      </c>
      <c r="K119">
        <v>45578</v>
      </c>
      <c r="L119">
        <v>45578</v>
      </c>
    </row>
    <row r="120" spans="1:12" x14ac:dyDescent="0.25">
      <c r="A120" t="s">
        <v>30</v>
      </c>
      <c r="B120" t="s">
        <v>82</v>
      </c>
      <c r="C120" t="s">
        <v>13</v>
      </c>
      <c r="D120">
        <v>3.7478639781271368</v>
      </c>
      <c r="E120">
        <v>3.8</v>
      </c>
      <c r="F120">
        <v>10</v>
      </c>
      <c r="G120">
        <v>3.8</v>
      </c>
      <c r="H120">
        <v>3.75</v>
      </c>
      <c r="I120" t="s">
        <v>60</v>
      </c>
      <c r="K120">
        <v>45578</v>
      </c>
      <c r="L120">
        <v>45578</v>
      </c>
    </row>
    <row r="121" spans="1:12" x14ac:dyDescent="0.25">
      <c r="A121" t="s">
        <v>30</v>
      </c>
      <c r="B121" t="s">
        <v>82</v>
      </c>
      <c r="C121" t="s">
        <v>14</v>
      </c>
      <c r="D121">
        <v>4.5836142079336275</v>
      </c>
      <c r="E121">
        <v>4.75</v>
      </c>
      <c r="F121">
        <v>10</v>
      </c>
      <c r="G121">
        <v>4.75</v>
      </c>
      <c r="H121">
        <v>3.7780748663101602</v>
      </c>
      <c r="I121" t="s">
        <v>58</v>
      </c>
      <c r="K121">
        <v>45578</v>
      </c>
      <c r="L121">
        <v>45578</v>
      </c>
    </row>
    <row r="122" spans="1:12" x14ac:dyDescent="0.25">
      <c r="A122" t="s">
        <v>29</v>
      </c>
      <c r="B122" t="s">
        <v>42</v>
      </c>
      <c r="C122" t="s">
        <v>13</v>
      </c>
      <c r="D122">
        <v>5.7593984962406006</v>
      </c>
      <c r="E122">
        <v>5.6999999999999993</v>
      </c>
      <c r="F122">
        <v>10</v>
      </c>
      <c r="G122">
        <v>5.6999999999999993</v>
      </c>
      <c r="H122">
        <v>2.7228594140358848</v>
      </c>
      <c r="I122" t="s">
        <v>60</v>
      </c>
      <c r="J122">
        <v>1</v>
      </c>
      <c r="K122">
        <v>45578</v>
      </c>
      <c r="L122">
        <v>45578</v>
      </c>
    </row>
    <row r="123" spans="1:12" x14ac:dyDescent="0.25">
      <c r="A123" t="s">
        <v>29</v>
      </c>
      <c r="B123" t="s">
        <v>42</v>
      </c>
      <c r="C123" t="s">
        <v>15</v>
      </c>
      <c r="D123">
        <v>1</v>
      </c>
      <c r="E123">
        <v>0</v>
      </c>
      <c r="F123">
        <v>10</v>
      </c>
      <c r="G123">
        <v>0</v>
      </c>
      <c r="H123">
        <v>1.1401127252520442</v>
      </c>
      <c r="I123" t="s">
        <v>59</v>
      </c>
      <c r="J123">
        <v>1</v>
      </c>
      <c r="K123">
        <v>45578</v>
      </c>
      <c r="L123">
        <v>45578</v>
      </c>
    </row>
    <row r="124" spans="1:12" x14ac:dyDescent="0.25">
      <c r="A124" t="s">
        <v>29</v>
      </c>
      <c r="B124" t="s">
        <v>42</v>
      </c>
      <c r="C124" t="s">
        <v>14</v>
      </c>
      <c r="D124">
        <v>2.8796992481203003</v>
      </c>
      <c r="E124">
        <v>0.95</v>
      </c>
      <c r="F124">
        <v>10</v>
      </c>
      <c r="G124">
        <v>0.95</v>
      </c>
      <c r="H124">
        <v>2.5963488843813378</v>
      </c>
      <c r="I124" t="s">
        <v>58</v>
      </c>
      <c r="J124">
        <v>1</v>
      </c>
      <c r="K124">
        <v>45578</v>
      </c>
      <c r="L124">
        <v>45578</v>
      </c>
    </row>
    <row r="125" spans="1:12" x14ac:dyDescent="0.25">
      <c r="A125" t="s">
        <v>30</v>
      </c>
      <c r="B125" t="s">
        <v>42</v>
      </c>
      <c r="C125" t="s">
        <v>13</v>
      </c>
      <c r="D125">
        <v>6.8471096572600327</v>
      </c>
      <c r="E125">
        <v>3.8</v>
      </c>
      <c r="F125">
        <v>10</v>
      </c>
      <c r="G125">
        <v>3.8</v>
      </c>
      <c r="H125">
        <v>3.812745098039215</v>
      </c>
      <c r="I125" t="s">
        <v>60</v>
      </c>
      <c r="K125">
        <v>45578</v>
      </c>
      <c r="L125">
        <v>45578</v>
      </c>
    </row>
    <row r="126" spans="1:12" x14ac:dyDescent="0.25">
      <c r="A126" t="s">
        <v>30</v>
      </c>
      <c r="B126" t="s">
        <v>42</v>
      </c>
      <c r="C126" t="s">
        <v>15</v>
      </c>
      <c r="D126">
        <v>0.84615384615384603</v>
      </c>
      <c r="E126">
        <v>1.9</v>
      </c>
      <c r="F126">
        <v>10</v>
      </c>
      <c r="G126">
        <v>1.9</v>
      </c>
      <c r="H126">
        <v>1.9964349376114079</v>
      </c>
      <c r="I126" t="s">
        <v>59</v>
      </c>
      <c r="K126">
        <v>45578</v>
      </c>
      <c r="L126">
        <v>45578</v>
      </c>
    </row>
    <row r="127" spans="1:12" x14ac:dyDescent="0.25">
      <c r="A127" t="s">
        <v>30</v>
      </c>
      <c r="B127" t="s">
        <v>42</v>
      </c>
      <c r="C127" t="s">
        <v>14</v>
      </c>
      <c r="D127">
        <v>2.5351191458269504</v>
      </c>
      <c r="E127">
        <v>5.6999999999999993</v>
      </c>
      <c r="F127">
        <v>10</v>
      </c>
      <c r="G127">
        <v>5.6999999999999993</v>
      </c>
      <c r="H127">
        <v>3.9919786096256682</v>
      </c>
      <c r="I127" t="s">
        <v>58</v>
      </c>
      <c r="K127">
        <v>45578</v>
      </c>
      <c r="L127">
        <v>45578</v>
      </c>
    </row>
    <row r="128" spans="1:12" x14ac:dyDescent="0.25">
      <c r="A128" t="s">
        <v>29</v>
      </c>
      <c r="B128" t="s">
        <v>38</v>
      </c>
      <c r="C128" t="s">
        <v>13</v>
      </c>
      <c r="D128">
        <v>14.310060866451844</v>
      </c>
      <c r="E128">
        <v>19</v>
      </c>
      <c r="F128">
        <v>10</v>
      </c>
      <c r="G128">
        <v>19</v>
      </c>
      <c r="H128">
        <v>9.2765469824293305</v>
      </c>
      <c r="I128" t="s">
        <v>61</v>
      </c>
      <c r="J128">
        <v>1</v>
      </c>
      <c r="K128">
        <v>45579</v>
      </c>
      <c r="L128">
        <v>45579</v>
      </c>
    </row>
    <row r="129" spans="1:12" x14ac:dyDescent="0.25">
      <c r="A129" t="s">
        <v>29</v>
      </c>
      <c r="B129" t="s">
        <v>38</v>
      </c>
      <c r="C129" t="s">
        <v>14</v>
      </c>
      <c r="D129">
        <v>11.626924453992126</v>
      </c>
      <c r="E129">
        <v>15.2</v>
      </c>
      <c r="F129">
        <v>10</v>
      </c>
      <c r="G129">
        <v>15.2</v>
      </c>
      <c r="H129">
        <v>10.029479377958076</v>
      </c>
      <c r="I129" t="s">
        <v>63</v>
      </c>
      <c r="J129">
        <v>1</v>
      </c>
      <c r="K129">
        <v>45579</v>
      </c>
      <c r="L129">
        <v>45579</v>
      </c>
    </row>
    <row r="130" spans="1:12" x14ac:dyDescent="0.25">
      <c r="A130" t="s">
        <v>29</v>
      </c>
      <c r="B130" t="s">
        <v>38</v>
      </c>
      <c r="C130" t="s">
        <v>15</v>
      </c>
      <c r="D130">
        <v>5.3662728249194425</v>
      </c>
      <c r="E130">
        <v>5.6999999999999993</v>
      </c>
      <c r="F130">
        <v>10</v>
      </c>
      <c r="G130">
        <v>5.6999999999999993</v>
      </c>
      <c r="H130">
        <v>5.7669467787114854</v>
      </c>
      <c r="I130" t="s">
        <v>62</v>
      </c>
      <c r="J130">
        <v>1</v>
      </c>
      <c r="K130">
        <v>45579</v>
      </c>
      <c r="L130">
        <v>45579</v>
      </c>
    </row>
    <row r="131" spans="1:12" x14ac:dyDescent="0.25">
      <c r="A131" t="s">
        <v>30</v>
      </c>
      <c r="B131" t="s">
        <v>38</v>
      </c>
      <c r="C131" t="s">
        <v>13</v>
      </c>
      <c r="D131">
        <v>14.129216521561023</v>
      </c>
      <c r="E131">
        <v>23.75</v>
      </c>
      <c r="F131">
        <v>10</v>
      </c>
      <c r="G131">
        <v>23.75</v>
      </c>
      <c r="H131">
        <v>13.137885154061616</v>
      </c>
      <c r="I131" t="s">
        <v>61</v>
      </c>
      <c r="K131">
        <v>45579</v>
      </c>
      <c r="L131">
        <v>45579</v>
      </c>
    </row>
    <row r="132" spans="1:12" x14ac:dyDescent="0.25">
      <c r="A132" t="s">
        <v>30</v>
      </c>
      <c r="B132" t="s">
        <v>38</v>
      </c>
      <c r="C132" t="s">
        <v>14</v>
      </c>
      <c r="D132">
        <v>12.417771069086861</v>
      </c>
      <c r="E132">
        <v>9.5</v>
      </c>
      <c r="F132">
        <v>10</v>
      </c>
      <c r="G132">
        <v>9.5</v>
      </c>
      <c r="H132">
        <v>10.569837025719377</v>
      </c>
      <c r="I132" t="s">
        <v>63</v>
      </c>
      <c r="K132">
        <v>45579</v>
      </c>
      <c r="L132">
        <v>45579</v>
      </c>
    </row>
    <row r="133" spans="1:12" x14ac:dyDescent="0.25">
      <c r="A133" t="s">
        <v>30</v>
      </c>
      <c r="B133" t="s">
        <v>38</v>
      </c>
      <c r="C133" t="s">
        <v>15</v>
      </c>
      <c r="D133">
        <v>3.5111676249447159</v>
      </c>
      <c r="E133">
        <v>9.5</v>
      </c>
      <c r="F133">
        <v>10</v>
      </c>
      <c r="G133">
        <v>9.5</v>
      </c>
      <c r="H133">
        <v>6.7878787878787872</v>
      </c>
      <c r="I133" t="s">
        <v>62</v>
      </c>
      <c r="K133">
        <v>45579</v>
      </c>
      <c r="L133">
        <v>45579</v>
      </c>
    </row>
    <row r="134" spans="1:12" x14ac:dyDescent="0.25">
      <c r="A134" t="s">
        <v>29</v>
      </c>
      <c r="B134" t="s">
        <v>82</v>
      </c>
      <c r="C134" t="s">
        <v>13</v>
      </c>
      <c r="D134">
        <v>3.1563909774436096</v>
      </c>
      <c r="E134">
        <v>2.8499999999999996</v>
      </c>
      <c r="F134">
        <v>10</v>
      </c>
      <c r="G134">
        <v>2.8499999999999996</v>
      </c>
      <c r="H134">
        <v>1.882352941176471</v>
      </c>
      <c r="I134" t="s">
        <v>61</v>
      </c>
      <c r="J134">
        <v>1</v>
      </c>
      <c r="K134">
        <v>45579</v>
      </c>
      <c r="L134">
        <v>45579</v>
      </c>
    </row>
    <row r="135" spans="1:12" x14ac:dyDescent="0.25">
      <c r="A135" t="s">
        <v>29</v>
      </c>
      <c r="B135" t="s">
        <v>82</v>
      </c>
      <c r="C135" t="s">
        <v>15</v>
      </c>
      <c r="D135">
        <v>1</v>
      </c>
      <c r="E135">
        <v>0</v>
      </c>
      <c r="F135">
        <v>10</v>
      </c>
      <c r="G135">
        <v>0</v>
      </c>
      <c r="H135">
        <v>5.4901960784313725E-2</v>
      </c>
      <c r="I135" t="s">
        <v>62</v>
      </c>
      <c r="J135">
        <v>1</v>
      </c>
      <c r="K135">
        <v>45579</v>
      </c>
      <c r="L135">
        <v>45579</v>
      </c>
    </row>
    <row r="136" spans="1:12" x14ac:dyDescent="0.25">
      <c r="A136" t="s">
        <v>29</v>
      </c>
      <c r="B136" t="s">
        <v>82</v>
      </c>
      <c r="C136" t="s">
        <v>14</v>
      </c>
      <c r="D136">
        <v>2.1042606516290729</v>
      </c>
      <c r="E136">
        <v>1.9</v>
      </c>
      <c r="F136">
        <v>10</v>
      </c>
      <c r="G136">
        <v>1.9</v>
      </c>
      <c r="H136">
        <v>1.9315753887761999</v>
      </c>
      <c r="I136" t="s">
        <v>63</v>
      </c>
      <c r="J136">
        <v>1</v>
      </c>
      <c r="K136">
        <v>45579</v>
      </c>
      <c r="L136">
        <v>45579</v>
      </c>
    </row>
    <row r="137" spans="1:12" x14ac:dyDescent="0.25">
      <c r="A137" t="s">
        <v>30</v>
      </c>
      <c r="B137" t="s">
        <v>82</v>
      </c>
      <c r="C137" t="s">
        <v>13</v>
      </c>
      <c r="D137">
        <v>3.7478639781271377</v>
      </c>
      <c r="E137">
        <v>2.8499999999999996</v>
      </c>
      <c r="F137">
        <v>10</v>
      </c>
      <c r="G137">
        <v>2.8499999999999996</v>
      </c>
      <c r="H137">
        <v>2.8125</v>
      </c>
      <c r="I137" t="s">
        <v>61</v>
      </c>
      <c r="K137">
        <v>45579</v>
      </c>
      <c r="L137">
        <v>45579</v>
      </c>
    </row>
    <row r="138" spans="1:12" x14ac:dyDescent="0.25">
      <c r="A138" t="s">
        <v>30</v>
      </c>
      <c r="B138" t="s">
        <v>82</v>
      </c>
      <c r="C138" t="s">
        <v>15</v>
      </c>
      <c r="D138">
        <v>0.97058823529411775</v>
      </c>
      <c r="E138">
        <v>0</v>
      </c>
      <c r="F138">
        <v>10</v>
      </c>
      <c r="G138">
        <v>0</v>
      </c>
      <c r="H138">
        <v>2.8520499108734401E-2</v>
      </c>
      <c r="I138" t="s">
        <v>62</v>
      </c>
      <c r="K138">
        <v>45579</v>
      </c>
      <c r="L138">
        <v>45579</v>
      </c>
    </row>
    <row r="139" spans="1:12" x14ac:dyDescent="0.25">
      <c r="A139" t="s">
        <v>30</v>
      </c>
      <c r="B139" t="s">
        <v>82</v>
      </c>
      <c r="C139" t="s">
        <v>14</v>
      </c>
      <c r="D139">
        <v>4.5836142079336275</v>
      </c>
      <c r="E139">
        <v>2.8499999999999996</v>
      </c>
      <c r="F139">
        <v>10</v>
      </c>
      <c r="G139">
        <v>2.8499999999999996</v>
      </c>
      <c r="H139">
        <v>2.5661764705882355</v>
      </c>
      <c r="I139" t="s">
        <v>63</v>
      </c>
      <c r="K139">
        <v>45579</v>
      </c>
      <c r="L139">
        <v>45579</v>
      </c>
    </row>
    <row r="140" spans="1:12" x14ac:dyDescent="0.25">
      <c r="A140" t="s">
        <v>29</v>
      </c>
      <c r="B140" t="s">
        <v>42</v>
      </c>
      <c r="C140" t="s">
        <v>13</v>
      </c>
      <c r="D140">
        <v>5.7593984962406006</v>
      </c>
      <c r="E140">
        <v>4.75</v>
      </c>
      <c r="F140">
        <v>10</v>
      </c>
      <c r="G140">
        <v>4.75</v>
      </c>
      <c r="H140">
        <v>3.714506855373727</v>
      </c>
      <c r="I140" t="s">
        <v>61</v>
      </c>
      <c r="J140">
        <v>1</v>
      </c>
      <c r="K140">
        <v>45579</v>
      </c>
      <c r="L140">
        <v>45579</v>
      </c>
    </row>
    <row r="141" spans="1:12" x14ac:dyDescent="0.25">
      <c r="A141" t="s">
        <v>29</v>
      </c>
      <c r="B141" t="s">
        <v>42</v>
      </c>
      <c r="C141" t="s">
        <v>15</v>
      </c>
      <c r="D141">
        <v>1</v>
      </c>
      <c r="E141">
        <v>0</v>
      </c>
      <c r="F141">
        <v>10</v>
      </c>
      <c r="G141">
        <v>0</v>
      </c>
      <c r="H141">
        <v>1.1401127252520442</v>
      </c>
      <c r="I141" t="s">
        <v>62</v>
      </c>
      <c r="J141">
        <v>1</v>
      </c>
      <c r="K141">
        <v>45579</v>
      </c>
      <c r="L141">
        <v>45579</v>
      </c>
    </row>
    <row r="142" spans="1:12" x14ac:dyDescent="0.25">
      <c r="A142" t="s">
        <v>29</v>
      </c>
      <c r="B142" t="s">
        <v>42</v>
      </c>
      <c r="C142" t="s">
        <v>14</v>
      </c>
      <c r="D142">
        <v>2.8796992481203003</v>
      </c>
      <c r="E142">
        <v>3.8</v>
      </c>
      <c r="F142">
        <v>10</v>
      </c>
      <c r="G142">
        <v>3.8</v>
      </c>
      <c r="H142">
        <v>2.4665314401622722</v>
      </c>
      <c r="I142" t="s">
        <v>63</v>
      </c>
      <c r="J142">
        <v>1</v>
      </c>
      <c r="K142">
        <v>45579</v>
      </c>
      <c r="L142">
        <v>45579</v>
      </c>
    </row>
    <row r="143" spans="1:12" x14ac:dyDescent="0.25">
      <c r="A143" t="s">
        <v>30</v>
      </c>
      <c r="B143" t="s">
        <v>42</v>
      </c>
      <c r="C143" t="s">
        <v>13</v>
      </c>
      <c r="D143">
        <v>6.8471096572600345</v>
      </c>
      <c r="E143">
        <v>3.8</v>
      </c>
      <c r="F143">
        <v>10</v>
      </c>
      <c r="G143">
        <v>3.8</v>
      </c>
      <c r="H143">
        <v>2.2407754010695187</v>
      </c>
      <c r="I143" t="s">
        <v>61</v>
      </c>
      <c r="K143">
        <v>45579</v>
      </c>
      <c r="L143">
        <v>45579</v>
      </c>
    </row>
    <row r="144" spans="1:12" x14ac:dyDescent="0.25">
      <c r="A144" t="s">
        <v>30</v>
      </c>
      <c r="B144" t="s">
        <v>42</v>
      </c>
      <c r="C144" t="s">
        <v>15</v>
      </c>
      <c r="D144">
        <v>0.84615384615384603</v>
      </c>
      <c r="E144">
        <v>1.9</v>
      </c>
      <c r="F144">
        <v>10</v>
      </c>
      <c r="G144">
        <v>1.9</v>
      </c>
      <c r="H144">
        <v>1.9282047025623392</v>
      </c>
      <c r="I144" t="s">
        <v>62</v>
      </c>
      <c r="K144">
        <v>45579</v>
      </c>
      <c r="L144">
        <v>45579</v>
      </c>
    </row>
    <row r="145" spans="1:12" x14ac:dyDescent="0.25">
      <c r="A145" t="s">
        <v>30</v>
      </c>
      <c r="B145" t="s">
        <v>42</v>
      </c>
      <c r="C145" t="s">
        <v>14</v>
      </c>
      <c r="D145">
        <v>2.5351191458269504</v>
      </c>
      <c r="E145">
        <v>3.8</v>
      </c>
      <c r="F145">
        <v>10</v>
      </c>
      <c r="G145">
        <v>3.8</v>
      </c>
      <c r="H145">
        <v>3.0965066736228852</v>
      </c>
      <c r="I145" t="s">
        <v>63</v>
      </c>
      <c r="K145">
        <v>45579</v>
      </c>
      <c r="L145">
        <v>45579</v>
      </c>
    </row>
    <row r="146" spans="1:12" x14ac:dyDescent="0.25">
      <c r="A146" t="s">
        <v>29</v>
      </c>
      <c r="B146" t="s">
        <v>38</v>
      </c>
      <c r="C146" t="s">
        <v>14</v>
      </c>
      <c r="D146">
        <v>11.626924453992126</v>
      </c>
      <c r="E146">
        <v>14.25</v>
      </c>
      <c r="F146">
        <v>10</v>
      </c>
      <c r="G146">
        <v>14.25</v>
      </c>
      <c r="H146">
        <v>11.234888438133879</v>
      </c>
      <c r="I146" t="s">
        <v>64</v>
      </c>
      <c r="J146">
        <v>1</v>
      </c>
      <c r="K146">
        <v>45580</v>
      </c>
      <c r="L146">
        <v>45580</v>
      </c>
    </row>
    <row r="147" spans="1:12" x14ac:dyDescent="0.25">
      <c r="A147" t="s">
        <v>29</v>
      </c>
      <c r="B147" t="s">
        <v>38</v>
      </c>
      <c r="C147" t="s">
        <v>13</v>
      </c>
      <c r="D147">
        <v>14.310060866451844</v>
      </c>
      <c r="E147">
        <v>19</v>
      </c>
      <c r="F147">
        <v>10</v>
      </c>
      <c r="G147">
        <v>19</v>
      </c>
      <c r="H147">
        <v>11.7650114591291</v>
      </c>
      <c r="I147" t="s">
        <v>66</v>
      </c>
      <c r="J147">
        <v>1</v>
      </c>
      <c r="K147">
        <v>45580</v>
      </c>
      <c r="L147">
        <v>45580</v>
      </c>
    </row>
    <row r="148" spans="1:12" x14ac:dyDescent="0.25">
      <c r="A148" t="s">
        <v>29</v>
      </c>
      <c r="B148" t="s">
        <v>38</v>
      </c>
      <c r="C148" t="s">
        <v>15</v>
      </c>
      <c r="D148">
        <v>5.3662728249194425</v>
      </c>
      <c r="E148">
        <v>6.6499999999999995</v>
      </c>
      <c r="F148">
        <v>10</v>
      </c>
      <c r="G148">
        <v>6.6499999999999995</v>
      </c>
      <c r="H148">
        <v>5.8218487394957998</v>
      </c>
      <c r="I148" t="s">
        <v>65</v>
      </c>
      <c r="J148">
        <v>1</v>
      </c>
      <c r="K148">
        <v>45580</v>
      </c>
      <c r="L148">
        <v>45580</v>
      </c>
    </row>
    <row r="149" spans="1:12" x14ac:dyDescent="0.25">
      <c r="A149" t="s">
        <v>30</v>
      </c>
      <c r="B149" t="s">
        <v>38</v>
      </c>
      <c r="C149" t="s">
        <v>14</v>
      </c>
      <c r="D149">
        <v>12.417771069086861</v>
      </c>
      <c r="E149">
        <v>11.4</v>
      </c>
      <c r="F149">
        <v>10</v>
      </c>
      <c r="G149">
        <v>11.4</v>
      </c>
      <c r="H149">
        <v>10.722341057635171</v>
      </c>
      <c r="I149" t="s">
        <v>64</v>
      </c>
      <c r="K149">
        <v>45580</v>
      </c>
      <c r="L149">
        <v>45580</v>
      </c>
    </row>
    <row r="150" spans="1:12" x14ac:dyDescent="0.25">
      <c r="A150" t="s">
        <v>30</v>
      </c>
      <c r="B150" t="s">
        <v>38</v>
      </c>
      <c r="C150" t="s">
        <v>13</v>
      </c>
      <c r="D150">
        <v>14.129216521561023</v>
      </c>
      <c r="E150">
        <v>20.9</v>
      </c>
      <c r="F150">
        <v>10</v>
      </c>
      <c r="G150">
        <v>20.9</v>
      </c>
      <c r="H150">
        <v>11.1740522875817</v>
      </c>
      <c r="I150" t="s">
        <v>66</v>
      </c>
      <c r="K150">
        <v>45580</v>
      </c>
      <c r="L150">
        <v>45580</v>
      </c>
    </row>
    <row r="151" spans="1:12" x14ac:dyDescent="0.25">
      <c r="A151" t="s">
        <v>30</v>
      </c>
      <c r="B151" t="s">
        <v>38</v>
      </c>
      <c r="C151" t="s">
        <v>15</v>
      </c>
      <c r="D151">
        <v>3.5111676249447159</v>
      </c>
      <c r="E151">
        <v>7.6</v>
      </c>
      <c r="F151">
        <v>10</v>
      </c>
      <c r="G151">
        <v>7.6</v>
      </c>
      <c r="H151">
        <v>6.8163992869875214</v>
      </c>
      <c r="I151" t="s">
        <v>65</v>
      </c>
      <c r="K151">
        <v>45580</v>
      </c>
      <c r="L151">
        <v>45580</v>
      </c>
    </row>
    <row r="152" spans="1:12" x14ac:dyDescent="0.25">
      <c r="A152" t="s">
        <v>29</v>
      </c>
      <c r="B152" t="s">
        <v>82</v>
      </c>
      <c r="C152" t="s">
        <v>13</v>
      </c>
      <c r="D152">
        <v>3.1563909774436087</v>
      </c>
      <c r="E152">
        <v>1.9</v>
      </c>
      <c r="F152">
        <v>10</v>
      </c>
      <c r="G152">
        <v>1.9</v>
      </c>
      <c r="H152">
        <v>0.78787878787878785</v>
      </c>
      <c r="I152" t="s">
        <v>66</v>
      </c>
      <c r="J152">
        <v>1</v>
      </c>
      <c r="K152">
        <v>45580</v>
      </c>
      <c r="L152">
        <v>45580</v>
      </c>
    </row>
    <row r="153" spans="1:12" x14ac:dyDescent="0.25">
      <c r="A153" t="s">
        <v>29</v>
      </c>
      <c r="B153" t="s">
        <v>82</v>
      </c>
      <c r="C153" t="s">
        <v>15</v>
      </c>
      <c r="D153">
        <v>1</v>
      </c>
      <c r="E153">
        <v>0</v>
      </c>
      <c r="F153">
        <v>10</v>
      </c>
      <c r="G153">
        <v>0</v>
      </c>
      <c r="H153">
        <v>0</v>
      </c>
      <c r="I153" t="s">
        <v>65</v>
      </c>
      <c r="J153">
        <v>1</v>
      </c>
      <c r="K153">
        <v>45580</v>
      </c>
      <c r="L153">
        <v>45580</v>
      </c>
    </row>
    <row r="154" spans="1:12" x14ac:dyDescent="0.25">
      <c r="A154" t="s">
        <v>29</v>
      </c>
      <c r="B154" t="s">
        <v>82</v>
      </c>
      <c r="C154" t="s">
        <v>14</v>
      </c>
      <c r="D154">
        <v>2.1042606516290729</v>
      </c>
      <c r="E154">
        <v>2.8499999999999996</v>
      </c>
      <c r="F154">
        <v>10</v>
      </c>
      <c r="G154">
        <v>2.8499999999999996</v>
      </c>
      <c r="H154">
        <v>1.5172413793103443</v>
      </c>
      <c r="I154" t="s">
        <v>64</v>
      </c>
      <c r="J154">
        <v>1</v>
      </c>
      <c r="K154">
        <v>45580</v>
      </c>
      <c r="L154">
        <v>45580</v>
      </c>
    </row>
    <row r="155" spans="1:12" x14ac:dyDescent="0.25">
      <c r="A155" t="s">
        <v>30</v>
      </c>
      <c r="B155" t="s">
        <v>82</v>
      </c>
      <c r="C155" t="s">
        <v>13</v>
      </c>
      <c r="D155">
        <v>3.7478639781271368</v>
      </c>
      <c r="E155">
        <v>4.75</v>
      </c>
      <c r="F155">
        <v>10</v>
      </c>
      <c r="G155">
        <v>4.75</v>
      </c>
      <c r="H155">
        <v>3.75</v>
      </c>
      <c r="I155" t="s">
        <v>66</v>
      </c>
      <c r="K155">
        <v>45580</v>
      </c>
      <c r="L155">
        <v>45580</v>
      </c>
    </row>
    <row r="156" spans="1:12" x14ac:dyDescent="0.25">
      <c r="A156" t="s">
        <v>30</v>
      </c>
      <c r="B156" t="s">
        <v>82</v>
      </c>
      <c r="C156" t="s">
        <v>15</v>
      </c>
      <c r="D156">
        <v>0.97058823529411775</v>
      </c>
      <c r="E156">
        <v>0.95</v>
      </c>
      <c r="F156">
        <v>10</v>
      </c>
      <c r="G156">
        <v>0.95</v>
      </c>
      <c r="H156">
        <v>0.96969696969696972</v>
      </c>
      <c r="I156" t="s">
        <v>65</v>
      </c>
      <c r="K156">
        <v>45580</v>
      </c>
      <c r="L156">
        <v>45580</v>
      </c>
    </row>
    <row r="157" spans="1:12" x14ac:dyDescent="0.25">
      <c r="A157" t="s">
        <v>30</v>
      </c>
      <c r="B157" t="s">
        <v>82</v>
      </c>
      <c r="C157" t="s">
        <v>14</v>
      </c>
      <c r="D157">
        <v>4.5836142079336275</v>
      </c>
      <c r="E157">
        <v>3.8</v>
      </c>
      <c r="F157">
        <v>10</v>
      </c>
      <c r="G157">
        <v>3.8</v>
      </c>
      <c r="H157">
        <v>2.6229946524064167</v>
      </c>
      <c r="I157" t="s">
        <v>64</v>
      </c>
      <c r="K157">
        <v>45580</v>
      </c>
      <c r="L157">
        <v>45580</v>
      </c>
    </row>
    <row r="158" spans="1:12" x14ac:dyDescent="0.25">
      <c r="A158" t="s">
        <v>29</v>
      </c>
      <c r="B158" t="s">
        <v>42</v>
      </c>
      <c r="C158" t="s">
        <v>13</v>
      </c>
      <c r="D158">
        <v>5.7593984962406006</v>
      </c>
      <c r="E158">
        <v>3.8</v>
      </c>
      <c r="F158">
        <v>10</v>
      </c>
      <c r="G158">
        <v>3.8</v>
      </c>
      <c r="H158">
        <v>2.8447589562140649</v>
      </c>
      <c r="I158" t="s">
        <v>66</v>
      </c>
      <c r="J158">
        <v>1</v>
      </c>
      <c r="K158">
        <v>45580</v>
      </c>
      <c r="L158">
        <v>45580</v>
      </c>
    </row>
    <row r="159" spans="1:12" x14ac:dyDescent="0.25">
      <c r="A159" t="s">
        <v>29</v>
      </c>
      <c r="B159" t="s">
        <v>42</v>
      </c>
      <c r="C159" t="s">
        <v>15</v>
      </c>
      <c r="D159">
        <v>1</v>
      </c>
      <c r="E159">
        <v>0</v>
      </c>
      <c r="F159">
        <v>10</v>
      </c>
      <c r="G159">
        <v>0</v>
      </c>
      <c r="H159">
        <v>0.24132730015082957</v>
      </c>
      <c r="I159" t="s">
        <v>65</v>
      </c>
      <c r="J159">
        <v>1</v>
      </c>
      <c r="K159">
        <v>45580</v>
      </c>
      <c r="L159">
        <v>45580</v>
      </c>
    </row>
    <row r="160" spans="1:12" x14ac:dyDescent="0.25">
      <c r="A160" t="s">
        <v>29</v>
      </c>
      <c r="B160" t="s">
        <v>42</v>
      </c>
      <c r="C160" t="s">
        <v>14</v>
      </c>
      <c r="D160">
        <v>2.8796992481203003</v>
      </c>
      <c r="E160">
        <v>2.8499999999999996</v>
      </c>
      <c r="F160">
        <v>10</v>
      </c>
      <c r="G160">
        <v>2.8499999999999996</v>
      </c>
      <c r="H160">
        <v>3.1683569979716029</v>
      </c>
      <c r="I160" t="s">
        <v>64</v>
      </c>
      <c r="J160">
        <v>1</v>
      </c>
      <c r="K160">
        <v>45580</v>
      </c>
      <c r="L160">
        <v>45580</v>
      </c>
    </row>
    <row r="161" spans="1:12" x14ac:dyDescent="0.25">
      <c r="A161" t="s">
        <v>30</v>
      </c>
      <c r="B161" t="s">
        <v>42</v>
      </c>
      <c r="C161" t="s">
        <v>13</v>
      </c>
      <c r="D161">
        <v>6.8471096572600336</v>
      </c>
      <c r="E161">
        <v>3.8</v>
      </c>
      <c r="F161">
        <v>10</v>
      </c>
      <c r="G161">
        <v>3.8</v>
      </c>
      <c r="H161">
        <v>0.99895384983261604</v>
      </c>
      <c r="I161" t="s">
        <v>66</v>
      </c>
      <c r="K161">
        <v>45580</v>
      </c>
      <c r="L161">
        <v>45580</v>
      </c>
    </row>
    <row r="162" spans="1:12" x14ac:dyDescent="0.25">
      <c r="A162" t="s">
        <v>30</v>
      </c>
      <c r="B162" t="s">
        <v>42</v>
      </c>
      <c r="C162" t="s">
        <v>15</v>
      </c>
      <c r="D162">
        <v>0.84615384615384603</v>
      </c>
      <c r="E162">
        <v>1.9</v>
      </c>
      <c r="F162">
        <v>10</v>
      </c>
      <c r="G162">
        <v>1.9</v>
      </c>
      <c r="H162">
        <v>1.9964349376114079</v>
      </c>
      <c r="I162" t="s">
        <v>65</v>
      </c>
      <c r="K162">
        <v>45580</v>
      </c>
      <c r="L162">
        <v>45580</v>
      </c>
    </row>
    <row r="163" spans="1:12" x14ac:dyDescent="0.25">
      <c r="A163" t="s">
        <v>30</v>
      </c>
      <c r="B163" t="s">
        <v>42</v>
      </c>
      <c r="C163" t="s">
        <v>14</v>
      </c>
      <c r="D163">
        <v>2.5351191458269504</v>
      </c>
      <c r="E163">
        <v>3.8</v>
      </c>
      <c r="F163">
        <v>10</v>
      </c>
      <c r="G163">
        <v>3.8</v>
      </c>
      <c r="H163">
        <v>3.8215240641711223</v>
      </c>
      <c r="I163" t="s">
        <v>64</v>
      </c>
      <c r="K163">
        <v>45580</v>
      </c>
      <c r="L163">
        <v>45580</v>
      </c>
    </row>
    <row r="164" spans="1:12" x14ac:dyDescent="0.25">
      <c r="A164" t="s">
        <v>29</v>
      </c>
      <c r="B164" t="s">
        <v>38</v>
      </c>
      <c r="C164" t="s">
        <v>13</v>
      </c>
      <c r="D164">
        <v>14.310060866451844</v>
      </c>
      <c r="E164">
        <v>18.05</v>
      </c>
      <c r="F164">
        <v>10</v>
      </c>
      <c r="G164">
        <v>18.05</v>
      </c>
      <c r="H164">
        <v>9.8826585179526294</v>
      </c>
      <c r="I164" t="s">
        <v>69</v>
      </c>
      <c r="J164">
        <v>1</v>
      </c>
      <c r="K164">
        <v>45581</v>
      </c>
      <c r="L164">
        <v>45581</v>
      </c>
    </row>
    <row r="165" spans="1:12" x14ac:dyDescent="0.25">
      <c r="A165" t="s">
        <v>29</v>
      </c>
      <c r="B165" t="s">
        <v>38</v>
      </c>
      <c r="C165" t="s">
        <v>15</v>
      </c>
      <c r="D165">
        <v>5.3662728249194425</v>
      </c>
      <c r="E165">
        <v>6.6499999999999995</v>
      </c>
      <c r="F165">
        <v>10</v>
      </c>
      <c r="G165">
        <v>6.6499999999999995</v>
      </c>
      <c r="H165">
        <v>4.8515406162465</v>
      </c>
      <c r="I165" t="s">
        <v>68</v>
      </c>
      <c r="J165">
        <v>1</v>
      </c>
      <c r="K165">
        <v>45581</v>
      </c>
      <c r="L165">
        <v>45581</v>
      </c>
    </row>
    <row r="166" spans="1:12" x14ac:dyDescent="0.25">
      <c r="A166" t="s">
        <v>29</v>
      </c>
      <c r="B166" t="s">
        <v>38</v>
      </c>
      <c r="C166" t="s">
        <v>14</v>
      </c>
      <c r="D166">
        <v>11.626924453992125</v>
      </c>
      <c r="E166">
        <v>14.25</v>
      </c>
      <c r="F166">
        <v>10</v>
      </c>
      <c r="G166">
        <v>14.25</v>
      </c>
      <c r="H166">
        <v>10.236646382691006</v>
      </c>
      <c r="I166" t="s">
        <v>67</v>
      </c>
      <c r="J166">
        <v>1</v>
      </c>
      <c r="K166">
        <v>45581</v>
      </c>
      <c r="L166">
        <v>45581</v>
      </c>
    </row>
    <row r="167" spans="1:12" x14ac:dyDescent="0.25">
      <c r="A167" t="s">
        <v>30</v>
      </c>
      <c r="B167" t="s">
        <v>38</v>
      </c>
      <c r="C167" t="s">
        <v>13</v>
      </c>
      <c r="D167">
        <v>14.129216521561023</v>
      </c>
      <c r="E167">
        <v>21.85</v>
      </c>
      <c r="F167">
        <v>10</v>
      </c>
      <c r="G167">
        <v>21.85</v>
      </c>
      <c r="H167">
        <v>12.2953283945157</v>
      </c>
      <c r="I167" t="s">
        <v>69</v>
      </c>
      <c r="K167">
        <v>45581</v>
      </c>
      <c r="L167">
        <v>45581</v>
      </c>
    </row>
    <row r="168" spans="1:12" x14ac:dyDescent="0.25">
      <c r="A168" t="s">
        <v>30</v>
      </c>
      <c r="B168" t="s">
        <v>38</v>
      </c>
      <c r="C168" t="s">
        <v>15</v>
      </c>
      <c r="D168">
        <v>3.5111676249447159</v>
      </c>
      <c r="E168">
        <v>5.6999999999999993</v>
      </c>
      <c r="F168">
        <v>10</v>
      </c>
      <c r="G168">
        <v>5.6999999999999993</v>
      </c>
      <c r="H168">
        <v>6.7880664227413456</v>
      </c>
      <c r="I168" t="s">
        <v>68</v>
      </c>
      <c r="K168">
        <v>45581</v>
      </c>
      <c r="L168">
        <v>45581</v>
      </c>
    </row>
    <row r="169" spans="1:12" x14ac:dyDescent="0.25">
      <c r="A169" t="s">
        <v>30</v>
      </c>
      <c r="B169" t="s">
        <v>38</v>
      </c>
      <c r="C169" t="s">
        <v>14</v>
      </c>
      <c r="D169">
        <v>12.417771069086861</v>
      </c>
      <c r="E169">
        <v>11.4</v>
      </c>
      <c r="F169">
        <v>10</v>
      </c>
      <c r="G169">
        <v>11.4</v>
      </c>
      <c r="H169">
        <v>10.519210794365591</v>
      </c>
      <c r="I169" t="s">
        <v>67</v>
      </c>
      <c r="K169">
        <v>45581</v>
      </c>
      <c r="L169">
        <v>45581</v>
      </c>
    </row>
    <row r="170" spans="1:12" x14ac:dyDescent="0.25">
      <c r="A170" t="s">
        <v>29</v>
      </c>
      <c r="B170" t="s">
        <v>82</v>
      </c>
      <c r="C170" t="s">
        <v>14</v>
      </c>
      <c r="D170">
        <v>2.1042606516290729</v>
      </c>
      <c r="E170">
        <v>1.9</v>
      </c>
      <c r="F170">
        <v>10</v>
      </c>
      <c r="G170">
        <v>1.9</v>
      </c>
      <c r="H170">
        <v>2.3083164300202839</v>
      </c>
      <c r="I170" t="s">
        <v>67</v>
      </c>
      <c r="J170">
        <v>1</v>
      </c>
      <c r="K170">
        <v>45581</v>
      </c>
      <c r="L170">
        <v>45581</v>
      </c>
    </row>
    <row r="171" spans="1:12" x14ac:dyDescent="0.25">
      <c r="A171" t="s">
        <v>29</v>
      </c>
      <c r="B171" t="s">
        <v>82</v>
      </c>
      <c r="C171" t="s">
        <v>13</v>
      </c>
      <c r="D171">
        <v>3.1563909774436087</v>
      </c>
      <c r="E171">
        <v>1.9</v>
      </c>
      <c r="F171">
        <v>10</v>
      </c>
      <c r="G171">
        <v>1.9</v>
      </c>
      <c r="H171">
        <v>1.7290552584670236</v>
      </c>
      <c r="I171" t="s">
        <v>69</v>
      </c>
      <c r="J171">
        <v>1</v>
      </c>
      <c r="K171">
        <v>45581</v>
      </c>
      <c r="L171">
        <v>45581</v>
      </c>
    </row>
    <row r="172" spans="1:12" x14ac:dyDescent="0.25">
      <c r="A172" t="s">
        <v>29</v>
      </c>
      <c r="B172" t="s">
        <v>82</v>
      </c>
      <c r="C172" t="s">
        <v>15</v>
      </c>
      <c r="D172">
        <v>1</v>
      </c>
      <c r="E172">
        <v>0</v>
      </c>
      <c r="F172">
        <v>10</v>
      </c>
      <c r="G172">
        <v>0</v>
      </c>
      <c r="H172">
        <v>0</v>
      </c>
      <c r="I172" t="s">
        <v>68</v>
      </c>
      <c r="J172">
        <v>1</v>
      </c>
      <c r="K172">
        <v>45581</v>
      </c>
      <c r="L172">
        <v>45581</v>
      </c>
    </row>
    <row r="173" spans="1:12" x14ac:dyDescent="0.25">
      <c r="A173" t="s">
        <v>30</v>
      </c>
      <c r="B173" t="s">
        <v>82</v>
      </c>
      <c r="C173" t="s">
        <v>14</v>
      </c>
      <c r="D173">
        <v>4.5836142079336275</v>
      </c>
      <c r="E173">
        <v>2.8499999999999996</v>
      </c>
      <c r="F173">
        <v>10</v>
      </c>
      <c r="G173">
        <v>2.8499999999999996</v>
      </c>
      <c r="H173">
        <v>2.780080213903743</v>
      </c>
      <c r="I173" t="s">
        <v>67</v>
      </c>
      <c r="K173">
        <v>45581</v>
      </c>
      <c r="L173">
        <v>45581</v>
      </c>
    </row>
    <row r="174" spans="1:12" x14ac:dyDescent="0.25">
      <c r="A174" t="s">
        <v>30</v>
      </c>
      <c r="B174" t="s">
        <v>82</v>
      </c>
      <c r="C174" t="s">
        <v>13</v>
      </c>
      <c r="D174">
        <v>3.7478639781271368</v>
      </c>
      <c r="E174">
        <v>6.6499999999999995</v>
      </c>
      <c r="F174">
        <v>10</v>
      </c>
      <c r="G174">
        <v>6.6499999999999995</v>
      </c>
      <c r="H174">
        <v>3.643872549019608</v>
      </c>
      <c r="I174" t="s">
        <v>69</v>
      </c>
      <c r="K174">
        <v>45581</v>
      </c>
      <c r="L174">
        <v>45581</v>
      </c>
    </row>
    <row r="175" spans="1:12" x14ac:dyDescent="0.25">
      <c r="A175" t="s">
        <v>30</v>
      </c>
      <c r="B175" t="s">
        <v>82</v>
      </c>
      <c r="C175" t="s">
        <v>15</v>
      </c>
      <c r="D175">
        <v>0.97058823529411775</v>
      </c>
      <c r="E175">
        <v>0.95</v>
      </c>
      <c r="F175">
        <v>10</v>
      </c>
      <c r="G175">
        <v>0.95</v>
      </c>
      <c r="H175">
        <v>0.99821746880570394</v>
      </c>
      <c r="I175" t="s">
        <v>68</v>
      </c>
      <c r="K175">
        <v>45581</v>
      </c>
      <c r="L175">
        <v>45581</v>
      </c>
    </row>
    <row r="176" spans="1:12" x14ac:dyDescent="0.25">
      <c r="A176" t="s">
        <v>29</v>
      </c>
      <c r="B176" t="s">
        <v>42</v>
      </c>
      <c r="C176" t="s">
        <v>14</v>
      </c>
      <c r="D176">
        <v>2.8796992481203003</v>
      </c>
      <c r="E176">
        <v>4.75</v>
      </c>
      <c r="F176">
        <v>10</v>
      </c>
      <c r="G176">
        <v>4.75</v>
      </c>
      <c r="H176">
        <v>1.5253549695740365</v>
      </c>
      <c r="I176" t="s">
        <v>67</v>
      </c>
      <c r="J176">
        <v>1</v>
      </c>
      <c r="K176">
        <v>45581</v>
      </c>
      <c r="L176">
        <v>45581</v>
      </c>
    </row>
    <row r="177" spans="1:12" x14ac:dyDescent="0.25">
      <c r="A177" t="s">
        <v>29</v>
      </c>
      <c r="B177" t="s">
        <v>42</v>
      </c>
      <c r="C177" t="s">
        <v>13</v>
      </c>
      <c r="D177">
        <v>5.7593984962406006</v>
      </c>
      <c r="E177">
        <v>3.8</v>
      </c>
      <c r="F177">
        <v>10</v>
      </c>
      <c r="G177">
        <v>3.8</v>
      </c>
      <c r="H177">
        <v>3.6806722689075615</v>
      </c>
      <c r="I177" t="s">
        <v>69</v>
      </c>
      <c r="J177">
        <v>1</v>
      </c>
      <c r="K177">
        <v>45581</v>
      </c>
      <c r="L177">
        <v>45581</v>
      </c>
    </row>
    <row r="178" spans="1:12" x14ac:dyDescent="0.25">
      <c r="A178" t="s">
        <v>29</v>
      </c>
      <c r="B178" t="s">
        <v>42</v>
      </c>
      <c r="C178" t="s">
        <v>15</v>
      </c>
      <c r="D178">
        <v>1</v>
      </c>
      <c r="E178">
        <v>0</v>
      </c>
      <c r="F178">
        <v>10</v>
      </c>
      <c r="G178">
        <v>0</v>
      </c>
      <c r="H178">
        <v>0.12066365007541478</v>
      </c>
      <c r="I178" t="s">
        <v>68</v>
      </c>
      <c r="J178">
        <v>1</v>
      </c>
      <c r="K178">
        <v>45581</v>
      </c>
      <c r="L178">
        <v>45581</v>
      </c>
    </row>
    <row r="179" spans="1:12" x14ac:dyDescent="0.25">
      <c r="A179" t="s">
        <v>30</v>
      </c>
      <c r="B179" t="s">
        <v>42</v>
      </c>
      <c r="C179" t="s">
        <v>14</v>
      </c>
      <c r="D179">
        <v>2.5351191458269504</v>
      </c>
      <c r="E179">
        <v>2.8499999999999996</v>
      </c>
      <c r="F179">
        <v>10</v>
      </c>
      <c r="G179">
        <v>2.8499999999999996</v>
      </c>
      <c r="H179">
        <v>2.9371657754010689</v>
      </c>
      <c r="I179" t="s">
        <v>67</v>
      </c>
      <c r="K179">
        <v>45581</v>
      </c>
      <c r="L179">
        <v>45581</v>
      </c>
    </row>
    <row r="180" spans="1:12" x14ac:dyDescent="0.25">
      <c r="A180" t="s">
        <v>30</v>
      </c>
      <c r="B180" t="s">
        <v>42</v>
      </c>
      <c r="C180" t="s">
        <v>13</v>
      </c>
      <c r="D180">
        <v>6.8471096572600336</v>
      </c>
      <c r="E180">
        <v>3.8</v>
      </c>
      <c r="F180">
        <v>10</v>
      </c>
      <c r="G180">
        <v>3.8</v>
      </c>
      <c r="H180">
        <v>1.9377450980392157</v>
      </c>
      <c r="I180" t="s">
        <v>69</v>
      </c>
      <c r="K180">
        <v>45581</v>
      </c>
      <c r="L180">
        <v>45581</v>
      </c>
    </row>
    <row r="181" spans="1:12" x14ac:dyDescent="0.25">
      <c r="A181" t="s">
        <v>30</v>
      </c>
      <c r="B181" t="s">
        <v>42</v>
      </c>
      <c r="C181" t="s">
        <v>15</v>
      </c>
      <c r="D181">
        <v>0.84615384615384603</v>
      </c>
      <c r="E181">
        <v>1.9</v>
      </c>
      <c r="F181">
        <v>10</v>
      </c>
      <c r="G181">
        <v>1.9</v>
      </c>
      <c r="H181">
        <v>1.9679144385026737</v>
      </c>
      <c r="I181" t="s">
        <v>68</v>
      </c>
      <c r="K181">
        <v>45581</v>
      </c>
      <c r="L181">
        <v>45581</v>
      </c>
    </row>
    <row r="182" spans="1:12" x14ac:dyDescent="0.25">
      <c r="A182" t="s">
        <v>29</v>
      </c>
      <c r="B182" t="s">
        <v>38</v>
      </c>
      <c r="C182" t="s">
        <v>15</v>
      </c>
      <c r="D182">
        <v>5.3662728249194425</v>
      </c>
      <c r="E182">
        <v>6.6499999999999995</v>
      </c>
      <c r="F182">
        <v>10</v>
      </c>
      <c r="G182">
        <v>6.6499999999999995</v>
      </c>
      <c r="H182">
        <v>5.7943977591036422</v>
      </c>
      <c r="I182" t="s">
        <v>70</v>
      </c>
      <c r="J182">
        <v>1</v>
      </c>
      <c r="K182">
        <v>45582</v>
      </c>
      <c r="L182">
        <v>45582</v>
      </c>
    </row>
    <row r="183" spans="1:12" x14ac:dyDescent="0.25">
      <c r="A183" t="s">
        <v>29</v>
      </c>
      <c r="B183" t="s">
        <v>38</v>
      </c>
      <c r="C183" t="s">
        <v>13</v>
      </c>
      <c r="D183">
        <v>14.310060866451844</v>
      </c>
      <c r="E183">
        <v>17.099999999999998</v>
      </c>
      <c r="F183">
        <v>10</v>
      </c>
      <c r="G183">
        <v>17.099999999999998</v>
      </c>
      <c r="H183">
        <v>12.961613971101633</v>
      </c>
      <c r="I183" t="s">
        <v>72</v>
      </c>
      <c r="J183">
        <v>1</v>
      </c>
      <c r="K183">
        <v>45582</v>
      </c>
      <c r="L183">
        <v>45582</v>
      </c>
    </row>
    <row r="184" spans="1:12" x14ac:dyDescent="0.25">
      <c r="A184" t="s">
        <v>29</v>
      </c>
      <c r="B184" t="s">
        <v>38</v>
      </c>
      <c r="C184" t="s">
        <v>14</v>
      </c>
      <c r="D184">
        <v>11.626924453992126</v>
      </c>
      <c r="E184">
        <v>14.25</v>
      </c>
      <c r="F184">
        <v>10</v>
      </c>
      <c r="G184">
        <v>14.25</v>
      </c>
      <c r="H184">
        <v>11.010839931078101</v>
      </c>
      <c r="I184" t="s">
        <v>71</v>
      </c>
      <c r="J184">
        <v>1</v>
      </c>
      <c r="K184">
        <v>45582</v>
      </c>
      <c r="L184">
        <v>45582</v>
      </c>
    </row>
    <row r="185" spans="1:12" x14ac:dyDescent="0.25">
      <c r="A185" t="s">
        <v>30</v>
      </c>
      <c r="B185" t="s">
        <v>38</v>
      </c>
      <c r="C185" t="s">
        <v>15</v>
      </c>
      <c r="D185">
        <v>3.5111676249447159</v>
      </c>
      <c r="E185">
        <v>5.6999999999999993</v>
      </c>
      <c r="F185">
        <v>10</v>
      </c>
      <c r="G185">
        <v>5.6999999999999993</v>
      </c>
      <c r="H185">
        <v>7.7290552584670227</v>
      </c>
      <c r="I185" t="s">
        <v>70</v>
      </c>
      <c r="K185">
        <v>45582</v>
      </c>
      <c r="L185">
        <v>45582</v>
      </c>
    </row>
    <row r="186" spans="1:12" x14ac:dyDescent="0.25">
      <c r="A186" t="s">
        <v>30</v>
      </c>
      <c r="B186" t="s">
        <v>38</v>
      </c>
      <c r="C186" t="s">
        <v>13</v>
      </c>
      <c r="D186">
        <v>14.12921652156102</v>
      </c>
      <c r="E186">
        <v>16.149999999999999</v>
      </c>
      <c r="F186">
        <v>10</v>
      </c>
      <c r="G186">
        <v>16.149999999999999</v>
      </c>
      <c r="H186">
        <v>13.835679271708679</v>
      </c>
      <c r="I186" t="s">
        <v>72</v>
      </c>
      <c r="K186">
        <v>45582</v>
      </c>
      <c r="L186">
        <v>45582</v>
      </c>
    </row>
    <row r="187" spans="1:12" x14ac:dyDescent="0.25">
      <c r="A187" t="s">
        <v>30</v>
      </c>
      <c r="B187" t="s">
        <v>38</v>
      </c>
      <c r="C187" t="s">
        <v>14</v>
      </c>
      <c r="D187">
        <v>12.417771069086861</v>
      </c>
      <c r="E187">
        <v>13.3</v>
      </c>
      <c r="F187">
        <v>10</v>
      </c>
      <c r="G187">
        <v>13.3</v>
      </c>
      <c r="H187">
        <v>10.513018843901197</v>
      </c>
      <c r="I187" t="s">
        <v>71</v>
      </c>
      <c r="K187">
        <v>45582</v>
      </c>
      <c r="L187">
        <v>45582</v>
      </c>
    </row>
    <row r="188" spans="1:12" x14ac:dyDescent="0.25">
      <c r="A188" t="s">
        <v>29</v>
      </c>
      <c r="B188" t="s">
        <v>82</v>
      </c>
      <c r="C188" t="s">
        <v>15</v>
      </c>
      <c r="D188">
        <v>1</v>
      </c>
      <c r="E188">
        <v>0</v>
      </c>
      <c r="F188">
        <v>10</v>
      </c>
      <c r="G188">
        <v>0</v>
      </c>
      <c r="H188">
        <v>2.7450980392156862E-2</v>
      </c>
      <c r="I188" t="s">
        <v>70</v>
      </c>
      <c r="J188">
        <v>1</v>
      </c>
      <c r="K188">
        <v>45582</v>
      </c>
      <c r="L188">
        <v>45582</v>
      </c>
    </row>
    <row r="189" spans="1:12" x14ac:dyDescent="0.25">
      <c r="A189" t="s">
        <v>29</v>
      </c>
      <c r="B189" t="s">
        <v>82</v>
      </c>
      <c r="C189" t="s">
        <v>14</v>
      </c>
      <c r="D189">
        <v>2.1042606516290729</v>
      </c>
      <c r="E189">
        <v>1.9</v>
      </c>
      <c r="F189">
        <v>10</v>
      </c>
      <c r="G189">
        <v>1.9</v>
      </c>
      <c r="H189">
        <v>1.7568627450980394</v>
      </c>
      <c r="I189" t="s">
        <v>71</v>
      </c>
      <c r="J189">
        <v>1</v>
      </c>
      <c r="K189">
        <v>45582</v>
      </c>
      <c r="L189">
        <v>45582</v>
      </c>
    </row>
    <row r="190" spans="1:12" x14ac:dyDescent="0.25">
      <c r="A190" t="s">
        <v>29</v>
      </c>
      <c r="B190" t="s">
        <v>82</v>
      </c>
      <c r="C190" t="s">
        <v>13</v>
      </c>
      <c r="D190">
        <v>3.1563909774436087</v>
      </c>
      <c r="E190">
        <v>2.8499999999999996</v>
      </c>
      <c r="F190">
        <v>10</v>
      </c>
      <c r="G190">
        <v>2.8499999999999996</v>
      </c>
      <c r="H190">
        <v>1.882352941176471</v>
      </c>
      <c r="I190" t="s">
        <v>72</v>
      </c>
      <c r="J190">
        <v>1</v>
      </c>
      <c r="K190">
        <v>45582</v>
      </c>
      <c r="L190">
        <v>45582</v>
      </c>
    </row>
    <row r="191" spans="1:12" x14ac:dyDescent="0.25">
      <c r="A191" t="s">
        <v>30</v>
      </c>
      <c r="B191" t="s">
        <v>82</v>
      </c>
      <c r="C191" t="s">
        <v>15</v>
      </c>
      <c r="D191">
        <v>0.97058823529411775</v>
      </c>
      <c r="E191">
        <v>0</v>
      </c>
      <c r="F191">
        <v>10</v>
      </c>
      <c r="G191">
        <v>0</v>
      </c>
      <c r="H191">
        <v>5.7040998217468802E-2</v>
      </c>
      <c r="I191" t="s">
        <v>70</v>
      </c>
      <c r="K191">
        <v>45582</v>
      </c>
      <c r="L191">
        <v>45582</v>
      </c>
    </row>
    <row r="192" spans="1:12" x14ac:dyDescent="0.25">
      <c r="A192" t="s">
        <v>30</v>
      </c>
      <c r="B192" t="s">
        <v>82</v>
      </c>
      <c r="C192" t="s">
        <v>14</v>
      </c>
      <c r="D192">
        <v>4.5836142079336275</v>
      </c>
      <c r="E192">
        <v>1.9</v>
      </c>
      <c r="F192">
        <v>10</v>
      </c>
      <c r="G192">
        <v>1.9</v>
      </c>
      <c r="H192">
        <v>2.8368983957219247</v>
      </c>
      <c r="I192" t="s">
        <v>71</v>
      </c>
      <c r="K192">
        <v>45582</v>
      </c>
      <c r="L192">
        <v>45582</v>
      </c>
    </row>
    <row r="193" spans="1:12" x14ac:dyDescent="0.25">
      <c r="A193" t="s">
        <v>30</v>
      </c>
      <c r="B193" t="s">
        <v>82</v>
      </c>
      <c r="C193" t="s">
        <v>13</v>
      </c>
      <c r="D193">
        <v>3.7478639781271368</v>
      </c>
      <c r="E193">
        <v>6.6499999999999995</v>
      </c>
      <c r="F193">
        <v>10</v>
      </c>
      <c r="G193">
        <v>6.6499999999999995</v>
      </c>
      <c r="H193">
        <v>3.7813725490196082</v>
      </c>
      <c r="I193" t="s">
        <v>72</v>
      </c>
      <c r="K193">
        <v>45582</v>
      </c>
      <c r="L193">
        <v>45582</v>
      </c>
    </row>
    <row r="194" spans="1:12" x14ac:dyDescent="0.25">
      <c r="A194" t="s">
        <v>29</v>
      </c>
      <c r="B194" t="s">
        <v>42</v>
      </c>
      <c r="C194" t="s">
        <v>14</v>
      </c>
      <c r="D194">
        <v>2.8796992481203003</v>
      </c>
      <c r="E194">
        <v>5.6999999999999993</v>
      </c>
      <c r="F194">
        <v>10</v>
      </c>
      <c r="G194">
        <v>5.6999999999999993</v>
      </c>
      <c r="H194">
        <v>3.4020153111300142</v>
      </c>
      <c r="I194" t="s">
        <v>71</v>
      </c>
      <c r="J194">
        <v>1</v>
      </c>
      <c r="K194">
        <v>45582</v>
      </c>
      <c r="L194">
        <v>45582</v>
      </c>
    </row>
    <row r="195" spans="1:12" x14ac:dyDescent="0.25">
      <c r="A195" t="s">
        <v>29</v>
      </c>
      <c r="B195" t="s">
        <v>42</v>
      </c>
      <c r="C195" t="s">
        <v>15</v>
      </c>
      <c r="D195">
        <v>1</v>
      </c>
      <c r="E195">
        <v>0</v>
      </c>
      <c r="F195">
        <v>10</v>
      </c>
      <c r="G195">
        <v>0</v>
      </c>
      <c r="H195">
        <v>1.2600465548632931</v>
      </c>
      <c r="I195" t="s">
        <v>70</v>
      </c>
      <c r="J195">
        <v>1</v>
      </c>
      <c r="K195">
        <v>45582</v>
      </c>
      <c r="L195">
        <v>45582</v>
      </c>
    </row>
    <row r="196" spans="1:12" x14ac:dyDescent="0.25">
      <c r="A196" t="s">
        <v>29</v>
      </c>
      <c r="B196" t="s">
        <v>42</v>
      </c>
      <c r="C196" t="s">
        <v>13</v>
      </c>
      <c r="D196">
        <v>5.7593984962406006</v>
      </c>
      <c r="E196">
        <v>0.95</v>
      </c>
      <c r="F196">
        <v>10</v>
      </c>
      <c r="G196">
        <v>0.95</v>
      </c>
      <c r="H196">
        <v>3.7590132827324472</v>
      </c>
      <c r="I196" t="s">
        <v>72</v>
      </c>
      <c r="J196">
        <v>1</v>
      </c>
      <c r="K196">
        <v>45582</v>
      </c>
      <c r="L196">
        <v>45582</v>
      </c>
    </row>
    <row r="197" spans="1:12" x14ac:dyDescent="0.25">
      <c r="A197" t="s">
        <v>30</v>
      </c>
      <c r="B197" t="s">
        <v>42</v>
      </c>
      <c r="C197" t="s">
        <v>14</v>
      </c>
      <c r="D197">
        <v>2.5351191458269504</v>
      </c>
      <c r="E197">
        <v>4.75</v>
      </c>
      <c r="F197">
        <v>10</v>
      </c>
      <c r="G197">
        <v>4.75</v>
      </c>
      <c r="H197">
        <v>3.7212566844919786</v>
      </c>
      <c r="I197" t="s">
        <v>71</v>
      </c>
      <c r="K197">
        <v>45582</v>
      </c>
      <c r="L197">
        <v>45582</v>
      </c>
    </row>
    <row r="198" spans="1:12" x14ac:dyDescent="0.25">
      <c r="A198" t="s">
        <v>30</v>
      </c>
      <c r="B198" t="s">
        <v>42</v>
      </c>
      <c r="C198" t="s">
        <v>15</v>
      </c>
      <c r="D198">
        <v>0.84615384615384603</v>
      </c>
      <c r="E198">
        <v>1.9</v>
      </c>
      <c r="F198">
        <v>10</v>
      </c>
      <c r="G198">
        <v>1.9</v>
      </c>
      <c r="H198">
        <v>1.9679144385026737</v>
      </c>
      <c r="I198" t="s">
        <v>70</v>
      </c>
      <c r="K198">
        <v>45582</v>
      </c>
      <c r="L198">
        <v>45582</v>
      </c>
    </row>
    <row r="199" spans="1:12" x14ac:dyDescent="0.25">
      <c r="A199" t="s">
        <v>30</v>
      </c>
      <c r="B199" t="s">
        <v>42</v>
      </c>
      <c r="C199" t="s">
        <v>13</v>
      </c>
      <c r="D199">
        <v>6.8471096572600327</v>
      </c>
      <c r="E199">
        <v>3.8</v>
      </c>
      <c r="F199">
        <v>10</v>
      </c>
      <c r="G199">
        <v>3.8</v>
      </c>
      <c r="H199">
        <v>2.8752450980392155</v>
      </c>
      <c r="I199" t="s">
        <v>72</v>
      </c>
      <c r="K199">
        <v>45582</v>
      </c>
      <c r="L199">
        <v>45582</v>
      </c>
    </row>
    <row r="200" spans="1:12" x14ac:dyDescent="0.25">
      <c r="A200" t="s">
        <v>29</v>
      </c>
      <c r="B200" t="s">
        <v>38</v>
      </c>
      <c r="C200" t="s">
        <v>13</v>
      </c>
      <c r="D200">
        <v>14.310060866451844</v>
      </c>
      <c r="E200">
        <v>17.099999999999998</v>
      </c>
      <c r="F200">
        <v>10</v>
      </c>
      <c r="G200">
        <v>17.099999999999998</v>
      </c>
      <c r="H200">
        <v>13.219556913674561</v>
      </c>
      <c r="I200" t="s">
        <v>73</v>
      </c>
      <c r="J200">
        <v>1</v>
      </c>
      <c r="K200">
        <v>45583</v>
      </c>
      <c r="L200">
        <v>45583</v>
      </c>
    </row>
    <row r="201" spans="1:12" x14ac:dyDescent="0.25">
      <c r="A201" t="s">
        <v>29</v>
      </c>
      <c r="B201" t="s">
        <v>38</v>
      </c>
      <c r="C201" t="s">
        <v>15</v>
      </c>
      <c r="D201">
        <v>5.3662728249194425</v>
      </c>
      <c r="E201">
        <v>5.6999999999999993</v>
      </c>
      <c r="F201">
        <v>10</v>
      </c>
      <c r="G201">
        <v>5.6999999999999993</v>
      </c>
      <c r="H201">
        <v>5.7943977591036422</v>
      </c>
      <c r="I201" t="s">
        <v>74</v>
      </c>
      <c r="J201">
        <v>1</v>
      </c>
      <c r="K201">
        <v>45583</v>
      </c>
      <c r="L201">
        <v>45583</v>
      </c>
    </row>
    <row r="202" spans="1:12" x14ac:dyDescent="0.25">
      <c r="A202" t="s">
        <v>29</v>
      </c>
      <c r="B202" t="s">
        <v>38</v>
      </c>
      <c r="C202" t="s">
        <v>14</v>
      </c>
      <c r="D202">
        <v>11.626924453992125</v>
      </c>
      <c r="E202">
        <v>14.25</v>
      </c>
      <c r="F202">
        <v>10</v>
      </c>
      <c r="G202">
        <v>14.25</v>
      </c>
      <c r="H202">
        <v>10.301555104800537</v>
      </c>
      <c r="I202" t="s">
        <v>75</v>
      </c>
      <c r="J202">
        <v>1</v>
      </c>
      <c r="K202">
        <v>45583</v>
      </c>
      <c r="L202">
        <v>45583</v>
      </c>
    </row>
    <row r="203" spans="1:12" x14ac:dyDescent="0.25">
      <c r="A203" t="s">
        <v>30</v>
      </c>
      <c r="B203" t="s">
        <v>38</v>
      </c>
      <c r="C203" t="s">
        <v>13</v>
      </c>
      <c r="D203">
        <v>14.129216521561023</v>
      </c>
      <c r="E203">
        <v>22.799999999999997</v>
      </c>
      <c r="F203">
        <v>10</v>
      </c>
      <c r="G203">
        <v>22.799999999999997</v>
      </c>
      <c r="H203">
        <v>12.071813725490191</v>
      </c>
      <c r="I203" t="s">
        <v>73</v>
      </c>
      <c r="K203">
        <v>45583</v>
      </c>
      <c r="L203">
        <v>45583</v>
      </c>
    </row>
    <row r="204" spans="1:12" x14ac:dyDescent="0.25">
      <c r="A204" t="s">
        <v>30</v>
      </c>
      <c r="B204" t="s">
        <v>38</v>
      </c>
      <c r="C204" t="s">
        <v>15</v>
      </c>
      <c r="D204">
        <v>3.5111676249447159</v>
      </c>
      <c r="E204">
        <v>7.6</v>
      </c>
      <c r="F204">
        <v>10</v>
      </c>
      <c r="G204">
        <v>7.6</v>
      </c>
      <c r="H204">
        <v>6.8163992869875214</v>
      </c>
      <c r="I204" t="s">
        <v>74</v>
      </c>
      <c r="K204">
        <v>45583</v>
      </c>
      <c r="L204">
        <v>45583</v>
      </c>
    </row>
    <row r="205" spans="1:12" x14ac:dyDescent="0.25">
      <c r="A205" t="s">
        <v>30</v>
      </c>
      <c r="B205" t="s">
        <v>38</v>
      </c>
      <c r="C205" t="s">
        <v>14</v>
      </c>
      <c r="D205">
        <v>12.417771069086861</v>
      </c>
      <c r="E205">
        <v>11.4</v>
      </c>
      <c r="F205">
        <v>10</v>
      </c>
      <c r="G205">
        <v>11.4</v>
      </c>
      <c r="H205">
        <v>10.722593582887695</v>
      </c>
      <c r="I205" t="s">
        <v>75</v>
      </c>
      <c r="K205">
        <v>45583</v>
      </c>
      <c r="L205">
        <v>45583</v>
      </c>
    </row>
    <row r="206" spans="1:12" x14ac:dyDescent="0.25">
      <c r="A206" t="s">
        <v>29</v>
      </c>
      <c r="B206" t="s">
        <v>82</v>
      </c>
      <c r="C206" t="s">
        <v>13</v>
      </c>
      <c r="D206">
        <v>3.1563909774436096</v>
      </c>
      <c r="E206">
        <v>2.8499999999999996</v>
      </c>
      <c r="F206">
        <v>10</v>
      </c>
      <c r="G206">
        <v>2.8499999999999996</v>
      </c>
      <c r="H206">
        <v>1.882352941176471</v>
      </c>
      <c r="I206" t="s">
        <v>73</v>
      </c>
      <c r="J206">
        <v>1</v>
      </c>
      <c r="K206">
        <v>45583</v>
      </c>
      <c r="L206">
        <v>45583</v>
      </c>
    </row>
    <row r="207" spans="1:12" x14ac:dyDescent="0.25">
      <c r="A207" t="s">
        <v>29</v>
      </c>
      <c r="B207" t="s">
        <v>82</v>
      </c>
      <c r="C207" t="s">
        <v>15</v>
      </c>
      <c r="D207">
        <v>1</v>
      </c>
      <c r="E207">
        <v>0</v>
      </c>
      <c r="F207">
        <v>10</v>
      </c>
      <c r="G207">
        <v>0</v>
      </c>
      <c r="H207">
        <v>2.7450980392156862E-2</v>
      </c>
      <c r="I207" t="s">
        <v>74</v>
      </c>
      <c r="J207">
        <v>1</v>
      </c>
      <c r="K207">
        <v>45583</v>
      </c>
      <c r="L207">
        <v>45583</v>
      </c>
    </row>
    <row r="208" spans="1:12" x14ac:dyDescent="0.25">
      <c r="A208" t="s">
        <v>29</v>
      </c>
      <c r="B208" t="s">
        <v>82</v>
      </c>
      <c r="C208" t="s">
        <v>14</v>
      </c>
      <c r="D208">
        <v>2.1042606516290729</v>
      </c>
      <c r="E208">
        <v>2.8499999999999996</v>
      </c>
      <c r="F208">
        <v>10</v>
      </c>
      <c r="G208">
        <v>2.8499999999999996</v>
      </c>
      <c r="H208">
        <v>1.7568627450980387</v>
      </c>
      <c r="I208" t="s">
        <v>75</v>
      </c>
      <c r="J208">
        <v>1</v>
      </c>
      <c r="K208">
        <v>45583</v>
      </c>
      <c r="L208">
        <v>45583</v>
      </c>
    </row>
    <row r="209" spans="1:12" x14ac:dyDescent="0.25">
      <c r="A209" t="s">
        <v>30</v>
      </c>
      <c r="B209" t="s">
        <v>82</v>
      </c>
      <c r="C209" t="s">
        <v>13</v>
      </c>
      <c r="D209">
        <v>3.7478639781271368</v>
      </c>
      <c r="E209">
        <v>6.6499999999999995</v>
      </c>
      <c r="F209">
        <v>10</v>
      </c>
      <c r="G209">
        <v>6.6499999999999995</v>
      </c>
      <c r="H209">
        <v>3.75</v>
      </c>
      <c r="I209" t="s">
        <v>73</v>
      </c>
      <c r="K209">
        <v>45583</v>
      </c>
      <c r="L209">
        <v>45583</v>
      </c>
    </row>
    <row r="210" spans="1:12" x14ac:dyDescent="0.25">
      <c r="A210" t="s">
        <v>30</v>
      </c>
      <c r="B210" t="s">
        <v>82</v>
      </c>
      <c r="C210" t="s">
        <v>15</v>
      </c>
      <c r="D210">
        <v>0.97058823529411775</v>
      </c>
      <c r="E210">
        <v>0.95</v>
      </c>
      <c r="F210">
        <v>10</v>
      </c>
      <c r="G210">
        <v>0.95</v>
      </c>
      <c r="H210">
        <v>0.96969696969696972</v>
      </c>
      <c r="I210" t="s">
        <v>74</v>
      </c>
      <c r="K210">
        <v>45583</v>
      </c>
      <c r="L210">
        <v>45583</v>
      </c>
    </row>
    <row r="211" spans="1:12" x14ac:dyDescent="0.25">
      <c r="A211" t="s">
        <v>30</v>
      </c>
      <c r="B211" t="s">
        <v>82</v>
      </c>
      <c r="C211" t="s">
        <v>14</v>
      </c>
      <c r="D211">
        <v>4.5836142079336275</v>
      </c>
      <c r="E211">
        <v>2.8499999999999996</v>
      </c>
      <c r="F211">
        <v>10</v>
      </c>
      <c r="G211">
        <v>2.8499999999999996</v>
      </c>
      <c r="H211">
        <v>2.6229946524064167</v>
      </c>
      <c r="I211" t="s">
        <v>75</v>
      </c>
      <c r="K211">
        <v>45583</v>
      </c>
      <c r="L211">
        <v>45583</v>
      </c>
    </row>
    <row r="212" spans="1:12" x14ac:dyDescent="0.25">
      <c r="A212" t="s">
        <v>29</v>
      </c>
      <c r="B212" t="s">
        <v>42</v>
      </c>
      <c r="C212" t="s">
        <v>13</v>
      </c>
      <c r="D212">
        <v>5.7593984962406006</v>
      </c>
      <c r="E212">
        <v>2.8499999999999996</v>
      </c>
      <c r="F212">
        <v>10</v>
      </c>
      <c r="G212">
        <v>2.8499999999999996</v>
      </c>
      <c r="H212">
        <v>3.502922221520187</v>
      </c>
      <c r="I212" t="s">
        <v>73</v>
      </c>
      <c r="J212">
        <v>1</v>
      </c>
      <c r="K212">
        <v>45583</v>
      </c>
      <c r="L212">
        <v>45583</v>
      </c>
    </row>
    <row r="213" spans="1:12" x14ac:dyDescent="0.25">
      <c r="A213" t="s">
        <v>29</v>
      </c>
      <c r="B213" t="s">
        <v>42</v>
      </c>
      <c r="C213" t="s">
        <v>15</v>
      </c>
      <c r="D213">
        <v>1</v>
      </c>
      <c r="E213">
        <v>0</v>
      </c>
      <c r="F213">
        <v>10</v>
      </c>
      <c r="G213">
        <v>0</v>
      </c>
      <c r="H213">
        <v>1.1913273001508298</v>
      </c>
      <c r="I213" t="s">
        <v>74</v>
      </c>
      <c r="J213">
        <v>1</v>
      </c>
      <c r="K213">
        <v>45583</v>
      </c>
      <c r="L213">
        <v>45583</v>
      </c>
    </row>
    <row r="214" spans="1:12" x14ac:dyDescent="0.25">
      <c r="A214" t="s">
        <v>29</v>
      </c>
      <c r="B214" t="s">
        <v>42</v>
      </c>
      <c r="C214" t="s">
        <v>14</v>
      </c>
      <c r="D214">
        <v>2.8796992481203003</v>
      </c>
      <c r="E214">
        <v>2.8499999999999996</v>
      </c>
      <c r="F214">
        <v>10</v>
      </c>
      <c r="G214">
        <v>2.8499999999999996</v>
      </c>
      <c r="H214">
        <v>2.4639235004346567</v>
      </c>
      <c r="I214" t="s">
        <v>75</v>
      </c>
      <c r="J214">
        <v>1</v>
      </c>
      <c r="K214">
        <v>45583</v>
      </c>
      <c r="L214">
        <v>45583</v>
      </c>
    </row>
    <row r="215" spans="1:12" x14ac:dyDescent="0.25">
      <c r="A215" t="s">
        <v>30</v>
      </c>
      <c r="B215" t="s">
        <v>42</v>
      </c>
      <c r="C215" t="s">
        <v>13</v>
      </c>
      <c r="D215">
        <v>6.8471096572600336</v>
      </c>
      <c r="E215">
        <v>2.8499999999999996</v>
      </c>
      <c r="F215">
        <v>10</v>
      </c>
      <c r="G215">
        <v>2.8499999999999996</v>
      </c>
      <c r="H215">
        <v>3.812745098039215</v>
      </c>
      <c r="I215" t="s">
        <v>73</v>
      </c>
      <c r="K215">
        <v>45583</v>
      </c>
      <c r="L215">
        <v>45583</v>
      </c>
    </row>
    <row r="216" spans="1:12" x14ac:dyDescent="0.25">
      <c r="A216" t="s">
        <v>30</v>
      </c>
      <c r="B216" t="s">
        <v>42</v>
      </c>
      <c r="C216" t="s">
        <v>15</v>
      </c>
      <c r="D216">
        <v>0.84615384615384603</v>
      </c>
      <c r="E216">
        <v>1.9</v>
      </c>
      <c r="F216">
        <v>10</v>
      </c>
      <c r="G216">
        <v>1.9</v>
      </c>
      <c r="H216">
        <v>1.9964349376114079</v>
      </c>
      <c r="I216" t="s">
        <v>74</v>
      </c>
      <c r="K216">
        <v>45583</v>
      </c>
      <c r="L216">
        <v>45583</v>
      </c>
    </row>
    <row r="217" spans="1:12" x14ac:dyDescent="0.25">
      <c r="A217" t="s">
        <v>30</v>
      </c>
      <c r="B217" t="s">
        <v>42</v>
      </c>
      <c r="C217" t="s">
        <v>14</v>
      </c>
      <c r="D217">
        <v>2.5351191458269504</v>
      </c>
      <c r="E217">
        <v>3.8</v>
      </c>
      <c r="F217">
        <v>10</v>
      </c>
      <c r="G217">
        <v>3.8</v>
      </c>
      <c r="H217">
        <v>3.9919786096256682</v>
      </c>
      <c r="I217" t="s">
        <v>75</v>
      </c>
      <c r="K217">
        <v>45583</v>
      </c>
      <c r="L217">
        <v>45583</v>
      </c>
    </row>
    <row r="218" spans="1:12" x14ac:dyDescent="0.25">
      <c r="A218" t="s">
        <v>29</v>
      </c>
      <c r="B218" t="s">
        <v>38</v>
      </c>
      <c r="C218" t="s">
        <v>13</v>
      </c>
      <c r="D218">
        <v>14.310060866451844</v>
      </c>
      <c r="E218">
        <v>18.05</v>
      </c>
      <c r="F218">
        <v>10</v>
      </c>
      <c r="G218">
        <v>18.05</v>
      </c>
      <c r="H218">
        <v>13.935477731762557</v>
      </c>
      <c r="I218" t="s">
        <v>78</v>
      </c>
      <c r="J218">
        <v>1</v>
      </c>
      <c r="K218">
        <v>45584</v>
      </c>
      <c r="L218">
        <v>45584</v>
      </c>
    </row>
    <row r="219" spans="1:12" x14ac:dyDescent="0.25">
      <c r="A219" t="s">
        <v>29</v>
      </c>
      <c r="B219" t="s">
        <v>38</v>
      </c>
      <c r="C219" t="s">
        <v>15</v>
      </c>
      <c r="D219">
        <v>5.3662728249194425</v>
      </c>
      <c r="E219">
        <v>7.6</v>
      </c>
      <c r="F219">
        <v>10</v>
      </c>
      <c r="G219">
        <v>7.6</v>
      </c>
      <c r="H219">
        <v>5.8218487394957998</v>
      </c>
      <c r="I219" t="s">
        <v>77</v>
      </c>
      <c r="J219">
        <v>1</v>
      </c>
      <c r="K219">
        <v>45584</v>
      </c>
      <c r="L219">
        <v>45584</v>
      </c>
    </row>
    <row r="220" spans="1:12" x14ac:dyDescent="0.25">
      <c r="A220" t="s">
        <v>29</v>
      </c>
      <c r="B220" t="s">
        <v>38</v>
      </c>
      <c r="C220" t="s">
        <v>14</v>
      </c>
      <c r="D220">
        <v>11.626924453992126</v>
      </c>
      <c r="E220">
        <v>17.099999999999998</v>
      </c>
      <c r="F220">
        <v>10</v>
      </c>
      <c r="G220">
        <v>17.099999999999998</v>
      </c>
      <c r="H220">
        <v>10.454702679619944</v>
      </c>
      <c r="I220" t="s">
        <v>76</v>
      </c>
      <c r="J220">
        <v>1</v>
      </c>
      <c r="K220">
        <v>45584</v>
      </c>
      <c r="L220">
        <v>45584</v>
      </c>
    </row>
    <row r="221" spans="1:12" x14ac:dyDescent="0.25">
      <c r="A221" t="s">
        <v>30</v>
      </c>
      <c r="B221" t="s">
        <v>38</v>
      </c>
      <c r="C221" t="s">
        <v>13</v>
      </c>
      <c r="D221">
        <v>14.12921652156102</v>
      </c>
      <c r="E221">
        <v>18.05</v>
      </c>
      <c r="F221">
        <v>10</v>
      </c>
      <c r="G221">
        <v>18.05</v>
      </c>
      <c r="H221">
        <v>13.844607843137254</v>
      </c>
      <c r="I221" t="s">
        <v>78</v>
      </c>
      <c r="K221">
        <v>45584</v>
      </c>
      <c r="L221">
        <v>45584</v>
      </c>
    </row>
    <row r="222" spans="1:12" x14ac:dyDescent="0.25">
      <c r="A222" t="s">
        <v>30</v>
      </c>
      <c r="B222" t="s">
        <v>38</v>
      </c>
      <c r="C222" t="s">
        <v>15</v>
      </c>
      <c r="D222">
        <v>3.5111676249447159</v>
      </c>
      <c r="E222">
        <v>5.6999999999999993</v>
      </c>
      <c r="F222">
        <v>10</v>
      </c>
      <c r="G222">
        <v>5.6999999999999993</v>
      </c>
      <c r="H222">
        <v>6.8449197860962556</v>
      </c>
      <c r="I222" t="s">
        <v>77</v>
      </c>
      <c r="K222">
        <v>45584</v>
      </c>
      <c r="L222">
        <v>45584</v>
      </c>
    </row>
    <row r="223" spans="1:12" x14ac:dyDescent="0.25">
      <c r="A223" t="s">
        <v>30</v>
      </c>
      <c r="B223" t="s">
        <v>38</v>
      </c>
      <c r="C223" t="s">
        <v>14</v>
      </c>
      <c r="D223">
        <v>12.417771069086861</v>
      </c>
      <c r="E223">
        <v>17.099999999999998</v>
      </c>
      <c r="F223">
        <v>10</v>
      </c>
      <c r="G223">
        <v>17.099999999999998</v>
      </c>
      <c r="H223">
        <v>10.993315508021386</v>
      </c>
      <c r="I223" t="s">
        <v>76</v>
      </c>
      <c r="K223">
        <v>45584</v>
      </c>
      <c r="L223">
        <v>45584</v>
      </c>
    </row>
    <row r="224" spans="1:12" x14ac:dyDescent="0.25">
      <c r="A224" t="s">
        <v>29</v>
      </c>
      <c r="B224" t="s">
        <v>82</v>
      </c>
      <c r="C224" t="s">
        <v>15</v>
      </c>
      <c r="D224">
        <v>1</v>
      </c>
      <c r="E224">
        <v>0</v>
      </c>
      <c r="F224">
        <v>10</v>
      </c>
      <c r="G224">
        <v>0</v>
      </c>
      <c r="H224">
        <v>0</v>
      </c>
      <c r="I224" t="s">
        <v>77</v>
      </c>
      <c r="J224">
        <v>1</v>
      </c>
      <c r="K224">
        <v>45584</v>
      </c>
      <c r="L224">
        <v>45584</v>
      </c>
    </row>
    <row r="225" spans="1:12" x14ac:dyDescent="0.25">
      <c r="A225" t="s">
        <v>29</v>
      </c>
      <c r="B225" t="s">
        <v>82</v>
      </c>
      <c r="C225" t="s">
        <v>14</v>
      </c>
      <c r="D225">
        <v>2.1042606516290729</v>
      </c>
      <c r="E225">
        <v>2.8499999999999996</v>
      </c>
      <c r="F225">
        <v>10</v>
      </c>
      <c r="G225">
        <v>2.8499999999999996</v>
      </c>
      <c r="H225">
        <v>1.5821501014198782</v>
      </c>
      <c r="I225" t="s">
        <v>76</v>
      </c>
      <c r="J225">
        <v>1</v>
      </c>
      <c r="K225">
        <v>45584</v>
      </c>
      <c r="L225">
        <v>45584</v>
      </c>
    </row>
    <row r="226" spans="1:12" x14ac:dyDescent="0.25">
      <c r="A226" t="s">
        <v>29</v>
      </c>
      <c r="B226" t="s">
        <v>82</v>
      </c>
      <c r="C226" t="s">
        <v>13</v>
      </c>
      <c r="D226">
        <v>3.1563909774436096</v>
      </c>
      <c r="E226">
        <v>2.8499999999999996</v>
      </c>
      <c r="F226">
        <v>10</v>
      </c>
      <c r="G226">
        <v>2.8499999999999996</v>
      </c>
      <c r="H226">
        <v>1.882352941176471</v>
      </c>
      <c r="I226" t="s">
        <v>78</v>
      </c>
      <c r="J226">
        <v>1</v>
      </c>
      <c r="K226">
        <v>45584</v>
      </c>
      <c r="L226">
        <v>45584</v>
      </c>
    </row>
    <row r="227" spans="1:12" x14ac:dyDescent="0.25">
      <c r="A227" t="s">
        <v>30</v>
      </c>
      <c r="B227" t="s">
        <v>82</v>
      </c>
      <c r="C227" t="s">
        <v>15</v>
      </c>
      <c r="D227">
        <v>0.97058823529411775</v>
      </c>
      <c r="E227">
        <v>0.95</v>
      </c>
      <c r="F227">
        <v>10</v>
      </c>
      <c r="G227">
        <v>0.95</v>
      </c>
      <c r="H227">
        <v>0.96969696969696972</v>
      </c>
      <c r="I227" t="s">
        <v>77</v>
      </c>
      <c r="K227">
        <v>45584</v>
      </c>
      <c r="L227">
        <v>45584</v>
      </c>
    </row>
    <row r="228" spans="1:12" x14ac:dyDescent="0.25">
      <c r="A228" t="s">
        <v>30</v>
      </c>
      <c r="B228" t="s">
        <v>82</v>
      </c>
      <c r="C228" t="s">
        <v>14</v>
      </c>
      <c r="D228">
        <v>4.5836142079336275</v>
      </c>
      <c r="E228">
        <v>3.8</v>
      </c>
      <c r="F228">
        <v>10</v>
      </c>
      <c r="G228">
        <v>3.8</v>
      </c>
      <c r="H228">
        <v>3.3502673796791438</v>
      </c>
      <c r="I228" t="s">
        <v>76</v>
      </c>
      <c r="K228">
        <v>45584</v>
      </c>
      <c r="L228">
        <v>45584</v>
      </c>
    </row>
    <row r="229" spans="1:12" x14ac:dyDescent="0.25">
      <c r="A229" t="s">
        <v>30</v>
      </c>
      <c r="B229" t="s">
        <v>82</v>
      </c>
      <c r="C229" t="s">
        <v>13</v>
      </c>
      <c r="D229">
        <v>3.7478639781271368</v>
      </c>
      <c r="E229">
        <v>3.8</v>
      </c>
      <c r="F229">
        <v>10</v>
      </c>
      <c r="G229">
        <v>3.8</v>
      </c>
      <c r="H229">
        <v>3.7813725490196082</v>
      </c>
      <c r="I229" t="s">
        <v>78</v>
      </c>
      <c r="K229">
        <v>45584</v>
      </c>
      <c r="L229">
        <v>45584</v>
      </c>
    </row>
    <row r="230" spans="1:12" x14ac:dyDescent="0.25">
      <c r="A230" t="s">
        <v>29</v>
      </c>
      <c r="B230" t="s">
        <v>42</v>
      </c>
      <c r="C230" t="s">
        <v>15</v>
      </c>
      <c r="D230">
        <v>1</v>
      </c>
      <c r="E230">
        <v>0.95</v>
      </c>
      <c r="F230">
        <v>10</v>
      </c>
      <c r="G230">
        <v>0.95</v>
      </c>
      <c r="H230">
        <v>1.1401127252520442</v>
      </c>
      <c r="I230" t="s">
        <v>77</v>
      </c>
      <c r="J230">
        <v>1</v>
      </c>
      <c r="K230">
        <v>45584</v>
      </c>
      <c r="L230">
        <v>45584</v>
      </c>
    </row>
    <row r="231" spans="1:12" x14ac:dyDescent="0.25">
      <c r="A231" t="s">
        <v>29</v>
      </c>
      <c r="B231" t="s">
        <v>42</v>
      </c>
      <c r="C231" t="s">
        <v>14</v>
      </c>
      <c r="D231">
        <v>2.8796992481203003</v>
      </c>
      <c r="E231">
        <v>0.95</v>
      </c>
      <c r="F231">
        <v>10</v>
      </c>
      <c r="G231">
        <v>0.95</v>
      </c>
      <c r="H231">
        <v>2.5963488843813387</v>
      </c>
      <c r="I231" t="s">
        <v>76</v>
      </c>
      <c r="J231">
        <v>1</v>
      </c>
      <c r="K231">
        <v>45584</v>
      </c>
      <c r="L231">
        <v>45584</v>
      </c>
    </row>
    <row r="232" spans="1:12" x14ac:dyDescent="0.25">
      <c r="A232" t="s">
        <v>29</v>
      </c>
      <c r="B232" t="s">
        <v>42</v>
      </c>
      <c r="C232" t="s">
        <v>13</v>
      </c>
      <c r="D232">
        <v>5.7593984962406006</v>
      </c>
      <c r="E232">
        <v>3.8</v>
      </c>
      <c r="F232">
        <v>10</v>
      </c>
      <c r="G232">
        <v>3.8</v>
      </c>
      <c r="H232">
        <v>2.723004201680673</v>
      </c>
      <c r="I232" t="s">
        <v>78</v>
      </c>
      <c r="J232">
        <v>1</v>
      </c>
      <c r="K232">
        <v>45584</v>
      </c>
      <c r="L232">
        <v>45584</v>
      </c>
    </row>
    <row r="233" spans="1:12" x14ac:dyDescent="0.25">
      <c r="A233" t="s">
        <v>30</v>
      </c>
      <c r="B233" t="s">
        <v>42</v>
      </c>
      <c r="C233" t="s">
        <v>15</v>
      </c>
      <c r="D233">
        <v>0.84615384615384603</v>
      </c>
      <c r="E233">
        <v>1.9</v>
      </c>
      <c r="F233">
        <v>10</v>
      </c>
      <c r="G233">
        <v>1.9</v>
      </c>
      <c r="H233">
        <v>1.9964349376114079</v>
      </c>
      <c r="I233" t="s">
        <v>77</v>
      </c>
      <c r="K233">
        <v>45584</v>
      </c>
      <c r="L233">
        <v>45584</v>
      </c>
    </row>
    <row r="234" spans="1:12" x14ac:dyDescent="0.25">
      <c r="A234" t="s">
        <v>30</v>
      </c>
      <c r="B234" t="s">
        <v>42</v>
      </c>
      <c r="C234" t="s">
        <v>14</v>
      </c>
      <c r="D234">
        <v>2.5351191458269504</v>
      </c>
      <c r="E234">
        <v>4.75</v>
      </c>
      <c r="F234">
        <v>10</v>
      </c>
      <c r="G234">
        <v>4.75</v>
      </c>
      <c r="H234">
        <v>3.9919786096256682</v>
      </c>
      <c r="I234" t="s">
        <v>76</v>
      </c>
      <c r="K234">
        <v>45584</v>
      </c>
      <c r="L234">
        <v>45584</v>
      </c>
    </row>
    <row r="235" spans="1:12" x14ac:dyDescent="0.25">
      <c r="A235" t="s">
        <v>30</v>
      </c>
      <c r="B235" t="s">
        <v>42</v>
      </c>
      <c r="C235" t="s">
        <v>13</v>
      </c>
      <c r="D235">
        <v>6.8471096572600327</v>
      </c>
      <c r="E235">
        <v>3.8</v>
      </c>
      <c r="F235">
        <v>10</v>
      </c>
      <c r="G235">
        <v>3.8</v>
      </c>
      <c r="H235">
        <v>3.812745098039215</v>
      </c>
      <c r="I235" t="s">
        <v>78</v>
      </c>
      <c r="K235">
        <v>45584</v>
      </c>
      <c r="L235">
        <v>45584</v>
      </c>
    </row>
    <row r="236" spans="1:12" x14ac:dyDescent="0.25">
      <c r="A236" t="s">
        <v>29</v>
      </c>
      <c r="B236" t="s">
        <v>38</v>
      </c>
      <c r="C236" t="s">
        <v>13</v>
      </c>
      <c r="D236">
        <v>14.31006086645184</v>
      </c>
      <c r="E236">
        <v>18.05</v>
      </c>
      <c r="F236">
        <v>10</v>
      </c>
      <c r="G236">
        <v>18.05</v>
      </c>
      <c r="H236">
        <v>13.20820500448983</v>
      </c>
      <c r="I236" t="s">
        <v>81</v>
      </c>
      <c r="J236">
        <v>1</v>
      </c>
      <c r="K236">
        <v>45585</v>
      </c>
      <c r="L236">
        <v>45585</v>
      </c>
    </row>
    <row r="237" spans="1:12" x14ac:dyDescent="0.25">
      <c r="A237" t="s">
        <v>29</v>
      </c>
      <c r="B237" t="s">
        <v>38</v>
      </c>
      <c r="C237" t="s">
        <v>15</v>
      </c>
      <c r="D237">
        <v>5.3662728249194425</v>
      </c>
      <c r="E237">
        <v>5.6999999999999993</v>
      </c>
      <c r="F237">
        <v>10</v>
      </c>
      <c r="G237">
        <v>5.6999999999999993</v>
      </c>
      <c r="H237">
        <v>5.6194502801120452</v>
      </c>
      <c r="I237" t="s">
        <v>80</v>
      </c>
      <c r="J237">
        <v>1</v>
      </c>
      <c r="K237">
        <v>45585</v>
      </c>
      <c r="L237">
        <v>45585</v>
      </c>
    </row>
    <row r="238" spans="1:12" x14ac:dyDescent="0.25">
      <c r="A238" t="s">
        <v>29</v>
      </c>
      <c r="B238" t="s">
        <v>38</v>
      </c>
      <c r="C238" t="s">
        <v>14</v>
      </c>
      <c r="D238">
        <v>11.626924453992126</v>
      </c>
      <c r="E238">
        <v>13.3</v>
      </c>
      <c r="F238">
        <v>10</v>
      </c>
      <c r="G238">
        <v>13.3</v>
      </c>
      <c r="H238">
        <v>11.217490035941784</v>
      </c>
      <c r="I238" t="s">
        <v>79</v>
      </c>
      <c r="J238">
        <v>1</v>
      </c>
      <c r="K238">
        <v>45585</v>
      </c>
      <c r="L238">
        <v>45585</v>
      </c>
    </row>
    <row r="239" spans="1:12" x14ac:dyDescent="0.25">
      <c r="A239" t="s">
        <v>30</v>
      </c>
      <c r="B239" t="s">
        <v>38</v>
      </c>
      <c r="C239" t="s">
        <v>13</v>
      </c>
      <c r="D239">
        <v>14.12921652156102</v>
      </c>
      <c r="E239">
        <v>19.95</v>
      </c>
      <c r="F239">
        <v>10</v>
      </c>
      <c r="G239">
        <v>19.95</v>
      </c>
      <c r="H239">
        <v>13.844607843137254</v>
      </c>
      <c r="I239" t="s">
        <v>81</v>
      </c>
      <c r="K239">
        <v>45585</v>
      </c>
      <c r="L239">
        <v>45585</v>
      </c>
    </row>
    <row r="240" spans="1:12" x14ac:dyDescent="0.25">
      <c r="A240" t="s">
        <v>30</v>
      </c>
      <c r="B240" t="s">
        <v>38</v>
      </c>
      <c r="C240" t="s">
        <v>15</v>
      </c>
      <c r="D240">
        <v>3.5111676249447159</v>
      </c>
      <c r="E240">
        <v>5.6999999999999993</v>
      </c>
      <c r="F240">
        <v>10</v>
      </c>
      <c r="G240">
        <v>5.6999999999999993</v>
      </c>
      <c r="H240">
        <v>6.8163992869875214</v>
      </c>
      <c r="I240" t="s">
        <v>80</v>
      </c>
      <c r="K240">
        <v>45585</v>
      </c>
      <c r="L240">
        <v>45585</v>
      </c>
    </row>
    <row r="241" spans="1:12" x14ac:dyDescent="0.25">
      <c r="A241" t="s">
        <v>30</v>
      </c>
      <c r="B241" t="s">
        <v>38</v>
      </c>
      <c r="C241" t="s">
        <v>14</v>
      </c>
      <c r="D241">
        <v>12.417771069086861</v>
      </c>
      <c r="E241">
        <v>16.149999999999999</v>
      </c>
      <c r="F241">
        <v>10</v>
      </c>
      <c r="G241">
        <v>16.149999999999999</v>
      </c>
      <c r="H241">
        <v>10.77941176470588</v>
      </c>
      <c r="I241" t="s">
        <v>79</v>
      </c>
      <c r="K241">
        <v>45585</v>
      </c>
      <c r="L241">
        <v>45585</v>
      </c>
    </row>
    <row r="242" spans="1:12" x14ac:dyDescent="0.25">
      <c r="A242" t="s">
        <v>29</v>
      </c>
      <c r="B242" t="s">
        <v>82</v>
      </c>
      <c r="C242" t="s">
        <v>15</v>
      </c>
      <c r="D242">
        <v>1</v>
      </c>
      <c r="E242">
        <v>0</v>
      </c>
      <c r="F242">
        <v>10</v>
      </c>
      <c r="G242">
        <v>0</v>
      </c>
      <c r="H242">
        <v>0</v>
      </c>
      <c r="I242" t="s">
        <v>80</v>
      </c>
      <c r="J242">
        <v>1</v>
      </c>
      <c r="K242">
        <v>45585</v>
      </c>
      <c r="L242">
        <v>45585</v>
      </c>
    </row>
    <row r="243" spans="1:12" x14ac:dyDescent="0.25">
      <c r="A243" t="s">
        <v>29</v>
      </c>
      <c r="B243" t="s">
        <v>82</v>
      </c>
      <c r="C243" t="s">
        <v>14</v>
      </c>
      <c r="D243">
        <v>2.1042606516290729</v>
      </c>
      <c r="E243">
        <v>2.8499999999999996</v>
      </c>
      <c r="F243">
        <v>10</v>
      </c>
      <c r="G243">
        <v>2.8499999999999996</v>
      </c>
      <c r="H243">
        <v>1.5930393936158855</v>
      </c>
      <c r="I243" t="s">
        <v>79</v>
      </c>
      <c r="J243">
        <v>1</v>
      </c>
      <c r="K243">
        <v>45585</v>
      </c>
      <c r="L243">
        <v>45585</v>
      </c>
    </row>
    <row r="244" spans="1:12" x14ac:dyDescent="0.25">
      <c r="A244" t="s">
        <v>29</v>
      </c>
      <c r="B244" t="s">
        <v>82</v>
      </c>
      <c r="C244" t="s">
        <v>13</v>
      </c>
      <c r="D244">
        <v>3.1563909774436087</v>
      </c>
      <c r="E244">
        <v>3.8</v>
      </c>
      <c r="F244">
        <v>10</v>
      </c>
      <c r="G244">
        <v>3.8</v>
      </c>
      <c r="H244">
        <v>2.8121775025799796</v>
      </c>
      <c r="I244" t="s">
        <v>81</v>
      </c>
      <c r="J244">
        <v>1</v>
      </c>
      <c r="K244">
        <v>45585</v>
      </c>
      <c r="L244">
        <v>45585</v>
      </c>
    </row>
    <row r="245" spans="1:12" x14ac:dyDescent="0.25">
      <c r="A245" t="s">
        <v>30</v>
      </c>
      <c r="B245" t="s">
        <v>82</v>
      </c>
      <c r="C245" t="s">
        <v>15</v>
      </c>
      <c r="D245">
        <v>0.97058823529411775</v>
      </c>
      <c r="E245">
        <v>0.95</v>
      </c>
      <c r="F245">
        <v>10</v>
      </c>
      <c r="G245">
        <v>0.95</v>
      </c>
      <c r="H245">
        <v>0.99821746880570394</v>
      </c>
      <c r="I245" t="s">
        <v>80</v>
      </c>
      <c r="K245">
        <v>45585</v>
      </c>
      <c r="L245">
        <v>45585</v>
      </c>
    </row>
    <row r="246" spans="1:12" x14ac:dyDescent="0.25">
      <c r="A246" t="s">
        <v>30</v>
      </c>
      <c r="B246" t="s">
        <v>82</v>
      </c>
      <c r="C246" t="s">
        <v>14</v>
      </c>
      <c r="D246">
        <v>4.5836142079336275</v>
      </c>
      <c r="E246">
        <v>3.8</v>
      </c>
      <c r="F246">
        <v>10</v>
      </c>
      <c r="G246">
        <v>3.8</v>
      </c>
      <c r="H246">
        <v>3.5641711229946522</v>
      </c>
      <c r="I246" t="s">
        <v>79</v>
      </c>
      <c r="K246">
        <v>45585</v>
      </c>
      <c r="L246">
        <v>45585</v>
      </c>
    </row>
    <row r="247" spans="1:12" x14ac:dyDescent="0.25">
      <c r="A247" t="s">
        <v>30</v>
      </c>
      <c r="B247" t="s">
        <v>82</v>
      </c>
      <c r="C247" t="s">
        <v>13</v>
      </c>
      <c r="D247">
        <v>3.7478639781271368</v>
      </c>
      <c r="E247">
        <v>4.75</v>
      </c>
      <c r="F247">
        <v>10</v>
      </c>
      <c r="G247">
        <v>4.75</v>
      </c>
      <c r="H247">
        <v>3.7813725490196082</v>
      </c>
      <c r="I247" t="s">
        <v>81</v>
      </c>
      <c r="K247">
        <v>45585</v>
      </c>
      <c r="L247">
        <v>45585</v>
      </c>
    </row>
    <row r="248" spans="1:12" x14ac:dyDescent="0.25">
      <c r="A248" t="s">
        <v>29</v>
      </c>
      <c r="B248" t="s">
        <v>42</v>
      </c>
      <c r="C248" t="s">
        <v>15</v>
      </c>
      <c r="D248">
        <v>1</v>
      </c>
      <c r="E248">
        <v>0</v>
      </c>
      <c r="F248">
        <v>10</v>
      </c>
      <c r="G248">
        <v>0</v>
      </c>
      <c r="H248">
        <v>0.24132730015082957</v>
      </c>
      <c r="I248" t="s">
        <v>80</v>
      </c>
      <c r="J248">
        <v>1</v>
      </c>
      <c r="K248">
        <v>45585</v>
      </c>
      <c r="L248">
        <v>45585</v>
      </c>
    </row>
    <row r="249" spans="1:12" x14ac:dyDescent="0.25">
      <c r="A249" t="s">
        <v>29</v>
      </c>
      <c r="B249" t="s">
        <v>42</v>
      </c>
      <c r="C249" t="s">
        <v>14</v>
      </c>
      <c r="D249">
        <v>2.8796992481203003</v>
      </c>
      <c r="E249">
        <v>1.9</v>
      </c>
      <c r="F249">
        <v>10</v>
      </c>
      <c r="G249">
        <v>1.9</v>
      </c>
      <c r="H249">
        <v>2.5309330628803242</v>
      </c>
      <c r="I249" t="s">
        <v>79</v>
      </c>
      <c r="J249">
        <v>1</v>
      </c>
      <c r="K249">
        <v>45585</v>
      </c>
      <c r="L249">
        <v>45585</v>
      </c>
    </row>
    <row r="250" spans="1:12" x14ac:dyDescent="0.25">
      <c r="A250" t="s">
        <v>29</v>
      </c>
      <c r="B250" t="s">
        <v>42</v>
      </c>
      <c r="C250" t="s">
        <v>13</v>
      </c>
      <c r="D250">
        <v>5.7593984962406006</v>
      </c>
      <c r="E250">
        <v>3.8</v>
      </c>
      <c r="F250">
        <v>10</v>
      </c>
      <c r="G250">
        <v>3.8</v>
      </c>
      <c r="H250">
        <v>2.7192337461300311</v>
      </c>
      <c r="I250" t="s">
        <v>81</v>
      </c>
      <c r="J250">
        <v>1</v>
      </c>
      <c r="K250">
        <v>45585</v>
      </c>
      <c r="L250">
        <v>45585</v>
      </c>
    </row>
    <row r="251" spans="1:12" x14ac:dyDescent="0.25">
      <c r="A251" t="s">
        <v>30</v>
      </c>
      <c r="B251" t="s">
        <v>42</v>
      </c>
      <c r="C251" t="s">
        <v>15</v>
      </c>
      <c r="D251">
        <v>0.84615384615384603</v>
      </c>
      <c r="E251">
        <v>1.9</v>
      </c>
      <c r="F251">
        <v>10</v>
      </c>
      <c r="G251">
        <v>1.9</v>
      </c>
      <c r="H251">
        <v>1.9964349376114079</v>
      </c>
      <c r="I251" t="s">
        <v>80</v>
      </c>
      <c r="K251">
        <v>45585</v>
      </c>
      <c r="L251">
        <v>45585</v>
      </c>
    </row>
    <row r="252" spans="1:12" x14ac:dyDescent="0.25">
      <c r="A252" t="s">
        <v>30</v>
      </c>
      <c r="B252" t="s">
        <v>42</v>
      </c>
      <c r="C252" t="s">
        <v>14</v>
      </c>
      <c r="D252">
        <v>2.5351191458269504</v>
      </c>
      <c r="E252">
        <v>5.6999999999999993</v>
      </c>
      <c r="F252">
        <v>10</v>
      </c>
      <c r="G252">
        <v>5.6999999999999993</v>
      </c>
      <c r="H252">
        <v>3.9919786096256682</v>
      </c>
      <c r="I252" t="s">
        <v>79</v>
      </c>
      <c r="K252">
        <v>45585</v>
      </c>
      <c r="L252">
        <v>45585</v>
      </c>
    </row>
    <row r="253" spans="1:12" x14ac:dyDescent="0.25">
      <c r="A253" t="s">
        <v>30</v>
      </c>
      <c r="B253" t="s">
        <v>42</v>
      </c>
      <c r="C253" t="s">
        <v>13</v>
      </c>
      <c r="D253">
        <v>6.8471096572600327</v>
      </c>
      <c r="E253">
        <v>3.8</v>
      </c>
      <c r="F253">
        <v>10</v>
      </c>
      <c r="G253">
        <v>3.8</v>
      </c>
      <c r="H253">
        <v>3.812745098039215</v>
      </c>
      <c r="I253" t="s">
        <v>81</v>
      </c>
      <c r="K253">
        <v>45585</v>
      </c>
      <c r="L253">
        <v>45585</v>
      </c>
    </row>
  </sheetData>
  <conditionalFormatting sqref="O2:O44">
    <cfRule type="cellIs" dxfId="1" priority="2" operator="lessThan">
      <formula>-0.4</formula>
    </cfRule>
  </conditionalFormatting>
  <conditionalFormatting sqref="P2:P44">
    <cfRule type="cellIs" dxfId="0" priority="1" operator="greaterThan">
      <formula>0.4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E1417-0AB6-4BD8-A0AB-87DB0A788339}">
  <dimension ref="A1:U253"/>
  <sheetViews>
    <sheetView workbookViewId="0">
      <selection activeCell="K17" sqref="K17"/>
    </sheetView>
  </sheetViews>
  <sheetFormatPr defaultRowHeight="15" x14ac:dyDescent="0.25"/>
  <cols>
    <col min="1" max="1" width="9.5703125" bestFit="1" customWidth="1"/>
    <col min="2" max="2" width="7.28515625" bestFit="1" customWidth="1"/>
    <col min="3" max="3" width="7.42578125" bestFit="1" customWidth="1"/>
    <col min="4" max="4" width="12" bestFit="1" customWidth="1"/>
    <col min="5" max="5" width="10.7109375" bestFit="1" customWidth="1"/>
    <col min="6" max="6" width="17.140625" bestFit="1" customWidth="1"/>
    <col min="7" max="7" width="11.85546875" bestFit="1" customWidth="1"/>
    <col min="8" max="8" width="12.28515625" bestFit="1" customWidth="1"/>
    <col min="9" max="9" width="16.42578125" bestFit="1" customWidth="1"/>
    <col min="10" max="10" width="29" bestFit="1" customWidth="1"/>
    <col min="11" max="11" width="10.7109375" bestFit="1" customWidth="1"/>
    <col min="12" max="12" width="8.5703125" bestFit="1" customWidth="1"/>
    <col min="13" max="20" width="12" bestFit="1" customWidth="1"/>
    <col min="21" max="25" width="12" customWidth="1"/>
    <col min="26" max="26" width="5.5703125" bestFit="1" customWidth="1"/>
    <col min="27" max="27" width="12" customWidth="1"/>
    <col min="28" max="28" width="12" bestFit="1" customWidth="1"/>
    <col min="29" max="29" width="6" bestFit="1" customWidth="1"/>
    <col min="30" max="30" width="5.5703125" bestFit="1" customWidth="1"/>
  </cols>
  <sheetData>
    <row r="1" spans="1:21" x14ac:dyDescent="0.25">
      <c r="A1" t="s">
        <v>22</v>
      </c>
      <c r="B1" t="s">
        <v>1</v>
      </c>
      <c r="C1" t="s">
        <v>21</v>
      </c>
      <c r="D1" t="s">
        <v>3</v>
      </c>
      <c r="E1" t="s">
        <v>4</v>
      </c>
      <c r="F1" t="s">
        <v>19</v>
      </c>
      <c r="G1" t="s">
        <v>5</v>
      </c>
      <c r="H1" t="s">
        <v>2</v>
      </c>
      <c r="I1" t="s">
        <v>20</v>
      </c>
      <c r="J1" t="s">
        <v>28</v>
      </c>
      <c r="K1" t="s">
        <v>0</v>
      </c>
      <c r="L1" t="s">
        <v>83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17</v>
      </c>
      <c r="T1" t="s">
        <v>12</v>
      </c>
      <c r="U1" t="s">
        <v>16</v>
      </c>
    </row>
    <row r="2" spans="1:21" x14ac:dyDescent="0.25">
      <c r="A2" t="s">
        <v>29</v>
      </c>
      <c r="B2" t="s">
        <v>38</v>
      </c>
      <c r="C2" t="s">
        <v>15</v>
      </c>
      <c r="D2">
        <v>5.3662728249194425</v>
      </c>
      <c r="E2">
        <v>5.6999999999999993</v>
      </c>
      <c r="F2">
        <v>10</v>
      </c>
      <c r="G2">
        <v>5.6999999999999993</v>
      </c>
      <c r="H2">
        <v>5.7943977591036422</v>
      </c>
      <c r="I2" t="s">
        <v>40</v>
      </c>
      <c r="J2">
        <v>1</v>
      </c>
      <c r="K2" s="6">
        <v>45572</v>
      </c>
      <c r="L2">
        <v>45572</v>
      </c>
      <c r="M2">
        <v>1.0621897518014409</v>
      </c>
      <c r="N2">
        <v>1.0621897518014409</v>
      </c>
      <c r="O2">
        <v>1.0797806872949338</v>
      </c>
      <c r="P2">
        <v>0.94145137279288471</v>
      </c>
      <c r="Q2">
        <v>0.94145137279288471</v>
      </c>
      <c r="R2">
        <v>1.0165610103690601</v>
      </c>
      <c r="S2">
        <v>0.9837087885526441</v>
      </c>
      <c r="T2">
        <v>0.9837087885526441</v>
      </c>
      <c r="U2">
        <v>0.9261139894113124</v>
      </c>
    </row>
    <row r="3" spans="1:21" x14ac:dyDescent="0.25">
      <c r="A3" t="s">
        <v>29</v>
      </c>
      <c r="B3" t="s">
        <v>38</v>
      </c>
      <c r="C3" t="s">
        <v>14</v>
      </c>
      <c r="D3">
        <v>11.626924453992126</v>
      </c>
      <c r="E3">
        <v>16.149999999999999</v>
      </c>
      <c r="F3">
        <v>10</v>
      </c>
      <c r="G3">
        <v>16.149999999999999</v>
      </c>
      <c r="H3">
        <v>10.301555104800538</v>
      </c>
      <c r="I3" t="s">
        <v>39</v>
      </c>
      <c r="J3">
        <v>1</v>
      </c>
      <c r="K3" s="6">
        <v>45572</v>
      </c>
      <c r="L3">
        <v>45572</v>
      </c>
      <c r="M3">
        <v>1.3890173677403457</v>
      </c>
      <c r="N3">
        <v>1.3890173677403457</v>
      </c>
      <c r="O3">
        <v>0.8860086040434777</v>
      </c>
      <c r="P3">
        <v>0.71993340272397077</v>
      </c>
      <c r="Q3">
        <v>0.71993340272397077</v>
      </c>
      <c r="R3">
        <v>0.63786718915173624</v>
      </c>
      <c r="S3">
        <v>1.5677244683644003</v>
      </c>
      <c r="T3">
        <v>1.5677244683644003</v>
      </c>
      <c r="U3">
        <v>1.1286572110432107</v>
      </c>
    </row>
    <row r="4" spans="1:21" x14ac:dyDescent="0.25">
      <c r="A4" t="s">
        <v>29</v>
      </c>
      <c r="B4" t="s">
        <v>38</v>
      </c>
      <c r="C4" t="s">
        <v>13</v>
      </c>
      <c r="D4">
        <v>14.310060866451844</v>
      </c>
      <c r="E4">
        <v>13.3</v>
      </c>
      <c r="F4">
        <v>10</v>
      </c>
      <c r="G4">
        <v>13.3</v>
      </c>
      <c r="H4">
        <v>13.775401069518708</v>
      </c>
      <c r="I4" t="s">
        <v>41</v>
      </c>
      <c r="J4">
        <v>1</v>
      </c>
      <c r="K4" s="6">
        <v>45572</v>
      </c>
      <c r="L4">
        <v>45572</v>
      </c>
      <c r="M4">
        <v>0.92941603282626095</v>
      </c>
      <c r="N4">
        <v>0.92941603282626095</v>
      </c>
      <c r="O4">
        <v>0.96263748967088048</v>
      </c>
      <c r="P4">
        <v>1.075944426049011</v>
      </c>
      <c r="Q4">
        <v>1.075944426049011</v>
      </c>
      <c r="R4">
        <v>1.0357444413171961</v>
      </c>
      <c r="S4">
        <v>0.96548913043478313</v>
      </c>
      <c r="T4">
        <v>0.96548913043478313</v>
      </c>
      <c r="U4">
        <v>1.0388126483022113</v>
      </c>
    </row>
    <row r="5" spans="1:21" x14ac:dyDescent="0.25">
      <c r="A5" t="s">
        <v>30</v>
      </c>
      <c r="B5" t="s">
        <v>38</v>
      </c>
      <c r="C5" t="s">
        <v>15</v>
      </c>
      <c r="D5">
        <v>3.5111676249447159</v>
      </c>
      <c r="E5">
        <v>9.5</v>
      </c>
      <c r="F5">
        <v>10</v>
      </c>
      <c r="G5">
        <v>9.5</v>
      </c>
      <c r="H5">
        <v>6.7878787878787872</v>
      </c>
      <c r="I5" t="s">
        <v>40</v>
      </c>
      <c r="K5" s="6">
        <v>45572</v>
      </c>
      <c r="L5">
        <v>45572</v>
      </c>
      <c r="M5">
        <v>2.7056526531254912</v>
      </c>
      <c r="N5">
        <v>2.7056526531254912</v>
      </c>
      <c r="O5">
        <v>1.9332255001598404</v>
      </c>
      <c r="P5">
        <v>0.36959659209944379</v>
      </c>
      <c r="Q5">
        <v>0.36959659209944379</v>
      </c>
      <c r="R5">
        <v>0.71451355661881966</v>
      </c>
      <c r="S5">
        <v>1.3995535714285716</v>
      </c>
      <c r="T5">
        <v>1.3995535714285716</v>
      </c>
      <c r="U5">
        <v>0.5172702304606055</v>
      </c>
    </row>
    <row r="6" spans="1:21" x14ac:dyDescent="0.25">
      <c r="A6" t="s">
        <v>30</v>
      </c>
      <c r="B6" t="s">
        <v>38</v>
      </c>
      <c r="C6" t="s">
        <v>14</v>
      </c>
      <c r="D6">
        <v>12.417771069086861</v>
      </c>
      <c r="E6">
        <v>10.45</v>
      </c>
      <c r="F6">
        <v>10</v>
      </c>
      <c r="G6">
        <v>10.45</v>
      </c>
      <c r="H6">
        <v>10.50868983957219</v>
      </c>
      <c r="I6" t="s">
        <v>39</v>
      </c>
      <c r="K6" s="6">
        <v>45572</v>
      </c>
      <c r="L6">
        <v>45572</v>
      </c>
      <c r="M6">
        <v>0.84153588770971266</v>
      </c>
      <c r="N6">
        <v>0.84153588770971266</v>
      </c>
      <c r="O6">
        <v>0.84626216581917912</v>
      </c>
      <c r="P6">
        <v>1.1883034515872595</v>
      </c>
      <c r="Q6">
        <v>1.1883034515872595</v>
      </c>
      <c r="R6">
        <v>1.0056162525906402</v>
      </c>
      <c r="S6">
        <v>0.99441511354239565</v>
      </c>
      <c r="T6">
        <v>0.99441511354239565</v>
      </c>
      <c r="U6">
        <v>1.1816669117329655</v>
      </c>
    </row>
    <row r="7" spans="1:21" x14ac:dyDescent="0.25">
      <c r="A7" t="s">
        <v>30</v>
      </c>
      <c r="B7" t="s">
        <v>38</v>
      </c>
      <c r="C7" t="s">
        <v>13</v>
      </c>
      <c r="D7">
        <v>14.129216521561023</v>
      </c>
      <c r="E7">
        <v>22.799999999999997</v>
      </c>
      <c r="F7">
        <v>10</v>
      </c>
      <c r="G7">
        <v>22.799999999999997</v>
      </c>
      <c r="H7">
        <v>12.620833333333332</v>
      </c>
      <c r="I7" t="s">
        <v>41</v>
      </c>
      <c r="K7" s="6">
        <v>45572</v>
      </c>
      <c r="L7">
        <v>45572</v>
      </c>
      <c r="M7">
        <v>1.6136775853924707</v>
      </c>
      <c r="N7">
        <v>1.6136775853924707</v>
      </c>
      <c r="O7">
        <v>0.89324367802518168</v>
      </c>
      <c r="P7">
        <v>0.61970247901583442</v>
      </c>
      <c r="Q7">
        <v>0.61970247901583442</v>
      </c>
      <c r="R7">
        <v>0.55354532163742687</v>
      </c>
      <c r="S7">
        <v>1.8065368108286564</v>
      </c>
      <c r="T7">
        <v>1.8065368108286564</v>
      </c>
      <c r="U7">
        <v>1.1195153401038778</v>
      </c>
    </row>
    <row r="8" spans="1:21" x14ac:dyDescent="0.25">
      <c r="A8" t="s">
        <v>29</v>
      </c>
      <c r="B8" t="s">
        <v>38</v>
      </c>
      <c r="C8" t="s">
        <v>15</v>
      </c>
      <c r="D8">
        <v>5.3662728249194425</v>
      </c>
      <c r="E8">
        <v>7.6</v>
      </c>
      <c r="F8">
        <v>10</v>
      </c>
      <c r="G8">
        <v>7.6</v>
      </c>
      <c r="H8">
        <v>5.8218487394957998</v>
      </c>
      <c r="I8" t="s">
        <v>43</v>
      </c>
      <c r="J8">
        <v>1</v>
      </c>
      <c r="K8" s="6">
        <v>45573</v>
      </c>
      <c r="L8">
        <v>45573</v>
      </c>
      <c r="M8">
        <v>1.4162530024019213</v>
      </c>
      <c r="N8">
        <v>1.4162530024019213</v>
      </c>
      <c r="O8">
        <v>1.0848961522158904</v>
      </c>
      <c r="P8">
        <v>0.70608852959466351</v>
      </c>
      <c r="Q8">
        <v>0.70608852959466351</v>
      </c>
      <c r="R8">
        <v>0.76603272888102636</v>
      </c>
      <c r="S8">
        <v>1.3054272517321013</v>
      </c>
      <c r="T8">
        <v>1.3054272517321013</v>
      </c>
      <c r="U8">
        <v>0.92174720866832205</v>
      </c>
    </row>
    <row r="9" spans="1:21" x14ac:dyDescent="0.25">
      <c r="A9" t="s">
        <v>29</v>
      </c>
      <c r="B9" t="s">
        <v>38</v>
      </c>
      <c r="C9" t="s">
        <v>14</v>
      </c>
      <c r="D9">
        <v>11.626924453992125</v>
      </c>
      <c r="E9">
        <v>14.25</v>
      </c>
      <c r="F9">
        <v>10</v>
      </c>
      <c r="G9">
        <v>14.25</v>
      </c>
      <c r="H9">
        <v>10.443813387423935</v>
      </c>
      <c r="I9" t="s">
        <v>45</v>
      </c>
      <c r="J9">
        <v>1</v>
      </c>
      <c r="K9" s="6">
        <v>45573</v>
      </c>
      <c r="L9">
        <v>45573</v>
      </c>
      <c r="M9">
        <v>1.2256035597708934</v>
      </c>
      <c r="N9">
        <v>1.2256035597708934</v>
      </c>
      <c r="O9">
        <v>0.89824385019015363</v>
      </c>
      <c r="P9">
        <v>0.81592452308716668</v>
      </c>
      <c r="Q9">
        <v>0.81592452308716668</v>
      </c>
      <c r="R9">
        <v>0.73289918508238139</v>
      </c>
      <c r="S9">
        <v>1.3644441423244251</v>
      </c>
      <c r="T9">
        <v>1.3644441423244251</v>
      </c>
      <c r="U9">
        <v>1.1132834361051347</v>
      </c>
    </row>
    <row r="10" spans="1:21" x14ac:dyDescent="0.25">
      <c r="A10" t="s">
        <v>29</v>
      </c>
      <c r="B10" t="s">
        <v>38</v>
      </c>
      <c r="C10" t="s">
        <v>13</v>
      </c>
      <c r="D10">
        <v>14.310060866451844</v>
      </c>
      <c r="E10">
        <v>19.95</v>
      </c>
      <c r="F10">
        <v>10</v>
      </c>
      <c r="G10">
        <v>19.95</v>
      </c>
      <c r="H10">
        <v>12.278380443086323</v>
      </c>
      <c r="I10" t="s">
        <v>44</v>
      </c>
      <c r="J10">
        <v>1</v>
      </c>
      <c r="K10" s="6">
        <v>45573</v>
      </c>
      <c r="L10">
        <v>45573</v>
      </c>
      <c r="M10">
        <v>1.3941240492393916</v>
      </c>
      <c r="N10">
        <v>1.3941240492393916</v>
      </c>
      <c r="O10">
        <v>0.85802433390562705</v>
      </c>
      <c r="P10">
        <v>0.71729628403267387</v>
      </c>
      <c r="Q10">
        <v>0.71729628403267387</v>
      </c>
      <c r="R10">
        <v>0.61545766632011645</v>
      </c>
      <c r="S10">
        <v>1.6248071227694683</v>
      </c>
      <c r="T10">
        <v>1.6248071227694683</v>
      </c>
      <c r="U10">
        <v>1.1654681114323602</v>
      </c>
    </row>
    <row r="11" spans="1:21" x14ac:dyDescent="0.25">
      <c r="A11" t="s">
        <v>30</v>
      </c>
      <c r="B11" t="s">
        <v>38</v>
      </c>
      <c r="C11" t="s">
        <v>15</v>
      </c>
      <c r="D11">
        <v>3.5111676249447159</v>
      </c>
      <c r="E11">
        <v>7.6</v>
      </c>
      <c r="F11">
        <v>10</v>
      </c>
      <c r="G11">
        <v>7.6</v>
      </c>
      <c r="H11">
        <v>6.8163992869875214</v>
      </c>
      <c r="I11" t="s">
        <v>43</v>
      </c>
      <c r="K11" s="6">
        <v>45573</v>
      </c>
      <c r="L11">
        <v>45573</v>
      </c>
      <c r="M11">
        <v>2.1645221225003928</v>
      </c>
      <c r="N11">
        <v>2.1645221225003928</v>
      </c>
      <c r="O11">
        <v>1.9413482963789992</v>
      </c>
      <c r="P11">
        <v>0.46199574012430472</v>
      </c>
      <c r="Q11">
        <v>0.46199574012430472</v>
      </c>
      <c r="R11">
        <v>0.89689464302467392</v>
      </c>
      <c r="S11">
        <v>1.114958158995816</v>
      </c>
      <c r="T11">
        <v>1.114958158995816</v>
      </c>
      <c r="U11">
        <v>0.51510591987290422</v>
      </c>
    </row>
    <row r="12" spans="1:21" x14ac:dyDescent="0.25">
      <c r="A12" t="s">
        <v>30</v>
      </c>
      <c r="B12" t="s">
        <v>38</v>
      </c>
      <c r="C12" t="s">
        <v>14</v>
      </c>
      <c r="D12">
        <v>12.417771069086861</v>
      </c>
      <c r="E12">
        <v>8.5499999999999989</v>
      </c>
      <c r="F12">
        <v>10</v>
      </c>
      <c r="G12">
        <v>8.5499999999999989</v>
      </c>
      <c r="H12">
        <v>10.722593582887695</v>
      </c>
      <c r="I12" t="s">
        <v>45</v>
      </c>
      <c r="K12" s="6">
        <v>45573</v>
      </c>
      <c r="L12">
        <v>45573</v>
      </c>
      <c r="M12">
        <v>0.68852936267158305</v>
      </c>
      <c r="N12">
        <v>0.68852936267158305</v>
      </c>
      <c r="O12">
        <v>0.86348778079673361</v>
      </c>
      <c r="P12">
        <v>1.4523708852733173</v>
      </c>
      <c r="Q12">
        <v>1.4523708852733173</v>
      </c>
      <c r="R12">
        <v>1.254104512618444</v>
      </c>
      <c r="S12">
        <v>0.79738170936974029</v>
      </c>
      <c r="T12">
        <v>0.79738170936974029</v>
      </c>
      <c r="U12">
        <v>1.1580939791380807</v>
      </c>
    </row>
    <row r="13" spans="1:21" x14ac:dyDescent="0.25">
      <c r="A13" t="s">
        <v>30</v>
      </c>
      <c r="B13" t="s">
        <v>38</v>
      </c>
      <c r="C13" t="s">
        <v>13</v>
      </c>
      <c r="D13">
        <v>14.129216521561023</v>
      </c>
      <c r="E13">
        <v>23.75</v>
      </c>
      <c r="F13">
        <v>10</v>
      </c>
      <c r="G13">
        <v>23.75</v>
      </c>
      <c r="H13">
        <v>12.040441176470583</v>
      </c>
      <c r="I13" t="s">
        <v>44</v>
      </c>
      <c r="K13" s="6">
        <v>45573</v>
      </c>
      <c r="L13">
        <v>45573</v>
      </c>
      <c r="M13">
        <v>1.6809141514504906</v>
      </c>
      <c r="N13">
        <v>1.6809141514504906</v>
      </c>
      <c r="O13">
        <v>0.85216623003101466</v>
      </c>
      <c r="P13">
        <v>0.59491437985520101</v>
      </c>
      <c r="Q13">
        <v>0.59491437985520101</v>
      </c>
      <c r="R13">
        <v>0.50696594427244557</v>
      </c>
      <c r="S13">
        <v>1.9725190839694664</v>
      </c>
      <c r="T13">
        <v>1.9725190839694664</v>
      </c>
      <c r="U13">
        <v>1.1734799675922443</v>
      </c>
    </row>
    <row r="14" spans="1:21" x14ac:dyDescent="0.25">
      <c r="A14" t="s">
        <v>29</v>
      </c>
      <c r="B14" t="s">
        <v>38</v>
      </c>
      <c r="C14" t="s">
        <v>14</v>
      </c>
      <c r="D14">
        <v>11.626924453992125</v>
      </c>
      <c r="E14">
        <v>16.149999999999999</v>
      </c>
      <c r="F14">
        <v>10</v>
      </c>
      <c r="G14">
        <v>16.149999999999999</v>
      </c>
      <c r="H14">
        <v>11.483222254419006</v>
      </c>
      <c r="I14" t="s">
        <v>46</v>
      </c>
      <c r="J14">
        <v>1</v>
      </c>
      <c r="K14" s="6">
        <v>45574</v>
      </c>
      <c r="L14">
        <v>45574</v>
      </c>
      <c r="M14">
        <v>1.3890173677403459</v>
      </c>
      <c r="N14">
        <v>1.3890173677403459</v>
      </c>
      <c r="O14">
        <v>0.98764056650219501</v>
      </c>
      <c r="P14">
        <v>0.71993340272397066</v>
      </c>
      <c r="Q14">
        <v>0.71993340272397066</v>
      </c>
      <c r="R14">
        <v>0.71103543371015521</v>
      </c>
      <c r="S14">
        <v>1.406399670944722</v>
      </c>
      <c r="T14">
        <v>1.406399670944722</v>
      </c>
      <c r="U14">
        <v>1.0125141006931062</v>
      </c>
    </row>
    <row r="15" spans="1:21" x14ac:dyDescent="0.25">
      <c r="A15" t="s">
        <v>29</v>
      </c>
      <c r="B15" t="s">
        <v>38</v>
      </c>
      <c r="C15" t="s">
        <v>13</v>
      </c>
      <c r="D15">
        <v>14.310060866451844</v>
      </c>
      <c r="E15">
        <v>16.149999999999999</v>
      </c>
      <c r="F15">
        <v>10</v>
      </c>
      <c r="G15">
        <v>16.149999999999999</v>
      </c>
      <c r="H15">
        <v>12.4558696205755</v>
      </c>
      <c r="I15" t="s">
        <v>47</v>
      </c>
      <c r="J15">
        <v>1</v>
      </c>
      <c r="K15" s="6">
        <v>45574</v>
      </c>
      <c r="L15">
        <v>45574</v>
      </c>
      <c r="M15">
        <v>1.1285766112890312</v>
      </c>
      <c r="N15">
        <v>1.1285766112890312</v>
      </c>
      <c r="O15">
        <v>0.8704274382072501</v>
      </c>
      <c r="P15">
        <v>0.88607188027565598</v>
      </c>
      <c r="Q15">
        <v>0.88607188027565598</v>
      </c>
      <c r="R15">
        <v>0.77126127681582046</v>
      </c>
      <c r="S15">
        <v>1.2965774764792231</v>
      </c>
      <c r="T15">
        <v>1.2965774764792231</v>
      </c>
      <c r="U15">
        <v>1.1488608425070104</v>
      </c>
    </row>
    <row r="16" spans="1:21" x14ac:dyDescent="0.25">
      <c r="A16" t="s">
        <v>29</v>
      </c>
      <c r="B16" t="s">
        <v>38</v>
      </c>
      <c r="C16" t="s">
        <v>15</v>
      </c>
      <c r="D16">
        <v>5.3662728249194425</v>
      </c>
      <c r="E16">
        <v>6.6499999999999995</v>
      </c>
      <c r="F16">
        <v>10</v>
      </c>
      <c r="G16">
        <v>6.6499999999999995</v>
      </c>
      <c r="H16">
        <v>5.8218487394957998</v>
      </c>
      <c r="I16" t="s">
        <v>48</v>
      </c>
      <c r="J16">
        <v>1</v>
      </c>
      <c r="K16" s="6">
        <v>45574</v>
      </c>
      <c r="L16">
        <v>45574</v>
      </c>
      <c r="M16">
        <v>1.2392213771016811</v>
      </c>
      <c r="N16">
        <v>1.2392213771016811</v>
      </c>
      <c r="O16">
        <v>1.0848961522158904</v>
      </c>
      <c r="P16">
        <v>0.80695831953675834</v>
      </c>
      <c r="Q16">
        <v>0.80695831953675834</v>
      </c>
      <c r="R16">
        <v>0.87546597586403008</v>
      </c>
      <c r="S16">
        <v>1.1422488452655886</v>
      </c>
      <c r="T16">
        <v>1.1422488452655886</v>
      </c>
      <c r="U16">
        <v>0.92174720866832205</v>
      </c>
    </row>
    <row r="17" spans="1:21" x14ac:dyDescent="0.25">
      <c r="A17" t="s">
        <v>30</v>
      </c>
      <c r="B17" t="s">
        <v>38</v>
      </c>
      <c r="C17" t="s">
        <v>14</v>
      </c>
      <c r="D17">
        <v>12.417771069086861</v>
      </c>
      <c r="E17">
        <v>11.4</v>
      </c>
      <c r="F17">
        <v>10</v>
      </c>
      <c r="G17">
        <v>11.4</v>
      </c>
      <c r="H17">
        <v>10.56550802139037</v>
      </c>
      <c r="I17" t="s">
        <v>46</v>
      </c>
      <c r="K17" s="6">
        <v>45574</v>
      </c>
      <c r="L17">
        <v>45574</v>
      </c>
      <c r="M17">
        <v>0.91803915022877747</v>
      </c>
      <c r="N17">
        <v>0.91803915022877747</v>
      </c>
      <c r="O17">
        <v>0.85083771979759193</v>
      </c>
      <c r="P17">
        <v>1.089278163954988</v>
      </c>
      <c r="Q17">
        <v>1.089278163954988</v>
      </c>
      <c r="R17">
        <v>0.92679894924476935</v>
      </c>
      <c r="S17">
        <v>1.0789826648108316</v>
      </c>
      <c r="T17">
        <v>1.0789826648108316</v>
      </c>
      <c r="U17">
        <v>1.1753122560644029</v>
      </c>
    </row>
    <row r="18" spans="1:21" x14ac:dyDescent="0.25">
      <c r="A18" t="s">
        <v>30</v>
      </c>
      <c r="B18" t="s">
        <v>38</v>
      </c>
      <c r="C18" t="s">
        <v>13</v>
      </c>
      <c r="D18">
        <v>14.129216521561023</v>
      </c>
      <c r="E18">
        <v>22.799999999999997</v>
      </c>
      <c r="F18">
        <v>10</v>
      </c>
      <c r="G18">
        <v>22.799999999999997</v>
      </c>
      <c r="H18">
        <v>12.177941176470586</v>
      </c>
      <c r="I18" t="s">
        <v>47</v>
      </c>
      <c r="K18" s="6">
        <v>45574</v>
      </c>
      <c r="L18">
        <v>45574</v>
      </c>
      <c r="M18">
        <v>1.6136775853924707</v>
      </c>
      <c r="N18">
        <v>1.6136775853924707</v>
      </c>
      <c r="O18">
        <v>0.86189783827625455</v>
      </c>
      <c r="P18">
        <v>0.61970247901583442</v>
      </c>
      <c r="Q18">
        <v>0.61970247901583442</v>
      </c>
      <c r="R18">
        <v>0.53412022703818363</v>
      </c>
      <c r="S18">
        <v>1.8722376524574327</v>
      </c>
      <c r="T18">
        <v>1.8722376524574327</v>
      </c>
      <c r="U18">
        <v>1.1602303145346573</v>
      </c>
    </row>
    <row r="19" spans="1:21" x14ac:dyDescent="0.25">
      <c r="A19" t="s">
        <v>30</v>
      </c>
      <c r="B19" t="s">
        <v>38</v>
      </c>
      <c r="C19" t="s">
        <v>15</v>
      </c>
      <c r="D19">
        <v>3.5111676249447159</v>
      </c>
      <c r="E19">
        <v>5.6999999999999993</v>
      </c>
      <c r="F19">
        <v>10</v>
      </c>
      <c r="G19">
        <v>5.6999999999999993</v>
      </c>
      <c r="H19">
        <v>7.7290552584670227</v>
      </c>
      <c r="I19" t="s">
        <v>48</v>
      </c>
      <c r="K19" s="6">
        <v>45574</v>
      </c>
      <c r="L19">
        <v>45574</v>
      </c>
      <c r="M19">
        <v>1.6233915918752946</v>
      </c>
      <c r="N19">
        <v>1.6233915918752946</v>
      </c>
      <c r="O19">
        <v>2.2012777753920871</v>
      </c>
      <c r="P19">
        <v>0.61599432016573974</v>
      </c>
      <c r="Q19">
        <v>0.61599432016573974</v>
      </c>
      <c r="R19">
        <v>1.3559746067486007</v>
      </c>
      <c r="S19">
        <v>0.73747693726937269</v>
      </c>
      <c r="T19">
        <v>0.73747693726937269</v>
      </c>
      <c r="U19">
        <v>0.45428160461115907</v>
      </c>
    </row>
    <row r="20" spans="1:21" x14ac:dyDescent="0.25">
      <c r="A20" t="s">
        <v>29</v>
      </c>
      <c r="B20" t="s">
        <v>38</v>
      </c>
      <c r="C20" t="s">
        <v>15</v>
      </c>
      <c r="D20">
        <v>5.3662728249194425</v>
      </c>
      <c r="E20">
        <v>5.6999999999999993</v>
      </c>
      <c r="F20">
        <v>10</v>
      </c>
      <c r="G20">
        <v>5.6999999999999993</v>
      </c>
      <c r="H20">
        <v>5.7669467787114854</v>
      </c>
      <c r="I20" t="s">
        <v>50</v>
      </c>
      <c r="J20">
        <v>1</v>
      </c>
      <c r="K20" s="6">
        <v>45575</v>
      </c>
      <c r="L20">
        <v>45575</v>
      </c>
      <c r="M20">
        <v>1.0621897518014409</v>
      </c>
      <c r="N20">
        <v>1.0621897518014409</v>
      </c>
      <c r="O20">
        <v>1.0746652223739777</v>
      </c>
      <c r="P20">
        <v>0.94145137279288471</v>
      </c>
      <c r="Q20">
        <v>0.94145137279288471</v>
      </c>
      <c r="R20">
        <v>1.0117450488967519</v>
      </c>
      <c r="S20">
        <v>0.98839129590052432</v>
      </c>
      <c r="T20">
        <v>0.98839129590052432</v>
      </c>
      <c r="U20">
        <v>0.93052234238208698</v>
      </c>
    </row>
    <row r="21" spans="1:21" x14ac:dyDescent="0.25">
      <c r="A21" t="s">
        <v>29</v>
      </c>
      <c r="B21" t="s">
        <v>38</v>
      </c>
      <c r="C21" t="s">
        <v>14</v>
      </c>
      <c r="D21">
        <v>11.626924453992126</v>
      </c>
      <c r="E21">
        <v>14.25</v>
      </c>
      <c r="F21">
        <v>10</v>
      </c>
      <c r="G21">
        <v>14.25</v>
      </c>
      <c r="H21">
        <v>10.094388100067611</v>
      </c>
      <c r="I21" t="s">
        <v>49</v>
      </c>
      <c r="J21">
        <v>1</v>
      </c>
      <c r="K21" s="6">
        <v>45575</v>
      </c>
      <c r="L21">
        <v>45575</v>
      </c>
      <c r="M21">
        <v>1.2256035597708932</v>
      </c>
      <c r="N21">
        <v>1.2256035597708932</v>
      </c>
      <c r="O21">
        <v>0.86819073608082864</v>
      </c>
      <c r="P21">
        <v>0.81592452308716679</v>
      </c>
      <c r="Q21">
        <v>0.81592452308716679</v>
      </c>
      <c r="R21">
        <v>0.70837811228544645</v>
      </c>
      <c r="S21">
        <v>1.4116754635087345</v>
      </c>
      <c r="T21">
        <v>1.4116754635087345</v>
      </c>
      <c r="U21">
        <v>1.1518206293172193</v>
      </c>
    </row>
    <row r="22" spans="1:21" x14ac:dyDescent="0.25">
      <c r="A22" t="s">
        <v>29</v>
      </c>
      <c r="B22" t="s">
        <v>38</v>
      </c>
      <c r="C22" t="s">
        <v>13</v>
      </c>
      <c r="D22">
        <v>14.310060866451844</v>
      </c>
      <c r="E22">
        <v>18.05</v>
      </c>
      <c r="F22">
        <v>10</v>
      </c>
      <c r="G22">
        <v>18.05</v>
      </c>
      <c r="H22">
        <v>10.823834988540863</v>
      </c>
      <c r="I22" t="s">
        <v>51</v>
      </c>
      <c r="J22">
        <v>1</v>
      </c>
      <c r="K22" s="6">
        <v>45575</v>
      </c>
      <c r="L22">
        <v>45575</v>
      </c>
      <c r="M22">
        <v>1.2613503302642115</v>
      </c>
      <c r="N22">
        <v>1.2613503302642115</v>
      </c>
      <c r="O22">
        <v>0.75637938158012985</v>
      </c>
      <c r="P22">
        <v>0.79280115603611323</v>
      </c>
      <c r="Q22">
        <v>0.79280115603611323</v>
      </c>
      <c r="R22">
        <v>0.59965844811860736</v>
      </c>
      <c r="S22">
        <v>1.6676159622822633</v>
      </c>
      <c r="T22">
        <v>1.6676159622822633</v>
      </c>
      <c r="U22">
        <v>1.3220878627216537</v>
      </c>
    </row>
    <row r="23" spans="1:21" x14ac:dyDescent="0.25">
      <c r="A23" t="s">
        <v>30</v>
      </c>
      <c r="B23" t="s">
        <v>38</v>
      </c>
      <c r="C23" t="s">
        <v>15</v>
      </c>
      <c r="D23">
        <v>3.5111676249447159</v>
      </c>
      <c r="E23">
        <v>6.6499999999999995</v>
      </c>
      <c r="F23">
        <v>10</v>
      </c>
      <c r="G23">
        <v>6.6499999999999995</v>
      </c>
      <c r="H23">
        <v>5.8181818181818183</v>
      </c>
      <c r="I23" t="s">
        <v>50</v>
      </c>
      <c r="K23" s="6">
        <v>45575</v>
      </c>
      <c r="L23">
        <v>45575</v>
      </c>
      <c r="M23">
        <v>1.8939568571878436</v>
      </c>
      <c r="N23">
        <v>1.8939568571878436</v>
      </c>
      <c r="O23">
        <v>1.6570504287084349</v>
      </c>
      <c r="P23">
        <v>0.52799513157063405</v>
      </c>
      <c r="Q23">
        <v>0.52799513157063405</v>
      </c>
      <c r="R23">
        <v>0.87491455912508553</v>
      </c>
      <c r="S23">
        <v>1.1429687499999999</v>
      </c>
      <c r="T23">
        <v>1.1429687499999999</v>
      </c>
      <c r="U23">
        <v>0.60348193553737306</v>
      </c>
    </row>
    <row r="24" spans="1:21" x14ac:dyDescent="0.25">
      <c r="A24" t="s">
        <v>30</v>
      </c>
      <c r="B24" t="s">
        <v>38</v>
      </c>
      <c r="C24" t="s">
        <v>14</v>
      </c>
      <c r="D24">
        <v>12.417771069086861</v>
      </c>
      <c r="E24">
        <v>14.25</v>
      </c>
      <c r="F24">
        <v>10</v>
      </c>
      <c r="G24">
        <v>14.25</v>
      </c>
      <c r="H24">
        <v>10.351604278074864</v>
      </c>
      <c r="I24" t="s">
        <v>49</v>
      </c>
      <c r="K24" s="6">
        <v>45575</v>
      </c>
      <c r="L24">
        <v>45575</v>
      </c>
      <c r="M24">
        <v>1.147548937785972</v>
      </c>
      <c r="N24">
        <v>1.147548937785972</v>
      </c>
      <c r="O24">
        <v>0.83361210482003745</v>
      </c>
      <c r="P24">
        <v>0.87142253116399027</v>
      </c>
      <c r="Q24">
        <v>0.87142253116399027</v>
      </c>
      <c r="R24">
        <v>0.72642837039121855</v>
      </c>
      <c r="S24">
        <v>1.3765982177450602</v>
      </c>
      <c r="T24">
        <v>1.3765982177450602</v>
      </c>
      <c r="U24">
        <v>1.1995987033032383</v>
      </c>
    </row>
    <row r="25" spans="1:21" x14ac:dyDescent="0.25">
      <c r="A25" t="s">
        <v>30</v>
      </c>
      <c r="B25" t="s">
        <v>38</v>
      </c>
      <c r="C25" t="s">
        <v>13</v>
      </c>
      <c r="D25">
        <v>14.12921652156102</v>
      </c>
      <c r="E25">
        <v>18.05</v>
      </c>
      <c r="F25">
        <v>10</v>
      </c>
      <c r="G25">
        <v>18.05</v>
      </c>
      <c r="H25">
        <v>13.875980392156862</v>
      </c>
      <c r="I25" t="s">
        <v>51</v>
      </c>
      <c r="K25" s="6">
        <v>45575</v>
      </c>
      <c r="L25">
        <v>45575</v>
      </c>
      <c r="M25">
        <v>1.2774947551023732</v>
      </c>
      <c r="N25">
        <v>1.2774947551023732</v>
      </c>
      <c r="O25">
        <v>0.98207712869162123</v>
      </c>
      <c r="P25">
        <v>0.78278207875684314</v>
      </c>
      <c r="Q25">
        <v>0.78278207875684314</v>
      </c>
      <c r="R25">
        <v>0.76875237629677906</v>
      </c>
      <c r="S25">
        <v>1.3008089871763169</v>
      </c>
      <c r="T25">
        <v>1.3008089871763169</v>
      </c>
      <c r="U25">
        <v>1.0182499630474611</v>
      </c>
    </row>
    <row r="26" spans="1:21" x14ac:dyDescent="0.25">
      <c r="A26" t="s">
        <v>29</v>
      </c>
      <c r="B26" t="s">
        <v>38</v>
      </c>
      <c r="C26" t="s">
        <v>13</v>
      </c>
      <c r="D26">
        <v>14.310060866451844</v>
      </c>
      <c r="E26">
        <v>19</v>
      </c>
      <c r="F26">
        <v>10</v>
      </c>
      <c r="G26">
        <v>19</v>
      </c>
      <c r="H26">
        <v>8.0003055767761602</v>
      </c>
      <c r="I26" t="s">
        <v>53</v>
      </c>
      <c r="J26">
        <v>1</v>
      </c>
      <c r="K26" s="6">
        <v>45576</v>
      </c>
      <c r="L26">
        <v>45576</v>
      </c>
      <c r="M26">
        <v>1.3277371897518015</v>
      </c>
      <c r="N26">
        <v>1.3277371897518015</v>
      </c>
      <c r="O26">
        <v>0.55906859177181289</v>
      </c>
      <c r="P26">
        <v>0.75316109823430755</v>
      </c>
      <c r="Q26">
        <v>0.75316109823430755</v>
      </c>
      <c r="R26">
        <v>0.42106871456716632</v>
      </c>
      <c r="S26">
        <v>2.3749092853596134</v>
      </c>
      <c r="T26">
        <v>2.3749092853596134</v>
      </c>
      <c r="U26">
        <v>1.788689285568301</v>
      </c>
    </row>
    <row r="27" spans="1:21" x14ac:dyDescent="0.25">
      <c r="A27" t="s">
        <v>29</v>
      </c>
      <c r="B27" t="s">
        <v>38</v>
      </c>
      <c r="C27" t="s">
        <v>15</v>
      </c>
      <c r="D27">
        <v>5.3662728249194425</v>
      </c>
      <c r="E27">
        <v>6.6499999999999995</v>
      </c>
      <c r="F27">
        <v>10</v>
      </c>
      <c r="G27">
        <v>6.6499999999999995</v>
      </c>
      <c r="H27">
        <v>5.8393599864188106</v>
      </c>
      <c r="I27" t="s">
        <v>52</v>
      </c>
      <c r="J27">
        <v>1</v>
      </c>
      <c r="K27" s="6">
        <v>45576</v>
      </c>
      <c r="L27">
        <v>45576</v>
      </c>
      <c r="M27">
        <v>1.2392213771016811</v>
      </c>
      <c r="N27">
        <v>1.2392213771016811</v>
      </c>
      <c r="O27">
        <v>1.0881593569567478</v>
      </c>
      <c r="P27">
        <v>0.80695831953675834</v>
      </c>
      <c r="Q27">
        <v>0.80695831953675834</v>
      </c>
      <c r="R27">
        <v>0.8780992460780167</v>
      </c>
      <c r="S27">
        <v>1.1388234353536306</v>
      </c>
      <c r="T27">
        <v>1.1388234353536306</v>
      </c>
      <c r="U27">
        <v>0.91898304564204392</v>
      </c>
    </row>
    <row r="28" spans="1:21" x14ac:dyDescent="0.25">
      <c r="A28" t="s">
        <v>29</v>
      </c>
      <c r="B28" t="s">
        <v>38</v>
      </c>
      <c r="C28" t="s">
        <v>14</v>
      </c>
      <c r="D28">
        <v>11.626924453992125</v>
      </c>
      <c r="E28">
        <v>12.35</v>
      </c>
      <c r="F28">
        <v>10</v>
      </c>
      <c r="G28">
        <v>12.35</v>
      </c>
      <c r="H28">
        <v>9.6140922408670875</v>
      </c>
      <c r="I28" t="s">
        <v>54</v>
      </c>
      <c r="J28">
        <v>1</v>
      </c>
      <c r="K28" s="6">
        <v>45576</v>
      </c>
      <c r="L28">
        <v>45576</v>
      </c>
      <c r="M28">
        <v>1.0621897518014409</v>
      </c>
      <c r="N28">
        <v>1.0621897518014409</v>
      </c>
      <c r="O28">
        <v>0.82688180171034587</v>
      </c>
      <c r="P28">
        <v>0.9414513727928846</v>
      </c>
      <c r="Q28">
        <v>0.9414513727928846</v>
      </c>
      <c r="R28">
        <v>0.77846900735765889</v>
      </c>
      <c r="S28">
        <v>1.2845726554924506</v>
      </c>
      <c r="T28">
        <v>1.2845726554924506</v>
      </c>
      <c r="U28">
        <v>1.2093626899655689</v>
      </c>
    </row>
    <row r="29" spans="1:21" x14ac:dyDescent="0.25">
      <c r="A29" t="s">
        <v>30</v>
      </c>
      <c r="B29" t="s">
        <v>38</v>
      </c>
      <c r="C29" t="s">
        <v>13</v>
      </c>
      <c r="D29">
        <v>14.129216521561023</v>
      </c>
      <c r="E29">
        <v>24.7</v>
      </c>
      <c r="F29">
        <v>10</v>
      </c>
      <c r="G29">
        <v>24.7</v>
      </c>
      <c r="H29">
        <v>12.009068627450976</v>
      </c>
      <c r="I29" t="s">
        <v>53</v>
      </c>
      <c r="K29" s="6">
        <v>45576</v>
      </c>
      <c r="L29">
        <v>45576</v>
      </c>
      <c r="M29">
        <v>1.7481507175085103</v>
      </c>
      <c r="N29">
        <v>1.7481507175085103</v>
      </c>
      <c r="O29">
        <v>0.84994582743673541</v>
      </c>
      <c r="P29">
        <v>0.57203305755307787</v>
      </c>
      <c r="Q29">
        <v>0.57203305755307787</v>
      </c>
      <c r="R29">
        <v>0.48619711042311642</v>
      </c>
      <c r="S29">
        <v>2.0567789864685602</v>
      </c>
      <c r="T29">
        <v>2.0567789864685602</v>
      </c>
      <c r="U29">
        <v>1.1765455723405309</v>
      </c>
    </row>
    <row r="30" spans="1:21" x14ac:dyDescent="0.25">
      <c r="A30" t="s">
        <v>30</v>
      </c>
      <c r="B30" t="s">
        <v>38</v>
      </c>
      <c r="C30" t="s">
        <v>15</v>
      </c>
      <c r="D30">
        <v>3.5111676249447159</v>
      </c>
      <c r="E30">
        <v>7.6</v>
      </c>
      <c r="F30">
        <v>10</v>
      </c>
      <c r="G30">
        <v>7.6</v>
      </c>
      <c r="H30">
        <v>7.757575757575756</v>
      </c>
      <c r="I30" t="s">
        <v>52</v>
      </c>
      <c r="K30" s="6">
        <v>45576</v>
      </c>
      <c r="L30">
        <v>45576</v>
      </c>
      <c r="M30">
        <v>2.1645221225003928</v>
      </c>
      <c r="N30">
        <v>2.1645221225003928</v>
      </c>
      <c r="O30">
        <v>2.2094005716112459</v>
      </c>
      <c r="P30">
        <v>0.46199574012430472</v>
      </c>
      <c r="Q30">
        <v>0.46199574012430472</v>
      </c>
      <c r="R30">
        <v>1.0207336523125996</v>
      </c>
      <c r="S30">
        <v>0.97968750000000016</v>
      </c>
      <c r="T30">
        <v>0.97968750000000016</v>
      </c>
      <c r="U30">
        <v>0.45261145165302985</v>
      </c>
    </row>
    <row r="31" spans="1:21" x14ac:dyDescent="0.25">
      <c r="A31" t="s">
        <v>30</v>
      </c>
      <c r="B31" t="s">
        <v>38</v>
      </c>
      <c r="C31" t="s">
        <v>14</v>
      </c>
      <c r="D31">
        <v>12.417771069086861</v>
      </c>
      <c r="E31">
        <v>9.5</v>
      </c>
      <c r="F31">
        <v>10</v>
      </c>
      <c r="G31">
        <v>9.5</v>
      </c>
      <c r="H31">
        <v>10.540775401069514</v>
      </c>
      <c r="I31" t="s">
        <v>54</v>
      </c>
      <c r="K31" s="6">
        <v>45576</v>
      </c>
      <c r="L31">
        <v>45576</v>
      </c>
      <c r="M31">
        <v>0.76503262519064796</v>
      </c>
      <c r="N31">
        <v>0.76503262519064796</v>
      </c>
      <c r="O31">
        <v>0.84884600806581212</v>
      </c>
      <c r="P31">
        <v>1.3071337967459853</v>
      </c>
      <c r="Q31">
        <v>1.3071337967459853</v>
      </c>
      <c r="R31">
        <v>1.1095553053757383</v>
      </c>
      <c r="S31">
        <v>0.90126196968736172</v>
      </c>
      <c r="T31">
        <v>0.90126196968736172</v>
      </c>
      <c r="U31">
        <v>1.1780699803002064</v>
      </c>
    </row>
    <row r="32" spans="1:21" x14ac:dyDescent="0.25">
      <c r="A32" t="s">
        <v>29</v>
      </c>
      <c r="B32" t="s">
        <v>38</v>
      </c>
      <c r="C32" t="s">
        <v>13</v>
      </c>
      <c r="D32">
        <v>14.310060866451844</v>
      </c>
      <c r="E32">
        <v>19.95</v>
      </c>
      <c r="F32">
        <v>10</v>
      </c>
      <c r="G32">
        <v>19.95</v>
      </c>
      <c r="H32">
        <v>12.799132141378117</v>
      </c>
      <c r="I32" t="s">
        <v>56</v>
      </c>
      <c r="J32">
        <v>1</v>
      </c>
      <c r="K32" s="6">
        <v>45577</v>
      </c>
      <c r="L32">
        <v>45577</v>
      </c>
      <c r="M32">
        <v>1.3941240492393916</v>
      </c>
      <c r="N32">
        <v>1.3941240492393916</v>
      </c>
      <c r="O32">
        <v>0.89441493371870195</v>
      </c>
      <c r="P32">
        <v>0.71729628403267387</v>
      </c>
      <c r="Q32">
        <v>0.71729628403267387</v>
      </c>
      <c r="R32">
        <v>0.6415605083397552</v>
      </c>
      <c r="S32">
        <v>1.5586994320891456</v>
      </c>
      <c r="T32">
        <v>1.5586994320891456</v>
      </c>
      <c r="U32">
        <v>1.1180493105613831</v>
      </c>
    </row>
    <row r="33" spans="1:21" x14ac:dyDescent="0.25">
      <c r="A33" t="s">
        <v>29</v>
      </c>
      <c r="B33" t="s">
        <v>38</v>
      </c>
      <c r="C33" t="s">
        <v>15</v>
      </c>
      <c r="D33">
        <v>5.3662728249194425</v>
      </c>
      <c r="E33">
        <v>7.6</v>
      </c>
      <c r="F33">
        <v>10</v>
      </c>
      <c r="G33">
        <v>7.6</v>
      </c>
      <c r="H33">
        <v>5.7943977591036422</v>
      </c>
      <c r="I33" t="s">
        <v>55</v>
      </c>
      <c r="J33">
        <v>1</v>
      </c>
      <c r="K33" s="6">
        <v>45577</v>
      </c>
      <c r="L33">
        <v>45577</v>
      </c>
      <c r="M33">
        <v>1.4162530024019213</v>
      </c>
      <c r="N33">
        <v>1.4162530024019213</v>
      </c>
      <c r="O33">
        <v>1.0797806872949338</v>
      </c>
      <c r="P33">
        <v>0.70608852959466351</v>
      </c>
      <c r="Q33">
        <v>0.70608852959466351</v>
      </c>
      <c r="R33">
        <v>0.76242075777679508</v>
      </c>
      <c r="S33">
        <v>1.3116117180701923</v>
      </c>
      <c r="T33">
        <v>1.3116117180701923</v>
      </c>
      <c r="U33">
        <v>0.9261139894113124</v>
      </c>
    </row>
    <row r="34" spans="1:21" x14ac:dyDescent="0.25">
      <c r="A34" t="s">
        <v>29</v>
      </c>
      <c r="B34" t="s">
        <v>38</v>
      </c>
      <c r="C34" t="s">
        <v>14</v>
      </c>
      <c r="D34">
        <v>11.626924453992126</v>
      </c>
      <c r="E34">
        <v>18.05</v>
      </c>
      <c r="F34">
        <v>10</v>
      </c>
      <c r="G34">
        <v>18.05</v>
      </c>
      <c r="H34">
        <v>10.056408770404715</v>
      </c>
      <c r="I34" t="s">
        <v>57</v>
      </c>
      <c r="J34">
        <v>1</v>
      </c>
      <c r="K34" s="6">
        <v>45577</v>
      </c>
      <c r="L34">
        <v>45577</v>
      </c>
      <c r="M34">
        <v>1.5524311757097982</v>
      </c>
      <c r="N34">
        <v>1.5524311757097982</v>
      </c>
      <c r="O34">
        <v>0.86492423772064919</v>
      </c>
      <c r="P34">
        <v>0.64415093927934219</v>
      </c>
      <c r="Q34">
        <v>0.64415093927934219</v>
      </c>
      <c r="R34">
        <v>0.55714176013322525</v>
      </c>
      <c r="S34">
        <v>1.7948753289663251</v>
      </c>
      <c r="T34">
        <v>1.7948753289663251</v>
      </c>
      <c r="U34">
        <v>1.1561706290429765</v>
      </c>
    </row>
    <row r="35" spans="1:21" x14ac:dyDescent="0.25">
      <c r="A35" t="s">
        <v>30</v>
      </c>
      <c r="B35" t="s">
        <v>38</v>
      </c>
      <c r="C35" t="s">
        <v>13</v>
      </c>
      <c r="D35">
        <v>14.12921652156102</v>
      </c>
      <c r="E35">
        <v>16.149999999999999</v>
      </c>
      <c r="F35">
        <v>10</v>
      </c>
      <c r="G35">
        <v>16.149999999999999</v>
      </c>
      <c r="H35">
        <v>13.875980392156862</v>
      </c>
      <c r="I35" t="s">
        <v>56</v>
      </c>
      <c r="K35" s="6">
        <v>45577</v>
      </c>
      <c r="L35">
        <v>45577</v>
      </c>
      <c r="M35">
        <v>1.1430216229863337</v>
      </c>
      <c r="N35">
        <v>1.1430216229863337</v>
      </c>
      <c r="O35">
        <v>0.98207712869162123</v>
      </c>
      <c r="P35">
        <v>0.87487408802235422</v>
      </c>
      <c r="Q35">
        <v>0.87487408802235422</v>
      </c>
      <c r="R35">
        <v>0.85919383233169433</v>
      </c>
      <c r="S35">
        <v>1.1638817253682834</v>
      </c>
      <c r="T35">
        <v>1.1638817253682834</v>
      </c>
      <c r="U35">
        <v>1.0182499630474611</v>
      </c>
    </row>
    <row r="36" spans="1:21" x14ac:dyDescent="0.25">
      <c r="A36" t="s">
        <v>30</v>
      </c>
      <c r="B36" t="s">
        <v>38</v>
      </c>
      <c r="C36" t="s">
        <v>15</v>
      </c>
      <c r="D36">
        <v>3.5111676249447159</v>
      </c>
      <c r="E36">
        <v>6.6499999999999995</v>
      </c>
      <c r="F36">
        <v>10</v>
      </c>
      <c r="G36">
        <v>6.6499999999999995</v>
      </c>
      <c r="H36">
        <v>6.8449197860962556</v>
      </c>
      <c r="I36" t="s">
        <v>55</v>
      </c>
      <c r="K36" s="6">
        <v>45577</v>
      </c>
      <c r="L36">
        <v>45577</v>
      </c>
      <c r="M36">
        <v>1.8939568571878436</v>
      </c>
      <c r="N36">
        <v>1.8939568571878436</v>
      </c>
      <c r="O36">
        <v>1.9494710925981582</v>
      </c>
      <c r="P36">
        <v>0.52799513157063405</v>
      </c>
      <c r="Q36">
        <v>0.52799513157063405</v>
      </c>
      <c r="R36">
        <v>1.0293112460295122</v>
      </c>
      <c r="S36">
        <v>0.97152343750000003</v>
      </c>
      <c r="T36">
        <v>0.97152343750000003</v>
      </c>
      <c r="U36">
        <v>0.51295964520676718</v>
      </c>
    </row>
    <row r="37" spans="1:21" x14ac:dyDescent="0.25">
      <c r="A37" t="s">
        <v>30</v>
      </c>
      <c r="B37" t="s">
        <v>38</v>
      </c>
      <c r="C37" t="s">
        <v>14</v>
      </c>
      <c r="D37">
        <v>12.417771069086861</v>
      </c>
      <c r="E37">
        <v>19</v>
      </c>
      <c r="F37">
        <v>10</v>
      </c>
      <c r="G37">
        <v>19</v>
      </c>
      <c r="H37">
        <v>10.993315508021384</v>
      </c>
      <c r="I37" t="s">
        <v>57</v>
      </c>
      <c r="K37" s="6">
        <v>45577</v>
      </c>
      <c r="L37">
        <v>45577</v>
      </c>
      <c r="M37">
        <v>1.5300652503812959</v>
      </c>
      <c r="N37">
        <v>1.5300652503812959</v>
      </c>
      <c r="O37">
        <v>0.88528894975270112</v>
      </c>
      <c r="P37">
        <v>0.65356689837299264</v>
      </c>
      <c r="Q37">
        <v>0.65356689837299264</v>
      </c>
      <c r="R37">
        <v>0.57859555305375709</v>
      </c>
      <c r="S37">
        <v>1.7283229964733076</v>
      </c>
      <c r="T37">
        <v>1.7283229964733076</v>
      </c>
      <c r="U37">
        <v>1.1295747001917764</v>
      </c>
    </row>
    <row r="38" spans="1:21" x14ac:dyDescent="0.25">
      <c r="A38" t="s">
        <v>29</v>
      </c>
      <c r="B38" t="s">
        <v>38</v>
      </c>
      <c r="C38" t="s">
        <v>13</v>
      </c>
      <c r="D38">
        <v>14.310060866451844</v>
      </c>
      <c r="E38">
        <v>16.149999999999999</v>
      </c>
      <c r="F38">
        <v>10</v>
      </c>
      <c r="G38">
        <v>16.149999999999999</v>
      </c>
      <c r="H38">
        <v>13.390151025445141</v>
      </c>
      <c r="I38" t="s">
        <v>60</v>
      </c>
      <c r="J38">
        <v>1</v>
      </c>
      <c r="K38" s="6">
        <v>45578</v>
      </c>
      <c r="L38">
        <v>45578</v>
      </c>
      <c r="M38">
        <v>1.1285766112890312</v>
      </c>
      <c r="N38">
        <v>1.1285766112890312</v>
      </c>
      <c r="O38">
        <v>0.93571586804614393</v>
      </c>
      <c r="P38">
        <v>0.88607188027565598</v>
      </c>
      <c r="Q38">
        <v>0.88607188027565598</v>
      </c>
      <c r="R38">
        <v>0.82911151860341437</v>
      </c>
      <c r="S38">
        <v>1.2061103694282724</v>
      </c>
      <c r="T38">
        <v>1.2061103694282724</v>
      </c>
      <c r="U38">
        <v>1.0687004828592754</v>
      </c>
    </row>
    <row r="39" spans="1:21" x14ac:dyDescent="0.25">
      <c r="A39" t="s">
        <v>29</v>
      </c>
      <c r="B39" t="s">
        <v>38</v>
      </c>
      <c r="C39" t="s">
        <v>15</v>
      </c>
      <c r="D39">
        <v>5.3662728249194425</v>
      </c>
      <c r="E39">
        <v>7.6</v>
      </c>
      <c r="F39">
        <v>10</v>
      </c>
      <c r="G39">
        <v>7.6</v>
      </c>
      <c r="H39">
        <v>4.8240896358543424</v>
      </c>
      <c r="I39" t="s">
        <v>59</v>
      </c>
      <c r="J39">
        <v>1</v>
      </c>
      <c r="K39" s="6">
        <v>45578</v>
      </c>
      <c r="L39">
        <v>45578</v>
      </c>
      <c r="M39">
        <v>1.4162530024019213</v>
      </c>
      <c r="N39">
        <v>1.4162530024019213</v>
      </c>
      <c r="O39">
        <v>0.89896466192561886</v>
      </c>
      <c r="P39">
        <v>0.70608852959466351</v>
      </c>
      <c r="Q39">
        <v>0.70608852959466351</v>
      </c>
      <c r="R39">
        <v>0.63474863629662404</v>
      </c>
      <c r="S39">
        <v>1.5754267797003829</v>
      </c>
      <c r="T39">
        <v>1.5754267797003829</v>
      </c>
      <c r="U39">
        <v>1.1123907783626994</v>
      </c>
    </row>
    <row r="40" spans="1:21" x14ac:dyDescent="0.25">
      <c r="A40" t="s">
        <v>29</v>
      </c>
      <c r="B40" t="s">
        <v>38</v>
      </c>
      <c r="C40" t="s">
        <v>14</v>
      </c>
      <c r="D40">
        <v>11.626924453992126</v>
      </c>
      <c r="E40">
        <v>13.3</v>
      </c>
      <c r="F40">
        <v>10</v>
      </c>
      <c r="G40">
        <v>13.3</v>
      </c>
      <c r="H40">
        <v>7.5878905408317197</v>
      </c>
      <c r="I40" t="s">
        <v>58</v>
      </c>
      <c r="J40">
        <v>1</v>
      </c>
      <c r="K40" s="6">
        <v>45578</v>
      </c>
      <c r="L40">
        <v>45578</v>
      </c>
      <c r="M40">
        <v>1.1438966557861669</v>
      </c>
      <c r="N40">
        <v>1.1438966557861669</v>
      </c>
      <c r="O40">
        <v>0.6526137303856312</v>
      </c>
      <c r="P40">
        <v>0.87420484616482164</v>
      </c>
      <c r="Q40">
        <v>0.87420484616482164</v>
      </c>
      <c r="R40">
        <v>0.57051808577682106</v>
      </c>
      <c r="S40">
        <v>1.7527928122355554</v>
      </c>
      <c r="T40">
        <v>1.7527928122355554</v>
      </c>
      <c r="U40">
        <v>1.5322999707791887</v>
      </c>
    </row>
    <row r="41" spans="1:21" x14ac:dyDescent="0.25">
      <c r="A41" t="s">
        <v>30</v>
      </c>
      <c r="B41" t="s">
        <v>38</v>
      </c>
      <c r="C41" t="s">
        <v>13</v>
      </c>
      <c r="D41">
        <v>14.12921652156102</v>
      </c>
      <c r="E41">
        <v>16.149999999999999</v>
      </c>
      <c r="F41">
        <v>10</v>
      </c>
      <c r="G41">
        <v>16.149999999999999</v>
      </c>
      <c r="H41">
        <v>13.844607843137254</v>
      </c>
      <c r="I41" t="s">
        <v>60</v>
      </c>
      <c r="K41" s="6">
        <v>45578</v>
      </c>
      <c r="L41">
        <v>45578</v>
      </c>
      <c r="M41">
        <v>1.1430216229863337</v>
      </c>
      <c r="N41">
        <v>1.1430216229863337</v>
      </c>
      <c r="O41">
        <v>0.97985672609734187</v>
      </c>
      <c r="P41">
        <v>0.87487408802235422</v>
      </c>
      <c r="Q41">
        <v>0.87487408802235422</v>
      </c>
      <c r="R41">
        <v>0.85725125963698179</v>
      </c>
      <c r="S41">
        <v>1.1665191374853945</v>
      </c>
      <c r="T41">
        <v>1.1665191374853945</v>
      </c>
      <c r="U41">
        <v>1.0205573665681578</v>
      </c>
    </row>
    <row r="42" spans="1:21" x14ac:dyDescent="0.25">
      <c r="A42" t="s">
        <v>30</v>
      </c>
      <c r="B42" t="s">
        <v>38</v>
      </c>
      <c r="C42" t="s">
        <v>15</v>
      </c>
      <c r="D42">
        <v>3.5111676249447159</v>
      </c>
      <c r="E42">
        <v>5.6999999999999993</v>
      </c>
      <c r="F42">
        <v>10</v>
      </c>
      <c r="G42">
        <v>5.6999999999999993</v>
      </c>
      <c r="H42">
        <v>7.7290552584670227</v>
      </c>
      <c r="I42" t="s">
        <v>59</v>
      </c>
      <c r="K42" s="6">
        <v>45578</v>
      </c>
      <c r="L42">
        <v>45578</v>
      </c>
      <c r="M42">
        <v>1.6233915918752946</v>
      </c>
      <c r="N42">
        <v>1.6233915918752946</v>
      </c>
      <c r="O42">
        <v>2.2012777753920871</v>
      </c>
      <c r="P42">
        <v>0.61599432016573974</v>
      </c>
      <c r="Q42">
        <v>0.61599432016573974</v>
      </c>
      <c r="R42">
        <v>1.3559746067486007</v>
      </c>
      <c r="S42">
        <v>0.73747693726937269</v>
      </c>
      <c r="T42">
        <v>0.73747693726937269</v>
      </c>
      <c r="U42">
        <v>0.45428160461115907</v>
      </c>
    </row>
    <row r="43" spans="1:21" x14ac:dyDescent="0.25">
      <c r="A43" t="s">
        <v>30</v>
      </c>
      <c r="B43" t="s">
        <v>38</v>
      </c>
      <c r="C43" t="s">
        <v>14</v>
      </c>
      <c r="D43">
        <v>12.417771069086861</v>
      </c>
      <c r="E43">
        <v>14.25</v>
      </c>
      <c r="F43">
        <v>10</v>
      </c>
      <c r="G43">
        <v>14.25</v>
      </c>
      <c r="H43">
        <v>10.56550802139037</v>
      </c>
      <c r="I43" t="s">
        <v>58</v>
      </c>
      <c r="K43" s="6">
        <v>45578</v>
      </c>
      <c r="L43">
        <v>45578</v>
      </c>
      <c r="M43">
        <v>1.147548937785972</v>
      </c>
      <c r="N43">
        <v>1.147548937785972</v>
      </c>
      <c r="O43">
        <v>0.85083771979759193</v>
      </c>
      <c r="P43">
        <v>0.87142253116399027</v>
      </c>
      <c r="Q43">
        <v>0.87142253116399027</v>
      </c>
      <c r="R43">
        <v>0.74143915939581539</v>
      </c>
      <c r="S43">
        <v>1.3487283310135398</v>
      </c>
      <c r="T43">
        <v>1.3487283310135398</v>
      </c>
      <c r="U43">
        <v>1.1753122560644029</v>
      </c>
    </row>
    <row r="44" spans="1:21" x14ac:dyDescent="0.25">
      <c r="A44" t="s">
        <v>29</v>
      </c>
      <c r="B44" t="s">
        <v>38</v>
      </c>
      <c r="C44" t="s">
        <v>13</v>
      </c>
      <c r="D44">
        <v>14.310060866451844</v>
      </c>
      <c r="E44">
        <v>19</v>
      </c>
      <c r="F44">
        <v>10</v>
      </c>
      <c r="G44">
        <v>19</v>
      </c>
      <c r="H44">
        <v>9.2765469824293305</v>
      </c>
      <c r="I44" t="s">
        <v>61</v>
      </c>
      <c r="J44">
        <v>1</v>
      </c>
      <c r="K44" s="6">
        <v>45579</v>
      </c>
      <c r="L44">
        <v>45579</v>
      </c>
      <c r="M44">
        <v>1.3277371897518015</v>
      </c>
      <c r="N44">
        <v>1.3277371897518015</v>
      </c>
      <c r="O44">
        <v>0.64825349584480385</v>
      </c>
      <c r="P44">
        <v>0.75316109823430755</v>
      </c>
      <c r="Q44">
        <v>0.75316109823430755</v>
      </c>
      <c r="R44">
        <v>0.48823931486470162</v>
      </c>
      <c r="S44">
        <v>2.0481759038128975</v>
      </c>
      <c r="T44">
        <v>2.0481759038128975</v>
      </c>
      <c r="U44">
        <v>1.5426064130927672</v>
      </c>
    </row>
    <row r="45" spans="1:21" x14ac:dyDescent="0.25">
      <c r="A45" t="s">
        <v>29</v>
      </c>
      <c r="B45" t="s">
        <v>38</v>
      </c>
      <c r="C45" t="s">
        <v>14</v>
      </c>
      <c r="D45">
        <v>11.626924453992126</v>
      </c>
      <c r="E45">
        <v>15.2</v>
      </c>
      <c r="F45">
        <v>10</v>
      </c>
      <c r="G45">
        <v>15.2</v>
      </c>
      <c r="H45">
        <v>10.029479377958076</v>
      </c>
      <c r="I45" t="s">
        <v>63</v>
      </c>
      <c r="J45">
        <v>1</v>
      </c>
      <c r="K45" s="6">
        <v>45579</v>
      </c>
      <c r="L45">
        <v>45579</v>
      </c>
      <c r="M45">
        <v>1.3073104637556194</v>
      </c>
      <c r="N45">
        <v>1.3073104637556194</v>
      </c>
      <c r="O45">
        <v>0.86260811426485484</v>
      </c>
      <c r="P45">
        <v>0.76492924039421883</v>
      </c>
      <c r="Q45">
        <v>0.76492924039421883</v>
      </c>
      <c r="R45">
        <v>0.65983416960250496</v>
      </c>
      <c r="S45">
        <v>1.5155323050372134</v>
      </c>
      <c r="T45">
        <v>1.5155323050372134</v>
      </c>
      <c r="U45">
        <v>1.1592749748850153</v>
      </c>
    </row>
    <row r="46" spans="1:21" x14ac:dyDescent="0.25">
      <c r="A46" t="s">
        <v>29</v>
      </c>
      <c r="B46" t="s">
        <v>38</v>
      </c>
      <c r="C46" t="s">
        <v>15</v>
      </c>
      <c r="D46">
        <v>5.3662728249194425</v>
      </c>
      <c r="E46">
        <v>5.6999999999999993</v>
      </c>
      <c r="F46">
        <v>10</v>
      </c>
      <c r="G46">
        <v>5.6999999999999993</v>
      </c>
      <c r="H46">
        <v>5.7669467787114854</v>
      </c>
      <c r="I46" t="s">
        <v>62</v>
      </c>
      <c r="J46">
        <v>1</v>
      </c>
      <c r="K46" s="6">
        <v>45579</v>
      </c>
      <c r="L46">
        <v>45579</v>
      </c>
      <c r="M46">
        <v>1.0621897518014409</v>
      </c>
      <c r="N46">
        <v>1.0621897518014409</v>
      </c>
      <c r="O46">
        <v>1.0746652223739777</v>
      </c>
      <c r="P46">
        <v>0.94145137279288471</v>
      </c>
      <c r="Q46">
        <v>0.94145137279288471</v>
      </c>
      <c r="R46">
        <v>1.0117450488967519</v>
      </c>
      <c r="S46">
        <v>0.98839129590052432</v>
      </c>
      <c r="T46">
        <v>0.98839129590052432</v>
      </c>
      <c r="U46">
        <v>0.93052234238208698</v>
      </c>
    </row>
    <row r="47" spans="1:21" x14ac:dyDescent="0.25">
      <c r="A47" t="s">
        <v>30</v>
      </c>
      <c r="B47" t="s">
        <v>38</v>
      </c>
      <c r="C47" t="s">
        <v>13</v>
      </c>
      <c r="D47">
        <v>14.129216521561023</v>
      </c>
      <c r="E47">
        <v>23.75</v>
      </c>
      <c r="F47">
        <v>10</v>
      </c>
      <c r="G47">
        <v>23.75</v>
      </c>
      <c r="H47">
        <v>13.137885154061616</v>
      </c>
      <c r="I47" t="s">
        <v>61</v>
      </c>
      <c r="K47" s="6">
        <v>45579</v>
      </c>
      <c r="L47">
        <v>45579</v>
      </c>
      <c r="M47">
        <v>1.6809141514504906</v>
      </c>
      <c r="N47">
        <v>1.6809141514504906</v>
      </c>
      <c r="O47">
        <v>0.92983819265656753</v>
      </c>
      <c r="P47">
        <v>0.59491437985520101</v>
      </c>
      <c r="Q47">
        <v>0.59491437985520101</v>
      </c>
      <c r="R47">
        <v>0.55317411174996278</v>
      </c>
      <c r="S47">
        <v>1.8077490951926625</v>
      </c>
      <c r="T47">
        <v>1.8077490951926625</v>
      </c>
      <c r="U47">
        <v>1.0754559319003436</v>
      </c>
    </row>
    <row r="48" spans="1:21" x14ac:dyDescent="0.25">
      <c r="A48" t="s">
        <v>30</v>
      </c>
      <c r="B48" t="s">
        <v>38</v>
      </c>
      <c r="C48" t="s">
        <v>14</v>
      </c>
      <c r="D48">
        <v>12.417771069086861</v>
      </c>
      <c r="E48">
        <v>9.5</v>
      </c>
      <c r="F48">
        <v>10</v>
      </c>
      <c r="G48">
        <v>9.5</v>
      </c>
      <c r="H48">
        <v>10.569837025719377</v>
      </c>
      <c r="I48" t="s">
        <v>63</v>
      </c>
      <c r="K48" s="6">
        <v>45579</v>
      </c>
      <c r="L48">
        <v>45579</v>
      </c>
      <c r="M48">
        <v>0.76503262519064796</v>
      </c>
      <c r="N48">
        <v>0.76503262519064796</v>
      </c>
      <c r="O48">
        <v>0.8511863334340426</v>
      </c>
      <c r="P48">
        <v>1.3071337967459853</v>
      </c>
      <c r="Q48">
        <v>1.3071337967459853</v>
      </c>
      <c r="R48">
        <v>1.1126144237599345</v>
      </c>
      <c r="S48">
        <v>0.89878396203118716</v>
      </c>
      <c r="T48">
        <v>0.89878396203118716</v>
      </c>
      <c r="U48">
        <v>1.1748308927442253</v>
      </c>
    </row>
    <row r="49" spans="1:21" x14ac:dyDescent="0.25">
      <c r="A49" t="s">
        <v>30</v>
      </c>
      <c r="B49" t="s">
        <v>38</v>
      </c>
      <c r="C49" t="s">
        <v>15</v>
      </c>
      <c r="D49">
        <v>3.5111676249447159</v>
      </c>
      <c r="E49">
        <v>9.5</v>
      </c>
      <c r="F49">
        <v>10</v>
      </c>
      <c r="G49">
        <v>9.5</v>
      </c>
      <c r="H49">
        <v>6.7878787878787872</v>
      </c>
      <c r="I49" t="s">
        <v>62</v>
      </c>
      <c r="K49" s="6">
        <v>45579</v>
      </c>
      <c r="L49">
        <v>45579</v>
      </c>
      <c r="M49">
        <v>2.7056526531254912</v>
      </c>
      <c r="N49">
        <v>2.7056526531254912</v>
      </c>
      <c r="O49">
        <v>1.9332255001598404</v>
      </c>
      <c r="P49">
        <v>0.36959659209944379</v>
      </c>
      <c r="Q49">
        <v>0.36959659209944379</v>
      </c>
      <c r="R49">
        <v>0.71451355661881966</v>
      </c>
      <c r="S49">
        <v>1.3995535714285716</v>
      </c>
      <c r="T49">
        <v>1.3995535714285716</v>
      </c>
      <c r="U49">
        <v>0.5172702304606055</v>
      </c>
    </row>
    <row r="50" spans="1:21" x14ac:dyDescent="0.25">
      <c r="A50" t="s">
        <v>29</v>
      </c>
      <c r="B50" t="s">
        <v>38</v>
      </c>
      <c r="C50" t="s">
        <v>14</v>
      </c>
      <c r="D50">
        <v>11.626924453992126</v>
      </c>
      <c r="E50">
        <v>14.25</v>
      </c>
      <c r="F50">
        <v>10</v>
      </c>
      <c r="G50">
        <v>14.25</v>
      </c>
      <c r="H50">
        <v>11.234888438133879</v>
      </c>
      <c r="I50" t="s">
        <v>64</v>
      </c>
      <c r="J50">
        <v>1</v>
      </c>
      <c r="K50" s="6">
        <v>45580</v>
      </c>
      <c r="L50">
        <v>45580</v>
      </c>
      <c r="M50">
        <v>1.2256035597708932</v>
      </c>
      <c r="N50">
        <v>1.2256035597708932</v>
      </c>
      <c r="O50">
        <v>0.96628205357233221</v>
      </c>
      <c r="P50">
        <v>0.81592452308716679</v>
      </c>
      <c r="Q50">
        <v>0.81592452308716679</v>
      </c>
      <c r="R50">
        <v>0.78841322372869327</v>
      </c>
      <c r="S50">
        <v>1.2683704051419074</v>
      </c>
      <c r="T50">
        <v>1.2683704051419074</v>
      </c>
      <c r="U50">
        <v>1.0348945179132873</v>
      </c>
    </row>
    <row r="51" spans="1:21" x14ac:dyDescent="0.25">
      <c r="A51" t="s">
        <v>29</v>
      </c>
      <c r="B51" t="s">
        <v>38</v>
      </c>
      <c r="C51" t="s">
        <v>13</v>
      </c>
      <c r="D51">
        <v>14.310060866451844</v>
      </c>
      <c r="E51">
        <v>19</v>
      </c>
      <c r="F51">
        <v>10</v>
      </c>
      <c r="G51">
        <v>19</v>
      </c>
      <c r="H51">
        <v>11.7650114591291</v>
      </c>
      <c r="I51" t="s">
        <v>66</v>
      </c>
      <c r="J51">
        <v>1</v>
      </c>
      <c r="K51" s="6">
        <v>45580</v>
      </c>
      <c r="L51">
        <v>45580</v>
      </c>
      <c r="M51">
        <v>1.3277371897518015</v>
      </c>
      <c r="N51">
        <v>1.3277371897518015</v>
      </c>
      <c r="O51">
        <v>0.82214964484956909</v>
      </c>
      <c r="P51">
        <v>0.75316109823430755</v>
      </c>
      <c r="Q51">
        <v>0.75316109823430755</v>
      </c>
      <c r="R51">
        <v>0.6192111294278474</v>
      </c>
      <c r="S51">
        <v>1.6149580530375842</v>
      </c>
      <c r="T51">
        <v>1.6149580530375842</v>
      </c>
      <c r="U51">
        <v>1.2163235808281261</v>
      </c>
    </row>
    <row r="52" spans="1:21" x14ac:dyDescent="0.25">
      <c r="A52" t="s">
        <v>29</v>
      </c>
      <c r="B52" t="s">
        <v>38</v>
      </c>
      <c r="C52" t="s">
        <v>15</v>
      </c>
      <c r="D52">
        <v>5.3662728249194425</v>
      </c>
      <c r="E52">
        <v>6.6499999999999995</v>
      </c>
      <c r="F52">
        <v>10</v>
      </c>
      <c r="G52">
        <v>6.6499999999999995</v>
      </c>
      <c r="H52">
        <v>5.8218487394957998</v>
      </c>
      <c r="I52" t="s">
        <v>65</v>
      </c>
      <c r="J52">
        <v>1</v>
      </c>
      <c r="K52" s="6">
        <v>45580</v>
      </c>
      <c r="L52">
        <v>45580</v>
      </c>
      <c r="M52">
        <v>1.2392213771016811</v>
      </c>
      <c r="N52">
        <v>1.2392213771016811</v>
      </c>
      <c r="O52">
        <v>1.0848961522158904</v>
      </c>
      <c r="P52">
        <v>0.80695831953675834</v>
      </c>
      <c r="Q52">
        <v>0.80695831953675834</v>
      </c>
      <c r="R52">
        <v>0.87546597586403008</v>
      </c>
      <c r="S52">
        <v>1.1422488452655886</v>
      </c>
      <c r="T52">
        <v>1.1422488452655886</v>
      </c>
      <c r="U52">
        <v>0.92174720866832205</v>
      </c>
    </row>
    <row r="53" spans="1:21" x14ac:dyDescent="0.25">
      <c r="A53" t="s">
        <v>30</v>
      </c>
      <c r="B53" t="s">
        <v>38</v>
      </c>
      <c r="C53" t="s">
        <v>14</v>
      </c>
      <c r="D53">
        <v>12.417771069086861</v>
      </c>
      <c r="E53">
        <v>11.4</v>
      </c>
      <c r="F53">
        <v>10</v>
      </c>
      <c r="G53">
        <v>11.4</v>
      </c>
      <c r="H53">
        <v>10.722341057635171</v>
      </c>
      <c r="I53" t="s">
        <v>64</v>
      </c>
      <c r="K53" s="6">
        <v>45580</v>
      </c>
      <c r="L53">
        <v>45580</v>
      </c>
      <c r="M53">
        <v>0.91803915022877747</v>
      </c>
      <c r="N53">
        <v>0.91803915022877747</v>
      </c>
      <c r="O53">
        <v>0.86346744500127404</v>
      </c>
      <c r="P53">
        <v>1.089278163954988</v>
      </c>
      <c r="Q53">
        <v>1.089278163954988</v>
      </c>
      <c r="R53">
        <v>0.94055623312589232</v>
      </c>
      <c r="S53">
        <v>1.0632006516787935</v>
      </c>
      <c r="T53">
        <v>1.0632006516787935</v>
      </c>
      <c r="U53">
        <v>1.1581212537764229</v>
      </c>
    </row>
    <row r="54" spans="1:21" x14ac:dyDescent="0.25">
      <c r="A54" t="s">
        <v>30</v>
      </c>
      <c r="B54" t="s">
        <v>38</v>
      </c>
      <c r="C54" t="s">
        <v>13</v>
      </c>
      <c r="D54">
        <v>14.129216521561023</v>
      </c>
      <c r="E54">
        <v>20.9</v>
      </c>
      <c r="F54">
        <v>10</v>
      </c>
      <c r="G54">
        <v>20.9</v>
      </c>
      <c r="H54">
        <v>11.1740522875817</v>
      </c>
      <c r="I54" t="s">
        <v>66</v>
      </c>
      <c r="K54" s="6">
        <v>45580</v>
      </c>
      <c r="L54">
        <v>45580</v>
      </c>
      <c r="M54">
        <v>1.4792044532764317</v>
      </c>
      <c r="N54">
        <v>1.4792044532764317</v>
      </c>
      <c r="O54">
        <v>0.79084726817868667</v>
      </c>
      <c r="P54">
        <v>0.67603906801727387</v>
      </c>
      <c r="Q54">
        <v>0.67603906801727387</v>
      </c>
      <c r="R54">
        <v>0.53464365012352633</v>
      </c>
      <c r="S54">
        <v>1.8704047074513195</v>
      </c>
      <c r="T54">
        <v>1.8704047074513195</v>
      </c>
      <c r="U54">
        <v>1.2644666552405119</v>
      </c>
    </row>
    <row r="55" spans="1:21" x14ac:dyDescent="0.25">
      <c r="A55" t="s">
        <v>30</v>
      </c>
      <c r="B55" t="s">
        <v>38</v>
      </c>
      <c r="C55" t="s">
        <v>15</v>
      </c>
      <c r="D55">
        <v>3.5111676249447159</v>
      </c>
      <c r="E55">
        <v>7.6</v>
      </c>
      <c r="F55">
        <v>10</v>
      </c>
      <c r="G55">
        <v>7.6</v>
      </c>
      <c r="H55">
        <v>6.8163992869875214</v>
      </c>
      <c r="I55" t="s">
        <v>65</v>
      </c>
      <c r="K55" s="6">
        <v>45580</v>
      </c>
      <c r="L55">
        <v>45580</v>
      </c>
      <c r="M55">
        <v>2.1645221225003928</v>
      </c>
      <c r="N55">
        <v>2.1645221225003928</v>
      </c>
      <c r="O55">
        <v>1.9413482963789992</v>
      </c>
      <c r="P55">
        <v>0.46199574012430472</v>
      </c>
      <c r="Q55">
        <v>0.46199574012430472</v>
      </c>
      <c r="R55">
        <v>0.89689464302467392</v>
      </c>
      <c r="S55">
        <v>1.114958158995816</v>
      </c>
      <c r="T55">
        <v>1.114958158995816</v>
      </c>
      <c r="U55">
        <v>0.51510591987290422</v>
      </c>
    </row>
    <row r="56" spans="1:21" x14ac:dyDescent="0.25">
      <c r="A56" t="s">
        <v>29</v>
      </c>
      <c r="B56" t="s">
        <v>38</v>
      </c>
      <c r="C56" t="s">
        <v>13</v>
      </c>
      <c r="D56">
        <v>14.310060866451844</v>
      </c>
      <c r="E56">
        <v>18.05</v>
      </c>
      <c r="F56">
        <v>10</v>
      </c>
      <c r="G56">
        <v>18.05</v>
      </c>
      <c r="H56">
        <v>9.8826585179526294</v>
      </c>
      <c r="I56" t="s">
        <v>69</v>
      </c>
      <c r="J56">
        <v>1</v>
      </c>
      <c r="K56" s="6">
        <v>45581</v>
      </c>
      <c r="L56">
        <v>45581</v>
      </c>
      <c r="M56">
        <v>1.2613503302642115</v>
      </c>
      <c r="N56">
        <v>1.2613503302642115</v>
      </c>
      <c r="O56">
        <v>0.69060911831069094</v>
      </c>
      <c r="P56">
        <v>0.79280115603611323</v>
      </c>
      <c r="Q56">
        <v>0.79280115603611323</v>
      </c>
      <c r="R56">
        <v>0.54751570736579658</v>
      </c>
      <c r="S56">
        <v>1.8264316193067636</v>
      </c>
      <c r="T56">
        <v>1.8264316193067636</v>
      </c>
      <c r="U56">
        <v>1.4479970992073123</v>
      </c>
    </row>
    <row r="57" spans="1:21" x14ac:dyDescent="0.25">
      <c r="A57" t="s">
        <v>29</v>
      </c>
      <c r="B57" t="s">
        <v>38</v>
      </c>
      <c r="C57" t="s">
        <v>15</v>
      </c>
      <c r="D57">
        <v>5.3662728249194425</v>
      </c>
      <c r="E57">
        <v>6.6499999999999995</v>
      </c>
      <c r="F57">
        <v>10</v>
      </c>
      <c r="G57">
        <v>6.6499999999999995</v>
      </c>
      <c r="H57">
        <v>4.8515406162465</v>
      </c>
      <c r="I57" t="s">
        <v>68</v>
      </c>
      <c r="J57">
        <v>1</v>
      </c>
      <c r="K57" s="6">
        <v>45581</v>
      </c>
      <c r="L57">
        <v>45581</v>
      </c>
      <c r="M57">
        <v>1.2392213771016811</v>
      </c>
      <c r="N57">
        <v>1.2392213771016811</v>
      </c>
      <c r="O57">
        <v>0.90408012684657535</v>
      </c>
      <c r="P57">
        <v>0.80695831953675834</v>
      </c>
      <c r="Q57">
        <v>0.80695831953675834</v>
      </c>
      <c r="R57">
        <v>0.72955497988669182</v>
      </c>
      <c r="S57">
        <v>1.3706986143187061</v>
      </c>
      <c r="T57">
        <v>1.3706986143187061</v>
      </c>
      <c r="U57">
        <v>1.1060966504019865</v>
      </c>
    </row>
    <row r="58" spans="1:21" x14ac:dyDescent="0.25">
      <c r="A58" t="s">
        <v>29</v>
      </c>
      <c r="B58" t="s">
        <v>38</v>
      </c>
      <c r="C58" t="s">
        <v>14</v>
      </c>
      <c r="D58">
        <v>11.626924453992125</v>
      </c>
      <c r="E58">
        <v>14.25</v>
      </c>
      <c r="F58">
        <v>10</v>
      </c>
      <c r="G58">
        <v>14.25</v>
      </c>
      <c r="H58">
        <v>10.236646382691006</v>
      </c>
      <c r="I58" t="s">
        <v>67</v>
      </c>
      <c r="J58">
        <v>1</v>
      </c>
      <c r="K58" s="6">
        <v>45581</v>
      </c>
      <c r="L58">
        <v>45581</v>
      </c>
      <c r="M58">
        <v>1.2256035597708934</v>
      </c>
      <c r="N58">
        <v>1.2256035597708934</v>
      </c>
      <c r="O58">
        <v>0.88042598222750434</v>
      </c>
      <c r="P58">
        <v>0.81592452308716668</v>
      </c>
      <c r="Q58">
        <v>0.81592452308716668</v>
      </c>
      <c r="R58">
        <v>0.71836114966252673</v>
      </c>
      <c r="S58">
        <v>1.3920574636723912</v>
      </c>
      <c r="T58">
        <v>1.3920574636723912</v>
      </c>
      <c r="U58">
        <v>1.1358138221568266</v>
      </c>
    </row>
    <row r="59" spans="1:21" x14ac:dyDescent="0.25">
      <c r="A59" t="s">
        <v>30</v>
      </c>
      <c r="B59" t="s">
        <v>38</v>
      </c>
      <c r="C59" t="s">
        <v>13</v>
      </c>
      <c r="D59">
        <v>14.129216521561023</v>
      </c>
      <c r="E59">
        <v>21.85</v>
      </c>
      <c r="F59">
        <v>10</v>
      </c>
      <c r="G59">
        <v>21.85</v>
      </c>
      <c r="H59">
        <v>12.2953283945157</v>
      </c>
      <c r="I59" t="s">
        <v>69</v>
      </c>
      <c r="K59" s="6">
        <v>45581</v>
      </c>
      <c r="L59">
        <v>45581</v>
      </c>
      <c r="M59">
        <v>1.5464410193344511</v>
      </c>
      <c r="N59">
        <v>1.5464410193344511</v>
      </c>
      <c r="O59">
        <v>0.87020595768726239</v>
      </c>
      <c r="P59">
        <v>0.64664606506000111</v>
      </c>
      <c r="Q59">
        <v>0.64664606506000111</v>
      </c>
      <c r="R59">
        <v>0.56271525833023806</v>
      </c>
      <c r="S59">
        <v>1.7770977154010896</v>
      </c>
      <c r="T59">
        <v>1.7770977154010896</v>
      </c>
      <c r="U59">
        <v>1.1491532448912325</v>
      </c>
    </row>
    <row r="60" spans="1:21" x14ac:dyDescent="0.25">
      <c r="A60" t="s">
        <v>30</v>
      </c>
      <c r="B60" t="s">
        <v>38</v>
      </c>
      <c r="C60" t="s">
        <v>15</v>
      </c>
      <c r="D60">
        <v>3.5111676249447159</v>
      </c>
      <c r="E60">
        <v>5.6999999999999993</v>
      </c>
      <c r="F60">
        <v>10</v>
      </c>
      <c r="G60">
        <v>5.6999999999999993</v>
      </c>
      <c r="H60">
        <v>6.7880664227413456</v>
      </c>
      <c r="I60" t="s">
        <v>68</v>
      </c>
      <c r="K60" s="6">
        <v>45581</v>
      </c>
      <c r="L60">
        <v>45581</v>
      </c>
      <c r="M60">
        <v>1.6233915918752946</v>
      </c>
      <c r="N60">
        <v>1.6233915918752946</v>
      </c>
      <c r="O60">
        <v>1.9332789396086509</v>
      </c>
      <c r="P60">
        <v>0.61599432016573974</v>
      </c>
      <c r="Q60">
        <v>0.61599432016573974</v>
      </c>
      <c r="R60">
        <v>1.1908888460949731</v>
      </c>
      <c r="S60">
        <v>0.83970893108881317</v>
      </c>
      <c r="T60">
        <v>0.83970893108881317</v>
      </c>
      <c r="U60">
        <v>0.51725593214315346</v>
      </c>
    </row>
    <row r="61" spans="1:21" x14ac:dyDescent="0.25">
      <c r="A61" t="s">
        <v>30</v>
      </c>
      <c r="B61" t="s">
        <v>38</v>
      </c>
      <c r="C61" t="s">
        <v>14</v>
      </c>
      <c r="D61">
        <v>12.417771069086861</v>
      </c>
      <c r="E61">
        <v>11.4</v>
      </c>
      <c r="F61">
        <v>10</v>
      </c>
      <c r="G61">
        <v>11.4</v>
      </c>
      <c r="H61">
        <v>10.519210794365591</v>
      </c>
      <c r="I61" t="s">
        <v>67</v>
      </c>
      <c r="K61" s="6">
        <v>45581</v>
      </c>
      <c r="L61">
        <v>45581</v>
      </c>
      <c r="M61">
        <v>0.91803915022877747</v>
      </c>
      <c r="N61">
        <v>0.91803915022877747</v>
      </c>
      <c r="O61">
        <v>0.84710941567866416</v>
      </c>
      <c r="P61">
        <v>1.089278163954988</v>
      </c>
      <c r="Q61">
        <v>1.089278163954988</v>
      </c>
      <c r="R61">
        <v>0.92273778897943792</v>
      </c>
      <c r="S61">
        <v>1.0837314911596014</v>
      </c>
      <c r="T61">
        <v>1.0837314911596014</v>
      </c>
      <c r="U61">
        <v>1.1804850489105321</v>
      </c>
    </row>
    <row r="62" spans="1:21" x14ac:dyDescent="0.25">
      <c r="A62" t="s">
        <v>29</v>
      </c>
      <c r="B62" t="s">
        <v>38</v>
      </c>
      <c r="C62" t="s">
        <v>15</v>
      </c>
      <c r="D62">
        <v>5.3662728249194425</v>
      </c>
      <c r="E62">
        <v>6.6499999999999995</v>
      </c>
      <c r="F62">
        <v>10</v>
      </c>
      <c r="G62">
        <v>6.6499999999999995</v>
      </c>
      <c r="H62">
        <v>5.7943977591036422</v>
      </c>
      <c r="I62" t="s">
        <v>70</v>
      </c>
      <c r="J62">
        <v>1</v>
      </c>
      <c r="K62" s="6">
        <v>45582</v>
      </c>
      <c r="L62">
        <v>45582</v>
      </c>
      <c r="M62">
        <v>1.2392213771016811</v>
      </c>
      <c r="N62">
        <v>1.2392213771016811</v>
      </c>
      <c r="O62">
        <v>1.0797806872949338</v>
      </c>
      <c r="P62">
        <v>0.80695831953675834</v>
      </c>
      <c r="Q62">
        <v>0.80695831953675834</v>
      </c>
      <c r="R62">
        <v>0.8713380088877658</v>
      </c>
      <c r="S62">
        <v>1.1476602533114182</v>
      </c>
      <c r="T62">
        <v>1.1476602533114182</v>
      </c>
      <c r="U62">
        <v>0.9261139894113124</v>
      </c>
    </row>
    <row r="63" spans="1:21" x14ac:dyDescent="0.25">
      <c r="A63" t="s">
        <v>29</v>
      </c>
      <c r="B63" t="s">
        <v>38</v>
      </c>
      <c r="C63" t="s">
        <v>13</v>
      </c>
      <c r="D63">
        <v>14.310060866451844</v>
      </c>
      <c r="E63">
        <v>17.099999999999998</v>
      </c>
      <c r="F63">
        <v>10</v>
      </c>
      <c r="G63">
        <v>17.099999999999998</v>
      </c>
      <c r="H63">
        <v>12.961613971101633</v>
      </c>
      <c r="I63" t="s">
        <v>72</v>
      </c>
      <c r="J63">
        <v>1</v>
      </c>
      <c r="K63" s="6">
        <v>45582</v>
      </c>
      <c r="L63">
        <v>45582</v>
      </c>
      <c r="M63">
        <v>1.1949634707766212</v>
      </c>
      <c r="N63">
        <v>1.1949634707766212</v>
      </c>
      <c r="O63">
        <v>0.90576931098095625</v>
      </c>
      <c r="P63">
        <v>0.83684566470478627</v>
      </c>
      <c r="Q63">
        <v>0.83684566470478627</v>
      </c>
      <c r="R63">
        <v>0.75798912111705463</v>
      </c>
      <c r="S63">
        <v>1.3192801481455196</v>
      </c>
      <c r="T63">
        <v>1.3192801481455196</v>
      </c>
      <c r="U63">
        <v>1.1040338725066663</v>
      </c>
    </row>
    <row r="64" spans="1:21" x14ac:dyDescent="0.25">
      <c r="A64" t="s">
        <v>29</v>
      </c>
      <c r="B64" t="s">
        <v>38</v>
      </c>
      <c r="C64" t="s">
        <v>14</v>
      </c>
      <c r="D64">
        <v>11.626924453992126</v>
      </c>
      <c r="E64">
        <v>14.25</v>
      </c>
      <c r="F64">
        <v>10</v>
      </c>
      <c r="G64">
        <v>14.25</v>
      </c>
      <c r="H64">
        <v>11.010839931078101</v>
      </c>
      <c r="I64" t="s">
        <v>71</v>
      </c>
      <c r="J64">
        <v>1</v>
      </c>
      <c r="K64" s="6">
        <v>45582</v>
      </c>
      <c r="L64">
        <v>45582</v>
      </c>
      <c r="M64">
        <v>1.2256035597708932</v>
      </c>
      <c r="N64">
        <v>1.2256035597708932</v>
      </c>
      <c r="O64">
        <v>0.94701225372609243</v>
      </c>
      <c r="P64">
        <v>0.81592452308716679</v>
      </c>
      <c r="Q64">
        <v>0.81592452308716679</v>
      </c>
      <c r="R64">
        <v>0.77269052147916495</v>
      </c>
      <c r="S64">
        <v>1.2941791987893103</v>
      </c>
      <c r="T64">
        <v>1.2941791987893103</v>
      </c>
      <c r="U64">
        <v>1.0559525455614995</v>
      </c>
    </row>
    <row r="65" spans="1:21" x14ac:dyDescent="0.25">
      <c r="A65" t="s">
        <v>30</v>
      </c>
      <c r="B65" t="s">
        <v>38</v>
      </c>
      <c r="C65" t="s">
        <v>15</v>
      </c>
      <c r="D65">
        <v>3.5111676249447159</v>
      </c>
      <c r="E65">
        <v>5.6999999999999993</v>
      </c>
      <c r="F65">
        <v>10</v>
      </c>
      <c r="G65">
        <v>5.6999999999999993</v>
      </c>
      <c r="H65">
        <v>7.7290552584670227</v>
      </c>
      <c r="I65" t="s">
        <v>70</v>
      </c>
      <c r="K65" s="6">
        <v>45582</v>
      </c>
      <c r="L65">
        <v>45582</v>
      </c>
      <c r="M65">
        <v>1.6233915918752946</v>
      </c>
      <c r="N65">
        <v>1.6233915918752946</v>
      </c>
      <c r="O65">
        <v>2.2012777753920871</v>
      </c>
      <c r="P65">
        <v>0.61599432016573974</v>
      </c>
      <c r="Q65">
        <v>0.61599432016573974</v>
      </c>
      <c r="R65">
        <v>1.3559746067486007</v>
      </c>
      <c r="S65">
        <v>0.73747693726937269</v>
      </c>
      <c r="T65">
        <v>0.73747693726937269</v>
      </c>
      <c r="U65">
        <v>0.45428160461115907</v>
      </c>
    </row>
    <row r="66" spans="1:21" x14ac:dyDescent="0.25">
      <c r="A66" t="s">
        <v>30</v>
      </c>
      <c r="B66" t="s">
        <v>38</v>
      </c>
      <c r="C66" t="s">
        <v>13</v>
      </c>
      <c r="D66">
        <v>14.12921652156102</v>
      </c>
      <c r="E66">
        <v>16.149999999999999</v>
      </c>
      <c r="F66">
        <v>10</v>
      </c>
      <c r="G66">
        <v>16.149999999999999</v>
      </c>
      <c r="H66">
        <v>13.835679271708679</v>
      </c>
      <c r="I66" t="s">
        <v>72</v>
      </c>
      <c r="K66" s="6">
        <v>45582</v>
      </c>
      <c r="L66">
        <v>45582</v>
      </c>
      <c r="M66">
        <v>1.1430216229863337</v>
      </c>
      <c r="N66">
        <v>1.1430216229863337</v>
      </c>
      <c r="O66">
        <v>0.97922480348401442</v>
      </c>
      <c r="P66">
        <v>0.87487408802235422</v>
      </c>
      <c r="Q66">
        <v>0.87487408802235422</v>
      </c>
      <c r="R66">
        <v>0.85669840691694621</v>
      </c>
      <c r="S66">
        <v>1.1672719266500824</v>
      </c>
      <c r="T66">
        <v>1.1672719266500824</v>
      </c>
      <c r="U66">
        <v>1.0212159623020871</v>
      </c>
    </row>
    <row r="67" spans="1:21" x14ac:dyDescent="0.25">
      <c r="A67" t="s">
        <v>30</v>
      </c>
      <c r="B67" t="s">
        <v>38</v>
      </c>
      <c r="C67" t="s">
        <v>14</v>
      </c>
      <c r="D67">
        <v>12.417771069086861</v>
      </c>
      <c r="E67">
        <v>13.3</v>
      </c>
      <c r="F67">
        <v>10</v>
      </c>
      <c r="G67">
        <v>13.3</v>
      </c>
      <c r="H67">
        <v>10.513018843901197</v>
      </c>
      <c r="I67" t="s">
        <v>71</v>
      </c>
      <c r="K67" s="6">
        <v>45582</v>
      </c>
      <c r="L67">
        <v>45582</v>
      </c>
      <c r="M67">
        <v>1.0710456752669071</v>
      </c>
      <c r="N67">
        <v>1.0710456752669071</v>
      </c>
      <c r="O67">
        <v>0.84661077945562979</v>
      </c>
      <c r="P67">
        <v>0.93366699767570394</v>
      </c>
      <c r="Q67">
        <v>0.93366699767570394</v>
      </c>
      <c r="R67">
        <v>0.79045254465422543</v>
      </c>
      <c r="S67">
        <v>1.2650980843352699</v>
      </c>
      <c r="T67">
        <v>1.2650980843352699</v>
      </c>
      <c r="U67">
        <v>1.181180330166596</v>
      </c>
    </row>
    <row r="68" spans="1:21" x14ac:dyDescent="0.25">
      <c r="A68" t="s">
        <v>29</v>
      </c>
      <c r="B68" t="s">
        <v>38</v>
      </c>
      <c r="C68" t="s">
        <v>13</v>
      </c>
      <c r="D68">
        <v>14.310060866451844</v>
      </c>
      <c r="E68">
        <v>17.099999999999998</v>
      </c>
      <c r="F68">
        <v>10</v>
      </c>
      <c r="G68">
        <v>17.099999999999998</v>
      </c>
      <c r="H68">
        <v>13.219556913674561</v>
      </c>
      <c r="I68" t="s">
        <v>73</v>
      </c>
      <c r="J68">
        <v>1</v>
      </c>
      <c r="K68" s="6">
        <v>45583</v>
      </c>
      <c r="L68">
        <v>45583</v>
      </c>
      <c r="M68">
        <v>1.1949634707766212</v>
      </c>
      <c r="N68">
        <v>1.1949634707766212</v>
      </c>
      <c r="O68">
        <v>0.92379459717506629</v>
      </c>
      <c r="P68">
        <v>0.83684566470478627</v>
      </c>
      <c r="Q68">
        <v>0.83684566470478627</v>
      </c>
      <c r="R68">
        <v>0.77307350372365857</v>
      </c>
      <c r="S68">
        <v>1.2935380596842421</v>
      </c>
      <c r="T68">
        <v>1.2935380596842421</v>
      </c>
      <c r="U68">
        <v>1.0824917173773989</v>
      </c>
    </row>
    <row r="69" spans="1:21" x14ac:dyDescent="0.25">
      <c r="A69" t="s">
        <v>29</v>
      </c>
      <c r="B69" t="s">
        <v>38</v>
      </c>
      <c r="C69" t="s">
        <v>15</v>
      </c>
      <c r="D69">
        <v>5.3662728249194425</v>
      </c>
      <c r="E69">
        <v>5.6999999999999993</v>
      </c>
      <c r="F69">
        <v>10</v>
      </c>
      <c r="G69">
        <v>5.6999999999999993</v>
      </c>
      <c r="H69">
        <v>5.7943977591036422</v>
      </c>
      <c r="I69" t="s">
        <v>74</v>
      </c>
      <c r="J69">
        <v>1</v>
      </c>
      <c r="K69" s="6">
        <v>45583</v>
      </c>
      <c r="L69">
        <v>45583</v>
      </c>
      <c r="M69">
        <v>1.0621897518014409</v>
      </c>
      <c r="N69">
        <v>1.0621897518014409</v>
      </c>
      <c r="O69">
        <v>1.0797806872949338</v>
      </c>
      <c r="P69">
        <v>0.94145137279288471</v>
      </c>
      <c r="Q69">
        <v>0.94145137279288471</v>
      </c>
      <c r="R69">
        <v>1.0165610103690601</v>
      </c>
      <c r="S69">
        <v>0.9837087885526441</v>
      </c>
      <c r="T69">
        <v>0.9837087885526441</v>
      </c>
      <c r="U69">
        <v>0.9261139894113124</v>
      </c>
    </row>
    <row r="70" spans="1:21" x14ac:dyDescent="0.25">
      <c r="A70" t="s">
        <v>29</v>
      </c>
      <c r="B70" t="s">
        <v>38</v>
      </c>
      <c r="C70" t="s">
        <v>14</v>
      </c>
      <c r="D70">
        <v>11.626924453992125</v>
      </c>
      <c r="E70">
        <v>14.25</v>
      </c>
      <c r="F70">
        <v>10</v>
      </c>
      <c r="G70">
        <v>14.25</v>
      </c>
      <c r="H70">
        <v>10.301555104800537</v>
      </c>
      <c r="I70" t="s">
        <v>75</v>
      </c>
      <c r="J70">
        <v>1</v>
      </c>
      <c r="K70" s="6">
        <v>45583</v>
      </c>
      <c r="L70">
        <v>45583</v>
      </c>
      <c r="M70">
        <v>1.2256035597708934</v>
      </c>
      <c r="N70">
        <v>1.2256035597708934</v>
      </c>
      <c r="O70">
        <v>0.8860086040434777</v>
      </c>
      <c r="P70">
        <v>0.81592452308716668</v>
      </c>
      <c r="Q70">
        <v>0.81592452308716668</v>
      </c>
      <c r="R70">
        <v>0.72291614770530077</v>
      </c>
      <c r="S70">
        <v>1.3832862956156478</v>
      </c>
      <c r="T70">
        <v>1.3832862956156478</v>
      </c>
      <c r="U70">
        <v>1.1286572110432107</v>
      </c>
    </row>
    <row r="71" spans="1:21" x14ac:dyDescent="0.25">
      <c r="A71" t="s">
        <v>30</v>
      </c>
      <c r="B71" t="s">
        <v>38</v>
      </c>
      <c r="C71" t="s">
        <v>13</v>
      </c>
      <c r="D71">
        <v>14.129216521561023</v>
      </c>
      <c r="E71">
        <v>22.799999999999997</v>
      </c>
      <c r="F71">
        <v>10</v>
      </c>
      <c r="G71">
        <v>22.799999999999997</v>
      </c>
      <c r="H71">
        <v>12.071813725490191</v>
      </c>
      <c r="I71" t="s">
        <v>73</v>
      </c>
      <c r="K71" s="6">
        <v>45583</v>
      </c>
      <c r="L71">
        <v>45583</v>
      </c>
      <c r="M71">
        <v>1.6136775853924707</v>
      </c>
      <c r="N71">
        <v>1.6136775853924707</v>
      </c>
      <c r="O71">
        <v>0.85438663262529391</v>
      </c>
      <c r="P71">
        <v>0.61970247901583442</v>
      </c>
      <c r="Q71">
        <v>0.61970247901583442</v>
      </c>
      <c r="R71">
        <v>0.52946551427588562</v>
      </c>
      <c r="S71">
        <v>1.8886971351998869</v>
      </c>
      <c r="T71">
        <v>1.8886971351998869</v>
      </c>
      <c r="U71">
        <v>1.1704302967934745</v>
      </c>
    </row>
    <row r="72" spans="1:21" x14ac:dyDescent="0.25">
      <c r="A72" t="s">
        <v>30</v>
      </c>
      <c r="B72" t="s">
        <v>38</v>
      </c>
      <c r="C72" t="s">
        <v>15</v>
      </c>
      <c r="D72">
        <v>3.5111676249447159</v>
      </c>
      <c r="E72">
        <v>7.6</v>
      </c>
      <c r="F72">
        <v>10</v>
      </c>
      <c r="G72">
        <v>7.6</v>
      </c>
      <c r="H72">
        <v>6.8163992869875214</v>
      </c>
      <c r="I72" t="s">
        <v>74</v>
      </c>
      <c r="K72" s="6">
        <v>45583</v>
      </c>
      <c r="L72">
        <v>45583</v>
      </c>
      <c r="M72">
        <v>2.1645221225003928</v>
      </c>
      <c r="N72">
        <v>2.1645221225003928</v>
      </c>
      <c r="O72">
        <v>1.9413482963789992</v>
      </c>
      <c r="P72">
        <v>0.46199574012430472</v>
      </c>
      <c r="Q72">
        <v>0.46199574012430472</v>
      </c>
      <c r="R72">
        <v>0.89689464302467392</v>
      </c>
      <c r="S72">
        <v>1.114958158995816</v>
      </c>
      <c r="T72">
        <v>1.114958158995816</v>
      </c>
      <c r="U72">
        <v>0.51510591987290422</v>
      </c>
    </row>
    <row r="73" spans="1:21" x14ac:dyDescent="0.25">
      <c r="A73" t="s">
        <v>30</v>
      </c>
      <c r="B73" t="s">
        <v>38</v>
      </c>
      <c r="C73" t="s">
        <v>14</v>
      </c>
      <c r="D73">
        <v>12.417771069086861</v>
      </c>
      <c r="E73">
        <v>11.4</v>
      </c>
      <c r="F73">
        <v>10</v>
      </c>
      <c r="G73">
        <v>11.4</v>
      </c>
      <c r="H73">
        <v>10.722593582887695</v>
      </c>
      <c r="I73" t="s">
        <v>75</v>
      </c>
      <c r="K73" s="6">
        <v>45583</v>
      </c>
      <c r="L73">
        <v>45583</v>
      </c>
      <c r="M73">
        <v>0.91803915022877747</v>
      </c>
      <c r="N73">
        <v>0.91803915022877747</v>
      </c>
      <c r="O73">
        <v>0.86348778079673361</v>
      </c>
      <c r="P73">
        <v>1.089278163954988</v>
      </c>
      <c r="Q73">
        <v>1.089278163954988</v>
      </c>
      <c r="R73">
        <v>0.94057838446383302</v>
      </c>
      <c r="S73">
        <v>1.0631756124929872</v>
      </c>
      <c r="T73">
        <v>1.0631756124929872</v>
      </c>
      <c r="U73">
        <v>1.1580939791380807</v>
      </c>
    </row>
    <row r="74" spans="1:21" x14ac:dyDescent="0.25">
      <c r="A74" t="s">
        <v>29</v>
      </c>
      <c r="B74" t="s">
        <v>38</v>
      </c>
      <c r="C74" t="s">
        <v>13</v>
      </c>
      <c r="D74">
        <v>14.310060866451844</v>
      </c>
      <c r="E74">
        <v>18.05</v>
      </c>
      <c r="F74">
        <v>10</v>
      </c>
      <c r="G74">
        <v>18.05</v>
      </c>
      <c r="H74">
        <v>13.935477731762557</v>
      </c>
      <c r="I74" t="s">
        <v>78</v>
      </c>
      <c r="J74">
        <v>1</v>
      </c>
      <c r="K74" s="6">
        <v>45584</v>
      </c>
      <c r="L74">
        <v>45584</v>
      </c>
      <c r="M74">
        <v>1.2613503302642115</v>
      </c>
      <c r="N74">
        <v>1.2613503302642115</v>
      </c>
      <c r="O74">
        <v>0.97382379165364352</v>
      </c>
      <c r="P74">
        <v>0.79280115603611323</v>
      </c>
      <c r="Q74">
        <v>0.79280115603611323</v>
      </c>
      <c r="R74">
        <v>0.7720486277984796</v>
      </c>
      <c r="S74">
        <v>1.2952552002475943</v>
      </c>
      <c r="T74">
        <v>1.2952552002475943</v>
      </c>
      <c r="U74">
        <v>1.02687982011808</v>
      </c>
    </row>
    <row r="75" spans="1:21" x14ac:dyDescent="0.25">
      <c r="A75" t="s">
        <v>29</v>
      </c>
      <c r="B75" t="s">
        <v>38</v>
      </c>
      <c r="C75" t="s">
        <v>15</v>
      </c>
      <c r="D75">
        <v>5.3662728249194425</v>
      </c>
      <c r="E75">
        <v>7.6</v>
      </c>
      <c r="F75">
        <v>10</v>
      </c>
      <c r="G75">
        <v>7.6</v>
      </c>
      <c r="H75">
        <v>5.8218487394957998</v>
      </c>
      <c r="I75" t="s">
        <v>77</v>
      </c>
      <c r="J75">
        <v>1</v>
      </c>
      <c r="K75" s="6">
        <v>45584</v>
      </c>
      <c r="L75">
        <v>45584</v>
      </c>
      <c r="M75">
        <v>1.4162530024019213</v>
      </c>
      <c r="N75">
        <v>1.4162530024019213</v>
      </c>
      <c r="O75">
        <v>1.0848961522158904</v>
      </c>
      <c r="P75">
        <v>0.70608852959466351</v>
      </c>
      <c r="Q75">
        <v>0.70608852959466351</v>
      </c>
      <c r="R75">
        <v>0.76603272888102636</v>
      </c>
      <c r="S75">
        <v>1.3054272517321013</v>
      </c>
      <c r="T75">
        <v>1.3054272517321013</v>
      </c>
      <c r="U75">
        <v>0.92174720866832205</v>
      </c>
    </row>
    <row r="76" spans="1:21" x14ac:dyDescent="0.25">
      <c r="A76" t="s">
        <v>29</v>
      </c>
      <c r="B76" t="s">
        <v>38</v>
      </c>
      <c r="C76" t="s">
        <v>14</v>
      </c>
      <c r="D76">
        <v>11.626924453992126</v>
      </c>
      <c r="E76">
        <v>17.099999999999998</v>
      </c>
      <c r="F76">
        <v>10</v>
      </c>
      <c r="G76">
        <v>17.099999999999998</v>
      </c>
      <c r="H76">
        <v>10.454702679619944</v>
      </c>
      <c r="I76" t="s">
        <v>76</v>
      </c>
      <c r="J76">
        <v>1</v>
      </c>
      <c r="K76" s="6">
        <v>45584</v>
      </c>
      <c r="L76">
        <v>45584</v>
      </c>
      <c r="M76">
        <v>1.4707242717250717</v>
      </c>
      <c r="N76">
        <v>1.4707242717250717</v>
      </c>
      <c r="O76">
        <v>0.89918040845533331</v>
      </c>
      <c r="P76">
        <v>0.67993710257263906</v>
      </c>
      <c r="Q76">
        <v>0.67993710257263906</v>
      </c>
      <c r="R76">
        <v>0.61138612161520145</v>
      </c>
      <c r="S76">
        <v>1.6356275758405048</v>
      </c>
      <c r="T76">
        <v>1.6356275758405048</v>
      </c>
      <c r="U76">
        <v>1.1121238748049023</v>
      </c>
    </row>
    <row r="77" spans="1:21" x14ac:dyDescent="0.25">
      <c r="A77" t="s">
        <v>30</v>
      </c>
      <c r="B77" t="s">
        <v>38</v>
      </c>
      <c r="C77" t="s">
        <v>13</v>
      </c>
      <c r="D77">
        <v>14.12921652156102</v>
      </c>
      <c r="E77">
        <v>18.05</v>
      </c>
      <c r="F77">
        <v>10</v>
      </c>
      <c r="G77">
        <v>18.05</v>
      </c>
      <c r="H77">
        <v>13.844607843137254</v>
      </c>
      <c r="I77" t="s">
        <v>78</v>
      </c>
      <c r="K77" s="6">
        <v>45584</v>
      </c>
      <c r="L77">
        <v>45584</v>
      </c>
      <c r="M77">
        <v>1.2774947551023732</v>
      </c>
      <c r="N77">
        <v>1.2774947551023732</v>
      </c>
      <c r="O77">
        <v>0.97985672609734187</v>
      </c>
      <c r="P77">
        <v>0.78278207875684314</v>
      </c>
      <c r="Q77">
        <v>0.78278207875684314</v>
      </c>
      <c r="R77">
        <v>0.767014284938352</v>
      </c>
      <c r="S77">
        <v>1.3037566830719118</v>
      </c>
      <c r="T77">
        <v>1.3037566830719118</v>
      </c>
      <c r="U77">
        <v>1.0205573665681578</v>
      </c>
    </row>
    <row r="78" spans="1:21" x14ac:dyDescent="0.25">
      <c r="A78" t="s">
        <v>30</v>
      </c>
      <c r="B78" t="s">
        <v>38</v>
      </c>
      <c r="C78" t="s">
        <v>15</v>
      </c>
      <c r="D78">
        <v>3.5111676249447159</v>
      </c>
      <c r="E78">
        <v>5.6999999999999993</v>
      </c>
      <c r="F78">
        <v>10</v>
      </c>
      <c r="G78">
        <v>5.6999999999999993</v>
      </c>
      <c r="H78">
        <v>6.8449197860962556</v>
      </c>
      <c r="I78" t="s">
        <v>77</v>
      </c>
      <c r="K78" s="6">
        <v>45584</v>
      </c>
      <c r="L78">
        <v>45584</v>
      </c>
      <c r="M78">
        <v>1.6233915918752946</v>
      </c>
      <c r="N78">
        <v>1.6233915918752946</v>
      </c>
      <c r="O78">
        <v>1.9494710925981582</v>
      </c>
      <c r="P78">
        <v>0.61599432016573974</v>
      </c>
      <c r="Q78">
        <v>0.61599432016573974</v>
      </c>
      <c r="R78">
        <v>1.2008631203677642</v>
      </c>
      <c r="S78">
        <v>0.83273437500000003</v>
      </c>
      <c r="T78">
        <v>0.83273437500000003</v>
      </c>
      <c r="U78">
        <v>0.51295964520676718</v>
      </c>
    </row>
    <row r="79" spans="1:21" x14ac:dyDescent="0.25">
      <c r="A79" t="s">
        <v>30</v>
      </c>
      <c r="B79" t="s">
        <v>38</v>
      </c>
      <c r="C79" t="s">
        <v>14</v>
      </c>
      <c r="D79">
        <v>12.417771069086861</v>
      </c>
      <c r="E79">
        <v>17.099999999999998</v>
      </c>
      <c r="F79">
        <v>10</v>
      </c>
      <c r="G79">
        <v>17.099999999999998</v>
      </c>
      <c r="H79">
        <v>10.993315508021386</v>
      </c>
      <c r="I79" t="s">
        <v>76</v>
      </c>
      <c r="K79" s="6">
        <v>45584</v>
      </c>
      <c r="L79">
        <v>45584</v>
      </c>
      <c r="M79">
        <v>1.3770587253431661</v>
      </c>
      <c r="N79">
        <v>1.3770587253431661</v>
      </c>
      <c r="O79">
        <v>0.88528894975270134</v>
      </c>
      <c r="P79">
        <v>0.72618544263665863</v>
      </c>
      <c r="Q79">
        <v>0.72618544263665863</v>
      </c>
      <c r="R79">
        <v>0.64288394783750802</v>
      </c>
      <c r="S79">
        <v>1.5554906968259763</v>
      </c>
      <c r="T79">
        <v>1.5554906968259763</v>
      </c>
      <c r="U79">
        <v>1.1295747001917762</v>
      </c>
    </row>
    <row r="80" spans="1:21" x14ac:dyDescent="0.25">
      <c r="A80" t="s">
        <v>29</v>
      </c>
      <c r="B80" t="s">
        <v>38</v>
      </c>
      <c r="C80" t="s">
        <v>13</v>
      </c>
      <c r="D80">
        <v>14.31006086645184</v>
      </c>
      <c r="E80">
        <v>18.05</v>
      </c>
      <c r="F80">
        <v>10</v>
      </c>
      <c r="G80">
        <v>18.05</v>
      </c>
      <c r="H80">
        <v>13.20820500448983</v>
      </c>
      <c r="I80" t="s">
        <v>81</v>
      </c>
      <c r="J80">
        <v>1</v>
      </c>
      <c r="K80" s="6">
        <v>45585</v>
      </c>
      <c r="L80">
        <v>45585</v>
      </c>
      <c r="M80">
        <v>1.2613503302642117</v>
      </c>
      <c r="N80">
        <v>1.2613503302642117</v>
      </c>
      <c r="O80">
        <v>0.92300131549089537</v>
      </c>
      <c r="P80">
        <v>0.79280115603611301</v>
      </c>
      <c r="Q80">
        <v>0.79280115603611301</v>
      </c>
      <c r="R80">
        <v>0.73175650994403485</v>
      </c>
      <c r="S80">
        <v>1.3665747914924331</v>
      </c>
      <c r="T80">
        <v>1.3665747914924331</v>
      </c>
      <c r="U80">
        <v>1.0834220745050109</v>
      </c>
    </row>
    <row r="81" spans="1:21" x14ac:dyDescent="0.25">
      <c r="A81" t="s">
        <v>29</v>
      </c>
      <c r="B81" t="s">
        <v>38</v>
      </c>
      <c r="C81" t="s">
        <v>15</v>
      </c>
      <c r="D81">
        <v>5.3662728249194425</v>
      </c>
      <c r="E81">
        <v>5.6999999999999993</v>
      </c>
      <c r="F81">
        <v>10</v>
      </c>
      <c r="G81">
        <v>5.6999999999999993</v>
      </c>
      <c r="H81">
        <v>5.6194502801120452</v>
      </c>
      <c r="I81" t="s">
        <v>80</v>
      </c>
      <c r="J81">
        <v>1</v>
      </c>
      <c r="K81" s="6">
        <v>45585</v>
      </c>
      <c r="L81">
        <v>45585</v>
      </c>
      <c r="M81">
        <v>1.0621897518014409</v>
      </c>
      <c r="N81">
        <v>1.0621897518014409</v>
      </c>
      <c r="O81">
        <v>1.047179385665395</v>
      </c>
      <c r="P81">
        <v>0.94145137279288471</v>
      </c>
      <c r="Q81">
        <v>0.94145137279288471</v>
      </c>
      <c r="R81">
        <v>0.98586847019509571</v>
      </c>
      <c r="S81">
        <v>1.0143340924597251</v>
      </c>
      <c r="T81">
        <v>1.0143340924597251</v>
      </c>
      <c r="U81">
        <v>0.95494622381683314</v>
      </c>
    </row>
    <row r="82" spans="1:21" x14ac:dyDescent="0.25">
      <c r="A82" t="s">
        <v>29</v>
      </c>
      <c r="B82" t="s">
        <v>38</v>
      </c>
      <c r="C82" t="s">
        <v>14</v>
      </c>
      <c r="D82">
        <v>11.626924453992126</v>
      </c>
      <c r="E82">
        <v>13.3</v>
      </c>
      <c r="F82">
        <v>10</v>
      </c>
      <c r="G82">
        <v>13.3</v>
      </c>
      <c r="H82">
        <v>11.217490035941784</v>
      </c>
      <c r="I82" t="s">
        <v>79</v>
      </c>
      <c r="J82">
        <v>1</v>
      </c>
      <c r="K82" s="6">
        <v>45585</v>
      </c>
      <c r="L82">
        <v>45585</v>
      </c>
      <c r="M82">
        <v>1.1438966557861669</v>
      </c>
      <c r="N82">
        <v>1.1438966557861669</v>
      </c>
      <c r="O82">
        <v>0.96478566454349313</v>
      </c>
      <c r="P82">
        <v>0.87420484616482164</v>
      </c>
      <c r="Q82">
        <v>0.87420484616482164</v>
      </c>
      <c r="R82">
        <v>0.84342030345426955</v>
      </c>
      <c r="S82">
        <v>1.1856484790613298</v>
      </c>
      <c r="T82">
        <v>1.1856484790613298</v>
      </c>
      <c r="U82">
        <v>1.0364996462433647</v>
      </c>
    </row>
    <row r="83" spans="1:21" x14ac:dyDescent="0.25">
      <c r="A83" t="s">
        <v>30</v>
      </c>
      <c r="B83" t="s">
        <v>38</v>
      </c>
      <c r="C83" t="s">
        <v>13</v>
      </c>
      <c r="D83">
        <v>14.12921652156102</v>
      </c>
      <c r="E83">
        <v>19.95</v>
      </c>
      <c r="F83">
        <v>10</v>
      </c>
      <c r="G83">
        <v>19.95</v>
      </c>
      <c r="H83">
        <v>13.844607843137254</v>
      </c>
      <c r="I83" t="s">
        <v>81</v>
      </c>
      <c r="K83" s="6">
        <v>45585</v>
      </c>
      <c r="L83">
        <v>45585</v>
      </c>
      <c r="M83">
        <v>1.4119678872184125</v>
      </c>
      <c r="N83">
        <v>1.4119678872184125</v>
      </c>
      <c r="O83">
        <v>0.97985672609734187</v>
      </c>
      <c r="P83">
        <v>0.70823140458952483</v>
      </c>
      <c r="Q83">
        <v>0.70823140458952483</v>
      </c>
      <c r="R83">
        <v>0.69396530542041379</v>
      </c>
      <c r="S83">
        <v>1.4409942286584287</v>
      </c>
      <c r="T83">
        <v>1.4409942286584287</v>
      </c>
      <c r="U83">
        <v>1.0205573665681578</v>
      </c>
    </row>
    <row r="84" spans="1:21" x14ac:dyDescent="0.25">
      <c r="A84" t="s">
        <v>30</v>
      </c>
      <c r="B84" t="s">
        <v>38</v>
      </c>
      <c r="C84" t="s">
        <v>15</v>
      </c>
      <c r="D84">
        <v>3.5111676249447159</v>
      </c>
      <c r="E84">
        <v>5.6999999999999993</v>
      </c>
      <c r="F84">
        <v>10</v>
      </c>
      <c r="G84">
        <v>5.6999999999999993</v>
      </c>
      <c r="H84">
        <v>6.8163992869875214</v>
      </c>
      <c r="I84" t="s">
        <v>80</v>
      </c>
      <c r="K84" s="6">
        <v>45585</v>
      </c>
      <c r="L84">
        <v>45585</v>
      </c>
      <c r="M84">
        <v>1.6233915918752946</v>
      </c>
      <c r="N84">
        <v>1.6233915918752946</v>
      </c>
      <c r="O84">
        <v>1.9413482963789992</v>
      </c>
      <c r="P84">
        <v>0.61599432016573974</v>
      </c>
      <c r="Q84">
        <v>0.61599432016573974</v>
      </c>
      <c r="R84">
        <v>1.1958595240328986</v>
      </c>
      <c r="S84">
        <v>0.83621861924686192</v>
      </c>
      <c r="T84">
        <v>0.83621861924686192</v>
      </c>
      <c r="U84">
        <v>0.51510591987290422</v>
      </c>
    </row>
    <row r="85" spans="1:21" x14ac:dyDescent="0.25">
      <c r="A85" t="s">
        <v>30</v>
      </c>
      <c r="B85" t="s">
        <v>38</v>
      </c>
      <c r="C85" t="s">
        <v>14</v>
      </c>
      <c r="D85">
        <v>12.417771069086861</v>
      </c>
      <c r="E85">
        <v>16.149999999999999</v>
      </c>
      <c r="F85">
        <v>10</v>
      </c>
      <c r="G85">
        <v>16.149999999999999</v>
      </c>
      <c r="H85">
        <v>10.77941176470588</v>
      </c>
      <c r="I85" t="s">
        <v>79</v>
      </c>
      <c r="K85" s="6">
        <v>45585</v>
      </c>
      <c r="L85">
        <v>45585</v>
      </c>
      <c r="M85">
        <v>1.3005554628241014</v>
      </c>
      <c r="N85">
        <v>1.3005554628241014</v>
      </c>
      <c r="O85">
        <v>0.86806333477514686</v>
      </c>
      <c r="P85">
        <v>0.76890223337999142</v>
      </c>
      <c r="Q85">
        <v>0.76890223337999142</v>
      </c>
      <c r="R85">
        <v>0.66745583682389353</v>
      </c>
      <c r="S85">
        <v>1.4982264665757163</v>
      </c>
      <c r="T85">
        <v>1.4982264665757163</v>
      </c>
      <c r="U85">
        <v>1.1519896762590813</v>
      </c>
    </row>
    <row r="86" spans="1:21" x14ac:dyDescent="0.25">
      <c r="A86" t="s">
        <v>29</v>
      </c>
      <c r="B86" t="s">
        <v>82</v>
      </c>
      <c r="C86" t="s">
        <v>14</v>
      </c>
      <c r="D86">
        <v>2.1042606516290729</v>
      </c>
      <c r="E86">
        <v>0.95</v>
      </c>
      <c r="F86">
        <v>10</v>
      </c>
      <c r="G86">
        <v>0.95</v>
      </c>
      <c r="H86">
        <v>1.7568627450980394</v>
      </c>
      <c r="I86" t="s">
        <v>39</v>
      </c>
      <c r="J86">
        <v>1</v>
      </c>
      <c r="K86" s="6">
        <v>45572</v>
      </c>
      <c r="L86">
        <v>45572</v>
      </c>
      <c r="M86">
        <v>0.45146498332539298</v>
      </c>
      <c r="N86">
        <v>0.45146498332539298</v>
      </c>
      <c r="O86">
        <v>0.83490737886388477</v>
      </c>
      <c r="P86">
        <v>2.2150112122411296</v>
      </c>
      <c r="Q86">
        <v>2.2150112122411296</v>
      </c>
      <c r="R86">
        <v>1.8493292053663573</v>
      </c>
      <c r="S86">
        <v>0.5407366071428571</v>
      </c>
      <c r="T86">
        <v>0.5407366071428571</v>
      </c>
      <c r="U86">
        <v>1.1977376476906552</v>
      </c>
    </row>
    <row r="87" spans="1:21" x14ac:dyDescent="0.25">
      <c r="A87" t="s">
        <v>29</v>
      </c>
      <c r="B87" t="s">
        <v>82</v>
      </c>
      <c r="C87" t="s">
        <v>13</v>
      </c>
      <c r="D87">
        <v>3.1563909774436096</v>
      </c>
      <c r="E87">
        <v>2.8499999999999996</v>
      </c>
      <c r="F87">
        <v>10</v>
      </c>
      <c r="G87">
        <v>2.8499999999999996</v>
      </c>
      <c r="H87">
        <v>1.882352941176471</v>
      </c>
      <c r="I87" t="s">
        <v>41</v>
      </c>
      <c r="J87">
        <v>1</v>
      </c>
      <c r="K87" s="6">
        <v>45572</v>
      </c>
      <c r="L87">
        <v>45572</v>
      </c>
      <c r="M87">
        <v>0.90292996665078584</v>
      </c>
      <c r="N87">
        <v>0.90292996665078584</v>
      </c>
      <c r="O87">
        <v>0.59636241347420338</v>
      </c>
      <c r="P87">
        <v>1.1075056061205648</v>
      </c>
      <c r="Q87">
        <v>1.1075056061205648</v>
      </c>
      <c r="R87">
        <v>0.66047471620227061</v>
      </c>
      <c r="S87">
        <v>1.5140624999999994</v>
      </c>
      <c r="T87">
        <v>1.5140624999999994</v>
      </c>
      <c r="U87">
        <v>1.6768327067669173</v>
      </c>
    </row>
    <row r="88" spans="1:21" x14ac:dyDescent="0.25">
      <c r="A88" t="s">
        <v>29</v>
      </c>
      <c r="B88" t="s">
        <v>82</v>
      </c>
      <c r="C88" t="s">
        <v>15</v>
      </c>
      <c r="D88">
        <v>1</v>
      </c>
      <c r="E88">
        <v>0</v>
      </c>
      <c r="F88">
        <v>10</v>
      </c>
      <c r="G88">
        <v>0</v>
      </c>
      <c r="H88">
        <v>2.7450980392156862E-2</v>
      </c>
      <c r="I88" t="s">
        <v>40</v>
      </c>
      <c r="J88">
        <v>1</v>
      </c>
      <c r="K88" s="6">
        <v>45572</v>
      </c>
      <c r="L88">
        <v>45572</v>
      </c>
      <c r="M88">
        <v>0</v>
      </c>
      <c r="N88">
        <v>0</v>
      </c>
      <c r="O88">
        <v>2.7450980392156862E-2</v>
      </c>
      <c r="S88">
        <v>0</v>
      </c>
      <c r="T88">
        <v>0</v>
      </c>
      <c r="U88">
        <v>36.428571428571431</v>
      </c>
    </row>
    <row r="89" spans="1:21" x14ac:dyDescent="0.25">
      <c r="A89" t="s">
        <v>30</v>
      </c>
      <c r="B89" t="s">
        <v>82</v>
      </c>
      <c r="C89" t="s">
        <v>14</v>
      </c>
      <c r="D89">
        <v>4.5836142079336275</v>
      </c>
      <c r="E89">
        <v>3.8</v>
      </c>
      <c r="F89">
        <v>10</v>
      </c>
      <c r="G89">
        <v>3.8</v>
      </c>
      <c r="H89">
        <v>2.8368983957219247</v>
      </c>
      <c r="I89" t="s">
        <v>39</v>
      </c>
      <c r="K89" s="6">
        <v>45572</v>
      </c>
      <c r="L89">
        <v>45572</v>
      </c>
      <c r="M89">
        <v>0.82904010407828488</v>
      </c>
      <c r="N89">
        <v>0.82904010407828488</v>
      </c>
      <c r="O89">
        <v>0.61892172138126944</v>
      </c>
      <c r="P89">
        <v>1.2062142652456915</v>
      </c>
      <c r="Q89">
        <v>1.2062142652456915</v>
      </c>
      <c r="R89">
        <v>0.74655220940050648</v>
      </c>
      <c r="S89">
        <v>1.3394910461828464</v>
      </c>
      <c r="T89">
        <v>1.3394910461828464</v>
      </c>
      <c r="U89">
        <v>1.6157132080746248</v>
      </c>
    </row>
    <row r="90" spans="1:21" x14ac:dyDescent="0.25">
      <c r="A90" t="s">
        <v>30</v>
      </c>
      <c r="B90" t="s">
        <v>82</v>
      </c>
      <c r="C90" t="s">
        <v>13</v>
      </c>
      <c r="D90">
        <v>3.7478639781271368</v>
      </c>
      <c r="E90">
        <v>2.8499999999999996</v>
      </c>
      <c r="F90">
        <v>10</v>
      </c>
      <c r="G90">
        <v>2.8499999999999996</v>
      </c>
      <c r="H90">
        <v>3.75</v>
      </c>
      <c r="I90" t="s">
        <v>41</v>
      </c>
      <c r="K90" s="6">
        <v>45572</v>
      </c>
      <c r="L90">
        <v>45572</v>
      </c>
      <c r="M90">
        <v>0.76043314715604671</v>
      </c>
      <c r="N90">
        <v>0.76043314715604671</v>
      </c>
      <c r="O90">
        <v>1.0005699304684827</v>
      </c>
      <c r="P90">
        <v>1.3150399923253113</v>
      </c>
      <c r="Q90">
        <v>1.3150399923253113</v>
      </c>
      <c r="R90">
        <v>1.3157894736842106</v>
      </c>
      <c r="S90">
        <v>0.7599999999999999</v>
      </c>
      <c r="T90">
        <v>0.7599999999999999</v>
      </c>
      <c r="U90">
        <v>0.99943039416723645</v>
      </c>
    </row>
    <row r="91" spans="1:21" x14ac:dyDescent="0.25">
      <c r="A91" t="s">
        <v>30</v>
      </c>
      <c r="B91" t="s">
        <v>82</v>
      </c>
      <c r="C91" t="s">
        <v>15</v>
      </c>
      <c r="D91">
        <v>0.97058823529411775</v>
      </c>
      <c r="E91">
        <v>0</v>
      </c>
      <c r="F91">
        <v>10</v>
      </c>
      <c r="G91">
        <v>0</v>
      </c>
      <c r="H91">
        <v>5.7040998217468802E-2</v>
      </c>
      <c r="I91" t="s">
        <v>40</v>
      </c>
      <c r="K91" s="6">
        <v>45572</v>
      </c>
      <c r="L91">
        <v>45572</v>
      </c>
      <c r="M91">
        <v>0</v>
      </c>
      <c r="N91">
        <v>0</v>
      </c>
      <c r="O91">
        <v>5.8769513314967853E-2</v>
      </c>
      <c r="S91">
        <v>0</v>
      </c>
      <c r="T91">
        <v>0</v>
      </c>
      <c r="U91">
        <v>17.015625000000004</v>
      </c>
    </row>
    <row r="92" spans="1:21" x14ac:dyDescent="0.25">
      <c r="A92" t="s">
        <v>29</v>
      </c>
      <c r="B92" t="s">
        <v>82</v>
      </c>
      <c r="C92" t="s">
        <v>13</v>
      </c>
      <c r="D92">
        <v>3.1563909774436096</v>
      </c>
      <c r="E92">
        <v>1.9</v>
      </c>
      <c r="F92">
        <v>10</v>
      </c>
      <c r="G92">
        <v>1.9</v>
      </c>
      <c r="H92">
        <v>1.7290552584670236</v>
      </c>
      <c r="I92" t="s">
        <v>44</v>
      </c>
      <c r="J92">
        <v>1</v>
      </c>
      <c r="K92" s="6">
        <v>45573</v>
      </c>
      <c r="L92">
        <v>45573</v>
      </c>
      <c r="M92">
        <v>0.60195331110052397</v>
      </c>
      <c r="N92">
        <v>0.60195331110052397</v>
      </c>
      <c r="O92">
        <v>0.54779501995263002</v>
      </c>
      <c r="P92">
        <v>1.6612584091808473</v>
      </c>
      <c r="Q92">
        <v>1.6612584091808473</v>
      </c>
      <c r="R92">
        <v>0.9100290834036967</v>
      </c>
      <c r="S92">
        <v>1.098865979381443</v>
      </c>
      <c r="T92">
        <v>1.098865979381443</v>
      </c>
      <c r="U92">
        <v>1.8255003488101698</v>
      </c>
    </row>
    <row r="93" spans="1:21" x14ac:dyDescent="0.25">
      <c r="A93" t="s">
        <v>29</v>
      </c>
      <c r="B93" t="s">
        <v>82</v>
      </c>
      <c r="C93" t="s">
        <v>14</v>
      </c>
      <c r="D93">
        <v>2.1042606516290729</v>
      </c>
      <c r="E93">
        <v>2.8499999999999996</v>
      </c>
      <c r="F93">
        <v>10</v>
      </c>
      <c r="G93">
        <v>2.8499999999999996</v>
      </c>
      <c r="H93">
        <v>1.5496957403651117</v>
      </c>
      <c r="I93" t="s">
        <v>45</v>
      </c>
      <c r="J93">
        <v>1</v>
      </c>
      <c r="K93" s="6">
        <v>45573</v>
      </c>
      <c r="L93">
        <v>45573</v>
      </c>
      <c r="M93">
        <v>1.3543949499761787</v>
      </c>
      <c r="N93">
        <v>1.3543949499761787</v>
      </c>
      <c r="O93">
        <v>0.73645617008775544</v>
      </c>
      <c r="P93">
        <v>0.73833707074704324</v>
      </c>
      <c r="Q93">
        <v>0.73833707074704324</v>
      </c>
      <c r="R93">
        <v>0.54375289135617966</v>
      </c>
      <c r="S93">
        <v>1.8390706806282719</v>
      </c>
      <c r="T93">
        <v>1.8390706806282719</v>
      </c>
      <c r="U93">
        <v>1.3578540592318493</v>
      </c>
    </row>
    <row r="94" spans="1:21" x14ac:dyDescent="0.25">
      <c r="A94" t="s">
        <v>29</v>
      </c>
      <c r="B94" t="s">
        <v>82</v>
      </c>
      <c r="C94" t="s">
        <v>15</v>
      </c>
      <c r="D94">
        <v>1</v>
      </c>
      <c r="E94">
        <v>0</v>
      </c>
      <c r="F94">
        <v>10</v>
      </c>
      <c r="G94">
        <v>0</v>
      </c>
      <c r="H94">
        <v>0</v>
      </c>
      <c r="I94" t="s">
        <v>43</v>
      </c>
      <c r="J94">
        <v>1</v>
      </c>
      <c r="K94" s="6">
        <v>45573</v>
      </c>
      <c r="L94">
        <v>45573</v>
      </c>
      <c r="M94">
        <v>0</v>
      </c>
      <c r="N94">
        <v>0</v>
      </c>
      <c r="O94">
        <v>0</v>
      </c>
    </row>
    <row r="95" spans="1:21" x14ac:dyDescent="0.25">
      <c r="A95" t="s">
        <v>30</v>
      </c>
      <c r="B95" t="s">
        <v>82</v>
      </c>
      <c r="C95" t="s">
        <v>13</v>
      </c>
      <c r="D95">
        <v>3.7478639781271368</v>
      </c>
      <c r="E95">
        <v>3.8</v>
      </c>
      <c r="F95">
        <v>10</v>
      </c>
      <c r="G95">
        <v>3.8</v>
      </c>
      <c r="H95">
        <v>3.75</v>
      </c>
      <c r="I95" t="s">
        <v>44</v>
      </c>
      <c r="K95" s="6">
        <v>45573</v>
      </c>
      <c r="L95">
        <v>45573</v>
      </c>
      <c r="M95">
        <v>1.0139108628747291</v>
      </c>
      <c r="N95">
        <v>1.0139108628747291</v>
      </c>
      <c r="O95">
        <v>1.0005699304684827</v>
      </c>
      <c r="P95">
        <v>0.98627999424398338</v>
      </c>
      <c r="Q95">
        <v>0.98627999424398338</v>
      </c>
      <c r="R95">
        <v>0.98684210526315796</v>
      </c>
      <c r="S95">
        <v>1.0133333333333332</v>
      </c>
      <c r="T95">
        <v>1.0133333333333332</v>
      </c>
      <c r="U95">
        <v>0.99943039416723645</v>
      </c>
    </row>
    <row r="96" spans="1:21" x14ac:dyDescent="0.25">
      <c r="A96" t="s">
        <v>30</v>
      </c>
      <c r="B96" t="s">
        <v>82</v>
      </c>
      <c r="C96" t="s">
        <v>14</v>
      </c>
      <c r="D96">
        <v>4.5836142079336275</v>
      </c>
      <c r="E96">
        <v>4.75</v>
      </c>
      <c r="F96">
        <v>10</v>
      </c>
      <c r="G96">
        <v>4.75</v>
      </c>
      <c r="H96">
        <v>2.8368983957219247</v>
      </c>
      <c r="I96" t="s">
        <v>45</v>
      </c>
      <c r="K96" s="6">
        <v>45573</v>
      </c>
      <c r="L96">
        <v>45573</v>
      </c>
      <c r="M96">
        <v>1.036300130097856</v>
      </c>
      <c r="N96">
        <v>1.036300130097856</v>
      </c>
      <c r="O96">
        <v>0.61892172138126944</v>
      </c>
      <c r="P96">
        <v>0.96497141219655314</v>
      </c>
      <c r="Q96">
        <v>0.96497141219655314</v>
      </c>
      <c r="R96">
        <v>0.59724176752040525</v>
      </c>
      <c r="S96">
        <v>1.6743638077285583</v>
      </c>
      <c r="T96">
        <v>1.6743638077285583</v>
      </c>
      <c r="U96">
        <v>1.6157132080746248</v>
      </c>
    </row>
    <row r="97" spans="1:21" x14ac:dyDescent="0.25">
      <c r="A97" t="s">
        <v>30</v>
      </c>
      <c r="B97" t="s">
        <v>82</v>
      </c>
      <c r="C97" t="s">
        <v>15</v>
      </c>
      <c r="D97">
        <v>0.97058823529411775</v>
      </c>
      <c r="E97">
        <v>0.95</v>
      </c>
      <c r="F97">
        <v>10</v>
      </c>
      <c r="G97">
        <v>0.95</v>
      </c>
      <c r="H97">
        <v>0.99821746880570394</v>
      </c>
      <c r="I97" t="s">
        <v>43</v>
      </c>
      <c r="K97" s="6">
        <v>45573</v>
      </c>
      <c r="L97">
        <v>45573</v>
      </c>
      <c r="M97">
        <v>0.97878787878787865</v>
      </c>
      <c r="N97">
        <v>0.97878787878787865</v>
      </c>
      <c r="O97">
        <v>1.0284664830119372</v>
      </c>
      <c r="P97">
        <v>1.0216718266253872</v>
      </c>
      <c r="Q97">
        <v>1.0216718266253872</v>
      </c>
      <c r="R97">
        <v>1.0507552303217937</v>
      </c>
      <c r="S97">
        <v>0.95169642857142867</v>
      </c>
      <c r="T97">
        <v>0.95169642857142867</v>
      </c>
      <c r="U97">
        <v>0.97232142857142878</v>
      </c>
    </row>
    <row r="98" spans="1:21" x14ac:dyDescent="0.25">
      <c r="A98" t="s">
        <v>29</v>
      </c>
      <c r="B98" t="s">
        <v>82</v>
      </c>
      <c r="C98" t="s">
        <v>15</v>
      </c>
      <c r="D98">
        <v>1</v>
      </c>
      <c r="E98">
        <v>0</v>
      </c>
      <c r="F98">
        <v>10</v>
      </c>
      <c r="G98">
        <v>0</v>
      </c>
      <c r="H98">
        <v>0</v>
      </c>
      <c r="I98" t="s">
        <v>48</v>
      </c>
      <c r="J98">
        <v>1</v>
      </c>
      <c r="K98" s="6">
        <v>45574</v>
      </c>
      <c r="L98">
        <v>45574</v>
      </c>
      <c r="M98">
        <v>0</v>
      </c>
      <c r="N98">
        <v>0</v>
      </c>
      <c r="O98">
        <v>0</v>
      </c>
    </row>
    <row r="99" spans="1:21" x14ac:dyDescent="0.25">
      <c r="A99" t="s">
        <v>29</v>
      </c>
      <c r="B99" t="s">
        <v>82</v>
      </c>
      <c r="C99" t="s">
        <v>13</v>
      </c>
      <c r="D99">
        <v>3.1563909774436096</v>
      </c>
      <c r="E99">
        <v>2.8499999999999996</v>
      </c>
      <c r="F99">
        <v>10</v>
      </c>
      <c r="G99">
        <v>2.8499999999999996</v>
      </c>
      <c r="H99">
        <v>1.7290552584670236</v>
      </c>
      <c r="I99" t="s">
        <v>47</v>
      </c>
      <c r="J99">
        <v>1</v>
      </c>
      <c r="K99" s="6">
        <v>45574</v>
      </c>
      <c r="L99">
        <v>45574</v>
      </c>
      <c r="M99">
        <v>0.90292996665078584</v>
      </c>
      <c r="N99">
        <v>0.90292996665078584</v>
      </c>
      <c r="O99">
        <v>0.54779501995263002</v>
      </c>
      <c r="P99">
        <v>1.1075056061205648</v>
      </c>
      <c r="Q99">
        <v>1.1075056061205648</v>
      </c>
      <c r="R99">
        <v>0.60668605560246447</v>
      </c>
      <c r="S99">
        <v>1.6482989690721643</v>
      </c>
      <c r="T99">
        <v>1.6482989690721643</v>
      </c>
      <c r="U99">
        <v>1.8255003488101698</v>
      </c>
    </row>
    <row r="100" spans="1:21" x14ac:dyDescent="0.25">
      <c r="A100" t="s">
        <v>29</v>
      </c>
      <c r="B100" t="s">
        <v>82</v>
      </c>
      <c r="C100" t="s">
        <v>14</v>
      </c>
      <c r="D100">
        <v>2.1042606516290729</v>
      </c>
      <c r="E100">
        <v>1.9</v>
      </c>
      <c r="F100">
        <v>10</v>
      </c>
      <c r="G100">
        <v>1.9</v>
      </c>
      <c r="H100">
        <v>1.5496957403651113</v>
      </c>
      <c r="I100" t="s">
        <v>46</v>
      </c>
      <c r="J100">
        <v>1</v>
      </c>
      <c r="K100" s="6">
        <v>45574</v>
      </c>
      <c r="L100">
        <v>45574</v>
      </c>
      <c r="M100">
        <v>0.90292996665078595</v>
      </c>
      <c r="N100">
        <v>0.90292996665078595</v>
      </c>
      <c r="O100">
        <v>0.73645617008775521</v>
      </c>
      <c r="P100">
        <v>1.1075056061205648</v>
      </c>
      <c r="Q100">
        <v>1.1075056061205648</v>
      </c>
      <c r="R100">
        <v>0.8156293370342691</v>
      </c>
      <c r="S100">
        <v>1.2260471204188483</v>
      </c>
      <c r="T100">
        <v>1.2260471204188483</v>
      </c>
      <c r="U100">
        <v>1.3578540592318498</v>
      </c>
    </row>
    <row r="101" spans="1:21" x14ac:dyDescent="0.25">
      <c r="A101" t="s">
        <v>30</v>
      </c>
      <c r="B101" t="s">
        <v>82</v>
      </c>
      <c r="C101" t="s">
        <v>15</v>
      </c>
      <c r="D101">
        <v>0.97058823529411775</v>
      </c>
      <c r="E101">
        <v>0.95</v>
      </c>
      <c r="F101">
        <v>10</v>
      </c>
      <c r="G101">
        <v>0.95</v>
      </c>
      <c r="H101">
        <v>5.7040998217468802E-2</v>
      </c>
      <c r="I101" t="s">
        <v>48</v>
      </c>
      <c r="K101" s="6">
        <v>45574</v>
      </c>
      <c r="L101">
        <v>45574</v>
      </c>
      <c r="M101">
        <v>0.97878787878787865</v>
      </c>
      <c r="N101">
        <v>0.97878787878787865</v>
      </c>
      <c r="O101">
        <v>5.8769513314967853E-2</v>
      </c>
      <c r="P101">
        <v>1.0216718266253872</v>
      </c>
      <c r="Q101">
        <v>1.0216718266253872</v>
      </c>
      <c r="R101">
        <v>6.0043156018388215E-2</v>
      </c>
      <c r="S101">
        <v>16.654687500000001</v>
      </c>
      <c r="T101">
        <v>16.654687500000001</v>
      </c>
      <c r="U101">
        <v>17.015625000000004</v>
      </c>
    </row>
    <row r="102" spans="1:21" x14ac:dyDescent="0.25">
      <c r="A102" t="s">
        <v>30</v>
      </c>
      <c r="B102" t="s">
        <v>82</v>
      </c>
      <c r="C102" t="s">
        <v>13</v>
      </c>
      <c r="D102">
        <v>3.7478639781271368</v>
      </c>
      <c r="E102">
        <v>4.75</v>
      </c>
      <c r="F102">
        <v>10</v>
      </c>
      <c r="G102">
        <v>4.75</v>
      </c>
      <c r="H102">
        <v>3.7813725490196082</v>
      </c>
      <c r="I102" t="s">
        <v>47</v>
      </c>
      <c r="K102" s="6">
        <v>45574</v>
      </c>
      <c r="L102">
        <v>45574</v>
      </c>
      <c r="M102">
        <v>1.2673885785934114</v>
      </c>
      <c r="N102">
        <v>1.2673885785934114</v>
      </c>
      <c r="O102">
        <v>1.0089407115861275</v>
      </c>
      <c r="P102">
        <v>0.78902399539518664</v>
      </c>
      <c r="Q102">
        <v>0.78902399539518664</v>
      </c>
      <c r="R102">
        <v>0.79607843137254908</v>
      </c>
      <c r="S102">
        <v>1.2561576354679802</v>
      </c>
      <c r="T102">
        <v>1.2561576354679802</v>
      </c>
      <c r="U102">
        <v>0.99113851638311623</v>
      </c>
    </row>
    <row r="103" spans="1:21" x14ac:dyDescent="0.25">
      <c r="A103" t="s">
        <v>30</v>
      </c>
      <c r="B103" t="s">
        <v>82</v>
      </c>
      <c r="C103" t="s">
        <v>14</v>
      </c>
      <c r="D103">
        <v>4.5836142079336275</v>
      </c>
      <c r="E103">
        <v>2.8499999999999996</v>
      </c>
      <c r="F103">
        <v>10</v>
      </c>
      <c r="G103">
        <v>2.8499999999999996</v>
      </c>
      <c r="H103">
        <v>2.8368983957219247</v>
      </c>
      <c r="I103" t="s">
        <v>46</v>
      </c>
      <c r="K103" s="6">
        <v>45574</v>
      </c>
      <c r="L103">
        <v>45574</v>
      </c>
      <c r="M103">
        <v>0.6217800780587136</v>
      </c>
      <c r="N103">
        <v>0.6217800780587136</v>
      </c>
      <c r="O103">
        <v>0.61892172138126944</v>
      </c>
      <c r="P103">
        <v>1.6082856869942554</v>
      </c>
      <c r="Q103">
        <v>1.6082856869942554</v>
      </c>
      <c r="R103">
        <v>0.99540294586734213</v>
      </c>
      <c r="S103">
        <v>1.0046182846371348</v>
      </c>
      <c r="T103">
        <v>1.0046182846371348</v>
      </c>
      <c r="U103">
        <v>1.6157132080746248</v>
      </c>
    </row>
    <row r="104" spans="1:21" x14ac:dyDescent="0.25">
      <c r="A104" t="s">
        <v>29</v>
      </c>
      <c r="B104" t="s">
        <v>82</v>
      </c>
      <c r="C104" t="s">
        <v>13</v>
      </c>
      <c r="D104">
        <v>3.1563909774436087</v>
      </c>
      <c r="E104">
        <v>3.8</v>
      </c>
      <c r="F104">
        <v>10</v>
      </c>
      <c r="G104">
        <v>3.8</v>
      </c>
      <c r="H104">
        <v>1.882352941176471</v>
      </c>
      <c r="I104" t="s">
        <v>51</v>
      </c>
      <c r="J104">
        <v>1</v>
      </c>
      <c r="K104" s="6">
        <v>45575</v>
      </c>
      <c r="L104">
        <v>45575</v>
      </c>
      <c r="M104">
        <v>1.2039066222010482</v>
      </c>
      <c r="N104">
        <v>1.2039066222010482</v>
      </c>
      <c r="O104">
        <v>0.5963624134742036</v>
      </c>
      <c r="P104">
        <v>0.83062920459042344</v>
      </c>
      <c r="Q104">
        <v>0.83062920459042344</v>
      </c>
      <c r="R104">
        <v>0.4953560371517029</v>
      </c>
      <c r="S104">
        <v>2.0187499999999994</v>
      </c>
      <c r="T104">
        <v>2.0187499999999994</v>
      </c>
      <c r="U104">
        <v>1.6768327067669169</v>
      </c>
    </row>
    <row r="105" spans="1:21" x14ac:dyDescent="0.25">
      <c r="A105" t="s">
        <v>29</v>
      </c>
      <c r="B105" t="s">
        <v>82</v>
      </c>
      <c r="C105" t="s">
        <v>15</v>
      </c>
      <c r="D105">
        <v>1</v>
      </c>
      <c r="E105">
        <v>0</v>
      </c>
      <c r="F105">
        <v>10</v>
      </c>
      <c r="G105">
        <v>0</v>
      </c>
      <c r="H105">
        <v>5.4901960784313725E-2</v>
      </c>
      <c r="I105" t="s">
        <v>50</v>
      </c>
      <c r="J105">
        <v>1</v>
      </c>
      <c r="K105" s="6">
        <v>45575</v>
      </c>
      <c r="L105">
        <v>45575</v>
      </c>
      <c r="M105">
        <v>0</v>
      </c>
      <c r="N105">
        <v>0</v>
      </c>
      <c r="O105">
        <v>5.4901960784313725E-2</v>
      </c>
      <c r="S105">
        <v>0</v>
      </c>
      <c r="T105">
        <v>0</v>
      </c>
      <c r="U105">
        <v>18.214285714285715</v>
      </c>
    </row>
    <row r="106" spans="1:21" x14ac:dyDescent="0.25">
      <c r="A106" t="s">
        <v>29</v>
      </c>
      <c r="B106" t="s">
        <v>82</v>
      </c>
      <c r="C106" t="s">
        <v>14</v>
      </c>
      <c r="D106">
        <v>2.1042606516290729</v>
      </c>
      <c r="E106">
        <v>1.9</v>
      </c>
      <c r="F106">
        <v>10</v>
      </c>
      <c r="G106">
        <v>1.9</v>
      </c>
      <c r="H106">
        <v>1.9315753887761999</v>
      </c>
      <c r="I106" t="s">
        <v>49</v>
      </c>
      <c r="J106">
        <v>1</v>
      </c>
      <c r="K106" s="6">
        <v>45575</v>
      </c>
      <c r="L106">
        <v>45575</v>
      </c>
      <c r="M106">
        <v>0.90292996665078595</v>
      </c>
      <c r="N106">
        <v>0.90292996665078595</v>
      </c>
      <c r="O106">
        <v>0.91793542177430165</v>
      </c>
      <c r="P106">
        <v>1.1075056061205648</v>
      </c>
      <c r="Q106">
        <v>1.1075056061205648</v>
      </c>
      <c r="R106">
        <v>1.0166186256716843</v>
      </c>
      <c r="S106">
        <v>0.98365303836460383</v>
      </c>
      <c r="T106">
        <v>0.98365303836460383</v>
      </c>
      <c r="U106">
        <v>1.0894012544663256</v>
      </c>
    </row>
    <row r="107" spans="1:21" x14ac:dyDescent="0.25">
      <c r="A107" t="s">
        <v>30</v>
      </c>
      <c r="B107" t="s">
        <v>82</v>
      </c>
      <c r="C107" t="s">
        <v>13</v>
      </c>
      <c r="D107">
        <v>3.7478639781271368</v>
      </c>
      <c r="E107">
        <v>4.75</v>
      </c>
      <c r="F107">
        <v>10</v>
      </c>
      <c r="G107">
        <v>4.75</v>
      </c>
      <c r="H107">
        <v>3.75</v>
      </c>
      <c r="I107" t="s">
        <v>51</v>
      </c>
      <c r="K107" s="6">
        <v>45575</v>
      </c>
      <c r="L107">
        <v>45575</v>
      </c>
      <c r="M107">
        <v>1.2673885785934114</v>
      </c>
      <c r="N107">
        <v>1.2673885785934114</v>
      </c>
      <c r="O107">
        <v>1.0005699304684827</v>
      </c>
      <c r="P107">
        <v>0.78902399539518664</v>
      </c>
      <c r="Q107">
        <v>0.78902399539518664</v>
      </c>
      <c r="R107">
        <v>0.78947368421052633</v>
      </c>
      <c r="S107">
        <v>1.2666666666666666</v>
      </c>
      <c r="T107">
        <v>1.2666666666666666</v>
      </c>
      <c r="U107">
        <v>0.99943039416723645</v>
      </c>
    </row>
    <row r="108" spans="1:21" x14ac:dyDescent="0.25">
      <c r="A108" t="s">
        <v>30</v>
      </c>
      <c r="B108" t="s">
        <v>82</v>
      </c>
      <c r="C108" t="s">
        <v>15</v>
      </c>
      <c r="D108">
        <v>0.97058823529411775</v>
      </c>
      <c r="E108">
        <v>0.95</v>
      </c>
      <c r="F108">
        <v>10</v>
      </c>
      <c r="G108">
        <v>0.95</v>
      </c>
      <c r="H108">
        <v>5.7040998217468802E-2</v>
      </c>
      <c r="I108" t="s">
        <v>50</v>
      </c>
      <c r="K108" s="6">
        <v>45575</v>
      </c>
      <c r="L108">
        <v>45575</v>
      </c>
      <c r="M108">
        <v>0.97878787878787865</v>
      </c>
      <c r="N108">
        <v>0.97878787878787865</v>
      </c>
      <c r="O108">
        <v>5.8769513314967853E-2</v>
      </c>
      <c r="P108">
        <v>1.0216718266253872</v>
      </c>
      <c r="Q108">
        <v>1.0216718266253872</v>
      </c>
      <c r="R108">
        <v>6.0043156018388215E-2</v>
      </c>
      <c r="S108">
        <v>16.654687500000001</v>
      </c>
      <c r="T108">
        <v>16.654687500000001</v>
      </c>
      <c r="U108">
        <v>17.015625000000004</v>
      </c>
    </row>
    <row r="109" spans="1:21" x14ac:dyDescent="0.25">
      <c r="A109" t="s">
        <v>30</v>
      </c>
      <c r="B109" t="s">
        <v>82</v>
      </c>
      <c r="C109" t="s">
        <v>14</v>
      </c>
      <c r="D109">
        <v>4.5836142079336275</v>
      </c>
      <c r="E109">
        <v>1.9</v>
      </c>
      <c r="F109">
        <v>10</v>
      </c>
      <c r="G109">
        <v>1.9</v>
      </c>
      <c r="H109">
        <v>2.8368983957219247</v>
      </c>
      <c r="I109" t="s">
        <v>49</v>
      </c>
      <c r="K109" s="6">
        <v>45575</v>
      </c>
      <c r="L109">
        <v>45575</v>
      </c>
      <c r="M109">
        <v>0.41452005203914244</v>
      </c>
      <c r="N109">
        <v>0.41452005203914244</v>
      </c>
      <c r="O109">
        <v>0.61892172138126944</v>
      </c>
      <c r="P109">
        <v>2.4124285304913831</v>
      </c>
      <c r="Q109">
        <v>2.4124285304913831</v>
      </c>
      <c r="R109">
        <v>1.493104418801013</v>
      </c>
      <c r="S109">
        <v>0.66974552309142321</v>
      </c>
      <c r="T109">
        <v>0.66974552309142321</v>
      </c>
      <c r="U109">
        <v>1.6157132080746248</v>
      </c>
    </row>
    <row r="110" spans="1:21" x14ac:dyDescent="0.25">
      <c r="A110" t="s">
        <v>29</v>
      </c>
      <c r="B110" t="s">
        <v>82</v>
      </c>
      <c r="C110" t="s">
        <v>13</v>
      </c>
      <c r="D110">
        <v>3.1563909774436087</v>
      </c>
      <c r="E110">
        <v>3.8</v>
      </c>
      <c r="F110">
        <v>10</v>
      </c>
      <c r="G110">
        <v>3.8</v>
      </c>
      <c r="H110">
        <v>1.882352941176471</v>
      </c>
      <c r="I110" t="s">
        <v>53</v>
      </c>
      <c r="J110">
        <v>1</v>
      </c>
      <c r="K110" s="6">
        <v>45576</v>
      </c>
      <c r="L110">
        <v>45576</v>
      </c>
      <c r="M110">
        <v>1.2039066222010482</v>
      </c>
      <c r="N110">
        <v>1.2039066222010482</v>
      </c>
      <c r="O110">
        <v>0.5963624134742036</v>
      </c>
      <c r="P110">
        <v>0.83062920459042344</v>
      </c>
      <c r="Q110">
        <v>0.83062920459042344</v>
      </c>
      <c r="R110">
        <v>0.4953560371517029</v>
      </c>
      <c r="S110">
        <v>2.0187499999999994</v>
      </c>
      <c r="T110">
        <v>2.0187499999999994</v>
      </c>
      <c r="U110">
        <v>1.6768327067669169</v>
      </c>
    </row>
    <row r="111" spans="1:21" x14ac:dyDescent="0.25">
      <c r="A111" t="s">
        <v>29</v>
      </c>
      <c r="B111" t="s">
        <v>82</v>
      </c>
      <c r="C111" t="s">
        <v>15</v>
      </c>
      <c r="D111">
        <v>1</v>
      </c>
      <c r="E111">
        <v>0</v>
      </c>
      <c r="F111">
        <v>10</v>
      </c>
      <c r="G111">
        <v>0</v>
      </c>
      <c r="H111">
        <v>2.7450980392156862E-2</v>
      </c>
      <c r="I111" t="s">
        <v>52</v>
      </c>
      <c r="J111">
        <v>1</v>
      </c>
      <c r="K111" s="6">
        <v>45576</v>
      </c>
      <c r="L111">
        <v>45576</v>
      </c>
      <c r="M111">
        <v>0</v>
      </c>
      <c r="N111">
        <v>0</v>
      </c>
      <c r="O111">
        <v>2.7450980392156862E-2</v>
      </c>
      <c r="S111">
        <v>0</v>
      </c>
      <c r="T111">
        <v>0</v>
      </c>
      <c r="U111">
        <v>36.428571428571431</v>
      </c>
    </row>
    <row r="112" spans="1:21" x14ac:dyDescent="0.25">
      <c r="A112" t="s">
        <v>29</v>
      </c>
      <c r="B112" t="s">
        <v>82</v>
      </c>
      <c r="C112" t="s">
        <v>14</v>
      </c>
      <c r="D112">
        <v>2.1042606516290729</v>
      </c>
      <c r="E112">
        <v>2.8499999999999996</v>
      </c>
      <c r="F112">
        <v>10</v>
      </c>
      <c r="G112">
        <v>2.8499999999999996</v>
      </c>
      <c r="H112">
        <v>1.7568627450980387</v>
      </c>
      <c r="I112" t="s">
        <v>54</v>
      </c>
      <c r="J112">
        <v>1</v>
      </c>
      <c r="K112" s="6">
        <v>45576</v>
      </c>
      <c r="L112">
        <v>45576</v>
      </c>
      <c r="M112">
        <v>1.3543949499761787</v>
      </c>
      <c r="N112">
        <v>1.3543949499761787</v>
      </c>
      <c r="O112">
        <v>0.83490737886388444</v>
      </c>
      <c r="P112">
        <v>0.73833707074704324</v>
      </c>
      <c r="Q112">
        <v>0.73833707074704324</v>
      </c>
      <c r="R112">
        <v>0.61644306845545227</v>
      </c>
      <c r="S112">
        <v>1.6222098214285716</v>
      </c>
      <c r="T112">
        <v>1.6222098214285716</v>
      </c>
      <c r="U112">
        <v>1.1977376476906556</v>
      </c>
    </row>
    <row r="113" spans="1:21" x14ac:dyDescent="0.25">
      <c r="A113" t="s">
        <v>30</v>
      </c>
      <c r="B113" t="s">
        <v>82</v>
      </c>
      <c r="C113" t="s">
        <v>13</v>
      </c>
      <c r="D113">
        <v>3.7478639781271368</v>
      </c>
      <c r="E113">
        <v>4.75</v>
      </c>
      <c r="F113">
        <v>10</v>
      </c>
      <c r="G113">
        <v>4.75</v>
      </c>
      <c r="H113">
        <v>3.75</v>
      </c>
      <c r="I113" t="s">
        <v>53</v>
      </c>
      <c r="K113" s="6">
        <v>45576</v>
      </c>
      <c r="L113">
        <v>45576</v>
      </c>
      <c r="M113">
        <v>1.2673885785934114</v>
      </c>
      <c r="N113">
        <v>1.2673885785934114</v>
      </c>
      <c r="O113">
        <v>1.0005699304684827</v>
      </c>
      <c r="P113">
        <v>0.78902399539518664</v>
      </c>
      <c r="Q113">
        <v>0.78902399539518664</v>
      </c>
      <c r="R113">
        <v>0.78947368421052633</v>
      </c>
      <c r="S113">
        <v>1.2666666666666666</v>
      </c>
      <c r="T113">
        <v>1.2666666666666666</v>
      </c>
      <c r="U113">
        <v>0.99943039416723645</v>
      </c>
    </row>
    <row r="114" spans="1:21" x14ac:dyDescent="0.25">
      <c r="A114" t="s">
        <v>30</v>
      </c>
      <c r="B114" t="s">
        <v>82</v>
      </c>
      <c r="C114" t="s">
        <v>15</v>
      </c>
      <c r="D114">
        <v>0.97058823529411775</v>
      </c>
      <c r="E114">
        <v>0.95</v>
      </c>
      <c r="F114">
        <v>10</v>
      </c>
      <c r="G114">
        <v>0.95</v>
      </c>
      <c r="H114">
        <v>5.7040998217468802E-2</v>
      </c>
      <c r="I114" t="s">
        <v>52</v>
      </c>
      <c r="K114" s="6">
        <v>45576</v>
      </c>
      <c r="L114">
        <v>45576</v>
      </c>
      <c r="M114">
        <v>0.97878787878787865</v>
      </c>
      <c r="N114">
        <v>0.97878787878787865</v>
      </c>
      <c r="O114">
        <v>5.8769513314967853E-2</v>
      </c>
      <c r="P114">
        <v>1.0216718266253872</v>
      </c>
      <c r="Q114">
        <v>1.0216718266253872</v>
      </c>
      <c r="R114">
        <v>6.0043156018388215E-2</v>
      </c>
      <c r="S114">
        <v>16.654687500000001</v>
      </c>
      <c r="T114">
        <v>16.654687500000001</v>
      </c>
      <c r="U114">
        <v>17.015625000000004</v>
      </c>
    </row>
    <row r="115" spans="1:21" x14ac:dyDescent="0.25">
      <c r="A115" t="s">
        <v>30</v>
      </c>
      <c r="B115" t="s">
        <v>82</v>
      </c>
      <c r="C115" t="s">
        <v>14</v>
      </c>
      <c r="D115">
        <v>4.5836142079336275</v>
      </c>
      <c r="E115">
        <v>3.8</v>
      </c>
      <c r="F115">
        <v>10</v>
      </c>
      <c r="G115">
        <v>3.8</v>
      </c>
      <c r="H115">
        <v>3.5641711229946522</v>
      </c>
      <c r="I115" t="s">
        <v>54</v>
      </c>
      <c r="K115" s="6">
        <v>45576</v>
      </c>
      <c r="L115">
        <v>45576</v>
      </c>
      <c r="M115">
        <v>0.82904010407828488</v>
      </c>
      <c r="N115">
        <v>0.82904010407828488</v>
      </c>
      <c r="O115">
        <v>0.77758968388429051</v>
      </c>
      <c r="P115">
        <v>1.2062142652456915</v>
      </c>
      <c r="Q115">
        <v>1.2062142652456915</v>
      </c>
      <c r="R115">
        <v>0.93793976920911903</v>
      </c>
      <c r="S115">
        <v>1.0661665416354089</v>
      </c>
      <c r="T115">
        <v>1.0661665416354089</v>
      </c>
      <c r="U115">
        <v>1.2860252916482946</v>
      </c>
    </row>
    <row r="116" spans="1:21" x14ac:dyDescent="0.25">
      <c r="A116" t="s">
        <v>29</v>
      </c>
      <c r="B116" t="s">
        <v>82</v>
      </c>
      <c r="C116" t="s">
        <v>14</v>
      </c>
      <c r="D116">
        <v>2.1042606516290729</v>
      </c>
      <c r="E116">
        <v>1.9</v>
      </c>
      <c r="F116">
        <v>10</v>
      </c>
      <c r="G116">
        <v>1.9</v>
      </c>
      <c r="H116">
        <v>1.7568627450980394</v>
      </c>
      <c r="I116" t="s">
        <v>57</v>
      </c>
      <c r="J116">
        <v>1</v>
      </c>
      <c r="K116" s="6">
        <v>45577</v>
      </c>
      <c r="L116">
        <v>45577</v>
      </c>
      <c r="M116">
        <v>0.90292996665078595</v>
      </c>
      <c r="N116">
        <v>0.90292996665078595</v>
      </c>
      <c r="O116">
        <v>0.83490737886388477</v>
      </c>
      <c r="P116">
        <v>1.1075056061205648</v>
      </c>
      <c r="Q116">
        <v>1.1075056061205648</v>
      </c>
      <c r="R116">
        <v>0.92466460268317863</v>
      </c>
      <c r="S116">
        <v>1.0814732142857142</v>
      </c>
      <c r="T116">
        <v>1.0814732142857142</v>
      </c>
      <c r="U116">
        <v>1.1977376476906552</v>
      </c>
    </row>
    <row r="117" spans="1:21" x14ac:dyDescent="0.25">
      <c r="A117" t="s">
        <v>29</v>
      </c>
      <c r="B117" t="s">
        <v>82</v>
      </c>
      <c r="C117" t="s">
        <v>13</v>
      </c>
      <c r="D117">
        <v>3.1563909774436096</v>
      </c>
      <c r="E117">
        <v>4.75</v>
      </c>
      <c r="F117">
        <v>10</v>
      </c>
      <c r="G117">
        <v>4.75</v>
      </c>
      <c r="H117">
        <v>1.882352941176471</v>
      </c>
      <c r="I117" t="s">
        <v>56</v>
      </c>
      <c r="J117">
        <v>1</v>
      </c>
      <c r="K117" s="6">
        <v>45577</v>
      </c>
      <c r="L117">
        <v>45577</v>
      </c>
      <c r="M117">
        <v>1.5048832777513099</v>
      </c>
      <c r="N117">
        <v>1.5048832777513099</v>
      </c>
      <c r="O117">
        <v>0.59636241347420338</v>
      </c>
      <c r="P117">
        <v>0.66450336367233886</v>
      </c>
      <c r="Q117">
        <v>0.66450336367233886</v>
      </c>
      <c r="R117">
        <v>0.39628482972136231</v>
      </c>
      <c r="S117">
        <v>2.5234374999999996</v>
      </c>
      <c r="T117">
        <v>2.5234374999999996</v>
      </c>
      <c r="U117">
        <v>1.6768327067669173</v>
      </c>
    </row>
    <row r="118" spans="1:21" x14ac:dyDescent="0.25">
      <c r="A118" t="s">
        <v>29</v>
      </c>
      <c r="B118" t="s">
        <v>82</v>
      </c>
      <c r="C118" t="s">
        <v>15</v>
      </c>
      <c r="D118">
        <v>1</v>
      </c>
      <c r="E118">
        <v>0</v>
      </c>
      <c r="F118">
        <v>10</v>
      </c>
      <c r="G118">
        <v>0</v>
      </c>
      <c r="H118">
        <v>2.7450980392156862E-2</v>
      </c>
      <c r="I118" t="s">
        <v>55</v>
      </c>
      <c r="J118">
        <v>1</v>
      </c>
      <c r="K118" s="6">
        <v>45577</v>
      </c>
      <c r="L118">
        <v>45577</v>
      </c>
      <c r="M118">
        <v>0</v>
      </c>
      <c r="N118">
        <v>0</v>
      </c>
      <c r="O118">
        <v>2.7450980392156862E-2</v>
      </c>
      <c r="S118">
        <v>0</v>
      </c>
      <c r="T118">
        <v>0</v>
      </c>
      <c r="U118">
        <v>36.428571428571431</v>
      </c>
    </row>
    <row r="119" spans="1:21" x14ac:dyDescent="0.25">
      <c r="A119" t="s">
        <v>30</v>
      </c>
      <c r="B119" t="s">
        <v>82</v>
      </c>
      <c r="C119" t="s">
        <v>14</v>
      </c>
      <c r="D119">
        <v>4.5836142079336275</v>
      </c>
      <c r="E119">
        <v>3.8</v>
      </c>
      <c r="F119">
        <v>10</v>
      </c>
      <c r="G119">
        <v>3.8</v>
      </c>
      <c r="H119">
        <v>3.3502673796791447</v>
      </c>
      <c r="I119" t="s">
        <v>57</v>
      </c>
      <c r="K119" s="6">
        <v>45577</v>
      </c>
      <c r="L119">
        <v>45577</v>
      </c>
      <c r="M119">
        <v>0.82904010407828488</v>
      </c>
      <c r="N119">
        <v>0.82904010407828488</v>
      </c>
      <c r="O119">
        <v>0.73092263608928443</v>
      </c>
      <c r="P119">
        <v>1.2062142652456915</v>
      </c>
      <c r="Q119">
        <v>1.2062142652456915</v>
      </c>
      <c r="R119">
        <v>0.88164931044188022</v>
      </c>
      <c r="S119">
        <v>1.134237829209896</v>
      </c>
      <c r="T119">
        <v>1.134237829209896</v>
      </c>
      <c r="U119">
        <v>1.368133849774283</v>
      </c>
    </row>
    <row r="120" spans="1:21" x14ac:dyDescent="0.25">
      <c r="A120" t="s">
        <v>30</v>
      </c>
      <c r="B120" t="s">
        <v>82</v>
      </c>
      <c r="C120" t="s">
        <v>13</v>
      </c>
      <c r="D120">
        <v>3.7478639781271368</v>
      </c>
      <c r="E120">
        <v>4.75</v>
      </c>
      <c r="F120">
        <v>10</v>
      </c>
      <c r="G120">
        <v>4.75</v>
      </c>
      <c r="H120">
        <v>3.75</v>
      </c>
      <c r="I120" t="s">
        <v>56</v>
      </c>
      <c r="K120" s="6">
        <v>45577</v>
      </c>
      <c r="L120">
        <v>45577</v>
      </c>
      <c r="M120">
        <v>1.2673885785934114</v>
      </c>
      <c r="N120">
        <v>1.2673885785934114</v>
      </c>
      <c r="O120">
        <v>1.0005699304684827</v>
      </c>
      <c r="P120">
        <v>0.78902399539518664</v>
      </c>
      <c r="Q120">
        <v>0.78902399539518664</v>
      </c>
      <c r="R120">
        <v>0.78947368421052633</v>
      </c>
      <c r="S120">
        <v>1.2666666666666666</v>
      </c>
      <c r="T120">
        <v>1.2666666666666666</v>
      </c>
      <c r="U120">
        <v>0.99943039416723645</v>
      </c>
    </row>
    <row r="121" spans="1:21" x14ac:dyDescent="0.25">
      <c r="A121" t="s">
        <v>30</v>
      </c>
      <c r="B121" t="s">
        <v>82</v>
      </c>
      <c r="C121" t="s">
        <v>15</v>
      </c>
      <c r="D121">
        <v>0.97058823529411775</v>
      </c>
      <c r="E121">
        <v>0.95</v>
      </c>
      <c r="F121">
        <v>10</v>
      </c>
      <c r="G121">
        <v>0.95</v>
      </c>
      <c r="H121">
        <v>2.8520499108734401E-2</v>
      </c>
      <c r="I121" t="s">
        <v>55</v>
      </c>
      <c r="K121" s="6">
        <v>45577</v>
      </c>
      <c r="L121">
        <v>45577</v>
      </c>
      <c r="M121">
        <v>0.97878787878787865</v>
      </c>
      <c r="N121">
        <v>0.97878787878787865</v>
      </c>
      <c r="O121">
        <v>2.9384756657483926E-2</v>
      </c>
      <c r="P121">
        <v>1.0216718266253872</v>
      </c>
      <c r="Q121">
        <v>1.0216718266253872</v>
      </c>
      <c r="R121">
        <v>3.0021578009194107E-2</v>
      </c>
      <c r="S121">
        <v>33.309375000000003</v>
      </c>
      <c r="T121">
        <v>33.309375000000003</v>
      </c>
      <c r="U121">
        <v>34.031250000000007</v>
      </c>
    </row>
    <row r="122" spans="1:21" x14ac:dyDescent="0.25">
      <c r="A122" t="s">
        <v>29</v>
      </c>
      <c r="B122" t="s">
        <v>82</v>
      </c>
      <c r="C122" t="s">
        <v>15</v>
      </c>
      <c r="D122">
        <v>1</v>
      </c>
      <c r="E122">
        <v>0</v>
      </c>
      <c r="F122">
        <v>10</v>
      </c>
      <c r="G122">
        <v>0</v>
      </c>
      <c r="H122">
        <v>0</v>
      </c>
      <c r="I122" t="s">
        <v>59</v>
      </c>
      <c r="J122">
        <v>1</v>
      </c>
      <c r="K122" s="6">
        <v>45578</v>
      </c>
      <c r="L122">
        <v>45578</v>
      </c>
      <c r="M122">
        <v>0</v>
      </c>
      <c r="N122">
        <v>0</v>
      </c>
      <c r="O122">
        <v>0</v>
      </c>
    </row>
    <row r="123" spans="1:21" x14ac:dyDescent="0.25">
      <c r="A123" t="s">
        <v>29</v>
      </c>
      <c r="B123" t="s">
        <v>82</v>
      </c>
      <c r="C123" t="s">
        <v>13</v>
      </c>
      <c r="D123">
        <v>3.1563909774436096</v>
      </c>
      <c r="E123">
        <v>2.8499999999999996</v>
      </c>
      <c r="F123">
        <v>10</v>
      </c>
      <c r="G123">
        <v>2.8499999999999996</v>
      </c>
      <c r="H123">
        <v>1.882352941176471</v>
      </c>
      <c r="I123" t="s">
        <v>60</v>
      </c>
      <c r="J123">
        <v>1</v>
      </c>
      <c r="K123" s="6">
        <v>45578</v>
      </c>
      <c r="L123">
        <v>45578</v>
      </c>
      <c r="M123">
        <v>0.90292996665078584</v>
      </c>
      <c r="N123">
        <v>0.90292996665078584</v>
      </c>
      <c r="O123">
        <v>0.59636241347420338</v>
      </c>
      <c r="P123">
        <v>1.1075056061205648</v>
      </c>
      <c r="Q123">
        <v>1.1075056061205648</v>
      </c>
      <c r="R123">
        <v>0.66047471620227061</v>
      </c>
      <c r="S123">
        <v>1.5140624999999994</v>
      </c>
      <c r="T123">
        <v>1.5140624999999994</v>
      </c>
      <c r="U123">
        <v>1.6768327067669173</v>
      </c>
    </row>
    <row r="124" spans="1:21" x14ac:dyDescent="0.25">
      <c r="A124" t="s">
        <v>29</v>
      </c>
      <c r="B124" t="s">
        <v>82</v>
      </c>
      <c r="C124" t="s">
        <v>14</v>
      </c>
      <c r="D124">
        <v>2.1042606516290729</v>
      </c>
      <c r="E124">
        <v>1.9</v>
      </c>
      <c r="F124">
        <v>10</v>
      </c>
      <c r="G124">
        <v>1.9</v>
      </c>
      <c r="H124">
        <v>1.5821501014198778</v>
      </c>
      <c r="I124" t="s">
        <v>58</v>
      </c>
      <c r="J124">
        <v>1</v>
      </c>
      <c r="K124" s="6">
        <v>45578</v>
      </c>
      <c r="L124">
        <v>45578</v>
      </c>
      <c r="M124">
        <v>0.90292996665078595</v>
      </c>
      <c r="N124">
        <v>0.90292996665078595</v>
      </c>
      <c r="O124">
        <v>0.75187933595346734</v>
      </c>
      <c r="P124">
        <v>1.1075056061205648</v>
      </c>
      <c r="Q124">
        <v>1.1075056061205648</v>
      </c>
      <c r="R124">
        <v>0.83271057969467255</v>
      </c>
      <c r="S124">
        <v>1.2008974358974362</v>
      </c>
      <c r="T124">
        <v>1.2008974358974362</v>
      </c>
      <c r="U124">
        <v>1.3300006426322222</v>
      </c>
    </row>
    <row r="125" spans="1:21" x14ac:dyDescent="0.25">
      <c r="A125" t="s">
        <v>30</v>
      </c>
      <c r="B125" t="s">
        <v>82</v>
      </c>
      <c r="C125" t="s">
        <v>15</v>
      </c>
      <c r="D125">
        <v>0.97058823529411775</v>
      </c>
      <c r="E125">
        <v>0.95</v>
      </c>
      <c r="F125">
        <v>10</v>
      </c>
      <c r="G125">
        <v>0.95</v>
      </c>
      <c r="H125">
        <v>8.5561497326203204E-2</v>
      </c>
      <c r="I125" t="s">
        <v>59</v>
      </c>
      <c r="K125" s="6">
        <v>45578</v>
      </c>
      <c r="L125">
        <v>45578</v>
      </c>
      <c r="M125">
        <v>0.97878787878787865</v>
      </c>
      <c r="N125">
        <v>0.97878787878787865</v>
      </c>
      <c r="O125">
        <v>8.8154269972451779E-2</v>
      </c>
      <c r="P125">
        <v>1.0216718266253872</v>
      </c>
      <c r="Q125">
        <v>1.0216718266253872</v>
      </c>
      <c r="R125">
        <v>9.0064734027582319E-2</v>
      </c>
      <c r="S125">
        <v>11.103125</v>
      </c>
      <c r="T125">
        <v>11.103125</v>
      </c>
      <c r="U125">
        <v>11.343750000000002</v>
      </c>
    </row>
    <row r="126" spans="1:21" x14ac:dyDescent="0.25">
      <c r="A126" t="s">
        <v>30</v>
      </c>
      <c r="B126" t="s">
        <v>82</v>
      </c>
      <c r="C126" t="s">
        <v>13</v>
      </c>
      <c r="D126">
        <v>3.7478639781271368</v>
      </c>
      <c r="E126">
        <v>3.8</v>
      </c>
      <c r="F126">
        <v>10</v>
      </c>
      <c r="G126">
        <v>3.8</v>
      </c>
      <c r="H126">
        <v>3.75</v>
      </c>
      <c r="I126" t="s">
        <v>60</v>
      </c>
      <c r="K126" s="6">
        <v>45578</v>
      </c>
      <c r="L126">
        <v>45578</v>
      </c>
      <c r="M126">
        <v>1.0139108628747291</v>
      </c>
      <c r="N126">
        <v>1.0139108628747291</v>
      </c>
      <c r="O126">
        <v>1.0005699304684827</v>
      </c>
      <c r="P126">
        <v>0.98627999424398338</v>
      </c>
      <c r="Q126">
        <v>0.98627999424398338</v>
      </c>
      <c r="R126">
        <v>0.98684210526315796</v>
      </c>
      <c r="S126">
        <v>1.0133333333333332</v>
      </c>
      <c r="T126">
        <v>1.0133333333333332</v>
      </c>
      <c r="U126">
        <v>0.99943039416723645</v>
      </c>
    </row>
    <row r="127" spans="1:21" x14ac:dyDescent="0.25">
      <c r="A127" t="s">
        <v>30</v>
      </c>
      <c r="B127" t="s">
        <v>82</v>
      </c>
      <c r="C127" t="s">
        <v>14</v>
      </c>
      <c r="D127">
        <v>4.5836142079336275</v>
      </c>
      <c r="E127">
        <v>4.75</v>
      </c>
      <c r="F127">
        <v>10</v>
      </c>
      <c r="G127">
        <v>4.75</v>
      </c>
      <c r="H127">
        <v>3.7780748663101602</v>
      </c>
      <c r="I127" t="s">
        <v>58</v>
      </c>
      <c r="K127" s="6">
        <v>45578</v>
      </c>
      <c r="L127">
        <v>45578</v>
      </c>
      <c r="M127">
        <v>1.036300130097856</v>
      </c>
      <c r="N127">
        <v>1.036300130097856</v>
      </c>
      <c r="O127">
        <v>0.82425673167929669</v>
      </c>
      <c r="P127">
        <v>0.96497141219655314</v>
      </c>
      <c r="Q127">
        <v>0.96497141219655314</v>
      </c>
      <c r="R127">
        <v>0.79538418238108632</v>
      </c>
      <c r="S127">
        <v>1.2572540693559802</v>
      </c>
      <c r="T127">
        <v>1.2572540693559802</v>
      </c>
      <c r="U127">
        <v>1.2132142347963035</v>
      </c>
    </row>
    <row r="128" spans="1:21" x14ac:dyDescent="0.25">
      <c r="A128" t="s">
        <v>29</v>
      </c>
      <c r="B128" t="s">
        <v>82</v>
      </c>
      <c r="C128" t="s">
        <v>13</v>
      </c>
      <c r="D128">
        <v>3.1563909774436096</v>
      </c>
      <c r="E128">
        <v>2.8499999999999996</v>
      </c>
      <c r="F128">
        <v>10</v>
      </c>
      <c r="G128">
        <v>2.8499999999999996</v>
      </c>
      <c r="H128">
        <v>1.882352941176471</v>
      </c>
      <c r="I128" t="s">
        <v>61</v>
      </c>
      <c r="J128">
        <v>1</v>
      </c>
      <c r="K128" s="6">
        <v>45579</v>
      </c>
      <c r="L128">
        <v>45579</v>
      </c>
      <c r="M128">
        <v>0.90292996665078584</v>
      </c>
      <c r="N128">
        <v>0.90292996665078584</v>
      </c>
      <c r="O128">
        <v>0.59636241347420338</v>
      </c>
      <c r="P128">
        <v>1.1075056061205648</v>
      </c>
      <c r="Q128">
        <v>1.1075056061205648</v>
      </c>
      <c r="R128">
        <v>0.66047471620227061</v>
      </c>
      <c r="S128">
        <v>1.5140624999999994</v>
      </c>
      <c r="T128">
        <v>1.5140624999999994</v>
      </c>
      <c r="U128">
        <v>1.6768327067669173</v>
      </c>
    </row>
    <row r="129" spans="1:21" x14ac:dyDescent="0.25">
      <c r="A129" t="s">
        <v>29</v>
      </c>
      <c r="B129" t="s">
        <v>82</v>
      </c>
      <c r="C129" t="s">
        <v>15</v>
      </c>
      <c r="D129">
        <v>1</v>
      </c>
      <c r="E129">
        <v>0</v>
      </c>
      <c r="F129">
        <v>10</v>
      </c>
      <c r="G129">
        <v>0</v>
      </c>
      <c r="H129">
        <v>5.4901960784313725E-2</v>
      </c>
      <c r="I129" t="s">
        <v>62</v>
      </c>
      <c r="J129">
        <v>1</v>
      </c>
      <c r="K129" s="6">
        <v>45579</v>
      </c>
      <c r="L129">
        <v>45579</v>
      </c>
      <c r="M129">
        <v>0</v>
      </c>
      <c r="N129">
        <v>0</v>
      </c>
      <c r="O129">
        <v>5.4901960784313725E-2</v>
      </c>
      <c r="S129">
        <v>0</v>
      </c>
      <c r="T129">
        <v>0</v>
      </c>
      <c r="U129">
        <v>18.214285714285715</v>
      </c>
    </row>
    <row r="130" spans="1:21" x14ac:dyDescent="0.25">
      <c r="A130" t="s">
        <v>29</v>
      </c>
      <c r="B130" t="s">
        <v>82</v>
      </c>
      <c r="C130" t="s">
        <v>14</v>
      </c>
      <c r="D130">
        <v>2.1042606516290729</v>
      </c>
      <c r="E130">
        <v>1.9</v>
      </c>
      <c r="F130">
        <v>10</v>
      </c>
      <c r="G130">
        <v>1.9</v>
      </c>
      <c r="H130">
        <v>1.9315753887761999</v>
      </c>
      <c r="I130" t="s">
        <v>63</v>
      </c>
      <c r="J130">
        <v>1</v>
      </c>
      <c r="K130" s="6">
        <v>45579</v>
      </c>
      <c r="L130">
        <v>45579</v>
      </c>
      <c r="M130">
        <v>0.90292996665078595</v>
      </c>
      <c r="N130">
        <v>0.90292996665078595</v>
      </c>
      <c r="O130">
        <v>0.91793542177430165</v>
      </c>
      <c r="P130">
        <v>1.1075056061205648</v>
      </c>
      <c r="Q130">
        <v>1.1075056061205648</v>
      </c>
      <c r="R130">
        <v>1.0166186256716843</v>
      </c>
      <c r="S130">
        <v>0.98365303836460383</v>
      </c>
      <c r="T130">
        <v>0.98365303836460383</v>
      </c>
      <c r="U130">
        <v>1.0894012544663256</v>
      </c>
    </row>
    <row r="131" spans="1:21" x14ac:dyDescent="0.25">
      <c r="A131" t="s">
        <v>30</v>
      </c>
      <c r="B131" t="s">
        <v>82</v>
      </c>
      <c r="C131" t="s">
        <v>13</v>
      </c>
      <c r="D131">
        <v>3.7478639781271377</v>
      </c>
      <c r="E131">
        <v>2.8499999999999996</v>
      </c>
      <c r="F131">
        <v>10</v>
      </c>
      <c r="G131">
        <v>2.8499999999999996</v>
      </c>
      <c r="H131">
        <v>2.8125</v>
      </c>
      <c r="I131" t="s">
        <v>61</v>
      </c>
      <c r="K131" s="6">
        <v>45579</v>
      </c>
      <c r="L131">
        <v>45579</v>
      </c>
      <c r="M131">
        <v>0.76043314715604649</v>
      </c>
      <c r="N131">
        <v>0.76043314715604649</v>
      </c>
      <c r="O131">
        <v>0.75042744785136184</v>
      </c>
      <c r="P131">
        <v>1.3150399923253115</v>
      </c>
      <c r="Q131">
        <v>1.3150399923253115</v>
      </c>
      <c r="R131">
        <v>0.98684210526315796</v>
      </c>
      <c r="S131">
        <v>1.0133333333333332</v>
      </c>
      <c r="T131">
        <v>1.0133333333333332</v>
      </c>
      <c r="U131">
        <v>1.332573858889649</v>
      </c>
    </row>
    <row r="132" spans="1:21" x14ac:dyDescent="0.25">
      <c r="A132" t="s">
        <v>30</v>
      </c>
      <c r="B132" t="s">
        <v>82</v>
      </c>
      <c r="C132" t="s">
        <v>15</v>
      </c>
      <c r="D132">
        <v>0.97058823529411775</v>
      </c>
      <c r="E132">
        <v>0</v>
      </c>
      <c r="F132">
        <v>10</v>
      </c>
      <c r="G132">
        <v>0</v>
      </c>
      <c r="H132">
        <v>2.8520499108734401E-2</v>
      </c>
      <c r="I132" t="s">
        <v>62</v>
      </c>
      <c r="K132" s="6">
        <v>45579</v>
      </c>
      <c r="L132">
        <v>45579</v>
      </c>
      <c r="M132">
        <v>0</v>
      </c>
      <c r="N132">
        <v>0</v>
      </c>
      <c r="O132">
        <v>2.9384756657483926E-2</v>
      </c>
      <c r="S132">
        <v>0</v>
      </c>
      <c r="T132">
        <v>0</v>
      </c>
      <c r="U132">
        <v>34.031250000000007</v>
      </c>
    </row>
    <row r="133" spans="1:21" x14ac:dyDescent="0.25">
      <c r="A133" t="s">
        <v>30</v>
      </c>
      <c r="B133" t="s">
        <v>82</v>
      </c>
      <c r="C133" t="s">
        <v>14</v>
      </c>
      <c r="D133">
        <v>4.5836142079336275</v>
      </c>
      <c r="E133">
        <v>2.8499999999999996</v>
      </c>
      <c r="F133">
        <v>10</v>
      </c>
      <c r="G133">
        <v>2.8499999999999996</v>
      </c>
      <c r="H133">
        <v>2.5661764705882355</v>
      </c>
      <c r="I133" t="s">
        <v>63</v>
      </c>
      <c r="K133" s="6">
        <v>45579</v>
      </c>
      <c r="L133">
        <v>45579</v>
      </c>
      <c r="M133">
        <v>0.6217800780587136</v>
      </c>
      <c r="N133">
        <v>0.6217800780587136</v>
      </c>
      <c r="O133">
        <v>0.55985873901571492</v>
      </c>
      <c r="P133">
        <v>1.6082856869942554</v>
      </c>
      <c r="Q133">
        <v>1.6082856869942554</v>
      </c>
      <c r="R133">
        <v>0.90041279669762664</v>
      </c>
      <c r="S133">
        <v>1.1106017191977076</v>
      </c>
      <c r="T133">
        <v>1.1106017191977076</v>
      </c>
      <c r="U133">
        <v>1.7861648489368862</v>
      </c>
    </row>
    <row r="134" spans="1:21" x14ac:dyDescent="0.25">
      <c r="A134" t="s">
        <v>29</v>
      </c>
      <c r="B134" t="s">
        <v>82</v>
      </c>
      <c r="C134" t="s">
        <v>13</v>
      </c>
      <c r="D134">
        <v>3.1563909774436087</v>
      </c>
      <c r="E134">
        <v>1.9</v>
      </c>
      <c r="F134">
        <v>10</v>
      </c>
      <c r="G134">
        <v>1.9</v>
      </c>
      <c r="H134">
        <v>0.78787878787878785</v>
      </c>
      <c r="I134" t="s">
        <v>66</v>
      </c>
      <c r="J134">
        <v>1</v>
      </c>
      <c r="K134" s="6">
        <v>45580</v>
      </c>
      <c r="L134">
        <v>45580</v>
      </c>
      <c r="M134">
        <v>0.60195331110052408</v>
      </c>
      <c r="N134">
        <v>0.60195331110052408</v>
      </c>
      <c r="O134">
        <v>0.24961381321552834</v>
      </c>
      <c r="P134">
        <v>1.6612584091808469</v>
      </c>
      <c r="Q134">
        <v>1.6612584091808469</v>
      </c>
      <c r="R134">
        <v>0.41467304625199364</v>
      </c>
      <c r="S134">
        <v>2.4115384615384614</v>
      </c>
      <c r="T134">
        <v>2.4115384615384614</v>
      </c>
      <c r="U134">
        <v>4.0061885482938111</v>
      </c>
    </row>
    <row r="135" spans="1:21" x14ac:dyDescent="0.25">
      <c r="A135" t="s">
        <v>29</v>
      </c>
      <c r="B135" t="s">
        <v>82</v>
      </c>
      <c r="C135" t="s">
        <v>15</v>
      </c>
      <c r="D135">
        <v>1</v>
      </c>
      <c r="E135">
        <v>0</v>
      </c>
      <c r="F135">
        <v>10</v>
      </c>
      <c r="G135">
        <v>0</v>
      </c>
      <c r="H135">
        <v>0</v>
      </c>
      <c r="I135" t="s">
        <v>65</v>
      </c>
      <c r="J135">
        <v>1</v>
      </c>
      <c r="K135" s="6">
        <v>45580</v>
      </c>
      <c r="L135">
        <v>45580</v>
      </c>
      <c r="M135">
        <v>0</v>
      </c>
      <c r="N135">
        <v>0</v>
      </c>
      <c r="O135">
        <v>0</v>
      </c>
    </row>
    <row r="136" spans="1:21" x14ac:dyDescent="0.25">
      <c r="A136" t="s">
        <v>29</v>
      </c>
      <c r="B136" t="s">
        <v>82</v>
      </c>
      <c r="C136" t="s">
        <v>14</v>
      </c>
      <c r="D136">
        <v>2.1042606516290729</v>
      </c>
      <c r="E136">
        <v>2.8499999999999996</v>
      </c>
      <c r="F136">
        <v>10</v>
      </c>
      <c r="G136">
        <v>2.8499999999999996</v>
      </c>
      <c r="H136">
        <v>1.5172413793103443</v>
      </c>
      <c r="I136" t="s">
        <v>64</v>
      </c>
      <c r="J136">
        <v>1</v>
      </c>
      <c r="K136" s="6">
        <v>45580</v>
      </c>
      <c r="L136">
        <v>45580</v>
      </c>
      <c r="M136">
        <v>1.3543949499761787</v>
      </c>
      <c r="N136">
        <v>1.3543949499761787</v>
      </c>
      <c r="O136">
        <v>0.72103300422204297</v>
      </c>
      <c r="P136">
        <v>0.73833707074704324</v>
      </c>
      <c r="Q136">
        <v>0.73833707074704324</v>
      </c>
      <c r="R136">
        <v>0.53236539624924373</v>
      </c>
      <c r="S136">
        <v>1.8784090909090914</v>
      </c>
      <c r="T136">
        <v>1.8784090909090914</v>
      </c>
      <c r="U136">
        <v>1.3868990658464349</v>
      </c>
    </row>
    <row r="137" spans="1:21" x14ac:dyDescent="0.25">
      <c r="A137" t="s">
        <v>30</v>
      </c>
      <c r="B137" t="s">
        <v>82</v>
      </c>
      <c r="C137" t="s">
        <v>13</v>
      </c>
      <c r="D137">
        <v>3.7478639781271368</v>
      </c>
      <c r="E137">
        <v>4.75</v>
      </c>
      <c r="F137">
        <v>10</v>
      </c>
      <c r="G137">
        <v>4.75</v>
      </c>
      <c r="H137">
        <v>3.75</v>
      </c>
      <c r="I137" t="s">
        <v>66</v>
      </c>
      <c r="K137" s="6">
        <v>45580</v>
      </c>
      <c r="L137">
        <v>45580</v>
      </c>
      <c r="M137">
        <v>1.2673885785934114</v>
      </c>
      <c r="N137">
        <v>1.2673885785934114</v>
      </c>
      <c r="O137">
        <v>1.0005699304684827</v>
      </c>
      <c r="P137">
        <v>0.78902399539518664</v>
      </c>
      <c r="Q137">
        <v>0.78902399539518664</v>
      </c>
      <c r="R137">
        <v>0.78947368421052633</v>
      </c>
      <c r="S137">
        <v>1.2666666666666666</v>
      </c>
      <c r="T137">
        <v>1.2666666666666666</v>
      </c>
      <c r="U137">
        <v>0.99943039416723645</v>
      </c>
    </row>
    <row r="138" spans="1:21" x14ac:dyDescent="0.25">
      <c r="A138" t="s">
        <v>30</v>
      </c>
      <c r="B138" t="s">
        <v>82</v>
      </c>
      <c r="C138" t="s">
        <v>15</v>
      </c>
      <c r="D138">
        <v>0.97058823529411775</v>
      </c>
      <c r="E138">
        <v>0.95</v>
      </c>
      <c r="F138">
        <v>10</v>
      </c>
      <c r="G138">
        <v>0.95</v>
      </c>
      <c r="H138">
        <v>0.96969696969696972</v>
      </c>
      <c r="I138" t="s">
        <v>65</v>
      </c>
      <c r="K138" s="6">
        <v>45580</v>
      </c>
      <c r="L138">
        <v>45580</v>
      </c>
      <c r="M138">
        <v>0.97878787878787865</v>
      </c>
      <c r="N138">
        <v>0.97878787878787865</v>
      </c>
      <c r="O138">
        <v>0.99908172635445358</v>
      </c>
      <c r="P138">
        <v>1.0216718266253872</v>
      </c>
      <c r="Q138">
        <v>1.0216718266253872</v>
      </c>
      <c r="R138">
        <v>1.0207336523125998</v>
      </c>
      <c r="S138">
        <v>0.97968749999999993</v>
      </c>
      <c r="T138">
        <v>0.97968749999999993</v>
      </c>
      <c r="U138">
        <v>1.0009191176470589</v>
      </c>
    </row>
    <row r="139" spans="1:21" x14ac:dyDescent="0.25">
      <c r="A139" t="s">
        <v>30</v>
      </c>
      <c r="B139" t="s">
        <v>82</v>
      </c>
      <c r="C139" t="s">
        <v>14</v>
      </c>
      <c r="D139">
        <v>4.5836142079336275</v>
      </c>
      <c r="E139">
        <v>3.8</v>
      </c>
      <c r="F139">
        <v>10</v>
      </c>
      <c r="G139">
        <v>3.8</v>
      </c>
      <c r="H139">
        <v>2.6229946524064167</v>
      </c>
      <c r="I139" t="s">
        <v>64</v>
      </c>
      <c r="K139" s="6">
        <v>45580</v>
      </c>
      <c r="L139">
        <v>45580</v>
      </c>
      <c r="M139">
        <v>0.82904010407828488</v>
      </c>
      <c r="N139">
        <v>0.82904010407828488</v>
      </c>
      <c r="O139">
        <v>0.57225467358626325</v>
      </c>
      <c r="P139">
        <v>1.2062142652456915</v>
      </c>
      <c r="Q139">
        <v>1.2062142652456915</v>
      </c>
      <c r="R139">
        <v>0.69026175063326756</v>
      </c>
      <c r="S139">
        <v>1.4487257900101937</v>
      </c>
      <c r="T139">
        <v>1.4487257900101937</v>
      </c>
      <c r="U139">
        <v>1.7474737143396299</v>
      </c>
    </row>
    <row r="140" spans="1:21" x14ac:dyDescent="0.25">
      <c r="A140" t="s">
        <v>29</v>
      </c>
      <c r="B140" t="s">
        <v>82</v>
      </c>
      <c r="C140" t="s">
        <v>14</v>
      </c>
      <c r="D140">
        <v>2.1042606516290729</v>
      </c>
      <c r="E140">
        <v>1.9</v>
      </c>
      <c r="F140">
        <v>10</v>
      </c>
      <c r="G140">
        <v>1.9</v>
      </c>
      <c r="H140">
        <v>2.3083164300202839</v>
      </c>
      <c r="I140" t="s">
        <v>67</v>
      </c>
      <c r="J140">
        <v>1</v>
      </c>
      <c r="K140" s="6">
        <v>45581</v>
      </c>
      <c r="L140">
        <v>45581</v>
      </c>
      <c r="M140">
        <v>0.90292996665078595</v>
      </c>
      <c r="N140">
        <v>0.90292996665078595</v>
      </c>
      <c r="O140">
        <v>1.0969726721987769</v>
      </c>
      <c r="P140">
        <v>1.1075056061205648</v>
      </c>
      <c r="Q140">
        <v>1.1075056061205648</v>
      </c>
      <c r="R140">
        <v>1.214903384221202</v>
      </c>
      <c r="S140">
        <v>0.82311072056239021</v>
      </c>
      <c r="T140">
        <v>0.82311072056239021</v>
      </c>
      <c r="U140">
        <v>0.91159973748078471</v>
      </c>
    </row>
    <row r="141" spans="1:21" x14ac:dyDescent="0.25">
      <c r="A141" t="s">
        <v>29</v>
      </c>
      <c r="B141" t="s">
        <v>82</v>
      </c>
      <c r="C141" t="s">
        <v>13</v>
      </c>
      <c r="D141">
        <v>3.1563909774436087</v>
      </c>
      <c r="E141">
        <v>1.9</v>
      </c>
      <c r="F141">
        <v>10</v>
      </c>
      <c r="G141">
        <v>1.9</v>
      </c>
      <c r="H141">
        <v>1.7290552584670236</v>
      </c>
      <c r="I141" t="s">
        <v>69</v>
      </c>
      <c r="J141">
        <v>1</v>
      </c>
      <c r="K141" s="6">
        <v>45581</v>
      </c>
      <c r="L141">
        <v>45581</v>
      </c>
      <c r="M141">
        <v>0.60195331110052408</v>
      </c>
      <c r="N141">
        <v>0.60195331110052408</v>
      </c>
      <c r="O141">
        <v>0.54779501995263025</v>
      </c>
      <c r="P141">
        <v>1.6612584091808469</v>
      </c>
      <c r="Q141">
        <v>1.6612584091808469</v>
      </c>
      <c r="R141">
        <v>0.9100290834036967</v>
      </c>
      <c r="S141">
        <v>1.098865979381443</v>
      </c>
      <c r="T141">
        <v>1.098865979381443</v>
      </c>
      <c r="U141">
        <v>1.8255003488101691</v>
      </c>
    </row>
    <row r="142" spans="1:21" x14ac:dyDescent="0.25">
      <c r="A142" t="s">
        <v>29</v>
      </c>
      <c r="B142" t="s">
        <v>82</v>
      </c>
      <c r="C142" t="s">
        <v>15</v>
      </c>
      <c r="D142">
        <v>1</v>
      </c>
      <c r="E142">
        <v>0</v>
      </c>
      <c r="F142">
        <v>10</v>
      </c>
      <c r="G142">
        <v>0</v>
      </c>
      <c r="H142">
        <v>0</v>
      </c>
      <c r="I142" t="s">
        <v>68</v>
      </c>
      <c r="J142">
        <v>1</v>
      </c>
      <c r="K142" s="6">
        <v>45581</v>
      </c>
      <c r="L142">
        <v>45581</v>
      </c>
      <c r="M142">
        <v>0</v>
      </c>
      <c r="N142">
        <v>0</v>
      </c>
      <c r="O142">
        <v>0</v>
      </c>
    </row>
    <row r="143" spans="1:21" x14ac:dyDescent="0.25">
      <c r="A143" t="s">
        <v>30</v>
      </c>
      <c r="B143" t="s">
        <v>82</v>
      </c>
      <c r="C143" t="s">
        <v>14</v>
      </c>
      <c r="D143">
        <v>4.5836142079336275</v>
      </c>
      <c r="E143">
        <v>2.8499999999999996</v>
      </c>
      <c r="F143">
        <v>10</v>
      </c>
      <c r="G143">
        <v>2.8499999999999996</v>
      </c>
      <c r="H143">
        <v>2.780080213903743</v>
      </c>
      <c r="I143" t="s">
        <v>67</v>
      </c>
      <c r="K143" s="6">
        <v>45581</v>
      </c>
      <c r="L143">
        <v>45581</v>
      </c>
      <c r="M143">
        <v>0.6217800780587136</v>
      </c>
      <c r="N143">
        <v>0.6217800780587136</v>
      </c>
      <c r="O143">
        <v>0.606525786810721</v>
      </c>
      <c r="P143">
        <v>1.6082856869942554</v>
      </c>
      <c r="Q143">
        <v>1.6082856869942554</v>
      </c>
      <c r="R143">
        <v>0.97546674172061176</v>
      </c>
      <c r="S143">
        <v>1.0251502765087761</v>
      </c>
      <c r="T143">
        <v>1.0251502765087761</v>
      </c>
      <c r="U143">
        <v>1.648734516727268</v>
      </c>
    </row>
    <row r="144" spans="1:21" x14ac:dyDescent="0.25">
      <c r="A144" t="s">
        <v>30</v>
      </c>
      <c r="B144" t="s">
        <v>82</v>
      </c>
      <c r="C144" t="s">
        <v>13</v>
      </c>
      <c r="D144">
        <v>3.7478639781271368</v>
      </c>
      <c r="E144">
        <v>6.6499999999999995</v>
      </c>
      <c r="F144">
        <v>10</v>
      </c>
      <c r="G144">
        <v>6.6499999999999995</v>
      </c>
      <c r="H144">
        <v>3.643872549019608</v>
      </c>
      <c r="I144" t="s">
        <v>69</v>
      </c>
      <c r="K144" s="6">
        <v>45581</v>
      </c>
      <c r="L144">
        <v>45581</v>
      </c>
      <c r="M144">
        <v>1.7743440100307757</v>
      </c>
      <c r="N144">
        <v>1.7743440100307757</v>
      </c>
      <c r="O144">
        <v>0.97225314746894986</v>
      </c>
      <c r="P144">
        <v>0.56358856813941915</v>
      </c>
      <c r="Q144">
        <v>0.56358856813941915</v>
      </c>
      <c r="R144">
        <v>0.54795075925106895</v>
      </c>
      <c r="S144">
        <v>1.824981502656891</v>
      </c>
      <c r="T144">
        <v>1.824981502656891</v>
      </c>
      <c r="U144">
        <v>1.0285387119633227</v>
      </c>
    </row>
    <row r="145" spans="1:21" x14ac:dyDescent="0.25">
      <c r="A145" t="s">
        <v>30</v>
      </c>
      <c r="B145" t="s">
        <v>82</v>
      </c>
      <c r="C145" t="s">
        <v>15</v>
      </c>
      <c r="D145">
        <v>0.97058823529411775</v>
      </c>
      <c r="E145">
        <v>0.95</v>
      </c>
      <c r="F145">
        <v>10</v>
      </c>
      <c r="G145">
        <v>0.95</v>
      </c>
      <c r="H145">
        <v>0.99821746880570394</v>
      </c>
      <c r="I145" t="s">
        <v>68</v>
      </c>
      <c r="K145" s="6">
        <v>45581</v>
      </c>
      <c r="L145">
        <v>45581</v>
      </c>
      <c r="M145">
        <v>0.97878787878787865</v>
      </c>
      <c r="N145">
        <v>0.97878787878787865</v>
      </c>
      <c r="O145">
        <v>1.0284664830119372</v>
      </c>
      <c r="P145">
        <v>1.0216718266253872</v>
      </c>
      <c r="Q145">
        <v>1.0216718266253872</v>
      </c>
      <c r="R145">
        <v>1.0507552303217937</v>
      </c>
      <c r="S145">
        <v>0.95169642857142867</v>
      </c>
      <c r="T145">
        <v>0.95169642857142867</v>
      </c>
      <c r="U145">
        <v>0.97232142857142878</v>
      </c>
    </row>
    <row r="146" spans="1:21" x14ac:dyDescent="0.25">
      <c r="A146" t="s">
        <v>29</v>
      </c>
      <c r="B146" t="s">
        <v>82</v>
      </c>
      <c r="C146" t="s">
        <v>15</v>
      </c>
      <c r="D146">
        <v>1</v>
      </c>
      <c r="E146">
        <v>0</v>
      </c>
      <c r="F146">
        <v>10</v>
      </c>
      <c r="G146">
        <v>0</v>
      </c>
      <c r="H146">
        <v>2.7450980392156862E-2</v>
      </c>
      <c r="I146" t="s">
        <v>70</v>
      </c>
      <c r="J146">
        <v>1</v>
      </c>
      <c r="K146" s="6">
        <v>45582</v>
      </c>
      <c r="L146">
        <v>45582</v>
      </c>
      <c r="M146">
        <v>0</v>
      </c>
      <c r="N146">
        <v>0</v>
      </c>
      <c r="O146">
        <v>2.7450980392156862E-2</v>
      </c>
      <c r="S146">
        <v>0</v>
      </c>
      <c r="T146">
        <v>0</v>
      </c>
      <c r="U146">
        <v>36.428571428571431</v>
      </c>
    </row>
    <row r="147" spans="1:21" x14ac:dyDescent="0.25">
      <c r="A147" t="s">
        <v>29</v>
      </c>
      <c r="B147" t="s">
        <v>82</v>
      </c>
      <c r="C147" t="s">
        <v>14</v>
      </c>
      <c r="D147">
        <v>2.1042606516290729</v>
      </c>
      <c r="E147">
        <v>1.9</v>
      </c>
      <c r="F147">
        <v>10</v>
      </c>
      <c r="G147">
        <v>1.9</v>
      </c>
      <c r="H147">
        <v>1.7568627450980394</v>
      </c>
      <c r="I147" t="s">
        <v>71</v>
      </c>
      <c r="J147">
        <v>1</v>
      </c>
      <c r="K147" s="6">
        <v>45582</v>
      </c>
      <c r="L147">
        <v>45582</v>
      </c>
      <c r="M147">
        <v>0.90292996665078595</v>
      </c>
      <c r="N147">
        <v>0.90292996665078595</v>
      </c>
      <c r="O147">
        <v>0.83490737886388477</v>
      </c>
      <c r="P147">
        <v>1.1075056061205648</v>
      </c>
      <c r="Q147">
        <v>1.1075056061205648</v>
      </c>
      <c r="R147">
        <v>0.92466460268317863</v>
      </c>
      <c r="S147">
        <v>1.0814732142857142</v>
      </c>
      <c r="T147">
        <v>1.0814732142857142</v>
      </c>
      <c r="U147">
        <v>1.1977376476906552</v>
      </c>
    </row>
    <row r="148" spans="1:21" x14ac:dyDescent="0.25">
      <c r="A148" t="s">
        <v>29</v>
      </c>
      <c r="B148" t="s">
        <v>82</v>
      </c>
      <c r="C148" t="s">
        <v>13</v>
      </c>
      <c r="D148">
        <v>3.1563909774436087</v>
      </c>
      <c r="E148">
        <v>2.8499999999999996</v>
      </c>
      <c r="F148">
        <v>10</v>
      </c>
      <c r="G148">
        <v>2.8499999999999996</v>
      </c>
      <c r="H148">
        <v>1.882352941176471</v>
      </c>
      <c r="I148" t="s">
        <v>72</v>
      </c>
      <c r="J148">
        <v>1</v>
      </c>
      <c r="K148" s="6">
        <v>45582</v>
      </c>
      <c r="L148">
        <v>45582</v>
      </c>
      <c r="M148">
        <v>0.90292996665078606</v>
      </c>
      <c r="N148">
        <v>0.90292996665078606</v>
      </c>
      <c r="O148">
        <v>0.5963624134742036</v>
      </c>
      <c r="P148">
        <v>1.1075056061205646</v>
      </c>
      <c r="Q148">
        <v>1.1075056061205646</v>
      </c>
      <c r="R148">
        <v>0.66047471620227061</v>
      </c>
      <c r="S148">
        <v>1.5140624999999994</v>
      </c>
      <c r="T148">
        <v>1.5140624999999994</v>
      </c>
      <c r="U148">
        <v>1.6768327067669169</v>
      </c>
    </row>
    <row r="149" spans="1:21" x14ac:dyDescent="0.25">
      <c r="A149" t="s">
        <v>30</v>
      </c>
      <c r="B149" t="s">
        <v>82</v>
      </c>
      <c r="C149" t="s">
        <v>15</v>
      </c>
      <c r="D149">
        <v>0.97058823529411775</v>
      </c>
      <c r="E149">
        <v>0</v>
      </c>
      <c r="F149">
        <v>10</v>
      </c>
      <c r="G149">
        <v>0</v>
      </c>
      <c r="H149">
        <v>5.7040998217468802E-2</v>
      </c>
      <c r="I149" t="s">
        <v>70</v>
      </c>
      <c r="K149" s="6">
        <v>45582</v>
      </c>
      <c r="L149">
        <v>45582</v>
      </c>
      <c r="M149">
        <v>0</v>
      </c>
      <c r="N149">
        <v>0</v>
      </c>
      <c r="O149">
        <v>5.8769513314967853E-2</v>
      </c>
      <c r="S149">
        <v>0</v>
      </c>
      <c r="T149">
        <v>0</v>
      </c>
      <c r="U149">
        <v>17.015625000000004</v>
      </c>
    </row>
    <row r="150" spans="1:21" x14ac:dyDescent="0.25">
      <c r="A150" t="s">
        <v>30</v>
      </c>
      <c r="B150" t="s">
        <v>82</v>
      </c>
      <c r="C150" t="s">
        <v>14</v>
      </c>
      <c r="D150">
        <v>4.5836142079336275</v>
      </c>
      <c r="E150">
        <v>1.9</v>
      </c>
      <c r="F150">
        <v>10</v>
      </c>
      <c r="G150">
        <v>1.9</v>
      </c>
      <c r="H150">
        <v>2.8368983957219247</v>
      </c>
      <c r="I150" t="s">
        <v>71</v>
      </c>
      <c r="K150" s="6">
        <v>45582</v>
      </c>
      <c r="L150">
        <v>45582</v>
      </c>
      <c r="M150">
        <v>0.41452005203914244</v>
      </c>
      <c r="N150">
        <v>0.41452005203914244</v>
      </c>
      <c r="O150">
        <v>0.61892172138126944</v>
      </c>
      <c r="P150">
        <v>2.4124285304913831</v>
      </c>
      <c r="Q150">
        <v>2.4124285304913831</v>
      </c>
      <c r="R150">
        <v>1.493104418801013</v>
      </c>
      <c r="S150">
        <v>0.66974552309142321</v>
      </c>
      <c r="T150">
        <v>0.66974552309142321</v>
      </c>
      <c r="U150">
        <v>1.6157132080746248</v>
      </c>
    </row>
    <row r="151" spans="1:21" x14ac:dyDescent="0.25">
      <c r="A151" t="s">
        <v>30</v>
      </c>
      <c r="B151" t="s">
        <v>82</v>
      </c>
      <c r="C151" t="s">
        <v>13</v>
      </c>
      <c r="D151">
        <v>3.7478639781271368</v>
      </c>
      <c r="E151">
        <v>6.6499999999999995</v>
      </c>
      <c r="F151">
        <v>10</v>
      </c>
      <c r="G151">
        <v>6.6499999999999995</v>
      </c>
      <c r="H151">
        <v>3.7813725490196082</v>
      </c>
      <c r="I151" t="s">
        <v>72</v>
      </c>
      <c r="K151" s="6">
        <v>45582</v>
      </c>
      <c r="L151">
        <v>45582</v>
      </c>
      <c r="M151">
        <v>1.7743440100307757</v>
      </c>
      <c r="N151">
        <v>1.7743440100307757</v>
      </c>
      <c r="O151">
        <v>1.0089407115861275</v>
      </c>
      <c r="P151">
        <v>0.56358856813941915</v>
      </c>
      <c r="Q151">
        <v>0.56358856813941915</v>
      </c>
      <c r="R151">
        <v>0.56862745098039225</v>
      </c>
      <c r="S151">
        <v>1.7586206896551722</v>
      </c>
      <c r="T151">
        <v>1.7586206896551722</v>
      </c>
      <c r="U151">
        <v>0.99113851638311623</v>
      </c>
    </row>
    <row r="152" spans="1:21" x14ac:dyDescent="0.25">
      <c r="A152" t="s">
        <v>29</v>
      </c>
      <c r="B152" t="s">
        <v>82</v>
      </c>
      <c r="C152" t="s">
        <v>13</v>
      </c>
      <c r="D152">
        <v>3.1563909774436096</v>
      </c>
      <c r="E152">
        <v>2.8499999999999996</v>
      </c>
      <c r="F152">
        <v>10</v>
      </c>
      <c r="G152">
        <v>2.8499999999999996</v>
      </c>
      <c r="H152">
        <v>1.882352941176471</v>
      </c>
      <c r="I152" t="s">
        <v>73</v>
      </c>
      <c r="J152">
        <v>1</v>
      </c>
      <c r="K152" s="6">
        <v>45583</v>
      </c>
      <c r="L152">
        <v>45583</v>
      </c>
      <c r="M152">
        <v>0.90292996665078584</v>
      </c>
      <c r="N152">
        <v>0.90292996665078584</v>
      </c>
      <c r="O152">
        <v>0.59636241347420338</v>
      </c>
      <c r="P152">
        <v>1.1075056061205648</v>
      </c>
      <c r="Q152">
        <v>1.1075056061205648</v>
      </c>
      <c r="R152">
        <v>0.66047471620227061</v>
      </c>
      <c r="S152">
        <v>1.5140624999999994</v>
      </c>
      <c r="T152">
        <v>1.5140624999999994</v>
      </c>
      <c r="U152">
        <v>1.6768327067669173</v>
      </c>
    </row>
    <row r="153" spans="1:21" x14ac:dyDescent="0.25">
      <c r="A153" t="s">
        <v>29</v>
      </c>
      <c r="B153" t="s">
        <v>82</v>
      </c>
      <c r="C153" t="s">
        <v>15</v>
      </c>
      <c r="D153">
        <v>1</v>
      </c>
      <c r="E153">
        <v>0</v>
      </c>
      <c r="F153">
        <v>10</v>
      </c>
      <c r="G153">
        <v>0</v>
      </c>
      <c r="H153">
        <v>2.7450980392156862E-2</v>
      </c>
      <c r="I153" t="s">
        <v>74</v>
      </c>
      <c r="J153">
        <v>1</v>
      </c>
      <c r="K153" s="6">
        <v>45583</v>
      </c>
      <c r="L153">
        <v>45583</v>
      </c>
      <c r="M153">
        <v>0</v>
      </c>
      <c r="N153">
        <v>0</v>
      </c>
      <c r="O153">
        <v>2.7450980392156862E-2</v>
      </c>
      <c r="S153">
        <v>0</v>
      </c>
      <c r="T153">
        <v>0</v>
      </c>
      <c r="U153">
        <v>36.428571428571431</v>
      </c>
    </row>
    <row r="154" spans="1:21" x14ac:dyDescent="0.25">
      <c r="A154" t="s">
        <v>29</v>
      </c>
      <c r="B154" t="s">
        <v>82</v>
      </c>
      <c r="C154" t="s">
        <v>14</v>
      </c>
      <c r="D154">
        <v>2.1042606516290729</v>
      </c>
      <c r="E154">
        <v>2.8499999999999996</v>
      </c>
      <c r="F154">
        <v>10</v>
      </c>
      <c r="G154">
        <v>2.8499999999999996</v>
      </c>
      <c r="H154">
        <v>1.7568627450980387</v>
      </c>
      <c r="I154" t="s">
        <v>75</v>
      </c>
      <c r="J154">
        <v>1</v>
      </c>
      <c r="K154" s="6">
        <v>45583</v>
      </c>
      <c r="L154">
        <v>45583</v>
      </c>
      <c r="M154">
        <v>1.3543949499761787</v>
      </c>
      <c r="N154">
        <v>1.3543949499761787</v>
      </c>
      <c r="O154">
        <v>0.83490737886388444</v>
      </c>
      <c r="P154">
        <v>0.73833707074704324</v>
      </c>
      <c r="Q154">
        <v>0.73833707074704324</v>
      </c>
      <c r="R154">
        <v>0.61644306845545227</v>
      </c>
      <c r="S154">
        <v>1.6222098214285716</v>
      </c>
      <c r="T154">
        <v>1.6222098214285716</v>
      </c>
      <c r="U154">
        <v>1.1977376476906556</v>
      </c>
    </row>
    <row r="155" spans="1:21" x14ac:dyDescent="0.25">
      <c r="A155" t="s">
        <v>30</v>
      </c>
      <c r="B155" t="s">
        <v>82</v>
      </c>
      <c r="C155" t="s">
        <v>13</v>
      </c>
      <c r="D155">
        <v>3.7478639781271368</v>
      </c>
      <c r="E155">
        <v>6.6499999999999995</v>
      </c>
      <c r="F155">
        <v>10</v>
      </c>
      <c r="G155">
        <v>6.6499999999999995</v>
      </c>
      <c r="H155">
        <v>3.75</v>
      </c>
      <c r="I155" t="s">
        <v>73</v>
      </c>
      <c r="K155" s="6">
        <v>45583</v>
      </c>
      <c r="L155">
        <v>45583</v>
      </c>
      <c r="M155">
        <v>1.7743440100307757</v>
      </c>
      <c r="N155">
        <v>1.7743440100307757</v>
      </c>
      <c r="O155">
        <v>1.0005699304684827</v>
      </c>
      <c r="P155">
        <v>0.56358856813941915</v>
      </c>
      <c r="Q155">
        <v>0.56358856813941915</v>
      </c>
      <c r="R155">
        <v>0.56390977443609025</v>
      </c>
      <c r="S155">
        <v>1.7733333333333332</v>
      </c>
      <c r="T155">
        <v>1.7733333333333332</v>
      </c>
      <c r="U155">
        <v>0.99943039416723645</v>
      </c>
    </row>
    <row r="156" spans="1:21" x14ac:dyDescent="0.25">
      <c r="A156" t="s">
        <v>30</v>
      </c>
      <c r="B156" t="s">
        <v>82</v>
      </c>
      <c r="C156" t="s">
        <v>15</v>
      </c>
      <c r="D156">
        <v>0.97058823529411775</v>
      </c>
      <c r="E156">
        <v>0.95</v>
      </c>
      <c r="F156">
        <v>10</v>
      </c>
      <c r="G156">
        <v>0.95</v>
      </c>
      <c r="H156">
        <v>0.96969696969696972</v>
      </c>
      <c r="I156" t="s">
        <v>74</v>
      </c>
      <c r="K156" s="6">
        <v>45583</v>
      </c>
      <c r="L156">
        <v>45583</v>
      </c>
      <c r="M156">
        <v>0.97878787878787865</v>
      </c>
      <c r="N156">
        <v>0.97878787878787865</v>
      </c>
      <c r="O156">
        <v>0.99908172635445358</v>
      </c>
      <c r="P156">
        <v>1.0216718266253872</v>
      </c>
      <c r="Q156">
        <v>1.0216718266253872</v>
      </c>
      <c r="R156">
        <v>1.0207336523125998</v>
      </c>
      <c r="S156">
        <v>0.97968749999999993</v>
      </c>
      <c r="T156">
        <v>0.97968749999999993</v>
      </c>
      <c r="U156">
        <v>1.0009191176470589</v>
      </c>
    </row>
    <row r="157" spans="1:21" x14ac:dyDescent="0.25">
      <c r="A157" t="s">
        <v>30</v>
      </c>
      <c r="B157" t="s">
        <v>82</v>
      </c>
      <c r="C157" t="s">
        <v>14</v>
      </c>
      <c r="D157">
        <v>4.5836142079336275</v>
      </c>
      <c r="E157">
        <v>2.8499999999999996</v>
      </c>
      <c r="F157">
        <v>10</v>
      </c>
      <c r="G157">
        <v>2.8499999999999996</v>
      </c>
      <c r="H157">
        <v>2.6229946524064167</v>
      </c>
      <c r="I157" t="s">
        <v>75</v>
      </c>
      <c r="K157" s="6">
        <v>45583</v>
      </c>
      <c r="L157">
        <v>45583</v>
      </c>
      <c r="M157">
        <v>0.6217800780587136</v>
      </c>
      <c r="N157">
        <v>0.6217800780587136</v>
      </c>
      <c r="O157">
        <v>0.57225467358626325</v>
      </c>
      <c r="P157">
        <v>1.6082856869942554</v>
      </c>
      <c r="Q157">
        <v>1.6082856869942554</v>
      </c>
      <c r="R157">
        <v>0.92034900084435689</v>
      </c>
      <c r="S157">
        <v>1.0865443425076453</v>
      </c>
      <c r="T157">
        <v>1.0865443425076453</v>
      </c>
      <c r="U157">
        <v>1.7474737143396299</v>
      </c>
    </row>
    <row r="158" spans="1:21" x14ac:dyDescent="0.25">
      <c r="A158" t="s">
        <v>29</v>
      </c>
      <c r="B158" t="s">
        <v>82</v>
      </c>
      <c r="C158" t="s">
        <v>15</v>
      </c>
      <c r="D158">
        <v>1</v>
      </c>
      <c r="E158">
        <v>0</v>
      </c>
      <c r="F158">
        <v>10</v>
      </c>
      <c r="G158">
        <v>0</v>
      </c>
      <c r="H158">
        <v>0</v>
      </c>
      <c r="I158" t="s">
        <v>77</v>
      </c>
      <c r="J158">
        <v>1</v>
      </c>
      <c r="K158" s="6">
        <v>45584</v>
      </c>
      <c r="L158">
        <v>45584</v>
      </c>
      <c r="M158">
        <v>0</v>
      </c>
      <c r="N158">
        <v>0</v>
      </c>
      <c r="O158">
        <v>0</v>
      </c>
    </row>
    <row r="159" spans="1:21" x14ac:dyDescent="0.25">
      <c r="A159" t="s">
        <v>29</v>
      </c>
      <c r="B159" t="s">
        <v>82</v>
      </c>
      <c r="C159" t="s">
        <v>14</v>
      </c>
      <c r="D159">
        <v>2.1042606516290729</v>
      </c>
      <c r="E159">
        <v>2.8499999999999996</v>
      </c>
      <c r="F159">
        <v>10</v>
      </c>
      <c r="G159">
        <v>2.8499999999999996</v>
      </c>
      <c r="H159">
        <v>1.5821501014198782</v>
      </c>
      <c r="I159" t="s">
        <v>76</v>
      </c>
      <c r="J159">
        <v>1</v>
      </c>
      <c r="K159" s="6">
        <v>45584</v>
      </c>
      <c r="L159">
        <v>45584</v>
      </c>
      <c r="M159">
        <v>1.3543949499761787</v>
      </c>
      <c r="N159">
        <v>1.3543949499761787</v>
      </c>
      <c r="O159">
        <v>0.75187933595346756</v>
      </c>
      <c r="P159">
        <v>0.73833707074704324</v>
      </c>
      <c r="Q159">
        <v>0.73833707074704324</v>
      </c>
      <c r="R159">
        <v>0.55514038646311525</v>
      </c>
      <c r="S159">
        <v>1.8013461538461537</v>
      </c>
      <c r="T159">
        <v>1.8013461538461537</v>
      </c>
      <c r="U159">
        <v>1.3300006426322217</v>
      </c>
    </row>
    <row r="160" spans="1:21" x14ac:dyDescent="0.25">
      <c r="A160" t="s">
        <v>29</v>
      </c>
      <c r="B160" t="s">
        <v>82</v>
      </c>
      <c r="C160" t="s">
        <v>13</v>
      </c>
      <c r="D160">
        <v>3.1563909774436096</v>
      </c>
      <c r="E160">
        <v>2.8499999999999996</v>
      </c>
      <c r="F160">
        <v>10</v>
      </c>
      <c r="G160">
        <v>2.8499999999999996</v>
      </c>
      <c r="H160">
        <v>1.882352941176471</v>
      </c>
      <c r="I160" t="s">
        <v>78</v>
      </c>
      <c r="J160">
        <v>1</v>
      </c>
      <c r="K160" s="6">
        <v>45584</v>
      </c>
      <c r="L160">
        <v>45584</v>
      </c>
      <c r="M160">
        <v>0.90292996665078584</v>
      </c>
      <c r="N160">
        <v>0.90292996665078584</v>
      </c>
      <c r="O160">
        <v>0.59636241347420338</v>
      </c>
      <c r="P160">
        <v>1.1075056061205648</v>
      </c>
      <c r="Q160">
        <v>1.1075056061205648</v>
      </c>
      <c r="R160">
        <v>0.66047471620227061</v>
      </c>
      <c r="S160">
        <v>1.5140624999999994</v>
      </c>
      <c r="T160">
        <v>1.5140624999999994</v>
      </c>
      <c r="U160">
        <v>1.6768327067669173</v>
      </c>
    </row>
    <row r="161" spans="1:21" x14ac:dyDescent="0.25">
      <c r="A161" t="s">
        <v>30</v>
      </c>
      <c r="B161" t="s">
        <v>82</v>
      </c>
      <c r="C161" t="s">
        <v>15</v>
      </c>
      <c r="D161">
        <v>0.97058823529411775</v>
      </c>
      <c r="E161">
        <v>0.95</v>
      </c>
      <c r="F161">
        <v>10</v>
      </c>
      <c r="G161">
        <v>0.95</v>
      </c>
      <c r="H161">
        <v>0.96969696969696972</v>
      </c>
      <c r="I161" t="s">
        <v>77</v>
      </c>
      <c r="K161" s="6">
        <v>45584</v>
      </c>
      <c r="L161">
        <v>45584</v>
      </c>
      <c r="M161">
        <v>0.97878787878787865</v>
      </c>
      <c r="N161">
        <v>0.97878787878787865</v>
      </c>
      <c r="O161">
        <v>0.99908172635445358</v>
      </c>
      <c r="P161">
        <v>1.0216718266253872</v>
      </c>
      <c r="Q161">
        <v>1.0216718266253872</v>
      </c>
      <c r="R161">
        <v>1.0207336523125998</v>
      </c>
      <c r="S161">
        <v>0.97968749999999993</v>
      </c>
      <c r="T161">
        <v>0.97968749999999993</v>
      </c>
      <c r="U161">
        <v>1.0009191176470589</v>
      </c>
    </row>
    <row r="162" spans="1:21" x14ac:dyDescent="0.25">
      <c r="A162" t="s">
        <v>30</v>
      </c>
      <c r="B162" t="s">
        <v>82</v>
      </c>
      <c r="C162" t="s">
        <v>14</v>
      </c>
      <c r="D162">
        <v>4.5836142079336275</v>
      </c>
      <c r="E162">
        <v>3.8</v>
      </c>
      <c r="F162">
        <v>10</v>
      </c>
      <c r="G162">
        <v>3.8</v>
      </c>
      <c r="H162">
        <v>3.3502673796791438</v>
      </c>
      <c r="I162" t="s">
        <v>76</v>
      </c>
      <c r="K162" s="6">
        <v>45584</v>
      </c>
      <c r="L162">
        <v>45584</v>
      </c>
      <c r="M162">
        <v>0.82904010407828488</v>
      </c>
      <c r="N162">
        <v>0.82904010407828488</v>
      </c>
      <c r="O162">
        <v>0.73092263608928432</v>
      </c>
      <c r="P162">
        <v>1.2062142652456915</v>
      </c>
      <c r="Q162">
        <v>1.2062142652456915</v>
      </c>
      <c r="R162">
        <v>0.88164931044188</v>
      </c>
      <c r="S162">
        <v>1.1342378292098965</v>
      </c>
      <c r="T162">
        <v>1.1342378292098965</v>
      </c>
      <c r="U162">
        <v>1.3681338497742832</v>
      </c>
    </row>
    <row r="163" spans="1:21" x14ac:dyDescent="0.25">
      <c r="A163" t="s">
        <v>30</v>
      </c>
      <c r="B163" t="s">
        <v>82</v>
      </c>
      <c r="C163" t="s">
        <v>13</v>
      </c>
      <c r="D163">
        <v>3.7478639781271368</v>
      </c>
      <c r="E163">
        <v>3.8</v>
      </c>
      <c r="F163">
        <v>10</v>
      </c>
      <c r="G163">
        <v>3.8</v>
      </c>
      <c r="H163">
        <v>3.7813725490196082</v>
      </c>
      <c r="I163" t="s">
        <v>78</v>
      </c>
      <c r="K163" s="6">
        <v>45584</v>
      </c>
      <c r="L163">
        <v>45584</v>
      </c>
      <c r="M163">
        <v>1.0139108628747291</v>
      </c>
      <c r="N163">
        <v>1.0139108628747291</v>
      </c>
      <c r="O163">
        <v>1.0089407115861275</v>
      </c>
      <c r="P163">
        <v>0.98627999424398338</v>
      </c>
      <c r="Q163">
        <v>0.98627999424398338</v>
      </c>
      <c r="R163">
        <v>0.9950980392156864</v>
      </c>
      <c r="S163">
        <v>1.0049261083743841</v>
      </c>
      <c r="T163">
        <v>1.0049261083743841</v>
      </c>
      <c r="U163">
        <v>0.99113851638311623</v>
      </c>
    </row>
    <row r="164" spans="1:21" x14ac:dyDescent="0.25">
      <c r="A164" t="s">
        <v>29</v>
      </c>
      <c r="B164" t="s">
        <v>82</v>
      </c>
      <c r="C164" t="s">
        <v>15</v>
      </c>
      <c r="D164">
        <v>1</v>
      </c>
      <c r="E164">
        <v>0</v>
      </c>
      <c r="F164">
        <v>10</v>
      </c>
      <c r="G164">
        <v>0</v>
      </c>
      <c r="H164">
        <v>0</v>
      </c>
      <c r="I164" t="s">
        <v>80</v>
      </c>
      <c r="J164">
        <v>1</v>
      </c>
      <c r="K164" s="6">
        <v>45585</v>
      </c>
      <c r="L164">
        <v>45585</v>
      </c>
      <c r="M164">
        <v>0</v>
      </c>
      <c r="N164">
        <v>0</v>
      </c>
      <c r="O164">
        <v>0</v>
      </c>
    </row>
    <row r="165" spans="1:21" x14ac:dyDescent="0.25">
      <c r="A165" t="s">
        <v>29</v>
      </c>
      <c r="B165" t="s">
        <v>82</v>
      </c>
      <c r="C165" t="s">
        <v>14</v>
      </c>
      <c r="D165">
        <v>2.1042606516290729</v>
      </c>
      <c r="E165">
        <v>2.8499999999999996</v>
      </c>
      <c r="F165">
        <v>10</v>
      </c>
      <c r="G165">
        <v>2.8499999999999996</v>
      </c>
      <c r="H165">
        <v>1.5930393936158855</v>
      </c>
      <c r="I165" t="s">
        <v>79</v>
      </c>
      <c r="J165">
        <v>1</v>
      </c>
      <c r="K165" s="6">
        <v>45585</v>
      </c>
      <c r="L165">
        <v>45585</v>
      </c>
      <c r="M165">
        <v>1.3543949499761787</v>
      </c>
      <c r="N165">
        <v>1.3543949499761787</v>
      </c>
      <c r="O165">
        <v>0.75705421397419992</v>
      </c>
      <c r="P165">
        <v>0.73833707074704324</v>
      </c>
      <c r="Q165">
        <v>0.73833707074704324</v>
      </c>
      <c r="R165">
        <v>0.55896119074241601</v>
      </c>
      <c r="S165">
        <v>1.7890329714515478</v>
      </c>
      <c r="T165">
        <v>1.7890329714515478</v>
      </c>
      <c r="U165">
        <v>1.3209093636114144</v>
      </c>
    </row>
    <row r="166" spans="1:21" x14ac:dyDescent="0.25">
      <c r="A166" t="s">
        <v>29</v>
      </c>
      <c r="B166" t="s">
        <v>82</v>
      </c>
      <c r="C166" t="s">
        <v>13</v>
      </c>
      <c r="D166">
        <v>3.1563909774436087</v>
      </c>
      <c r="E166">
        <v>3.8</v>
      </c>
      <c r="F166">
        <v>10</v>
      </c>
      <c r="G166">
        <v>3.8</v>
      </c>
      <c r="H166">
        <v>2.8121775025799796</v>
      </c>
      <c r="I166" t="s">
        <v>81</v>
      </c>
      <c r="J166">
        <v>1</v>
      </c>
      <c r="K166" s="6">
        <v>45585</v>
      </c>
      <c r="L166">
        <v>45585</v>
      </c>
      <c r="M166">
        <v>1.2039066222010482</v>
      </c>
      <c r="N166">
        <v>1.2039066222010482</v>
      </c>
      <c r="O166">
        <v>0.89094713635811651</v>
      </c>
      <c r="P166">
        <v>0.83062920459042344</v>
      </c>
      <c r="Q166">
        <v>0.83062920459042344</v>
      </c>
      <c r="R166">
        <v>0.74004671120525778</v>
      </c>
      <c r="S166">
        <v>1.3512660550458715</v>
      </c>
      <c r="T166">
        <v>1.3512660550458715</v>
      </c>
      <c r="U166">
        <v>1.1224010484927915</v>
      </c>
    </row>
    <row r="167" spans="1:21" x14ac:dyDescent="0.25">
      <c r="A167" t="s">
        <v>30</v>
      </c>
      <c r="B167" t="s">
        <v>82</v>
      </c>
      <c r="C167" t="s">
        <v>15</v>
      </c>
      <c r="D167">
        <v>0.97058823529411775</v>
      </c>
      <c r="E167">
        <v>0.95</v>
      </c>
      <c r="F167">
        <v>10</v>
      </c>
      <c r="G167">
        <v>0.95</v>
      </c>
      <c r="H167">
        <v>0.99821746880570394</v>
      </c>
      <c r="I167" t="s">
        <v>80</v>
      </c>
      <c r="K167" s="6">
        <v>45585</v>
      </c>
      <c r="L167">
        <v>45585</v>
      </c>
      <c r="M167">
        <v>0.97878787878787865</v>
      </c>
      <c r="N167">
        <v>0.97878787878787865</v>
      </c>
      <c r="O167">
        <v>1.0284664830119372</v>
      </c>
      <c r="P167">
        <v>1.0216718266253872</v>
      </c>
      <c r="Q167">
        <v>1.0216718266253872</v>
      </c>
      <c r="R167">
        <v>1.0507552303217937</v>
      </c>
      <c r="S167">
        <v>0.95169642857142867</v>
      </c>
      <c r="T167">
        <v>0.95169642857142867</v>
      </c>
      <c r="U167">
        <v>0.97232142857142878</v>
      </c>
    </row>
    <row r="168" spans="1:21" x14ac:dyDescent="0.25">
      <c r="A168" t="s">
        <v>30</v>
      </c>
      <c r="B168" t="s">
        <v>82</v>
      </c>
      <c r="C168" t="s">
        <v>14</v>
      </c>
      <c r="D168">
        <v>4.5836142079336275</v>
      </c>
      <c r="E168">
        <v>3.8</v>
      </c>
      <c r="F168">
        <v>10</v>
      </c>
      <c r="G168">
        <v>3.8</v>
      </c>
      <c r="H168">
        <v>3.5641711229946522</v>
      </c>
      <c r="I168" t="s">
        <v>79</v>
      </c>
      <c r="K168" s="6">
        <v>45585</v>
      </c>
      <c r="L168">
        <v>45585</v>
      </c>
      <c r="M168">
        <v>0.82904010407828488</v>
      </c>
      <c r="N168">
        <v>0.82904010407828488</v>
      </c>
      <c r="O168">
        <v>0.77758968388429051</v>
      </c>
      <c r="P168">
        <v>1.2062142652456915</v>
      </c>
      <c r="Q168">
        <v>1.2062142652456915</v>
      </c>
      <c r="R168">
        <v>0.93793976920911903</v>
      </c>
      <c r="S168">
        <v>1.0661665416354089</v>
      </c>
      <c r="T168">
        <v>1.0661665416354089</v>
      </c>
      <c r="U168">
        <v>1.2860252916482946</v>
      </c>
    </row>
    <row r="169" spans="1:21" x14ac:dyDescent="0.25">
      <c r="A169" t="s">
        <v>30</v>
      </c>
      <c r="B169" t="s">
        <v>82</v>
      </c>
      <c r="C169" t="s">
        <v>13</v>
      </c>
      <c r="D169">
        <v>3.7478639781271368</v>
      </c>
      <c r="E169">
        <v>4.75</v>
      </c>
      <c r="F169">
        <v>10</v>
      </c>
      <c r="G169">
        <v>4.75</v>
      </c>
      <c r="H169">
        <v>3.7813725490196082</v>
      </c>
      <c r="I169" t="s">
        <v>81</v>
      </c>
      <c r="K169" s="6">
        <v>45585</v>
      </c>
      <c r="L169">
        <v>45585</v>
      </c>
      <c r="M169">
        <v>1.2673885785934114</v>
      </c>
      <c r="N169">
        <v>1.2673885785934114</v>
      </c>
      <c r="O169">
        <v>1.0089407115861275</v>
      </c>
      <c r="P169">
        <v>0.78902399539518664</v>
      </c>
      <c r="Q169">
        <v>0.78902399539518664</v>
      </c>
      <c r="R169">
        <v>0.79607843137254908</v>
      </c>
      <c r="S169">
        <v>1.2561576354679802</v>
      </c>
      <c r="T169">
        <v>1.2561576354679802</v>
      </c>
      <c r="U169">
        <v>0.99113851638311623</v>
      </c>
    </row>
    <row r="170" spans="1:21" x14ac:dyDescent="0.25">
      <c r="A170" t="s">
        <v>29</v>
      </c>
      <c r="B170" t="s">
        <v>42</v>
      </c>
      <c r="C170" t="s">
        <v>13</v>
      </c>
      <c r="D170">
        <v>5.7593984962406006</v>
      </c>
      <c r="E170">
        <v>4.75</v>
      </c>
      <c r="F170">
        <v>10</v>
      </c>
      <c r="G170">
        <v>4.75</v>
      </c>
      <c r="H170">
        <v>3.6806722689075615</v>
      </c>
      <c r="I170" t="s">
        <v>41</v>
      </c>
      <c r="J170">
        <v>1</v>
      </c>
      <c r="K170" s="6">
        <v>45572</v>
      </c>
      <c r="L170">
        <v>45572</v>
      </c>
      <c r="M170">
        <v>0.82473890339425604</v>
      </c>
      <c r="N170">
        <v>0.82473890339425604</v>
      </c>
      <c r="O170">
        <v>0.63907233911841477</v>
      </c>
      <c r="P170">
        <v>1.2125049465769686</v>
      </c>
      <c r="Q170">
        <v>1.2125049465769686</v>
      </c>
      <c r="R170">
        <v>0.77487837240159185</v>
      </c>
      <c r="S170">
        <v>1.2905251141552516</v>
      </c>
      <c r="T170">
        <v>1.2905251141552516</v>
      </c>
      <c r="U170">
        <v>1.5647680845950498</v>
      </c>
    </row>
    <row r="171" spans="1:21" x14ac:dyDescent="0.25">
      <c r="A171" t="s">
        <v>29</v>
      </c>
      <c r="B171" t="s">
        <v>42</v>
      </c>
      <c r="C171" t="s">
        <v>15</v>
      </c>
      <c r="D171">
        <v>1</v>
      </c>
      <c r="E171">
        <v>0</v>
      </c>
      <c r="F171">
        <v>10</v>
      </c>
      <c r="G171">
        <v>0</v>
      </c>
      <c r="H171">
        <v>1.2607763753274592</v>
      </c>
      <c r="I171" t="s">
        <v>40</v>
      </c>
      <c r="J171">
        <v>1</v>
      </c>
      <c r="K171" s="6">
        <v>45572</v>
      </c>
      <c r="L171">
        <v>45572</v>
      </c>
      <c r="M171">
        <v>0</v>
      </c>
      <c r="N171">
        <v>0</v>
      </c>
      <c r="O171">
        <v>1.2607763753274592</v>
      </c>
      <c r="S171">
        <v>0</v>
      </c>
      <c r="T171">
        <v>0</v>
      </c>
      <c r="U171">
        <v>0.79316207026822794</v>
      </c>
    </row>
    <row r="172" spans="1:21" x14ac:dyDescent="0.25">
      <c r="A172" t="s">
        <v>29</v>
      </c>
      <c r="B172" t="s">
        <v>42</v>
      </c>
      <c r="C172" t="s">
        <v>14</v>
      </c>
      <c r="D172">
        <v>2.8796992481203003</v>
      </c>
      <c r="E172">
        <v>3.8</v>
      </c>
      <c r="F172">
        <v>10</v>
      </c>
      <c r="G172">
        <v>3.8</v>
      </c>
      <c r="H172">
        <v>3.4077079107505077</v>
      </c>
      <c r="I172" t="s">
        <v>39</v>
      </c>
      <c r="J172">
        <v>1</v>
      </c>
      <c r="K172" s="6">
        <v>45572</v>
      </c>
      <c r="L172">
        <v>45572</v>
      </c>
      <c r="M172">
        <v>1.3195822454308095</v>
      </c>
      <c r="N172">
        <v>1.3195822454308095</v>
      </c>
      <c r="O172">
        <v>1.183355488589602</v>
      </c>
      <c r="P172">
        <v>0.75781559161060541</v>
      </c>
      <c r="Q172">
        <v>0.75781559161060541</v>
      </c>
      <c r="R172">
        <v>0.89676523967118627</v>
      </c>
      <c r="S172">
        <v>1.1151190476190473</v>
      </c>
      <c r="T172">
        <v>1.1151190476190473</v>
      </c>
      <c r="U172">
        <v>0.84505460078768324</v>
      </c>
    </row>
    <row r="173" spans="1:21" x14ac:dyDescent="0.25">
      <c r="A173" t="s">
        <v>30</v>
      </c>
      <c r="B173" t="s">
        <v>42</v>
      </c>
      <c r="C173" t="s">
        <v>13</v>
      </c>
      <c r="D173">
        <v>6.8471096572600336</v>
      </c>
      <c r="E173">
        <v>3.8</v>
      </c>
      <c r="F173">
        <v>10</v>
      </c>
      <c r="G173">
        <v>3.8</v>
      </c>
      <c r="H173">
        <v>3.75</v>
      </c>
      <c r="I173" t="s">
        <v>41</v>
      </c>
      <c r="K173" s="6">
        <v>45572</v>
      </c>
      <c r="L173">
        <v>45572</v>
      </c>
      <c r="M173">
        <v>0.55497869761306307</v>
      </c>
      <c r="N173">
        <v>0.55497869761306307</v>
      </c>
      <c r="O173">
        <v>0.54767634632868067</v>
      </c>
      <c r="P173">
        <v>1.801870962436851</v>
      </c>
      <c r="Q173">
        <v>1.801870962436851</v>
      </c>
      <c r="R173">
        <v>0.98684210526315796</v>
      </c>
      <c r="S173">
        <v>1.0133333333333332</v>
      </c>
      <c r="T173">
        <v>1.0133333333333332</v>
      </c>
      <c r="U173">
        <v>1.8258959086026756</v>
      </c>
    </row>
    <row r="174" spans="1:21" x14ac:dyDescent="0.25">
      <c r="A174" t="s">
        <v>30</v>
      </c>
      <c r="B174" t="s">
        <v>42</v>
      </c>
      <c r="C174" t="s">
        <v>15</v>
      </c>
      <c r="D174">
        <v>0.84615384615384603</v>
      </c>
      <c r="E174">
        <v>1.9</v>
      </c>
      <c r="F174">
        <v>10</v>
      </c>
      <c r="G174">
        <v>1.9</v>
      </c>
      <c r="H174">
        <v>1.9962624345926052</v>
      </c>
      <c r="I174" t="s">
        <v>40</v>
      </c>
      <c r="K174" s="6">
        <v>45572</v>
      </c>
      <c r="L174">
        <v>45572</v>
      </c>
      <c r="M174">
        <v>2.2454545454545456</v>
      </c>
      <c r="N174">
        <v>2.2454545454545456</v>
      </c>
      <c r="O174">
        <v>2.3592192408821702</v>
      </c>
      <c r="P174">
        <v>0.44534412955465585</v>
      </c>
      <c r="Q174">
        <v>0.44534412955465585</v>
      </c>
      <c r="R174">
        <v>1.0506644392592659</v>
      </c>
      <c r="S174">
        <v>0.95177866751159379</v>
      </c>
      <c r="T174">
        <v>0.95177866751159379</v>
      </c>
      <c r="U174">
        <v>0.4238690422116409</v>
      </c>
    </row>
    <row r="175" spans="1:21" x14ac:dyDescent="0.25">
      <c r="A175" t="s">
        <v>30</v>
      </c>
      <c r="B175" t="s">
        <v>42</v>
      </c>
      <c r="C175" t="s">
        <v>14</v>
      </c>
      <c r="D175">
        <v>2.5351191458269504</v>
      </c>
      <c r="E175">
        <v>3.8</v>
      </c>
      <c r="F175">
        <v>10</v>
      </c>
      <c r="G175">
        <v>3.8</v>
      </c>
      <c r="H175">
        <v>3.9012420217353809</v>
      </c>
      <c r="I175" t="s">
        <v>39</v>
      </c>
      <c r="K175" s="6">
        <v>45572</v>
      </c>
      <c r="L175">
        <v>45572</v>
      </c>
      <c r="M175">
        <v>1.498943355879413</v>
      </c>
      <c r="N175">
        <v>1.498943355879413</v>
      </c>
      <c r="O175">
        <v>1.538879160041531</v>
      </c>
      <c r="P175">
        <v>0.66713661732288176</v>
      </c>
      <c r="Q175">
        <v>0.66713661732288176</v>
      </c>
      <c r="R175">
        <v>1.0266426372987845</v>
      </c>
      <c r="S175">
        <v>0.97404877186000738</v>
      </c>
      <c r="T175">
        <v>0.97404877186000738</v>
      </c>
      <c r="U175">
        <v>0.64982360276619267</v>
      </c>
    </row>
    <row r="176" spans="1:21" x14ac:dyDescent="0.25">
      <c r="A176" t="s">
        <v>29</v>
      </c>
      <c r="B176" t="s">
        <v>42</v>
      </c>
      <c r="C176" t="s">
        <v>13</v>
      </c>
      <c r="D176">
        <v>5.7593984962406006</v>
      </c>
      <c r="E176">
        <v>3.8</v>
      </c>
      <c r="F176">
        <v>10</v>
      </c>
      <c r="G176">
        <v>3.8</v>
      </c>
      <c r="H176">
        <v>3.5676377851649996</v>
      </c>
      <c r="I176" t="s">
        <v>44</v>
      </c>
      <c r="J176">
        <v>1</v>
      </c>
      <c r="K176" s="6">
        <v>45573</v>
      </c>
      <c r="L176">
        <v>45573</v>
      </c>
      <c r="M176">
        <v>0.65979112271540474</v>
      </c>
      <c r="N176">
        <v>0.65979112271540474</v>
      </c>
      <c r="O176">
        <v>0.61944624729366193</v>
      </c>
      <c r="P176">
        <v>1.5156311832212108</v>
      </c>
      <c r="Q176">
        <v>1.5156311832212108</v>
      </c>
      <c r="R176">
        <v>0.93885204872763151</v>
      </c>
      <c r="S176">
        <v>1.0651305510332949</v>
      </c>
      <c r="T176">
        <v>1.0651305510332949</v>
      </c>
      <c r="U176">
        <v>1.6143450773476529</v>
      </c>
    </row>
    <row r="177" spans="1:21" x14ac:dyDescent="0.25">
      <c r="A177" t="s">
        <v>29</v>
      </c>
      <c r="B177" t="s">
        <v>42</v>
      </c>
      <c r="C177" t="s">
        <v>14</v>
      </c>
      <c r="D177">
        <v>2.8796992481203003</v>
      </c>
      <c r="E177">
        <v>2.8499999999999996</v>
      </c>
      <c r="F177">
        <v>10</v>
      </c>
      <c r="G177">
        <v>2.8499999999999996</v>
      </c>
      <c r="H177">
        <v>3.205666426748675</v>
      </c>
      <c r="I177" t="s">
        <v>45</v>
      </c>
      <c r="J177">
        <v>1</v>
      </c>
      <c r="K177" s="6">
        <v>45573</v>
      </c>
      <c r="L177">
        <v>45573</v>
      </c>
      <c r="M177">
        <v>0.98968668407310711</v>
      </c>
      <c r="N177">
        <v>0.98968668407310711</v>
      </c>
      <c r="O177">
        <v>1.1131948688187305</v>
      </c>
      <c r="P177">
        <v>1.0104207888141405</v>
      </c>
      <c r="Q177">
        <v>1.0104207888141405</v>
      </c>
      <c r="R177">
        <v>1.1247952374556756</v>
      </c>
      <c r="S177">
        <v>0.88905070603075587</v>
      </c>
      <c r="T177">
        <v>0.88905070603075587</v>
      </c>
      <c r="U177">
        <v>0.89831531568336487</v>
      </c>
    </row>
    <row r="178" spans="1:21" x14ac:dyDescent="0.25">
      <c r="A178" t="s">
        <v>29</v>
      </c>
      <c r="B178" t="s">
        <v>42</v>
      </c>
      <c r="C178" t="s">
        <v>15</v>
      </c>
      <c r="D178">
        <v>1</v>
      </c>
      <c r="E178">
        <v>0</v>
      </c>
      <c r="F178">
        <v>10</v>
      </c>
      <c r="G178">
        <v>0</v>
      </c>
      <c r="H178">
        <v>1.3112611297620786</v>
      </c>
      <c r="I178" t="s">
        <v>43</v>
      </c>
      <c r="J178">
        <v>1</v>
      </c>
      <c r="K178" s="6">
        <v>45573</v>
      </c>
      <c r="L178">
        <v>45573</v>
      </c>
      <c r="M178">
        <v>0</v>
      </c>
      <c r="N178">
        <v>0</v>
      </c>
      <c r="O178">
        <v>1.3112611297620786</v>
      </c>
      <c r="S178">
        <v>0</v>
      </c>
      <c r="T178">
        <v>0</v>
      </c>
      <c r="U178">
        <v>0.76262460413315591</v>
      </c>
    </row>
    <row r="179" spans="1:21" x14ac:dyDescent="0.25">
      <c r="A179" t="s">
        <v>30</v>
      </c>
      <c r="B179" t="s">
        <v>42</v>
      </c>
      <c r="C179" t="s">
        <v>13</v>
      </c>
      <c r="D179">
        <v>6.8471096572600336</v>
      </c>
      <c r="E179">
        <v>3.8</v>
      </c>
      <c r="F179">
        <v>10</v>
      </c>
      <c r="G179">
        <v>3.8</v>
      </c>
      <c r="H179">
        <v>2.8752450980392155</v>
      </c>
      <c r="I179" t="s">
        <v>44</v>
      </c>
      <c r="K179" s="6">
        <v>45573</v>
      </c>
      <c r="L179">
        <v>45573</v>
      </c>
      <c r="M179">
        <v>0.55497869761306307</v>
      </c>
      <c r="N179">
        <v>0.55497869761306307</v>
      </c>
      <c r="O179">
        <v>0.41992099469161781</v>
      </c>
      <c r="P179">
        <v>1.801870962436851</v>
      </c>
      <c r="Q179">
        <v>1.801870962436851</v>
      </c>
      <c r="R179">
        <v>0.75664344685242513</v>
      </c>
      <c r="S179">
        <v>1.3216264598073482</v>
      </c>
      <c r="T179">
        <v>1.3216264598073482</v>
      </c>
      <c r="U179">
        <v>2.3814003411150746</v>
      </c>
    </row>
    <row r="180" spans="1:21" x14ac:dyDescent="0.25">
      <c r="A180" t="s">
        <v>30</v>
      </c>
      <c r="B180" t="s">
        <v>42</v>
      </c>
      <c r="C180" t="s">
        <v>14</v>
      </c>
      <c r="D180">
        <v>2.5351191458269504</v>
      </c>
      <c r="E180">
        <v>3.8</v>
      </c>
      <c r="F180">
        <v>10</v>
      </c>
      <c r="G180">
        <v>3.8</v>
      </c>
      <c r="H180">
        <v>3.9351604278074865</v>
      </c>
      <c r="I180" t="s">
        <v>45</v>
      </c>
      <c r="K180" s="6">
        <v>45573</v>
      </c>
      <c r="L180">
        <v>45573</v>
      </c>
      <c r="M180">
        <v>1.498943355879413</v>
      </c>
      <c r="N180">
        <v>1.498943355879413</v>
      </c>
      <c r="O180">
        <v>1.5522585730477949</v>
      </c>
      <c r="P180">
        <v>0.66713661732288176</v>
      </c>
      <c r="Q180">
        <v>0.66713661732288176</v>
      </c>
      <c r="R180">
        <v>1.0355685336335492</v>
      </c>
      <c r="S180">
        <v>0.9656531340241209</v>
      </c>
      <c r="T180">
        <v>0.9656531340241209</v>
      </c>
      <c r="U180">
        <v>0.64422256534009137</v>
      </c>
    </row>
    <row r="181" spans="1:21" x14ac:dyDescent="0.25">
      <c r="A181" t="s">
        <v>30</v>
      </c>
      <c r="B181" t="s">
        <v>42</v>
      </c>
      <c r="C181" t="s">
        <v>15</v>
      </c>
      <c r="D181">
        <v>0.84615384615384603</v>
      </c>
      <c r="E181">
        <v>1.9</v>
      </c>
      <c r="F181">
        <v>10</v>
      </c>
      <c r="G181">
        <v>1.9</v>
      </c>
      <c r="H181">
        <v>1.9964349376114079</v>
      </c>
      <c r="I181" t="s">
        <v>43</v>
      </c>
      <c r="K181" s="6">
        <v>45573</v>
      </c>
      <c r="L181">
        <v>45573</v>
      </c>
      <c r="M181">
        <v>2.2454545454545456</v>
      </c>
      <c r="N181">
        <v>2.2454545454545456</v>
      </c>
      <c r="O181">
        <v>2.3594231080862098</v>
      </c>
      <c r="P181">
        <v>0.44534412955465585</v>
      </c>
      <c r="Q181">
        <v>0.44534412955465585</v>
      </c>
      <c r="R181">
        <v>1.0507552303217937</v>
      </c>
      <c r="S181">
        <v>0.95169642857142867</v>
      </c>
      <c r="T181">
        <v>0.95169642857142867</v>
      </c>
      <c r="U181">
        <v>0.42383241758241758</v>
      </c>
    </row>
    <row r="182" spans="1:21" x14ac:dyDescent="0.25">
      <c r="A182" t="s">
        <v>29</v>
      </c>
      <c r="B182" t="s">
        <v>42</v>
      </c>
      <c r="C182" t="s">
        <v>13</v>
      </c>
      <c r="D182">
        <v>5.7593984962406006</v>
      </c>
      <c r="E182">
        <v>3.8</v>
      </c>
      <c r="F182">
        <v>10</v>
      </c>
      <c r="G182">
        <v>3.8</v>
      </c>
      <c r="H182">
        <v>3.6431722689075623</v>
      </c>
      <c r="I182" t="s">
        <v>47</v>
      </c>
      <c r="J182">
        <v>1</v>
      </c>
      <c r="K182" s="6">
        <v>45574</v>
      </c>
      <c r="L182">
        <v>45574</v>
      </c>
      <c r="M182">
        <v>0.65979112271540474</v>
      </c>
      <c r="N182">
        <v>0.65979112271540474</v>
      </c>
      <c r="O182">
        <v>0.63256124251267087</v>
      </c>
      <c r="P182">
        <v>1.5156311832212108</v>
      </c>
      <c r="Q182">
        <v>1.5156311832212108</v>
      </c>
      <c r="R182">
        <v>0.95872954444935854</v>
      </c>
      <c r="S182">
        <v>1.04304702592048</v>
      </c>
      <c r="T182">
        <v>1.04304702592048</v>
      </c>
      <c r="U182">
        <v>1.580874598051222</v>
      </c>
    </row>
    <row r="183" spans="1:21" x14ac:dyDescent="0.25">
      <c r="A183" t="s">
        <v>29</v>
      </c>
      <c r="B183" t="s">
        <v>42</v>
      </c>
      <c r="C183" t="s">
        <v>15</v>
      </c>
      <c r="D183">
        <v>1</v>
      </c>
      <c r="E183">
        <v>0</v>
      </c>
      <c r="F183">
        <v>10</v>
      </c>
      <c r="G183">
        <v>0</v>
      </c>
      <c r="H183">
        <v>1.1913273001508298</v>
      </c>
      <c r="I183" t="s">
        <v>48</v>
      </c>
      <c r="J183">
        <v>1</v>
      </c>
      <c r="K183" s="6">
        <v>45574</v>
      </c>
      <c r="L183">
        <v>45574</v>
      </c>
      <c r="M183">
        <v>0</v>
      </c>
      <c r="N183">
        <v>0</v>
      </c>
      <c r="O183">
        <v>1.1913273001508298</v>
      </c>
      <c r="S183">
        <v>0</v>
      </c>
      <c r="T183">
        <v>0</v>
      </c>
      <c r="U183">
        <v>0.83939988605431393</v>
      </c>
    </row>
    <row r="184" spans="1:21" x14ac:dyDescent="0.25">
      <c r="A184" t="s">
        <v>29</v>
      </c>
      <c r="B184" t="s">
        <v>42</v>
      </c>
      <c r="C184" t="s">
        <v>14</v>
      </c>
      <c r="D184">
        <v>2.8796992481203008</v>
      </c>
      <c r="E184">
        <v>4.75</v>
      </c>
      <c r="F184">
        <v>10</v>
      </c>
      <c r="G184">
        <v>4.75</v>
      </c>
      <c r="H184">
        <v>2.4665314401622722</v>
      </c>
      <c r="I184" t="s">
        <v>46</v>
      </c>
      <c r="J184">
        <v>1</v>
      </c>
      <c r="K184" s="6">
        <v>45574</v>
      </c>
      <c r="L184">
        <v>45574</v>
      </c>
      <c r="M184">
        <v>1.6494778067885116</v>
      </c>
      <c r="N184">
        <v>1.6494778067885116</v>
      </c>
      <c r="O184">
        <v>0.85652397269342617</v>
      </c>
      <c r="P184">
        <v>0.60625247328848442</v>
      </c>
      <c r="Q184">
        <v>0.60625247328848442</v>
      </c>
      <c r="R184">
        <v>0.51926977687626785</v>
      </c>
      <c r="S184">
        <v>1.9257812499999998</v>
      </c>
      <c r="T184">
        <v>1.9257812499999998</v>
      </c>
      <c r="U184">
        <v>1.1675096458250889</v>
      </c>
    </row>
    <row r="185" spans="1:21" x14ac:dyDescent="0.25">
      <c r="A185" t="s">
        <v>30</v>
      </c>
      <c r="B185" t="s">
        <v>42</v>
      </c>
      <c r="C185" t="s">
        <v>13</v>
      </c>
      <c r="D185">
        <v>6.8471096572600336</v>
      </c>
      <c r="E185">
        <v>2.8499999999999996</v>
      </c>
      <c r="F185">
        <v>10</v>
      </c>
      <c r="G185">
        <v>2.8499999999999996</v>
      </c>
      <c r="H185">
        <v>2.8752450980392155</v>
      </c>
      <c r="I185" t="s">
        <v>47</v>
      </c>
      <c r="K185" s="6">
        <v>45574</v>
      </c>
      <c r="L185">
        <v>45574</v>
      </c>
      <c r="M185">
        <v>0.41623402320979724</v>
      </c>
      <c r="N185">
        <v>0.41623402320979724</v>
      </c>
      <c r="O185">
        <v>0.41992099469161781</v>
      </c>
      <c r="P185">
        <v>2.4024946165824681</v>
      </c>
      <c r="Q185">
        <v>2.4024946165824681</v>
      </c>
      <c r="R185">
        <v>1.0088579291365669</v>
      </c>
      <c r="S185">
        <v>0.99121984485551096</v>
      </c>
      <c r="T185">
        <v>0.99121984485551096</v>
      </c>
      <c r="U185">
        <v>2.3814003411150746</v>
      </c>
    </row>
    <row r="186" spans="1:21" x14ac:dyDescent="0.25">
      <c r="A186" t="s">
        <v>30</v>
      </c>
      <c r="B186" t="s">
        <v>42</v>
      </c>
      <c r="C186" t="s">
        <v>15</v>
      </c>
      <c r="D186">
        <v>0.84615384615384603</v>
      </c>
      <c r="E186">
        <v>1.9</v>
      </c>
      <c r="F186">
        <v>10</v>
      </c>
      <c r="G186">
        <v>1.9</v>
      </c>
      <c r="H186">
        <v>1.9964349376114079</v>
      </c>
      <c r="I186" t="s">
        <v>48</v>
      </c>
      <c r="K186" s="6">
        <v>45574</v>
      </c>
      <c r="L186">
        <v>45574</v>
      </c>
      <c r="M186">
        <v>2.2454545454545456</v>
      </c>
      <c r="N186">
        <v>2.2454545454545456</v>
      </c>
      <c r="O186">
        <v>2.3594231080862098</v>
      </c>
      <c r="P186">
        <v>0.44534412955465585</v>
      </c>
      <c r="Q186">
        <v>0.44534412955465585</v>
      </c>
      <c r="R186">
        <v>1.0507552303217937</v>
      </c>
      <c r="S186">
        <v>0.95169642857142867</v>
      </c>
      <c r="T186">
        <v>0.95169642857142867</v>
      </c>
      <c r="U186">
        <v>0.42383241758241758</v>
      </c>
    </row>
    <row r="187" spans="1:21" x14ac:dyDescent="0.25">
      <c r="A187" t="s">
        <v>30</v>
      </c>
      <c r="B187" t="s">
        <v>42</v>
      </c>
      <c r="C187" t="s">
        <v>14</v>
      </c>
      <c r="D187">
        <v>2.5351191458269504</v>
      </c>
      <c r="E187">
        <v>2.8499999999999996</v>
      </c>
      <c r="F187">
        <v>10</v>
      </c>
      <c r="G187">
        <v>2.8499999999999996</v>
      </c>
      <c r="H187">
        <v>3.9351604278074865</v>
      </c>
      <c r="I187" t="s">
        <v>46</v>
      </c>
      <c r="K187" s="6">
        <v>45574</v>
      </c>
      <c r="L187">
        <v>45574</v>
      </c>
      <c r="M187">
        <v>1.1242075169095596</v>
      </c>
      <c r="N187">
        <v>1.1242075169095596</v>
      </c>
      <c r="O187">
        <v>1.5522585730477949</v>
      </c>
      <c r="P187">
        <v>0.88951548976384232</v>
      </c>
      <c r="Q187">
        <v>0.88951548976384232</v>
      </c>
      <c r="R187">
        <v>1.3807580448447323</v>
      </c>
      <c r="S187">
        <v>0.72423985051809059</v>
      </c>
      <c r="T187">
        <v>0.72423985051809059</v>
      </c>
      <c r="U187">
        <v>0.64422256534009137</v>
      </c>
    </row>
    <row r="188" spans="1:21" x14ac:dyDescent="0.25">
      <c r="A188" t="s">
        <v>29</v>
      </c>
      <c r="B188" t="s">
        <v>42</v>
      </c>
      <c r="C188" t="s">
        <v>13</v>
      </c>
      <c r="D188">
        <v>5.7593984962406006</v>
      </c>
      <c r="E188">
        <v>1.9</v>
      </c>
      <c r="F188">
        <v>10</v>
      </c>
      <c r="G188">
        <v>1.9</v>
      </c>
      <c r="H188">
        <v>2.857457983193278</v>
      </c>
      <c r="I188" t="s">
        <v>51</v>
      </c>
      <c r="J188">
        <v>1</v>
      </c>
      <c r="K188" s="6">
        <v>45575</v>
      </c>
      <c r="L188">
        <v>45575</v>
      </c>
      <c r="M188">
        <v>0.32989556135770237</v>
      </c>
      <c r="N188">
        <v>0.32989556135770237</v>
      </c>
      <c r="O188">
        <v>0.49613826601136557</v>
      </c>
      <c r="P188">
        <v>3.0312623664424216</v>
      </c>
      <c r="Q188">
        <v>3.0312623664424216</v>
      </c>
      <c r="R188">
        <v>1.5039252543122517</v>
      </c>
      <c r="S188">
        <v>0.66492666250045929</v>
      </c>
      <c r="T188">
        <v>0.66492666250045929</v>
      </c>
      <c r="U188">
        <v>2.0155671684818035</v>
      </c>
    </row>
    <row r="189" spans="1:21" x14ac:dyDescent="0.25">
      <c r="A189" t="s">
        <v>29</v>
      </c>
      <c r="B189" t="s">
        <v>42</v>
      </c>
      <c r="C189" t="s">
        <v>15</v>
      </c>
      <c r="D189">
        <v>1</v>
      </c>
      <c r="E189">
        <v>0</v>
      </c>
      <c r="F189">
        <v>10</v>
      </c>
      <c r="G189">
        <v>0</v>
      </c>
      <c r="H189">
        <v>1.2607763753274592</v>
      </c>
      <c r="I189" t="s">
        <v>50</v>
      </c>
      <c r="J189">
        <v>1</v>
      </c>
      <c r="K189" s="6">
        <v>45575</v>
      </c>
      <c r="L189">
        <v>45575</v>
      </c>
      <c r="M189">
        <v>0</v>
      </c>
      <c r="N189">
        <v>0</v>
      </c>
      <c r="O189">
        <v>1.2607763753274592</v>
      </c>
      <c r="S189">
        <v>0</v>
      </c>
      <c r="T189">
        <v>0</v>
      </c>
      <c r="U189">
        <v>0.79316207026822794</v>
      </c>
    </row>
    <row r="190" spans="1:21" x14ac:dyDescent="0.25">
      <c r="A190" t="s">
        <v>29</v>
      </c>
      <c r="B190" t="s">
        <v>42</v>
      </c>
      <c r="C190" t="s">
        <v>14</v>
      </c>
      <c r="D190">
        <v>2.8796992481203003</v>
      </c>
      <c r="E190">
        <v>4.75</v>
      </c>
      <c r="F190">
        <v>10</v>
      </c>
      <c r="G190">
        <v>4.75</v>
      </c>
      <c r="H190">
        <v>3.4077079107505077</v>
      </c>
      <c r="I190" t="s">
        <v>49</v>
      </c>
      <c r="J190">
        <v>1</v>
      </c>
      <c r="K190" s="6">
        <v>45575</v>
      </c>
      <c r="L190">
        <v>45575</v>
      </c>
      <c r="M190">
        <v>1.6494778067885121</v>
      </c>
      <c r="N190">
        <v>1.6494778067885121</v>
      </c>
      <c r="O190">
        <v>1.183355488589602</v>
      </c>
      <c r="P190">
        <v>0.60625247328848431</v>
      </c>
      <c r="Q190">
        <v>0.60625247328848431</v>
      </c>
      <c r="R190">
        <v>0.71741219173694903</v>
      </c>
      <c r="S190">
        <v>1.3938988095238092</v>
      </c>
      <c r="T190">
        <v>1.3938988095238092</v>
      </c>
      <c r="U190">
        <v>0.84505460078768324</v>
      </c>
    </row>
    <row r="191" spans="1:21" x14ac:dyDescent="0.25">
      <c r="A191" t="s">
        <v>30</v>
      </c>
      <c r="B191" t="s">
        <v>42</v>
      </c>
      <c r="C191" t="s">
        <v>13</v>
      </c>
      <c r="D191">
        <v>6.8471096572600327</v>
      </c>
      <c r="E191">
        <v>3.8</v>
      </c>
      <c r="F191">
        <v>10</v>
      </c>
      <c r="G191">
        <v>3.8</v>
      </c>
      <c r="H191">
        <v>2.8752450980392155</v>
      </c>
      <c r="I191" t="s">
        <v>51</v>
      </c>
      <c r="K191" s="6">
        <v>45575</v>
      </c>
      <c r="L191">
        <v>45575</v>
      </c>
      <c r="M191">
        <v>0.55497869761306307</v>
      </c>
      <c r="N191">
        <v>0.55497869761306307</v>
      </c>
      <c r="O191">
        <v>0.41992099469161787</v>
      </c>
      <c r="P191">
        <v>1.8018709624368507</v>
      </c>
      <c r="Q191">
        <v>1.8018709624368507</v>
      </c>
      <c r="R191">
        <v>0.75664344685242513</v>
      </c>
      <c r="S191">
        <v>1.3216264598073482</v>
      </c>
      <c r="T191">
        <v>1.3216264598073482</v>
      </c>
      <c r="U191">
        <v>2.3814003411150741</v>
      </c>
    </row>
    <row r="192" spans="1:21" x14ac:dyDescent="0.25">
      <c r="A192" t="s">
        <v>30</v>
      </c>
      <c r="B192" t="s">
        <v>42</v>
      </c>
      <c r="C192" t="s">
        <v>15</v>
      </c>
      <c r="D192">
        <v>0.84615384615384603</v>
      </c>
      <c r="E192">
        <v>1.9</v>
      </c>
      <c r="F192">
        <v>10</v>
      </c>
      <c r="G192">
        <v>1.9</v>
      </c>
      <c r="H192">
        <v>1.9393939393939392</v>
      </c>
      <c r="I192" t="s">
        <v>50</v>
      </c>
      <c r="K192" s="6">
        <v>45575</v>
      </c>
      <c r="L192">
        <v>45575</v>
      </c>
      <c r="M192">
        <v>2.2454545454545456</v>
      </c>
      <c r="N192">
        <v>2.2454545454545456</v>
      </c>
      <c r="O192">
        <v>2.2920110192837466</v>
      </c>
      <c r="P192">
        <v>0.44534412955465585</v>
      </c>
      <c r="Q192">
        <v>0.44534412955465585</v>
      </c>
      <c r="R192">
        <v>1.0207336523125996</v>
      </c>
      <c r="S192">
        <v>0.97968750000000004</v>
      </c>
      <c r="T192">
        <v>0.97968750000000004</v>
      </c>
      <c r="U192">
        <v>0.43629807692307687</v>
      </c>
    </row>
    <row r="193" spans="1:21" x14ac:dyDescent="0.25">
      <c r="A193" t="s">
        <v>30</v>
      </c>
      <c r="B193" t="s">
        <v>42</v>
      </c>
      <c r="C193" t="s">
        <v>14</v>
      </c>
      <c r="D193">
        <v>2.5351191458269504</v>
      </c>
      <c r="E193">
        <v>4.75</v>
      </c>
      <c r="F193">
        <v>10</v>
      </c>
      <c r="G193">
        <v>4.75</v>
      </c>
      <c r="H193">
        <v>2.780080213903743</v>
      </c>
      <c r="I193" t="s">
        <v>49</v>
      </c>
      <c r="K193" s="6">
        <v>45575</v>
      </c>
      <c r="L193">
        <v>45575</v>
      </c>
      <c r="M193">
        <v>1.8736791948492661</v>
      </c>
      <c r="N193">
        <v>1.8736791948492661</v>
      </c>
      <c r="O193">
        <v>1.0966270435375876</v>
      </c>
      <c r="P193">
        <v>0.53370929385830534</v>
      </c>
      <c r="Q193">
        <v>0.53370929385830534</v>
      </c>
      <c r="R193">
        <v>0.58528004503236697</v>
      </c>
      <c r="S193">
        <v>1.7085837941812938</v>
      </c>
      <c r="T193">
        <v>1.7085837941812938</v>
      </c>
      <c r="U193">
        <v>0.91188705029024242</v>
      </c>
    </row>
    <row r="194" spans="1:21" x14ac:dyDescent="0.25">
      <c r="A194" t="s">
        <v>29</v>
      </c>
      <c r="B194" t="s">
        <v>42</v>
      </c>
      <c r="C194" t="s">
        <v>13</v>
      </c>
      <c r="D194">
        <v>5.7593984962406006</v>
      </c>
      <c r="E194">
        <v>2.8499999999999996</v>
      </c>
      <c r="F194">
        <v>10</v>
      </c>
      <c r="G194">
        <v>2.8499999999999996</v>
      </c>
      <c r="H194">
        <v>3.714506855373727</v>
      </c>
      <c r="I194" t="s">
        <v>53</v>
      </c>
      <c r="J194">
        <v>1</v>
      </c>
      <c r="K194" s="6">
        <v>45576</v>
      </c>
      <c r="L194">
        <v>45576</v>
      </c>
      <c r="M194">
        <v>0.49484334203655356</v>
      </c>
      <c r="N194">
        <v>0.49484334203655356</v>
      </c>
      <c r="O194">
        <v>0.64494701274765764</v>
      </c>
      <c r="P194">
        <v>2.0208415776282811</v>
      </c>
      <c r="Q194">
        <v>2.0208415776282811</v>
      </c>
      <c r="R194">
        <v>1.3033357387276236</v>
      </c>
      <c r="S194">
        <v>0.76726201107340619</v>
      </c>
      <c r="T194">
        <v>0.76726201107340619</v>
      </c>
      <c r="U194">
        <v>1.5505149729118299</v>
      </c>
    </row>
    <row r="195" spans="1:21" x14ac:dyDescent="0.25">
      <c r="A195" t="s">
        <v>29</v>
      </c>
      <c r="B195" t="s">
        <v>42</v>
      </c>
      <c r="C195" t="s">
        <v>14</v>
      </c>
      <c r="D195">
        <v>2.8796992481203008</v>
      </c>
      <c r="E195">
        <v>2.8499999999999996</v>
      </c>
      <c r="F195">
        <v>10</v>
      </c>
      <c r="G195">
        <v>2.8499999999999996</v>
      </c>
      <c r="H195">
        <v>2.6236195627676362</v>
      </c>
      <c r="I195" t="s">
        <v>54</v>
      </c>
      <c r="J195">
        <v>1</v>
      </c>
      <c r="K195" s="6">
        <v>45576</v>
      </c>
      <c r="L195">
        <v>45576</v>
      </c>
      <c r="M195">
        <v>0.98968668407310689</v>
      </c>
      <c r="N195">
        <v>0.98968668407310689</v>
      </c>
      <c r="O195">
        <v>0.91107415626134625</v>
      </c>
      <c r="P195">
        <v>1.0104207888141408</v>
      </c>
      <c r="Q195">
        <v>1.0104207888141408</v>
      </c>
      <c r="R195">
        <v>0.92056826763776722</v>
      </c>
      <c r="S195">
        <v>1.0862855424791682</v>
      </c>
      <c r="T195">
        <v>1.0862855424791682</v>
      </c>
      <c r="U195">
        <v>1.0976054947091978</v>
      </c>
    </row>
    <row r="196" spans="1:21" x14ac:dyDescent="0.25">
      <c r="A196" t="s">
        <v>29</v>
      </c>
      <c r="B196" t="s">
        <v>42</v>
      </c>
      <c r="C196" t="s">
        <v>15</v>
      </c>
      <c r="D196">
        <v>1</v>
      </c>
      <c r="E196">
        <v>0</v>
      </c>
      <c r="F196">
        <v>10</v>
      </c>
      <c r="G196">
        <v>0</v>
      </c>
      <c r="H196">
        <v>1.1524384112619406</v>
      </c>
      <c r="I196" t="s">
        <v>52</v>
      </c>
      <c r="J196">
        <v>1</v>
      </c>
      <c r="K196" s="6">
        <v>45576</v>
      </c>
      <c r="L196">
        <v>45576</v>
      </c>
      <c r="M196">
        <v>0</v>
      </c>
      <c r="N196">
        <v>0</v>
      </c>
      <c r="O196">
        <v>1.1524384112619406</v>
      </c>
      <c r="S196">
        <v>0</v>
      </c>
      <c r="T196">
        <v>0</v>
      </c>
      <c r="U196">
        <v>0.86772532937789026</v>
      </c>
    </row>
    <row r="197" spans="1:21" x14ac:dyDescent="0.25">
      <c r="A197" t="s">
        <v>30</v>
      </c>
      <c r="B197" t="s">
        <v>42</v>
      </c>
      <c r="C197" t="s">
        <v>13</v>
      </c>
      <c r="D197">
        <v>6.8471096572600336</v>
      </c>
      <c r="E197">
        <v>2.8499999999999996</v>
      </c>
      <c r="F197">
        <v>10</v>
      </c>
      <c r="G197">
        <v>2.8499999999999996</v>
      </c>
      <c r="H197">
        <v>2.8420461733080331</v>
      </c>
      <c r="I197" t="s">
        <v>53</v>
      </c>
      <c r="K197" s="6">
        <v>45576</v>
      </c>
      <c r="L197">
        <v>45576</v>
      </c>
      <c r="M197">
        <v>0.41623402320979724</v>
      </c>
      <c r="N197">
        <v>0.41623402320979724</v>
      </c>
      <c r="O197">
        <v>0.41507239047860051</v>
      </c>
      <c r="P197">
        <v>2.4024946165824681</v>
      </c>
      <c r="Q197">
        <v>2.4024946165824681</v>
      </c>
      <c r="R197">
        <v>0.99720918361685384</v>
      </c>
      <c r="S197">
        <v>1.0027986268367726</v>
      </c>
      <c r="T197">
        <v>1.0027986268367726</v>
      </c>
      <c r="U197">
        <v>2.4092183024916376</v>
      </c>
    </row>
    <row r="198" spans="1:21" x14ac:dyDescent="0.25">
      <c r="A198" t="s">
        <v>30</v>
      </c>
      <c r="B198" t="s">
        <v>42</v>
      </c>
      <c r="C198" t="s">
        <v>14</v>
      </c>
      <c r="D198">
        <v>2.5351191458269504</v>
      </c>
      <c r="E198">
        <v>3.8</v>
      </c>
      <c r="F198">
        <v>10</v>
      </c>
      <c r="G198">
        <v>3.8</v>
      </c>
      <c r="H198">
        <v>2.993861767580932</v>
      </c>
      <c r="I198" t="s">
        <v>54</v>
      </c>
      <c r="K198" s="6">
        <v>45576</v>
      </c>
      <c r="L198">
        <v>45576</v>
      </c>
      <c r="M198">
        <v>1.498943355879413</v>
      </c>
      <c r="N198">
        <v>1.498943355879413</v>
      </c>
      <c r="O198">
        <v>1.1809550539307456</v>
      </c>
      <c r="P198">
        <v>0.66713661732288176</v>
      </c>
      <c r="Q198">
        <v>0.66713661732288176</v>
      </c>
      <c r="R198">
        <v>0.78785835988971897</v>
      </c>
      <c r="S198">
        <v>1.2692636784865439</v>
      </c>
      <c r="T198">
        <v>1.2692636784865439</v>
      </c>
      <c r="U198">
        <v>0.84677227695631052</v>
      </c>
    </row>
    <row r="199" spans="1:21" x14ac:dyDescent="0.25">
      <c r="A199" t="s">
        <v>30</v>
      </c>
      <c r="B199" t="s">
        <v>42</v>
      </c>
      <c r="C199" t="s">
        <v>15</v>
      </c>
      <c r="D199">
        <v>0.84615384615384603</v>
      </c>
      <c r="E199">
        <v>1.9</v>
      </c>
      <c r="F199">
        <v>10</v>
      </c>
      <c r="G199">
        <v>1.9</v>
      </c>
      <c r="H199">
        <v>1.9679144385026737</v>
      </c>
      <c r="I199" t="s">
        <v>52</v>
      </c>
      <c r="K199" s="6">
        <v>45576</v>
      </c>
      <c r="L199">
        <v>45576</v>
      </c>
      <c r="M199">
        <v>2.2454545454545456</v>
      </c>
      <c r="N199">
        <v>2.2454545454545456</v>
      </c>
      <c r="O199">
        <v>2.3257170636849782</v>
      </c>
      <c r="P199">
        <v>0.44534412955465585</v>
      </c>
      <c r="Q199">
        <v>0.44534412955465585</v>
      </c>
      <c r="R199">
        <v>1.0357444413171968</v>
      </c>
      <c r="S199">
        <v>0.96548913043478257</v>
      </c>
      <c r="T199">
        <v>0.96548913043478257</v>
      </c>
      <c r="U199">
        <v>0.42997491638795982</v>
      </c>
    </row>
    <row r="200" spans="1:21" x14ac:dyDescent="0.25">
      <c r="A200" t="s">
        <v>29</v>
      </c>
      <c r="B200" t="s">
        <v>42</v>
      </c>
      <c r="C200" t="s">
        <v>13</v>
      </c>
      <c r="D200">
        <v>5.7593984962406006</v>
      </c>
      <c r="E200">
        <v>3.8</v>
      </c>
      <c r="F200">
        <v>10</v>
      </c>
      <c r="G200">
        <v>3.8</v>
      </c>
      <c r="H200">
        <v>2.6288885669210211</v>
      </c>
      <c r="I200" t="s">
        <v>56</v>
      </c>
      <c r="J200">
        <v>1</v>
      </c>
      <c r="K200" s="6">
        <v>45577</v>
      </c>
      <c r="L200">
        <v>45577</v>
      </c>
      <c r="M200">
        <v>0.65979112271540474</v>
      </c>
      <c r="N200">
        <v>0.65979112271540474</v>
      </c>
      <c r="O200">
        <v>0.45645193133224005</v>
      </c>
      <c r="P200">
        <v>1.5156311832212108</v>
      </c>
      <c r="Q200">
        <v>1.5156311832212108</v>
      </c>
      <c r="R200">
        <v>0.69181278076868979</v>
      </c>
      <c r="S200">
        <v>1.4454777763557303</v>
      </c>
      <c r="T200">
        <v>1.4454777763557303</v>
      </c>
      <c r="U200">
        <v>2.1908111924979998</v>
      </c>
    </row>
    <row r="201" spans="1:21" x14ac:dyDescent="0.25">
      <c r="A201" t="s">
        <v>29</v>
      </c>
      <c r="B201" t="s">
        <v>42</v>
      </c>
      <c r="C201" t="s">
        <v>15</v>
      </c>
      <c r="D201">
        <v>1</v>
      </c>
      <c r="E201">
        <v>0.95</v>
      </c>
      <c r="F201">
        <v>10</v>
      </c>
      <c r="G201">
        <v>0.95</v>
      </c>
      <c r="H201">
        <v>1.113207918481752</v>
      </c>
      <c r="I201" t="s">
        <v>55</v>
      </c>
      <c r="J201">
        <v>1</v>
      </c>
      <c r="K201" s="6">
        <v>45577</v>
      </c>
      <c r="L201">
        <v>45577</v>
      </c>
      <c r="M201">
        <v>0.95</v>
      </c>
      <c r="N201">
        <v>0.95</v>
      </c>
      <c r="O201">
        <v>1.113207918481752</v>
      </c>
      <c r="P201">
        <v>1.0526315789473684</v>
      </c>
      <c r="Q201">
        <v>1.0526315789473684</v>
      </c>
      <c r="R201">
        <v>1.1717978089281602</v>
      </c>
      <c r="S201">
        <v>0.85338954585919302</v>
      </c>
      <c r="T201">
        <v>0.85338954585919302</v>
      </c>
      <c r="U201">
        <v>0.89830478511494005</v>
      </c>
    </row>
    <row r="202" spans="1:21" x14ac:dyDescent="0.25">
      <c r="A202" t="s">
        <v>29</v>
      </c>
      <c r="B202" t="s">
        <v>42</v>
      </c>
      <c r="C202" t="s">
        <v>14</v>
      </c>
      <c r="D202">
        <v>2.8796992481203008</v>
      </c>
      <c r="E202">
        <v>0.95</v>
      </c>
      <c r="F202">
        <v>10</v>
      </c>
      <c r="G202">
        <v>0.95</v>
      </c>
      <c r="H202">
        <v>2.0669371196754565</v>
      </c>
      <c r="I202" t="s">
        <v>57</v>
      </c>
      <c r="J202">
        <v>1</v>
      </c>
      <c r="K202" s="6">
        <v>45577</v>
      </c>
      <c r="L202">
        <v>45577</v>
      </c>
      <c r="M202">
        <v>0.32989556135770232</v>
      </c>
      <c r="N202">
        <v>0.32989556135770232</v>
      </c>
      <c r="O202">
        <v>0.71776145409095482</v>
      </c>
      <c r="P202">
        <v>3.0312623664424221</v>
      </c>
      <c r="Q202">
        <v>3.0312623664424221</v>
      </c>
      <c r="R202">
        <v>2.1757232838689018</v>
      </c>
      <c r="S202">
        <v>0.45961727183513246</v>
      </c>
      <c r="T202">
        <v>0.45961727183513246</v>
      </c>
      <c r="U202">
        <v>1.3932205390807735</v>
      </c>
    </row>
    <row r="203" spans="1:21" x14ac:dyDescent="0.25">
      <c r="A203" t="s">
        <v>30</v>
      </c>
      <c r="B203" t="s">
        <v>42</v>
      </c>
      <c r="C203" t="s">
        <v>13</v>
      </c>
      <c r="D203">
        <v>6.8471096572600327</v>
      </c>
      <c r="E203">
        <v>3.8</v>
      </c>
      <c r="F203">
        <v>10</v>
      </c>
      <c r="G203">
        <v>3.8</v>
      </c>
      <c r="H203">
        <v>3.812745098039215</v>
      </c>
      <c r="I203" t="s">
        <v>56</v>
      </c>
      <c r="K203" s="6">
        <v>45577</v>
      </c>
      <c r="L203">
        <v>45577</v>
      </c>
      <c r="M203">
        <v>0.55497869761306307</v>
      </c>
      <c r="N203">
        <v>0.55497869761306307</v>
      </c>
      <c r="O203">
        <v>0.55684008127378792</v>
      </c>
      <c r="P203">
        <v>1.8018709624368507</v>
      </c>
      <c r="Q203">
        <v>1.8018709624368507</v>
      </c>
      <c r="R203">
        <v>1.0033539731682146</v>
      </c>
      <c r="S203">
        <v>0.99665723836461828</v>
      </c>
      <c r="T203">
        <v>0.99665723836461828</v>
      </c>
      <c r="U203">
        <v>1.7958477373117085</v>
      </c>
    </row>
    <row r="204" spans="1:21" x14ac:dyDescent="0.25">
      <c r="A204" t="s">
        <v>30</v>
      </c>
      <c r="B204" t="s">
        <v>42</v>
      </c>
      <c r="C204" t="s">
        <v>15</v>
      </c>
      <c r="D204">
        <v>0.84615384615384603</v>
      </c>
      <c r="E204">
        <v>1.9</v>
      </c>
      <c r="F204">
        <v>10</v>
      </c>
      <c r="G204">
        <v>1.9</v>
      </c>
      <c r="H204">
        <v>1.9963235294117645</v>
      </c>
      <c r="I204" t="s">
        <v>55</v>
      </c>
      <c r="K204" s="6">
        <v>45577</v>
      </c>
      <c r="L204">
        <v>45577</v>
      </c>
      <c r="M204">
        <v>2.2454545454545456</v>
      </c>
      <c r="N204">
        <v>2.2454545454545456</v>
      </c>
      <c r="O204">
        <v>2.3592914438502675</v>
      </c>
      <c r="P204">
        <v>0.44534412955465585</v>
      </c>
      <c r="Q204">
        <v>0.44534412955465585</v>
      </c>
      <c r="R204">
        <v>1.0506965944272446</v>
      </c>
      <c r="S204">
        <v>0.95174953959484354</v>
      </c>
      <c r="T204">
        <v>0.95174953959484354</v>
      </c>
      <c r="U204">
        <v>0.42385607026491001</v>
      </c>
    </row>
    <row r="205" spans="1:21" x14ac:dyDescent="0.25">
      <c r="A205" t="s">
        <v>30</v>
      </c>
      <c r="B205" t="s">
        <v>42</v>
      </c>
      <c r="C205" t="s">
        <v>14</v>
      </c>
      <c r="D205">
        <v>2.5351191458269504</v>
      </c>
      <c r="E205">
        <v>3.8</v>
      </c>
      <c r="F205">
        <v>10</v>
      </c>
      <c r="G205">
        <v>3.8</v>
      </c>
      <c r="H205">
        <v>3.9314839572192506</v>
      </c>
      <c r="I205" t="s">
        <v>57</v>
      </c>
      <c r="K205" s="6">
        <v>45577</v>
      </c>
      <c r="L205">
        <v>45577</v>
      </c>
      <c r="M205">
        <v>1.498943355879413</v>
      </c>
      <c r="N205">
        <v>1.498943355879413</v>
      </c>
      <c r="O205">
        <v>1.55080835695271</v>
      </c>
      <c r="P205">
        <v>0.66713661732288176</v>
      </c>
      <c r="Q205">
        <v>0.66713661732288176</v>
      </c>
      <c r="R205">
        <v>1.034601041373487</v>
      </c>
      <c r="S205">
        <v>0.96655615064184319</v>
      </c>
      <c r="T205">
        <v>0.96655615064184319</v>
      </c>
      <c r="U205">
        <v>0.64482500079182492</v>
      </c>
    </row>
    <row r="206" spans="1:21" x14ac:dyDescent="0.25">
      <c r="A206" t="s">
        <v>29</v>
      </c>
      <c r="B206" t="s">
        <v>42</v>
      </c>
      <c r="C206" t="s">
        <v>13</v>
      </c>
      <c r="D206">
        <v>5.7593984962406006</v>
      </c>
      <c r="E206">
        <v>5.6999999999999993</v>
      </c>
      <c r="F206">
        <v>10</v>
      </c>
      <c r="G206">
        <v>5.6999999999999993</v>
      </c>
      <c r="H206">
        <v>2.7228594140358848</v>
      </c>
      <c r="I206" t="s">
        <v>60</v>
      </c>
      <c r="J206">
        <v>1</v>
      </c>
      <c r="K206" s="6">
        <v>45578</v>
      </c>
      <c r="L206">
        <v>45578</v>
      </c>
      <c r="M206">
        <v>0.98968668407310711</v>
      </c>
      <c r="N206">
        <v>0.98968668407310711</v>
      </c>
      <c r="O206">
        <v>0.47276801836393306</v>
      </c>
      <c r="P206">
        <v>1.0104207888141405</v>
      </c>
      <c r="Q206">
        <v>1.0104207888141405</v>
      </c>
      <c r="R206">
        <v>0.47769463404138335</v>
      </c>
      <c r="S206">
        <v>2.0933875508289015</v>
      </c>
      <c r="T206">
        <v>2.0933875508289015</v>
      </c>
      <c r="U206">
        <v>2.1152023004022404</v>
      </c>
    </row>
    <row r="207" spans="1:21" x14ac:dyDescent="0.25">
      <c r="A207" t="s">
        <v>29</v>
      </c>
      <c r="B207" t="s">
        <v>42</v>
      </c>
      <c r="C207" t="s">
        <v>15</v>
      </c>
      <c r="D207">
        <v>1</v>
      </c>
      <c r="E207">
        <v>0</v>
      </c>
      <c r="F207">
        <v>10</v>
      </c>
      <c r="G207">
        <v>0</v>
      </c>
      <c r="H207">
        <v>1.1401127252520442</v>
      </c>
      <c r="I207" t="s">
        <v>59</v>
      </c>
      <c r="J207">
        <v>1</v>
      </c>
      <c r="K207" s="6">
        <v>45578</v>
      </c>
      <c r="L207">
        <v>45578</v>
      </c>
      <c r="M207">
        <v>0</v>
      </c>
      <c r="N207">
        <v>0</v>
      </c>
      <c r="O207">
        <v>1.1401127252520442</v>
      </c>
      <c r="S207">
        <v>0</v>
      </c>
      <c r="T207">
        <v>0</v>
      </c>
      <c r="U207">
        <v>0.8771062526110569</v>
      </c>
    </row>
    <row r="208" spans="1:21" x14ac:dyDescent="0.25">
      <c r="A208" t="s">
        <v>29</v>
      </c>
      <c r="B208" t="s">
        <v>42</v>
      </c>
      <c r="C208" t="s">
        <v>14</v>
      </c>
      <c r="D208">
        <v>2.8796992481203003</v>
      </c>
      <c r="E208">
        <v>0.95</v>
      </c>
      <c r="F208">
        <v>10</v>
      </c>
      <c r="G208">
        <v>0.95</v>
      </c>
      <c r="H208">
        <v>2.5963488843813378</v>
      </c>
      <c r="I208" t="s">
        <v>58</v>
      </c>
      <c r="J208">
        <v>1</v>
      </c>
      <c r="K208" s="6">
        <v>45578</v>
      </c>
      <c r="L208">
        <v>45578</v>
      </c>
      <c r="M208">
        <v>0.32989556135770237</v>
      </c>
      <c r="N208">
        <v>0.32989556135770237</v>
      </c>
      <c r="O208">
        <v>0.90160418178255353</v>
      </c>
      <c r="P208">
        <v>3.0312623664424216</v>
      </c>
      <c r="Q208">
        <v>3.0312623664424216</v>
      </c>
      <c r="R208">
        <v>2.7329988256645663</v>
      </c>
      <c r="S208">
        <v>0.36589843750000012</v>
      </c>
      <c r="T208">
        <v>0.36589843750000012</v>
      </c>
      <c r="U208">
        <v>1.1091341635338348</v>
      </c>
    </row>
    <row r="209" spans="1:21" x14ac:dyDescent="0.25">
      <c r="A209" t="s">
        <v>30</v>
      </c>
      <c r="B209" t="s">
        <v>42</v>
      </c>
      <c r="C209" t="s">
        <v>13</v>
      </c>
      <c r="D209">
        <v>6.8471096572600327</v>
      </c>
      <c r="E209">
        <v>3.8</v>
      </c>
      <c r="F209">
        <v>10</v>
      </c>
      <c r="G209">
        <v>3.8</v>
      </c>
      <c r="H209">
        <v>3.812745098039215</v>
      </c>
      <c r="I209" t="s">
        <v>60</v>
      </c>
      <c r="K209" s="6">
        <v>45578</v>
      </c>
      <c r="L209">
        <v>45578</v>
      </c>
      <c r="M209">
        <v>0.55497869761306307</v>
      </c>
      <c r="N209">
        <v>0.55497869761306307</v>
      </c>
      <c r="O209">
        <v>0.55684008127378792</v>
      </c>
      <c r="P209">
        <v>1.8018709624368507</v>
      </c>
      <c r="Q209">
        <v>1.8018709624368507</v>
      </c>
      <c r="R209">
        <v>1.0033539731682146</v>
      </c>
      <c r="S209">
        <v>0.99665723836461828</v>
      </c>
      <c r="T209">
        <v>0.99665723836461828</v>
      </c>
      <c r="U209">
        <v>1.7958477373117085</v>
      </c>
    </row>
    <row r="210" spans="1:21" x14ac:dyDescent="0.25">
      <c r="A210" t="s">
        <v>30</v>
      </c>
      <c r="B210" t="s">
        <v>42</v>
      </c>
      <c r="C210" t="s">
        <v>15</v>
      </c>
      <c r="D210">
        <v>0.84615384615384603</v>
      </c>
      <c r="E210">
        <v>1.9</v>
      </c>
      <c r="F210">
        <v>10</v>
      </c>
      <c r="G210">
        <v>1.9</v>
      </c>
      <c r="H210">
        <v>1.9964349376114079</v>
      </c>
      <c r="I210" t="s">
        <v>59</v>
      </c>
      <c r="K210" s="6">
        <v>45578</v>
      </c>
      <c r="L210">
        <v>45578</v>
      </c>
      <c r="M210">
        <v>2.2454545454545456</v>
      </c>
      <c r="N210">
        <v>2.2454545454545456</v>
      </c>
      <c r="O210">
        <v>2.3594231080862098</v>
      </c>
      <c r="P210">
        <v>0.44534412955465585</v>
      </c>
      <c r="Q210">
        <v>0.44534412955465585</v>
      </c>
      <c r="R210">
        <v>1.0507552303217937</v>
      </c>
      <c r="S210">
        <v>0.95169642857142867</v>
      </c>
      <c r="T210">
        <v>0.95169642857142867</v>
      </c>
      <c r="U210">
        <v>0.42383241758241758</v>
      </c>
    </row>
    <row r="211" spans="1:21" x14ac:dyDescent="0.25">
      <c r="A211" t="s">
        <v>30</v>
      </c>
      <c r="B211" t="s">
        <v>42</v>
      </c>
      <c r="C211" t="s">
        <v>14</v>
      </c>
      <c r="D211">
        <v>2.5351191458269504</v>
      </c>
      <c r="E211">
        <v>5.6999999999999993</v>
      </c>
      <c r="F211">
        <v>10</v>
      </c>
      <c r="G211">
        <v>5.6999999999999993</v>
      </c>
      <c r="H211">
        <v>3.9919786096256682</v>
      </c>
      <c r="I211" t="s">
        <v>58</v>
      </c>
      <c r="K211" s="6">
        <v>45578</v>
      </c>
      <c r="L211">
        <v>45578</v>
      </c>
      <c r="M211">
        <v>2.2484150338191191</v>
      </c>
      <c r="N211">
        <v>2.2484150338191191</v>
      </c>
      <c r="O211">
        <v>1.5746710036081928</v>
      </c>
      <c r="P211">
        <v>0.44475774488192116</v>
      </c>
      <c r="Q211">
        <v>0.44475774488192116</v>
      </c>
      <c r="R211">
        <v>0.70034712449573133</v>
      </c>
      <c r="S211">
        <v>1.4278633623576691</v>
      </c>
      <c r="T211">
        <v>1.4278633623576691</v>
      </c>
      <c r="U211">
        <v>0.63505328904171432</v>
      </c>
    </row>
    <row r="212" spans="1:21" x14ac:dyDescent="0.25">
      <c r="A212" t="s">
        <v>29</v>
      </c>
      <c r="B212" t="s">
        <v>42</v>
      </c>
      <c r="C212" t="s">
        <v>13</v>
      </c>
      <c r="D212">
        <v>5.7593984962406006</v>
      </c>
      <c r="E212">
        <v>4.75</v>
      </c>
      <c r="F212">
        <v>10</v>
      </c>
      <c r="G212">
        <v>4.75</v>
      </c>
      <c r="H212">
        <v>3.714506855373727</v>
      </c>
      <c r="I212" t="s">
        <v>61</v>
      </c>
      <c r="J212">
        <v>1</v>
      </c>
      <c r="K212" s="6">
        <v>45579</v>
      </c>
      <c r="L212">
        <v>45579</v>
      </c>
      <c r="M212">
        <v>0.82473890339425604</v>
      </c>
      <c r="N212">
        <v>0.82473890339425604</v>
      </c>
      <c r="O212">
        <v>0.64494701274765764</v>
      </c>
      <c r="P212">
        <v>1.2125049465769686</v>
      </c>
      <c r="Q212">
        <v>1.2125049465769686</v>
      </c>
      <c r="R212">
        <v>0.78200144323657417</v>
      </c>
      <c r="S212">
        <v>1.2787700184556772</v>
      </c>
      <c r="T212">
        <v>1.2787700184556772</v>
      </c>
      <c r="U212">
        <v>1.5505149729118299</v>
      </c>
    </row>
    <row r="213" spans="1:21" x14ac:dyDescent="0.25">
      <c r="A213" t="s">
        <v>29</v>
      </c>
      <c r="B213" t="s">
        <v>42</v>
      </c>
      <c r="C213" t="s">
        <v>15</v>
      </c>
      <c r="D213">
        <v>1</v>
      </c>
      <c r="E213">
        <v>0</v>
      </c>
      <c r="F213">
        <v>10</v>
      </c>
      <c r="G213">
        <v>0</v>
      </c>
      <c r="H213">
        <v>1.1401127252520442</v>
      </c>
      <c r="I213" t="s">
        <v>62</v>
      </c>
      <c r="J213">
        <v>1</v>
      </c>
      <c r="K213" s="6">
        <v>45579</v>
      </c>
      <c r="L213">
        <v>45579</v>
      </c>
      <c r="M213">
        <v>0</v>
      </c>
      <c r="N213">
        <v>0</v>
      </c>
      <c r="O213">
        <v>1.1401127252520442</v>
      </c>
      <c r="S213">
        <v>0</v>
      </c>
      <c r="T213">
        <v>0</v>
      </c>
      <c r="U213">
        <v>0.8771062526110569</v>
      </c>
    </row>
    <row r="214" spans="1:21" x14ac:dyDescent="0.25">
      <c r="A214" t="s">
        <v>29</v>
      </c>
      <c r="B214" t="s">
        <v>42</v>
      </c>
      <c r="C214" t="s">
        <v>14</v>
      </c>
      <c r="D214">
        <v>2.8796992481203003</v>
      </c>
      <c r="E214">
        <v>3.8</v>
      </c>
      <c r="F214">
        <v>10</v>
      </c>
      <c r="G214">
        <v>3.8</v>
      </c>
      <c r="H214">
        <v>2.4665314401622722</v>
      </c>
      <c r="I214" t="s">
        <v>63</v>
      </c>
      <c r="J214">
        <v>1</v>
      </c>
      <c r="K214" s="6">
        <v>45579</v>
      </c>
      <c r="L214">
        <v>45579</v>
      </c>
      <c r="M214">
        <v>1.3195822454308095</v>
      </c>
      <c r="N214">
        <v>1.3195822454308095</v>
      </c>
      <c r="O214">
        <v>0.85652397269342628</v>
      </c>
      <c r="P214">
        <v>0.75781559161060541</v>
      </c>
      <c r="Q214">
        <v>0.75781559161060541</v>
      </c>
      <c r="R214">
        <v>0.64908722109533479</v>
      </c>
      <c r="S214">
        <v>1.5406249999999997</v>
      </c>
      <c r="T214">
        <v>1.5406249999999997</v>
      </c>
      <c r="U214">
        <v>1.1675096458250886</v>
      </c>
    </row>
    <row r="215" spans="1:21" x14ac:dyDescent="0.25">
      <c r="A215" t="s">
        <v>30</v>
      </c>
      <c r="B215" t="s">
        <v>42</v>
      </c>
      <c r="C215" t="s">
        <v>13</v>
      </c>
      <c r="D215">
        <v>6.8471096572600345</v>
      </c>
      <c r="E215">
        <v>3.8</v>
      </c>
      <c r="F215">
        <v>10</v>
      </c>
      <c r="G215">
        <v>3.8</v>
      </c>
      <c r="H215">
        <v>2.2407754010695187</v>
      </c>
      <c r="I215" t="s">
        <v>61</v>
      </c>
      <c r="K215" s="6">
        <v>45579</v>
      </c>
      <c r="L215">
        <v>45579</v>
      </c>
      <c r="M215">
        <v>0.55497869761306295</v>
      </c>
      <c r="N215">
        <v>0.55497869761306295</v>
      </c>
      <c r="O215">
        <v>0.32725858256025009</v>
      </c>
      <c r="P215">
        <v>1.8018709624368512</v>
      </c>
      <c r="Q215">
        <v>1.8018709624368512</v>
      </c>
      <c r="R215">
        <v>0.58967773712355753</v>
      </c>
      <c r="S215">
        <v>1.6958415369011395</v>
      </c>
      <c r="T215">
        <v>1.6958415369011395</v>
      </c>
      <c r="U215">
        <v>3.0556876222364453</v>
      </c>
    </row>
    <row r="216" spans="1:21" x14ac:dyDescent="0.25">
      <c r="A216" t="s">
        <v>30</v>
      </c>
      <c r="B216" t="s">
        <v>42</v>
      </c>
      <c r="C216" t="s">
        <v>15</v>
      </c>
      <c r="D216">
        <v>0.84615384615384603</v>
      </c>
      <c r="E216">
        <v>1.9</v>
      </c>
      <c r="F216">
        <v>10</v>
      </c>
      <c r="G216">
        <v>1.9</v>
      </c>
      <c r="H216">
        <v>1.9282047025623392</v>
      </c>
      <c r="I216" t="s">
        <v>62</v>
      </c>
      <c r="K216" s="6">
        <v>45579</v>
      </c>
      <c r="L216">
        <v>45579</v>
      </c>
      <c r="M216">
        <v>2.2454545454545456</v>
      </c>
      <c r="N216">
        <v>2.2454545454545456</v>
      </c>
      <c r="O216">
        <v>2.278787375755492</v>
      </c>
      <c r="P216">
        <v>0.44534412955465585</v>
      </c>
      <c r="Q216">
        <v>0.44534412955465585</v>
      </c>
      <c r="R216">
        <v>1.014844580295968</v>
      </c>
      <c r="S216">
        <v>0.98537255794218381</v>
      </c>
      <c r="T216">
        <v>0.98537255794218381</v>
      </c>
      <c r="U216">
        <v>0.43882988410380652</v>
      </c>
    </row>
    <row r="217" spans="1:21" x14ac:dyDescent="0.25">
      <c r="A217" t="s">
        <v>30</v>
      </c>
      <c r="B217" t="s">
        <v>42</v>
      </c>
      <c r="C217" t="s">
        <v>14</v>
      </c>
      <c r="D217">
        <v>2.5351191458269504</v>
      </c>
      <c r="E217">
        <v>3.8</v>
      </c>
      <c r="F217">
        <v>10</v>
      </c>
      <c r="G217">
        <v>3.8</v>
      </c>
      <c r="H217">
        <v>3.0965066736228852</v>
      </c>
      <c r="I217" t="s">
        <v>63</v>
      </c>
      <c r="K217" s="6">
        <v>45579</v>
      </c>
      <c r="L217">
        <v>45579</v>
      </c>
      <c r="M217">
        <v>1.498943355879413</v>
      </c>
      <c r="N217">
        <v>1.498943355879413</v>
      </c>
      <c r="O217">
        <v>1.2214442381219173</v>
      </c>
      <c r="P217">
        <v>0.66713661732288176</v>
      </c>
      <c r="Q217">
        <v>0.66713661732288176</v>
      </c>
      <c r="R217">
        <v>0.81487017726918032</v>
      </c>
      <c r="S217">
        <v>1.2271893461007897</v>
      </c>
      <c r="T217">
        <v>1.2271893461007897</v>
      </c>
      <c r="U217">
        <v>0.81870294917235997</v>
      </c>
    </row>
    <row r="218" spans="1:21" x14ac:dyDescent="0.25">
      <c r="A218" t="s">
        <v>29</v>
      </c>
      <c r="B218" t="s">
        <v>42</v>
      </c>
      <c r="C218" t="s">
        <v>13</v>
      </c>
      <c r="D218">
        <v>5.7593984962406006</v>
      </c>
      <c r="E218">
        <v>3.8</v>
      </c>
      <c r="F218">
        <v>10</v>
      </c>
      <c r="G218">
        <v>3.8</v>
      </c>
      <c r="H218">
        <v>2.8447589562140649</v>
      </c>
      <c r="I218" t="s">
        <v>66</v>
      </c>
      <c r="J218">
        <v>1</v>
      </c>
      <c r="K218" s="6">
        <v>45580</v>
      </c>
      <c r="L218">
        <v>45580</v>
      </c>
      <c r="M218">
        <v>0.65979112271540474</v>
      </c>
      <c r="N218">
        <v>0.65979112271540474</v>
      </c>
      <c r="O218">
        <v>0.49393334357241603</v>
      </c>
      <c r="P218">
        <v>1.5156311832212108</v>
      </c>
      <c r="Q218">
        <v>1.5156311832212108</v>
      </c>
      <c r="R218">
        <v>0.74862077795106974</v>
      </c>
      <c r="S218">
        <v>1.3357898009950246</v>
      </c>
      <c r="T218">
        <v>1.3357898009950246</v>
      </c>
      <c r="U218">
        <v>2.0245646766169147</v>
      </c>
    </row>
    <row r="219" spans="1:21" x14ac:dyDescent="0.25">
      <c r="A219" t="s">
        <v>29</v>
      </c>
      <c r="B219" t="s">
        <v>42</v>
      </c>
      <c r="C219" t="s">
        <v>15</v>
      </c>
      <c r="D219">
        <v>1</v>
      </c>
      <c r="E219">
        <v>0</v>
      </c>
      <c r="F219">
        <v>10</v>
      </c>
      <c r="G219">
        <v>0</v>
      </c>
      <c r="H219">
        <v>0.24132730015082957</v>
      </c>
      <c r="I219" t="s">
        <v>65</v>
      </c>
      <c r="J219">
        <v>1</v>
      </c>
      <c r="K219" s="6">
        <v>45580</v>
      </c>
      <c r="L219">
        <v>45580</v>
      </c>
      <c r="M219">
        <v>0</v>
      </c>
      <c r="N219">
        <v>0</v>
      </c>
      <c r="O219">
        <v>0.24132730015082957</v>
      </c>
      <c r="S219">
        <v>0</v>
      </c>
      <c r="T219">
        <v>0</v>
      </c>
      <c r="U219">
        <v>4.1437499999999998</v>
      </c>
    </row>
    <row r="220" spans="1:21" x14ac:dyDescent="0.25">
      <c r="A220" t="s">
        <v>29</v>
      </c>
      <c r="B220" t="s">
        <v>42</v>
      </c>
      <c r="C220" t="s">
        <v>14</v>
      </c>
      <c r="D220">
        <v>2.8796992481203003</v>
      </c>
      <c r="E220">
        <v>2.8499999999999996</v>
      </c>
      <c r="F220">
        <v>10</v>
      </c>
      <c r="G220">
        <v>2.8499999999999996</v>
      </c>
      <c r="H220">
        <v>3.1683569979716029</v>
      </c>
      <c r="I220" t="s">
        <v>64</v>
      </c>
      <c r="J220">
        <v>1</v>
      </c>
      <c r="K220" s="6">
        <v>45580</v>
      </c>
      <c r="L220">
        <v>45580</v>
      </c>
      <c r="M220">
        <v>0.98968668407310711</v>
      </c>
      <c r="N220">
        <v>0.98968668407310711</v>
      </c>
      <c r="O220">
        <v>1.1002388530815228</v>
      </c>
      <c r="P220">
        <v>1.0104207888141405</v>
      </c>
      <c r="Q220">
        <v>1.0104207888141405</v>
      </c>
      <c r="R220">
        <v>1.1117042098145977</v>
      </c>
      <c r="S220">
        <v>0.89951984635083204</v>
      </c>
      <c r="T220">
        <v>0.89951984635083204</v>
      </c>
      <c r="U220">
        <v>0.90889355270378225</v>
      </c>
    </row>
    <row r="221" spans="1:21" x14ac:dyDescent="0.25">
      <c r="A221" t="s">
        <v>30</v>
      </c>
      <c r="B221" t="s">
        <v>42</v>
      </c>
      <c r="C221" t="s">
        <v>13</v>
      </c>
      <c r="D221">
        <v>6.8471096572600336</v>
      </c>
      <c r="E221">
        <v>3.8</v>
      </c>
      <c r="F221">
        <v>10</v>
      </c>
      <c r="G221">
        <v>3.8</v>
      </c>
      <c r="H221">
        <v>0.99895384983261604</v>
      </c>
      <c r="I221" t="s">
        <v>66</v>
      </c>
      <c r="K221" s="6">
        <v>45580</v>
      </c>
      <c r="L221">
        <v>45580</v>
      </c>
      <c r="M221">
        <v>0.55497869761306307</v>
      </c>
      <c r="N221">
        <v>0.55497869761306307</v>
      </c>
      <c r="O221">
        <v>0.14589423856727912</v>
      </c>
      <c r="P221">
        <v>1.801870962436851</v>
      </c>
      <c r="Q221">
        <v>1.801870962436851</v>
      </c>
      <c r="R221">
        <v>0.26288259206121478</v>
      </c>
      <c r="S221">
        <v>3.8039795338260372</v>
      </c>
      <c r="T221">
        <v>3.8039795338260372</v>
      </c>
      <c r="U221">
        <v>6.8542802637052054</v>
      </c>
    </row>
    <row r="222" spans="1:21" x14ac:dyDescent="0.25">
      <c r="A222" t="s">
        <v>30</v>
      </c>
      <c r="B222" t="s">
        <v>42</v>
      </c>
      <c r="C222" t="s">
        <v>15</v>
      </c>
      <c r="D222">
        <v>0.84615384615384603</v>
      </c>
      <c r="E222">
        <v>1.9</v>
      </c>
      <c r="F222">
        <v>10</v>
      </c>
      <c r="G222">
        <v>1.9</v>
      </c>
      <c r="H222">
        <v>1.9964349376114079</v>
      </c>
      <c r="I222" t="s">
        <v>65</v>
      </c>
      <c r="K222" s="6">
        <v>45580</v>
      </c>
      <c r="L222">
        <v>45580</v>
      </c>
      <c r="M222">
        <v>2.2454545454545456</v>
      </c>
      <c r="N222">
        <v>2.2454545454545456</v>
      </c>
      <c r="O222">
        <v>2.3594231080862098</v>
      </c>
      <c r="P222">
        <v>0.44534412955465585</v>
      </c>
      <c r="Q222">
        <v>0.44534412955465585</v>
      </c>
      <c r="R222">
        <v>1.0507552303217937</v>
      </c>
      <c r="S222">
        <v>0.95169642857142867</v>
      </c>
      <c r="T222">
        <v>0.95169642857142867</v>
      </c>
      <c r="U222">
        <v>0.42383241758241758</v>
      </c>
    </row>
    <row r="223" spans="1:21" x14ac:dyDescent="0.25">
      <c r="A223" t="s">
        <v>30</v>
      </c>
      <c r="B223" t="s">
        <v>42</v>
      </c>
      <c r="C223" t="s">
        <v>14</v>
      </c>
      <c r="D223">
        <v>2.5351191458269504</v>
      </c>
      <c r="E223">
        <v>3.8</v>
      </c>
      <c r="F223">
        <v>10</v>
      </c>
      <c r="G223">
        <v>3.8</v>
      </c>
      <c r="H223">
        <v>3.8215240641711223</v>
      </c>
      <c r="I223" t="s">
        <v>64</v>
      </c>
      <c r="K223" s="6">
        <v>45580</v>
      </c>
      <c r="L223">
        <v>45580</v>
      </c>
      <c r="M223">
        <v>1.498943355879413</v>
      </c>
      <c r="N223">
        <v>1.498943355879413</v>
      </c>
      <c r="O223">
        <v>1.5074337119269987</v>
      </c>
      <c r="P223">
        <v>0.66713661732288176</v>
      </c>
      <c r="Q223">
        <v>0.66713661732288176</v>
      </c>
      <c r="R223">
        <v>1.0056642274134533</v>
      </c>
      <c r="S223">
        <v>0.99436767535420689</v>
      </c>
      <c r="T223">
        <v>0.99436767535420689</v>
      </c>
      <c r="U223">
        <v>0.66337908731102302</v>
      </c>
    </row>
    <row r="224" spans="1:21" x14ac:dyDescent="0.25">
      <c r="A224" t="s">
        <v>29</v>
      </c>
      <c r="B224" t="s">
        <v>42</v>
      </c>
      <c r="C224" t="s">
        <v>14</v>
      </c>
      <c r="D224">
        <v>2.8796992481203003</v>
      </c>
      <c r="E224">
        <v>4.75</v>
      </c>
      <c r="F224">
        <v>10</v>
      </c>
      <c r="G224">
        <v>4.75</v>
      </c>
      <c r="H224">
        <v>1.5253549695740365</v>
      </c>
      <c r="I224" t="s">
        <v>67</v>
      </c>
      <c r="J224">
        <v>1</v>
      </c>
      <c r="K224" s="6">
        <v>45581</v>
      </c>
      <c r="L224">
        <v>45581</v>
      </c>
      <c r="M224">
        <v>1.6494778067885121</v>
      </c>
      <c r="N224">
        <v>1.6494778067885121</v>
      </c>
      <c r="O224">
        <v>0.5296924567972503</v>
      </c>
      <c r="P224">
        <v>0.60625247328848431</v>
      </c>
      <c r="Q224">
        <v>0.60625247328848431</v>
      </c>
      <c r="R224">
        <v>0.32112736201558661</v>
      </c>
      <c r="S224">
        <v>3.1140292553191489</v>
      </c>
      <c r="T224">
        <v>3.1140292553191489</v>
      </c>
      <c r="U224">
        <v>1.8878879379299309</v>
      </c>
    </row>
    <row r="225" spans="1:21" x14ac:dyDescent="0.25">
      <c r="A225" t="s">
        <v>29</v>
      </c>
      <c r="B225" t="s">
        <v>42</v>
      </c>
      <c r="C225" t="s">
        <v>13</v>
      </c>
      <c r="D225">
        <v>5.7593984962406006</v>
      </c>
      <c r="E225">
        <v>3.8</v>
      </c>
      <c r="F225">
        <v>10</v>
      </c>
      <c r="G225">
        <v>3.8</v>
      </c>
      <c r="H225">
        <v>3.6806722689075615</v>
      </c>
      <c r="I225" t="s">
        <v>69</v>
      </c>
      <c r="J225">
        <v>1</v>
      </c>
      <c r="K225" s="6">
        <v>45581</v>
      </c>
      <c r="L225">
        <v>45581</v>
      </c>
      <c r="M225">
        <v>0.65979112271540474</v>
      </c>
      <c r="N225">
        <v>0.65979112271540474</v>
      </c>
      <c r="O225">
        <v>0.63907233911841477</v>
      </c>
      <c r="P225">
        <v>1.5156311832212108</v>
      </c>
      <c r="Q225">
        <v>1.5156311832212108</v>
      </c>
      <c r="R225">
        <v>0.96859796550198995</v>
      </c>
      <c r="S225">
        <v>1.0324200913242012</v>
      </c>
      <c r="T225">
        <v>1.0324200913242012</v>
      </c>
      <c r="U225">
        <v>1.5647680845950498</v>
      </c>
    </row>
    <row r="226" spans="1:21" x14ac:dyDescent="0.25">
      <c r="A226" t="s">
        <v>29</v>
      </c>
      <c r="B226" t="s">
        <v>42</v>
      </c>
      <c r="C226" t="s">
        <v>15</v>
      </c>
      <c r="D226">
        <v>1</v>
      </c>
      <c r="E226">
        <v>0</v>
      </c>
      <c r="F226">
        <v>10</v>
      </c>
      <c r="G226">
        <v>0</v>
      </c>
      <c r="H226">
        <v>0.12066365007541478</v>
      </c>
      <c r="I226" t="s">
        <v>68</v>
      </c>
      <c r="J226">
        <v>1</v>
      </c>
      <c r="K226" s="6">
        <v>45581</v>
      </c>
      <c r="L226">
        <v>45581</v>
      </c>
      <c r="M226">
        <v>0</v>
      </c>
      <c r="N226">
        <v>0</v>
      </c>
      <c r="O226">
        <v>0.12066365007541478</v>
      </c>
      <c r="S226">
        <v>0</v>
      </c>
      <c r="T226">
        <v>0</v>
      </c>
      <c r="U226">
        <v>8.2874999999999996</v>
      </c>
    </row>
    <row r="227" spans="1:21" x14ac:dyDescent="0.25">
      <c r="A227" t="s">
        <v>30</v>
      </c>
      <c r="B227" t="s">
        <v>42</v>
      </c>
      <c r="C227" t="s">
        <v>14</v>
      </c>
      <c r="D227">
        <v>2.5351191458269504</v>
      </c>
      <c r="E227">
        <v>2.8499999999999996</v>
      </c>
      <c r="F227">
        <v>10</v>
      </c>
      <c r="G227">
        <v>2.8499999999999996</v>
      </c>
      <c r="H227">
        <v>2.9371657754010689</v>
      </c>
      <c r="I227" t="s">
        <v>67</v>
      </c>
      <c r="K227" s="6">
        <v>45581</v>
      </c>
      <c r="L227">
        <v>45581</v>
      </c>
      <c r="M227">
        <v>1.1242075169095596</v>
      </c>
      <c r="N227">
        <v>1.1242075169095596</v>
      </c>
      <c r="O227">
        <v>1.1585908221457464</v>
      </c>
      <c r="P227">
        <v>0.88951548976384232</v>
      </c>
      <c r="Q227">
        <v>0.88951548976384232</v>
      </c>
      <c r="R227">
        <v>1.0305844825968664</v>
      </c>
      <c r="S227">
        <v>0.97032316795630413</v>
      </c>
      <c r="T227">
        <v>0.97032316795630413</v>
      </c>
      <c r="U227">
        <v>0.8631174879738549</v>
      </c>
    </row>
    <row r="228" spans="1:21" x14ac:dyDescent="0.25">
      <c r="A228" t="s">
        <v>30</v>
      </c>
      <c r="B228" t="s">
        <v>42</v>
      </c>
      <c r="C228" t="s">
        <v>13</v>
      </c>
      <c r="D228">
        <v>6.8471096572600336</v>
      </c>
      <c r="E228">
        <v>3.8</v>
      </c>
      <c r="F228">
        <v>10</v>
      </c>
      <c r="G228">
        <v>3.8</v>
      </c>
      <c r="H228">
        <v>1.9377450980392157</v>
      </c>
      <c r="I228" t="s">
        <v>69</v>
      </c>
      <c r="K228" s="6">
        <v>45581</v>
      </c>
      <c r="L228">
        <v>45581</v>
      </c>
      <c r="M228">
        <v>0.55497869761306307</v>
      </c>
      <c r="N228">
        <v>0.55497869761306307</v>
      </c>
      <c r="O228">
        <v>0.28300190810944764</v>
      </c>
      <c r="P228">
        <v>1.801870962436851</v>
      </c>
      <c r="Q228">
        <v>1.801870962436851</v>
      </c>
      <c r="R228">
        <v>0.50993292053663575</v>
      </c>
      <c r="S228">
        <v>1.9610422463951429</v>
      </c>
      <c r="T228">
        <v>1.9610422463951429</v>
      </c>
      <c r="U228">
        <v>3.5335450798913404</v>
      </c>
    </row>
    <row r="229" spans="1:21" x14ac:dyDescent="0.25">
      <c r="A229" t="s">
        <v>30</v>
      </c>
      <c r="B229" t="s">
        <v>42</v>
      </c>
      <c r="C229" t="s">
        <v>15</v>
      </c>
      <c r="D229">
        <v>0.84615384615384603</v>
      </c>
      <c r="E229">
        <v>1.9</v>
      </c>
      <c r="F229">
        <v>10</v>
      </c>
      <c r="G229">
        <v>1.9</v>
      </c>
      <c r="H229">
        <v>1.9679144385026737</v>
      </c>
      <c r="I229" t="s">
        <v>68</v>
      </c>
      <c r="K229" s="6">
        <v>45581</v>
      </c>
      <c r="L229">
        <v>45581</v>
      </c>
      <c r="M229">
        <v>2.2454545454545456</v>
      </c>
      <c r="N229">
        <v>2.2454545454545456</v>
      </c>
      <c r="O229">
        <v>2.3257170636849782</v>
      </c>
      <c r="P229">
        <v>0.44534412955465585</v>
      </c>
      <c r="Q229">
        <v>0.44534412955465585</v>
      </c>
      <c r="R229">
        <v>1.0357444413171968</v>
      </c>
      <c r="S229">
        <v>0.96548913043478257</v>
      </c>
      <c r="T229">
        <v>0.96548913043478257</v>
      </c>
      <c r="U229">
        <v>0.42997491638795982</v>
      </c>
    </row>
    <row r="230" spans="1:21" x14ac:dyDescent="0.25">
      <c r="A230" t="s">
        <v>29</v>
      </c>
      <c r="B230" t="s">
        <v>42</v>
      </c>
      <c r="C230" t="s">
        <v>14</v>
      </c>
      <c r="D230">
        <v>2.8796992481203003</v>
      </c>
      <c r="E230">
        <v>5.6999999999999993</v>
      </c>
      <c r="F230">
        <v>10</v>
      </c>
      <c r="G230">
        <v>5.6999999999999993</v>
      </c>
      <c r="H230">
        <v>3.4020153111300142</v>
      </c>
      <c r="I230" t="s">
        <v>71</v>
      </c>
      <c r="J230">
        <v>1</v>
      </c>
      <c r="K230" s="6">
        <v>45582</v>
      </c>
      <c r="L230">
        <v>45582</v>
      </c>
      <c r="M230">
        <v>1.9793733681462142</v>
      </c>
      <c r="N230">
        <v>1.9793733681462142</v>
      </c>
      <c r="O230">
        <v>1.1813786850660364</v>
      </c>
      <c r="P230">
        <v>0.50521039440707027</v>
      </c>
      <c r="Q230">
        <v>0.50521039440707027</v>
      </c>
      <c r="R230">
        <v>0.59684479142631841</v>
      </c>
      <c r="S230">
        <v>1.6754774681207081</v>
      </c>
      <c r="T230">
        <v>1.6754774681207081</v>
      </c>
      <c r="U230">
        <v>0.8464686324894225</v>
      </c>
    </row>
    <row r="231" spans="1:21" x14ac:dyDescent="0.25">
      <c r="A231" t="s">
        <v>29</v>
      </c>
      <c r="B231" t="s">
        <v>42</v>
      </c>
      <c r="C231" t="s">
        <v>15</v>
      </c>
      <c r="D231">
        <v>1</v>
      </c>
      <c r="E231">
        <v>0</v>
      </c>
      <c r="F231">
        <v>10</v>
      </c>
      <c r="G231">
        <v>0</v>
      </c>
      <c r="H231">
        <v>1.2600465548632931</v>
      </c>
      <c r="I231" t="s">
        <v>70</v>
      </c>
      <c r="J231">
        <v>1</v>
      </c>
      <c r="K231" s="6">
        <v>45582</v>
      </c>
      <c r="L231">
        <v>45582</v>
      </c>
      <c r="M231">
        <v>0</v>
      </c>
      <c r="N231">
        <v>0</v>
      </c>
      <c r="O231">
        <v>1.2600465548632931</v>
      </c>
      <c r="S231">
        <v>0</v>
      </c>
      <c r="T231">
        <v>0</v>
      </c>
      <c r="U231">
        <v>0.79362147068327449</v>
      </c>
    </row>
    <row r="232" spans="1:21" x14ac:dyDescent="0.25">
      <c r="A232" t="s">
        <v>29</v>
      </c>
      <c r="B232" t="s">
        <v>42</v>
      </c>
      <c r="C232" t="s">
        <v>13</v>
      </c>
      <c r="D232">
        <v>5.7593984962406006</v>
      </c>
      <c r="E232">
        <v>0.95</v>
      </c>
      <c r="F232">
        <v>10</v>
      </c>
      <c r="G232">
        <v>0.95</v>
      </c>
      <c r="H232">
        <v>3.7590132827324472</v>
      </c>
      <c r="I232" t="s">
        <v>72</v>
      </c>
      <c r="J232">
        <v>1</v>
      </c>
      <c r="K232" s="6">
        <v>45582</v>
      </c>
      <c r="L232">
        <v>45582</v>
      </c>
      <c r="M232">
        <v>0.16494778067885119</v>
      </c>
      <c r="N232">
        <v>0.16494778067885119</v>
      </c>
      <c r="O232">
        <v>0.65267463003056858</v>
      </c>
      <c r="P232">
        <v>6.0625247328848433</v>
      </c>
      <c r="Q232">
        <v>6.0625247328848433</v>
      </c>
      <c r="R232">
        <v>3.9568560870867868</v>
      </c>
      <c r="S232">
        <v>0.25272589601211515</v>
      </c>
      <c r="T232">
        <v>0.25272589601211515</v>
      </c>
      <c r="U232">
        <v>1.5321569952139309</v>
      </c>
    </row>
    <row r="233" spans="1:21" x14ac:dyDescent="0.25">
      <c r="A233" t="s">
        <v>30</v>
      </c>
      <c r="B233" t="s">
        <v>42</v>
      </c>
      <c r="C233" t="s">
        <v>14</v>
      </c>
      <c r="D233">
        <v>2.5351191458269504</v>
      </c>
      <c r="E233">
        <v>4.75</v>
      </c>
      <c r="F233">
        <v>10</v>
      </c>
      <c r="G233">
        <v>4.75</v>
      </c>
      <c r="H233">
        <v>3.7212566844919786</v>
      </c>
      <c r="I233" t="s">
        <v>71</v>
      </c>
      <c r="K233" s="6">
        <v>45582</v>
      </c>
      <c r="L233">
        <v>45582</v>
      </c>
      <c r="M233">
        <v>1.8736791948492661</v>
      </c>
      <c r="N233">
        <v>1.8736791948492661</v>
      </c>
      <c r="O233">
        <v>1.467882363879238</v>
      </c>
      <c r="P233">
        <v>0.53370929385830534</v>
      </c>
      <c r="Q233">
        <v>0.53370929385830534</v>
      </c>
      <c r="R233">
        <v>0.78342245989304815</v>
      </c>
      <c r="S233">
        <v>1.2764505119453926</v>
      </c>
      <c r="T233">
        <v>1.2764505119453926</v>
      </c>
      <c r="U233">
        <v>0.68125350137544782</v>
      </c>
    </row>
    <row r="234" spans="1:21" x14ac:dyDescent="0.25">
      <c r="A234" t="s">
        <v>30</v>
      </c>
      <c r="B234" t="s">
        <v>42</v>
      </c>
      <c r="C234" t="s">
        <v>15</v>
      </c>
      <c r="D234">
        <v>0.84615384615384603</v>
      </c>
      <c r="E234">
        <v>1.9</v>
      </c>
      <c r="F234">
        <v>10</v>
      </c>
      <c r="G234">
        <v>1.9</v>
      </c>
      <c r="H234">
        <v>1.9679144385026737</v>
      </c>
      <c r="I234" t="s">
        <v>70</v>
      </c>
      <c r="K234" s="6">
        <v>45582</v>
      </c>
      <c r="L234">
        <v>45582</v>
      </c>
      <c r="M234">
        <v>2.2454545454545456</v>
      </c>
      <c r="N234">
        <v>2.2454545454545456</v>
      </c>
      <c r="O234">
        <v>2.3257170636849782</v>
      </c>
      <c r="P234">
        <v>0.44534412955465585</v>
      </c>
      <c r="Q234">
        <v>0.44534412955465585</v>
      </c>
      <c r="R234">
        <v>1.0357444413171968</v>
      </c>
      <c r="S234">
        <v>0.96548913043478257</v>
      </c>
      <c r="T234">
        <v>0.96548913043478257</v>
      </c>
      <c r="U234">
        <v>0.42997491638795982</v>
      </c>
    </row>
    <row r="235" spans="1:21" x14ac:dyDescent="0.25">
      <c r="A235" t="s">
        <v>30</v>
      </c>
      <c r="B235" t="s">
        <v>42</v>
      </c>
      <c r="C235" t="s">
        <v>13</v>
      </c>
      <c r="D235">
        <v>6.8471096572600327</v>
      </c>
      <c r="E235">
        <v>3.8</v>
      </c>
      <c r="F235">
        <v>10</v>
      </c>
      <c r="G235">
        <v>3.8</v>
      </c>
      <c r="H235">
        <v>2.8752450980392155</v>
      </c>
      <c r="I235" t="s">
        <v>72</v>
      </c>
      <c r="K235" s="6">
        <v>45582</v>
      </c>
      <c r="L235">
        <v>45582</v>
      </c>
      <c r="M235">
        <v>0.55497869761306307</v>
      </c>
      <c r="N235">
        <v>0.55497869761306307</v>
      </c>
      <c r="O235">
        <v>0.41992099469161787</v>
      </c>
      <c r="P235">
        <v>1.8018709624368507</v>
      </c>
      <c r="Q235">
        <v>1.8018709624368507</v>
      </c>
      <c r="R235">
        <v>0.75664344685242513</v>
      </c>
      <c r="S235">
        <v>1.3216264598073482</v>
      </c>
      <c r="T235">
        <v>1.3216264598073482</v>
      </c>
      <c r="U235">
        <v>2.3814003411150741</v>
      </c>
    </row>
    <row r="236" spans="1:21" x14ac:dyDescent="0.25">
      <c r="A236" t="s">
        <v>29</v>
      </c>
      <c r="B236" t="s">
        <v>42</v>
      </c>
      <c r="C236" t="s">
        <v>13</v>
      </c>
      <c r="D236">
        <v>5.7593984962406006</v>
      </c>
      <c r="E236">
        <v>2.8499999999999996</v>
      </c>
      <c r="F236">
        <v>10</v>
      </c>
      <c r="G236">
        <v>2.8499999999999996</v>
      </c>
      <c r="H236">
        <v>3.502922221520187</v>
      </c>
      <c r="I236" t="s">
        <v>73</v>
      </c>
      <c r="J236">
        <v>1</v>
      </c>
      <c r="K236" s="6">
        <v>45583</v>
      </c>
      <c r="L236">
        <v>45583</v>
      </c>
      <c r="M236">
        <v>0.49484334203655356</v>
      </c>
      <c r="N236">
        <v>0.49484334203655356</v>
      </c>
      <c r="O236">
        <v>0.60820973297935366</v>
      </c>
      <c r="P236">
        <v>2.0208415776282811</v>
      </c>
      <c r="Q236">
        <v>2.0208415776282811</v>
      </c>
      <c r="R236">
        <v>1.2290955163228727</v>
      </c>
      <c r="S236">
        <v>0.81360641766209862</v>
      </c>
      <c r="T236">
        <v>0.81360641766209862</v>
      </c>
      <c r="U236">
        <v>1.6441696766367697</v>
      </c>
    </row>
    <row r="237" spans="1:21" x14ac:dyDescent="0.25">
      <c r="A237" t="s">
        <v>29</v>
      </c>
      <c r="B237" t="s">
        <v>42</v>
      </c>
      <c r="C237" t="s">
        <v>15</v>
      </c>
      <c r="D237">
        <v>1</v>
      </c>
      <c r="E237">
        <v>0</v>
      </c>
      <c r="F237">
        <v>10</v>
      </c>
      <c r="G237">
        <v>0</v>
      </c>
      <c r="H237">
        <v>1.1913273001508298</v>
      </c>
      <c r="I237" t="s">
        <v>74</v>
      </c>
      <c r="J237">
        <v>1</v>
      </c>
      <c r="K237" s="6">
        <v>45583</v>
      </c>
      <c r="L237">
        <v>45583</v>
      </c>
      <c r="M237">
        <v>0</v>
      </c>
      <c r="N237">
        <v>0</v>
      </c>
      <c r="O237">
        <v>1.1913273001508298</v>
      </c>
      <c r="S237">
        <v>0</v>
      </c>
      <c r="T237">
        <v>0</v>
      </c>
      <c r="U237">
        <v>0.83939988605431393</v>
      </c>
    </row>
    <row r="238" spans="1:21" x14ac:dyDescent="0.25">
      <c r="A238" t="s">
        <v>29</v>
      </c>
      <c r="B238" t="s">
        <v>42</v>
      </c>
      <c r="C238" t="s">
        <v>14</v>
      </c>
      <c r="D238">
        <v>2.8796992481203003</v>
      </c>
      <c r="E238">
        <v>2.8499999999999996</v>
      </c>
      <c r="F238">
        <v>10</v>
      </c>
      <c r="G238">
        <v>2.8499999999999996</v>
      </c>
      <c r="H238">
        <v>2.4639235004346567</v>
      </c>
      <c r="I238" t="s">
        <v>75</v>
      </c>
      <c r="J238">
        <v>1</v>
      </c>
      <c r="K238" s="6">
        <v>45583</v>
      </c>
      <c r="L238">
        <v>45583</v>
      </c>
      <c r="M238">
        <v>0.98968668407310711</v>
      </c>
      <c r="N238">
        <v>0.98968668407310711</v>
      </c>
      <c r="O238">
        <v>0.85561834349297494</v>
      </c>
      <c r="P238">
        <v>1.0104207888141405</v>
      </c>
      <c r="Q238">
        <v>1.0104207888141405</v>
      </c>
      <c r="R238">
        <v>0.86453456155602004</v>
      </c>
      <c r="S238">
        <v>1.156691755850876</v>
      </c>
      <c r="T238">
        <v>1.156691755850876</v>
      </c>
      <c r="U238">
        <v>1.1687453963616554</v>
      </c>
    </row>
    <row r="239" spans="1:21" x14ac:dyDescent="0.25">
      <c r="A239" t="s">
        <v>30</v>
      </c>
      <c r="B239" t="s">
        <v>42</v>
      </c>
      <c r="C239" t="s">
        <v>13</v>
      </c>
      <c r="D239">
        <v>6.8471096572600336</v>
      </c>
      <c r="E239">
        <v>2.8499999999999996</v>
      </c>
      <c r="F239">
        <v>10</v>
      </c>
      <c r="G239">
        <v>2.8499999999999996</v>
      </c>
      <c r="H239">
        <v>3.812745098039215</v>
      </c>
      <c r="I239" t="s">
        <v>73</v>
      </c>
      <c r="K239" s="6">
        <v>45583</v>
      </c>
      <c r="L239">
        <v>45583</v>
      </c>
      <c r="M239">
        <v>0.41623402320979724</v>
      </c>
      <c r="N239">
        <v>0.41623402320979724</v>
      </c>
      <c r="O239">
        <v>0.55684008127378792</v>
      </c>
      <c r="P239">
        <v>2.4024946165824681</v>
      </c>
      <c r="Q239">
        <v>2.4024946165824681</v>
      </c>
      <c r="R239">
        <v>1.3378052975576196</v>
      </c>
      <c r="S239">
        <v>0.74749292877346363</v>
      </c>
      <c r="T239">
        <v>0.74749292877346363</v>
      </c>
      <c r="U239">
        <v>1.7958477373117088</v>
      </c>
    </row>
    <row r="240" spans="1:21" x14ac:dyDescent="0.25">
      <c r="A240" t="s">
        <v>30</v>
      </c>
      <c r="B240" t="s">
        <v>42</v>
      </c>
      <c r="C240" t="s">
        <v>15</v>
      </c>
      <c r="D240">
        <v>0.84615384615384603</v>
      </c>
      <c r="E240">
        <v>1.9</v>
      </c>
      <c r="F240">
        <v>10</v>
      </c>
      <c r="G240">
        <v>1.9</v>
      </c>
      <c r="H240">
        <v>1.9964349376114079</v>
      </c>
      <c r="I240" t="s">
        <v>74</v>
      </c>
      <c r="K240" s="6">
        <v>45583</v>
      </c>
      <c r="L240">
        <v>45583</v>
      </c>
      <c r="M240">
        <v>2.2454545454545456</v>
      </c>
      <c r="N240">
        <v>2.2454545454545456</v>
      </c>
      <c r="O240">
        <v>2.3594231080862098</v>
      </c>
      <c r="P240">
        <v>0.44534412955465585</v>
      </c>
      <c r="Q240">
        <v>0.44534412955465585</v>
      </c>
      <c r="R240">
        <v>1.0507552303217937</v>
      </c>
      <c r="S240">
        <v>0.95169642857142867</v>
      </c>
      <c r="T240">
        <v>0.95169642857142867</v>
      </c>
      <c r="U240">
        <v>0.42383241758241758</v>
      </c>
    </row>
    <row r="241" spans="1:21" x14ac:dyDescent="0.25">
      <c r="A241" t="s">
        <v>30</v>
      </c>
      <c r="B241" t="s">
        <v>42</v>
      </c>
      <c r="C241" t="s">
        <v>14</v>
      </c>
      <c r="D241">
        <v>2.5351191458269504</v>
      </c>
      <c r="E241">
        <v>3.8</v>
      </c>
      <c r="F241">
        <v>10</v>
      </c>
      <c r="G241">
        <v>3.8</v>
      </c>
      <c r="H241">
        <v>3.9919786096256682</v>
      </c>
      <c r="I241" t="s">
        <v>75</v>
      </c>
      <c r="K241" s="6">
        <v>45583</v>
      </c>
      <c r="L241">
        <v>45583</v>
      </c>
      <c r="M241">
        <v>1.498943355879413</v>
      </c>
      <c r="N241">
        <v>1.498943355879413</v>
      </c>
      <c r="O241">
        <v>1.5746710036081928</v>
      </c>
      <c r="P241">
        <v>0.66713661732288176</v>
      </c>
      <c r="Q241">
        <v>0.66713661732288176</v>
      </c>
      <c r="R241">
        <v>1.050520686743597</v>
      </c>
      <c r="S241">
        <v>0.95190890823844609</v>
      </c>
      <c r="T241">
        <v>0.95190890823844609</v>
      </c>
      <c r="U241">
        <v>0.63505328904171432</v>
      </c>
    </row>
    <row r="242" spans="1:21" x14ac:dyDescent="0.25">
      <c r="A242" t="s">
        <v>29</v>
      </c>
      <c r="B242" t="s">
        <v>42</v>
      </c>
      <c r="C242" t="s">
        <v>15</v>
      </c>
      <c r="D242">
        <v>1</v>
      </c>
      <c r="E242">
        <v>0.95</v>
      </c>
      <c r="F242">
        <v>10</v>
      </c>
      <c r="G242">
        <v>0.95</v>
      </c>
      <c r="H242">
        <v>1.1401127252520442</v>
      </c>
      <c r="I242" t="s">
        <v>77</v>
      </c>
      <c r="J242">
        <v>1</v>
      </c>
      <c r="K242" s="6">
        <v>45584</v>
      </c>
      <c r="L242">
        <v>45584</v>
      </c>
      <c r="M242">
        <v>0.95</v>
      </c>
      <c r="N242">
        <v>0.95</v>
      </c>
      <c r="O242">
        <v>1.1401127252520442</v>
      </c>
      <c r="P242">
        <v>1.0526315789473684</v>
      </c>
      <c r="Q242">
        <v>1.0526315789473684</v>
      </c>
      <c r="R242">
        <v>1.2001186581600467</v>
      </c>
      <c r="S242">
        <v>0.83325093998050404</v>
      </c>
      <c r="T242">
        <v>0.83325093998050404</v>
      </c>
      <c r="U242">
        <v>0.8771062526110569</v>
      </c>
    </row>
    <row r="243" spans="1:21" x14ac:dyDescent="0.25">
      <c r="A243" t="s">
        <v>29</v>
      </c>
      <c r="B243" t="s">
        <v>42</v>
      </c>
      <c r="C243" t="s">
        <v>14</v>
      </c>
      <c r="D243">
        <v>2.8796992481203003</v>
      </c>
      <c r="E243">
        <v>0.95</v>
      </c>
      <c r="F243">
        <v>10</v>
      </c>
      <c r="G243">
        <v>0.95</v>
      </c>
      <c r="H243">
        <v>2.5963488843813387</v>
      </c>
      <c r="I243" t="s">
        <v>76</v>
      </c>
      <c r="J243">
        <v>1</v>
      </c>
      <c r="K243" s="6">
        <v>45584</v>
      </c>
      <c r="L243">
        <v>45584</v>
      </c>
      <c r="M243">
        <v>0.32989556135770237</v>
      </c>
      <c r="N243">
        <v>0.32989556135770237</v>
      </c>
      <c r="O243">
        <v>0.90160418178255375</v>
      </c>
      <c r="P243">
        <v>3.0312623664424216</v>
      </c>
      <c r="Q243">
        <v>3.0312623664424216</v>
      </c>
      <c r="R243">
        <v>2.7329988256645672</v>
      </c>
      <c r="S243">
        <v>0.36589843750000001</v>
      </c>
      <c r="T243">
        <v>0.36589843750000001</v>
      </c>
      <c r="U243">
        <v>1.1091341635338345</v>
      </c>
    </row>
    <row r="244" spans="1:21" x14ac:dyDescent="0.25">
      <c r="A244" t="s">
        <v>29</v>
      </c>
      <c r="B244" t="s">
        <v>42</v>
      </c>
      <c r="C244" t="s">
        <v>13</v>
      </c>
      <c r="D244">
        <v>5.7593984962406006</v>
      </c>
      <c r="E244">
        <v>3.8</v>
      </c>
      <c r="F244">
        <v>10</v>
      </c>
      <c r="G244">
        <v>3.8</v>
      </c>
      <c r="H244">
        <v>2.723004201680673</v>
      </c>
      <c r="I244" t="s">
        <v>78</v>
      </c>
      <c r="J244">
        <v>1</v>
      </c>
      <c r="K244" s="6">
        <v>45584</v>
      </c>
      <c r="L244">
        <v>45584</v>
      </c>
      <c r="M244">
        <v>0.65979112271540474</v>
      </c>
      <c r="N244">
        <v>0.65979112271540474</v>
      </c>
      <c r="O244">
        <v>0.47279315773306735</v>
      </c>
      <c r="P244">
        <v>1.5156311832212108</v>
      </c>
      <c r="Q244">
        <v>1.5156311832212108</v>
      </c>
      <c r="R244">
        <v>0.71658005307386141</v>
      </c>
      <c r="S244">
        <v>1.3955174941171928</v>
      </c>
      <c r="T244">
        <v>1.3955174941171928</v>
      </c>
      <c r="U244">
        <v>2.1150898308147399</v>
      </c>
    </row>
    <row r="245" spans="1:21" x14ac:dyDescent="0.25">
      <c r="A245" t="s">
        <v>30</v>
      </c>
      <c r="B245" t="s">
        <v>42</v>
      </c>
      <c r="C245" t="s">
        <v>15</v>
      </c>
      <c r="D245">
        <v>0.84615384615384603</v>
      </c>
      <c r="E245">
        <v>1.9</v>
      </c>
      <c r="F245">
        <v>10</v>
      </c>
      <c r="G245">
        <v>1.9</v>
      </c>
      <c r="H245">
        <v>1.9964349376114079</v>
      </c>
      <c r="I245" t="s">
        <v>77</v>
      </c>
      <c r="K245" s="6">
        <v>45584</v>
      </c>
      <c r="L245">
        <v>45584</v>
      </c>
      <c r="M245">
        <v>2.2454545454545456</v>
      </c>
      <c r="N245">
        <v>2.2454545454545456</v>
      </c>
      <c r="O245">
        <v>2.3594231080862098</v>
      </c>
      <c r="P245">
        <v>0.44534412955465585</v>
      </c>
      <c r="Q245">
        <v>0.44534412955465585</v>
      </c>
      <c r="R245">
        <v>1.0507552303217937</v>
      </c>
      <c r="S245">
        <v>0.95169642857142867</v>
      </c>
      <c r="T245">
        <v>0.95169642857142867</v>
      </c>
      <c r="U245">
        <v>0.42383241758241758</v>
      </c>
    </row>
    <row r="246" spans="1:21" x14ac:dyDescent="0.25">
      <c r="A246" t="s">
        <v>30</v>
      </c>
      <c r="B246" t="s">
        <v>42</v>
      </c>
      <c r="C246" t="s">
        <v>14</v>
      </c>
      <c r="D246">
        <v>2.5351191458269504</v>
      </c>
      <c r="E246">
        <v>4.75</v>
      </c>
      <c r="F246">
        <v>10</v>
      </c>
      <c r="G246">
        <v>4.75</v>
      </c>
      <c r="H246">
        <v>3.9919786096256682</v>
      </c>
      <c r="I246" t="s">
        <v>76</v>
      </c>
      <c r="K246" s="6">
        <v>45584</v>
      </c>
      <c r="L246">
        <v>45584</v>
      </c>
      <c r="M246">
        <v>1.8736791948492661</v>
      </c>
      <c r="N246">
        <v>1.8736791948492661</v>
      </c>
      <c r="O246">
        <v>1.5746710036081928</v>
      </c>
      <c r="P246">
        <v>0.53370929385830534</v>
      </c>
      <c r="Q246">
        <v>0.53370929385830534</v>
      </c>
      <c r="R246">
        <v>0.84041654939487753</v>
      </c>
      <c r="S246">
        <v>1.1898861352980576</v>
      </c>
      <c r="T246">
        <v>1.1898861352980576</v>
      </c>
      <c r="U246">
        <v>0.63505328904171432</v>
      </c>
    </row>
    <row r="247" spans="1:21" x14ac:dyDescent="0.25">
      <c r="A247" t="s">
        <v>30</v>
      </c>
      <c r="B247" t="s">
        <v>42</v>
      </c>
      <c r="C247" t="s">
        <v>13</v>
      </c>
      <c r="D247">
        <v>6.8471096572600327</v>
      </c>
      <c r="E247">
        <v>3.8</v>
      </c>
      <c r="F247">
        <v>10</v>
      </c>
      <c r="G247">
        <v>3.8</v>
      </c>
      <c r="H247">
        <v>3.812745098039215</v>
      </c>
      <c r="I247" t="s">
        <v>78</v>
      </c>
      <c r="K247" s="6">
        <v>45584</v>
      </c>
      <c r="L247">
        <v>45584</v>
      </c>
      <c r="M247">
        <v>0.55497869761306307</v>
      </c>
      <c r="N247">
        <v>0.55497869761306307</v>
      </c>
      <c r="O247">
        <v>0.55684008127378792</v>
      </c>
      <c r="P247">
        <v>1.8018709624368507</v>
      </c>
      <c r="Q247">
        <v>1.8018709624368507</v>
      </c>
      <c r="R247">
        <v>1.0033539731682146</v>
      </c>
      <c r="S247">
        <v>0.99665723836461828</v>
      </c>
      <c r="T247">
        <v>0.99665723836461828</v>
      </c>
      <c r="U247">
        <v>1.7958477373117085</v>
      </c>
    </row>
    <row r="248" spans="1:21" x14ac:dyDescent="0.25">
      <c r="A248" t="s">
        <v>29</v>
      </c>
      <c r="B248" t="s">
        <v>42</v>
      </c>
      <c r="C248" t="s">
        <v>15</v>
      </c>
      <c r="D248">
        <v>1</v>
      </c>
      <c r="E248">
        <v>0</v>
      </c>
      <c r="F248">
        <v>10</v>
      </c>
      <c r="G248">
        <v>0</v>
      </c>
      <c r="H248">
        <v>0.24132730015082957</v>
      </c>
      <c r="I248" t="s">
        <v>80</v>
      </c>
      <c r="J248">
        <v>1</v>
      </c>
      <c r="K248" s="6">
        <v>45585</v>
      </c>
      <c r="L248">
        <v>45585</v>
      </c>
      <c r="M248">
        <v>0</v>
      </c>
      <c r="N248">
        <v>0</v>
      </c>
      <c r="O248">
        <v>0.24132730015082957</v>
      </c>
      <c r="S248">
        <v>0</v>
      </c>
      <c r="T248">
        <v>0</v>
      </c>
      <c r="U248">
        <v>4.1437499999999998</v>
      </c>
    </row>
    <row r="249" spans="1:21" x14ac:dyDescent="0.25">
      <c r="A249" t="s">
        <v>29</v>
      </c>
      <c r="B249" t="s">
        <v>42</v>
      </c>
      <c r="C249" t="s">
        <v>14</v>
      </c>
      <c r="D249">
        <v>2.8796992481203003</v>
      </c>
      <c r="E249">
        <v>1.9</v>
      </c>
      <c r="F249">
        <v>10</v>
      </c>
      <c r="G249">
        <v>1.9</v>
      </c>
      <c r="H249">
        <v>2.5309330628803242</v>
      </c>
      <c r="I249" t="s">
        <v>79</v>
      </c>
      <c r="J249">
        <v>1</v>
      </c>
      <c r="K249" s="6">
        <v>45585</v>
      </c>
      <c r="L249">
        <v>45585</v>
      </c>
      <c r="M249">
        <v>0.65979112271540474</v>
      </c>
      <c r="N249">
        <v>0.65979112271540474</v>
      </c>
      <c r="O249">
        <v>0.87888798267123547</v>
      </c>
      <c r="P249">
        <v>1.5156311832212108</v>
      </c>
      <c r="Q249">
        <v>1.5156311832212108</v>
      </c>
      <c r="R249">
        <v>1.3320700330949076</v>
      </c>
      <c r="S249">
        <v>0.75071128030454826</v>
      </c>
      <c r="T249">
        <v>0.75071128030454826</v>
      </c>
      <c r="U249">
        <v>1.1378014260254925</v>
      </c>
    </row>
    <row r="250" spans="1:21" x14ac:dyDescent="0.25">
      <c r="A250" t="s">
        <v>29</v>
      </c>
      <c r="B250" t="s">
        <v>42</v>
      </c>
      <c r="C250" t="s">
        <v>13</v>
      </c>
      <c r="D250">
        <v>5.7593984962406006</v>
      </c>
      <c r="E250">
        <v>3.8</v>
      </c>
      <c r="F250">
        <v>10</v>
      </c>
      <c r="G250">
        <v>3.8</v>
      </c>
      <c r="H250">
        <v>2.7192337461300311</v>
      </c>
      <c r="I250" t="s">
        <v>81</v>
      </c>
      <c r="J250">
        <v>1</v>
      </c>
      <c r="K250" s="6">
        <v>45585</v>
      </c>
      <c r="L250">
        <v>45585</v>
      </c>
      <c r="M250">
        <v>0.65979112271540474</v>
      </c>
      <c r="N250">
        <v>0.65979112271540474</v>
      </c>
      <c r="O250">
        <v>0.47213849639072347</v>
      </c>
      <c r="P250">
        <v>1.5156311832212108</v>
      </c>
      <c r="Q250">
        <v>1.5156311832212108</v>
      </c>
      <c r="R250">
        <v>0.71558782792895559</v>
      </c>
      <c r="S250">
        <v>1.3974525012452856</v>
      </c>
      <c r="T250">
        <v>1.3974525012452856</v>
      </c>
      <c r="U250">
        <v>2.1180225879578325</v>
      </c>
    </row>
    <row r="251" spans="1:21" x14ac:dyDescent="0.25">
      <c r="A251" t="s">
        <v>30</v>
      </c>
      <c r="B251" t="s">
        <v>42</v>
      </c>
      <c r="C251" t="s">
        <v>15</v>
      </c>
      <c r="D251">
        <v>0.84615384615384603</v>
      </c>
      <c r="E251">
        <v>1.9</v>
      </c>
      <c r="F251">
        <v>10</v>
      </c>
      <c r="G251">
        <v>1.9</v>
      </c>
      <c r="H251">
        <v>1.9964349376114079</v>
      </c>
      <c r="I251" t="s">
        <v>80</v>
      </c>
      <c r="K251" s="6">
        <v>45585</v>
      </c>
      <c r="L251">
        <v>45585</v>
      </c>
      <c r="M251">
        <v>2.2454545454545456</v>
      </c>
      <c r="N251">
        <v>2.2454545454545456</v>
      </c>
      <c r="O251">
        <v>2.3594231080862098</v>
      </c>
      <c r="P251">
        <v>0.44534412955465585</v>
      </c>
      <c r="Q251">
        <v>0.44534412955465585</v>
      </c>
      <c r="R251">
        <v>1.0507552303217937</v>
      </c>
      <c r="S251">
        <v>0.95169642857142867</v>
      </c>
      <c r="T251">
        <v>0.95169642857142867</v>
      </c>
      <c r="U251">
        <v>0.42383241758241758</v>
      </c>
    </row>
    <row r="252" spans="1:21" x14ac:dyDescent="0.25">
      <c r="A252" t="s">
        <v>30</v>
      </c>
      <c r="B252" t="s">
        <v>42</v>
      </c>
      <c r="C252" t="s">
        <v>14</v>
      </c>
      <c r="D252">
        <v>2.5351191458269504</v>
      </c>
      <c r="E252">
        <v>5.6999999999999993</v>
      </c>
      <c r="F252">
        <v>10</v>
      </c>
      <c r="G252">
        <v>5.6999999999999993</v>
      </c>
      <c r="H252">
        <v>3.9919786096256682</v>
      </c>
      <c r="I252" t="s">
        <v>79</v>
      </c>
      <c r="K252" s="6">
        <v>45585</v>
      </c>
      <c r="L252">
        <v>45585</v>
      </c>
      <c r="M252">
        <v>2.2484150338191191</v>
      </c>
      <c r="N252">
        <v>2.2484150338191191</v>
      </c>
      <c r="O252">
        <v>1.5746710036081928</v>
      </c>
      <c r="P252">
        <v>0.44475774488192116</v>
      </c>
      <c r="Q252">
        <v>0.44475774488192116</v>
      </c>
      <c r="R252">
        <v>0.70034712449573133</v>
      </c>
      <c r="S252">
        <v>1.4278633623576691</v>
      </c>
      <c r="T252">
        <v>1.4278633623576691</v>
      </c>
      <c r="U252">
        <v>0.63505328904171432</v>
      </c>
    </row>
    <row r="253" spans="1:21" x14ac:dyDescent="0.25">
      <c r="A253" t="s">
        <v>30</v>
      </c>
      <c r="B253" t="s">
        <v>42</v>
      </c>
      <c r="C253" t="s">
        <v>13</v>
      </c>
      <c r="D253">
        <v>6.8471096572600327</v>
      </c>
      <c r="E253">
        <v>3.8</v>
      </c>
      <c r="F253">
        <v>10</v>
      </c>
      <c r="G253">
        <v>3.8</v>
      </c>
      <c r="H253">
        <v>3.812745098039215</v>
      </c>
      <c r="I253" t="s">
        <v>81</v>
      </c>
      <c r="K253" s="6">
        <v>45585</v>
      </c>
      <c r="L253">
        <v>45585</v>
      </c>
      <c r="M253">
        <v>0.55497869761306307</v>
      </c>
      <c r="N253">
        <v>0.55497869761306307</v>
      </c>
      <c r="O253">
        <v>0.55684008127378792</v>
      </c>
      <c r="P253">
        <v>1.8018709624368507</v>
      </c>
      <c r="Q253">
        <v>1.8018709624368507</v>
      </c>
      <c r="R253">
        <v>1.0033539731682146</v>
      </c>
      <c r="S253">
        <v>0.99665723836461828</v>
      </c>
      <c r="T253">
        <v>0.99665723836461828</v>
      </c>
      <c r="U253">
        <v>1.7958477373117085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e0b85a-8471-4f10-b038-505fde09e598" xsi:nil="true"/>
    <lcf76f155ced4ddcb4097134ff3c332f xmlns="f82d1b6b-c0e6-44b0-99a2-d357b2d5089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E3C88C89-B8CA-48EA-A9D7-D701F75D985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1E1201-6DCC-4497-B063-0FAA807B9659}">
  <ds:schemaRefs>
    <ds:schemaRef ds:uri="http://schemas.microsoft.com/office/2006/metadata/properties"/>
    <ds:schemaRef ds:uri="http://schemas.microsoft.com/office/infopath/2007/PartnerControls"/>
    <ds:schemaRef ds:uri="df8b3e38-a5d6-4e8d-975c-a58e96566942"/>
    <ds:schemaRef ds:uri="7443686a-e97d-4b95-924d-9b4d820cf878"/>
    <ds:schemaRef ds:uri="cb0fa578-f870-47d6-b0d9-5a423e2a9cfb"/>
    <ds:schemaRef ds:uri="b568fc2f-4d2a-4f1a-a92d-be6ea9d479bf"/>
    <ds:schemaRef ds:uri="3be0b85a-8471-4f10-b038-505fde09e598"/>
    <ds:schemaRef ds:uri="f82d1b6b-c0e6-44b0-99a2-d357b2d50896"/>
    <ds:schemaRef ds:uri="a6ef9c2c-1ad1-4c09-9d1c-8c71a768c11f"/>
    <ds:schemaRef ds:uri="f574b478-68e4-495d-9b17-0f93d51a8ef7"/>
  </ds:schemaRefs>
</ds:datastoreItem>
</file>

<file path=customXml/itemProps3.xml><?xml version="1.0" encoding="utf-8"?>
<ds:datastoreItem xmlns:ds="http://schemas.openxmlformats.org/officeDocument/2006/customXml" ds:itemID="{EE0E2409-7D3F-4591-957E-C6595A83DDB4}"/>
</file>

<file path=customXml/itemProps4.xml><?xml version="1.0" encoding="utf-8"?>
<ds:datastoreItem xmlns:ds="http://schemas.openxmlformats.org/officeDocument/2006/customXml" ds:itemID="{85C8C21B-1234-41FE-A06A-AE7B112E17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Unit1Path</vt:lpstr>
      <vt:lpstr>FILEPATH-EffortALL</vt:lpstr>
      <vt:lpstr>Table_EffortAllMatrixAG1_1D</vt:lpstr>
      <vt:lpstr>EffortOutcomesAG1-1DayShift</vt:lpstr>
      <vt:lpstr>'FILEPATH-EffortALL'!Client</vt:lpstr>
      <vt:lpstr>Unit1Path!Client</vt:lpstr>
      <vt:lpstr>FilePathUrl</vt:lpstr>
      <vt:lpstr>'FILEPATH-EffortALL'!Location</vt:lpstr>
      <vt:lpstr>Unit1Path!Role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2022-12-21T04:59:52Z</dcterms:created>
  <dcterms:modified xsi:type="dcterms:W3CDTF">2025-01-13T04:41:29Z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