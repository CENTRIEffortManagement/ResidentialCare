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tables/table10.xml" ContentType="application/vnd.openxmlformats-officedocument.spreadsheetml.table+xml"/>
  <Override PartName="/xl/queryTables/queryTable7.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defaultThemeVersion="166925"/>
  <mc:AlternateContent xmlns:mc="http://schemas.openxmlformats.org/markup-compatibility/2006">
    <mc:Choice Requires="x15">
      <x15ac:absPath xmlns:x15ac="http://schemas.microsoft.com/office/spreadsheetml/2010/11/ac" url="https://centri001.sharepoint.com/sites/3Product/Shared Documents/AEM/Excel Template/CLIENT/DATExx/2. Calculations/Cost/"/>
    </mc:Choice>
  </mc:AlternateContent>
  <xr:revisionPtr revIDLastSave="327" documentId="8_{2B33BB91-EAF4-4A9B-9FFC-04C72BA168A3}" xr6:coauthVersionLast="47" xr6:coauthVersionMax="47" xr10:uidLastSave="{052B85E9-DB45-46A9-B36E-E6A5F6E0ACEF}"/>
  <bookViews>
    <workbookView xWindow="-38520" yWindow="-120" windowWidth="38640" windowHeight="21120" tabRatio="770" activeTab="4" xr2:uid="{B7D79E9A-E966-4872-9B1C-2D8EC0687B6D}"/>
  </bookViews>
  <sheets>
    <sheet name="FILEPATH" sheetId="9" r:id="rId1"/>
    <sheet name="Rates" sheetId="1" r:id="rId2"/>
    <sheet name="EffortOutcomesAG1_1DayShiftAB" sheetId="4" r:id="rId3"/>
    <sheet name="CostAG1_1DayShiftAB" sheetId="5" r:id="rId4"/>
    <sheet name="CostPerDay" sheetId="12" r:id="rId5"/>
    <sheet name="TargetRatebyDate" sheetId="10" r:id="rId6"/>
    <sheet name="SavingFacilityDay" sheetId="13" r:id="rId7"/>
    <sheet name="Saving" sheetId="11" r:id="rId8"/>
    <sheet name="Summary" sheetId="8" r:id="rId9"/>
    <sheet name="Benhome Actuals Last fn" sheetId="7" r:id="rId10"/>
  </sheets>
  <externalReferences>
    <externalReference r:id="rId11"/>
    <externalReference r:id="rId12"/>
  </externalReferences>
  <definedNames>
    <definedName name="ABCap">[1]Factors!$B$6</definedName>
    <definedName name="ABGoal">[1]Factors!$B$10</definedName>
    <definedName name="Client" localSheetId="0">FILEPATH!$B$30</definedName>
    <definedName name="Client">#REF!</definedName>
    <definedName name="Contractor_Margin">[1]Factors!$B$35</definedName>
    <definedName name="Date" localSheetId="0">FILEPATH!$B$33</definedName>
    <definedName name="Date">#REF!</definedName>
    <definedName name="Directory" localSheetId="0">#REF!</definedName>
    <definedName name="Directory">#REF!</definedName>
    <definedName name="EFCap">[1]Factors!$B$7</definedName>
    <definedName name="EFGoal">[1]Factors!$B$11</definedName>
    <definedName name="ExternalData_1" localSheetId="3" hidden="1">'CostAG1_1DayShiftAB'!$A$1:$T$253</definedName>
    <definedName name="ExternalData_1" localSheetId="2" hidden="1">EffortOutcomesAG1_1DayShiftAB!$A$1:$AJ$253</definedName>
    <definedName name="ExternalData_1" localSheetId="8" hidden="1">Summary!$A$1:$G$7</definedName>
    <definedName name="ExternalData_2" localSheetId="4" hidden="1">CostPerDay!$A$1:$B$3</definedName>
    <definedName name="ExternalData_2" localSheetId="7" hidden="1">Saving!$A$1:$C$29</definedName>
    <definedName name="ExternalData_2" localSheetId="5" hidden="1">TargetRatebyDate!$A$1:$B$15</definedName>
    <definedName name="ExternalData_3" localSheetId="6" hidden="1">SavingFacilityDay!$A$1:$C$29</definedName>
    <definedName name="INCap">[1]Factors!$B$8</definedName>
    <definedName name="INGoal">[1]Factors!$B$12</definedName>
    <definedName name="LabourCost">[1]Factors!$B$21</definedName>
    <definedName name="LabourStretchCost">[1]Factors!$B$22</definedName>
    <definedName name="Location" localSheetId="0">FILEPATH!#REF!</definedName>
    <definedName name="Location">#REF!</definedName>
    <definedName name="Overtime">[1]Factors!$B$4</definedName>
    <definedName name="Revenue_per_labour_factor">[1]Factors!$B$19</definedName>
    <definedName name="RevenueRate">[1]Factors!$B$23</definedName>
    <definedName name="RevPerWorker">[1]Factors!$E$23</definedName>
    <definedName name="Slicer_Facility">#N/A</definedName>
    <definedName name="Slicer_Version">#N/A</definedName>
    <definedName name="Type" localSheetId="0">FILEPATH!$B$31</definedName>
    <definedName name="Type">#REF!</definedName>
  </definedNames>
  <calcPr calcId="191029" iterateDelta="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8" l="1"/>
  <c r="D3" i="12"/>
  <c r="D2" i="12"/>
  <c r="K24" i="1"/>
  <c r="L24" i="1"/>
  <c r="M24" i="1"/>
  <c r="N24" i="1"/>
  <c r="O24" i="1"/>
  <c r="P24" i="1"/>
  <c r="K25" i="1"/>
  <c r="L25" i="1"/>
  <c r="M25" i="1"/>
  <c r="N25" i="1"/>
  <c r="O25" i="1"/>
  <c r="P25" i="1"/>
  <c r="K26" i="1"/>
  <c r="L26" i="1"/>
  <c r="M26" i="1"/>
  <c r="N26" i="1"/>
  <c r="O26" i="1"/>
  <c r="P26" i="1"/>
  <c r="J25" i="1"/>
  <c r="J26" i="1"/>
  <c r="J18" i="1"/>
  <c r="J19" i="1"/>
  <c r="J20" i="1"/>
  <c r="J21" i="1"/>
  <c r="J22" i="1"/>
  <c r="J23" i="1"/>
  <c r="J24" i="1"/>
  <c r="P14" i="1"/>
  <c r="P16" i="1" s="1"/>
  <c r="O14" i="1"/>
  <c r="P11" i="1"/>
  <c r="P12" i="1" s="1"/>
  <c r="O11" i="1"/>
  <c r="O12" i="1" s="1"/>
  <c r="K12" i="1"/>
  <c r="L12" i="1"/>
  <c r="M12" i="1"/>
  <c r="N12" i="1"/>
  <c r="K13" i="1"/>
  <c r="L13" i="1"/>
  <c r="M13" i="1"/>
  <c r="N13" i="1"/>
  <c r="J13" i="1"/>
  <c r="J12" i="1"/>
  <c r="K15" i="1"/>
  <c r="L15" i="1"/>
  <c r="M15" i="1"/>
  <c r="N15" i="1"/>
  <c r="K16" i="1"/>
  <c r="L16" i="1"/>
  <c r="M16" i="1"/>
  <c r="N16" i="1"/>
  <c r="J16" i="1"/>
  <c r="J15" i="1"/>
  <c r="E7" i="9"/>
  <c r="B6" i="9" a="1"/>
  <c r="B6" i="9" s="1"/>
  <c r="B4" i="9" a="1"/>
  <c r="B4" i="9" s="1"/>
  <c r="O15" i="1" l="1"/>
  <c r="O16" i="1"/>
  <c r="P13" i="1"/>
  <c r="P15" i="1"/>
  <c r="O13" i="1"/>
  <c r="C7" i="9"/>
  <c r="C11" i="9"/>
  <c r="C8" i="9"/>
  <c r="E6" i="9"/>
  <c r="C6" i="9"/>
  <c r="B26" i="9"/>
  <c r="B36" i="9" s="1"/>
  <c r="C20" i="9"/>
  <c r="C23" i="9" s="1"/>
  <c r="C9" i="9" l="1"/>
  <c r="B13" i="9" s="1"/>
  <c r="B14" i="9" s="1"/>
  <c r="K18" i="1" l="1"/>
  <c r="L18" i="1"/>
  <c r="M18" i="1"/>
  <c r="N18" i="1"/>
  <c r="O18" i="1"/>
  <c r="P18" i="1"/>
  <c r="K19" i="1"/>
  <c r="L19" i="1"/>
  <c r="M19" i="1"/>
  <c r="N19" i="1"/>
  <c r="O19" i="1"/>
  <c r="P19" i="1"/>
  <c r="K20" i="1"/>
  <c r="L20" i="1"/>
  <c r="M20" i="1"/>
  <c r="N20" i="1"/>
  <c r="O20" i="1"/>
  <c r="P20" i="1"/>
  <c r="K21" i="1"/>
  <c r="L21" i="1"/>
  <c r="M21" i="1"/>
  <c r="N21" i="1"/>
  <c r="O21" i="1"/>
  <c r="P21" i="1"/>
  <c r="K22" i="1"/>
  <c r="L22" i="1"/>
  <c r="M22" i="1"/>
  <c r="N22" i="1"/>
  <c r="O22" i="1"/>
  <c r="P22" i="1"/>
  <c r="K23" i="1"/>
  <c r="L23" i="1"/>
  <c r="M23" i="1"/>
  <c r="N23" i="1"/>
  <c r="O23" i="1"/>
  <c r="P23" i="1"/>
  <c r="Z34" i="7"/>
  <c r="Y34" i="7"/>
  <c r="X34" i="7"/>
  <c r="W34" i="7"/>
  <c r="V34" i="7"/>
  <c r="U34" i="7"/>
  <c r="T34" i="7"/>
  <c r="S34" i="7"/>
  <c r="R34" i="7"/>
  <c r="Q34" i="7"/>
  <c r="P34" i="7"/>
  <c r="O34" i="7"/>
  <c r="N34" i="7"/>
  <c r="M34" i="7"/>
  <c r="L34" i="7"/>
  <c r="K34" i="7"/>
  <c r="J34" i="7"/>
  <c r="I34" i="7"/>
  <c r="H34" i="7"/>
  <c r="G34" i="7"/>
  <c r="U33" i="7"/>
  <c r="T33" i="7"/>
  <c r="S33" i="7"/>
  <c r="R33" i="7"/>
  <c r="Q33" i="7"/>
  <c r="P33" i="7"/>
  <c r="O33" i="7"/>
  <c r="N33" i="7"/>
  <c r="M33" i="7"/>
  <c r="L33" i="7"/>
  <c r="K33" i="7"/>
  <c r="J33" i="7"/>
  <c r="I33" i="7"/>
  <c r="H33" i="7"/>
  <c r="Z32" i="7"/>
  <c r="Y32" i="7"/>
  <c r="X32" i="7"/>
  <c r="W32" i="7"/>
  <c r="V32" i="7"/>
  <c r="U32" i="7"/>
  <c r="T32" i="7"/>
  <c r="S32" i="7"/>
  <c r="R32" i="7"/>
  <c r="Q32" i="7"/>
  <c r="P32" i="7"/>
  <c r="O32" i="7"/>
  <c r="N32" i="7"/>
  <c r="M32" i="7"/>
  <c r="L32" i="7"/>
  <c r="K32" i="7"/>
  <c r="J32" i="7"/>
  <c r="I32" i="7"/>
  <c r="H32" i="7"/>
  <c r="G32" i="7"/>
  <c r="Z31" i="7"/>
  <c r="Y31" i="7"/>
  <c r="X31" i="7"/>
  <c r="W31" i="7"/>
  <c r="V31" i="7"/>
  <c r="U31" i="7"/>
  <c r="U35" i="7" s="1"/>
  <c r="T31" i="7"/>
  <c r="T35" i="7" s="1"/>
  <c r="S31" i="7"/>
  <c r="S35" i="7" s="1"/>
  <c r="R31" i="7"/>
  <c r="R35" i="7" s="1"/>
  <c r="Q31" i="7"/>
  <c r="Q35" i="7" s="1"/>
  <c r="P31" i="7"/>
  <c r="P35" i="7" s="1"/>
  <c r="O31" i="7"/>
  <c r="O35" i="7" s="1"/>
  <c r="N31" i="7"/>
  <c r="N35" i="7" s="1"/>
  <c r="M31" i="7"/>
  <c r="M35" i="7" s="1"/>
  <c r="L31" i="7"/>
  <c r="L35" i="7" s="1"/>
  <c r="K31" i="7"/>
  <c r="K35" i="7" s="1"/>
  <c r="J31" i="7"/>
  <c r="J35" i="7" s="1"/>
  <c r="I31" i="7"/>
  <c r="I35" i="7" s="1"/>
  <c r="H31" i="7"/>
  <c r="H35" i="7" s="1"/>
  <c r="U30" i="7"/>
  <c r="T30" i="7"/>
  <c r="S30" i="7"/>
  <c r="R30" i="7"/>
  <c r="Q30" i="7"/>
  <c r="P30" i="7"/>
  <c r="O30" i="7"/>
  <c r="N30" i="7"/>
  <c r="M30" i="7"/>
  <c r="L30" i="7"/>
  <c r="K30" i="7"/>
  <c r="J30" i="7"/>
  <c r="I30" i="7"/>
  <c r="H30" i="7"/>
  <c r="V30" i="7" s="1"/>
  <c r="W29" i="7"/>
  <c r="X29" i="7" s="1"/>
  <c r="Y29" i="7" s="1"/>
  <c r="Z29" i="7" s="1"/>
  <c r="V29" i="7"/>
  <c r="V28" i="7"/>
  <c r="W28" i="7" s="1"/>
  <c r="W27" i="7"/>
  <c r="V27" i="7"/>
  <c r="V26" i="7"/>
  <c r="W26" i="7" s="1"/>
  <c r="V25" i="7"/>
  <c r="W25" i="7" s="1"/>
  <c r="X25" i="7" s="1"/>
  <c r="Y25" i="7" s="1"/>
  <c r="Z25" i="7" s="1"/>
  <c r="W24" i="7"/>
  <c r="X24" i="7" s="1"/>
  <c r="Y24" i="7" s="1"/>
  <c r="Z24" i="7" s="1"/>
  <c r="V24" i="7"/>
  <c r="V23" i="7"/>
  <c r="W23" i="7" s="1"/>
  <c r="X23" i="7" s="1"/>
  <c r="Y23" i="7" s="1"/>
  <c r="Z23" i="7" s="1"/>
  <c r="V22" i="7"/>
  <c r="W22" i="7" s="1"/>
  <c r="X22" i="7" s="1"/>
  <c r="Y22" i="7" s="1"/>
  <c r="Z22" i="7" s="1"/>
  <c r="V21" i="7"/>
  <c r="W21" i="7" s="1"/>
  <c r="X21" i="7" s="1"/>
  <c r="Y21" i="7" s="1"/>
  <c r="Z21" i="7" s="1"/>
  <c r="W20" i="7"/>
  <c r="X20" i="7" s="1"/>
  <c r="Y20" i="7" s="1"/>
  <c r="Z20" i="7" s="1"/>
  <c r="V20" i="7"/>
  <c r="W19" i="7"/>
  <c r="X19" i="7" s="1"/>
  <c r="Y19" i="7" s="1"/>
  <c r="Z19" i="7" s="1"/>
  <c r="V19" i="7"/>
  <c r="W18" i="7"/>
  <c r="V17" i="7"/>
  <c r="W17" i="7" s="1"/>
  <c r="X17" i="7" s="1"/>
  <c r="Y17" i="7" s="1"/>
  <c r="Z17" i="7" s="1"/>
  <c r="V16" i="7"/>
  <c r="W16" i="7" s="1"/>
  <c r="X16" i="7" s="1"/>
  <c r="Y16" i="7" s="1"/>
  <c r="Z16" i="7" s="1"/>
  <c r="V15" i="7"/>
  <c r="W15" i="7" s="1"/>
  <c r="X15" i="7" s="1"/>
  <c r="Y15" i="7" s="1"/>
  <c r="Z15" i="7" s="1"/>
  <c r="V14" i="7"/>
  <c r="W14" i="7" s="1"/>
  <c r="X14" i="7" s="1"/>
  <c r="Y14" i="7" s="1"/>
  <c r="V13" i="7"/>
  <c r="W13" i="7" s="1"/>
  <c r="V12" i="7"/>
  <c r="W12" i="7" s="1"/>
  <c r="V11" i="7"/>
  <c r="W11" i="7" s="1"/>
  <c r="V10" i="7"/>
  <c r="W10" i="7" s="1"/>
  <c r="Y30" i="7" l="1"/>
  <c r="Y33" i="7"/>
  <c r="Y35" i="7" s="1"/>
  <c r="Z14" i="7"/>
  <c r="X13" i="7"/>
  <c r="Z13" i="7"/>
  <c r="Z12" i="7"/>
  <c r="X12" i="7"/>
  <c r="X10" i="7"/>
  <c r="Z10" i="7"/>
  <c r="W30" i="7"/>
  <c r="W33" i="7"/>
  <c r="G33" i="7" s="1"/>
  <c r="X11" i="7"/>
  <c r="Z11" i="7"/>
  <c r="V33" i="7"/>
  <c r="V35" i="7" s="1"/>
  <c r="X33" i="7" l="1"/>
  <c r="X35" i="7" s="1"/>
  <c r="X30" i="7"/>
  <c r="W35" i="7"/>
  <c r="Z30" i="7"/>
  <c r="Z33" i="7"/>
  <c r="Z3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99F23F-7172-4AB1-852F-0239D57AF1B9}" keepAlive="1" name="Query - CostAG1_1DayShiftAB" description="Connection to the 'CostAG1_1DayShiftAB' query in the workbook." type="5" refreshedVersion="8" background="1" saveData="1">
    <dbPr connection="Provider=Microsoft.Mashup.OleDb.1;Data Source=$Workbook$;Location=CostAG1_1DayShiftAB;Extended Properties=&quot;&quot;" command="SELECT * FROM [CostAG1_1DayShiftAB]"/>
  </connection>
  <connection id="2" xr16:uid="{1E224CE4-F2D0-458C-868F-78AE15BE2593}" keepAlive="1" name="Query - CostAG1_1DayShiftABSummary" description="Connection to the 'CostAG1_1DayShiftABSummary' query in the workbook." type="5" refreshedVersion="8" background="1" saveData="1">
    <dbPr connection="Provider=Microsoft.Mashup.OleDb.1;Data Source=$Workbook$;Location=CostAG1_1DayShiftABSummary;Extended Properties=&quot;&quot;" command="SELECT * FROM [CostAG1_1DayShiftABSummary]"/>
  </connection>
  <connection id="3" xr16:uid="{4F9158E3-E150-4E76-AE67-F811C6BB12CF}" keepAlive="1" name="Query - CostPerDay" description="Connection to the 'CostPerDay' query in the workbook." type="5" refreshedVersion="8" background="1" saveData="1">
    <dbPr connection="Provider=Microsoft.Mashup.OleDb.1;Data Source=$Workbook$;Location=CostPerDay;Extended Properties=&quot;&quot;" command="SELECT * FROM [CostPerDay]"/>
  </connection>
  <connection id="4" xr16:uid="{7C7DD9F5-2C84-4A2E-9004-2CE2DC0395D7}" keepAlive="1" name="Query - EffortOutcomesAG1_1DayShiftAB" description="Connection to the 'EffortOutcomesAG1_1DayShiftAB' query in the workbook." type="5" refreshedVersion="8" background="1" saveData="1">
    <dbPr connection="Provider=Microsoft.Mashup.OleDb.1;Data Source=$Workbook$;Location=EffortOutcomesAG1_1DayShiftAB;Extended Properties=&quot;&quot;" command="SELECT * FROM [EffortOutcomesAG1_1DayShiftAB]"/>
  </connection>
  <connection id="5" xr16:uid="{C4D1A26F-25A3-41E9-AD72-66A401EF7212}" keepAlive="1" name="Query - PermutationDimensions" description="Connection to the 'PermutationDimensions' query in the workbook." type="5" refreshedVersion="0" background="1">
    <dbPr connection="Provider=Microsoft.Mashup.OleDb.1;Data Source=$Workbook$;Location=PermutationDimensions;Extended Properties=&quot;&quot;" command="SELECT * FROM [PermutationDimensions]"/>
  </connection>
  <connection id="6" xr16:uid="{1C1776CB-B819-473A-8FF3-14A4463C74E1}" keepAlive="1" name="Query - Rates" description="Connection to the 'Rates' query in the workbook." type="5" refreshedVersion="0" background="1">
    <dbPr connection="Provider=Microsoft.Mashup.OleDb.1;Data Source=$Workbook$;Location=Rates;Extended Properties=&quot;&quot;" command="SELECT * FROM [Rates]"/>
  </connection>
  <connection id="7" xr16:uid="{468E6618-46A5-44BA-8DDE-8522C6640A98}" keepAlive="1" name="Query - RatesDelta" description="Connection to the 'RatesDelta' query in the workbook." type="5" refreshedVersion="0" background="1">
    <dbPr connection="Provider=Microsoft.Mashup.OleDb.1;Data Source=$Workbook$;Location=RatesDelta;Extended Properties=&quot;&quot;" command="SELECT * FROM [RatesDelta]"/>
  </connection>
  <connection id="8" xr16:uid="{E5C010AB-6A87-4A7F-9860-56A32126BD0B}" keepAlive="1" name="Query - Saving" description="Connection to the 'Saving' query in the workbook." type="5" refreshedVersion="8" background="1" saveData="1">
    <dbPr connection="Provider=Microsoft.Mashup.OleDb.1;Data Source=$Workbook$;Location=Saving;Extended Properties=&quot;&quot;" command="SELECT * FROM [Saving]"/>
  </connection>
  <connection id="9" xr16:uid="{E01485BC-F39A-4B1E-9C7D-CFA878F2B9D4}" keepAlive="1" name="Query - SavingFacilityDay" description="Connection to the 'SavingFacilityDay' query in the workbook." type="5" refreshedVersion="8" background="1" saveData="1">
    <dbPr connection="Provider=Microsoft.Mashup.OleDb.1;Data Source=$Workbook$;Location=SavingFacilityDay;Extended Properties=&quot;&quot;" command="SELECT * FROM [SavingFacilityDay]"/>
  </connection>
  <connection id="10" xr16:uid="{7A26F0C0-E53B-475D-93E1-4F732E8420AF}" keepAlive="1" name="Query - ShiftHrs" description="Connection to the 'ShiftHrs' query in the workbook." type="5" refreshedVersion="0" background="1">
    <dbPr connection="Provider=Microsoft.Mashup.OleDb.1;Data Source=$Workbook$;Location=ShiftHrs;Extended Properties=&quot;&quot;" command="SELECT * FROM [ShiftHrs]"/>
  </connection>
  <connection id="11" xr16:uid="{4DF768C6-540A-42F7-A7E5-BE742E1C5FBB}" keepAlive="1" name="Query - TargetDailyRate" description="Connection to the 'TargetDailyRate' query in the workbook." type="5" refreshedVersion="0" background="1">
    <dbPr connection="Provider=Microsoft.Mashup.OleDb.1;Data Source=$Workbook$;Location=TargetDailyRate;Extended Properties=&quot;&quot;" command="SELECT * FROM [TargetDailyRate]"/>
  </connection>
  <connection id="12" xr16:uid="{B39ACE7F-62E7-4A03-B8E3-991D45780D4C}" keepAlive="1" name="Query - TargetRatebyDate" description="Connection to the 'TargetRatebyDate' query in the workbook." type="5" refreshedVersion="8" background="1" saveData="1">
    <dbPr connection="Provider=Microsoft.Mashup.OleDb.1;Data Source=$Workbook$;Location=TargetRatebyDate;Extended Properties=&quot;&quot;" command="SELECT * FROM [TargetRatebyDat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<sst xmlns="http://schemas.openxmlformats.org/spreadsheetml/2006/main" count="3105" uniqueCount="215">
  <si>
    <t>Date</t>
  </si>
  <si>
    <t>Role</t>
  </si>
  <si>
    <t>D</t>
  </si>
  <si>
    <t>Cs</t>
  </si>
  <si>
    <t>CX</t>
  </si>
  <si>
    <t>A</t>
  </si>
  <si>
    <t>Apn</t>
  </si>
  <si>
    <t>Apx</t>
  </si>
  <si>
    <t>Ai</t>
  </si>
  <si>
    <t>AB Potential</t>
  </si>
  <si>
    <t>AM</t>
  </si>
  <si>
    <t>NIGHT</t>
  </si>
  <si>
    <t>PM</t>
  </si>
  <si>
    <t>RN</t>
  </si>
  <si>
    <t>L1.1</t>
  </si>
  <si>
    <t>L1.2</t>
  </si>
  <si>
    <t>EXCESS OVER-ALLOCATION</t>
  </si>
  <si>
    <t>SPARE STRETCH</t>
  </si>
  <si>
    <t>SPARE SLACK</t>
  </si>
  <si>
    <t>SPARE STRETCH ALLOCATED</t>
  </si>
  <si>
    <t>SPARE SLACK ALLOCATED</t>
  </si>
  <si>
    <t>EXCESS STRETCH (ALLOCATED)</t>
  </si>
  <si>
    <t>EXCESS ALLOCATED SLACK</t>
  </si>
  <si>
    <t>EXCESS STRETCH</t>
  </si>
  <si>
    <t>EXCESS SLACK</t>
  </si>
  <si>
    <t>POTENTIAL SHORTFALL (OVER-ALLOCATED)</t>
  </si>
  <si>
    <t>POTENTIAL SHORTFALL</t>
  </si>
  <si>
    <t>WASTED STRETCH</t>
  </si>
  <si>
    <t>WASTED SLACK</t>
  </si>
  <si>
    <t>ALLOCATED STRETCH</t>
  </si>
  <si>
    <t>ALLOCATED SLACK</t>
  </si>
  <si>
    <t>UNALLOCATED SLACK</t>
  </si>
  <si>
    <t>LATENT</t>
  </si>
  <si>
    <t>LATENT.ALLOCATED</t>
  </si>
  <si>
    <t>LATENT.OVERALLOCATED</t>
  </si>
  <si>
    <t>Rate</t>
  </si>
  <si>
    <t>OTLoading</t>
  </si>
  <si>
    <t>AgencyPremium</t>
  </si>
  <si>
    <t>ExcessAllocation</t>
  </si>
  <si>
    <t>Shortage</t>
  </si>
  <si>
    <t>PlannedOvertime</t>
  </si>
  <si>
    <t>UnnecessaryAllocation$</t>
  </si>
  <si>
    <t>ShortageReplacement$</t>
  </si>
  <si>
    <t>Overtime$</t>
  </si>
  <si>
    <t>InefficiencyCost</t>
  </si>
  <si>
    <t xml:space="preserve"> Source1 = Excel.CurrentWorkbook(){[Name="Folder"]}[Content],</t>
  </si>
  <si>
    <t xml:space="preserve">    Folder = Source1{0}[Folder],</t>
  </si>
  <si>
    <t xml:space="preserve">    </t>
  </si>
  <si>
    <t xml:space="preserve">    Source = Excel.Workbook(File.Contents(Folder &amp;  "</t>
  </si>
  <si>
    <t>Folder</t>
  </si>
  <si>
    <t>CapacityMaxHC</t>
  </si>
  <si>
    <t>DATESHIFT</t>
  </si>
  <si>
    <t>Carer</t>
  </si>
  <si>
    <t>Registered Nurse</t>
  </si>
  <si>
    <t>Use of Agency Labour</t>
  </si>
  <si>
    <t>Village:</t>
  </si>
  <si>
    <t>BENHOME</t>
  </si>
  <si>
    <t>Variance to GST</t>
  </si>
  <si>
    <t>For the fortnight ending:</t>
  </si>
  <si>
    <t>4.6.2023</t>
  </si>
  <si>
    <t>Must complete all shaded cells</t>
  </si>
  <si>
    <t>Incl / Excl Invoice?</t>
  </si>
  <si>
    <t>22.5.23</t>
  </si>
  <si>
    <t>23.5.23</t>
  </si>
  <si>
    <t>24.5.23</t>
  </si>
  <si>
    <t>25.5.23</t>
  </si>
  <si>
    <t>26.5.23</t>
  </si>
  <si>
    <t>27.5.23</t>
  </si>
  <si>
    <t>28.5.23</t>
  </si>
  <si>
    <t>29.5.23</t>
  </si>
  <si>
    <t>30.5.23</t>
  </si>
  <si>
    <t>31.5.23</t>
  </si>
  <si>
    <t>1.6.23</t>
  </si>
  <si>
    <t>2.6.23</t>
  </si>
  <si>
    <t>3.6.23</t>
  </si>
  <si>
    <t>4.6.23</t>
  </si>
  <si>
    <t>Variance to GST Excl. Inv</t>
  </si>
  <si>
    <t>Name of Agency Company</t>
  </si>
  <si>
    <t>Agency staff name</t>
  </si>
  <si>
    <t>Classication</t>
  </si>
  <si>
    <t>Shift</t>
  </si>
  <si>
    <t>Billable Hourly Rate</t>
  </si>
  <si>
    <t>Mon</t>
  </si>
  <si>
    <t>Tue</t>
  </si>
  <si>
    <t>Wed</t>
  </si>
  <si>
    <t>Thu</t>
  </si>
  <si>
    <t>Fri</t>
  </si>
  <si>
    <t>Sat</t>
  </si>
  <si>
    <t>Sun</t>
  </si>
  <si>
    <t>Total Hours</t>
  </si>
  <si>
    <t>Total Cost Excl. GST</t>
  </si>
  <si>
    <r>
      <t xml:space="preserve">Total Cost </t>
    </r>
    <r>
      <rPr>
        <b/>
        <sz val="13"/>
        <color rgb="FF0000FF"/>
        <rFont val="Calibri"/>
        <family val="2"/>
        <scheme val="minor"/>
      </rPr>
      <t>Incl. GST</t>
    </r>
  </si>
  <si>
    <t>Cost per Invoice</t>
  </si>
  <si>
    <t>Variance</t>
  </si>
  <si>
    <t>Explanation</t>
  </si>
  <si>
    <t>NN</t>
  </si>
  <si>
    <t>Sarah Hamilton</t>
  </si>
  <si>
    <t>Rate should have been $80/hr</t>
  </si>
  <si>
    <t>Vacant Shift</t>
  </si>
  <si>
    <t>HCA</t>
  </si>
  <si>
    <t>Suzanne Asquith</t>
  </si>
  <si>
    <t>Night</t>
  </si>
  <si>
    <t>EN</t>
  </si>
  <si>
    <t>Raj Tung</t>
  </si>
  <si>
    <t>Extra hour worked due to buddy shifts</t>
  </si>
  <si>
    <t>Other</t>
  </si>
  <si>
    <t>Anna Sithole</t>
  </si>
  <si>
    <t>Kathryn Bevan</t>
  </si>
  <si>
    <t>PH</t>
  </si>
  <si>
    <t>Brenda Karmi</t>
  </si>
  <si>
    <t>Divia Sitoula</t>
  </si>
  <si>
    <t>Terry Surjan</t>
  </si>
  <si>
    <t>Megala Devi</t>
  </si>
  <si>
    <t>Hardeep Kaur</t>
  </si>
  <si>
    <t>Raman Kaur</t>
  </si>
  <si>
    <t>Total</t>
  </si>
  <si>
    <t>Completed By:</t>
  </si>
  <si>
    <t>Kristin Smith</t>
  </si>
  <si>
    <t>Date:</t>
  </si>
  <si>
    <t>5.6.23</t>
  </si>
  <si>
    <t>General Manager</t>
  </si>
  <si>
    <t>Approved By:</t>
  </si>
  <si>
    <t>Regional General Manager</t>
  </si>
  <si>
    <t>Weekday</t>
  </si>
  <si>
    <t>Saturday</t>
  </si>
  <si>
    <t>Sunday</t>
  </si>
  <si>
    <t>Agency</t>
  </si>
  <si>
    <t>Workers</t>
  </si>
  <si>
    <t>Period</t>
  </si>
  <si>
    <t>Day Name</t>
  </si>
  <si>
    <t>Monday</t>
  </si>
  <si>
    <t>Tuesday</t>
  </si>
  <si>
    <t>Wednesday</t>
  </si>
  <si>
    <t>Thursday</t>
  </si>
  <si>
    <t>Friday</t>
  </si>
  <si>
    <t xml:space="preserve">Saturday </t>
  </si>
  <si>
    <t xml:space="preserve">Sunday </t>
  </si>
  <si>
    <t>Rates.Attribute</t>
  </si>
  <si>
    <t>Rates.Value</t>
  </si>
  <si>
    <t>RoleCost</t>
  </si>
  <si>
    <t>Facility</t>
  </si>
  <si>
    <t>Berry</t>
  </si>
  <si>
    <t>MAIT</t>
  </si>
  <si>
    <t>ExcessAllocation-Reaslistic</t>
  </si>
  <si>
    <t>Shortage-Realistic</t>
  </si>
  <si>
    <t>UnnecessaryAllocation</t>
  </si>
  <si>
    <t>Shortage Replacement</t>
  </si>
  <si>
    <t>OT</t>
  </si>
  <si>
    <t>SharedPath</t>
  </si>
  <si>
    <t>Client</t>
  </si>
  <si>
    <t>Type</t>
  </si>
  <si>
    <t>04 Analysis</t>
  </si>
  <si>
    <t>Settings Directory</t>
  </si>
  <si>
    <t>2. Calculations</t>
  </si>
  <si>
    <t xml:space="preserve">This file </t>
  </si>
  <si>
    <t>Intervals.xlsx</t>
  </si>
  <si>
    <t>Not needed for master calcs</t>
  </si>
  <si>
    <t>Settings.xlsx</t>
  </si>
  <si>
    <t>Location</t>
  </si>
  <si>
    <t>Root Location</t>
  </si>
  <si>
    <t>Version</t>
  </si>
  <si>
    <t>TargetRate</t>
  </si>
  <si>
    <t>Savings</t>
  </si>
  <si>
    <t>C:\Users\Alex\Centri\4. Production - Documents\WFEffectiveness\4.1.1 AGED CARE\01 Christadelphian Aged Care\240715</t>
  </si>
  <si>
    <t>ShiftDurations.ShiftDuration</t>
  </si>
  <si>
    <t>AIN</t>
  </si>
  <si>
    <t>ASHB</t>
  </si>
  <si>
    <t>7/10/2024NIGHT</t>
  </si>
  <si>
    <t>X</t>
  </si>
  <si>
    <t>7/10/2024PM</t>
  </si>
  <si>
    <t>7/10/2024AM</t>
  </si>
  <si>
    <t>8/10/2024NIGHT</t>
  </si>
  <si>
    <t>8/10/2024PM</t>
  </si>
  <si>
    <t>8/10/2024AM</t>
  </si>
  <si>
    <t>9/10/2024PM</t>
  </si>
  <si>
    <t>9/10/2024AM</t>
  </si>
  <si>
    <t>9/10/2024NIGHT</t>
  </si>
  <si>
    <t>10/10/2024NIGHT</t>
  </si>
  <si>
    <t>10/10/2024PM</t>
  </si>
  <si>
    <t>10/10/2024AM</t>
  </si>
  <si>
    <t>11/10/2024AM</t>
  </si>
  <si>
    <t>11/10/2024NIGHT</t>
  </si>
  <si>
    <t>11/10/2024PM</t>
  </si>
  <si>
    <t>12/10/2024AM</t>
  </si>
  <si>
    <t>12/10/2024NIGHT</t>
  </si>
  <si>
    <t>12/10/2024PM</t>
  </si>
  <si>
    <t>13/10/2024AM</t>
  </si>
  <si>
    <t>13/10/2024NIGHT</t>
  </si>
  <si>
    <t>13/10/2024PM</t>
  </si>
  <si>
    <t>14/10/2024AM</t>
  </si>
  <si>
    <t>14/10/2024PM</t>
  </si>
  <si>
    <t>14/10/2024NIGHT</t>
  </si>
  <si>
    <t>15/10/2024PM</t>
  </si>
  <si>
    <t>15/10/2024AM</t>
  </si>
  <si>
    <t>15/10/2024NIGHT</t>
  </si>
  <si>
    <t>16/10/2024AM</t>
  </si>
  <si>
    <t>16/10/2024NIGHT</t>
  </si>
  <si>
    <t>16/10/2024PM</t>
  </si>
  <si>
    <t>17/10/2024NIGHT</t>
  </si>
  <si>
    <t>17/10/2024AM</t>
  </si>
  <si>
    <t>17/10/2024PM</t>
  </si>
  <si>
    <t>18/10/2024AM</t>
  </si>
  <si>
    <t>18/10/2024NIGHT</t>
  </si>
  <si>
    <t>18/10/2024PM</t>
  </si>
  <si>
    <t>19/10/2024AM</t>
  </si>
  <si>
    <t>19/10/2024NIGHT</t>
  </si>
  <si>
    <t>19/10/2024PM</t>
  </si>
  <si>
    <t>20/10/2024AM</t>
  </si>
  <si>
    <t>20/10/2024NIGHT</t>
  </si>
  <si>
    <t>20/10/2024PM</t>
  </si>
  <si>
    <t>AINC4</t>
  </si>
  <si>
    <t>Count</t>
  </si>
  <si>
    <t>COUR</t>
  </si>
  <si>
    <t>Cost per Resident</t>
  </si>
  <si>
    <t>DateX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</si>
</sst>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44" formatCode="_-&quot;$&quot;* #,##0.00_-;\-&quot;$&quot;* #,##0.00_-;_-&quot;$&quot;* &quot;-&quot;??_-;_-@_-"/>
    <numFmt numFmtId="43" formatCode="_-* #,##0.00_-;\-* #,##0.00_-;_-* &quot;-&quot;??_-;_-@_-"/>
    <numFmt numFmtId="164" formatCode="_-* #,##0.0_-;\-* #,##0.0_-;_-* &quot;-&quot;??_-;_-@_-"/>
    <numFmt numFmtId="165" formatCode="_-&quot;$&quot;* #,##0_-;\-&quot;$&quot;* #,##0_-;_-&quot;$&quot;* &quot;-&quot;??_-;_-@_-"/>
    <numFmt numFmtId="166" formatCode="0.0%"/>
  </numFmts>
  <fonts count="27" x14ac:knownFonts="1">
    <font>
      <sz val="11"/>
      <color theme="1"/>
      <name val="Calibri"/>
      <family val="2"/>
      <scheme val="minor"/>
    </font>
    <font>
      <sz val="10"/>
      <color rgb="FF000000"/>
      <name val="Times New Roman"/>
      <family val="1"/>
    </font>
    <font>
      <sz val="10"/>
      <color rgb="FFFF0000"/>
      <name val="Times New Roman"/>
      <family val="1"/>
    </font>
    <font>
      <sz val="10"/>
      <color theme="4"/>
      <name val="Times New Roman"/>
      <family val="1"/>
    </font>
    <font>
      <sz val="10"/>
      <color theme="0" tint="-0.499984740745262"/>
      <name val="Times New Roman"/>
      <family val="1"/>
    </font>
    <font>
      <sz val="10"/>
      <color theme="8"/>
      <name val="Times New Roman"/>
      <family val="1"/>
    </font>
    <font>
      <sz val="10"/>
      <color theme="0" tint="-0.499984740745262"/>
      <name val="Times New Roman"/>
      <family val="1"/>
      <charset val="204"/>
    </font>
    <font>
      <sz val="11"/>
      <color theme="1"/>
      <name val="Calibri"/>
      <family val="2"/>
      <scheme val="minor"/>
    </font>
    <font>
      <b/>
      <sz val="11"/>
      <color theme="1"/>
      <name val="Calibri"/>
      <family val="2"/>
      <scheme val="minor"/>
    </font>
    <font>
      <b/>
      <sz val="18"/>
      <color theme="1"/>
      <name val="Arial"/>
      <family val="2"/>
    </font>
    <font>
      <b/>
      <sz val="13"/>
      <color theme="1"/>
      <name val="Arial"/>
      <family val="2"/>
    </font>
    <font>
      <b/>
      <sz val="14"/>
      <color theme="1"/>
      <name val="Arial"/>
      <family val="2"/>
    </font>
    <font>
      <b/>
      <sz val="14"/>
      <color rgb="FF0000FF"/>
      <name val="Calibri"/>
      <family val="2"/>
      <scheme val="minor"/>
    </font>
    <font>
      <sz val="11"/>
      <color rgb="FF0000FF"/>
      <name val="Calibri"/>
      <family val="2"/>
      <scheme val="minor"/>
    </font>
    <font>
      <b/>
      <sz val="16"/>
      <color rgb="FF0000FF"/>
      <name val="Calibri"/>
      <family val="2"/>
      <scheme val="minor"/>
    </font>
    <font>
      <b/>
      <sz val="12"/>
      <color theme="1"/>
      <name val="Calibri"/>
      <family val="2"/>
      <scheme val="minor"/>
    </font>
    <font>
      <b/>
      <sz val="13"/>
      <color theme="1"/>
      <name val="Calibri"/>
      <family val="2"/>
      <scheme val="minor"/>
    </font>
    <font>
      <b/>
      <sz val="13"/>
      <color rgb="FF0000FF"/>
      <name val="Calibri"/>
      <family val="2"/>
      <scheme val="minor"/>
    </font>
    <font>
      <sz val="12"/>
      <color theme="1"/>
      <name val="Arial"/>
      <family val="2"/>
    </font>
    <font>
      <sz val="11"/>
      <color theme="1"/>
      <name val="Arial"/>
      <family val="2"/>
    </font>
    <font>
      <b/>
      <sz val="12"/>
      <color theme="1"/>
      <name val="Arial"/>
      <family val="2"/>
    </font>
    <font>
      <b/>
      <sz val="11"/>
      <color theme="1"/>
      <name val="Arial"/>
      <family val="2"/>
    </font>
    <font>
      <sz val="12"/>
      <color rgb="FF0000FF"/>
      <name val="Arial"/>
      <family val="2"/>
    </font>
    <font>
      <b/>
      <sz val="12"/>
      <color rgb="FF0000FF"/>
      <name val="Arial"/>
      <family val="2"/>
    </font>
    <font>
      <b/>
      <sz val="11"/>
      <color rgb="FF0000FF"/>
      <name val="Arial"/>
      <family val="2"/>
    </font>
    <font>
      <sz val="8"/>
      <name val="Calibri"/>
      <family val="2"/>
      <scheme val="minor"/>
    </font>
    <font>
      <b/>
      <sz val="10"/>
      <color rgb="FF000000"/>
      <name val="Times New Roman"/>
      <family val="1"/>
    </font>
  </fonts>
  <fills count="7">
    <fill>
      <patternFill patternType="none"/>
    </fill>
    <fill>
      <patternFill patternType="gray125"/>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s>
  <borders count="31">
    <border>
      <left/>
      <right/>
      <top/>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diagonal/>
    </border>
    <border>
      <left style="thin">
        <color indexed="64"/>
      </left>
      <right style="thin">
        <color indexed="64"/>
      </right>
      <top style="hair">
        <color indexed="64"/>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double">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style="thin">
        <color indexed="64"/>
      </right>
      <top/>
      <bottom style="double">
        <color indexed="64"/>
      </bottom>
      <diagonal/>
    </border>
    <border>
      <left style="thin">
        <color indexed="64"/>
      </left>
      <right style="double">
        <color indexed="64"/>
      </right>
      <top/>
      <bottom style="hair">
        <color indexed="64"/>
      </bottom>
      <diagonal/>
    </border>
    <border>
      <left style="double">
        <color indexed="64"/>
      </left>
      <right style="thin">
        <color indexed="64"/>
      </right>
      <top style="hair">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5">
    <xf numFmtId="0" fontId="0" fillId="0" borderId="0"/>
    <xf numFmtId="0" fontId="1"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145">
    <xf numFmtId="0" fontId="0" fillId="0" borderId="0" xfId="0"/>
    <xf numFmtId="14" fontId="0" fillId="0" borderId="0" xfId="0" applyNumberFormat="1"/>
    <xf numFmtId="0" fontId="2" fillId="0" borderId="0" xfId="1" applyFont="1" applyAlignment="1">
      <alignment horizontal="left" vertical="top"/>
    </xf>
    <xf numFmtId="0" fontId="1" fillId="0" borderId="0" xfId="1" applyAlignment="1">
      <alignment horizontal="left" vertical="top"/>
    </xf>
    <xf numFmtId="0" fontId="3" fillId="0" borderId="0" xfId="1" applyFont="1" applyAlignment="1">
      <alignment horizontal="left" vertical="top"/>
    </xf>
    <xf numFmtId="0" fontId="1" fillId="2" borderId="0" xfId="1" applyFill="1" applyAlignment="1">
      <alignment horizontal="left" vertical="top"/>
    </xf>
    <xf numFmtId="0" fontId="4" fillId="0" borderId="0" xfId="1" applyFont="1" applyAlignment="1">
      <alignment horizontal="left" vertical="top"/>
    </xf>
    <xf numFmtId="0" fontId="5" fillId="0" borderId="0" xfId="1" applyFont="1" applyAlignment="1">
      <alignment horizontal="left" vertical="top"/>
    </xf>
    <xf numFmtId="0" fontId="0" fillId="0" borderId="0" xfId="1" applyFont="1" applyAlignment="1">
      <alignment horizontal="left" vertical="top"/>
    </xf>
    <xf numFmtId="0" fontId="6" fillId="0" borderId="0" xfId="1" applyFont="1" applyAlignment="1">
      <alignment horizontal="left" vertical="top"/>
    </xf>
    <xf numFmtId="0" fontId="0" fillId="3" borderId="1" xfId="0" applyFill="1" applyBorder="1"/>
    <xf numFmtId="0" fontId="0" fillId="0" borderId="1" xfId="0" applyBorder="1"/>
    <xf numFmtId="0" fontId="0" fillId="4" borderId="0" xfId="0" applyFill="1"/>
    <xf numFmtId="0" fontId="10" fillId="4" borderId="2" xfId="0" applyFont="1" applyFill="1" applyBorder="1" applyAlignment="1">
      <alignment horizontal="left" indent="1"/>
    </xf>
    <xf numFmtId="0" fontId="11" fillId="5" borderId="3" xfId="0" applyFont="1" applyFill="1" applyBorder="1" applyAlignment="1" applyProtection="1">
      <alignment horizontal="center"/>
      <protection locked="0"/>
    </xf>
    <xf numFmtId="0" fontId="12" fillId="4" borderId="0" xfId="0" applyFont="1" applyFill="1" applyAlignment="1">
      <alignment horizontal="left"/>
    </xf>
    <xf numFmtId="0" fontId="0" fillId="4" borderId="0" xfId="0" applyFill="1" applyAlignment="1">
      <alignment horizontal="center"/>
    </xf>
    <xf numFmtId="0" fontId="13" fillId="4" borderId="0" xfId="0" applyFont="1" applyFill="1" applyAlignment="1">
      <alignment horizontal="center"/>
    </xf>
    <xf numFmtId="0" fontId="10" fillId="4" borderId="4" xfId="0" applyFont="1" applyFill="1" applyBorder="1" applyAlignment="1">
      <alignment horizontal="left" indent="1"/>
    </xf>
    <xf numFmtId="14" fontId="11" fillId="5" borderId="5" xfId="0" applyNumberFormat="1" applyFont="1" applyFill="1" applyBorder="1" applyAlignment="1" applyProtection="1">
      <alignment horizontal="center"/>
      <protection locked="0"/>
    </xf>
    <xf numFmtId="0" fontId="14" fillId="4" borderId="0" xfId="0" applyFont="1" applyFill="1" applyAlignment="1">
      <alignment horizontal="left"/>
    </xf>
    <xf numFmtId="14" fontId="0" fillId="4" borderId="0" xfId="0" applyNumberFormat="1" applyFill="1" applyAlignment="1">
      <alignment horizontal="center"/>
    </xf>
    <xf numFmtId="0" fontId="15" fillId="4" borderId="0" xfId="0" applyFont="1" applyFill="1"/>
    <xf numFmtId="0" fontId="0" fillId="6" borderId="0" xfId="0" applyFill="1" applyAlignment="1" applyProtection="1">
      <alignment horizontal="center"/>
      <protection locked="0"/>
    </xf>
    <xf numFmtId="0" fontId="16"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6" fillId="0" borderId="8"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wrapText="1"/>
    </xf>
    <xf numFmtId="0" fontId="15" fillId="4" borderId="0" xfId="0" applyFont="1" applyFill="1" applyAlignment="1">
      <alignment vertical="center"/>
    </xf>
    <xf numFmtId="0" fontId="15" fillId="0" borderId="0" xfId="0" applyFont="1" applyAlignment="1">
      <alignment vertical="center"/>
    </xf>
    <xf numFmtId="0" fontId="18" fillId="5" borderId="9" xfId="0" applyFont="1" applyFill="1" applyBorder="1" applyAlignment="1" applyProtection="1">
      <alignment horizontal="left" indent="1"/>
      <protection locked="0"/>
    </xf>
    <xf numFmtId="0" fontId="19" fillId="5" borderId="9" xfId="0" applyFont="1" applyFill="1" applyBorder="1" applyAlignment="1" applyProtection="1">
      <alignment horizontal="left" indent="1"/>
      <protection locked="0"/>
    </xf>
    <xf numFmtId="44" fontId="20" fillId="5" borderId="10" xfId="3" applyFont="1" applyFill="1" applyBorder="1" applyProtection="1">
      <protection locked="0"/>
    </xf>
    <xf numFmtId="164" fontId="18" fillId="5" borderId="11" xfId="2" applyNumberFormat="1" applyFont="1" applyFill="1" applyBorder="1" applyProtection="1">
      <protection locked="0"/>
    </xf>
    <xf numFmtId="164" fontId="18" fillId="5" borderId="10" xfId="2" applyNumberFormat="1" applyFont="1" applyFill="1" applyBorder="1" applyProtection="1">
      <protection locked="0"/>
    </xf>
    <xf numFmtId="164" fontId="18" fillId="0" borderId="12" xfId="0" applyNumberFormat="1" applyFont="1" applyBorder="1"/>
    <xf numFmtId="165" fontId="18" fillId="0" borderId="9" xfId="3" applyNumberFormat="1" applyFont="1" applyBorder="1" applyProtection="1"/>
    <xf numFmtId="165" fontId="20" fillId="5" borderId="13" xfId="3" applyNumberFormat="1" applyFont="1" applyFill="1" applyBorder="1" applyProtection="1">
      <protection locked="0"/>
    </xf>
    <xf numFmtId="6" fontId="20" fillId="4" borderId="9" xfId="3" applyNumberFormat="1" applyFont="1" applyFill="1" applyBorder="1" applyProtection="1"/>
    <xf numFmtId="164" fontId="18" fillId="5" borderId="12" xfId="2" applyNumberFormat="1" applyFont="1" applyFill="1" applyBorder="1" applyAlignment="1" applyProtection="1">
      <alignment horizontal="left" wrapText="1"/>
      <protection locked="0"/>
    </xf>
    <xf numFmtId="164" fontId="18" fillId="0" borderId="14" xfId="0" applyNumberFormat="1" applyFont="1" applyBorder="1"/>
    <xf numFmtId="165" fontId="20" fillId="5" borderId="9" xfId="3" applyNumberFormat="1" applyFont="1" applyFill="1" applyBorder="1" applyProtection="1">
      <protection locked="0"/>
    </xf>
    <xf numFmtId="164" fontId="18" fillId="5" borderId="14" xfId="2" applyNumberFormat="1" applyFont="1" applyFill="1" applyBorder="1" applyAlignment="1" applyProtection="1">
      <alignment horizontal="left" wrapText="1"/>
      <protection locked="0"/>
    </xf>
    <xf numFmtId="0" fontId="18" fillId="5" borderId="15" xfId="0" applyFont="1" applyFill="1" applyBorder="1" applyAlignment="1" applyProtection="1">
      <alignment horizontal="left" indent="1"/>
      <protection locked="0"/>
    </xf>
    <xf numFmtId="44" fontId="20" fillId="5" borderId="16" xfId="3" applyFont="1" applyFill="1" applyBorder="1" applyProtection="1">
      <protection locked="0"/>
    </xf>
    <xf numFmtId="164" fontId="18" fillId="5" borderId="14" xfId="2" applyNumberFormat="1" applyFont="1" applyFill="1" applyBorder="1" applyProtection="1">
      <protection locked="0"/>
    </xf>
    <xf numFmtId="164" fontId="18" fillId="5" borderId="9" xfId="2" applyNumberFormat="1" applyFont="1" applyFill="1" applyBorder="1" applyProtection="1">
      <protection locked="0"/>
    </xf>
    <xf numFmtId="164" fontId="18" fillId="5" borderId="16" xfId="2" applyNumberFormat="1" applyFont="1" applyFill="1" applyBorder="1" applyProtection="1">
      <protection locked="0"/>
    </xf>
    <xf numFmtId="164" fontId="18" fillId="0" borderId="17" xfId="0" applyNumberFormat="1" applyFont="1" applyBorder="1"/>
    <xf numFmtId="165" fontId="18" fillId="0" borderId="15" xfId="3" applyNumberFormat="1" applyFont="1" applyBorder="1" applyProtection="1"/>
    <xf numFmtId="165" fontId="20" fillId="5" borderId="15" xfId="3" applyNumberFormat="1" applyFont="1" applyFill="1" applyBorder="1" applyProtection="1">
      <protection locked="0"/>
    </xf>
    <xf numFmtId="6" fontId="20" fillId="4" borderId="15" xfId="3" applyNumberFormat="1" applyFont="1" applyFill="1" applyBorder="1" applyProtection="1"/>
    <xf numFmtId="164" fontId="18" fillId="5" borderId="17" xfId="2" applyNumberFormat="1" applyFont="1" applyFill="1" applyBorder="1" applyAlignment="1" applyProtection="1">
      <alignment horizontal="left" wrapText="1"/>
      <protection locked="0"/>
    </xf>
    <xf numFmtId="8" fontId="20" fillId="5" borderId="16" xfId="3" applyNumberFormat="1" applyFont="1" applyFill="1" applyBorder="1" applyProtection="1">
      <protection locked="0"/>
    </xf>
    <xf numFmtId="0" fontId="18" fillId="5" borderId="11" xfId="0" applyFont="1" applyFill="1" applyBorder="1" applyAlignment="1" applyProtection="1">
      <alignment horizontal="left" indent="1"/>
      <protection locked="0"/>
    </xf>
    <xf numFmtId="164" fontId="18" fillId="5" borderId="18" xfId="2" applyNumberFormat="1" applyFont="1" applyFill="1" applyBorder="1" applyProtection="1">
      <protection locked="0"/>
    </xf>
    <xf numFmtId="165" fontId="18" fillId="0" borderId="11" xfId="3" applyNumberFormat="1" applyFont="1" applyBorder="1" applyProtection="1"/>
    <xf numFmtId="165" fontId="20" fillId="5" borderId="11" xfId="3" applyNumberFormat="1" applyFont="1" applyFill="1" applyBorder="1" applyProtection="1">
      <protection locked="0"/>
    </xf>
    <xf numFmtId="6" fontId="20" fillId="4" borderId="11" xfId="3" applyNumberFormat="1" applyFont="1" applyFill="1" applyBorder="1" applyProtection="1"/>
    <xf numFmtId="164" fontId="18" fillId="5" borderId="18" xfId="2" applyNumberFormat="1" applyFont="1" applyFill="1" applyBorder="1" applyAlignment="1" applyProtection="1">
      <alignment horizontal="left" wrapText="1"/>
      <protection locked="0"/>
    </xf>
    <xf numFmtId="0" fontId="18" fillId="5" borderId="19" xfId="0" applyFont="1" applyFill="1" applyBorder="1" applyAlignment="1" applyProtection="1">
      <alignment horizontal="left" indent="1"/>
      <protection locked="0"/>
    </xf>
    <xf numFmtId="44" fontId="20" fillId="5" borderId="20" xfId="3" applyFont="1" applyFill="1" applyBorder="1" applyProtection="1">
      <protection locked="0"/>
    </xf>
    <xf numFmtId="164" fontId="18" fillId="5" borderId="21" xfId="2" applyNumberFormat="1" applyFont="1" applyFill="1" applyBorder="1" applyProtection="1">
      <protection locked="0"/>
    </xf>
    <xf numFmtId="164" fontId="18" fillId="5" borderId="19" xfId="2" applyNumberFormat="1" applyFont="1" applyFill="1" applyBorder="1" applyProtection="1">
      <protection locked="0"/>
    </xf>
    <xf numFmtId="164" fontId="18" fillId="5" borderId="20" xfId="2" applyNumberFormat="1" applyFont="1" applyFill="1" applyBorder="1" applyProtection="1">
      <protection locked="0"/>
    </xf>
    <xf numFmtId="164" fontId="18" fillId="0" borderId="21" xfId="0" applyNumberFormat="1" applyFont="1" applyBorder="1"/>
    <xf numFmtId="165" fontId="18" fillId="0" borderId="19" xfId="3" applyNumberFormat="1" applyFont="1" applyBorder="1" applyProtection="1"/>
    <xf numFmtId="165" fontId="20" fillId="5" borderId="19" xfId="3" applyNumberFormat="1" applyFont="1" applyFill="1" applyBorder="1" applyProtection="1">
      <protection locked="0"/>
    </xf>
    <xf numFmtId="6" fontId="20" fillId="4" borderId="19" xfId="3" applyNumberFormat="1" applyFont="1" applyFill="1" applyBorder="1" applyProtection="1"/>
    <xf numFmtId="164" fontId="18" fillId="5" borderId="21" xfId="2" applyNumberFormat="1" applyFont="1" applyFill="1" applyBorder="1" applyAlignment="1" applyProtection="1">
      <alignment horizontal="left" wrapText="1"/>
      <protection locked="0"/>
    </xf>
    <xf numFmtId="0" fontId="21" fillId="0" borderId="22" xfId="0" applyFont="1" applyBorder="1"/>
    <xf numFmtId="0" fontId="20" fillId="0" borderId="22" xfId="0" applyFont="1" applyBorder="1" applyAlignment="1">
      <alignment horizontal="right" indent="1"/>
    </xf>
    <xf numFmtId="44" fontId="21" fillId="0" borderId="23" xfId="3" applyFont="1" applyBorder="1" applyProtection="1"/>
    <xf numFmtId="164" fontId="20" fillId="0" borderId="24" xfId="2" applyNumberFormat="1" applyFont="1" applyBorder="1" applyProtection="1"/>
    <xf numFmtId="164" fontId="20" fillId="0" borderId="22" xfId="2" applyNumberFormat="1" applyFont="1" applyBorder="1" applyProtection="1"/>
    <xf numFmtId="164" fontId="20" fillId="0" borderId="23" xfId="2" applyNumberFormat="1" applyFont="1" applyBorder="1" applyProtection="1"/>
    <xf numFmtId="164" fontId="20" fillId="0" borderId="24" xfId="0" applyNumberFormat="1" applyFont="1" applyBorder="1"/>
    <xf numFmtId="165" fontId="20" fillId="0" borderId="22" xfId="3" applyNumberFormat="1" applyFont="1" applyBorder="1" applyProtection="1"/>
    <xf numFmtId="6" fontId="20" fillId="0" borderId="22" xfId="3" applyNumberFormat="1" applyFont="1" applyBorder="1" applyProtection="1"/>
    <xf numFmtId="0" fontId="22" fillId="4" borderId="15" xfId="0" applyFont="1" applyFill="1" applyBorder="1" applyAlignment="1">
      <alignment horizontal="left" indent="1"/>
    </xf>
    <xf numFmtId="0" fontId="23" fillId="4" borderId="15" xfId="0" applyFont="1" applyFill="1" applyBorder="1" applyAlignment="1">
      <alignment horizontal="right" indent="1"/>
    </xf>
    <xf numFmtId="0" fontId="23" fillId="4" borderId="15" xfId="0" applyFont="1" applyFill="1" applyBorder="1" applyAlignment="1">
      <alignment horizontal="left" indent="1"/>
    </xf>
    <xf numFmtId="44" fontId="23" fillId="4" borderId="25" xfId="3" applyFont="1" applyFill="1" applyBorder="1" applyProtection="1"/>
    <xf numFmtId="164" fontId="23" fillId="4" borderId="17" xfId="2" applyNumberFormat="1" applyFont="1" applyFill="1" applyBorder="1" applyProtection="1"/>
    <xf numFmtId="164" fontId="23" fillId="4" borderId="15" xfId="2" applyNumberFormat="1" applyFont="1" applyFill="1" applyBorder="1" applyProtection="1"/>
    <xf numFmtId="164" fontId="23" fillId="4" borderId="25" xfId="2" applyNumberFormat="1" applyFont="1" applyFill="1" applyBorder="1" applyProtection="1"/>
    <xf numFmtId="164" fontId="23" fillId="0" borderId="17" xfId="0" applyNumberFormat="1" applyFont="1" applyBorder="1"/>
    <xf numFmtId="165" fontId="23" fillId="0" borderId="15" xfId="3" applyNumberFormat="1" applyFont="1" applyBorder="1" applyProtection="1"/>
    <xf numFmtId="6" fontId="23" fillId="0" borderId="15" xfId="3" applyNumberFormat="1" applyFont="1" applyBorder="1" applyProtection="1"/>
    <xf numFmtId="0" fontId="22" fillId="4" borderId="9" xfId="0" applyFont="1" applyFill="1" applyBorder="1" applyAlignment="1">
      <alignment horizontal="left" indent="1"/>
    </xf>
    <xf numFmtId="0" fontId="23" fillId="4" borderId="9" xfId="0" applyFont="1" applyFill="1" applyBorder="1" applyAlignment="1">
      <alignment horizontal="right" indent="1"/>
    </xf>
    <xf numFmtId="0" fontId="23" fillId="4" borderId="9" xfId="0" applyFont="1" applyFill="1" applyBorder="1" applyAlignment="1">
      <alignment horizontal="left" indent="1"/>
    </xf>
    <xf numFmtId="44" fontId="23" fillId="4" borderId="16" xfId="3" applyFont="1" applyFill="1" applyBorder="1" applyProtection="1"/>
    <xf numFmtId="164" fontId="23" fillId="4" borderId="14" xfId="2" applyNumberFormat="1" applyFont="1" applyFill="1" applyBorder="1" applyProtection="1"/>
    <xf numFmtId="164" fontId="23" fillId="4" borderId="9" xfId="2" applyNumberFormat="1" applyFont="1" applyFill="1" applyBorder="1" applyProtection="1"/>
    <xf numFmtId="164" fontId="23" fillId="4" borderId="16" xfId="2" applyNumberFormat="1" applyFont="1" applyFill="1" applyBorder="1" applyProtection="1"/>
    <xf numFmtId="164" fontId="23" fillId="0" borderId="14" xfId="0" applyNumberFormat="1" applyFont="1" applyBorder="1"/>
    <xf numFmtId="165" fontId="23" fillId="0" borderId="9" xfId="3" applyNumberFormat="1" applyFont="1" applyBorder="1" applyProtection="1"/>
    <xf numFmtId="6" fontId="23" fillId="0" borderId="9" xfId="3" applyNumberFormat="1" applyFont="1" applyBorder="1" applyProtection="1"/>
    <xf numFmtId="0" fontId="22" fillId="4" borderId="19" xfId="0" applyFont="1" applyFill="1" applyBorder="1" applyAlignment="1">
      <alignment horizontal="left" indent="1"/>
    </xf>
    <xf numFmtId="0" fontId="23" fillId="4" borderId="19" xfId="0" applyFont="1" applyFill="1" applyBorder="1" applyAlignment="1">
      <alignment horizontal="right" indent="1"/>
    </xf>
    <xf numFmtId="0" fontId="23" fillId="4" borderId="19" xfId="0" applyFont="1" applyFill="1" applyBorder="1" applyAlignment="1">
      <alignment horizontal="left" indent="1"/>
    </xf>
    <xf numFmtId="44" fontId="23" fillId="4" borderId="20" xfId="3" applyFont="1" applyFill="1" applyBorder="1" applyProtection="1"/>
    <xf numFmtId="164" fontId="23" fillId="4" borderId="21" xfId="2" applyNumberFormat="1" applyFont="1" applyFill="1" applyBorder="1" applyProtection="1"/>
    <xf numFmtId="164" fontId="23" fillId="4" borderId="19" xfId="2" applyNumberFormat="1" applyFont="1" applyFill="1" applyBorder="1" applyProtection="1"/>
    <xf numFmtId="164" fontId="23" fillId="4" borderId="20" xfId="2" applyNumberFormat="1" applyFont="1" applyFill="1" applyBorder="1" applyProtection="1"/>
    <xf numFmtId="164" fontId="23" fillId="0" borderId="26" xfId="0" applyNumberFormat="1" applyFont="1" applyBorder="1"/>
    <xf numFmtId="165" fontId="23" fillId="0" borderId="19" xfId="3" applyNumberFormat="1" applyFont="1" applyBorder="1" applyProtection="1"/>
    <xf numFmtId="6" fontId="23" fillId="0" borderId="19" xfId="3" applyNumberFormat="1" applyFont="1" applyBorder="1" applyProtection="1"/>
    <xf numFmtId="0" fontId="24" fillId="0" borderId="22" xfId="0" applyFont="1" applyBorder="1"/>
    <xf numFmtId="0" fontId="23" fillId="0" borderId="22" xfId="0" applyFont="1" applyBorder="1" applyAlignment="1">
      <alignment horizontal="right" indent="1"/>
    </xf>
    <xf numFmtId="44" fontId="24" fillId="0" borderId="23" xfId="3" applyFont="1" applyBorder="1" applyProtection="1"/>
    <xf numFmtId="164" fontId="23" fillId="0" borderId="24" xfId="2" applyNumberFormat="1" applyFont="1" applyBorder="1" applyProtection="1"/>
    <xf numFmtId="164" fontId="23" fillId="0" borderId="22" xfId="2" applyNumberFormat="1" applyFont="1" applyBorder="1" applyProtection="1"/>
    <xf numFmtId="164" fontId="23" fillId="0" borderId="23" xfId="2" applyNumberFormat="1" applyFont="1" applyBorder="1" applyProtection="1"/>
    <xf numFmtId="164" fontId="23" fillId="0" borderId="24" xfId="0" applyNumberFormat="1" applyFont="1" applyBorder="1"/>
    <xf numFmtId="165" fontId="23" fillId="0" borderId="22" xfId="3" applyNumberFormat="1" applyFont="1" applyBorder="1" applyProtection="1"/>
    <xf numFmtId="6" fontId="23" fillId="0" borderId="22" xfId="3" applyNumberFormat="1" applyFont="1" applyBorder="1" applyProtection="1"/>
    <xf numFmtId="0" fontId="8" fillId="4" borderId="0" xfId="0" applyFont="1" applyFill="1"/>
    <xf numFmtId="0" fontId="8" fillId="0" borderId="0" xfId="0" applyFont="1"/>
    <xf numFmtId="0" fontId="20" fillId="4" borderId="2" xfId="0" applyFont="1" applyFill="1" applyBorder="1" applyAlignment="1">
      <alignment horizontal="left" indent="1"/>
    </xf>
    <xf numFmtId="0" fontId="20" fillId="4" borderId="27" xfId="0" applyFont="1" applyFill="1" applyBorder="1"/>
    <xf numFmtId="0" fontId="20" fillId="4" borderId="27" xfId="0" applyFont="1" applyFill="1" applyBorder="1" applyAlignment="1">
      <alignment horizontal="right"/>
    </xf>
    <xf numFmtId="0" fontId="0" fillId="4" borderId="27" xfId="0" applyFill="1" applyBorder="1"/>
    <xf numFmtId="0" fontId="0" fillId="4" borderId="3" xfId="0" applyFill="1" applyBorder="1"/>
    <xf numFmtId="0" fontId="20" fillId="4" borderId="4" xfId="0" applyFont="1" applyFill="1" applyBorder="1" applyAlignment="1">
      <alignment horizontal="left" vertical="top" indent="1"/>
    </xf>
    <xf numFmtId="0" fontId="20" fillId="4" borderId="28" xfId="0" applyFont="1" applyFill="1" applyBorder="1"/>
    <xf numFmtId="0" fontId="20" fillId="4" borderId="28" xfId="0" applyFont="1" applyFill="1" applyBorder="1" applyAlignment="1">
      <alignment horizontal="right"/>
    </xf>
    <xf numFmtId="0" fontId="0" fillId="4" borderId="28" xfId="0" applyFill="1" applyBorder="1"/>
    <xf numFmtId="0" fontId="0" fillId="4" borderId="5" xfId="0" applyFill="1" applyBorder="1"/>
    <xf numFmtId="0" fontId="20" fillId="4" borderId="29" xfId="0" applyFont="1" applyFill="1" applyBorder="1" applyAlignment="1">
      <alignment horizontal="left" indent="1"/>
    </xf>
    <xf numFmtId="0" fontId="20" fillId="4" borderId="0" xfId="0" applyFont="1" applyFill="1"/>
    <xf numFmtId="0" fontId="20" fillId="4" borderId="0" xfId="0" applyFont="1" applyFill="1" applyAlignment="1">
      <alignment horizontal="right"/>
    </xf>
    <xf numFmtId="0" fontId="0" fillId="4" borderId="30" xfId="0" applyFill="1" applyBorder="1"/>
    <xf numFmtId="0" fontId="20" fillId="4" borderId="29" xfId="0" applyFont="1" applyFill="1" applyBorder="1" applyAlignment="1">
      <alignment horizontal="left" vertical="top" indent="1"/>
    </xf>
    <xf numFmtId="0" fontId="1" fillId="0" borderId="28" xfId="1" applyBorder="1" applyAlignment="1">
      <alignment horizontal="left" vertical="top"/>
    </xf>
    <xf numFmtId="0" fontId="26" fillId="0" borderId="0" xfId="1" applyFont="1" applyAlignment="1">
      <alignment horizontal="left" vertical="top"/>
    </xf>
    <xf numFmtId="9" fontId="0" fillId="0" borderId="0" xfId="4" applyFont="1"/>
    <xf numFmtId="0" fontId="0" fillId="6" borderId="0" xfId="0" applyFill="1"/>
    <xf numFmtId="2" fontId="0" fillId="0" borderId="0" xfId="0" applyNumberFormat="1"/>
    <xf numFmtId="2" fontId="0" fillId="6" borderId="0" xfId="0" applyNumberFormat="1" applyFill="1"/>
    <xf numFmtId="0" fontId="9" fillId="4" borderId="0" xfId="0" applyFont="1" applyFill="1" applyAlignment="1">
      <alignment horizontal="center"/>
    </xf>
    <xf numFmtId="166" fontId="0" fillId="0" borderId="0" xfId="4" applyNumberFormat="1" applyFont="1"/>
  </cellXfs>
  <cellStyles count="5">
    <cellStyle name="Comma" xfId="2" builtinId="3"/>
    <cellStyle name="Currency" xfId="3" builtinId="4"/>
    <cellStyle name="Normal" xfId="0" builtinId="0"/>
    <cellStyle name="Normal 2" xfId="1" xr:uid="{0914B392-064C-476E-9A9E-06F3640EF578}"/>
    <cellStyle name="Percent" xfId="4" builtinId="5"/>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19" formatCode="d/mm/yyyy"/>
    </dxf>
    <dxf>
      <numFmt numFmtId="19" formatCode="d/mm/yyyy"/>
    </dxf>
    <dxf>
      <numFmt numFmtId="0" formatCode="General"/>
    </dxf>
    <dxf>
      <numFmt numFmtId="0" formatCode="General"/>
    </dxf>
    <dxf>
      <numFmt numFmtId="19" formatCode="d/mm/yyyy"/>
    </dxf>
    <dxf>
      <font>
        <b val="0"/>
        <i val="0"/>
        <strike val="0"/>
        <condense val="0"/>
        <extend val="0"/>
        <outline val="0"/>
        <shadow val="0"/>
        <u val="none"/>
        <vertAlign val="baseline"/>
        <sz val="10"/>
        <color theme="8"/>
        <name val="Times New Roman"/>
        <family val="1"/>
        <scheme val="none"/>
      </font>
      <alignment horizontal="left" vertical="top" textRotation="0" wrapText="0" indent="0" justifyLastLine="0" shrinkToFit="0" readingOrder="0"/>
    </dxf>
    <dxf>
      <font>
        <b val="0"/>
        <i val="0"/>
        <strike val="0"/>
        <condense val="0"/>
        <extend val="0"/>
        <outline val="0"/>
        <shadow val="0"/>
        <u val="none"/>
        <vertAlign val="baseline"/>
        <sz val="10"/>
        <color theme="8"/>
        <name val="Times New Roman"/>
        <family val="1"/>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11</xdr:col>
      <xdr:colOff>66675</xdr:colOff>
      <xdr:row>7</xdr:row>
      <xdr:rowOff>142875</xdr:rowOff>
    </xdr:from>
    <xdr:to>
      <xdr:col>14</xdr:col>
      <xdr:colOff>66675</xdr:colOff>
      <xdr:row>21</xdr:row>
      <xdr:rowOff>0</xdr:rowOff>
    </xdr:to>
    <mc:AlternateContent xmlns:mc="http://schemas.openxmlformats.org/markup-compatibility/2006" xmlns:sle15="http://schemas.microsoft.com/office/drawing/2012/slicer">
      <mc:Choice Requires="sle15">
        <xdr:graphicFrame macro="">
          <xdr:nvGraphicFramePr>
            <xdr:cNvPr id="2" name="Version">
              <a:extLst>
                <a:ext uri="{FF2B5EF4-FFF2-40B4-BE49-F238E27FC236}">
                  <a16:creationId xmlns:a16="http://schemas.microsoft.com/office/drawing/2014/main" id="{5135AEF9-DD6A-C278-DF4B-3DDD0092D9E6}"/>
                </a:ext>
              </a:extLst>
            </xdr:cNvPr>
            <xdr:cNvGraphicFramePr/>
          </xdr:nvGraphicFramePr>
          <xdr:xfrm>
            <a:off x="0" y="0"/>
            <a:ext cx="0" cy="0"/>
          </xdr:xfrm>
          <a:graphic>
            <a:graphicData uri="http://schemas.microsoft.com/office/drawing/2010/slicer">
              <sle:slicer xmlns:sle="http://schemas.microsoft.com/office/drawing/2010/slicer" name="Version"/>
            </a:graphicData>
          </a:graphic>
        </xdr:graphicFrame>
      </mc:Choice>
      <mc:Fallback xmlns="">
        <xdr:sp macro="" textlink="">
          <xdr:nvSpPr>
            <xdr:cNvPr id="0" name=""/>
            <xdr:cNvSpPr>
              <a:spLocks noTextEdit="1"/>
            </xdr:cNvSpPr>
          </xdr:nvSpPr>
          <xdr:spPr>
            <a:xfrm>
              <a:off x="8629650" y="3333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400050</xdr:colOff>
      <xdr:row>7</xdr:row>
      <xdr:rowOff>104775</xdr:rowOff>
    </xdr:from>
    <xdr:to>
      <xdr:col>17</xdr:col>
      <xdr:colOff>400050</xdr:colOff>
      <xdr:row>20</xdr:row>
      <xdr:rowOff>152400</xdr:rowOff>
    </xdr:to>
    <mc:AlternateContent xmlns:mc="http://schemas.openxmlformats.org/markup-compatibility/2006" xmlns:sle15="http://schemas.microsoft.com/office/drawing/2012/slicer">
      <mc:Choice Requires="sle15">
        <xdr:graphicFrame macro="">
          <xdr:nvGraphicFramePr>
            <xdr:cNvPr id="4" name="Facility">
              <a:extLst>
                <a:ext uri="{FF2B5EF4-FFF2-40B4-BE49-F238E27FC236}">
                  <a16:creationId xmlns:a16="http://schemas.microsoft.com/office/drawing/2014/main" id="{90597407-53FA-75E9-95CA-A8B8B4C71785}"/>
                </a:ext>
              </a:extLst>
            </xdr:cNvPr>
            <xdr:cNvGraphicFramePr/>
          </xdr:nvGraphicFramePr>
          <xdr:xfrm>
            <a:off x="0" y="0"/>
            <a:ext cx="0" cy="0"/>
          </xdr:xfrm>
          <a:graphic>
            <a:graphicData uri="http://schemas.microsoft.com/office/drawing/2010/slicer">
              <sle:slicer xmlns:sle="http://schemas.microsoft.com/office/drawing/2010/slicer" name="Facility"/>
            </a:graphicData>
          </a:graphic>
        </xdr:graphicFrame>
      </mc:Choice>
      <mc:Fallback xmlns="">
        <xdr:sp macro="" textlink="">
          <xdr:nvSpPr>
            <xdr:cNvPr id="0" name=""/>
            <xdr:cNvSpPr>
              <a:spLocks noTextEdit="1"/>
            </xdr:cNvSpPr>
          </xdr:nvSpPr>
          <xdr:spPr>
            <a:xfrm>
              <a:off x="10791825" y="29527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2.0Accounts/Shared%20Documents/IndoChinese%20Aged%20Care/4.%20Analysis/221223/2.%20Calculations/P6%20AEM-InefficiencyCheck.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entri001.sharepoint.com/sites/2.0Accounts/Shared%20Documents/2.1.1%20RFBI-PoC/2.0%20RFBI/04.1%20PoC/04%20Analysis/COMPUTERPATH.xlsx" TargetMode="External"/><Relationship Id="rId1" Type="http://schemas.openxmlformats.org/officeDocument/2006/relationships/externalLinkPath" Target="/sites/2.0Accounts/Shared%20Documents/2.1.1%20RFBI-PoC/2.0%20RFBI/04.1%20PoC/04%20Analysis/COMPUTERPAT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SITY"/>
      <sheetName val="Months Days"/>
      <sheetName val="Input"/>
      <sheetName val="Factors"/>
      <sheetName val="Role Consol"/>
      <sheetName val="Names"/>
      <sheetName val="Transpose"/>
      <sheetName val="Demand"/>
      <sheetName val="NamesXPeriod"/>
      <sheetName val="NamesByDate+Leave"/>
      <sheetName val="Capacity"/>
      <sheetName val="Allocation"/>
      <sheetName val="Effort+Outcomes"/>
      <sheetName val="Pivot Check"/>
      <sheetName val="1Pool-AB-Op"/>
      <sheetName val="1Pool-EF-Op"/>
      <sheetName val="1Pool-IN-Op"/>
      <sheetName val="2Pond-Unit-AB"/>
      <sheetName val="2Pond-Unit-EF"/>
      <sheetName val="2Pond-Unit-IN"/>
      <sheetName val="2Pond-Role-AB"/>
      <sheetName val="2Pond-Role-EF"/>
      <sheetName val="2Pond-Role-IN"/>
      <sheetName val="3LakeAB"/>
      <sheetName val="3LakeEF"/>
      <sheetName val="3LakeIN"/>
      <sheetName val="SDTX PoolREG.ROLE"/>
      <sheetName val="SD PondROLE+IMP"/>
      <sheetName val="SD PondROLEBase"/>
      <sheetName val="SD PondROLES1"/>
      <sheetName val="IMP PondROLE"/>
      <sheetName val="WGT PondROLESBaseLake"/>
      <sheetName val="WGT PondROLES1Lake"/>
      <sheetName val="SD LakeBase"/>
      <sheetName val="SD LakeS1"/>
      <sheetName val="IMP Lake"/>
      <sheetName val="INTERVENTIONS"/>
      <sheetName val="Value"/>
      <sheetName val="$PoolMPACT"/>
      <sheetName val="$PoolIMPACTTranspose"/>
      <sheetName val="Sheet1"/>
      <sheetName val="Check"/>
    </sheetNames>
    <sheetDataSet>
      <sheetData sheetId="0" refreshError="1"/>
      <sheetData sheetId="1" refreshError="1"/>
      <sheetData sheetId="2" refreshError="1"/>
      <sheetData sheetId="3" refreshError="1">
        <row r="4">
          <cell r="B4">
            <v>1.25</v>
          </cell>
        </row>
        <row r="6">
          <cell r="B6">
            <v>1.25</v>
          </cell>
        </row>
        <row r="7">
          <cell r="B7">
            <v>1.5</v>
          </cell>
        </row>
        <row r="8">
          <cell r="B8">
            <v>1.5</v>
          </cell>
        </row>
        <row r="10">
          <cell r="B10">
            <v>1</v>
          </cell>
        </row>
        <row r="11">
          <cell r="B11">
            <v>1</v>
          </cell>
        </row>
        <row r="12">
          <cell r="B12">
            <v>1</v>
          </cell>
        </row>
        <row r="19">
          <cell r="B19">
            <v>2.5</v>
          </cell>
        </row>
        <row r="21">
          <cell r="B21">
            <v>12500</v>
          </cell>
        </row>
        <row r="22">
          <cell r="B22">
            <v>18750</v>
          </cell>
        </row>
        <row r="23">
          <cell r="B23">
            <v>31250</v>
          </cell>
          <cell r="E23">
            <v>3000000</v>
          </cell>
        </row>
        <row r="35">
          <cell r="B35">
            <v>0.02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wojAMNtMEafITSMnMZsuXilD8tw-NZHsNlaQj4qnPsv_Gi1Kk0aT6ktvm6p1Hm_" itemId="01JKT3HL7SDNGNSKGC6VDKCIWUFSNWSVXY">
      <xxl21:absoluteUrl r:id="rId2"/>
    </xxl21:alternateUrls>
    <sheetNames>
      <sheetName val="Computerpath"/>
      <sheetName val="FILEPATH"/>
      <sheetName val="StaffList"/>
      <sheetName val="Allocation"/>
      <sheetName val="ResourceShiftAllocation"/>
      <sheetName val="Metadata"/>
    </sheetNames>
    <definedNames>
      <definedName name="Client" refersTo="='Computerpath'!$B$14"/>
    </definedNames>
    <sheetDataSet>
      <sheetData sheetId="0">
        <row r="14">
          <cell r="B14" t="str">
            <v>04.1 PoC</v>
          </cell>
        </row>
      </sheetData>
      <sheetData sheetId="1" refreshError="1"/>
      <sheetData sheetId="2" refreshError="1"/>
      <sheetData sheetId="3" refreshError="1"/>
      <sheetData sheetId="4" refreshError="1"/>
      <sheetData sheetId="5"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7292CFF5-EC16-459B-A3C4-6FA6BF6283F5}" autoFormatId="16" applyNumberFormats="0" applyBorderFormats="0" applyFontFormats="0" applyPatternFormats="0" applyAlignmentFormats="0" applyWidthHeightFormats="0">
  <queryTableRefresh nextId="63">
    <queryTableFields count="36">
      <queryTableField id="1" name="Date" tableColumnId="1"/>
      <queryTableField id="2" name="L1.1" tableColumnId="2"/>
      <queryTableField id="3" name="L1.2" tableColumnId="3"/>
      <queryTableField id="4" name="D" tableColumnId="4"/>
      <queryTableField id="5" name="Cs" tableColumnId="5"/>
      <queryTableField id="6" name="CX" tableColumnId="6"/>
      <queryTableField id="7" name="A" tableColumnId="7"/>
      <queryTableField id="8" name="Apn" tableColumnId="8"/>
      <queryTableField id="9" name="Apx" tableColumnId="9"/>
      <queryTableField id="10" name="Ai" tableColumnId="10"/>
      <queryTableField id="11" name="EXCESS OVER-ALLOCATION" tableColumnId="11"/>
      <queryTableField id="12" name="SPARE STRETCH" tableColumnId="12"/>
      <queryTableField id="13" name="SPARE SLACK" tableColumnId="13"/>
      <queryTableField id="14" name="SPARE STRETCH ALLOCATED" tableColumnId="14"/>
      <queryTableField id="15" name="SPARE SLACK ALLOCATED" tableColumnId="15"/>
      <queryTableField id="16" name="EXCESS STRETCH (ALLOCATED)" tableColumnId="16"/>
      <queryTableField id="17" name="EXCESS ALLOCATED SLACK" tableColumnId="17"/>
      <queryTableField id="18" name="EXCESS STRETCH" tableColumnId="18"/>
      <queryTableField id="19" name="EXCESS SLACK" tableColumnId="19"/>
      <queryTableField id="20" name="POTENTIAL SHORTFALL (OVER-ALLOCATED)" tableColumnId="20"/>
      <queryTableField id="21" name="POTENTIAL SHORTFALL" tableColumnId="21"/>
      <queryTableField id="22" name="WASTED STRETCH" tableColumnId="22"/>
      <queryTableField id="23" name="WASTED SLACK" tableColumnId="23"/>
      <queryTableField id="24" name="ALLOCATED STRETCH" tableColumnId="24"/>
      <queryTableField id="25" name="ALLOCATED SLACK" tableColumnId="25"/>
      <queryTableField id="26" name="UNALLOCATED SLACK" tableColumnId="26"/>
      <queryTableField id="27" name="LATENT" tableColumnId="27"/>
      <queryTableField id="28" name="LATENT.ALLOCATED" tableColumnId="28"/>
      <queryTableField id="29" name="LATENT.OVERALLOCATED" tableColumnId="29"/>
      <queryTableField id="30" name="AB Potential" tableColumnId="30"/>
      <queryTableField id="56" name="Facility" tableColumnId="33"/>
      <queryTableField id="54" name="CapacityMaxHC" tableColumnId="31"/>
      <queryTableField id="55" name="DATESHIFT" tableColumnId="32"/>
      <queryTableField id="59" name="ShiftDurations.ShiftDuration" tableColumnId="35"/>
      <queryTableField id="61" name="DateX" tableColumnId="36"/>
      <queryTableField id="58" name="Version"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C18ABC4-C46F-4174-8C25-7541C6CE0519}" autoFormatId="16" applyNumberFormats="0" applyBorderFormats="0" applyFontFormats="0" applyPatternFormats="0" applyAlignmentFormats="0" applyWidthHeightFormats="0">
  <queryTableRefresh nextId="37">
    <queryTableFields count="20">
      <queryTableField id="1" name="Date" tableColumnId="1"/>
      <queryTableField id="2" name="L1.1" tableColumnId="2"/>
      <queryTableField id="3" name="L1.2" tableColumnId="3"/>
      <queryTableField id="4" name="D" tableColumnId="4"/>
      <queryTableField id="25" name="Facility" tableColumnId="8"/>
      <queryTableField id="33" name="ShiftDurations.ShiftDuration" tableColumnId="16"/>
      <queryTableField id="35" name="DateX" tableColumnId="20"/>
      <queryTableField id="31" name="Version" tableColumnId="15"/>
      <queryTableField id="5" name="ExcessAllocation" tableColumnId="5"/>
      <queryTableField id="26" name="ExcessAllocation-Reaslistic" tableColumnId="9"/>
      <queryTableField id="6" name="Shortage" tableColumnId="6"/>
      <queryTableField id="27" name="Shortage-Realistic" tableColumnId="10"/>
      <queryTableField id="7" name="PlannedOvertime" tableColumnId="7"/>
      <queryTableField id="19" name="Day Name" tableColumnId="17"/>
      <queryTableField id="21" name="Rates.Attribute" tableColumnId="18"/>
      <queryTableField id="22" name="Rates.Value" tableColumnId="19"/>
      <queryTableField id="11" name="UnnecessaryAllocation$" tableColumnId="11"/>
      <queryTableField id="12" name="ShortageReplacement$" tableColumnId="12"/>
      <queryTableField id="13" name="Overtime$" tableColumnId="13"/>
      <queryTableField id="14" name="InefficiencyCost"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35FC7701-A5DC-47E2-8BB3-49AA480CC22A}" autoFormatId="16" applyNumberFormats="0" applyBorderFormats="0" applyFontFormats="0" applyPatternFormats="0" applyAlignmentFormats="0" applyWidthHeightFormats="0">
  <queryTableRefresh nextId="9">
    <queryTableFields count="2">
      <queryTableField id="6" name="Facility" tableColumnId="2"/>
      <queryTableField id="8" name="Count"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2" xr16:uid="{335401E7-88DC-44AE-909F-D0610D4A51F2}" autoFormatId="16" applyNumberFormats="0" applyBorderFormats="0" applyFontFormats="0" applyPatternFormats="0" applyAlignmentFormats="0" applyWidthHeightFormats="0">
  <queryTableRefresh nextId="4">
    <queryTableFields count="2">
      <queryTableField id="1" name="Date" tableColumnId="1"/>
      <queryTableField id="3" name="TargetRat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9" xr16:uid="{757BBF4D-674E-43ED-ADA2-473ECD86D717}" autoFormatId="16" applyNumberFormats="0" applyBorderFormats="0" applyFontFormats="0" applyPatternFormats="0" applyAlignmentFormats="0" applyWidthHeightFormats="0">
  <queryTableRefresh nextId="4">
    <queryTableFields count="3">
      <queryTableField id="1" name="Date" tableColumnId="1"/>
      <queryTableField id="2" name="Facility" tableColumnId="2"/>
      <queryTableField id="3" name="Savings"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8" xr16:uid="{B07D0A94-5249-415B-9D1C-07DE963795CD}" autoFormatId="16" applyNumberFormats="0" applyBorderFormats="0" applyFontFormats="0" applyPatternFormats="0" applyAlignmentFormats="0" applyWidthHeightFormats="0">
  <queryTableRefresh nextId="10">
    <queryTableFields count="3">
      <queryTableField id="3" name="Date" tableColumnId="3"/>
      <queryTableField id="8" name="Facility" tableColumnId="1"/>
      <queryTableField id="5" name="Savings"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 xr16:uid="{9015033E-780C-46B0-A0C1-FD28BC5A5D63}" autoFormatId="16" applyNumberFormats="0" applyBorderFormats="0" applyFontFormats="0" applyPatternFormats="0" applyAlignmentFormats="0" applyWidthHeightFormats="0">
  <queryTableRefresh nextId="12">
    <queryTableFields count="7">
      <queryTableField id="8" name="Version" tableColumnId="7"/>
      <queryTableField id="3" name="Facility" tableColumnId="3"/>
      <queryTableField id="1" name="L1.1" tableColumnId="1"/>
      <queryTableField id="2" name="RoleCost" tableColumnId="2"/>
      <queryTableField id="4" name="UnnecessaryAllocation" tableColumnId="4"/>
      <queryTableField id="5" name="Shortage Replacement" tableColumnId="5"/>
      <queryTableField id="6" name="O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sion" xr10:uid="{F1A2611F-78AC-4B3A-9614-AB40398F26AC}" sourceName="Version">
  <extLst>
    <x:ext xmlns:x15="http://schemas.microsoft.com/office/spreadsheetml/2010/11/main" uri="{2F2917AC-EB37-4324-AD4E-5DD8C200BD13}">
      <x15:tableSlicerCache tableId="6"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 xr10:uid="{2E61C122-84A6-4381-9CFE-981C3EABAC5C}" sourceName="Facility">
  <extLst>
    <x:ext xmlns:x15="http://schemas.microsoft.com/office/spreadsheetml/2010/11/main" uri="{2F2917AC-EB37-4324-AD4E-5DD8C200BD13}">
      <x15:tableSlicerCache tableId="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sion" xr10:uid="{683CBF66-8254-4A7C-B5B5-02415849F6F2}" cache="Slicer_Version" caption="Version" rowHeight="241300"/>
  <slicer name="Facility" xr10:uid="{7144B479-9DCA-4BCD-918B-1C0E9679EF23}" cache="Slicer_Facility" caption="Facility"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0268B-ADFF-4CAF-9B70-F4653F49A15D}" name="Folder" displayName="Folder" ref="B35:B36" totalsRowShown="0" dataDxfId="20" dataCellStyle="Normal 2">
  <autoFilter ref="B35:B36" xr:uid="{56272DB7-7BB8-46CC-B188-5BD9424345D9}"/>
  <tableColumns count="1">
    <tableColumn id="1" xr3:uid="{A0BA63D6-69E9-4BCE-9728-2BD2245C3ABE}" name="Folder" dataDxfId="19" dataCellStyle="Normal 2">
      <calculatedColumnFormula>B26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92DBF6-3ECD-4F63-AEE1-C82BCE687309}" name="Rates" displayName="Rates" ref="A1:D3" totalsRowShown="0">
  <autoFilter ref="A1:D3" xr:uid="{C692DBF6-3ECD-4F63-AEE1-C82BCE687309}"/>
  <tableColumns count="4">
    <tableColumn id="1" xr3:uid="{39D88134-2B37-41F0-9262-5665D235DAB7}" name="Role"/>
    <tableColumn id="2" xr3:uid="{D3392DC6-62F7-4C41-AC65-10D4F6A01223}" name="Rate"/>
    <tableColumn id="3" xr3:uid="{A436EC23-10C2-4E83-9612-A3D799F5A5A0}" name="OTLoading"/>
    <tableColumn id="4" xr3:uid="{C90CAEC0-F0AF-4992-9FB9-D83CE55A06F3}" name="AgencyPremiu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8B0CBE-73A2-4F8B-A2EF-F58A37A724C7}" name="RatesDelta" displayName="RatesDelta" ref="H17:P26" totalsRowShown="0">
  <autoFilter ref="H17:P26" xr:uid="{B98B0CBE-73A2-4F8B-A2EF-F58A37A724C7}"/>
  <tableColumns count="9">
    <tableColumn id="1" xr3:uid="{0219450F-0F42-4906-8CB2-537BA17757A7}" name="Role"/>
    <tableColumn id="2" xr3:uid="{1A5B7ECF-0047-4BF8-AD72-CC836C44713D}" name="Period"/>
    <tableColumn id="3" xr3:uid="{84D5F6B9-C429-464C-BBB5-5FF39FBD6D25}" name="Monday" dataDxfId="6">
      <calculatedColumnFormula>J5-J11</calculatedColumnFormula>
    </tableColumn>
    <tableColumn id="11" xr3:uid="{80B48055-AB60-450A-A7A9-0C72040BD618}" name="Tuesday" dataDxfId="5">
      <calculatedColumnFormula>K5-K11</calculatedColumnFormula>
    </tableColumn>
    <tableColumn id="8" xr3:uid="{B19E5108-AB19-4C8B-BE0B-A75C5BA72773}" name="Wednesday" dataDxfId="4">
      <calculatedColumnFormula>L5-L11</calculatedColumnFormula>
    </tableColumn>
    <tableColumn id="7" xr3:uid="{095DCEC0-46D8-4C5D-ABDA-DE63455512A6}" name="Thursday" dataDxfId="3">
      <calculatedColumnFormula>M5-M11</calculatedColumnFormula>
    </tableColumn>
    <tableColumn id="6" xr3:uid="{E12B68C0-6919-4030-A3DF-D8DCB6C47C74}" name="Friday" dataDxfId="2">
      <calculatedColumnFormula>N5-N11</calculatedColumnFormula>
    </tableColumn>
    <tableColumn id="4" xr3:uid="{508E353A-32EF-4061-AEAA-51798F465D5E}" name="Saturday" dataDxfId="1">
      <calculatedColumnFormula>O5-O11</calculatedColumnFormula>
    </tableColumn>
    <tableColumn id="5" xr3:uid="{AC78659E-4681-4498-85DA-614053AD52F5}" name="Sunday" dataDxfId="0">
      <calculatedColumnFormula>P5-P11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952DAD-7A59-4980-B6A4-7A4ADC63A1EA}" name="EffortOutcomesAG1_1DayShiftAB" displayName="EffortOutcomesAG1_1DayShiftAB" ref="A1:AJ253" tableType="queryTable" totalsRowShown="0">
  <autoFilter ref="A1:AJ253" xr:uid="{5F952DAD-7A59-4980-B6A4-7A4ADC63A1EA}"/>
  <tableColumns count="36">
    <tableColumn id="1" xr3:uid="{49A5B1F7-F483-4249-88FD-2EC30066A0AD}" uniqueName="1" name="Date" queryTableFieldId="1" dataDxfId="18"/>
    <tableColumn id="2" xr3:uid="{12A61FDC-7E6E-4D9C-8A09-0038AAD2B190}" uniqueName="2" name="L1.1" queryTableFieldId="2" dataDxfId="17"/>
    <tableColumn id="3" xr3:uid="{C71D5555-DC4E-48D7-BF46-7B8564840DC5}" uniqueName="3" name="L1.2" queryTableFieldId="3" dataDxfId="16"/>
    <tableColumn id="4" xr3:uid="{287A5614-D3DF-43ED-B4EE-45B4417136BA}" uniqueName="4" name="D" queryTableFieldId="4"/>
    <tableColumn id="5" xr3:uid="{BA218B9B-CF5E-4372-9589-29749DE4D0BE}" uniqueName="5" name="Cs" queryTableFieldId="5"/>
    <tableColumn id="6" xr3:uid="{C34D28BB-B978-4C45-9172-7C6189522DCB}" uniqueName="6" name="CX" queryTableFieldId="6"/>
    <tableColumn id="7" xr3:uid="{2A8B4AEB-E1CA-4014-8EC0-38A2F19FEB1C}" uniqueName="7" name="A" queryTableFieldId="7"/>
    <tableColumn id="8" xr3:uid="{8DC059DC-5B2D-477C-ABAE-2C0F05F383A6}" uniqueName="8" name="Apn" queryTableFieldId="8"/>
    <tableColumn id="9" xr3:uid="{5EB29CD2-9798-4C81-93CA-EAB2610809A6}" uniqueName="9" name="Apx" queryTableFieldId="9"/>
    <tableColumn id="10" xr3:uid="{F58C45E2-16C5-4D76-B8BD-FB0F5E9C06E4}" uniqueName="10" name="Ai" queryTableFieldId="10"/>
    <tableColumn id="11" xr3:uid="{5F4E18AA-B61D-4AA8-B22B-77D8970FC75E}" uniqueName="11" name="EXCESS OVER-ALLOCATION" queryTableFieldId="11"/>
    <tableColumn id="12" xr3:uid="{540436A0-1BDE-4875-977E-9987A9912907}" uniqueName="12" name="SPARE STRETCH" queryTableFieldId="12"/>
    <tableColumn id="13" xr3:uid="{FE733059-C24F-430B-9D0C-A3E21E6C3A76}" uniqueName="13" name="SPARE SLACK" queryTableFieldId="13"/>
    <tableColumn id="14" xr3:uid="{BB39C41D-0531-4428-AADE-7160EB14E9E5}" uniqueName="14" name="SPARE STRETCH ALLOCATED" queryTableFieldId="14"/>
    <tableColumn id="15" xr3:uid="{2D7BD112-D4D1-46EE-A643-6F03CA4ABCAD}" uniqueName="15" name="SPARE SLACK ALLOCATED" queryTableFieldId="15"/>
    <tableColumn id="16" xr3:uid="{6D2BCC02-4BE7-4304-A3FD-615287857D7B}" uniqueName="16" name="EXCESS STRETCH (ALLOCATED)" queryTableFieldId="16"/>
    <tableColumn id="17" xr3:uid="{5A146505-B454-4B05-BC58-05170D185FE3}" uniqueName="17" name="EXCESS ALLOCATED SLACK" queryTableFieldId="17"/>
    <tableColumn id="18" xr3:uid="{E8694FA9-38BC-4A85-9233-875D6F48DF9B}" uniqueName="18" name="EXCESS STRETCH" queryTableFieldId="18"/>
    <tableColumn id="19" xr3:uid="{7D893BF1-A76A-4874-B8A1-3AAA4F06B98D}" uniqueName="19" name="EXCESS SLACK" queryTableFieldId="19"/>
    <tableColumn id="20" xr3:uid="{6A6ED00A-B39F-49A9-B523-8166C2474C5B}" uniqueName="20" name="POTENTIAL SHORTFALL (OVER-ALLOCATED)" queryTableFieldId="20"/>
    <tableColumn id="21" xr3:uid="{2376D8DD-52DF-46D4-BB13-896EEDBD94AC}" uniqueName="21" name="POTENTIAL SHORTFALL" queryTableFieldId="21"/>
    <tableColumn id="22" xr3:uid="{8CDEDD44-2773-466C-8463-2E0BD9F51B70}" uniqueName="22" name="WASTED STRETCH" queryTableFieldId="22"/>
    <tableColumn id="23" xr3:uid="{DC63AB13-95EF-4073-9BA8-6FB384E29762}" uniqueName="23" name="WASTED SLACK" queryTableFieldId="23"/>
    <tableColumn id="24" xr3:uid="{5DD0D563-994E-4D3C-91A4-E631AFC1BED2}" uniqueName="24" name="ALLOCATED STRETCH" queryTableFieldId="24"/>
    <tableColumn id="25" xr3:uid="{2567B960-8524-4D6B-98A7-6DD2DD832138}" uniqueName="25" name="ALLOCATED SLACK" queryTableFieldId="25"/>
    <tableColumn id="26" xr3:uid="{CF4E13B1-8EE4-4E78-8F52-F442A4B0CA15}" uniqueName="26" name="UNALLOCATED SLACK" queryTableFieldId="26"/>
    <tableColumn id="27" xr3:uid="{9A0204B0-ED78-43EC-A5AF-0E92FDCAB64C}" uniqueName="27" name="LATENT" queryTableFieldId="27"/>
    <tableColumn id="28" xr3:uid="{806BBAC1-3EB2-4342-81EF-5520B75FA09E}" uniqueName="28" name="LATENT.ALLOCATED" queryTableFieldId="28"/>
    <tableColumn id="29" xr3:uid="{7B96071A-C004-4C2A-BE50-F199223CAEAB}" uniqueName="29" name="LATENT.OVERALLOCATED" queryTableFieldId="29"/>
    <tableColumn id="30" xr3:uid="{42F671FF-00B8-43E2-9402-A8B7970656FC}" uniqueName="30" name="AB Potential" queryTableFieldId="30"/>
    <tableColumn id="33" xr3:uid="{3DBA7D14-D8C9-451F-9E8E-8C1E62B25B76}" uniqueName="33" name="Facility" queryTableFieldId="56"/>
    <tableColumn id="31" xr3:uid="{6B39F351-E660-442C-86FC-3382E9A79FFE}" uniqueName="31" name="CapacityMaxHC" queryTableFieldId="54"/>
    <tableColumn id="32" xr3:uid="{5CDC34E0-1BEB-4E8D-A470-6C811D92539D}" uniqueName="32" name="DATESHIFT" queryTableFieldId="55"/>
    <tableColumn id="35" xr3:uid="{534AB6F5-B1C2-48CF-B9E2-2EF0627FC806}" uniqueName="35" name="ShiftDurations.ShiftDuration" queryTableFieldId="59"/>
    <tableColumn id="36" xr3:uid="{78C539ED-2202-4C8B-8550-B39007897D8C}" uniqueName="36" name="DateX" queryTableFieldId="61"/>
    <tableColumn id="34" xr3:uid="{4674B705-81A1-4620-B5E4-82928626AE7A}" uniqueName="34" name="Version" queryTableFieldId="5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D4E535-FE73-48B5-A524-EDB13EC0802C}" name="CostAG1_1DayShiftAB" displayName="CostAG1_1DayShiftAB" ref="A1:T253" tableType="queryTable" totalsRowShown="0">
  <autoFilter ref="A1:T253" xr:uid="{1DD4E535-FE73-48B5-A524-EDB13EC0802C}"/>
  <tableColumns count="20">
    <tableColumn id="1" xr3:uid="{23163B4F-FCD7-431E-8586-92A042DDF304}" uniqueName="1" name="Date" queryTableFieldId="1" dataDxfId="12"/>
    <tableColumn id="2" xr3:uid="{E7B49204-66DD-4FCE-AAB1-EB4A6AE61421}" uniqueName="2" name="L1.1" queryTableFieldId="2" dataDxfId="11"/>
    <tableColumn id="3" xr3:uid="{9E4432ED-375C-41C7-9071-8C6D62D8E7C7}" uniqueName="3" name="L1.2" queryTableFieldId="3" dataDxfId="10"/>
    <tableColumn id="4" xr3:uid="{ED3545DB-E0D4-4634-A01A-83077F64CEAA}" uniqueName="4" name="D" queryTableFieldId="4"/>
    <tableColumn id="8" xr3:uid="{59A202F4-7EE1-4968-9F4B-75E19CE9BE40}" uniqueName="8" name="Facility" queryTableFieldId="25"/>
    <tableColumn id="16" xr3:uid="{D6E95352-A5F3-455C-BFA3-EBC43FB616B7}" uniqueName="16" name="ShiftDurations.ShiftDuration" queryTableFieldId="33"/>
    <tableColumn id="20" xr3:uid="{9337E68A-067F-4497-9E47-757E335D764D}" uniqueName="20" name="DateX" queryTableFieldId="35"/>
    <tableColumn id="15" xr3:uid="{4DD5C1E9-5F02-4127-BBD9-C2C2DB00B57A}" uniqueName="15" name="Version" queryTableFieldId="31"/>
    <tableColumn id="5" xr3:uid="{9C8F0DB2-5A63-4593-BF86-EC04265AF34B}" uniqueName="5" name="ExcessAllocation" queryTableFieldId="5"/>
    <tableColumn id="9" xr3:uid="{666FA46F-20D0-4ADC-B768-BBC0C0BB3375}" uniqueName="9" name="ExcessAllocation-Reaslistic" queryTableFieldId="26"/>
    <tableColumn id="6" xr3:uid="{4C43B9EF-CBE7-482C-BDDC-8AF4EB02279E}" uniqueName="6" name="Shortage" queryTableFieldId="6"/>
    <tableColumn id="10" xr3:uid="{6DE5B5E2-B413-482B-B931-37473E42A784}" uniqueName="10" name="Shortage-Realistic" queryTableFieldId="27"/>
    <tableColumn id="7" xr3:uid="{0C4145FC-E490-4C03-8DE9-B698552F3FA9}" uniqueName="7" name="PlannedOvertime" queryTableFieldId="7"/>
    <tableColumn id="17" xr3:uid="{DCFF978F-3CB3-4005-95A0-3A48D033E208}" uniqueName="17" name="Day Name" queryTableFieldId="19" dataDxfId="9"/>
    <tableColumn id="18" xr3:uid="{3F81B64B-10B4-466C-B2A1-2E56C2C8C9D9}" uniqueName="18" name="Rates.Attribute" queryTableFieldId="21" dataDxfId="8"/>
    <tableColumn id="19" xr3:uid="{B7E605B9-3E9C-46CC-96EC-FA1B7380A5B2}" uniqueName="19" name="Rates.Value" queryTableFieldId="22"/>
    <tableColumn id="11" xr3:uid="{CBA09C3F-F159-4B66-95A0-4FBD70A4A4D1}" uniqueName="11" name="UnnecessaryAllocation$" queryTableFieldId="11"/>
    <tableColumn id="12" xr3:uid="{D77CD316-16F0-45CA-ADA1-8603AA8ACC36}" uniqueName="12" name="ShortageReplacement$" queryTableFieldId="12"/>
    <tableColumn id="13" xr3:uid="{01313F32-A6F9-456C-82B9-E69F1C4675C7}" uniqueName="13" name="Overtime$" queryTableFieldId="13"/>
    <tableColumn id="14" xr3:uid="{45C24500-F627-40A2-978D-D478DDEAFBEC}" uniqueName="14" name="InefficiencyCost"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402B85-4613-4B85-A0D4-F82D42BF8A53}" name="Table_CostPerDay" displayName="Table_CostPerDay" ref="A1:B3" tableType="queryTable" totalsRowShown="0">
  <autoFilter ref="A1:B3" xr:uid="{67402B85-4613-4B85-A0D4-F82D42BF8A53}"/>
  <tableColumns count="2">
    <tableColumn id="2" xr3:uid="{A234161E-48A1-47A4-8282-5F7D53ADA238}" uniqueName="2" name="Facility" queryTableFieldId="6"/>
    <tableColumn id="1" xr3:uid="{B1426501-2716-4211-908F-F1474325A794}" uniqueName="1" name="Count" queryTableFieldId="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3F85F4-17DF-4EA1-8A77-E4A2D558D89B}" name="Table_TargetRatebyDate" displayName="Table_TargetRatebyDate" ref="A1:B15" tableType="queryTable" totalsRowShown="0">
  <autoFilter ref="A1:B15" xr:uid="{2F3F85F4-17DF-4EA1-8A77-E4A2D558D89B}"/>
  <tableColumns count="2">
    <tableColumn id="1" xr3:uid="{737168CC-969B-46C5-A74D-2E8EF1A40EFD}" uniqueName="1" name="Date" queryTableFieldId="1" dataDxfId="15"/>
    <tableColumn id="3" xr3:uid="{34255EEE-188C-426A-9281-1B104FB09B8C}" uniqueName="3" name="TargetRate" queryTableField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2040AB-78F7-4A03-B25E-38D984DE46AF}" name="Table_SavingFacilityDay" displayName="Table_SavingFacilityDay" ref="A1:C29" tableType="queryTable" totalsRowShown="0">
  <autoFilter ref="A1:C29" xr:uid="{042040AB-78F7-4A03-B25E-38D984DE46AF}"/>
  <tableColumns count="3">
    <tableColumn id="1" xr3:uid="{92D367CC-525A-43C0-9E65-164C2ED8C263}" uniqueName="1" name="Date" queryTableFieldId="1" dataDxfId="14"/>
    <tableColumn id="2" xr3:uid="{CFAFBDD9-1E00-432F-8377-7FC875753DD0}" uniqueName="2" name="Facility" queryTableFieldId="2"/>
    <tableColumn id="3" xr3:uid="{2F2D5019-67EE-4016-8595-EDE3BA3F58D5}" uniqueName="3" name="Savings"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C4BC0F-78F6-4F98-81C8-0EBCED377C79}" name="Table_Saving" displayName="Table_Saving" ref="A1:C29" tableType="queryTable" totalsRowShown="0">
  <autoFilter ref="A1:C29" xr:uid="{E9C4BC0F-78F6-4F98-81C8-0EBCED377C79}"/>
  <tableColumns count="3">
    <tableColumn id="3" xr3:uid="{29C97FFD-C884-44ED-BBF6-05EDDA059EDE}" uniqueName="3" name="Date" queryTableFieldId="3" dataDxfId="13"/>
    <tableColumn id="1" xr3:uid="{0FEEE663-0DE4-45AC-B514-A26AC81F3322}" uniqueName="1" name="Facility" queryTableFieldId="8"/>
    <tableColumn id="4" xr3:uid="{4C9BA048-1FA5-4EA1-988B-ADD0E7F905BF}" uniqueName="4" name="Savings" queryTableField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D50C43-EB2A-4D16-8B49-70207D1F2643}" name="Table_CostAG1_1DayShiftABSummary" displayName="Table_CostAG1_1DayShiftABSummary" ref="A1:G8" tableType="queryTable" totalsRowCount="1">
  <autoFilter ref="A1:G7" xr:uid="{C3D50C43-EB2A-4D16-8B49-70207D1F2643}">
    <filterColumn colId="0">
      <filters>
        <filter val="Base"/>
      </filters>
    </filterColumn>
  </autoFilter>
  <tableColumns count="7">
    <tableColumn id="7" xr3:uid="{9243356B-F7B2-4457-8F6F-B48A184BABFC}" uniqueName="7" name="Version" queryTableFieldId="8"/>
    <tableColumn id="3" xr3:uid="{A1B82DA1-D94B-49AA-9B3F-E7363FF51344}" uniqueName="3" name="Facility" queryTableFieldId="3"/>
    <tableColumn id="1" xr3:uid="{842AD35A-1AD4-4788-B4E8-F5D7C7214194}" uniqueName="1" name="L1.1" queryTableFieldId="1" dataDxfId="7"/>
    <tableColumn id="2" xr3:uid="{879E251D-6825-40AE-A010-7147A11B88F0}" uniqueName="2" name="RoleCost" totalsRowFunction="sum" queryTableFieldId="2"/>
    <tableColumn id="4" xr3:uid="{77229F25-B5EE-47C7-AAA7-434AF0D41E02}" uniqueName="4" name="UnnecessaryAllocation" queryTableFieldId="4"/>
    <tableColumn id="5" xr3:uid="{BC5E91B1-5EB6-4BB8-B25C-0427AA4B1623}" uniqueName="5" name="Shortage Replacement" queryTableFieldId="5"/>
    <tableColumn id="6" xr3:uid="{E96F41E8-8E6E-455B-B27B-36BD9670AF07}" uniqueName="6" name="OT" queryTableFieldId="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0.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9F64-2481-4ADC-A272-6AB4769DA93D}">
  <dimension ref="A4:R49"/>
  <sheetViews>
    <sheetView workbookViewId="0">
      <selection activeCell="B20" sqref="B20"/>
    </sheetView>
  </sheetViews>
  <sheetFormatPr defaultColWidth="9.140625" defaultRowHeight="12.75" x14ac:dyDescent="0.25"/>
  <cols>
    <col min="1" max="1" width="18.5703125" style="3" customWidth="1"/>
    <col min="2" max="2" width="104.42578125" style="3" customWidth="1"/>
    <col min="3" max="3" width="12.85546875" style="3" customWidth="1"/>
    <col min="4" max="16384" width="9.140625" style="3"/>
  </cols>
  <sheetData>
    <row r="4" spans="1:5" x14ac:dyDescent="0.25">
      <c r="A4" s="4" t="s">
        <v>148</v>
      </c>
      <c r="B4" s="4" t="str" cm="1">
        <f t="array" aca="1" ref="B4" ca="1">CELL("filename",E19)</f>
        <v>https://centri001.sharepoint.com/sites/3Product/Shared Documents/AEM/Excel Template/CLIENT/DATExx/2. Calculations/Cost/[Cost..xlsx]FILEPATH</v>
      </c>
    </row>
    <row r="5" spans="1:5" x14ac:dyDescent="0.25">
      <c r="A5" s="4"/>
      <c r="B5" s="4"/>
    </row>
    <row r="6" spans="1:5" x14ac:dyDescent="0.25">
      <c r="A6" s="6" t="s">
        <v>149</v>
      </c>
      <c r="B6" s="6" t="str" cm="1">
        <f t="array" ref="B6">[2]!Client</f>
        <v>04.1 PoC</v>
      </c>
      <c r="C6" s="3" t="e">
        <f ca="1">FIND(B6,B4)</f>
        <v>#VALUE!</v>
      </c>
      <c r="E6" s="3">
        <f>LEN(B6)</f>
        <v>8</v>
      </c>
    </row>
    <row r="7" spans="1:5" x14ac:dyDescent="0.25">
      <c r="A7" s="2" t="s">
        <v>150</v>
      </c>
      <c r="B7" s="2" t="s">
        <v>151</v>
      </c>
      <c r="C7" s="3" t="e">
        <f ca="1">FIND(B7,B4)</f>
        <v>#VALUE!</v>
      </c>
      <c r="E7" s="3">
        <f>LEN(B7)</f>
        <v>11</v>
      </c>
    </row>
    <row r="8" spans="1:5" x14ac:dyDescent="0.25">
      <c r="A8" s="3" t="s">
        <v>152</v>
      </c>
      <c r="B8" s="3" t="s">
        <v>153</v>
      </c>
      <c r="C8" s="137">
        <f ca="1">FIND(B8,B4)</f>
        <v>99</v>
      </c>
      <c r="D8" s="2"/>
    </row>
    <row r="9" spans="1:5" x14ac:dyDescent="0.25">
      <c r="C9" s="3" t="e">
        <f ca="1">C8-C7</f>
        <v>#VALUE!</v>
      </c>
      <c r="D9" s="2"/>
    </row>
    <row r="10" spans="1:5" x14ac:dyDescent="0.25">
      <c r="D10" s="2"/>
    </row>
    <row r="11" spans="1:5" x14ac:dyDescent="0.25">
      <c r="A11" s="4" t="s">
        <v>154</v>
      </c>
      <c r="B11" s="2" t="s">
        <v>155</v>
      </c>
      <c r="C11" s="137" t="e">
        <f ca="1">FIND(B11,B4)</f>
        <v>#VALUE!</v>
      </c>
    </row>
    <row r="13" spans="1:5" x14ac:dyDescent="0.25">
      <c r="B13" s="7" t="e">
        <f ca="1">MID(B4,C6+2+E6+E7,C9-E7-2)</f>
        <v>#VALUE!</v>
      </c>
    </row>
    <row r="14" spans="1:5" x14ac:dyDescent="0.25">
      <c r="A14" s="2"/>
      <c r="B14" s="2" t="e">
        <f ca="1">LEFT(B13,6)</f>
        <v>#VALUE!</v>
      </c>
    </row>
    <row r="15" spans="1:5" x14ac:dyDescent="0.25">
      <c r="A15" s="4" t="s">
        <v>140</v>
      </c>
      <c r="C15" s="3" t="s">
        <v>156</v>
      </c>
    </row>
    <row r="16" spans="1:5" x14ac:dyDescent="0.25">
      <c r="A16" s="4"/>
    </row>
    <row r="17" spans="1:18" x14ac:dyDescent="0.25">
      <c r="A17" s="4"/>
    </row>
    <row r="19" spans="1:18" x14ac:dyDescent="0.25">
      <c r="A19" s="138" t="s">
        <v>157</v>
      </c>
    </row>
    <row r="20" spans="1:18" x14ac:dyDescent="0.25">
      <c r="A20" s="6" t="s">
        <v>158</v>
      </c>
      <c r="B20" s="6" t="s">
        <v>163</v>
      </c>
      <c r="C20" s="3">
        <f>LEN(B20)</f>
        <v>114</v>
      </c>
    </row>
    <row r="23" spans="1:18" x14ac:dyDescent="0.25">
      <c r="A23" s="4"/>
      <c r="B23" s="4"/>
      <c r="C23" s="3">
        <f>SUM(C20:C22)</f>
        <v>114</v>
      </c>
    </row>
    <row r="24" spans="1:18" x14ac:dyDescent="0.25">
      <c r="A24" s="4"/>
      <c r="B24" s="4"/>
    </row>
    <row r="25" spans="1:18" x14ac:dyDescent="0.25">
      <c r="A25" s="4"/>
      <c r="B25" s="4"/>
    </row>
    <row r="26" spans="1:18" x14ac:dyDescent="0.25">
      <c r="A26" s="4"/>
      <c r="B26" s="3" t="str">
        <f>B20&amp;"\"</f>
        <v>C:\Users\Alex\Centri\4. Production - Documents\WFEffectiveness\4.1.1 AGED CARE\01 Christadelphian Aged Care\240715\</v>
      </c>
    </row>
    <row r="27" spans="1:18" x14ac:dyDescent="0.25">
      <c r="A27" s="4"/>
      <c r="B27" s="4"/>
    </row>
    <row r="28" spans="1:18" ht="15" x14ac:dyDescent="0.25">
      <c r="A28" s="8"/>
      <c r="B28" s="8"/>
      <c r="M28" s="5" t="s">
        <v>45</v>
      </c>
      <c r="N28" s="5"/>
      <c r="O28" s="5"/>
      <c r="P28" s="5"/>
      <c r="Q28" s="5"/>
      <c r="R28" s="5"/>
    </row>
    <row r="29" spans="1:18" x14ac:dyDescent="0.25">
      <c r="A29" s="3" t="s">
        <v>159</v>
      </c>
      <c r="M29" s="5" t="s">
        <v>46</v>
      </c>
      <c r="N29" s="5"/>
      <c r="O29" s="5"/>
      <c r="P29" s="5"/>
      <c r="Q29" s="5"/>
      <c r="R29" s="5"/>
    </row>
    <row r="30" spans="1:18" x14ac:dyDescent="0.25">
      <c r="A30" s="9"/>
      <c r="B30" s="9"/>
      <c r="M30" s="5" t="s">
        <v>47</v>
      </c>
      <c r="N30" s="5"/>
      <c r="O30" s="5"/>
      <c r="P30" s="5"/>
      <c r="Q30" s="5"/>
      <c r="R30" s="5"/>
    </row>
    <row r="31" spans="1:18" x14ac:dyDescent="0.25">
      <c r="A31" s="2"/>
      <c r="B31" s="2"/>
      <c r="M31" s="5" t="s">
        <v>47</v>
      </c>
      <c r="N31" s="5"/>
      <c r="O31" s="5"/>
      <c r="P31" s="5"/>
      <c r="Q31" s="5"/>
      <c r="R31" s="5"/>
    </row>
    <row r="32" spans="1:18" x14ac:dyDescent="0.25">
      <c r="M32" s="5" t="s">
        <v>48</v>
      </c>
      <c r="N32" s="5"/>
      <c r="O32" s="5"/>
      <c r="P32" s="5"/>
      <c r="Q32" s="5"/>
      <c r="R32" s="5"/>
    </row>
    <row r="33" spans="2:2" x14ac:dyDescent="0.25">
      <c r="B33" s="7"/>
    </row>
    <row r="35" spans="2:2" x14ac:dyDescent="0.25">
      <c r="B35" s="3" t="s">
        <v>49</v>
      </c>
    </row>
    <row r="36" spans="2:2" x14ac:dyDescent="0.25">
      <c r="B36" s="3" t="str">
        <f>B26</f>
        <v>C:\Users\Alex\Centri\4. Production - Documents\WFEffectiveness\4.1.1 AGED CARE\01 Christadelphian Aged Care\240715\</v>
      </c>
    </row>
    <row r="49" spans="2:2" x14ac:dyDescent="0.25">
      <c r="B49" s="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2BBE-902F-4251-A7D7-D522F85D3658}">
  <dimension ref="A1:R26"/>
  <sheetViews>
    <sheetView topLeftCell="D4" zoomScale="205" zoomScaleNormal="205" workbookViewId="0">
      <selection activeCell="J18" sqref="J18"/>
    </sheetView>
  </sheetViews>
  <sheetFormatPr defaultRowHeight="15" x14ac:dyDescent="0.25"/>
  <cols>
    <col min="1" max="1" width="16" customWidth="1"/>
    <col min="3" max="3" width="12.42578125" customWidth="1"/>
    <col min="4" max="4" width="17.7109375" customWidth="1"/>
    <col min="8" max="8" width="17.28515625" customWidth="1"/>
    <col min="10" max="16" width="9.5703125" customWidth="1"/>
    <col min="17" max="17" width="14.42578125" customWidth="1"/>
    <col min="18" max="18" width="13" customWidth="1"/>
  </cols>
  <sheetData>
    <row r="1" spans="1:18" x14ac:dyDescent="0.25">
      <c r="A1" t="s">
        <v>1</v>
      </c>
      <c r="B1" t="s">
        <v>35</v>
      </c>
      <c r="C1" t="s">
        <v>36</v>
      </c>
      <c r="D1" t="s">
        <v>37</v>
      </c>
    </row>
    <row r="2" spans="1:18" x14ac:dyDescent="0.25">
      <c r="A2" t="s">
        <v>52</v>
      </c>
      <c r="B2">
        <v>23</v>
      </c>
      <c r="C2">
        <v>0.5</v>
      </c>
      <c r="D2">
        <v>0.85</v>
      </c>
    </row>
    <row r="3" spans="1:18" x14ac:dyDescent="0.25">
      <c r="A3" t="s">
        <v>53</v>
      </c>
      <c r="B3">
        <v>44</v>
      </c>
      <c r="C3">
        <v>0.5</v>
      </c>
      <c r="D3">
        <v>0.75</v>
      </c>
      <c r="O3" s="139">
        <v>1.5</v>
      </c>
      <c r="P3" s="139">
        <v>1.75</v>
      </c>
    </row>
    <row r="4" spans="1:18" x14ac:dyDescent="0.25">
      <c r="J4" t="s">
        <v>123</v>
      </c>
      <c r="O4" t="s">
        <v>135</v>
      </c>
      <c r="P4" t="s">
        <v>136</v>
      </c>
    </row>
    <row r="5" spans="1:18" x14ac:dyDescent="0.25">
      <c r="G5" t="s">
        <v>126</v>
      </c>
      <c r="H5" t="s">
        <v>13</v>
      </c>
      <c r="I5" s="10" t="s">
        <v>10</v>
      </c>
      <c r="J5">
        <v>66</v>
      </c>
      <c r="K5">
        <v>66</v>
      </c>
      <c r="L5">
        <v>66</v>
      </c>
      <c r="M5">
        <v>66</v>
      </c>
      <c r="N5">
        <v>66</v>
      </c>
      <c r="O5">
        <v>122.16</v>
      </c>
      <c r="P5">
        <v>142.53</v>
      </c>
    </row>
    <row r="6" spans="1:18" x14ac:dyDescent="0.25">
      <c r="G6" t="s">
        <v>126</v>
      </c>
      <c r="H6" t="s">
        <v>13</v>
      </c>
      <c r="I6" s="11" t="s">
        <v>12</v>
      </c>
      <c r="J6">
        <v>93</v>
      </c>
      <c r="K6">
        <v>93</v>
      </c>
      <c r="L6">
        <v>93</v>
      </c>
      <c r="M6">
        <v>93</v>
      </c>
      <c r="N6">
        <v>93</v>
      </c>
      <c r="O6">
        <v>122.16</v>
      </c>
      <c r="P6">
        <v>142.53</v>
      </c>
    </row>
    <row r="7" spans="1:18" x14ac:dyDescent="0.25">
      <c r="G7" t="s">
        <v>126</v>
      </c>
      <c r="H7" t="s">
        <v>13</v>
      </c>
      <c r="I7" s="10" t="s">
        <v>101</v>
      </c>
      <c r="J7">
        <v>95.02</v>
      </c>
      <c r="K7">
        <v>95.02</v>
      </c>
      <c r="L7">
        <v>95.02</v>
      </c>
      <c r="M7">
        <v>95.02</v>
      </c>
      <c r="N7">
        <v>95.02</v>
      </c>
      <c r="O7">
        <v>122.16</v>
      </c>
      <c r="P7">
        <v>142.53</v>
      </c>
    </row>
    <row r="8" spans="1:18" x14ac:dyDescent="0.25">
      <c r="G8" t="s">
        <v>126</v>
      </c>
      <c r="H8" t="s">
        <v>165</v>
      </c>
      <c r="I8" s="10" t="s">
        <v>10</v>
      </c>
      <c r="J8">
        <v>51.25</v>
      </c>
      <c r="K8">
        <v>51.25</v>
      </c>
      <c r="L8">
        <v>51.25</v>
      </c>
      <c r="M8">
        <v>51.25</v>
      </c>
      <c r="N8">
        <v>51.25</v>
      </c>
      <c r="O8">
        <v>73.12</v>
      </c>
      <c r="P8">
        <v>84.23</v>
      </c>
    </row>
    <row r="9" spans="1:18" x14ac:dyDescent="0.25">
      <c r="G9" t="s">
        <v>126</v>
      </c>
      <c r="H9" t="s">
        <v>165</v>
      </c>
      <c r="I9" s="11" t="s">
        <v>12</v>
      </c>
      <c r="J9">
        <v>55</v>
      </c>
      <c r="K9">
        <v>55</v>
      </c>
      <c r="L9">
        <v>55</v>
      </c>
      <c r="M9">
        <v>55</v>
      </c>
      <c r="N9">
        <v>55</v>
      </c>
      <c r="O9">
        <v>73.12</v>
      </c>
      <c r="P9">
        <v>84.23</v>
      </c>
    </row>
    <row r="10" spans="1:18" x14ac:dyDescent="0.25">
      <c r="G10" t="s">
        <v>126</v>
      </c>
      <c r="H10" t="s">
        <v>165</v>
      </c>
      <c r="I10" s="10" t="s">
        <v>101</v>
      </c>
      <c r="J10">
        <v>56.65</v>
      </c>
      <c r="K10">
        <v>56.65</v>
      </c>
      <c r="L10">
        <v>56.65</v>
      </c>
      <c r="M10">
        <v>56.65</v>
      </c>
      <c r="N10">
        <v>56.65</v>
      </c>
      <c r="O10">
        <v>73.12</v>
      </c>
      <c r="P10">
        <v>84.23</v>
      </c>
    </row>
    <row r="11" spans="1:18" x14ac:dyDescent="0.25">
      <c r="G11" t="s">
        <v>127</v>
      </c>
      <c r="H11" t="s">
        <v>13</v>
      </c>
      <c r="I11" s="10" t="s">
        <v>10</v>
      </c>
      <c r="J11">
        <v>42.88</v>
      </c>
      <c r="K11">
        <v>42.88</v>
      </c>
      <c r="L11">
        <v>42.88</v>
      </c>
      <c r="M11">
        <v>42.88</v>
      </c>
      <c r="N11">
        <v>42.88</v>
      </c>
      <c r="O11" s="140">
        <f>$O$3*J11</f>
        <v>64.320000000000007</v>
      </c>
      <c r="P11" s="140">
        <f>J11*$P$3</f>
        <v>75.040000000000006</v>
      </c>
    </row>
    <row r="12" spans="1:18" x14ac:dyDescent="0.25">
      <c r="G12" t="s">
        <v>127</v>
      </c>
      <c r="H12" t="s">
        <v>13</v>
      </c>
      <c r="I12" s="11" t="s">
        <v>12</v>
      </c>
      <c r="J12">
        <f>J11*$Q$15</f>
        <v>48.24</v>
      </c>
      <c r="K12">
        <f t="shared" ref="K12:P12" si="0">K11*$Q$15</f>
        <v>48.24</v>
      </c>
      <c r="L12">
        <f t="shared" si="0"/>
        <v>48.24</v>
      </c>
      <c r="M12">
        <f t="shared" si="0"/>
        <v>48.24</v>
      </c>
      <c r="N12">
        <f t="shared" si="0"/>
        <v>48.24</v>
      </c>
      <c r="O12">
        <f t="shared" si="0"/>
        <v>72.360000000000014</v>
      </c>
      <c r="P12">
        <f t="shared" si="0"/>
        <v>84.42</v>
      </c>
    </row>
    <row r="13" spans="1:18" x14ac:dyDescent="0.25">
      <c r="G13" t="s">
        <v>127</v>
      </c>
      <c r="H13" t="s">
        <v>13</v>
      </c>
      <c r="I13" s="10" t="s">
        <v>101</v>
      </c>
      <c r="J13">
        <f>J11*$Q$16</f>
        <v>49.311999999999998</v>
      </c>
      <c r="K13">
        <f t="shared" ref="K13:P13" si="1">K11*$Q$16</f>
        <v>49.311999999999998</v>
      </c>
      <c r="L13">
        <f t="shared" si="1"/>
        <v>49.311999999999998</v>
      </c>
      <c r="M13">
        <f t="shared" si="1"/>
        <v>49.311999999999998</v>
      </c>
      <c r="N13">
        <f t="shared" si="1"/>
        <v>49.311999999999998</v>
      </c>
      <c r="O13">
        <f t="shared" si="1"/>
        <v>73.968000000000004</v>
      </c>
      <c r="P13">
        <f t="shared" si="1"/>
        <v>86.296000000000006</v>
      </c>
    </row>
    <row r="14" spans="1:18" x14ac:dyDescent="0.25">
      <c r="G14" t="s">
        <v>127</v>
      </c>
      <c r="H14" t="s">
        <v>165</v>
      </c>
      <c r="I14" s="10" t="s">
        <v>10</v>
      </c>
      <c r="J14">
        <v>23.68</v>
      </c>
      <c r="K14">
        <v>23.68</v>
      </c>
      <c r="L14">
        <v>23.68</v>
      </c>
      <c r="M14">
        <v>23.68</v>
      </c>
      <c r="N14">
        <v>23.68</v>
      </c>
      <c r="O14" s="140">
        <f>$O$3*J14</f>
        <v>35.519999999999996</v>
      </c>
      <c r="P14" s="140">
        <f>J14*$P$3</f>
        <v>41.44</v>
      </c>
    </row>
    <row r="15" spans="1:18" x14ac:dyDescent="0.25">
      <c r="G15" t="s">
        <v>127</v>
      </c>
      <c r="H15" t="s">
        <v>165</v>
      </c>
      <c r="I15" s="11" t="s">
        <v>12</v>
      </c>
      <c r="J15" s="141">
        <f>J14*$Q$15</f>
        <v>26.64</v>
      </c>
      <c r="K15" s="141">
        <f t="shared" ref="K15:P15" si="2">K14*$Q$15</f>
        <v>26.64</v>
      </c>
      <c r="L15" s="141">
        <f t="shared" si="2"/>
        <v>26.64</v>
      </c>
      <c r="M15" s="141">
        <f t="shared" si="2"/>
        <v>26.64</v>
      </c>
      <c r="N15" s="141">
        <f t="shared" si="2"/>
        <v>26.64</v>
      </c>
      <c r="O15" s="141">
        <f t="shared" si="2"/>
        <v>39.959999999999994</v>
      </c>
      <c r="P15" s="141">
        <f t="shared" si="2"/>
        <v>46.62</v>
      </c>
      <c r="Q15" s="144">
        <v>1.125</v>
      </c>
      <c r="R15" t="s">
        <v>12</v>
      </c>
    </row>
    <row r="16" spans="1:18" x14ac:dyDescent="0.25">
      <c r="G16" t="s">
        <v>127</v>
      </c>
      <c r="H16" t="s">
        <v>165</v>
      </c>
      <c r="I16" s="10" t="s">
        <v>101</v>
      </c>
      <c r="J16" s="141">
        <f>J14*$Q$16</f>
        <v>27.231999999999999</v>
      </c>
      <c r="K16" s="141">
        <f t="shared" ref="K16:P16" si="3">K14*$Q$16</f>
        <v>27.231999999999999</v>
      </c>
      <c r="L16" s="141">
        <f t="shared" si="3"/>
        <v>27.231999999999999</v>
      </c>
      <c r="M16" s="141">
        <f t="shared" si="3"/>
        <v>27.231999999999999</v>
      </c>
      <c r="N16" s="141">
        <f t="shared" si="3"/>
        <v>27.231999999999999</v>
      </c>
      <c r="O16" s="141">
        <f t="shared" si="3"/>
        <v>40.847999999999992</v>
      </c>
      <c r="P16" s="141">
        <f t="shared" si="3"/>
        <v>47.655999999999992</v>
      </c>
      <c r="Q16" s="144">
        <v>1.1499999999999999</v>
      </c>
      <c r="R16" t="s">
        <v>101</v>
      </c>
    </row>
    <row r="17" spans="8:16" x14ac:dyDescent="0.25">
      <c r="H17" t="s">
        <v>1</v>
      </c>
      <c r="I17" t="s">
        <v>128</v>
      </c>
      <c r="J17" t="s">
        <v>130</v>
      </c>
      <c r="K17" t="s">
        <v>131</v>
      </c>
      <c r="L17" t="s">
        <v>132</v>
      </c>
      <c r="M17" t="s">
        <v>133</v>
      </c>
      <c r="N17" t="s">
        <v>134</v>
      </c>
      <c r="O17" t="s">
        <v>124</v>
      </c>
      <c r="P17" t="s">
        <v>125</v>
      </c>
    </row>
    <row r="18" spans="8:16" x14ac:dyDescent="0.25">
      <c r="H18" t="s">
        <v>53</v>
      </c>
      <c r="I18" t="s">
        <v>10</v>
      </c>
      <c r="J18" s="141">
        <f>J5-J11</f>
        <v>23.119999999999997</v>
      </c>
      <c r="K18" s="141">
        <f t="shared" ref="K18:P18" si="4">K5-K11</f>
        <v>23.119999999999997</v>
      </c>
      <c r="L18" s="141">
        <f t="shared" si="4"/>
        <v>23.119999999999997</v>
      </c>
      <c r="M18" s="141">
        <f t="shared" si="4"/>
        <v>23.119999999999997</v>
      </c>
      <c r="N18" s="141">
        <f t="shared" si="4"/>
        <v>23.119999999999997</v>
      </c>
      <c r="O18" s="141">
        <f t="shared" si="4"/>
        <v>57.839999999999989</v>
      </c>
      <c r="P18" s="141">
        <f t="shared" si="4"/>
        <v>67.489999999999995</v>
      </c>
    </row>
    <row r="19" spans="8:16" x14ac:dyDescent="0.25">
      <c r="H19" t="s">
        <v>53</v>
      </c>
      <c r="I19" t="s">
        <v>12</v>
      </c>
      <c r="J19" s="141">
        <f t="shared" ref="J19:P23" si="5">J6-J12</f>
        <v>44.76</v>
      </c>
      <c r="K19" s="141">
        <f t="shared" si="5"/>
        <v>44.76</v>
      </c>
      <c r="L19" s="141">
        <f t="shared" si="5"/>
        <v>44.76</v>
      </c>
      <c r="M19" s="141">
        <f t="shared" si="5"/>
        <v>44.76</v>
      </c>
      <c r="N19" s="141">
        <f t="shared" si="5"/>
        <v>44.76</v>
      </c>
      <c r="O19" s="141">
        <f t="shared" si="5"/>
        <v>49.799999999999983</v>
      </c>
      <c r="P19" s="141">
        <f t="shared" si="5"/>
        <v>58.11</v>
      </c>
    </row>
    <row r="20" spans="8:16" x14ac:dyDescent="0.25">
      <c r="H20" t="s">
        <v>53</v>
      </c>
      <c r="I20" t="s">
        <v>11</v>
      </c>
      <c r="J20" s="141">
        <f>J7-J13</f>
        <v>45.707999999999998</v>
      </c>
      <c r="K20" s="141">
        <f t="shared" si="5"/>
        <v>45.707999999999998</v>
      </c>
      <c r="L20" s="141">
        <f t="shared" si="5"/>
        <v>45.707999999999998</v>
      </c>
      <c r="M20" s="141">
        <f t="shared" si="5"/>
        <v>45.707999999999998</v>
      </c>
      <c r="N20" s="141">
        <f t="shared" si="5"/>
        <v>45.707999999999998</v>
      </c>
      <c r="O20" s="141">
        <f t="shared" si="5"/>
        <v>48.191999999999993</v>
      </c>
      <c r="P20" s="141">
        <f t="shared" si="5"/>
        <v>56.233999999999995</v>
      </c>
    </row>
    <row r="21" spans="8:16" x14ac:dyDescent="0.25">
      <c r="H21" t="s">
        <v>165</v>
      </c>
      <c r="I21" t="s">
        <v>10</v>
      </c>
      <c r="J21" s="141">
        <f t="shared" si="5"/>
        <v>27.57</v>
      </c>
      <c r="K21" s="141">
        <f t="shared" si="5"/>
        <v>27.57</v>
      </c>
      <c r="L21" s="141">
        <f t="shared" si="5"/>
        <v>27.57</v>
      </c>
      <c r="M21" s="141">
        <f t="shared" si="5"/>
        <v>27.57</v>
      </c>
      <c r="N21" s="141">
        <f t="shared" si="5"/>
        <v>27.57</v>
      </c>
      <c r="O21" s="141">
        <f t="shared" si="5"/>
        <v>37.600000000000009</v>
      </c>
      <c r="P21" s="141">
        <f t="shared" si="5"/>
        <v>42.790000000000006</v>
      </c>
    </row>
    <row r="22" spans="8:16" x14ac:dyDescent="0.25">
      <c r="H22" t="s">
        <v>165</v>
      </c>
      <c r="I22" t="s">
        <v>12</v>
      </c>
      <c r="J22" s="141">
        <f t="shared" si="5"/>
        <v>28.36</v>
      </c>
      <c r="K22" s="141">
        <f t="shared" si="5"/>
        <v>28.36</v>
      </c>
      <c r="L22" s="141">
        <f t="shared" si="5"/>
        <v>28.36</v>
      </c>
      <c r="M22" s="141">
        <f t="shared" si="5"/>
        <v>28.36</v>
      </c>
      <c r="N22" s="141">
        <f t="shared" si="5"/>
        <v>28.36</v>
      </c>
      <c r="O22" s="141">
        <f t="shared" si="5"/>
        <v>33.160000000000011</v>
      </c>
      <c r="P22" s="141">
        <f t="shared" si="5"/>
        <v>37.610000000000007</v>
      </c>
    </row>
    <row r="23" spans="8:16" x14ac:dyDescent="0.25">
      <c r="H23" t="s">
        <v>165</v>
      </c>
      <c r="I23" t="s">
        <v>11</v>
      </c>
      <c r="J23" s="141">
        <f t="shared" si="5"/>
        <v>29.417999999999999</v>
      </c>
      <c r="K23" s="141">
        <f t="shared" si="5"/>
        <v>29.417999999999999</v>
      </c>
      <c r="L23" s="141">
        <f t="shared" si="5"/>
        <v>29.417999999999999</v>
      </c>
      <c r="M23" s="141">
        <f t="shared" si="5"/>
        <v>29.417999999999999</v>
      </c>
      <c r="N23" s="141">
        <f t="shared" si="5"/>
        <v>29.417999999999999</v>
      </c>
      <c r="O23" s="141">
        <f t="shared" si="5"/>
        <v>32.272000000000013</v>
      </c>
      <c r="P23" s="141">
        <f t="shared" si="5"/>
        <v>36.574000000000012</v>
      </c>
    </row>
    <row r="24" spans="8:16" x14ac:dyDescent="0.25">
      <c r="H24" t="s">
        <v>210</v>
      </c>
      <c r="I24" t="s">
        <v>10</v>
      </c>
      <c r="J24" s="142">
        <f>J21</f>
        <v>27.57</v>
      </c>
      <c r="K24" s="142">
        <f t="shared" ref="K24:P24" si="6">K21</f>
        <v>27.57</v>
      </c>
      <c r="L24" s="142">
        <f t="shared" si="6"/>
        <v>27.57</v>
      </c>
      <c r="M24" s="142">
        <f t="shared" si="6"/>
        <v>27.57</v>
      </c>
      <c r="N24" s="142">
        <f t="shared" si="6"/>
        <v>27.57</v>
      </c>
      <c r="O24" s="142">
        <f t="shared" si="6"/>
        <v>37.600000000000009</v>
      </c>
      <c r="P24" s="142">
        <f t="shared" si="6"/>
        <v>42.790000000000006</v>
      </c>
    </row>
    <row r="25" spans="8:16" x14ac:dyDescent="0.25">
      <c r="H25" t="s">
        <v>210</v>
      </c>
      <c r="I25" t="s">
        <v>12</v>
      </c>
      <c r="J25" s="142">
        <f t="shared" ref="J25:P26" si="7">J22</f>
        <v>28.36</v>
      </c>
      <c r="K25" s="142">
        <f t="shared" si="7"/>
        <v>28.36</v>
      </c>
      <c r="L25" s="142">
        <f t="shared" si="7"/>
        <v>28.36</v>
      </c>
      <c r="M25" s="142">
        <f t="shared" si="7"/>
        <v>28.36</v>
      </c>
      <c r="N25" s="142">
        <f t="shared" si="7"/>
        <v>28.36</v>
      </c>
      <c r="O25" s="142">
        <f t="shared" si="7"/>
        <v>33.160000000000011</v>
      </c>
      <c r="P25" s="142">
        <f t="shared" si="7"/>
        <v>37.610000000000007</v>
      </c>
    </row>
    <row r="26" spans="8:16" x14ac:dyDescent="0.25">
      <c r="H26" t="s">
        <v>210</v>
      </c>
      <c r="I26" t="s">
        <v>11</v>
      </c>
      <c r="J26" s="142">
        <f t="shared" si="7"/>
        <v>29.417999999999999</v>
      </c>
      <c r="K26" s="142">
        <f t="shared" si="7"/>
        <v>29.417999999999999</v>
      </c>
      <c r="L26" s="142">
        <f t="shared" si="7"/>
        <v>29.417999999999999</v>
      </c>
      <c r="M26" s="142">
        <f t="shared" si="7"/>
        <v>29.417999999999999</v>
      </c>
      <c r="N26" s="142">
        <f t="shared" si="7"/>
        <v>29.417999999999999</v>
      </c>
      <c r="O26" s="142">
        <f t="shared" si="7"/>
        <v>32.272000000000013</v>
      </c>
      <c r="P26" s="142">
        <f t="shared" si="7"/>
        <v>36.574000000000012</v>
      </c>
    </row>
  </sheetData>
  <phoneticPr fontId="25" type="noConversion"/>
  <pageMargins left="0.7" right="0.7" top="0.75" bottom="0.75" header="0.3" footer="0.3"/>
  <pageSetup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3C76-498B-44E8-9E14-E59FE46B3892}">
  <dimension ref="A1:AJ253"/>
  <sheetViews>
    <sheetView topLeftCell="D1" workbookViewId="0">
      <selection activeCell="V26" sqref="V26"/>
    </sheetView>
  </sheetViews>
  <sheetFormatPr defaultRowHeight="15" x14ac:dyDescent="0.25"/>
  <cols>
    <col min="1" max="1" width="10.7109375" bestFit="1" customWidth="1"/>
    <col min="2" max="3" width="6.7109375" bestFit="1" customWidth="1"/>
    <col min="4" max="4" width="12" bestFit="1" customWidth="1"/>
    <col min="5" max="6" width="6" bestFit="1" customWidth="1"/>
    <col min="7" max="10" width="12" bestFit="1" customWidth="1"/>
    <col min="11" max="11" width="27.28515625" bestFit="1" customWidth="1"/>
    <col min="12" max="12" width="17" bestFit="1" customWidth="1"/>
    <col min="13" max="13" width="14.7109375" bestFit="1" customWidth="1"/>
    <col min="14" max="14" width="28" bestFit="1" customWidth="1"/>
    <col min="15" max="15" width="25.7109375" bestFit="1" customWidth="1"/>
    <col min="16" max="16" width="30.140625" bestFit="1" customWidth="1"/>
    <col min="17" max="17" width="26.42578125" bestFit="1" customWidth="1"/>
    <col min="18" max="18" width="17.7109375" bestFit="1" customWidth="1"/>
    <col min="19" max="19" width="15.5703125" bestFit="1" customWidth="1"/>
    <col min="20" max="20" width="41.85546875" bestFit="1" customWidth="1"/>
    <col min="21" max="21" width="23.7109375" bestFit="1" customWidth="1"/>
    <col min="22" max="22" width="19" bestFit="1" customWidth="1"/>
    <col min="23" max="23" width="16.85546875" bestFit="1" customWidth="1"/>
    <col min="24" max="24" width="21.7109375" bestFit="1" customWidth="1"/>
    <col min="25" max="25" width="19.5703125" bestFit="1" customWidth="1"/>
    <col min="26" max="26" width="22.42578125" bestFit="1" customWidth="1"/>
    <col min="27" max="27" width="9.85546875" bestFit="1" customWidth="1"/>
    <col min="28" max="28" width="20.85546875" bestFit="1" customWidth="1"/>
    <col min="29" max="29" width="25.85546875" bestFit="1" customWidth="1"/>
    <col min="30" max="30" width="14.28515625" bestFit="1" customWidth="1"/>
    <col min="31" max="31" width="9.5703125" bestFit="1" customWidth="1"/>
    <col min="32" max="32" width="17.140625" bestFit="1" customWidth="1"/>
    <col min="33" max="33" width="16.42578125" customWidth="1"/>
    <col min="34" max="34" width="29" bestFit="1" customWidth="1"/>
    <col min="35" max="35" width="8.5703125" bestFit="1" customWidth="1"/>
    <col min="36" max="36" width="10.140625" customWidth="1"/>
    <col min="37" max="37" width="8.5703125" bestFit="1" customWidth="1"/>
    <col min="38" max="38" width="32" bestFit="1" customWidth="1"/>
    <col min="39" max="39" width="21.5703125" bestFit="1" customWidth="1"/>
    <col min="40" max="40" width="19.28515625" bestFit="1" customWidth="1"/>
    <col min="41" max="41" width="32.5703125" bestFit="1" customWidth="1"/>
    <col min="42" max="42" width="30.28515625" bestFit="1" customWidth="1"/>
    <col min="43" max="43" width="34.7109375" bestFit="1" customWidth="1"/>
    <col min="44" max="44" width="31" bestFit="1" customWidth="1"/>
    <col min="45" max="45" width="22.28515625" bestFit="1" customWidth="1"/>
    <col min="46" max="46" width="20.140625" bestFit="1" customWidth="1"/>
    <col min="47" max="47" width="46.42578125" bestFit="1" customWidth="1"/>
    <col min="48" max="48" width="28.28515625" bestFit="1" customWidth="1"/>
    <col min="49" max="49" width="23.7109375" bestFit="1" customWidth="1"/>
    <col min="50" max="50" width="21.42578125" bestFit="1" customWidth="1"/>
    <col min="51" max="51" width="26.28515625" bestFit="1" customWidth="1"/>
    <col min="52" max="52" width="24.140625" bestFit="1" customWidth="1"/>
    <col min="53" max="53" width="26.42578125" bestFit="1" customWidth="1"/>
    <col min="54" max="54" width="14.28515625" bestFit="1" customWidth="1"/>
    <col min="55" max="55" width="25.42578125" bestFit="1" customWidth="1"/>
    <col min="56" max="56" width="30.42578125" bestFit="1" customWidth="1"/>
    <col min="57" max="57" width="13" bestFit="1" customWidth="1"/>
    <col min="58" max="59" width="11.140625" bestFit="1" customWidth="1"/>
  </cols>
  <sheetData>
    <row r="1" spans="1:36" x14ac:dyDescent="0.25">
      <c r="A1" t="s">
        <v>0</v>
      </c>
      <c r="B1" t="s">
        <v>14</v>
      </c>
      <c r="C1" t="s">
        <v>15</v>
      </c>
      <c r="D1" t="s">
        <v>2</v>
      </c>
      <c r="E1" t="s">
        <v>3</v>
      </c>
      <c r="F1" t="s">
        <v>4</v>
      </c>
      <c r="G1" t="s">
        <v>5</v>
      </c>
      <c r="H1" t="s">
        <v>6</v>
      </c>
      <c r="I1" t="s">
        <v>7</v>
      </c>
      <c r="J1" t="s">
        <v>8</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9</v>
      </c>
      <c r="AE1" t="s">
        <v>140</v>
      </c>
      <c r="AF1" t="s">
        <v>50</v>
      </c>
      <c r="AG1" t="s">
        <v>51</v>
      </c>
      <c r="AH1" t="s">
        <v>164</v>
      </c>
      <c r="AI1" t="s">
        <v>214</v>
      </c>
      <c r="AJ1" t="s">
        <v>160</v>
      </c>
    </row>
    <row r="2" spans="1:36" x14ac:dyDescent="0.25">
      <c r="A2" s="1">
        <v>45572</v>
      </c>
      <c r="B2" t="s">
        <v>165</v>
      </c>
      <c r="C2" t="s">
        <v>11</v>
      </c>
      <c r="D2">
        <v>5.3662728249194425</v>
      </c>
      <c r="E2">
        <v>5.6999999999999993</v>
      </c>
      <c r="F2">
        <v>5.6999999999999993</v>
      </c>
      <c r="G2">
        <v>5.7943977591036422</v>
      </c>
      <c r="H2">
        <v>1.0621897518014409</v>
      </c>
      <c r="I2">
        <v>1.0621897518014409</v>
      </c>
      <c r="J2">
        <v>1.0797806872949338</v>
      </c>
      <c r="K2">
        <v>1.7590935493492887E-2</v>
      </c>
      <c r="L2">
        <v>0</v>
      </c>
      <c r="M2">
        <v>0</v>
      </c>
      <c r="N2">
        <v>0</v>
      </c>
      <c r="O2">
        <v>0</v>
      </c>
      <c r="P2">
        <v>0</v>
      </c>
      <c r="Q2">
        <v>6.2189751801440929E-2</v>
      </c>
      <c r="R2">
        <v>0</v>
      </c>
      <c r="S2">
        <v>0</v>
      </c>
      <c r="T2">
        <v>0</v>
      </c>
      <c r="U2">
        <v>0</v>
      </c>
      <c r="V2">
        <v>0</v>
      </c>
      <c r="W2">
        <v>0</v>
      </c>
      <c r="X2">
        <v>0</v>
      </c>
      <c r="Y2">
        <v>1</v>
      </c>
      <c r="Z2">
        <v>0</v>
      </c>
      <c r="AA2">
        <v>0</v>
      </c>
      <c r="AB2">
        <v>0</v>
      </c>
      <c r="AC2">
        <v>0</v>
      </c>
      <c r="AD2">
        <v>0</v>
      </c>
      <c r="AE2" t="s">
        <v>166</v>
      </c>
      <c r="AF2">
        <v>10</v>
      </c>
      <c r="AG2" t="s">
        <v>167</v>
      </c>
      <c r="AH2">
        <v>1</v>
      </c>
      <c r="AI2">
        <v>45572</v>
      </c>
      <c r="AJ2" t="s">
        <v>168</v>
      </c>
    </row>
    <row r="3" spans="1:36" x14ac:dyDescent="0.25">
      <c r="A3" s="1">
        <v>45572</v>
      </c>
      <c r="B3" t="s">
        <v>165</v>
      </c>
      <c r="C3" t="s">
        <v>12</v>
      </c>
      <c r="D3">
        <v>11.626924453992126</v>
      </c>
      <c r="E3">
        <v>16.149999999999999</v>
      </c>
      <c r="F3">
        <v>16.149999999999999</v>
      </c>
      <c r="G3">
        <v>10.301555104800538</v>
      </c>
      <c r="H3">
        <v>1.3890173677403457</v>
      </c>
      <c r="I3">
        <v>1.3890173677403457</v>
      </c>
      <c r="J3">
        <v>0.8860086040434777</v>
      </c>
      <c r="K3">
        <v>0</v>
      </c>
      <c r="L3">
        <v>0</v>
      </c>
      <c r="M3">
        <v>0.13901736774034568</v>
      </c>
      <c r="N3">
        <v>0</v>
      </c>
      <c r="O3">
        <v>0</v>
      </c>
      <c r="P3">
        <v>0</v>
      </c>
      <c r="Q3">
        <v>0</v>
      </c>
      <c r="R3">
        <v>0</v>
      </c>
      <c r="S3">
        <v>0.25</v>
      </c>
      <c r="T3">
        <v>0</v>
      </c>
      <c r="U3">
        <v>0</v>
      </c>
      <c r="V3">
        <v>0</v>
      </c>
      <c r="W3">
        <v>0.1139913959565223</v>
      </c>
      <c r="X3">
        <v>0</v>
      </c>
      <c r="Y3">
        <v>0.8860086040434777</v>
      </c>
      <c r="Z3">
        <v>0</v>
      </c>
      <c r="AA3">
        <v>0</v>
      </c>
      <c r="AB3">
        <v>0</v>
      </c>
      <c r="AC3">
        <v>0</v>
      </c>
      <c r="AD3">
        <v>0</v>
      </c>
      <c r="AE3" t="s">
        <v>166</v>
      </c>
      <c r="AF3">
        <v>10</v>
      </c>
      <c r="AG3" t="s">
        <v>169</v>
      </c>
      <c r="AH3">
        <v>1</v>
      </c>
      <c r="AI3">
        <v>45572</v>
      </c>
      <c r="AJ3" t="s">
        <v>168</v>
      </c>
    </row>
    <row r="4" spans="1:36" x14ac:dyDescent="0.25">
      <c r="A4" s="1">
        <v>45572</v>
      </c>
      <c r="B4" t="s">
        <v>165</v>
      </c>
      <c r="C4" t="s">
        <v>10</v>
      </c>
      <c r="D4">
        <v>14.310060866451844</v>
      </c>
      <c r="E4">
        <v>13.3</v>
      </c>
      <c r="F4">
        <v>13.3</v>
      </c>
      <c r="G4">
        <v>13.775401069518708</v>
      </c>
      <c r="H4">
        <v>0.92941603282626095</v>
      </c>
      <c r="I4">
        <v>0.92941603282626095</v>
      </c>
      <c r="J4">
        <v>0.96263748967088048</v>
      </c>
      <c r="K4">
        <v>0</v>
      </c>
      <c r="L4">
        <v>0</v>
      </c>
      <c r="M4">
        <v>0</v>
      </c>
      <c r="N4">
        <v>0</v>
      </c>
      <c r="O4">
        <v>0</v>
      </c>
      <c r="P4">
        <v>0</v>
      </c>
      <c r="Q4">
        <v>0</v>
      </c>
      <c r="R4">
        <v>0</v>
      </c>
      <c r="S4">
        <v>0</v>
      </c>
      <c r="T4">
        <v>3.3221456844619524E-2</v>
      </c>
      <c r="U4">
        <v>3.7362510329119525E-2</v>
      </c>
      <c r="V4">
        <v>0</v>
      </c>
      <c r="W4">
        <v>0</v>
      </c>
      <c r="X4">
        <v>0</v>
      </c>
      <c r="Y4">
        <v>0.92941603282626095</v>
      </c>
      <c r="Z4">
        <v>0</v>
      </c>
      <c r="AA4">
        <v>0</v>
      </c>
      <c r="AB4">
        <v>0</v>
      </c>
      <c r="AC4">
        <v>0</v>
      </c>
      <c r="AD4">
        <v>0</v>
      </c>
      <c r="AE4" t="s">
        <v>166</v>
      </c>
      <c r="AF4">
        <v>10</v>
      </c>
      <c r="AG4" t="s">
        <v>170</v>
      </c>
      <c r="AH4">
        <v>1</v>
      </c>
      <c r="AI4">
        <v>45572</v>
      </c>
      <c r="AJ4" t="s">
        <v>168</v>
      </c>
    </row>
    <row r="5" spans="1:36" x14ac:dyDescent="0.25">
      <c r="A5" s="1">
        <v>45572</v>
      </c>
      <c r="B5" t="s">
        <v>165</v>
      </c>
      <c r="C5" t="s">
        <v>11</v>
      </c>
      <c r="D5">
        <v>3.5111676249447159</v>
      </c>
      <c r="E5">
        <v>9.5</v>
      </c>
      <c r="F5">
        <v>9.5</v>
      </c>
      <c r="G5">
        <v>6.7878787878787872</v>
      </c>
      <c r="H5">
        <v>2.7056526531254912</v>
      </c>
      <c r="I5">
        <v>2.7056526531254912</v>
      </c>
      <c r="J5">
        <v>1.9332255001598404</v>
      </c>
      <c r="K5">
        <v>0</v>
      </c>
      <c r="L5">
        <v>0</v>
      </c>
      <c r="M5">
        <v>0.77242715296565079</v>
      </c>
      <c r="N5">
        <v>0</v>
      </c>
      <c r="O5">
        <v>0.6832255001598404</v>
      </c>
      <c r="P5">
        <v>0</v>
      </c>
      <c r="Q5">
        <v>0.25</v>
      </c>
      <c r="R5">
        <v>0</v>
      </c>
      <c r="S5">
        <v>0</v>
      </c>
      <c r="T5">
        <v>0</v>
      </c>
      <c r="U5">
        <v>0</v>
      </c>
      <c r="V5">
        <v>0</v>
      </c>
      <c r="W5">
        <v>0</v>
      </c>
      <c r="X5">
        <v>0</v>
      </c>
      <c r="Y5">
        <v>1</v>
      </c>
      <c r="Z5">
        <v>0</v>
      </c>
      <c r="AA5">
        <v>0</v>
      </c>
      <c r="AB5">
        <v>0</v>
      </c>
      <c r="AC5">
        <v>0</v>
      </c>
      <c r="AD5">
        <v>0</v>
      </c>
      <c r="AE5" t="s">
        <v>212</v>
      </c>
      <c r="AF5">
        <v>10</v>
      </c>
      <c r="AG5" t="s">
        <v>167</v>
      </c>
      <c r="AI5">
        <v>45572</v>
      </c>
      <c r="AJ5" t="s">
        <v>168</v>
      </c>
    </row>
    <row r="6" spans="1:36" x14ac:dyDescent="0.25">
      <c r="A6" s="1">
        <v>45572</v>
      </c>
      <c r="B6" t="s">
        <v>165</v>
      </c>
      <c r="C6" t="s">
        <v>12</v>
      </c>
      <c r="D6">
        <v>12.417771069086861</v>
      </c>
      <c r="E6">
        <v>10.45</v>
      </c>
      <c r="F6">
        <v>10.45</v>
      </c>
      <c r="G6">
        <v>10.50868983957219</v>
      </c>
      <c r="H6">
        <v>0.84153588770971266</v>
      </c>
      <c r="I6">
        <v>0.84153588770971266</v>
      </c>
      <c r="J6">
        <v>0.84626216581917912</v>
      </c>
      <c r="K6">
        <v>0</v>
      </c>
      <c r="L6">
        <v>0</v>
      </c>
      <c r="M6">
        <v>0</v>
      </c>
      <c r="N6">
        <v>0</v>
      </c>
      <c r="O6">
        <v>0</v>
      </c>
      <c r="P6">
        <v>0</v>
      </c>
      <c r="Q6">
        <v>0</v>
      </c>
      <c r="R6">
        <v>0</v>
      </c>
      <c r="S6">
        <v>0</v>
      </c>
      <c r="T6">
        <v>4.7262781094664641E-3</v>
      </c>
      <c r="U6">
        <v>0.15373783418082088</v>
      </c>
      <c r="V6">
        <v>0</v>
      </c>
      <c r="W6">
        <v>0</v>
      </c>
      <c r="X6">
        <v>0</v>
      </c>
      <c r="Y6">
        <v>0.84153588770971266</v>
      </c>
      <c r="Z6">
        <v>0</v>
      </c>
      <c r="AA6">
        <v>0</v>
      </c>
      <c r="AB6">
        <v>0</v>
      </c>
      <c r="AC6">
        <v>0</v>
      </c>
      <c r="AD6">
        <v>0</v>
      </c>
      <c r="AE6" t="s">
        <v>212</v>
      </c>
      <c r="AF6">
        <v>10</v>
      </c>
      <c r="AG6" t="s">
        <v>169</v>
      </c>
      <c r="AI6">
        <v>45572</v>
      </c>
      <c r="AJ6" t="s">
        <v>168</v>
      </c>
    </row>
    <row r="7" spans="1:36" x14ac:dyDescent="0.25">
      <c r="A7" s="1">
        <v>45572</v>
      </c>
      <c r="B7" t="s">
        <v>165</v>
      </c>
      <c r="C7" t="s">
        <v>10</v>
      </c>
      <c r="D7">
        <v>14.129216521561023</v>
      </c>
      <c r="E7">
        <v>22.799999999999997</v>
      </c>
      <c r="F7">
        <v>22.799999999999997</v>
      </c>
      <c r="G7">
        <v>12.620833333333332</v>
      </c>
      <c r="H7">
        <v>1.6136775853924707</v>
      </c>
      <c r="I7">
        <v>1.6136775853924707</v>
      </c>
      <c r="J7">
        <v>0.89324367802518168</v>
      </c>
      <c r="K7">
        <v>0</v>
      </c>
      <c r="L7">
        <v>0</v>
      </c>
      <c r="M7">
        <v>0.36367758539247075</v>
      </c>
      <c r="N7">
        <v>0</v>
      </c>
      <c r="O7">
        <v>0</v>
      </c>
      <c r="P7">
        <v>0</v>
      </c>
      <c r="Q7">
        <v>0</v>
      </c>
      <c r="R7">
        <v>0</v>
      </c>
      <c r="S7">
        <v>0.25</v>
      </c>
      <c r="T7">
        <v>0</v>
      </c>
      <c r="U7">
        <v>0</v>
      </c>
      <c r="V7">
        <v>0</v>
      </c>
      <c r="W7">
        <v>0.10675632197481832</v>
      </c>
      <c r="X7">
        <v>0</v>
      </c>
      <c r="Y7">
        <v>0.89324367802518168</v>
      </c>
      <c r="Z7">
        <v>0</v>
      </c>
      <c r="AA7">
        <v>0</v>
      </c>
      <c r="AB7">
        <v>0</v>
      </c>
      <c r="AC7">
        <v>0</v>
      </c>
      <c r="AD7">
        <v>0</v>
      </c>
      <c r="AE7" t="s">
        <v>212</v>
      </c>
      <c r="AF7">
        <v>10</v>
      </c>
      <c r="AG7" t="s">
        <v>170</v>
      </c>
      <c r="AI7">
        <v>45572</v>
      </c>
      <c r="AJ7" t="s">
        <v>168</v>
      </c>
    </row>
    <row r="8" spans="1:36" x14ac:dyDescent="0.25">
      <c r="A8" s="1">
        <v>45573</v>
      </c>
      <c r="B8" t="s">
        <v>165</v>
      </c>
      <c r="C8" t="s">
        <v>11</v>
      </c>
      <c r="D8">
        <v>5.3662728249194425</v>
      </c>
      <c r="E8">
        <v>7.6</v>
      </c>
      <c r="F8">
        <v>7.6</v>
      </c>
      <c r="G8">
        <v>5.8218487394957998</v>
      </c>
      <c r="H8">
        <v>1.4162530024019213</v>
      </c>
      <c r="I8">
        <v>1.4162530024019213</v>
      </c>
      <c r="J8">
        <v>1.0848961522158904</v>
      </c>
      <c r="K8">
        <v>0</v>
      </c>
      <c r="L8">
        <v>0</v>
      </c>
      <c r="M8">
        <v>0.16625300240192131</v>
      </c>
      <c r="N8">
        <v>0</v>
      </c>
      <c r="O8">
        <v>0</v>
      </c>
      <c r="P8">
        <v>0</v>
      </c>
      <c r="Q8">
        <v>8.4896152215890419E-2</v>
      </c>
      <c r="R8">
        <v>0</v>
      </c>
      <c r="S8">
        <v>0.16510384778410958</v>
      </c>
      <c r="T8">
        <v>0</v>
      </c>
      <c r="U8">
        <v>0</v>
      </c>
      <c r="V8">
        <v>0</v>
      </c>
      <c r="W8">
        <v>0</v>
      </c>
      <c r="X8">
        <v>0</v>
      </c>
      <c r="Y8">
        <v>1</v>
      </c>
      <c r="Z8">
        <v>0</v>
      </c>
      <c r="AA8">
        <v>0</v>
      </c>
      <c r="AB8">
        <v>0</v>
      </c>
      <c r="AC8">
        <v>0</v>
      </c>
      <c r="AD8">
        <v>0</v>
      </c>
      <c r="AE8" t="s">
        <v>166</v>
      </c>
      <c r="AF8">
        <v>10</v>
      </c>
      <c r="AG8" t="s">
        <v>171</v>
      </c>
      <c r="AH8">
        <v>1</v>
      </c>
      <c r="AI8">
        <v>45573</v>
      </c>
      <c r="AJ8" t="s">
        <v>168</v>
      </c>
    </row>
    <row r="9" spans="1:36" x14ac:dyDescent="0.25">
      <c r="A9" s="1">
        <v>45573</v>
      </c>
      <c r="B9" t="s">
        <v>165</v>
      </c>
      <c r="C9" t="s">
        <v>12</v>
      </c>
      <c r="D9">
        <v>11.626924453992125</v>
      </c>
      <c r="E9">
        <v>14.25</v>
      </c>
      <c r="F9">
        <v>14.25</v>
      </c>
      <c r="G9">
        <v>10.443813387423935</v>
      </c>
      <c r="H9">
        <v>1.2256035597708934</v>
      </c>
      <c r="I9">
        <v>1.2256035597708934</v>
      </c>
      <c r="J9">
        <v>0.89824385019015363</v>
      </c>
      <c r="K9">
        <v>0</v>
      </c>
      <c r="L9">
        <v>0</v>
      </c>
      <c r="M9">
        <v>0</v>
      </c>
      <c r="N9">
        <v>0</v>
      </c>
      <c r="O9">
        <v>0</v>
      </c>
      <c r="P9">
        <v>0</v>
      </c>
      <c r="Q9">
        <v>0</v>
      </c>
      <c r="R9">
        <v>0</v>
      </c>
      <c r="S9">
        <v>0.22560355977089341</v>
      </c>
      <c r="T9">
        <v>0</v>
      </c>
      <c r="U9">
        <v>0</v>
      </c>
      <c r="V9">
        <v>0</v>
      </c>
      <c r="W9">
        <v>0.10175614980984637</v>
      </c>
      <c r="X9">
        <v>0</v>
      </c>
      <c r="Y9">
        <v>0.89824385019015363</v>
      </c>
      <c r="Z9">
        <v>0</v>
      </c>
      <c r="AA9">
        <v>0</v>
      </c>
      <c r="AB9">
        <v>0</v>
      </c>
      <c r="AC9">
        <v>0</v>
      </c>
      <c r="AD9">
        <v>0</v>
      </c>
      <c r="AE9" t="s">
        <v>166</v>
      </c>
      <c r="AF9">
        <v>10</v>
      </c>
      <c r="AG9" t="s">
        <v>172</v>
      </c>
      <c r="AH9">
        <v>1</v>
      </c>
      <c r="AI9">
        <v>45573</v>
      </c>
      <c r="AJ9" t="s">
        <v>168</v>
      </c>
    </row>
    <row r="10" spans="1:36" x14ac:dyDescent="0.25">
      <c r="A10" s="1">
        <v>45573</v>
      </c>
      <c r="B10" t="s">
        <v>165</v>
      </c>
      <c r="C10" t="s">
        <v>10</v>
      </c>
      <c r="D10">
        <v>14.310060866451844</v>
      </c>
      <c r="E10">
        <v>19.95</v>
      </c>
      <c r="F10">
        <v>19.95</v>
      </c>
      <c r="G10">
        <v>12.278380443086323</v>
      </c>
      <c r="H10">
        <v>1.3941240492393916</v>
      </c>
      <c r="I10">
        <v>1.3941240492393916</v>
      </c>
      <c r="J10">
        <v>0.85802433390562705</v>
      </c>
      <c r="K10">
        <v>0</v>
      </c>
      <c r="L10">
        <v>0</v>
      </c>
      <c r="M10">
        <v>0.14412404923939159</v>
      </c>
      <c r="N10">
        <v>0</v>
      </c>
      <c r="O10">
        <v>0</v>
      </c>
      <c r="P10">
        <v>0</v>
      </c>
      <c r="Q10">
        <v>0</v>
      </c>
      <c r="R10">
        <v>0</v>
      </c>
      <c r="S10">
        <v>0.25</v>
      </c>
      <c r="T10">
        <v>0</v>
      </c>
      <c r="U10">
        <v>0</v>
      </c>
      <c r="V10">
        <v>0</v>
      </c>
      <c r="W10">
        <v>0.14197566609437295</v>
      </c>
      <c r="X10">
        <v>0</v>
      </c>
      <c r="Y10">
        <v>0.85802433390562705</v>
      </c>
      <c r="Z10">
        <v>0</v>
      </c>
      <c r="AA10">
        <v>0</v>
      </c>
      <c r="AB10">
        <v>0</v>
      </c>
      <c r="AC10">
        <v>0</v>
      </c>
      <c r="AD10">
        <v>0</v>
      </c>
      <c r="AE10" t="s">
        <v>166</v>
      </c>
      <c r="AF10">
        <v>10</v>
      </c>
      <c r="AG10" t="s">
        <v>173</v>
      </c>
      <c r="AH10">
        <v>1</v>
      </c>
      <c r="AI10">
        <v>45573</v>
      </c>
      <c r="AJ10" t="s">
        <v>168</v>
      </c>
    </row>
    <row r="11" spans="1:36" x14ac:dyDescent="0.25">
      <c r="A11" s="1">
        <v>45573</v>
      </c>
      <c r="B11" t="s">
        <v>165</v>
      </c>
      <c r="C11" t="s">
        <v>11</v>
      </c>
      <c r="D11">
        <v>3.5111676249447159</v>
      </c>
      <c r="E11">
        <v>7.6</v>
      </c>
      <c r="F11">
        <v>7.6</v>
      </c>
      <c r="G11">
        <v>6.8163992869875214</v>
      </c>
      <c r="H11">
        <v>2.1645221225003928</v>
      </c>
      <c r="I11">
        <v>2.1645221225003928</v>
      </c>
      <c r="J11">
        <v>1.9413482963789992</v>
      </c>
      <c r="K11">
        <v>0</v>
      </c>
      <c r="L11">
        <v>0</v>
      </c>
      <c r="M11">
        <v>0.22317382612139358</v>
      </c>
      <c r="N11">
        <v>0</v>
      </c>
      <c r="O11">
        <v>0.69134829637899919</v>
      </c>
      <c r="P11">
        <v>0</v>
      </c>
      <c r="Q11">
        <v>0.25</v>
      </c>
      <c r="R11">
        <v>0</v>
      </c>
      <c r="S11">
        <v>0</v>
      </c>
      <c r="T11">
        <v>0</v>
      </c>
      <c r="U11">
        <v>0</v>
      </c>
      <c r="V11">
        <v>0</v>
      </c>
      <c r="W11">
        <v>0</v>
      </c>
      <c r="X11">
        <v>0</v>
      </c>
      <c r="Y11">
        <v>1</v>
      </c>
      <c r="Z11">
        <v>0</v>
      </c>
      <c r="AA11">
        <v>0</v>
      </c>
      <c r="AB11">
        <v>0</v>
      </c>
      <c r="AC11">
        <v>0</v>
      </c>
      <c r="AD11">
        <v>0</v>
      </c>
      <c r="AE11" t="s">
        <v>212</v>
      </c>
      <c r="AF11">
        <v>10</v>
      </c>
      <c r="AG11" t="s">
        <v>171</v>
      </c>
      <c r="AI11">
        <v>45573</v>
      </c>
      <c r="AJ11" t="s">
        <v>168</v>
      </c>
    </row>
    <row r="12" spans="1:36" x14ac:dyDescent="0.25">
      <c r="A12" s="1">
        <v>45573</v>
      </c>
      <c r="B12" t="s">
        <v>165</v>
      </c>
      <c r="C12" t="s">
        <v>12</v>
      </c>
      <c r="D12">
        <v>12.417771069086861</v>
      </c>
      <c r="E12">
        <v>8.5499999999999989</v>
      </c>
      <c r="F12">
        <v>8.5499999999999989</v>
      </c>
      <c r="G12">
        <v>10.722593582887695</v>
      </c>
      <c r="H12">
        <v>0.68852936267158305</v>
      </c>
      <c r="I12">
        <v>0.68852936267158305</v>
      </c>
      <c r="J12">
        <v>0.86348778079673361</v>
      </c>
      <c r="K12">
        <v>0</v>
      </c>
      <c r="L12">
        <v>0</v>
      </c>
      <c r="M12">
        <v>0</v>
      </c>
      <c r="N12">
        <v>0</v>
      </c>
      <c r="O12">
        <v>0</v>
      </c>
      <c r="P12">
        <v>0</v>
      </c>
      <c r="Q12">
        <v>0</v>
      </c>
      <c r="R12">
        <v>0</v>
      </c>
      <c r="S12">
        <v>0</v>
      </c>
      <c r="T12">
        <v>0.17495841812515056</v>
      </c>
      <c r="U12">
        <v>0.13651221920326639</v>
      </c>
      <c r="V12">
        <v>0</v>
      </c>
      <c r="W12">
        <v>0</v>
      </c>
      <c r="X12">
        <v>0</v>
      </c>
      <c r="Y12">
        <v>0.68852936267158305</v>
      </c>
      <c r="Z12">
        <v>0</v>
      </c>
      <c r="AA12">
        <v>0</v>
      </c>
      <c r="AB12">
        <v>0</v>
      </c>
      <c r="AC12">
        <v>0</v>
      </c>
      <c r="AD12">
        <v>0</v>
      </c>
      <c r="AE12" t="s">
        <v>212</v>
      </c>
      <c r="AF12">
        <v>10</v>
      </c>
      <c r="AG12" t="s">
        <v>172</v>
      </c>
      <c r="AI12">
        <v>45573</v>
      </c>
      <c r="AJ12" t="s">
        <v>168</v>
      </c>
    </row>
    <row r="13" spans="1:36" x14ac:dyDescent="0.25">
      <c r="A13" s="1">
        <v>45573</v>
      </c>
      <c r="B13" t="s">
        <v>165</v>
      </c>
      <c r="C13" t="s">
        <v>10</v>
      </c>
      <c r="D13">
        <v>14.129216521561023</v>
      </c>
      <c r="E13">
        <v>23.75</v>
      </c>
      <c r="F13">
        <v>23.75</v>
      </c>
      <c r="G13">
        <v>12.040441176470583</v>
      </c>
      <c r="H13">
        <v>1.6809141514504906</v>
      </c>
      <c r="I13">
        <v>1.6809141514504906</v>
      </c>
      <c r="J13">
        <v>0.85216623003101466</v>
      </c>
      <c r="K13">
        <v>0</v>
      </c>
      <c r="L13">
        <v>0</v>
      </c>
      <c r="M13">
        <v>0.43091415145049061</v>
      </c>
      <c r="N13">
        <v>0</v>
      </c>
      <c r="O13">
        <v>0</v>
      </c>
      <c r="P13">
        <v>0</v>
      </c>
      <c r="Q13">
        <v>0</v>
      </c>
      <c r="R13">
        <v>0</v>
      </c>
      <c r="S13">
        <v>0.25</v>
      </c>
      <c r="T13">
        <v>0</v>
      </c>
      <c r="U13">
        <v>0</v>
      </c>
      <c r="V13">
        <v>0</v>
      </c>
      <c r="W13">
        <v>0.14783376996898534</v>
      </c>
      <c r="X13">
        <v>0</v>
      </c>
      <c r="Y13">
        <v>0.85216623003101466</v>
      </c>
      <c r="Z13">
        <v>0</v>
      </c>
      <c r="AA13">
        <v>0</v>
      </c>
      <c r="AB13">
        <v>0</v>
      </c>
      <c r="AC13">
        <v>0</v>
      </c>
      <c r="AD13">
        <v>0</v>
      </c>
      <c r="AE13" t="s">
        <v>212</v>
      </c>
      <c r="AF13">
        <v>10</v>
      </c>
      <c r="AG13" t="s">
        <v>173</v>
      </c>
      <c r="AI13">
        <v>45573</v>
      </c>
      <c r="AJ13" t="s">
        <v>168</v>
      </c>
    </row>
    <row r="14" spans="1:36" x14ac:dyDescent="0.25">
      <c r="A14" s="1">
        <v>45574</v>
      </c>
      <c r="B14" t="s">
        <v>165</v>
      </c>
      <c r="C14" t="s">
        <v>12</v>
      </c>
      <c r="D14">
        <v>11.626924453992125</v>
      </c>
      <c r="E14">
        <v>16.149999999999999</v>
      </c>
      <c r="F14">
        <v>16.149999999999999</v>
      </c>
      <c r="G14">
        <v>11.483222254419006</v>
      </c>
      <c r="H14">
        <v>1.3890173677403459</v>
      </c>
      <c r="I14">
        <v>1.3890173677403459</v>
      </c>
      <c r="J14">
        <v>0.98764056650219501</v>
      </c>
      <c r="K14">
        <v>0</v>
      </c>
      <c r="L14">
        <v>0</v>
      </c>
      <c r="M14">
        <v>0.1390173677403459</v>
      </c>
      <c r="N14">
        <v>0</v>
      </c>
      <c r="O14">
        <v>0</v>
      </c>
      <c r="P14">
        <v>0</v>
      </c>
      <c r="Q14">
        <v>0</v>
      </c>
      <c r="R14">
        <v>0</v>
      </c>
      <c r="S14">
        <v>0.25</v>
      </c>
      <c r="T14">
        <v>0</v>
      </c>
      <c r="U14">
        <v>0</v>
      </c>
      <c r="V14">
        <v>0</v>
      </c>
      <c r="W14">
        <v>1.2359433497804995E-2</v>
      </c>
      <c r="X14">
        <v>0</v>
      </c>
      <c r="Y14">
        <v>0.98764056650219501</v>
      </c>
      <c r="Z14">
        <v>0</v>
      </c>
      <c r="AA14">
        <v>0</v>
      </c>
      <c r="AB14">
        <v>0</v>
      </c>
      <c r="AC14">
        <v>0</v>
      </c>
      <c r="AD14">
        <v>0</v>
      </c>
      <c r="AE14" t="s">
        <v>166</v>
      </c>
      <c r="AF14">
        <v>10</v>
      </c>
      <c r="AG14" t="s">
        <v>174</v>
      </c>
      <c r="AH14">
        <v>1</v>
      </c>
      <c r="AI14">
        <v>45574</v>
      </c>
      <c r="AJ14" t="s">
        <v>168</v>
      </c>
    </row>
    <row r="15" spans="1:36" x14ac:dyDescent="0.25">
      <c r="A15" s="1">
        <v>45574</v>
      </c>
      <c r="B15" t="s">
        <v>165</v>
      </c>
      <c r="C15" t="s">
        <v>10</v>
      </c>
      <c r="D15">
        <v>14.310060866451844</v>
      </c>
      <c r="E15">
        <v>16.149999999999999</v>
      </c>
      <c r="F15">
        <v>16.149999999999999</v>
      </c>
      <c r="G15">
        <v>12.4558696205755</v>
      </c>
      <c r="H15">
        <v>1.1285766112890312</v>
      </c>
      <c r="I15">
        <v>1.1285766112890312</v>
      </c>
      <c r="J15">
        <v>0.8704274382072501</v>
      </c>
      <c r="K15">
        <v>0</v>
      </c>
      <c r="L15">
        <v>0</v>
      </c>
      <c r="M15">
        <v>0</v>
      </c>
      <c r="N15">
        <v>0</v>
      </c>
      <c r="O15">
        <v>0</v>
      </c>
      <c r="P15">
        <v>0</v>
      </c>
      <c r="Q15">
        <v>0</v>
      </c>
      <c r="R15">
        <v>0</v>
      </c>
      <c r="S15">
        <v>0.1285766112890312</v>
      </c>
      <c r="T15">
        <v>0</v>
      </c>
      <c r="U15">
        <v>0</v>
      </c>
      <c r="V15">
        <v>0</v>
      </c>
      <c r="W15">
        <v>0.1295725617927499</v>
      </c>
      <c r="X15">
        <v>0</v>
      </c>
      <c r="Y15">
        <v>0.8704274382072501</v>
      </c>
      <c r="Z15">
        <v>0</v>
      </c>
      <c r="AA15">
        <v>0</v>
      </c>
      <c r="AB15">
        <v>0</v>
      </c>
      <c r="AC15">
        <v>0</v>
      </c>
      <c r="AD15">
        <v>0</v>
      </c>
      <c r="AE15" t="s">
        <v>166</v>
      </c>
      <c r="AF15">
        <v>10</v>
      </c>
      <c r="AG15" t="s">
        <v>175</v>
      </c>
      <c r="AH15">
        <v>1</v>
      </c>
      <c r="AI15">
        <v>45574</v>
      </c>
      <c r="AJ15" t="s">
        <v>168</v>
      </c>
    </row>
    <row r="16" spans="1:36" x14ac:dyDescent="0.25">
      <c r="A16" s="1">
        <v>45574</v>
      </c>
      <c r="B16" t="s">
        <v>165</v>
      </c>
      <c r="C16" t="s">
        <v>11</v>
      </c>
      <c r="D16">
        <v>5.3662728249194425</v>
      </c>
      <c r="E16">
        <v>6.6499999999999995</v>
      </c>
      <c r="F16">
        <v>6.6499999999999995</v>
      </c>
      <c r="G16">
        <v>5.8218487394957998</v>
      </c>
      <c r="H16">
        <v>1.2392213771016811</v>
      </c>
      <c r="I16">
        <v>1.2392213771016811</v>
      </c>
      <c r="J16">
        <v>1.0848961522158904</v>
      </c>
      <c r="K16">
        <v>0</v>
      </c>
      <c r="L16">
        <v>0</v>
      </c>
      <c r="M16">
        <v>0</v>
      </c>
      <c r="N16">
        <v>0</v>
      </c>
      <c r="O16">
        <v>0</v>
      </c>
      <c r="P16">
        <v>0</v>
      </c>
      <c r="Q16">
        <v>8.4896152215890419E-2</v>
      </c>
      <c r="R16">
        <v>0</v>
      </c>
      <c r="S16">
        <v>0.1543252248857907</v>
      </c>
      <c r="T16">
        <v>0</v>
      </c>
      <c r="U16">
        <v>0</v>
      </c>
      <c r="V16">
        <v>0</v>
      </c>
      <c r="W16">
        <v>0</v>
      </c>
      <c r="X16">
        <v>0</v>
      </c>
      <c r="Y16">
        <v>1</v>
      </c>
      <c r="Z16">
        <v>0</v>
      </c>
      <c r="AA16">
        <v>0</v>
      </c>
      <c r="AB16">
        <v>0</v>
      </c>
      <c r="AC16">
        <v>0</v>
      </c>
      <c r="AD16">
        <v>0</v>
      </c>
      <c r="AE16" t="s">
        <v>166</v>
      </c>
      <c r="AF16">
        <v>10</v>
      </c>
      <c r="AG16" t="s">
        <v>176</v>
      </c>
      <c r="AH16">
        <v>1</v>
      </c>
      <c r="AI16">
        <v>45574</v>
      </c>
      <c r="AJ16" t="s">
        <v>168</v>
      </c>
    </row>
    <row r="17" spans="1:36" x14ac:dyDescent="0.25">
      <c r="A17" s="1">
        <v>45574</v>
      </c>
      <c r="B17" t="s">
        <v>165</v>
      </c>
      <c r="C17" t="s">
        <v>12</v>
      </c>
      <c r="D17">
        <v>12.417771069086861</v>
      </c>
      <c r="E17">
        <v>11.4</v>
      </c>
      <c r="F17">
        <v>11.4</v>
      </c>
      <c r="G17">
        <v>10.56550802139037</v>
      </c>
      <c r="H17">
        <v>0.91803915022877747</v>
      </c>
      <c r="I17">
        <v>0.91803915022877747</v>
      </c>
      <c r="J17">
        <v>0.85083771979759193</v>
      </c>
      <c r="K17">
        <v>0</v>
      </c>
      <c r="L17">
        <v>0</v>
      </c>
      <c r="M17">
        <v>0</v>
      </c>
      <c r="N17">
        <v>0</v>
      </c>
      <c r="O17">
        <v>0</v>
      </c>
      <c r="P17">
        <v>0</v>
      </c>
      <c r="Q17">
        <v>0</v>
      </c>
      <c r="R17">
        <v>0</v>
      </c>
      <c r="S17">
        <v>0</v>
      </c>
      <c r="T17">
        <v>0</v>
      </c>
      <c r="U17">
        <v>8.1960849771222533E-2</v>
      </c>
      <c r="V17">
        <v>0</v>
      </c>
      <c r="W17">
        <v>6.7201430431185538E-2</v>
      </c>
      <c r="X17">
        <v>0</v>
      </c>
      <c r="Y17">
        <v>0.85083771979759193</v>
      </c>
      <c r="Z17">
        <v>0</v>
      </c>
      <c r="AA17">
        <v>0</v>
      </c>
      <c r="AB17">
        <v>0</v>
      </c>
      <c r="AC17">
        <v>0</v>
      </c>
      <c r="AD17">
        <v>0</v>
      </c>
      <c r="AE17" t="s">
        <v>212</v>
      </c>
      <c r="AF17">
        <v>10</v>
      </c>
      <c r="AG17" t="s">
        <v>174</v>
      </c>
      <c r="AI17">
        <v>45574</v>
      </c>
      <c r="AJ17" t="s">
        <v>168</v>
      </c>
    </row>
    <row r="18" spans="1:36" x14ac:dyDescent="0.25">
      <c r="A18" s="1">
        <v>45574</v>
      </c>
      <c r="B18" t="s">
        <v>165</v>
      </c>
      <c r="C18" t="s">
        <v>10</v>
      </c>
      <c r="D18">
        <v>14.129216521561023</v>
      </c>
      <c r="E18">
        <v>22.799999999999997</v>
      </c>
      <c r="F18">
        <v>22.799999999999997</v>
      </c>
      <c r="G18">
        <v>12.177941176470586</v>
      </c>
      <c r="H18">
        <v>1.6136775853924707</v>
      </c>
      <c r="I18">
        <v>1.6136775853924707</v>
      </c>
      <c r="J18">
        <v>0.86189783827625455</v>
      </c>
      <c r="K18">
        <v>0</v>
      </c>
      <c r="L18">
        <v>0</v>
      </c>
      <c r="M18">
        <v>0.36367758539247075</v>
      </c>
      <c r="N18">
        <v>0</v>
      </c>
      <c r="O18">
        <v>0</v>
      </c>
      <c r="P18">
        <v>0</v>
      </c>
      <c r="Q18">
        <v>0</v>
      </c>
      <c r="R18">
        <v>0</v>
      </c>
      <c r="S18">
        <v>0.25</v>
      </c>
      <c r="T18">
        <v>0</v>
      </c>
      <c r="U18">
        <v>0</v>
      </c>
      <c r="V18">
        <v>0</v>
      </c>
      <c r="W18">
        <v>0.13810216172374545</v>
      </c>
      <c r="X18">
        <v>0</v>
      </c>
      <c r="Y18">
        <v>0.86189783827625455</v>
      </c>
      <c r="Z18">
        <v>0</v>
      </c>
      <c r="AA18">
        <v>0</v>
      </c>
      <c r="AB18">
        <v>0</v>
      </c>
      <c r="AC18">
        <v>0</v>
      </c>
      <c r="AD18">
        <v>0</v>
      </c>
      <c r="AE18" t="s">
        <v>212</v>
      </c>
      <c r="AF18">
        <v>10</v>
      </c>
      <c r="AG18" t="s">
        <v>175</v>
      </c>
      <c r="AI18">
        <v>45574</v>
      </c>
      <c r="AJ18" t="s">
        <v>168</v>
      </c>
    </row>
    <row r="19" spans="1:36" x14ac:dyDescent="0.25">
      <c r="A19" s="1">
        <v>45574</v>
      </c>
      <c r="B19" t="s">
        <v>165</v>
      </c>
      <c r="C19" t="s">
        <v>11</v>
      </c>
      <c r="D19">
        <v>3.5111676249447159</v>
      </c>
      <c r="E19">
        <v>5.6999999999999993</v>
      </c>
      <c r="F19">
        <v>5.6999999999999993</v>
      </c>
      <c r="G19">
        <v>7.7290552584670227</v>
      </c>
      <c r="H19">
        <v>1.6233915918752946</v>
      </c>
      <c r="I19">
        <v>1.6233915918752946</v>
      </c>
      <c r="J19">
        <v>2.2012777753920871</v>
      </c>
      <c r="K19">
        <v>0.57788618351679255</v>
      </c>
      <c r="L19">
        <v>0</v>
      </c>
      <c r="M19">
        <v>0</v>
      </c>
      <c r="N19">
        <v>0</v>
      </c>
      <c r="O19">
        <v>0.37339159187529458</v>
      </c>
      <c r="P19">
        <v>0</v>
      </c>
      <c r="Q19">
        <v>0.25</v>
      </c>
      <c r="R19">
        <v>0</v>
      </c>
      <c r="S19">
        <v>0</v>
      </c>
      <c r="T19">
        <v>0</v>
      </c>
      <c r="U19">
        <v>0</v>
      </c>
      <c r="V19">
        <v>0</v>
      </c>
      <c r="W19">
        <v>0</v>
      </c>
      <c r="X19">
        <v>0</v>
      </c>
      <c r="Y19">
        <v>1</v>
      </c>
      <c r="Z19">
        <v>0</v>
      </c>
      <c r="AA19">
        <v>0</v>
      </c>
      <c r="AB19">
        <v>0</v>
      </c>
      <c r="AC19">
        <v>0</v>
      </c>
      <c r="AD19">
        <v>0</v>
      </c>
      <c r="AE19" t="s">
        <v>212</v>
      </c>
      <c r="AF19">
        <v>10</v>
      </c>
      <c r="AG19" t="s">
        <v>176</v>
      </c>
      <c r="AI19">
        <v>45574</v>
      </c>
      <c r="AJ19" t="s">
        <v>168</v>
      </c>
    </row>
    <row r="20" spans="1:36" x14ac:dyDescent="0.25">
      <c r="A20" s="1">
        <v>45575</v>
      </c>
      <c r="B20" t="s">
        <v>165</v>
      </c>
      <c r="C20" t="s">
        <v>11</v>
      </c>
      <c r="D20">
        <v>5.3662728249194425</v>
      </c>
      <c r="E20">
        <v>5.6999999999999993</v>
      </c>
      <c r="F20">
        <v>5.6999999999999993</v>
      </c>
      <c r="G20">
        <v>5.7669467787114854</v>
      </c>
      <c r="H20">
        <v>1.0621897518014409</v>
      </c>
      <c r="I20">
        <v>1.0621897518014409</v>
      </c>
      <c r="J20">
        <v>1.0746652223739777</v>
      </c>
      <c r="K20">
        <v>1.2475470572536729E-2</v>
      </c>
      <c r="L20">
        <v>0</v>
      </c>
      <c r="M20">
        <v>0</v>
      </c>
      <c r="N20">
        <v>0</v>
      </c>
      <c r="O20">
        <v>0</v>
      </c>
      <c r="P20">
        <v>0</v>
      </c>
      <c r="Q20">
        <v>6.2189751801440929E-2</v>
      </c>
      <c r="R20">
        <v>0</v>
      </c>
      <c r="S20">
        <v>0</v>
      </c>
      <c r="T20">
        <v>0</v>
      </c>
      <c r="U20">
        <v>0</v>
      </c>
      <c r="V20">
        <v>0</v>
      </c>
      <c r="W20">
        <v>0</v>
      </c>
      <c r="X20">
        <v>0</v>
      </c>
      <c r="Y20">
        <v>1</v>
      </c>
      <c r="Z20">
        <v>0</v>
      </c>
      <c r="AA20">
        <v>0</v>
      </c>
      <c r="AB20">
        <v>0</v>
      </c>
      <c r="AC20">
        <v>0</v>
      </c>
      <c r="AD20">
        <v>0</v>
      </c>
      <c r="AE20" t="s">
        <v>166</v>
      </c>
      <c r="AF20">
        <v>10</v>
      </c>
      <c r="AG20" t="s">
        <v>177</v>
      </c>
      <c r="AH20">
        <v>1</v>
      </c>
      <c r="AI20">
        <v>45575</v>
      </c>
      <c r="AJ20" t="s">
        <v>168</v>
      </c>
    </row>
    <row r="21" spans="1:36" x14ac:dyDescent="0.25">
      <c r="A21" s="1">
        <v>45575</v>
      </c>
      <c r="B21" t="s">
        <v>165</v>
      </c>
      <c r="C21" t="s">
        <v>12</v>
      </c>
      <c r="D21">
        <v>11.626924453992126</v>
      </c>
      <c r="E21">
        <v>14.25</v>
      </c>
      <c r="F21">
        <v>14.25</v>
      </c>
      <c r="G21">
        <v>10.094388100067611</v>
      </c>
      <c r="H21">
        <v>1.2256035597708932</v>
      </c>
      <c r="I21">
        <v>1.2256035597708932</v>
      </c>
      <c r="J21">
        <v>0.86819073608082864</v>
      </c>
      <c r="K21">
        <v>0</v>
      </c>
      <c r="L21">
        <v>0</v>
      </c>
      <c r="M21">
        <v>0</v>
      </c>
      <c r="N21">
        <v>0</v>
      </c>
      <c r="O21">
        <v>0</v>
      </c>
      <c r="P21">
        <v>0</v>
      </c>
      <c r="Q21">
        <v>0</v>
      </c>
      <c r="R21">
        <v>0</v>
      </c>
      <c r="S21">
        <v>0.22560355977089319</v>
      </c>
      <c r="T21">
        <v>0</v>
      </c>
      <c r="U21">
        <v>0</v>
      </c>
      <c r="V21">
        <v>0</v>
      </c>
      <c r="W21">
        <v>0.13180926391917136</v>
      </c>
      <c r="X21">
        <v>0</v>
      </c>
      <c r="Y21">
        <v>0.86819073608082864</v>
      </c>
      <c r="Z21">
        <v>0</v>
      </c>
      <c r="AA21">
        <v>0</v>
      </c>
      <c r="AB21">
        <v>0</v>
      </c>
      <c r="AC21">
        <v>0</v>
      </c>
      <c r="AD21">
        <v>0</v>
      </c>
      <c r="AE21" t="s">
        <v>166</v>
      </c>
      <c r="AF21">
        <v>10</v>
      </c>
      <c r="AG21" t="s">
        <v>178</v>
      </c>
      <c r="AH21">
        <v>1</v>
      </c>
      <c r="AI21">
        <v>45575</v>
      </c>
      <c r="AJ21" t="s">
        <v>168</v>
      </c>
    </row>
    <row r="22" spans="1:36" x14ac:dyDescent="0.25">
      <c r="A22" s="1">
        <v>45575</v>
      </c>
      <c r="B22" t="s">
        <v>165</v>
      </c>
      <c r="C22" t="s">
        <v>10</v>
      </c>
      <c r="D22">
        <v>14.310060866451844</v>
      </c>
      <c r="E22">
        <v>18.05</v>
      </c>
      <c r="F22">
        <v>18.05</v>
      </c>
      <c r="G22">
        <v>10.823834988540863</v>
      </c>
      <c r="H22">
        <v>1.2613503302642115</v>
      </c>
      <c r="I22">
        <v>1.2613503302642115</v>
      </c>
      <c r="J22">
        <v>0.75637938158012985</v>
      </c>
      <c r="K22">
        <v>0</v>
      </c>
      <c r="L22">
        <v>0</v>
      </c>
      <c r="M22">
        <v>1.1350330264211506E-2</v>
      </c>
      <c r="N22">
        <v>0</v>
      </c>
      <c r="O22">
        <v>0</v>
      </c>
      <c r="P22">
        <v>0</v>
      </c>
      <c r="Q22">
        <v>0</v>
      </c>
      <c r="R22">
        <v>0</v>
      </c>
      <c r="S22">
        <v>0.25</v>
      </c>
      <c r="T22">
        <v>0</v>
      </c>
      <c r="U22">
        <v>0</v>
      </c>
      <c r="V22">
        <v>0</v>
      </c>
      <c r="W22">
        <v>0.24362061841987015</v>
      </c>
      <c r="X22">
        <v>0</v>
      </c>
      <c r="Y22">
        <v>0.75637938158012985</v>
      </c>
      <c r="Z22">
        <v>0</v>
      </c>
      <c r="AA22">
        <v>0</v>
      </c>
      <c r="AB22">
        <v>0</v>
      </c>
      <c r="AC22">
        <v>0</v>
      </c>
      <c r="AD22">
        <v>0</v>
      </c>
      <c r="AE22" t="s">
        <v>166</v>
      </c>
      <c r="AF22">
        <v>10</v>
      </c>
      <c r="AG22" t="s">
        <v>179</v>
      </c>
      <c r="AH22">
        <v>1</v>
      </c>
      <c r="AI22">
        <v>45575</v>
      </c>
      <c r="AJ22" t="s">
        <v>168</v>
      </c>
    </row>
    <row r="23" spans="1:36" x14ac:dyDescent="0.25">
      <c r="A23" s="1">
        <v>45575</v>
      </c>
      <c r="B23" t="s">
        <v>165</v>
      </c>
      <c r="C23" t="s">
        <v>11</v>
      </c>
      <c r="D23">
        <v>3.5111676249447159</v>
      </c>
      <c r="E23">
        <v>6.6499999999999995</v>
      </c>
      <c r="F23">
        <v>6.6499999999999995</v>
      </c>
      <c r="G23">
        <v>5.8181818181818183</v>
      </c>
      <c r="H23">
        <v>1.8939568571878436</v>
      </c>
      <c r="I23">
        <v>1.8939568571878436</v>
      </c>
      <c r="J23">
        <v>1.6570504287084349</v>
      </c>
      <c r="K23">
        <v>0</v>
      </c>
      <c r="L23">
        <v>0</v>
      </c>
      <c r="M23">
        <v>0.23690642847940868</v>
      </c>
      <c r="N23">
        <v>0</v>
      </c>
      <c r="O23">
        <v>0.40705042870843489</v>
      </c>
      <c r="P23">
        <v>0</v>
      </c>
      <c r="Q23">
        <v>0.25</v>
      </c>
      <c r="R23">
        <v>0</v>
      </c>
      <c r="S23">
        <v>0</v>
      </c>
      <c r="T23">
        <v>0</v>
      </c>
      <c r="U23">
        <v>0</v>
      </c>
      <c r="V23">
        <v>0</v>
      </c>
      <c r="W23">
        <v>0</v>
      </c>
      <c r="X23">
        <v>0</v>
      </c>
      <c r="Y23">
        <v>1</v>
      </c>
      <c r="Z23">
        <v>0</v>
      </c>
      <c r="AA23">
        <v>0</v>
      </c>
      <c r="AB23">
        <v>0</v>
      </c>
      <c r="AC23">
        <v>0</v>
      </c>
      <c r="AD23">
        <v>0</v>
      </c>
      <c r="AE23" t="s">
        <v>212</v>
      </c>
      <c r="AF23">
        <v>10</v>
      </c>
      <c r="AG23" t="s">
        <v>177</v>
      </c>
      <c r="AI23">
        <v>45575</v>
      </c>
      <c r="AJ23" t="s">
        <v>168</v>
      </c>
    </row>
    <row r="24" spans="1:36" x14ac:dyDescent="0.25">
      <c r="A24" s="1">
        <v>45575</v>
      </c>
      <c r="B24" t="s">
        <v>165</v>
      </c>
      <c r="C24" t="s">
        <v>12</v>
      </c>
      <c r="D24">
        <v>12.417771069086861</v>
      </c>
      <c r="E24">
        <v>14.25</v>
      </c>
      <c r="F24">
        <v>14.25</v>
      </c>
      <c r="G24">
        <v>10.351604278074864</v>
      </c>
      <c r="H24">
        <v>1.147548937785972</v>
      </c>
      <c r="I24">
        <v>1.147548937785972</v>
      </c>
      <c r="J24">
        <v>0.83361210482003745</v>
      </c>
      <c r="K24">
        <v>0</v>
      </c>
      <c r="L24">
        <v>0</v>
      </c>
      <c r="M24">
        <v>0</v>
      </c>
      <c r="N24">
        <v>0</v>
      </c>
      <c r="O24">
        <v>0</v>
      </c>
      <c r="P24">
        <v>0</v>
      </c>
      <c r="Q24">
        <v>0</v>
      </c>
      <c r="R24">
        <v>0</v>
      </c>
      <c r="S24">
        <v>0.147548937785972</v>
      </c>
      <c r="T24">
        <v>0</v>
      </c>
      <c r="U24">
        <v>0</v>
      </c>
      <c r="V24">
        <v>0</v>
      </c>
      <c r="W24">
        <v>0.16638789517996255</v>
      </c>
      <c r="X24">
        <v>0</v>
      </c>
      <c r="Y24">
        <v>0.83361210482003745</v>
      </c>
      <c r="Z24">
        <v>0</v>
      </c>
      <c r="AA24">
        <v>0</v>
      </c>
      <c r="AB24">
        <v>0</v>
      </c>
      <c r="AC24">
        <v>0</v>
      </c>
      <c r="AD24">
        <v>0</v>
      </c>
      <c r="AE24" t="s">
        <v>212</v>
      </c>
      <c r="AF24">
        <v>10</v>
      </c>
      <c r="AG24" t="s">
        <v>178</v>
      </c>
      <c r="AI24">
        <v>45575</v>
      </c>
      <c r="AJ24" t="s">
        <v>168</v>
      </c>
    </row>
    <row r="25" spans="1:36" x14ac:dyDescent="0.25">
      <c r="A25" s="1">
        <v>45575</v>
      </c>
      <c r="B25" t="s">
        <v>165</v>
      </c>
      <c r="C25" t="s">
        <v>10</v>
      </c>
      <c r="D25">
        <v>14.12921652156102</v>
      </c>
      <c r="E25">
        <v>18.05</v>
      </c>
      <c r="F25">
        <v>18.05</v>
      </c>
      <c r="G25">
        <v>13.875980392156862</v>
      </c>
      <c r="H25">
        <v>1.2774947551023732</v>
      </c>
      <c r="I25">
        <v>1.2774947551023732</v>
      </c>
      <c r="J25">
        <v>0.98207712869162123</v>
      </c>
      <c r="K25">
        <v>0</v>
      </c>
      <c r="L25">
        <v>0</v>
      </c>
      <c r="M25">
        <v>2.7494755102373203E-2</v>
      </c>
      <c r="N25">
        <v>0</v>
      </c>
      <c r="O25">
        <v>0</v>
      </c>
      <c r="P25">
        <v>0</v>
      </c>
      <c r="Q25">
        <v>0</v>
      </c>
      <c r="R25">
        <v>0</v>
      </c>
      <c r="S25">
        <v>0.25</v>
      </c>
      <c r="T25">
        <v>0</v>
      </c>
      <c r="U25">
        <v>0</v>
      </c>
      <c r="V25">
        <v>0</v>
      </c>
      <c r="W25">
        <v>1.7922871308378774E-2</v>
      </c>
      <c r="X25">
        <v>0</v>
      </c>
      <c r="Y25">
        <v>0.98207712869162123</v>
      </c>
      <c r="Z25">
        <v>0</v>
      </c>
      <c r="AA25">
        <v>0</v>
      </c>
      <c r="AB25">
        <v>0</v>
      </c>
      <c r="AC25">
        <v>0</v>
      </c>
      <c r="AD25">
        <v>0</v>
      </c>
      <c r="AE25" t="s">
        <v>212</v>
      </c>
      <c r="AF25">
        <v>10</v>
      </c>
      <c r="AG25" t="s">
        <v>179</v>
      </c>
      <c r="AI25">
        <v>45575</v>
      </c>
      <c r="AJ25" t="s">
        <v>168</v>
      </c>
    </row>
    <row r="26" spans="1:36" x14ac:dyDescent="0.25">
      <c r="A26" s="1">
        <v>45576</v>
      </c>
      <c r="B26" t="s">
        <v>165</v>
      </c>
      <c r="C26" t="s">
        <v>10</v>
      </c>
      <c r="D26">
        <v>14.310060866451844</v>
      </c>
      <c r="E26">
        <v>19</v>
      </c>
      <c r="F26">
        <v>19</v>
      </c>
      <c r="G26">
        <v>8.0003055767761602</v>
      </c>
      <c r="H26">
        <v>1.3277371897518015</v>
      </c>
      <c r="I26">
        <v>1.3277371897518015</v>
      </c>
      <c r="J26">
        <v>0.55906859177181289</v>
      </c>
      <c r="K26">
        <v>0</v>
      </c>
      <c r="L26">
        <v>0</v>
      </c>
      <c r="M26">
        <v>7.773718975180155E-2</v>
      </c>
      <c r="N26">
        <v>0</v>
      </c>
      <c r="O26">
        <v>0</v>
      </c>
      <c r="P26">
        <v>0</v>
      </c>
      <c r="Q26">
        <v>0</v>
      </c>
      <c r="R26">
        <v>0</v>
      </c>
      <c r="S26">
        <v>0.25</v>
      </c>
      <c r="T26">
        <v>0</v>
      </c>
      <c r="U26">
        <v>0</v>
      </c>
      <c r="V26">
        <v>0</v>
      </c>
      <c r="W26">
        <v>0.44093140822818711</v>
      </c>
      <c r="X26">
        <v>0</v>
      </c>
      <c r="Y26">
        <v>0.55906859177181289</v>
      </c>
      <c r="Z26">
        <v>0</v>
      </c>
      <c r="AA26">
        <v>0</v>
      </c>
      <c r="AB26">
        <v>0</v>
      </c>
      <c r="AC26">
        <v>0</v>
      </c>
      <c r="AD26">
        <v>0</v>
      </c>
      <c r="AE26" t="s">
        <v>166</v>
      </c>
      <c r="AF26">
        <v>10</v>
      </c>
      <c r="AG26" t="s">
        <v>180</v>
      </c>
      <c r="AH26">
        <v>1</v>
      </c>
      <c r="AI26">
        <v>45576</v>
      </c>
      <c r="AJ26" t="s">
        <v>168</v>
      </c>
    </row>
    <row r="27" spans="1:36" x14ac:dyDescent="0.25">
      <c r="A27" s="1">
        <v>45576</v>
      </c>
      <c r="B27" t="s">
        <v>165</v>
      </c>
      <c r="C27" t="s">
        <v>11</v>
      </c>
      <c r="D27">
        <v>5.3662728249194425</v>
      </c>
      <c r="E27">
        <v>6.6499999999999995</v>
      </c>
      <c r="F27">
        <v>6.6499999999999995</v>
      </c>
      <c r="G27">
        <v>5.8393599864188106</v>
      </c>
      <c r="H27">
        <v>1.2392213771016811</v>
      </c>
      <c r="I27">
        <v>1.2392213771016811</v>
      </c>
      <c r="J27">
        <v>1.0881593569567478</v>
      </c>
      <c r="K27">
        <v>0</v>
      </c>
      <c r="L27">
        <v>0</v>
      </c>
      <c r="M27">
        <v>0</v>
      </c>
      <c r="N27">
        <v>0</v>
      </c>
      <c r="O27">
        <v>0</v>
      </c>
      <c r="P27">
        <v>0</v>
      </c>
      <c r="Q27">
        <v>8.8159356956747814E-2</v>
      </c>
      <c r="R27">
        <v>0</v>
      </c>
      <c r="S27">
        <v>0.15106202014493331</v>
      </c>
      <c r="T27">
        <v>0</v>
      </c>
      <c r="U27">
        <v>0</v>
      </c>
      <c r="V27">
        <v>0</v>
      </c>
      <c r="W27">
        <v>0</v>
      </c>
      <c r="X27">
        <v>0</v>
      </c>
      <c r="Y27">
        <v>1</v>
      </c>
      <c r="Z27">
        <v>0</v>
      </c>
      <c r="AA27">
        <v>0</v>
      </c>
      <c r="AB27">
        <v>0</v>
      </c>
      <c r="AC27">
        <v>0</v>
      </c>
      <c r="AD27">
        <v>0</v>
      </c>
      <c r="AE27" t="s">
        <v>166</v>
      </c>
      <c r="AF27">
        <v>10</v>
      </c>
      <c r="AG27" t="s">
        <v>181</v>
      </c>
      <c r="AH27">
        <v>1</v>
      </c>
      <c r="AI27">
        <v>45576</v>
      </c>
      <c r="AJ27" t="s">
        <v>168</v>
      </c>
    </row>
    <row r="28" spans="1:36" x14ac:dyDescent="0.25">
      <c r="A28" s="1">
        <v>45576</v>
      </c>
      <c r="B28" t="s">
        <v>165</v>
      </c>
      <c r="C28" t="s">
        <v>12</v>
      </c>
      <c r="D28">
        <v>11.626924453992125</v>
      </c>
      <c r="E28">
        <v>12.35</v>
      </c>
      <c r="F28">
        <v>12.35</v>
      </c>
      <c r="G28">
        <v>9.6140922408670875</v>
      </c>
      <c r="H28">
        <v>1.0621897518014409</v>
      </c>
      <c r="I28">
        <v>1.0621897518014409</v>
      </c>
      <c r="J28">
        <v>0.82688180171034587</v>
      </c>
      <c r="K28">
        <v>0</v>
      </c>
      <c r="L28">
        <v>0</v>
      </c>
      <c r="M28">
        <v>0</v>
      </c>
      <c r="N28">
        <v>0</v>
      </c>
      <c r="O28">
        <v>0</v>
      </c>
      <c r="P28">
        <v>0</v>
      </c>
      <c r="Q28">
        <v>0</v>
      </c>
      <c r="R28">
        <v>0</v>
      </c>
      <c r="S28">
        <v>6.2189751801440929E-2</v>
      </c>
      <c r="T28">
        <v>0</v>
      </c>
      <c r="U28">
        <v>0</v>
      </c>
      <c r="V28">
        <v>0</v>
      </c>
      <c r="W28">
        <v>0.17311819828965413</v>
      </c>
      <c r="X28">
        <v>0</v>
      </c>
      <c r="Y28">
        <v>0.82688180171034587</v>
      </c>
      <c r="Z28">
        <v>0</v>
      </c>
      <c r="AA28">
        <v>0</v>
      </c>
      <c r="AB28">
        <v>0</v>
      </c>
      <c r="AC28">
        <v>0</v>
      </c>
      <c r="AD28">
        <v>0</v>
      </c>
      <c r="AE28" t="s">
        <v>166</v>
      </c>
      <c r="AF28">
        <v>10</v>
      </c>
      <c r="AG28" t="s">
        <v>182</v>
      </c>
      <c r="AH28">
        <v>1</v>
      </c>
      <c r="AI28">
        <v>45576</v>
      </c>
      <c r="AJ28" t="s">
        <v>168</v>
      </c>
    </row>
    <row r="29" spans="1:36" x14ac:dyDescent="0.25">
      <c r="A29" s="1">
        <v>45576</v>
      </c>
      <c r="B29" t="s">
        <v>165</v>
      </c>
      <c r="C29" t="s">
        <v>10</v>
      </c>
      <c r="D29">
        <v>14.129216521561023</v>
      </c>
      <c r="E29">
        <v>24.7</v>
      </c>
      <c r="F29">
        <v>24.7</v>
      </c>
      <c r="G29">
        <v>12.009068627450976</v>
      </c>
      <c r="H29">
        <v>1.7481507175085103</v>
      </c>
      <c r="I29">
        <v>1.7481507175085103</v>
      </c>
      <c r="J29">
        <v>0.84994582743673541</v>
      </c>
      <c r="K29">
        <v>0</v>
      </c>
      <c r="L29">
        <v>0</v>
      </c>
      <c r="M29">
        <v>0.49815071750851025</v>
      </c>
      <c r="N29">
        <v>0</v>
      </c>
      <c r="O29">
        <v>0</v>
      </c>
      <c r="P29">
        <v>0</v>
      </c>
      <c r="Q29">
        <v>0</v>
      </c>
      <c r="R29">
        <v>0</v>
      </c>
      <c r="S29">
        <v>0.25</v>
      </c>
      <c r="T29">
        <v>0</v>
      </c>
      <c r="U29">
        <v>0</v>
      </c>
      <c r="V29">
        <v>0</v>
      </c>
      <c r="W29">
        <v>0.15005417256326459</v>
      </c>
      <c r="X29">
        <v>0</v>
      </c>
      <c r="Y29">
        <v>0.84994582743673541</v>
      </c>
      <c r="Z29">
        <v>0</v>
      </c>
      <c r="AA29">
        <v>0</v>
      </c>
      <c r="AB29">
        <v>0</v>
      </c>
      <c r="AC29">
        <v>0</v>
      </c>
      <c r="AD29">
        <v>0</v>
      </c>
      <c r="AE29" t="s">
        <v>212</v>
      </c>
      <c r="AF29">
        <v>10</v>
      </c>
      <c r="AG29" t="s">
        <v>180</v>
      </c>
      <c r="AI29">
        <v>45576</v>
      </c>
      <c r="AJ29" t="s">
        <v>168</v>
      </c>
    </row>
    <row r="30" spans="1:36" x14ac:dyDescent="0.25">
      <c r="A30" s="1">
        <v>45576</v>
      </c>
      <c r="B30" t="s">
        <v>165</v>
      </c>
      <c r="C30" t="s">
        <v>11</v>
      </c>
      <c r="D30">
        <v>3.5111676249447159</v>
      </c>
      <c r="E30">
        <v>7.6</v>
      </c>
      <c r="F30">
        <v>7.6</v>
      </c>
      <c r="G30">
        <v>7.757575757575756</v>
      </c>
      <c r="H30">
        <v>2.1645221225003928</v>
      </c>
      <c r="I30">
        <v>2.1645221225003928</v>
      </c>
      <c r="J30">
        <v>2.2094005716112459</v>
      </c>
      <c r="K30">
        <v>4.4878449110853147E-2</v>
      </c>
      <c r="L30">
        <v>0</v>
      </c>
      <c r="M30">
        <v>0</v>
      </c>
      <c r="N30">
        <v>0</v>
      </c>
      <c r="O30">
        <v>0.91452212250039278</v>
      </c>
      <c r="P30">
        <v>0</v>
      </c>
      <c r="Q30">
        <v>0.25</v>
      </c>
      <c r="R30">
        <v>0</v>
      </c>
      <c r="S30">
        <v>0</v>
      </c>
      <c r="T30">
        <v>0</v>
      </c>
      <c r="U30">
        <v>0</v>
      </c>
      <c r="V30">
        <v>0</v>
      </c>
      <c r="W30">
        <v>0</v>
      </c>
      <c r="X30">
        <v>0</v>
      </c>
      <c r="Y30">
        <v>1</v>
      </c>
      <c r="Z30">
        <v>0</v>
      </c>
      <c r="AA30">
        <v>0</v>
      </c>
      <c r="AB30">
        <v>0</v>
      </c>
      <c r="AC30">
        <v>0</v>
      </c>
      <c r="AD30">
        <v>0</v>
      </c>
      <c r="AE30" t="s">
        <v>212</v>
      </c>
      <c r="AF30">
        <v>10</v>
      </c>
      <c r="AG30" t="s">
        <v>181</v>
      </c>
      <c r="AI30">
        <v>45576</v>
      </c>
      <c r="AJ30" t="s">
        <v>168</v>
      </c>
    </row>
    <row r="31" spans="1:36" x14ac:dyDescent="0.25">
      <c r="A31" s="1">
        <v>45576</v>
      </c>
      <c r="B31" t="s">
        <v>165</v>
      </c>
      <c r="C31" t="s">
        <v>12</v>
      </c>
      <c r="D31">
        <v>12.417771069086861</v>
      </c>
      <c r="E31">
        <v>9.5</v>
      </c>
      <c r="F31">
        <v>9.5</v>
      </c>
      <c r="G31">
        <v>10.540775401069514</v>
      </c>
      <c r="H31">
        <v>0.76503262519064796</v>
      </c>
      <c r="I31">
        <v>0.76503262519064796</v>
      </c>
      <c r="J31">
        <v>0.84884600806581212</v>
      </c>
      <c r="K31">
        <v>0</v>
      </c>
      <c r="L31">
        <v>0</v>
      </c>
      <c r="M31">
        <v>0</v>
      </c>
      <c r="N31">
        <v>0</v>
      </c>
      <c r="O31">
        <v>0</v>
      </c>
      <c r="P31">
        <v>0</v>
      </c>
      <c r="Q31">
        <v>0</v>
      </c>
      <c r="R31">
        <v>0</v>
      </c>
      <c r="S31">
        <v>0</v>
      </c>
      <c r="T31">
        <v>8.3813382875164155E-2</v>
      </c>
      <c r="U31">
        <v>0.15115399193418788</v>
      </c>
      <c r="V31">
        <v>0</v>
      </c>
      <c r="W31">
        <v>0</v>
      </c>
      <c r="X31">
        <v>0</v>
      </c>
      <c r="Y31">
        <v>0.76503262519064796</v>
      </c>
      <c r="Z31">
        <v>0</v>
      </c>
      <c r="AA31">
        <v>0</v>
      </c>
      <c r="AB31">
        <v>0</v>
      </c>
      <c r="AC31">
        <v>0</v>
      </c>
      <c r="AD31">
        <v>0</v>
      </c>
      <c r="AE31" t="s">
        <v>212</v>
      </c>
      <c r="AF31">
        <v>10</v>
      </c>
      <c r="AG31" t="s">
        <v>182</v>
      </c>
      <c r="AI31">
        <v>45576</v>
      </c>
      <c r="AJ31" t="s">
        <v>168</v>
      </c>
    </row>
    <row r="32" spans="1:36" x14ac:dyDescent="0.25">
      <c r="A32" s="1">
        <v>45577</v>
      </c>
      <c r="B32" t="s">
        <v>165</v>
      </c>
      <c r="C32" t="s">
        <v>10</v>
      </c>
      <c r="D32">
        <v>14.310060866451844</v>
      </c>
      <c r="E32">
        <v>19.95</v>
      </c>
      <c r="F32">
        <v>19.95</v>
      </c>
      <c r="G32">
        <v>12.799132141378117</v>
      </c>
      <c r="H32">
        <v>1.3941240492393916</v>
      </c>
      <c r="I32">
        <v>1.3941240492393916</v>
      </c>
      <c r="J32">
        <v>0.89441493371870195</v>
      </c>
      <c r="K32">
        <v>0</v>
      </c>
      <c r="L32">
        <v>0</v>
      </c>
      <c r="M32">
        <v>0.14412404923939159</v>
      </c>
      <c r="N32">
        <v>0</v>
      </c>
      <c r="O32">
        <v>0</v>
      </c>
      <c r="P32">
        <v>0</v>
      </c>
      <c r="Q32">
        <v>0</v>
      </c>
      <c r="R32">
        <v>0</v>
      </c>
      <c r="S32">
        <v>0.25</v>
      </c>
      <c r="T32">
        <v>0</v>
      </c>
      <c r="U32">
        <v>0</v>
      </c>
      <c r="V32">
        <v>0</v>
      </c>
      <c r="W32">
        <v>0.10558506628129805</v>
      </c>
      <c r="X32">
        <v>0</v>
      </c>
      <c r="Y32">
        <v>0.89441493371870195</v>
      </c>
      <c r="Z32">
        <v>0</v>
      </c>
      <c r="AA32">
        <v>0</v>
      </c>
      <c r="AB32">
        <v>0</v>
      </c>
      <c r="AC32">
        <v>0</v>
      </c>
      <c r="AD32">
        <v>0</v>
      </c>
      <c r="AE32" t="s">
        <v>166</v>
      </c>
      <c r="AF32">
        <v>10</v>
      </c>
      <c r="AG32" t="s">
        <v>183</v>
      </c>
      <c r="AH32">
        <v>1</v>
      </c>
      <c r="AI32">
        <v>45577</v>
      </c>
      <c r="AJ32" t="s">
        <v>168</v>
      </c>
    </row>
    <row r="33" spans="1:36" x14ac:dyDescent="0.25">
      <c r="A33" s="1">
        <v>45577</v>
      </c>
      <c r="B33" t="s">
        <v>165</v>
      </c>
      <c r="C33" t="s">
        <v>11</v>
      </c>
      <c r="D33">
        <v>5.3662728249194425</v>
      </c>
      <c r="E33">
        <v>7.6</v>
      </c>
      <c r="F33">
        <v>7.6</v>
      </c>
      <c r="G33">
        <v>5.7943977591036422</v>
      </c>
      <c r="H33">
        <v>1.4162530024019213</v>
      </c>
      <c r="I33">
        <v>1.4162530024019213</v>
      </c>
      <c r="J33">
        <v>1.0797806872949338</v>
      </c>
      <c r="K33">
        <v>0</v>
      </c>
      <c r="L33">
        <v>0</v>
      </c>
      <c r="M33">
        <v>0.16625300240192131</v>
      </c>
      <c r="N33">
        <v>0</v>
      </c>
      <c r="O33">
        <v>0</v>
      </c>
      <c r="P33">
        <v>0</v>
      </c>
      <c r="Q33">
        <v>7.9780687294933816E-2</v>
      </c>
      <c r="R33">
        <v>0</v>
      </c>
      <c r="S33">
        <v>0.17021931270506618</v>
      </c>
      <c r="T33">
        <v>0</v>
      </c>
      <c r="U33">
        <v>0</v>
      </c>
      <c r="V33">
        <v>0</v>
      </c>
      <c r="W33">
        <v>0</v>
      </c>
      <c r="X33">
        <v>0</v>
      </c>
      <c r="Y33">
        <v>1</v>
      </c>
      <c r="Z33">
        <v>0</v>
      </c>
      <c r="AA33">
        <v>0</v>
      </c>
      <c r="AB33">
        <v>0</v>
      </c>
      <c r="AC33">
        <v>0</v>
      </c>
      <c r="AD33">
        <v>0</v>
      </c>
      <c r="AE33" t="s">
        <v>166</v>
      </c>
      <c r="AF33">
        <v>10</v>
      </c>
      <c r="AG33" t="s">
        <v>184</v>
      </c>
      <c r="AH33">
        <v>1</v>
      </c>
      <c r="AI33">
        <v>45577</v>
      </c>
      <c r="AJ33" t="s">
        <v>168</v>
      </c>
    </row>
    <row r="34" spans="1:36" x14ac:dyDescent="0.25">
      <c r="A34" s="1">
        <v>45577</v>
      </c>
      <c r="B34" t="s">
        <v>165</v>
      </c>
      <c r="C34" t="s">
        <v>12</v>
      </c>
      <c r="D34">
        <v>11.626924453992126</v>
      </c>
      <c r="E34">
        <v>18.05</v>
      </c>
      <c r="F34">
        <v>18.05</v>
      </c>
      <c r="G34">
        <v>10.056408770404715</v>
      </c>
      <c r="H34">
        <v>1.5524311757097982</v>
      </c>
      <c r="I34">
        <v>1.5524311757097982</v>
      </c>
      <c r="J34">
        <v>0.86492423772064919</v>
      </c>
      <c r="K34">
        <v>0</v>
      </c>
      <c r="L34">
        <v>0</v>
      </c>
      <c r="M34">
        <v>0.30243117570979816</v>
      </c>
      <c r="N34">
        <v>0</v>
      </c>
      <c r="O34">
        <v>0</v>
      </c>
      <c r="P34">
        <v>0</v>
      </c>
      <c r="Q34">
        <v>0</v>
      </c>
      <c r="R34">
        <v>0</v>
      </c>
      <c r="S34">
        <v>0.25</v>
      </c>
      <c r="T34">
        <v>0</v>
      </c>
      <c r="U34">
        <v>0</v>
      </c>
      <c r="V34">
        <v>0</v>
      </c>
      <c r="W34">
        <v>0.13507576227935081</v>
      </c>
      <c r="X34">
        <v>0</v>
      </c>
      <c r="Y34">
        <v>0.86492423772064919</v>
      </c>
      <c r="Z34">
        <v>0</v>
      </c>
      <c r="AA34">
        <v>0</v>
      </c>
      <c r="AB34">
        <v>0</v>
      </c>
      <c r="AC34">
        <v>0</v>
      </c>
      <c r="AD34">
        <v>0</v>
      </c>
      <c r="AE34" t="s">
        <v>166</v>
      </c>
      <c r="AF34">
        <v>10</v>
      </c>
      <c r="AG34" t="s">
        <v>185</v>
      </c>
      <c r="AH34">
        <v>1</v>
      </c>
      <c r="AI34">
        <v>45577</v>
      </c>
      <c r="AJ34" t="s">
        <v>168</v>
      </c>
    </row>
    <row r="35" spans="1:36" x14ac:dyDescent="0.25">
      <c r="A35" s="1">
        <v>45577</v>
      </c>
      <c r="B35" t="s">
        <v>165</v>
      </c>
      <c r="C35" t="s">
        <v>10</v>
      </c>
      <c r="D35">
        <v>14.12921652156102</v>
      </c>
      <c r="E35">
        <v>16.149999999999999</v>
      </c>
      <c r="F35">
        <v>16.149999999999999</v>
      </c>
      <c r="G35">
        <v>13.875980392156862</v>
      </c>
      <c r="H35">
        <v>1.1430216229863337</v>
      </c>
      <c r="I35">
        <v>1.1430216229863337</v>
      </c>
      <c r="J35">
        <v>0.98207712869162123</v>
      </c>
      <c r="K35">
        <v>0</v>
      </c>
      <c r="L35">
        <v>0</v>
      </c>
      <c r="M35">
        <v>0</v>
      </c>
      <c r="N35">
        <v>0</v>
      </c>
      <c r="O35">
        <v>0</v>
      </c>
      <c r="P35">
        <v>0</v>
      </c>
      <c r="Q35">
        <v>0</v>
      </c>
      <c r="R35">
        <v>0</v>
      </c>
      <c r="S35">
        <v>0.1430216229863337</v>
      </c>
      <c r="T35">
        <v>0</v>
      </c>
      <c r="U35">
        <v>0</v>
      </c>
      <c r="V35">
        <v>0</v>
      </c>
      <c r="W35">
        <v>1.7922871308378774E-2</v>
      </c>
      <c r="X35">
        <v>0</v>
      </c>
      <c r="Y35">
        <v>0.98207712869162123</v>
      </c>
      <c r="Z35">
        <v>0</v>
      </c>
      <c r="AA35">
        <v>0</v>
      </c>
      <c r="AB35">
        <v>0</v>
      </c>
      <c r="AC35">
        <v>0</v>
      </c>
      <c r="AD35">
        <v>0</v>
      </c>
      <c r="AE35" t="s">
        <v>212</v>
      </c>
      <c r="AF35">
        <v>10</v>
      </c>
      <c r="AG35" t="s">
        <v>183</v>
      </c>
      <c r="AI35">
        <v>45577</v>
      </c>
      <c r="AJ35" t="s">
        <v>168</v>
      </c>
    </row>
    <row r="36" spans="1:36" x14ac:dyDescent="0.25">
      <c r="A36" s="1">
        <v>45577</v>
      </c>
      <c r="B36" t="s">
        <v>165</v>
      </c>
      <c r="C36" t="s">
        <v>11</v>
      </c>
      <c r="D36">
        <v>3.5111676249447159</v>
      </c>
      <c r="E36">
        <v>6.6499999999999995</v>
      </c>
      <c r="F36">
        <v>6.6499999999999995</v>
      </c>
      <c r="G36">
        <v>6.8449197860962556</v>
      </c>
      <c r="H36">
        <v>1.8939568571878436</v>
      </c>
      <c r="I36">
        <v>1.8939568571878436</v>
      </c>
      <c r="J36">
        <v>1.9494710925981582</v>
      </c>
      <c r="K36">
        <v>5.5514235410314638E-2</v>
      </c>
      <c r="L36">
        <v>0</v>
      </c>
      <c r="M36">
        <v>0</v>
      </c>
      <c r="N36">
        <v>0</v>
      </c>
      <c r="O36">
        <v>0.64395685718784357</v>
      </c>
      <c r="P36">
        <v>0</v>
      </c>
      <c r="Q36">
        <v>0.25</v>
      </c>
      <c r="R36">
        <v>0</v>
      </c>
      <c r="S36">
        <v>0</v>
      </c>
      <c r="T36">
        <v>0</v>
      </c>
      <c r="U36">
        <v>0</v>
      </c>
      <c r="V36">
        <v>0</v>
      </c>
      <c r="W36">
        <v>0</v>
      </c>
      <c r="X36">
        <v>0</v>
      </c>
      <c r="Y36">
        <v>1</v>
      </c>
      <c r="Z36">
        <v>0</v>
      </c>
      <c r="AA36">
        <v>0</v>
      </c>
      <c r="AB36">
        <v>0</v>
      </c>
      <c r="AC36">
        <v>0</v>
      </c>
      <c r="AD36">
        <v>0</v>
      </c>
      <c r="AE36" t="s">
        <v>212</v>
      </c>
      <c r="AF36">
        <v>10</v>
      </c>
      <c r="AG36" t="s">
        <v>184</v>
      </c>
      <c r="AI36">
        <v>45577</v>
      </c>
      <c r="AJ36" t="s">
        <v>168</v>
      </c>
    </row>
    <row r="37" spans="1:36" x14ac:dyDescent="0.25">
      <c r="A37" s="1">
        <v>45577</v>
      </c>
      <c r="B37" t="s">
        <v>165</v>
      </c>
      <c r="C37" t="s">
        <v>12</v>
      </c>
      <c r="D37">
        <v>12.417771069086861</v>
      </c>
      <c r="E37">
        <v>19</v>
      </c>
      <c r="F37">
        <v>19</v>
      </c>
      <c r="G37">
        <v>10.993315508021384</v>
      </c>
      <c r="H37">
        <v>1.5300652503812959</v>
      </c>
      <c r="I37">
        <v>1.5300652503812959</v>
      </c>
      <c r="J37">
        <v>0.88528894975270112</v>
      </c>
      <c r="K37">
        <v>0</v>
      </c>
      <c r="L37">
        <v>0</v>
      </c>
      <c r="M37">
        <v>0.28006525038129593</v>
      </c>
      <c r="N37">
        <v>0</v>
      </c>
      <c r="O37">
        <v>0</v>
      </c>
      <c r="P37">
        <v>0</v>
      </c>
      <c r="Q37">
        <v>0</v>
      </c>
      <c r="R37">
        <v>0</v>
      </c>
      <c r="S37">
        <v>0.25</v>
      </c>
      <c r="T37">
        <v>0</v>
      </c>
      <c r="U37">
        <v>0</v>
      </c>
      <c r="V37">
        <v>0</v>
      </c>
      <c r="W37">
        <v>0.11471105024729888</v>
      </c>
      <c r="X37">
        <v>0</v>
      </c>
      <c r="Y37">
        <v>0.88528894975270112</v>
      </c>
      <c r="Z37">
        <v>0</v>
      </c>
      <c r="AA37">
        <v>0</v>
      </c>
      <c r="AB37">
        <v>0</v>
      </c>
      <c r="AC37">
        <v>0</v>
      </c>
      <c r="AD37">
        <v>0</v>
      </c>
      <c r="AE37" t="s">
        <v>212</v>
      </c>
      <c r="AF37">
        <v>10</v>
      </c>
      <c r="AG37" t="s">
        <v>185</v>
      </c>
      <c r="AI37">
        <v>45577</v>
      </c>
      <c r="AJ37" t="s">
        <v>168</v>
      </c>
    </row>
    <row r="38" spans="1:36" x14ac:dyDescent="0.25">
      <c r="A38" s="1">
        <v>45578</v>
      </c>
      <c r="B38" t="s">
        <v>165</v>
      </c>
      <c r="C38" t="s">
        <v>10</v>
      </c>
      <c r="D38">
        <v>14.310060866451844</v>
      </c>
      <c r="E38">
        <v>16.149999999999999</v>
      </c>
      <c r="F38">
        <v>16.149999999999999</v>
      </c>
      <c r="G38">
        <v>13.390151025445141</v>
      </c>
      <c r="H38">
        <v>1.1285766112890312</v>
      </c>
      <c r="I38">
        <v>1.1285766112890312</v>
      </c>
      <c r="J38">
        <v>0.93571586804614393</v>
      </c>
      <c r="K38">
        <v>0</v>
      </c>
      <c r="L38">
        <v>0</v>
      </c>
      <c r="M38">
        <v>0</v>
      </c>
      <c r="N38">
        <v>0</v>
      </c>
      <c r="O38">
        <v>0</v>
      </c>
      <c r="P38">
        <v>0</v>
      </c>
      <c r="Q38">
        <v>0</v>
      </c>
      <c r="R38">
        <v>0</v>
      </c>
      <c r="S38">
        <v>0.1285766112890312</v>
      </c>
      <c r="T38">
        <v>0</v>
      </c>
      <c r="U38">
        <v>0</v>
      </c>
      <c r="V38">
        <v>0</v>
      </c>
      <c r="W38">
        <v>6.4284131953856072E-2</v>
      </c>
      <c r="X38">
        <v>0</v>
      </c>
      <c r="Y38">
        <v>0.93571586804614393</v>
      </c>
      <c r="Z38">
        <v>0</v>
      </c>
      <c r="AA38">
        <v>0</v>
      </c>
      <c r="AB38">
        <v>0</v>
      </c>
      <c r="AC38">
        <v>0</v>
      </c>
      <c r="AD38">
        <v>0</v>
      </c>
      <c r="AE38" t="s">
        <v>166</v>
      </c>
      <c r="AF38">
        <v>10</v>
      </c>
      <c r="AG38" t="s">
        <v>186</v>
      </c>
      <c r="AH38">
        <v>1</v>
      </c>
      <c r="AI38">
        <v>45578</v>
      </c>
      <c r="AJ38" t="s">
        <v>168</v>
      </c>
    </row>
    <row r="39" spans="1:36" x14ac:dyDescent="0.25">
      <c r="A39" s="1">
        <v>45578</v>
      </c>
      <c r="B39" t="s">
        <v>165</v>
      </c>
      <c r="C39" t="s">
        <v>11</v>
      </c>
      <c r="D39">
        <v>5.3662728249194425</v>
      </c>
      <c r="E39">
        <v>7.6</v>
      </c>
      <c r="F39">
        <v>7.6</v>
      </c>
      <c r="G39">
        <v>4.8240896358543424</v>
      </c>
      <c r="H39">
        <v>1.4162530024019213</v>
      </c>
      <c r="I39">
        <v>1.4162530024019213</v>
      </c>
      <c r="J39">
        <v>0.89896466192561886</v>
      </c>
      <c r="K39">
        <v>0</v>
      </c>
      <c r="L39">
        <v>0</v>
      </c>
      <c r="M39">
        <v>0.16625300240192131</v>
      </c>
      <c r="N39">
        <v>0</v>
      </c>
      <c r="O39">
        <v>0</v>
      </c>
      <c r="P39">
        <v>0</v>
      </c>
      <c r="Q39">
        <v>0</v>
      </c>
      <c r="R39">
        <v>0</v>
      </c>
      <c r="S39">
        <v>0.25</v>
      </c>
      <c r="T39">
        <v>0</v>
      </c>
      <c r="U39">
        <v>0</v>
      </c>
      <c r="V39">
        <v>0</v>
      </c>
      <c r="W39">
        <v>0.10103533807438114</v>
      </c>
      <c r="X39">
        <v>0</v>
      </c>
      <c r="Y39">
        <v>0.89896466192561886</v>
      </c>
      <c r="Z39">
        <v>0</v>
      </c>
      <c r="AA39">
        <v>0</v>
      </c>
      <c r="AB39">
        <v>0</v>
      </c>
      <c r="AC39">
        <v>0</v>
      </c>
      <c r="AD39">
        <v>0</v>
      </c>
      <c r="AE39" t="s">
        <v>166</v>
      </c>
      <c r="AF39">
        <v>10</v>
      </c>
      <c r="AG39" t="s">
        <v>187</v>
      </c>
      <c r="AH39">
        <v>1</v>
      </c>
      <c r="AI39">
        <v>45578</v>
      </c>
      <c r="AJ39" t="s">
        <v>168</v>
      </c>
    </row>
    <row r="40" spans="1:36" x14ac:dyDescent="0.25">
      <c r="A40" s="1">
        <v>45578</v>
      </c>
      <c r="B40" t="s">
        <v>165</v>
      </c>
      <c r="C40" t="s">
        <v>12</v>
      </c>
      <c r="D40">
        <v>11.626924453992126</v>
      </c>
      <c r="E40">
        <v>13.3</v>
      </c>
      <c r="F40">
        <v>13.3</v>
      </c>
      <c r="G40">
        <v>7.5878905408317197</v>
      </c>
      <c r="H40">
        <v>1.1438966557861669</v>
      </c>
      <c r="I40">
        <v>1.1438966557861669</v>
      </c>
      <c r="J40">
        <v>0.6526137303856312</v>
      </c>
      <c r="K40">
        <v>0</v>
      </c>
      <c r="L40">
        <v>0</v>
      </c>
      <c r="M40">
        <v>0</v>
      </c>
      <c r="N40">
        <v>0</v>
      </c>
      <c r="O40">
        <v>0</v>
      </c>
      <c r="P40">
        <v>0</v>
      </c>
      <c r="Q40">
        <v>0</v>
      </c>
      <c r="R40">
        <v>0</v>
      </c>
      <c r="S40">
        <v>0.14389665578616695</v>
      </c>
      <c r="T40">
        <v>0</v>
      </c>
      <c r="U40">
        <v>0</v>
      </c>
      <c r="V40">
        <v>0</v>
      </c>
      <c r="W40">
        <v>0.3473862696143688</v>
      </c>
      <c r="X40">
        <v>0</v>
      </c>
      <c r="Y40">
        <v>0.6526137303856312</v>
      </c>
      <c r="Z40">
        <v>0</v>
      </c>
      <c r="AA40">
        <v>0</v>
      </c>
      <c r="AB40">
        <v>0</v>
      </c>
      <c r="AC40">
        <v>0</v>
      </c>
      <c r="AD40">
        <v>0</v>
      </c>
      <c r="AE40" t="s">
        <v>166</v>
      </c>
      <c r="AF40">
        <v>10</v>
      </c>
      <c r="AG40" t="s">
        <v>188</v>
      </c>
      <c r="AH40">
        <v>1</v>
      </c>
      <c r="AI40">
        <v>45578</v>
      </c>
      <c r="AJ40" t="s">
        <v>168</v>
      </c>
    </row>
    <row r="41" spans="1:36" x14ac:dyDescent="0.25">
      <c r="A41" s="1">
        <v>45578</v>
      </c>
      <c r="B41" t="s">
        <v>165</v>
      </c>
      <c r="C41" t="s">
        <v>10</v>
      </c>
      <c r="D41">
        <v>14.12921652156102</v>
      </c>
      <c r="E41">
        <v>16.149999999999999</v>
      </c>
      <c r="F41">
        <v>16.149999999999999</v>
      </c>
      <c r="G41">
        <v>13.844607843137254</v>
      </c>
      <c r="H41">
        <v>1.1430216229863337</v>
      </c>
      <c r="I41">
        <v>1.1430216229863337</v>
      </c>
      <c r="J41">
        <v>0.97985672609734187</v>
      </c>
      <c r="K41">
        <v>0</v>
      </c>
      <c r="L41">
        <v>0</v>
      </c>
      <c r="M41">
        <v>0</v>
      </c>
      <c r="N41">
        <v>0</v>
      </c>
      <c r="O41">
        <v>0</v>
      </c>
      <c r="P41">
        <v>0</v>
      </c>
      <c r="Q41">
        <v>0</v>
      </c>
      <c r="R41">
        <v>0</v>
      </c>
      <c r="S41">
        <v>0.1430216229863337</v>
      </c>
      <c r="T41">
        <v>0</v>
      </c>
      <c r="U41">
        <v>0</v>
      </c>
      <c r="V41">
        <v>0</v>
      </c>
      <c r="W41">
        <v>2.0143273902658132E-2</v>
      </c>
      <c r="X41">
        <v>0</v>
      </c>
      <c r="Y41">
        <v>0.97985672609734187</v>
      </c>
      <c r="Z41">
        <v>0</v>
      </c>
      <c r="AA41">
        <v>0</v>
      </c>
      <c r="AB41">
        <v>0</v>
      </c>
      <c r="AC41">
        <v>0</v>
      </c>
      <c r="AD41">
        <v>0</v>
      </c>
      <c r="AE41" t="s">
        <v>212</v>
      </c>
      <c r="AF41">
        <v>10</v>
      </c>
      <c r="AG41" t="s">
        <v>186</v>
      </c>
      <c r="AI41">
        <v>45578</v>
      </c>
      <c r="AJ41" t="s">
        <v>168</v>
      </c>
    </row>
    <row r="42" spans="1:36" x14ac:dyDescent="0.25">
      <c r="A42" s="1">
        <v>45578</v>
      </c>
      <c r="B42" t="s">
        <v>165</v>
      </c>
      <c r="C42" t="s">
        <v>11</v>
      </c>
      <c r="D42">
        <v>3.5111676249447159</v>
      </c>
      <c r="E42">
        <v>5.6999999999999993</v>
      </c>
      <c r="F42">
        <v>5.6999999999999993</v>
      </c>
      <c r="G42">
        <v>7.7290552584670227</v>
      </c>
      <c r="H42">
        <v>1.6233915918752946</v>
      </c>
      <c r="I42">
        <v>1.6233915918752946</v>
      </c>
      <c r="J42">
        <v>2.2012777753920871</v>
      </c>
      <c r="K42">
        <v>0.57788618351679255</v>
      </c>
      <c r="L42">
        <v>0</v>
      </c>
      <c r="M42">
        <v>0</v>
      </c>
      <c r="N42">
        <v>0</v>
      </c>
      <c r="O42">
        <v>0.37339159187529458</v>
      </c>
      <c r="P42">
        <v>0</v>
      </c>
      <c r="Q42">
        <v>0.25</v>
      </c>
      <c r="R42">
        <v>0</v>
      </c>
      <c r="S42">
        <v>0</v>
      </c>
      <c r="T42">
        <v>0</v>
      </c>
      <c r="U42">
        <v>0</v>
      </c>
      <c r="V42">
        <v>0</v>
      </c>
      <c r="W42">
        <v>0</v>
      </c>
      <c r="X42">
        <v>0</v>
      </c>
      <c r="Y42">
        <v>1</v>
      </c>
      <c r="Z42">
        <v>0</v>
      </c>
      <c r="AA42">
        <v>0</v>
      </c>
      <c r="AB42">
        <v>0</v>
      </c>
      <c r="AC42">
        <v>0</v>
      </c>
      <c r="AD42">
        <v>0</v>
      </c>
      <c r="AE42" t="s">
        <v>212</v>
      </c>
      <c r="AF42">
        <v>10</v>
      </c>
      <c r="AG42" t="s">
        <v>187</v>
      </c>
      <c r="AI42">
        <v>45578</v>
      </c>
      <c r="AJ42" t="s">
        <v>168</v>
      </c>
    </row>
    <row r="43" spans="1:36" x14ac:dyDescent="0.25">
      <c r="A43" s="1">
        <v>45578</v>
      </c>
      <c r="B43" t="s">
        <v>165</v>
      </c>
      <c r="C43" t="s">
        <v>12</v>
      </c>
      <c r="D43">
        <v>12.417771069086861</v>
      </c>
      <c r="E43">
        <v>14.25</v>
      </c>
      <c r="F43">
        <v>14.25</v>
      </c>
      <c r="G43">
        <v>10.56550802139037</v>
      </c>
      <c r="H43">
        <v>1.147548937785972</v>
      </c>
      <c r="I43">
        <v>1.147548937785972</v>
      </c>
      <c r="J43">
        <v>0.85083771979759193</v>
      </c>
      <c r="K43">
        <v>0</v>
      </c>
      <c r="L43">
        <v>0</v>
      </c>
      <c r="M43">
        <v>0</v>
      </c>
      <c r="N43">
        <v>0</v>
      </c>
      <c r="O43">
        <v>0</v>
      </c>
      <c r="P43">
        <v>0</v>
      </c>
      <c r="Q43">
        <v>0</v>
      </c>
      <c r="R43">
        <v>0</v>
      </c>
      <c r="S43">
        <v>0.147548937785972</v>
      </c>
      <c r="T43">
        <v>0</v>
      </c>
      <c r="U43">
        <v>0</v>
      </c>
      <c r="V43">
        <v>0</v>
      </c>
      <c r="W43">
        <v>0.14916228020240807</v>
      </c>
      <c r="X43">
        <v>0</v>
      </c>
      <c r="Y43">
        <v>0.85083771979759193</v>
      </c>
      <c r="Z43">
        <v>0</v>
      </c>
      <c r="AA43">
        <v>0</v>
      </c>
      <c r="AB43">
        <v>0</v>
      </c>
      <c r="AC43">
        <v>0</v>
      </c>
      <c r="AD43">
        <v>0</v>
      </c>
      <c r="AE43" t="s">
        <v>212</v>
      </c>
      <c r="AF43">
        <v>10</v>
      </c>
      <c r="AG43" t="s">
        <v>188</v>
      </c>
      <c r="AI43">
        <v>45578</v>
      </c>
      <c r="AJ43" t="s">
        <v>168</v>
      </c>
    </row>
    <row r="44" spans="1:36" x14ac:dyDescent="0.25">
      <c r="A44" s="1">
        <v>45579</v>
      </c>
      <c r="B44" t="s">
        <v>165</v>
      </c>
      <c r="C44" t="s">
        <v>10</v>
      </c>
      <c r="D44">
        <v>14.310060866451844</v>
      </c>
      <c r="E44">
        <v>19</v>
      </c>
      <c r="F44">
        <v>19</v>
      </c>
      <c r="G44">
        <v>9.2765469824293305</v>
      </c>
      <c r="H44">
        <v>1.3277371897518015</v>
      </c>
      <c r="I44">
        <v>1.3277371897518015</v>
      </c>
      <c r="J44">
        <v>0.64825349584480385</v>
      </c>
      <c r="K44">
        <v>0</v>
      </c>
      <c r="L44">
        <v>0</v>
      </c>
      <c r="M44">
        <v>7.773718975180155E-2</v>
      </c>
      <c r="N44">
        <v>0</v>
      </c>
      <c r="O44">
        <v>0</v>
      </c>
      <c r="P44">
        <v>0</v>
      </c>
      <c r="Q44">
        <v>0</v>
      </c>
      <c r="R44">
        <v>0</v>
      </c>
      <c r="S44">
        <v>0.25</v>
      </c>
      <c r="T44">
        <v>0</v>
      </c>
      <c r="U44">
        <v>0</v>
      </c>
      <c r="V44">
        <v>0</v>
      </c>
      <c r="W44">
        <v>0.35174650415519615</v>
      </c>
      <c r="X44">
        <v>0</v>
      </c>
      <c r="Y44">
        <v>0.64825349584480385</v>
      </c>
      <c r="Z44">
        <v>0</v>
      </c>
      <c r="AA44">
        <v>0</v>
      </c>
      <c r="AB44">
        <v>0</v>
      </c>
      <c r="AC44">
        <v>0</v>
      </c>
      <c r="AD44">
        <v>0</v>
      </c>
      <c r="AE44" t="s">
        <v>166</v>
      </c>
      <c r="AF44">
        <v>10</v>
      </c>
      <c r="AG44" t="s">
        <v>189</v>
      </c>
      <c r="AH44">
        <v>1</v>
      </c>
      <c r="AI44">
        <v>45579</v>
      </c>
      <c r="AJ44" t="s">
        <v>168</v>
      </c>
    </row>
    <row r="45" spans="1:36" x14ac:dyDescent="0.25">
      <c r="A45" s="1">
        <v>45579</v>
      </c>
      <c r="B45" t="s">
        <v>165</v>
      </c>
      <c r="C45" t="s">
        <v>12</v>
      </c>
      <c r="D45">
        <v>11.626924453992126</v>
      </c>
      <c r="E45">
        <v>15.2</v>
      </c>
      <c r="F45">
        <v>15.2</v>
      </c>
      <c r="G45">
        <v>10.029479377958076</v>
      </c>
      <c r="H45">
        <v>1.3073104637556194</v>
      </c>
      <c r="I45">
        <v>1.3073104637556194</v>
      </c>
      <c r="J45">
        <v>0.86260811426485484</v>
      </c>
      <c r="K45">
        <v>0</v>
      </c>
      <c r="L45">
        <v>0</v>
      </c>
      <c r="M45">
        <v>5.7310463755619434E-2</v>
      </c>
      <c r="N45">
        <v>0</v>
      </c>
      <c r="O45">
        <v>0</v>
      </c>
      <c r="P45">
        <v>0</v>
      </c>
      <c r="Q45">
        <v>0</v>
      </c>
      <c r="R45">
        <v>0</v>
      </c>
      <c r="S45">
        <v>0.25</v>
      </c>
      <c r="T45">
        <v>0</v>
      </c>
      <c r="U45">
        <v>0</v>
      </c>
      <c r="V45">
        <v>0</v>
      </c>
      <c r="W45">
        <v>0.13739188573514516</v>
      </c>
      <c r="X45">
        <v>0</v>
      </c>
      <c r="Y45">
        <v>0.86260811426485484</v>
      </c>
      <c r="Z45">
        <v>0</v>
      </c>
      <c r="AA45">
        <v>0</v>
      </c>
      <c r="AB45">
        <v>0</v>
      </c>
      <c r="AC45">
        <v>0</v>
      </c>
      <c r="AD45">
        <v>0</v>
      </c>
      <c r="AE45" t="s">
        <v>166</v>
      </c>
      <c r="AF45">
        <v>10</v>
      </c>
      <c r="AG45" t="s">
        <v>190</v>
      </c>
      <c r="AH45">
        <v>1</v>
      </c>
      <c r="AI45">
        <v>45579</v>
      </c>
      <c r="AJ45" t="s">
        <v>168</v>
      </c>
    </row>
    <row r="46" spans="1:36" x14ac:dyDescent="0.25">
      <c r="A46" s="1">
        <v>45579</v>
      </c>
      <c r="B46" t="s">
        <v>165</v>
      </c>
      <c r="C46" t="s">
        <v>11</v>
      </c>
      <c r="D46">
        <v>5.3662728249194425</v>
      </c>
      <c r="E46">
        <v>5.6999999999999993</v>
      </c>
      <c r="F46">
        <v>5.6999999999999993</v>
      </c>
      <c r="G46">
        <v>5.7669467787114854</v>
      </c>
      <c r="H46">
        <v>1.0621897518014409</v>
      </c>
      <c r="I46">
        <v>1.0621897518014409</v>
      </c>
      <c r="J46">
        <v>1.0746652223739777</v>
      </c>
      <c r="K46">
        <v>1.2475470572536729E-2</v>
      </c>
      <c r="L46">
        <v>0</v>
      </c>
      <c r="M46">
        <v>0</v>
      </c>
      <c r="N46">
        <v>0</v>
      </c>
      <c r="O46">
        <v>0</v>
      </c>
      <c r="P46">
        <v>0</v>
      </c>
      <c r="Q46">
        <v>6.2189751801440929E-2</v>
      </c>
      <c r="R46">
        <v>0</v>
      </c>
      <c r="S46">
        <v>0</v>
      </c>
      <c r="T46">
        <v>0</v>
      </c>
      <c r="U46">
        <v>0</v>
      </c>
      <c r="V46">
        <v>0</v>
      </c>
      <c r="W46">
        <v>0</v>
      </c>
      <c r="X46">
        <v>0</v>
      </c>
      <c r="Y46">
        <v>1</v>
      </c>
      <c r="Z46">
        <v>0</v>
      </c>
      <c r="AA46">
        <v>0</v>
      </c>
      <c r="AB46">
        <v>0</v>
      </c>
      <c r="AC46">
        <v>0</v>
      </c>
      <c r="AD46">
        <v>0</v>
      </c>
      <c r="AE46" t="s">
        <v>166</v>
      </c>
      <c r="AF46">
        <v>10</v>
      </c>
      <c r="AG46" t="s">
        <v>191</v>
      </c>
      <c r="AH46">
        <v>1</v>
      </c>
      <c r="AI46">
        <v>45579</v>
      </c>
      <c r="AJ46" t="s">
        <v>168</v>
      </c>
    </row>
    <row r="47" spans="1:36" x14ac:dyDescent="0.25">
      <c r="A47" s="1">
        <v>45579</v>
      </c>
      <c r="B47" t="s">
        <v>165</v>
      </c>
      <c r="C47" t="s">
        <v>10</v>
      </c>
      <c r="D47">
        <v>14.129216521561023</v>
      </c>
      <c r="E47">
        <v>23.75</v>
      </c>
      <c r="F47">
        <v>23.75</v>
      </c>
      <c r="G47">
        <v>13.137885154061616</v>
      </c>
      <c r="H47">
        <v>1.6809141514504906</v>
      </c>
      <c r="I47">
        <v>1.6809141514504906</v>
      </c>
      <c r="J47">
        <v>0.92983819265656753</v>
      </c>
      <c r="K47">
        <v>0</v>
      </c>
      <c r="L47">
        <v>0</v>
      </c>
      <c r="M47">
        <v>0.43091415145049061</v>
      </c>
      <c r="N47">
        <v>0</v>
      </c>
      <c r="O47">
        <v>0</v>
      </c>
      <c r="P47">
        <v>0</v>
      </c>
      <c r="Q47">
        <v>0</v>
      </c>
      <c r="R47">
        <v>0</v>
      </c>
      <c r="S47">
        <v>0.25</v>
      </c>
      <c r="T47">
        <v>0</v>
      </c>
      <c r="U47">
        <v>0</v>
      </c>
      <c r="V47">
        <v>0</v>
      </c>
      <c r="W47">
        <v>7.016180734343247E-2</v>
      </c>
      <c r="X47">
        <v>0</v>
      </c>
      <c r="Y47">
        <v>0.92983819265656753</v>
      </c>
      <c r="Z47">
        <v>0</v>
      </c>
      <c r="AA47">
        <v>0</v>
      </c>
      <c r="AB47">
        <v>0</v>
      </c>
      <c r="AC47">
        <v>0</v>
      </c>
      <c r="AD47">
        <v>0</v>
      </c>
      <c r="AE47" t="s">
        <v>212</v>
      </c>
      <c r="AF47">
        <v>10</v>
      </c>
      <c r="AG47" t="s">
        <v>189</v>
      </c>
      <c r="AI47">
        <v>45579</v>
      </c>
      <c r="AJ47" t="s">
        <v>168</v>
      </c>
    </row>
    <row r="48" spans="1:36" x14ac:dyDescent="0.25">
      <c r="A48" s="1">
        <v>45579</v>
      </c>
      <c r="B48" t="s">
        <v>165</v>
      </c>
      <c r="C48" t="s">
        <v>12</v>
      </c>
      <c r="D48">
        <v>12.417771069086861</v>
      </c>
      <c r="E48">
        <v>9.5</v>
      </c>
      <c r="F48">
        <v>9.5</v>
      </c>
      <c r="G48">
        <v>10.569837025719377</v>
      </c>
      <c r="H48">
        <v>0.76503262519064796</v>
      </c>
      <c r="I48">
        <v>0.76503262519064796</v>
      </c>
      <c r="J48">
        <v>0.8511863334340426</v>
      </c>
      <c r="K48">
        <v>0</v>
      </c>
      <c r="L48">
        <v>0</v>
      </c>
      <c r="M48">
        <v>0</v>
      </c>
      <c r="N48">
        <v>0</v>
      </c>
      <c r="O48">
        <v>0</v>
      </c>
      <c r="P48">
        <v>0</v>
      </c>
      <c r="Q48">
        <v>0</v>
      </c>
      <c r="R48">
        <v>0</v>
      </c>
      <c r="S48">
        <v>0</v>
      </c>
      <c r="T48">
        <v>8.6153708243394633E-2</v>
      </c>
      <c r="U48">
        <v>0.1488136665659574</v>
      </c>
      <c r="V48">
        <v>0</v>
      </c>
      <c r="W48">
        <v>0</v>
      </c>
      <c r="X48">
        <v>0</v>
      </c>
      <c r="Y48">
        <v>0.76503262519064796</v>
      </c>
      <c r="Z48">
        <v>0</v>
      </c>
      <c r="AA48">
        <v>0</v>
      </c>
      <c r="AB48">
        <v>0</v>
      </c>
      <c r="AC48">
        <v>0</v>
      </c>
      <c r="AD48">
        <v>0</v>
      </c>
      <c r="AE48" t="s">
        <v>212</v>
      </c>
      <c r="AF48">
        <v>10</v>
      </c>
      <c r="AG48" t="s">
        <v>190</v>
      </c>
      <c r="AI48">
        <v>45579</v>
      </c>
      <c r="AJ48" t="s">
        <v>168</v>
      </c>
    </row>
    <row r="49" spans="1:36" x14ac:dyDescent="0.25">
      <c r="A49" s="1">
        <v>45579</v>
      </c>
      <c r="B49" t="s">
        <v>165</v>
      </c>
      <c r="C49" t="s">
        <v>11</v>
      </c>
      <c r="D49">
        <v>3.5111676249447159</v>
      </c>
      <c r="E49">
        <v>9.5</v>
      </c>
      <c r="F49">
        <v>9.5</v>
      </c>
      <c r="G49">
        <v>6.7878787878787872</v>
      </c>
      <c r="H49">
        <v>2.7056526531254912</v>
      </c>
      <c r="I49">
        <v>2.7056526531254912</v>
      </c>
      <c r="J49">
        <v>1.9332255001598404</v>
      </c>
      <c r="K49">
        <v>0</v>
      </c>
      <c r="L49">
        <v>0</v>
      </c>
      <c r="M49">
        <v>0.77242715296565079</v>
      </c>
      <c r="N49">
        <v>0</v>
      </c>
      <c r="O49">
        <v>0.6832255001598404</v>
      </c>
      <c r="P49">
        <v>0</v>
      </c>
      <c r="Q49">
        <v>0.25</v>
      </c>
      <c r="R49">
        <v>0</v>
      </c>
      <c r="S49">
        <v>0</v>
      </c>
      <c r="T49">
        <v>0</v>
      </c>
      <c r="U49">
        <v>0</v>
      </c>
      <c r="V49">
        <v>0</v>
      </c>
      <c r="W49">
        <v>0</v>
      </c>
      <c r="X49">
        <v>0</v>
      </c>
      <c r="Y49">
        <v>1</v>
      </c>
      <c r="Z49">
        <v>0</v>
      </c>
      <c r="AA49">
        <v>0</v>
      </c>
      <c r="AB49">
        <v>0</v>
      </c>
      <c r="AC49">
        <v>0</v>
      </c>
      <c r="AD49">
        <v>0</v>
      </c>
      <c r="AE49" t="s">
        <v>212</v>
      </c>
      <c r="AF49">
        <v>10</v>
      </c>
      <c r="AG49" t="s">
        <v>191</v>
      </c>
      <c r="AI49">
        <v>45579</v>
      </c>
      <c r="AJ49" t="s">
        <v>168</v>
      </c>
    </row>
    <row r="50" spans="1:36" x14ac:dyDescent="0.25">
      <c r="A50" s="1">
        <v>45580</v>
      </c>
      <c r="B50" t="s">
        <v>165</v>
      </c>
      <c r="C50" t="s">
        <v>12</v>
      </c>
      <c r="D50">
        <v>11.626924453992126</v>
      </c>
      <c r="E50">
        <v>14.25</v>
      </c>
      <c r="F50">
        <v>14.25</v>
      </c>
      <c r="G50">
        <v>11.234888438133879</v>
      </c>
      <c r="H50">
        <v>1.2256035597708932</v>
      </c>
      <c r="I50">
        <v>1.2256035597708932</v>
      </c>
      <c r="J50">
        <v>0.96628205357233221</v>
      </c>
      <c r="K50">
        <v>0</v>
      </c>
      <c r="L50">
        <v>0</v>
      </c>
      <c r="M50">
        <v>0</v>
      </c>
      <c r="N50">
        <v>0</v>
      </c>
      <c r="O50">
        <v>0</v>
      </c>
      <c r="P50">
        <v>0</v>
      </c>
      <c r="Q50">
        <v>0</v>
      </c>
      <c r="R50">
        <v>0</v>
      </c>
      <c r="S50">
        <v>0.22560355977089319</v>
      </c>
      <c r="T50">
        <v>0</v>
      </c>
      <c r="U50">
        <v>0</v>
      </c>
      <c r="V50">
        <v>0</v>
      </c>
      <c r="W50">
        <v>3.3717946427667789E-2</v>
      </c>
      <c r="X50">
        <v>0</v>
      </c>
      <c r="Y50">
        <v>0.96628205357233221</v>
      </c>
      <c r="Z50">
        <v>0</v>
      </c>
      <c r="AA50">
        <v>0</v>
      </c>
      <c r="AB50">
        <v>0</v>
      </c>
      <c r="AC50">
        <v>0</v>
      </c>
      <c r="AD50">
        <v>0</v>
      </c>
      <c r="AE50" t="s">
        <v>166</v>
      </c>
      <c r="AF50">
        <v>10</v>
      </c>
      <c r="AG50" t="s">
        <v>192</v>
      </c>
      <c r="AH50">
        <v>1</v>
      </c>
      <c r="AI50">
        <v>45580</v>
      </c>
      <c r="AJ50" t="s">
        <v>168</v>
      </c>
    </row>
    <row r="51" spans="1:36" x14ac:dyDescent="0.25">
      <c r="A51" s="1">
        <v>45580</v>
      </c>
      <c r="B51" t="s">
        <v>165</v>
      </c>
      <c r="C51" t="s">
        <v>10</v>
      </c>
      <c r="D51">
        <v>14.310060866451844</v>
      </c>
      <c r="E51">
        <v>19</v>
      </c>
      <c r="F51">
        <v>19</v>
      </c>
      <c r="G51">
        <v>11.7650114591291</v>
      </c>
      <c r="H51">
        <v>1.3277371897518015</v>
      </c>
      <c r="I51">
        <v>1.3277371897518015</v>
      </c>
      <c r="J51">
        <v>0.82214964484956909</v>
      </c>
      <c r="K51">
        <v>0</v>
      </c>
      <c r="L51">
        <v>0</v>
      </c>
      <c r="M51">
        <v>7.773718975180155E-2</v>
      </c>
      <c r="N51">
        <v>0</v>
      </c>
      <c r="O51">
        <v>0</v>
      </c>
      <c r="P51">
        <v>0</v>
      </c>
      <c r="Q51">
        <v>0</v>
      </c>
      <c r="R51">
        <v>0</v>
      </c>
      <c r="S51">
        <v>0.25</v>
      </c>
      <c r="T51">
        <v>0</v>
      </c>
      <c r="U51">
        <v>0</v>
      </c>
      <c r="V51">
        <v>0</v>
      </c>
      <c r="W51">
        <v>0.17785035515043091</v>
      </c>
      <c r="X51">
        <v>0</v>
      </c>
      <c r="Y51">
        <v>0.82214964484956909</v>
      </c>
      <c r="Z51">
        <v>0</v>
      </c>
      <c r="AA51">
        <v>0</v>
      </c>
      <c r="AB51">
        <v>0</v>
      </c>
      <c r="AC51">
        <v>0</v>
      </c>
      <c r="AD51">
        <v>0</v>
      </c>
      <c r="AE51" t="s">
        <v>166</v>
      </c>
      <c r="AF51">
        <v>10</v>
      </c>
      <c r="AG51" t="s">
        <v>193</v>
      </c>
      <c r="AH51">
        <v>1</v>
      </c>
      <c r="AI51">
        <v>45580</v>
      </c>
      <c r="AJ51" t="s">
        <v>168</v>
      </c>
    </row>
    <row r="52" spans="1:36" x14ac:dyDescent="0.25">
      <c r="A52" s="1">
        <v>45580</v>
      </c>
      <c r="B52" t="s">
        <v>165</v>
      </c>
      <c r="C52" t="s">
        <v>11</v>
      </c>
      <c r="D52">
        <v>5.3662728249194425</v>
      </c>
      <c r="E52">
        <v>6.6499999999999995</v>
      </c>
      <c r="F52">
        <v>6.6499999999999995</v>
      </c>
      <c r="G52">
        <v>5.8218487394957998</v>
      </c>
      <c r="H52">
        <v>1.2392213771016811</v>
      </c>
      <c r="I52">
        <v>1.2392213771016811</v>
      </c>
      <c r="J52">
        <v>1.0848961522158904</v>
      </c>
      <c r="K52">
        <v>0</v>
      </c>
      <c r="L52">
        <v>0</v>
      </c>
      <c r="M52">
        <v>0</v>
      </c>
      <c r="N52">
        <v>0</v>
      </c>
      <c r="O52">
        <v>0</v>
      </c>
      <c r="P52">
        <v>0</v>
      </c>
      <c r="Q52">
        <v>8.4896152215890419E-2</v>
      </c>
      <c r="R52">
        <v>0</v>
      </c>
      <c r="S52">
        <v>0.1543252248857907</v>
      </c>
      <c r="T52">
        <v>0</v>
      </c>
      <c r="U52">
        <v>0</v>
      </c>
      <c r="V52">
        <v>0</v>
      </c>
      <c r="W52">
        <v>0</v>
      </c>
      <c r="X52">
        <v>0</v>
      </c>
      <c r="Y52">
        <v>1</v>
      </c>
      <c r="Z52">
        <v>0</v>
      </c>
      <c r="AA52">
        <v>0</v>
      </c>
      <c r="AB52">
        <v>0</v>
      </c>
      <c r="AC52">
        <v>0</v>
      </c>
      <c r="AD52">
        <v>0</v>
      </c>
      <c r="AE52" t="s">
        <v>166</v>
      </c>
      <c r="AF52">
        <v>10</v>
      </c>
      <c r="AG52" t="s">
        <v>194</v>
      </c>
      <c r="AH52">
        <v>1</v>
      </c>
      <c r="AI52">
        <v>45580</v>
      </c>
      <c r="AJ52" t="s">
        <v>168</v>
      </c>
    </row>
    <row r="53" spans="1:36" x14ac:dyDescent="0.25">
      <c r="A53" s="1">
        <v>45580</v>
      </c>
      <c r="B53" t="s">
        <v>165</v>
      </c>
      <c r="C53" t="s">
        <v>12</v>
      </c>
      <c r="D53">
        <v>12.417771069086861</v>
      </c>
      <c r="E53">
        <v>11.4</v>
      </c>
      <c r="F53">
        <v>11.4</v>
      </c>
      <c r="G53">
        <v>10.722341057635171</v>
      </c>
      <c r="H53">
        <v>0.91803915022877747</v>
      </c>
      <c r="I53">
        <v>0.91803915022877747</v>
      </c>
      <c r="J53">
        <v>0.86346744500127404</v>
      </c>
      <c r="K53">
        <v>0</v>
      </c>
      <c r="L53">
        <v>0</v>
      </c>
      <c r="M53">
        <v>0</v>
      </c>
      <c r="N53">
        <v>0</v>
      </c>
      <c r="O53">
        <v>0</v>
      </c>
      <c r="P53">
        <v>0</v>
      </c>
      <c r="Q53">
        <v>0</v>
      </c>
      <c r="R53">
        <v>0</v>
      </c>
      <c r="S53">
        <v>0</v>
      </c>
      <c r="T53">
        <v>0</v>
      </c>
      <c r="U53">
        <v>8.1960849771222533E-2</v>
      </c>
      <c r="V53">
        <v>0</v>
      </c>
      <c r="W53">
        <v>5.4571705227503431E-2</v>
      </c>
      <c r="X53">
        <v>0</v>
      </c>
      <c r="Y53">
        <v>0.86346744500127404</v>
      </c>
      <c r="Z53">
        <v>0</v>
      </c>
      <c r="AA53">
        <v>0</v>
      </c>
      <c r="AB53">
        <v>0</v>
      </c>
      <c r="AC53">
        <v>0</v>
      </c>
      <c r="AD53">
        <v>0</v>
      </c>
      <c r="AE53" t="s">
        <v>212</v>
      </c>
      <c r="AF53">
        <v>10</v>
      </c>
      <c r="AG53" t="s">
        <v>192</v>
      </c>
      <c r="AI53">
        <v>45580</v>
      </c>
      <c r="AJ53" t="s">
        <v>168</v>
      </c>
    </row>
    <row r="54" spans="1:36" x14ac:dyDescent="0.25">
      <c r="A54" s="1">
        <v>45580</v>
      </c>
      <c r="B54" t="s">
        <v>165</v>
      </c>
      <c r="C54" t="s">
        <v>10</v>
      </c>
      <c r="D54">
        <v>14.129216521561023</v>
      </c>
      <c r="E54">
        <v>20.9</v>
      </c>
      <c r="F54">
        <v>20.9</v>
      </c>
      <c r="G54">
        <v>11.1740522875817</v>
      </c>
      <c r="H54">
        <v>1.4792044532764317</v>
      </c>
      <c r="I54">
        <v>1.4792044532764317</v>
      </c>
      <c r="J54">
        <v>0.79084726817868667</v>
      </c>
      <c r="K54">
        <v>0</v>
      </c>
      <c r="L54">
        <v>0</v>
      </c>
      <c r="M54">
        <v>0.22920445327643169</v>
      </c>
      <c r="N54">
        <v>0</v>
      </c>
      <c r="O54">
        <v>0</v>
      </c>
      <c r="P54">
        <v>0</v>
      </c>
      <c r="Q54">
        <v>0</v>
      </c>
      <c r="R54">
        <v>0</v>
      </c>
      <c r="S54">
        <v>0.25</v>
      </c>
      <c r="T54">
        <v>0</v>
      </c>
      <c r="U54">
        <v>0</v>
      </c>
      <c r="V54">
        <v>0</v>
      </c>
      <c r="W54">
        <v>0.20915273182131333</v>
      </c>
      <c r="X54">
        <v>0</v>
      </c>
      <c r="Y54">
        <v>0.79084726817868667</v>
      </c>
      <c r="Z54">
        <v>0</v>
      </c>
      <c r="AA54">
        <v>0</v>
      </c>
      <c r="AB54">
        <v>0</v>
      </c>
      <c r="AC54">
        <v>0</v>
      </c>
      <c r="AD54">
        <v>0</v>
      </c>
      <c r="AE54" t="s">
        <v>212</v>
      </c>
      <c r="AF54">
        <v>10</v>
      </c>
      <c r="AG54" t="s">
        <v>193</v>
      </c>
      <c r="AI54">
        <v>45580</v>
      </c>
      <c r="AJ54" t="s">
        <v>168</v>
      </c>
    </row>
    <row r="55" spans="1:36" x14ac:dyDescent="0.25">
      <c r="A55" s="1">
        <v>45580</v>
      </c>
      <c r="B55" t="s">
        <v>165</v>
      </c>
      <c r="C55" t="s">
        <v>11</v>
      </c>
      <c r="D55">
        <v>3.5111676249447159</v>
      </c>
      <c r="E55">
        <v>7.6</v>
      </c>
      <c r="F55">
        <v>7.6</v>
      </c>
      <c r="G55">
        <v>6.8163992869875214</v>
      </c>
      <c r="H55">
        <v>2.1645221225003928</v>
      </c>
      <c r="I55">
        <v>2.1645221225003928</v>
      </c>
      <c r="J55">
        <v>1.9413482963789992</v>
      </c>
      <c r="K55">
        <v>0</v>
      </c>
      <c r="L55">
        <v>0</v>
      </c>
      <c r="M55">
        <v>0.22317382612139358</v>
      </c>
      <c r="N55">
        <v>0</v>
      </c>
      <c r="O55">
        <v>0.69134829637899919</v>
      </c>
      <c r="P55">
        <v>0</v>
      </c>
      <c r="Q55">
        <v>0.25</v>
      </c>
      <c r="R55">
        <v>0</v>
      </c>
      <c r="S55">
        <v>0</v>
      </c>
      <c r="T55">
        <v>0</v>
      </c>
      <c r="U55">
        <v>0</v>
      </c>
      <c r="V55">
        <v>0</v>
      </c>
      <c r="W55">
        <v>0</v>
      </c>
      <c r="X55">
        <v>0</v>
      </c>
      <c r="Y55">
        <v>1</v>
      </c>
      <c r="Z55">
        <v>0</v>
      </c>
      <c r="AA55">
        <v>0</v>
      </c>
      <c r="AB55">
        <v>0</v>
      </c>
      <c r="AC55">
        <v>0</v>
      </c>
      <c r="AD55">
        <v>0</v>
      </c>
      <c r="AE55" t="s">
        <v>212</v>
      </c>
      <c r="AF55">
        <v>10</v>
      </c>
      <c r="AG55" t="s">
        <v>194</v>
      </c>
      <c r="AI55">
        <v>45580</v>
      </c>
      <c r="AJ55" t="s">
        <v>168</v>
      </c>
    </row>
    <row r="56" spans="1:36" x14ac:dyDescent="0.25">
      <c r="A56" s="1">
        <v>45581</v>
      </c>
      <c r="B56" t="s">
        <v>165</v>
      </c>
      <c r="C56" t="s">
        <v>10</v>
      </c>
      <c r="D56">
        <v>14.310060866451844</v>
      </c>
      <c r="E56">
        <v>18.05</v>
      </c>
      <c r="F56">
        <v>18.05</v>
      </c>
      <c r="G56">
        <v>9.8826585179526294</v>
      </c>
      <c r="H56">
        <v>1.2613503302642115</v>
      </c>
      <c r="I56">
        <v>1.2613503302642115</v>
      </c>
      <c r="J56">
        <v>0.69060911831069094</v>
      </c>
      <c r="K56">
        <v>0</v>
      </c>
      <c r="L56">
        <v>0</v>
      </c>
      <c r="M56">
        <v>1.1350330264211506E-2</v>
      </c>
      <c r="N56">
        <v>0</v>
      </c>
      <c r="O56">
        <v>0</v>
      </c>
      <c r="P56">
        <v>0</v>
      </c>
      <c r="Q56">
        <v>0</v>
      </c>
      <c r="R56">
        <v>0</v>
      </c>
      <c r="S56">
        <v>0.25</v>
      </c>
      <c r="T56">
        <v>0</v>
      </c>
      <c r="U56">
        <v>0</v>
      </c>
      <c r="V56">
        <v>0</v>
      </c>
      <c r="W56">
        <v>0.30939088168930906</v>
      </c>
      <c r="X56">
        <v>0</v>
      </c>
      <c r="Y56">
        <v>0.69060911831069094</v>
      </c>
      <c r="Z56">
        <v>0</v>
      </c>
      <c r="AA56">
        <v>0</v>
      </c>
      <c r="AB56">
        <v>0</v>
      </c>
      <c r="AC56">
        <v>0</v>
      </c>
      <c r="AD56">
        <v>0</v>
      </c>
      <c r="AE56" t="s">
        <v>166</v>
      </c>
      <c r="AF56">
        <v>10</v>
      </c>
      <c r="AG56" t="s">
        <v>195</v>
      </c>
      <c r="AH56">
        <v>1</v>
      </c>
      <c r="AI56">
        <v>45581</v>
      </c>
      <c r="AJ56" t="s">
        <v>168</v>
      </c>
    </row>
    <row r="57" spans="1:36" x14ac:dyDescent="0.25">
      <c r="A57" s="1">
        <v>45581</v>
      </c>
      <c r="B57" t="s">
        <v>165</v>
      </c>
      <c r="C57" t="s">
        <v>11</v>
      </c>
      <c r="D57">
        <v>5.3662728249194425</v>
      </c>
      <c r="E57">
        <v>6.6499999999999995</v>
      </c>
      <c r="F57">
        <v>6.6499999999999995</v>
      </c>
      <c r="G57">
        <v>4.8515406162465</v>
      </c>
      <c r="H57">
        <v>1.2392213771016811</v>
      </c>
      <c r="I57">
        <v>1.2392213771016811</v>
      </c>
      <c r="J57">
        <v>0.90408012684657535</v>
      </c>
      <c r="K57">
        <v>0</v>
      </c>
      <c r="L57">
        <v>0</v>
      </c>
      <c r="M57">
        <v>0</v>
      </c>
      <c r="N57">
        <v>0</v>
      </c>
      <c r="O57">
        <v>0</v>
      </c>
      <c r="P57">
        <v>0</v>
      </c>
      <c r="Q57">
        <v>0</v>
      </c>
      <c r="R57">
        <v>0</v>
      </c>
      <c r="S57">
        <v>0.23922137710168112</v>
      </c>
      <c r="T57">
        <v>0</v>
      </c>
      <c r="U57">
        <v>0</v>
      </c>
      <c r="V57">
        <v>0</v>
      </c>
      <c r="W57">
        <v>9.5919873153424651E-2</v>
      </c>
      <c r="X57">
        <v>0</v>
      </c>
      <c r="Y57">
        <v>0.90408012684657535</v>
      </c>
      <c r="Z57">
        <v>0</v>
      </c>
      <c r="AA57">
        <v>0</v>
      </c>
      <c r="AB57">
        <v>0</v>
      </c>
      <c r="AC57">
        <v>0</v>
      </c>
      <c r="AD57">
        <v>0</v>
      </c>
      <c r="AE57" t="s">
        <v>166</v>
      </c>
      <c r="AF57">
        <v>10</v>
      </c>
      <c r="AG57" t="s">
        <v>196</v>
      </c>
      <c r="AH57">
        <v>1</v>
      </c>
      <c r="AI57">
        <v>45581</v>
      </c>
      <c r="AJ57" t="s">
        <v>168</v>
      </c>
    </row>
    <row r="58" spans="1:36" x14ac:dyDescent="0.25">
      <c r="A58" s="1">
        <v>45581</v>
      </c>
      <c r="B58" t="s">
        <v>165</v>
      </c>
      <c r="C58" t="s">
        <v>12</v>
      </c>
      <c r="D58">
        <v>11.626924453992125</v>
      </c>
      <c r="E58">
        <v>14.25</v>
      </c>
      <c r="F58">
        <v>14.25</v>
      </c>
      <c r="G58">
        <v>10.236646382691006</v>
      </c>
      <c r="H58">
        <v>1.2256035597708934</v>
      </c>
      <c r="I58">
        <v>1.2256035597708934</v>
      </c>
      <c r="J58">
        <v>0.88042598222750434</v>
      </c>
      <c r="K58">
        <v>0</v>
      </c>
      <c r="L58">
        <v>0</v>
      </c>
      <c r="M58">
        <v>0</v>
      </c>
      <c r="N58">
        <v>0</v>
      </c>
      <c r="O58">
        <v>0</v>
      </c>
      <c r="P58">
        <v>0</v>
      </c>
      <c r="Q58">
        <v>0</v>
      </c>
      <c r="R58">
        <v>0</v>
      </c>
      <c r="S58">
        <v>0.22560355977089341</v>
      </c>
      <c r="T58">
        <v>0</v>
      </c>
      <c r="U58">
        <v>0</v>
      </c>
      <c r="V58">
        <v>0</v>
      </c>
      <c r="W58">
        <v>0.11957401777249566</v>
      </c>
      <c r="X58">
        <v>0</v>
      </c>
      <c r="Y58">
        <v>0.88042598222750434</v>
      </c>
      <c r="Z58">
        <v>0</v>
      </c>
      <c r="AA58">
        <v>0</v>
      </c>
      <c r="AB58">
        <v>0</v>
      </c>
      <c r="AC58">
        <v>0</v>
      </c>
      <c r="AD58">
        <v>0</v>
      </c>
      <c r="AE58" t="s">
        <v>166</v>
      </c>
      <c r="AF58">
        <v>10</v>
      </c>
      <c r="AG58" t="s">
        <v>197</v>
      </c>
      <c r="AH58">
        <v>1</v>
      </c>
      <c r="AI58">
        <v>45581</v>
      </c>
      <c r="AJ58" t="s">
        <v>168</v>
      </c>
    </row>
    <row r="59" spans="1:36" x14ac:dyDescent="0.25">
      <c r="A59" s="1">
        <v>45581</v>
      </c>
      <c r="B59" t="s">
        <v>165</v>
      </c>
      <c r="C59" t="s">
        <v>10</v>
      </c>
      <c r="D59">
        <v>14.129216521561023</v>
      </c>
      <c r="E59">
        <v>21.85</v>
      </c>
      <c r="F59">
        <v>21.85</v>
      </c>
      <c r="G59">
        <v>12.2953283945157</v>
      </c>
      <c r="H59">
        <v>1.5464410193344511</v>
      </c>
      <c r="I59">
        <v>1.5464410193344511</v>
      </c>
      <c r="J59">
        <v>0.87020595768726239</v>
      </c>
      <c r="K59">
        <v>0</v>
      </c>
      <c r="L59">
        <v>0</v>
      </c>
      <c r="M59">
        <v>0.29644101933445111</v>
      </c>
      <c r="N59">
        <v>0</v>
      </c>
      <c r="O59">
        <v>0</v>
      </c>
      <c r="P59">
        <v>0</v>
      </c>
      <c r="Q59">
        <v>0</v>
      </c>
      <c r="R59">
        <v>0</v>
      </c>
      <c r="S59">
        <v>0.25</v>
      </c>
      <c r="T59">
        <v>0</v>
      </c>
      <c r="U59">
        <v>0</v>
      </c>
      <c r="V59">
        <v>0</v>
      </c>
      <c r="W59">
        <v>0.12979404231273761</v>
      </c>
      <c r="X59">
        <v>0</v>
      </c>
      <c r="Y59">
        <v>0.87020595768726239</v>
      </c>
      <c r="Z59">
        <v>0</v>
      </c>
      <c r="AA59">
        <v>0</v>
      </c>
      <c r="AB59">
        <v>0</v>
      </c>
      <c r="AC59">
        <v>0</v>
      </c>
      <c r="AD59">
        <v>0</v>
      </c>
      <c r="AE59" t="s">
        <v>212</v>
      </c>
      <c r="AF59">
        <v>10</v>
      </c>
      <c r="AG59" t="s">
        <v>195</v>
      </c>
      <c r="AI59">
        <v>45581</v>
      </c>
      <c r="AJ59" t="s">
        <v>168</v>
      </c>
    </row>
    <row r="60" spans="1:36" x14ac:dyDescent="0.25">
      <c r="A60" s="1">
        <v>45581</v>
      </c>
      <c r="B60" t="s">
        <v>165</v>
      </c>
      <c r="C60" t="s">
        <v>11</v>
      </c>
      <c r="D60">
        <v>3.5111676249447159</v>
      </c>
      <c r="E60">
        <v>5.6999999999999993</v>
      </c>
      <c r="F60">
        <v>5.6999999999999993</v>
      </c>
      <c r="G60">
        <v>6.7880664227413456</v>
      </c>
      <c r="H60">
        <v>1.6233915918752946</v>
      </c>
      <c r="I60">
        <v>1.6233915918752946</v>
      </c>
      <c r="J60">
        <v>1.9332789396086509</v>
      </c>
      <c r="K60">
        <v>0.30988734773335636</v>
      </c>
      <c r="L60">
        <v>0</v>
      </c>
      <c r="M60">
        <v>0</v>
      </c>
      <c r="N60">
        <v>0</v>
      </c>
      <c r="O60">
        <v>0.37339159187529458</v>
      </c>
      <c r="P60">
        <v>0</v>
      </c>
      <c r="Q60">
        <v>0.25</v>
      </c>
      <c r="R60">
        <v>0</v>
      </c>
      <c r="S60">
        <v>0</v>
      </c>
      <c r="T60">
        <v>0</v>
      </c>
      <c r="U60">
        <v>0</v>
      </c>
      <c r="V60">
        <v>0</v>
      </c>
      <c r="W60">
        <v>0</v>
      </c>
      <c r="X60">
        <v>0</v>
      </c>
      <c r="Y60">
        <v>1</v>
      </c>
      <c r="Z60">
        <v>0</v>
      </c>
      <c r="AA60">
        <v>0</v>
      </c>
      <c r="AB60">
        <v>0</v>
      </c>
      <c r="AC60">
        <v>0</v>
      </c>
      <c r="AD60">
        <v>0</v>
      </c>
      <c r="AE60" t="s">
        <v>212</v>
      </c>
      <c r="AF60">
        <v>10</v>
      </c>
      <c r="AG60" t="s">
        <v>196</v>
      </c>
      <c r="AI60">
        <v>45581</v>
      </c>
      <c r="AJ60" t="s">
        <v>168</v>
      </c>
    </row>
    <row r="61" spans="1:36" x14ac:dyDescent="0.25">
      <c r="A61" s="1">
        <v>45581</v>
      </c>
      <c r="B61" t="s">
        <v>165</v>
      </c>
      <c r="C61" t="s">
        <v>12</v>
      </c>
      <c r="D61">
        <v>12.417771069086861</v>
      </c>
      <c r="E61">
        <v>11.4</v>
      </c>
      <c r="F61">
        <v>11.4</v>
      </c>
      <c r="G61">
        <v>10.519210794365591</v>
      </c>
      <c r="H61">
        <v>0.91803915022877747</v>
      </c>
      <c r="I61">
        <v>0.91803915022877747</v>
      </c>
      <c r="J61">
        <v>0.84710941567866416</v>
      </c>
      <c r="K61">
        <v>0</v>
      </c>
      <c r="L61">
        <v>0</v>
      </c>
      <c r="M61">
        <v>0</v>
      </c>
      <c r="N61">
        <v>0</v>
      </c>
      <c r="O61">
        <v>0</v>
      </c>
      <c r="P61">
        <v>0</v>
      </c>
      <c r="Q61">
        <v>0</v>
      </c>
      <c r="R61">
        <v>0</v>
      </c>
      <c r="S61">
        <v>0</v>
      </c>
      <c r="T61">
        <v>0</v>
      </c>
      <c r="U61">
        <v>8.1960849771222533E-2</v>
      </c>
      <c r="V61">
        <v>0</v>
      </c>
      <c r="W61">
        <v>7.092973455011331E-2</v>
      </c>
      <c r="X61">
        <v>0</v>
      </c>
      <c r="Y61">
        <v>0.84710941567866416</v>
      </c>
      <c r="Z61">
        <v>0</v>
      </c>
      <c r="AA61">
        <v>0</v>
      </c>
      <c r="AB61">
        <v>0</v>
      </c>
      <c r="AC61">
        <v>0</v>
      </c>
      <c r="AD61">
        <v>0</v>
      </c>
      <c r="AE61" t="s">
        <v>212</v>
      </c>
      <c r="AF61">
        <v>10</v>
      </c>
      <c r="AG61" t="s">
        <v>197</v>
      </c>
      <c r="AI61">
        <v>45581</v>
      </c>
      <c r="AJ61" t="s">
        <v>168</v>
      </c>
    </row>
    <row r="62" spans="1:36" x14ac:dyDescent="0.25">
      <c r="A62" s="1">
        <v>45582</v>
      </c>
      <c r="B62" t="s">
        <v>165</v>
      </c>
      <c r="C62" t="s">
        <v>11</v>
      </c>
      <c r="D62">
        <v>5.3662728249194425</v>
      </c>
      <c r="E62">
        <v>6.6499999999999995</v>
      </c>
      <c r="F62">
        <v>6.6499999999999995</v>
      </c>
      <c r="G62">
        <v>5.7943977591036422</v>
      </c>
      <c r="H62">
        <v>1.2392213771016811</v>
      </c>
      <c r="I62">
        <v>1.2392213771016811</v>
      </c>
      <c r="J62">
        <v>1.0797806872949338</v>
      </c>
      <c r="K62">
        <v>0</v>
      </c>
      <c r="L62">
        <v>0</v>
      </c>
      <c r="M62">
        <v>0</v>
      </c>
      <c r="N62">
        <v>0</v>
      </c>
      <c r="O62">
        <v>0</v>
      </c>
      <c r="P62">
        <v>0</v>
      </c>
      <c r="Q62">
        <v>7.9780687294933816E-2</v>
      </c>
      <c r="R62">
        <v>0</v>
      </c>
      <c r="S62">
        <v>0.1594406898067473</v>
      </c>
      <c r="T62">
        <v>0</v>
      </c>
      <c r="U62">
        <v>0</v>
      </c>
      <c r="V62">
        <v>0</v>
      </c>
      <c r="W62">
        <v>0</v>
      </c>
      <c r="X62">
        <v>0</v>
      </c>
      <c r="Y62">
        <v>1</v>
      </c>
      <c r="Z62">
        <v>0</v>
      </c>
      <c r="AA62">
        <v>0</v>
      </c>
      <c r="AB62">
        <v>0</v>
      </c>
      <c r="AC62">
        <v>0</v>
      </c>
      <c r="AD62">
        <v>0</v>
      </c>
      <c r="AE62" t="s">
        <v>166</v>
      </c>
      <c r="AF62">
        <v>10</v>
      </c>
      <c r="AG62" t="s">
        <v>198</v>
      </c>
      <c r="AH62">
        <v>1</v>
      </c>
      <c r="AI62">
        <v>45582</v>
      </c>
      <c r="AJ62" t="s">
        <v>168</v>
      </c>
    </row>
    <row r="63" spans="1:36" x14ac:dyDescent="0.25">
      <c r="A63" s="1">
        <v>45582</v>
      </c>
      <c r="B63" t="s">
        <v>165</v>
      </c>
      <c r="C63" t="s">
        <v>10</v>
      </c>
      <c r="D63">
        <v>14.310060866451844</v>
      </c>
      <c r="E63">
        <v>17.099999999999998</v>
      </c>
      <c r="F63">
        <v>17.099999999999998</v>
      </c>
      <c r="G63">
        <v>12.961613971101633</v>
      </c>
      <c r="H63">
        <v>1.1949634707766212</v>
      </c>
      <c r="I63">
        <v>1.1949634707766212</v>
      </c>
      <c r="J63">
        <v>0.90576931098095625</v>
      </c>
      <c r="K63">
        <v>0</v>
      </c>
      <c r="L63">
        <v>0</v>
      </c>
      <c r="M63">
        <v>0</v>
      </c>
      <c r="N63">
        <v>0</v>
      </c>
      <c r="O63">
        <v>0</v>
      </c>
      <c r="P63">
        <v>0</v>
      </c>
      <c r="Q63">
        <v>0</v>
      </c>
      <c r="R63">
        <v>0</v>
      </c>
      <c r="S63">
        <v>0.19496347077662124</v>
      </c>
      <c r="T63">
        <v>0</v>
      </c>
      <c r="U63">
        <v>0</v>
      </c>
      <c r="V63">
        <v>0</v>
      </c>
      <c r="W63">
        <v>9.4230689019043745E-2</v>
      </c>
      <c r="X63">
        <v>0</v>
      </c>
      <c r="Y63">
        <v>0.90576931098095625</v>
      </c>
      <c r="Z63">
        <v>0</v>
      </c>
      <c r="AA63">
        <v>0</v>
      </c>
      <c r="AB63">
        <v>0</v>
      </c>
      <c r="AC63">
        <v>0</v>
      </c>
      <c r="AD63">
        <v>0</v>
      </c>
      <c r="AE63" t="s">
        <v>166</v>
      </c>
      <c r="AF63">
        <v>10</v>
      </c>
      <c r="AG63" t="s">
        <v>199</v>
      </c>
      <c r="AH63">
        <v>1</v>
      </c>
      <c r="AI63">
        <v>45582</v>
      </c>
      <c r="AJ63" t="s">
        <v>168</v>
      </c>
    </row>
    <row r="64" spans="1:36" x14ac:dyDescent="0.25">
      <c r="A64" s="1">
        <v>45582</v>
      </c>
      <c r="B64" t="s">
        <v>165</v>
      </c>
      <c r="C64" t="s">
        <v>12</v>
      </c>
      <c r="D64">
        <v>11.626924453992126</v>
      </c>
      <c r="E64">
        <v>14.25</v>
      </c>
      <c r="F64">
        <v>14.25</v>
      </c>
      <c r="G64">
        <v>11.010839931078101</v>
      </c>
      <c r="H64">
        <v>1.2256035597708932</v>
      </c>
      <c r="I64">
        <v>1.2256035597708932</v>
      </c>
      <c r="J64">
        <v>0.94701225372609243</v>
      </c>
      <c r="K64">
        <v>0</v>
      </c>
      <c r="L64">
        <v>0</v>
      </c>
      <c r="M64">
        <v>0</v>
      </c>
      <c r="N64">
        <v>0</v>
      </c>
      <c r="O64">
        <v>0</v>
      </c>
      <c r="P64">
        <v>0</v>
      </c>
      <c r="Q64">
        <v>0</v>
      </c>
      <c r="R64">
        <v>0</v>
      </c>
      <c r="S64">
        <v>0.22560355977089319</v>
      </c>
      <c r="T64">
        <v>0</v>
      </c>
      <c r="U64">
        <v>0</v>
      </c>
      <c r="V64">
        <v>0</v>
      </c>
      <c r="W64">
        <v>5.2987746273907566E-2</v>
      </c>
      <c r="X64">
        <v>0</v>
      </c>
      <c r="Y64">
        <v>0.94701225372609243</v>
      </c>
      <c r="Z64">
        <v>0</v>
      </c>
      <c r="AA64">
        <v>0</v>
      </c>
      <c r="AB64">
        <v>0</v>
      </c>
      <c r="AC64">
        <v>0</v>
      </c>
      <c r="AD64">
        <v>0</v>
      </c>
      <c r="AE64" t="s">
        <v>166</v>
      </c>
      <c r="AF64">
        <v>10</v>
      </c>
      <c r="AG64" t="s">
        <v>200</v>
      </c>
      <c r="AH64">
        <v>1</v>
      </c>
      <c r="AI64">
        <v>45582</v>
      </c>
      <c r="AJ64" t="s">
        <v>168</v>
      </c>
    </row>
    <row r="65" spans="1:36" x14ac:dyDescent="0.25">
      <c r="A65" s="1">
        <v>45582</v>
      </c>
      <c r="B65" t="s">
        <v>165</v>
      </c>
      <c r="C65" t="s">
        <v>11</v>
      </c>
      <c r="D65">
        <v>3.5111676249447159</v>
      </c>
      <c r="E65">
        <v>5.6999999999999993</v>
      </c>
      <c r="F65">
        <v>5.6999999999999993</v>
      </c>
      <c r="G65">
        <v>7.7290552584670227</v>
      </c>
      <c r="H65">
        <v>1.6233915918752946</v>
      </c>
      <c r="I65">
        <v>1.6233915918752946</v>
      </c>
      <c r="J65">
        <v>2.2012777753920871</v>
      </c>
      <c r="K65">
        <v>0.57788618351679255</v>
      </c>
      <c r="L65">
        <v>0</v>
      </c>
      <c r="M65">
        <v>0</v>
      </c>
      <c r="N65">
        <v>0</v>
      </c>
      <c r="O65">
        <v>0.37339159187529458</v>
      </c>
      <c r="P65">
        <v>0</v>
      </c>
      <c r="Q65">
        <v>0.25</v>
      </c>
      <c r="R65">
        <v>0</v>
      </c>
      <c r="S65">
        <v>0</v>
      </c>
      <c r="T65">
        <v>0</v>
      </c>
      <c r="U65">
        <v>0</v>
      </c>
      <c r="V65">
        <v>0</v>
      </c>
      <c r="W65">
        <v>0</v>
      </c>
      <c r="X65">
        <v>0</v>
      </c>
      <c r="Y65">
        <v>1</v>
      </c>
      <c r="Z65">
        <v>0</v>
      </c>
      <c r="AA65">
        <v>0</v>
      </c>
      <c r="AB65">
        <v>0</v>
      </c>
      <c r="AC65">
        <v>0</v>
      </c>
      <c r="AD65">
        <v>0</v>
      </c>
      <c r="AE65" t="s">
        <v>212</v>
      </c>
      <c r="AF65">
        <v>10</v>
      </c>
      <c r="AG65" t="s">
        <v>198</v>
      </c>
      <c r="AI65">
        <v>45582</v>
      </c>
      <c r="AJ65" t="s">
        <v>168</v>
      </c>
    </row>
    <row r="66" spans="1:36" x14ac:dyDescent="0.25">
      <c r="A66" s="1">
        <v>45582</v>
      </c>
      <c r="B66" t="s">
        <v>165</v>
      </c>
      <c r="C66" t="s">
        <v>10</v>
      </c>
      <c r="D66">
        <v>14.12921652156102</v>
      </c>
      <c r="E66">
        <v>16.149999999999999</v>
      </c>
      <c r="F66">
        <v>16.149999999999999</v>
      </c>
      <c r="G66">
        <v>13.835679271708679</v>
      </c>
      <c r="H66">
        <v>1.1430216229863337</v>
      </c>
      <c r="I66">
        <v>1.1430216229863337</v>
      </c>
      <c r="J66">
        <v>0.97922480348401442</v>
      </c>
      <c r="K66">
        <v>0</v>
      </c>
      <c r="L66">
        <v>0</v>
      </c>
      <c r="M66">
        <v>0</v>
      </c>
      <c r="N66">
        <v>0</v>
      </c>
      <c r="O66">
        <v>0</v>
      </c>
      <c r="P66">
        <v>0</v>
      </c>
      <c r="Q66">
        <v>0</v>
      </c>
      <c r="R66">
        <v>0</v>
      </c>
      <c r="S66">
        <v>0.1430216229863337</v>
      </c>
      <c r="T66">
        <v>0</v>
      </c>
      <c r="U66">
        <v>0</v>
      </c>
      <c r="V66">
        <v>0</v>
      </c>
      <c r="W66">
        <v>2.0775196515985583E-2</v>
      </c>
      <c r="X66">
        <v>0</v>
      </c>
      <c r="Y66">
        <v>0.97922480348401442</v>
      </c>
      <c r="Z66">
        <v>0</v>
      </c>
      <c r="AA66">
        <v>0</v>
      </c>
      <c r="AB66">
        <v>0</v>
      </c>
      <c r="AC66">
        <v>0</v>
      </c>
      <c r="AD66">
        <v>0</v>
      </c>
      <c r="AE66" t="s">
        <v>212</v>
      </c>
      <c r="AF66">
        <v>10</v>
      </c>
      <c r="AG66" t="s">
        <v>199</v>
      </c>
      <c r="AI66">
        <v>45582</v>
      </c>
      <c r="AJ66" t="s">
        <v>168</v>
      </c>
    </row>
    <row r="67" spans="1:36" x14ac:dyDescent="0.25">
      <c r="A67" s="1">
        <v>45582</v>
      </c>
      <c r="B67" t="s">
        <v>165</v>
      </c>
      <c r="C67" t="s">
        <v>12</v>
      </c>
      <c r="D67">
        <v>12.417771069086861</v>
      </c>
      <c r="E67">
        <v>13.3</v>
      </c>
      <c r="F67">
        <v>13.3</v>
      </c>
      <c r="G67">
        <v>10.513018843901197</v>
      </c>
      <c r="H67">
        <v>1.0710456752669071</v>
      </c>
      <c r="I67">
        <v>1.0710456752669071</v>
      </c>
      <c r="J67">
        <v>0.84661077945562979</v>
      </c>
      <c r="K67">
        <v>0</v>
      </c>
      <c r="L67">
        <v>0</v>
      </c>
      <c r="M67">
        <v>0</v>
      </c>
      <c r="N67">
        <v>0</v>
      </c>
      <c r="O67">
        <v>0</v>
      </c>
      <c r="P67">
        <v>0</v>
      </c>
      <c r="Q67">
        <v>0</v>
      </c>
      <c r="R67">
        <v>0</v>
      </c>
      <c r="S67">
        <v>7.1045675266907082E-2</v>
      </c>
      <c r="T67">
        <v>0</v>
      </c>
      <c r="U67">
        <v>0</v>
      </c>
      <c r="V67">
        <v>0</v>
      </c>
      <c r="W67">
        <v>0.15338922054437021</v>
      </c>
      <c r="X67">
        <v>0</v>
      </c>
      <c r="Y67">
        <v>0.84661077945562979</v>
      </c>
      <c r="Z67">
        <v>0</v>
      </c>
      <c r="AA67">
        <v>0</v>
      </c>
      <c r="AB67">
        <v>0</v>
      </c>
      <c r="AC67">
        <v>0</v>
      </c>
      <c r="AD67">
        <v>0</v>
      </c>
      <c r="AE67" t="s">
        <v>212</v>
      </c>
      <c r="AF67">
        <v>10</v>
      </c>
      <c r="AG67" t="s">
        <v>200</v>
      </c>
      <c r="AI67">
        <v>45582</v>
      </c>
      <c r="AJ67" t="s">
        <v>168</v>
      </c>
    </row>
    <row r="68" spans="1:36" x14ac:dyDescent="0.25">
      <c r="A68" s="1">
        <v>45583</v>
      </c>
      <c r="B68" t="s">
        <v>165</v>
      </c>
      <c r="C68" t="s">
        <v>10</v>
      </c>
      <c r="D68">
        <v>14.310060866451844</v>
      </c>
      <c r="E68">
        <v>17.099999999999998</v>
      </c>
      <c r="F68">
        <v>17.099999999999998</v>
      </c>
      <c r="G68">
        <v>13.219556913674561</v>
      </c>
      <c r="H68">
        <v>1.1949634707766212</v>
      </c>
      <c r="I68">
        <v>1.1949634707766212</v>
      </c>
      <c r="J68">
        <v>0.92379459717506629</v>
      </c>
      <c r="K68">
        <v>0</v>
      </c>
      <c r="L68">
        <v>0</v>
      </c>
      <c r="M68">
        <v>0</v>
      </c>
      <c r="N68">
        <v>0</v>
      </c>
      <c r="O68">
        <v>0</v>
      </c>
      <c r="P68">
        <v>0</v>
      </c>
      <c r="Q68">
        <v>0</v>
      </c>
      <c r="R68">
        <v>0</v>
      </c>
      <c r="S68">
        <v>0.19496347077662124</v>
      </c>
      <c r="T68">
        <v>0</v>
      </c>
      <c r="U68">
        <v>0</v>
      </c>
      <c r="V68">
        <v>0</v>
      </c>
      <c r="W68">
        <v>7.620540282493371E-2</v>
      </c>
      <c r="X68">
        <v>0</v>
      </c>
      <c r="Y68">
        <v>0.92379459717506629</v>
      </c>
      <c r="Z68">
        <v>0</v>
      </c>
      <c r="AA68">
        <v>0</v>
      </c>
      <c r="AB68">
        <v>0</v>
      </c>
      <c r="AC68">
        <v>0</v>
      </c>
      <c r="AD68">
        <v>0</v>
      </c>
      <c r="AE68" t="s">
        <v>166</v>
      </c>
      <c r="AF68">
        <v>10</v>
      </c>
      <c r="AG68" t="s">
        <v>201</v>
      </c>
      <c r="AH68">
        <v>1</v>
      </c>
      <c r="AI68">
        <v>45583</v>
      </c>
      <c r="AJ68" t="s">
        <v>168</v>
      </c>
    </row>
    <row r="69" spans="1:36" x14ac:dyDescent="0.25">
      <c r="A69" s="1">
        <v>45583</v>
      </c>
      <c r="B69" t="s">
        <v>165</v>
      </c>
      <c r="C69" t="s">
        <v>11</v>
      </c>
      <c r="D69">
        <v>5.3662728249194425</v>
      </c>
      <c r="E69">
        <v>5.6999999999999993</v>
      </c>
      <c r="F69">
        <v>5.6999999999999993</v>
      </c>
      <c r="G69">
        <v>5.7943977591036422</v>
      </c>
      <c r="H69">
        <v>1.0621897518014409</v>
      </c>
      <c r="I69">
        <v>1.0621897518014409</v>
      </c>
      <c r="J69">
        <v>1.0797806872949338</v>
      </c>
      <c r="K69">
        <v>1.7590935493492887E-2</v>
      </c>
      <c r="L69">
        <v>0</v>
      </c>
      <c r="M69">
        <v>0</v>
      </c>
      <c r="N69">
        <v>0</v>
      </c>
      <c r="O69">
        <v>0</v>
      </c>
      <c r="P69">
        <v>0</v>
      </c>
      <c r="Q69">
        <v>6.2189751801440929E-2</v>
      </c>
      <c r="R69">
        <v>0</v>
      </c>
      <c r="S69">
        <v>0</v>
      </c>
      <c r="T69">
        <v>0</v>
      </c>
      <c r="U69">
        <v>0</v>
      </c>
      <c r="V69">
        <v>0</v>
      </c>
      <c r="W69">
        <v>0</v>
      </c>
      <c r="X69">
        <v>0</v>
      </c>
      <c r="Y69">
        <v>1</v>
      </c>
      <c r="Z69">
        <v>0</v>
      </c>
      <c r="AA69">
        <v>0</v>
      </c>
      <c r="AB69">
        <v>0</v>
      </c>
      <c r="AC69">
        <v>0</v>
      </c>
      <c r="AD69">
        <v>0</v>
      </c>
      <c r="AE69" t="s">
        <v>166</v>
      </c>
      <c r="AF69">
        <v>10</v>
      </c>
      <c r="AG69" t="s">
        <v>202</v>
      </c>
      <c r="AH69">
        <v>1</v>
      </c>
      <c r="AI69">
        <v>45583</v>
      </c>
      <c r="AJ69" t="s">
        <v>168</v>
      </c>
    </row>
    <row r="70" spans="1:36" x14ac:dyDescent="0.25">
      <c r="A70" s="1">
        <v>45583</v>
      </c>
      <c r="B70" t="s">
        <v>165</v>
      </c>
      <c r="C70" t="s">
        <v>12</v>
      </c>
      <c r="D70">
        <v>11.626924453992125</v>
      </c>
      <c r="E70">
        <v>14.25</v>
      </c>
      <c r="F70">
        <v>14.25</v>
      </c>
      <c r="G70">
        <v>10.301555104800537</v>
      </c>
      <c r="H70">
        <v>1.2256035597708934</v>
      </c>
      <c r="I70">
        <v>1.2256035597708934</v>
      </c>
      <c r="J70">
        <v>0.8860086040434777</v>
      </c>
      <c r="K70">
        <v>0</v>
      </c>
      <c r="L70">
        <v>0</v>
      </c>
      <c r="M70">
        <v>0</v>
      </c>
      <c r="N70">
        <v>0</v>
      </c>
      <c r="O70">
        <v>0</v>
      </c>
      <c r="P70">
        <v>0</v>
      </c>
      <c r="Q70">
        <v>0</v>
      </c>
      <c r="R70">
        <v>0</v>
      </c>
      <c r="S70">
        <v>0.22560355977089341</v>
      </c>
      <c r="T70">
        <v>0</v>
      </c>
      <c r="U70">
        <v>0</v>
      </c>
      <c r="V70">
        <v>0</v>
      </c>
      <c r="W70">
        <v>0.1139913959565223</v>
      </c>
      <c r="X70">
        <v>0</v>
      </c>
      <c r="Y70">
        <v>0.8860086040434777</v>
      </c>
      <c r="Z70">
        <v>0</v>
      </c>
      <c r="AA70">
        <v>0</v>
      </c>
      <c r="AB70">
        <v>0</v>
      </c>
      <c r="AC70">
        <v>0</v>
      </c>
      <c r="AD70">
        <v>0</v>
      </c>
      <c r="AE70" t="s">
        <v>166</v>
      </c>
      <c r="AF70">
        <v>10</v>
      </c>
      <c r="AG70" t="s">
        <v>203</v>
      </c>
      <c r="AH70">
        <v>1</v>
      </c>
      <c r="AI70">
        <v>45583</v>
      </c>
      <c r="AJ70" t="s">
        <v>168</v>
      </c>
    </row>
    <row r="71" spans="1:36" x14ac:dyDescent="0.25">
      <c r="A71" s="1">
        <v>45583</v>
      </c>
      <c r="B71" t="s">
        <v>165</v>
      </c>
      <c r="C71" t="s">
        <v>10</v>
      </c>
      <c r="D71">
        <v>14.129216521561023</v>
      </c>
      <c r="E71">
        <v>22.799999999999997</v>
      </c>
      <c r="F71">
        <v>22.799999999999997</v>
      </c>
      <c r="G71">
        <v>12.071813725490191</v>
      </c>
      <c r="H71">
        <v>1.6136775853924707</v>
      </c>
      <c r="I71">
        <v>1.6136775853924707</v>
      </c>
      <c r="J71">
        <v>0.85438663262529391</v>
      </c>
      <c r="K71">
        <v>0</v>
      </c>
      <c r="L71">
        <v>0</v>
      </c>
      <c r="M71">
        <v>0.36367758539247075</v>
      </c>
      <c r="N71">
        <v>0</v>
      </c>
      <c r="O71">
        <v>0</v>
      </c>
      <c r="P71">
        <v>0</v>
      </c>
      <c r="Q71">
        <v>0</v>
      </c>
      <c r="R71">
        <v>0</v>
      </c>
      <c r="S71">
        <v>0.25</v>
      </c>
      <c r="T71">
        <v>0</v>
      </c>
      <c r="U71">
        <v>0</v>
      </c>
      <c r="V71">
        <v>0</v>
      </c>
      <c r="W71">
        <v>0.14561336737470609</v>
      </c>
      <c r="X71">
        <v>0</v>
      </c>
      <c r="Y71">
        <v>0.85438663262529391</v>
      </c>
      <c r="Z71">
        <v>0</v>
      </c>
      <c r="AA71">
        <v>0</v>
      </c>
      <c r="AB71">
        <v>0</v>
      </c>
      <c r="AC71">
        <v>0</v>
      </c>
      <c r="AD71">
        <v>0</v>
      </c>
      <c r="AE71" t="s">
        <v>212</v>
      </c>
      <c r="AF71">
        <v>10</v>
      </c>
      <c r="AG71" t="s">
        <v>201</v>
      </c>
      <c r="AI71">
        <v>45583</v>
      </c>
      <c r="AJ71" t="s">
        <v>168</v>
      </c>
    </row>
    <row r="72" spans="1:36" x14ac:dyDescent="0.25">
      <c r="A72" s="1">
        <v>45583</v>
      </c>
      <c r="B72" t="s">
        <v>165</v>
      </c>
      <c r="C72" t="s">
        <v>11</v>
      </c>
      <c r="D72">
        <v>3.5111676249447159</v>
      </c>
      <c r="E72">
        <v>7.6</v>
      </c>
      <c r="F72">
        <v>7.6</v>
      </c>
      <c r="G72">
        <v>6.8163992869875214</v>
      </c>
      <c r="H72">
        <v>2.1645221225003928</v>
      </c>
      <c r="I72">
        <v>2.1645221225003928</v>
      </c>
      <c r="J72">
        <v>1.9413482963789992</v>
      </c>
      <c r="K72">
        <v>0</v>
      </c>
      <c r="L72">
        <v>0</v>
      </c>
      <c r="M72">
        <v>0.22317382612139358</v>
      </c>
      <c r="N72">
        <v>0</v>
      </c>
      <c r="O72">
        <v>0.69134829637899919</v>
      </c>
      <c r="P72">
        <v>0</v>
      </c>
      <c r="Q72">
        <v>0.25</v>
      </c>
      <c r="R72">
        <v>0</v>
      </c>
      <c r="S72">
        <v>0</v>
      </c>
      <c r="T72">
        <v>0</v>
      </c>
      <c r="U72">
        <v>0</v>
      </c>
      <c r="V72">
        <v>0</v>
      </c>
      <c r="W72">
        <v>0</v>
      </c>
      <c r="X72">
        <v>0</v>
      </c>
      <c r="Y72">
        <v>1</v>
      </c>
      <c r="Z72">
        <v>0</v>
      </c>
      <c r="AA72">
        <v>0</v>
      </c>
      <c r="AB72">
        <v>0</v>
      </c>
      <c r="AC72">
        <v>0</v>
      </c>
      <c r="AD72">
        <v>0</v>
      </c>
      <c r="AE72" t="s">
        <v>212</v>
      </c>
      <c r="AF72">
        <v>10</v>
      </c>
      <c r="AG72" t="s">
        <v>202</v>
      </c>
      <c r="AI72">
        <v>45583</v>
      </c>
      <c r="AJ72" t="s">
        <v>168</v>
      </c>
    </row>
    <row r="73" spans="1:36" x14ac:dyDescent="0.25">
      <c r="A73" s="1">
        <v>45583</v>
      </c>
      <c r="B73" t="s">
        <v>165</v>
      </c>
      <c r="C73" t="s">
        <v>12</v>
      </c>
      <c r="D73">
        <v>12.417771069086861</v>
      </c>
      <c r="E73">
        <v>11.4</v>
      </c>
      <c r="F73">
        <v>11.4</v>
      </c>
      <c r="G73">
        <v>10.722593582887695</v>
      </c>
      <c r="H73">
        <v>0.91803915022877747</v>
      </c>
      <c r="I73">
        <v>0.91803915022877747</v>
      </c>
      <c r="J73">
        <v>0.86348778079673361</v>
      </c>
      <c r="K73">
        <v>0</v>
      </c>
      <c r="L73">
        <v>0</v>
      </c>
      <c r="M73">
        <v>0</v>
      </c>
      <c r="N73">
        <v>0</v>
      </c>
      <c r="O73">
        <v>0</v>
      </c>
      <c r="P73">
        <v>0</v>
      </c>
      <c r="Q73">
        <v>0</v>
      </c>
      <c r="R73">
        <v>0</v>
      </c>
      <c r="S73">
        <v>0</v>
      </c>
      <c r="T73">
        <v>0</v>
      </c>
      <c r="U73">
        <v>8.1960849771222533E-2</v>
      </c>
      <c r="V73">
        <v>0</v>
      </c>
      <c r="W73">
        <v>5.4551369432043861E-2</v>
      </c>
      <c r="X73">
        <v>0</v>
      </c>
      <c r="Y73">
        <v>0.86348778079673361</v>
      </c>
      <c r="Z73">
        <v>0</v>
      </c>
      <c r="AA73">
        <v>0</v>
      </c>
      <c r="AB73">
        <v>0</v>
      </c>
      <c r="AC73">
        <v>0</v>
      </c>
      <c r="AD73">
        <v>0</v>
      </c>
      <c r="AE73" t="s">
        <v>212</v>
      </c>
      <c r="AF73">
        <v>10</v>
      </c>
      <c r="AG73" t="s">
        <v>203</v>
      </c>
      <c r="AI73">
        <v>45583</v>
      </c>
      <c r="AJ73" t="s">
        <v>168</v>
      </c>
    </row>
    <row r="74" spans="1:36" x14ac:dyDescent="0.25">
      <c r="A74" s="1">
        <v>45584</v>
      </c>
      <c r="B74" t="s">
        <v>165</v>
      </c>
      <c r="C74" t="s">
        <v>10</v>
      </c>
      <c r="D74">
        <v>14.310060866451844</v>
      </c>
      <c r="E74">
        <v>18.05</v>
      </c>
      <c r="F74">
        <v>18.05</v>
      </c>
      <c r="G74">
        <v>13.935477731762557</v>
      </c>
      <c r="H74">
        <v>1.2613503302642115</v>
      </c>
      <c r="I74">
        <v>1.2613503302642115</v>
      </c>
      <c r="J74">
        <v>0.97382379165364352</v>
      </c>
      <c r="K74">
        <v>0</v>
      </c>
      <c r="L74">
        <v>0</v>
      </c>
      <c r="M74">
        <v>1.1350330264211506E-2</v>
      </c>
      <c r="N74">
        <v>0</v>
      </c>
      <c r="O74">
        <v>0</v>
      </c>
      <c r="P74">
        <v>0</v>
      </c>
      <c r="Q74">
        <v>0</v>
      </c>
      <c r="R74">
        <v>0</v>
      </c>
      <c r="S74">
        <v>0.25</v>
      </c>
      <c r="T74">
        <v>0</v>
      </c>
      <c r="U74">
        <v>0</v>
      </c>
      <c r="V74">
        <v>0</v>
      </c>
      <c r="W74">
        <v>2.6176208346356478E-2</v>
      </c>
      <c r="X74">
        <v>0</v>
      </c>
      <c r="Y74">
        <v>0.97382379165364352</v>
      </c>
      <c r="Z74">
        <v>0</v>
      </c>
      <c r="AA74">
        <v>0</v>
      </c>
      <c r="AB74">
        <v>0</v>
      </c>
      <c r="AC74">
        <v>0</v>
      </c>
      <c r="AD74">
        <v>0</v>
      </c>
      <c r="AE74" t="s">
        <v>166</v>
      </c>
      <c r="AF74">
        <v>10</v>
      </c>
      <c r="AG74" t="s">
        <v>204</v>
      </c>
      <c r="AH74">
        <v>1</v>
      </c>
      <c r="AI74">
        <v>45584</v>
      </c>
      <c r="AJ74" t="s">
        <v>168</v>
      </c>
    </row>
    <row r="75" spans="1:36" x14ac:dyDescent="0.25">
      <c r="A75" s="1">
        <v>45584</v>
      </c>
      <c r="B75" t="s">
        <v>165</v>
      </c>
      <c r="C75" t="s">
        <v>11</v>
      </c>
      <c r="D75">
        <v>5.3662728249194425</v>
      </c>
      <c r="E75">
        <v>7.6</v>
      </c>
      <c r="F75">
        <v>7.6</v>
      </c>
      <c r="G75">
        <v>5.8218487394957998</v>
      </c>
      <c r="H75">
        <v>1.4162530024019213</v>
      </c>
      <c r="I75">
        <v>1.4162530024019213</v>
      </c>
      <c r="J75">
        <v>1.0848961522158904</v>
      </c>
      <c r="K75">
        <v>0</v>
      </c>
      <c r="L75">
        <v>0</v>
      </c>
      <c r="M75">
        <v>0.16625300240192131</v>
      </c>
      <c r="N75">
        <v>0</v>
      </c>
      <c r="O75">
        <v>0</v>
      </c>
      <c r="P75">
        <v>0</v>
      </c>
      <c r="Q75">
        <v>8.4896152215890419E-2</v>
      </c>
      <c r="R75">
        <v>0</v>
      </c>
      <c r="S75">
        <v>0.16510384778410958</v>
      </c>
      <c r="T75">
        <v>0</v>
      </c>
      <c r="U75">
        <v>0</v>
      </c>
      <c r="V75">
        <v>0</v>
      </c>
      <c r="W75">
        <v>0</v>
      </c>
      <c r="X75">
        <v>0</v>
      </c>
      <c r="Y75">
        <v>1</v>
      </c>
      <c r="Z75">
        <v>0</v>
      </c>
      <c r="AA75">
        <v>0</v>
      </c>
      <c r="AB75">
        <v>0</v>
      </c>
      <c r="AC75">
        <v>0</v>
      </c>
      <c r="AD75">
        <v>0</v>
      </c>
      <c r="AE75" t="s">
        <v>166</v>
      </c>
      <c r="AF75">
        <v>10</v>
      </c>
      <c r="AG75" t="s">
        <v>205</v>
      </c>
      <c r="AH75">
        <v>1</v>
      </c>
      <c r="AI75">
        <v>45584</v>
      </c>
      <c r="AJ75" t="s">
        <v>168</v>
      </c>
    </row>
    <row r="76" spans="1:36" x14ac:dyDescent="0.25">
      <c r="A76" s="1">
        <v>45584</v>
      </c>
      <c r="B76" t="s">
        <v>165</v>
      </c>
      <c r="C76" t="s">
        <v>12</v>
      </c>
      <c r="D76">
        <v>11.626924453992126</v>
      </c>
      <c r="E76">
        <v>17.099999999999998</v>
      </c>
      <c r="F76">
        <v>17.099999999999998</v>
      </c>
      <c r="G76">
        <v>10.454702679619944</v>
      </c>
      <c r="H76">
        <v>1.4707242717250717</v>
      </c>
      <c r="I76">
        <v>1.4707242717250717</v>
      </c>
      <c r="J76">
        <v>0.89918040845533331</v>
      </c>
      <c r="K76">
        <v>0</v>
      </c>
      <c r="L76">
        <v>0</v>
      </c>
      <c r="M76">
        <v>0.2207242717250717</v>
      </c>
      <c r="N76">
        <v>0</v>
      </c>
      <c r="O76">
        <v>0</v>
      </c>
      <c r="P76">
        <v>0</v>
      </c>
      <c r="Q76">
        <v>0</v>
      </c>
      <c r="R76">
        <v>0</v>
      </c>
      <c r="S76">
        <v>0.25</v>
      </c>
      <c r="T76">
        <v>0</v>
      </c>
      <c r="U76">
        <v>0</v>
      </c>
      <c r="V76">
        <v>0</v>
      </c>
      <c r="W76">
        <v>0.10081959154466669</v>
      </c>
      <c r="X76">
        <v>0</v>
      </c>
      <c r="Y76">
        <v>0.89918040845533331</v>
      </c>
      <c r="Z76">
        <v>0</v>
      </c>
      <c r="AA76">
        <v>0</v>
      </c>
      <c r="AB76">
        <v>0</v>
      </c>
      <c r="AC76">
        <v>0</v>
      </c>
      <c r="AD76">
        <v>0</v>
      </c>
      <c r="AE76" t="s">
        <v>166</v>
      </c>
      <c r="AF76">
        <v>10</v>
      </c>
      <c r="AG76" t="s">
        <v>206</v>
      </c>
      <c r="AH76">
        <v>1</v>
      </c>
      <c r="AI76">
        <v>45584</v>
      </c>
      <c r="AJ76" t="s">
        <v>168</v>
      </c>
    </row>
    <row r="77" spans="1:36" x14ac:dyDescent="0.25">
      <c r="A77" s="1">
        <v>45584</v>
      </c>
      <c r="B77" t="s">
        <v>165</v>
      </c>
      <c r="C77" t="s">
        <v>10</v>
      </c>
      <c r="D77">
        <v>14.12921652156102</v>
      </c>
      <c r="E77">
        <v>18.05</v>
      </c>
      <c r="F77">
        <v>18.05</v>
      </c>
      <c r="G77">
        <v>13.844607843137254</v>
      </c>
      <c r="H77">
        <v>1.2774947551023732</v>
      </c>
      <c r="I77">
        <v>1.2774947551023732</v>
      </c>
      <c r="J77">
        <v>0.97985672609734187</v>
      </c>
      <c r="K77">
        <v>0</v>
      </c>
      <c r="L77">
        <v>0</v>
      </c>
      <c r="M77">
        <v>2.7494755102373203E-2</v>
      </c>
      <c r="N77">
        <v>0</v>
      </c>
      <c r="O77">
        <v>0</v>
      </c>
      <c r="P77">
        <v>0</v>
      </c>
      <c r="Q77">
        <v>0</v>
      </c>
      <c r="R77">
        <v>0</v>
      </c>
      <c r="S77">
        <v>0.25</v>
      </c>
      <c r="T77">
        <v>0</v>
      </c>
      <c r="U77">
        <v>0</v>
      </c>
      <c r="V77">
        <v>0</v>
      </c>
      <c r="W77">
        <v>2.0143273902658132E-2</v>
      </c>
      <c r="X77">
        <v>0</v>
      </c>
      <c r="Y77">
        <v>0.97985672609734187</v>
      </c>
      <c r="Z77">
        <v>0</v>
      </c>
      <c r="AA77">
        <v>0</v>
      </c>
      <c r="AB77">
        <v>0</v>
      </c>
      <c r="AC77">
        <v>0</v>
      </c>
      <c r="AD77">
        <v>0</v>
      </c>
      <c r="AE77" t="s">
        <v>212</v>
      </c>
      <c r="AF77">
        <v>10</v>
      </c>
      <c r="AG77" t="s">
        <v>204</v>
      </c>
      <c r="AI77">
        <v>45584</v>
      </c>
      <c r="AJ77" t="s">
        <v>168</v>
      </c>
    </row>
    <row r="78" spans="1:36" x14ac:dyDescent="0.25">
      <c r="A78" s="1">
        <v>45584</v>
      </c>
      <c r="B78" t="s">
        <v>165</v>
      </c>
      <c r="C78" t="s">
        <v>11</v>
      </c>
      <c r="D78">
        <v>3.5111676249447159</v>
      </c>
      <c r="E78">
        <v>5.6999999999999993</v>
      </c>
      <c r="F78">
        <v>5.6999999999999993</v>
      </c>
      <c r="G78">
        <v>6.8449197860962556</v>
      </c>
      <c r="H78">
        <v>1.6233915918752946</v>
      </c>
      <c r="I78">
        <v>1.6233915918752946</v>
      </c>
      <c r="J78">
        <v>1.9494710925981582</v>
      </c>
      <c r="K78">
        <v>0.32607950072286362</v>
      </c>
      <c r="L78">
        <v>0</v>
      </c>
      <c r="M78">
        <v>0</v>
      </c>
      <c r="N78">
        <v>0</v>
      </c>
      <c r="O78">
        <v>0.37339159187529458</v>
      </c>
      <c r="P78">
        <v>0</v>
      </c>
      <c r="Q78">
        <v>0.25</v>
      </c>
      <c r="R78">
        <v>0</v>
      </c>
      <c r="S78">
        <v>0</v>
      </c>
      <c r="T78">
        <v>0</v>
      </c>
      <c r="U78">
        <v>0</v>
      </c>
      <c r="V78">
        <v>0</v>
      </c>
      <c r="W78">
        <v>0</v>
      </c>
      <c r="X78">
        <v>0</v>
      </c>
      <c r="Y78">
        <v>1</v>
      </c>
      <c r="Z78">
        <v>0</v>
      </c>
      <c r="AA78">
        <v>0</v>
      </c>
      <c r="AB78">
        <v>0</v>
      </c>
      <c r="AC78">
        <v>0</v>
      </c>
      <c r="AD78">
        <v>0</v>
      </c>
      <c r="AE78" t="s">
        <v>212</v>
      </c>
      <c r="AF78">
        <v>10</v>
      </c>
      <c r="AG78" t="s">
        <v>205</v>
      </c>
      <c r="AI78">
        <v>45584</v>
      </c>
      <c r="AJ78" t="s">
        <v>168</v>
      </c>
    </row>
    <row r="79" spans="1:36" x14ac:dyDescent="0.25">
      <c r="A79" s="1">
        <v>45584</v>
      </c>
      <c r="B79" t="s">
        <v>165</v>
      </c>
      <c r="C79" t="s">
        <v>12</v>
      </c>
      <c r="D79">
        <v>12.417771069086861</v>
      </c>
      <c r="E79">
        <v>17.099999999999998</v>
      </c>
      <c r="F79">
        <v>17.099999999999998</v>
      </c>
      <c r="G79">
        <v>10.993315508021386</v>
      </c>
      <c r="H79">
        <v>1.3770587253431661</v>
      </c>
      <c r="I79">
        <v>1.3770587253431661</v>
      </c>
      <c r="J79">
        <v>0.88528894975270134</v>
      </c>
      <c r="K79">
        <v>0</v>
      </c>
      <c r="L79">
        <v>0</v>
      </c>
      <c r="M79">
        <v>0.12705872534316609</v>
      </c>
      <c r="N79">
        <v>0</v>
      </c>
      <c r="O79">
        <v>0</v>
      </c>
      <c r="P79">
        <v>0</v>
      </c>
      <c r="Q79">
        <v>0</v>
      </c>
      <c r="R79">
        <v>0</v>
      </c>
      <c r="S79">
        <v>0.25</v>
      </c>
      <c r="T79">
        <v>0</v>
      </c>
      <c r="U79">
        <v>0</v>
      </c>
      <c r="V79">
        <v>0</v>
      </c>
      <c r="W79">
        <v>0.11471105024729866</v>
      </c>
      <c r="X79">
        <v>0</v>
      </c>
      <c r="Y79">
        <v>0.88528894975270134</v>
      </c>
      <c r="Z79">
        <v>0</v>
      </c>
      <c r="AA79">
        <v>0</v>
      </c>
      <c r="AB79">
        <v>0</v>
      </c>
      <c r="AC79">
        <v>0</v>
      </c>
      <c r="AD79">
        <v>0</v>
      </c>
      <c r="AE79" t="s">
        <v>212</v>
      </c>
      <c r="AF79">
        <v>10</v>
      </c>
      <c r="AG79" t="s">
        <v>206</v>
      </c>
      <c r="AI79">
        <v>45584</v>
      </c>
      <c r="AJ79" t="s">
        <v>168</v>
      </c>
    </row>
    <row r="80" spans="1:36" x14ac:dyDescent="0.25">
      <c r="A80" s="1">
        <v>45585</v>
      </c>
      <c r="B80" t="s">
        <v>165</v>
      </c>
      <c r="C80" t="s">
        <v>10</v>
      </c>
      <c r="D80">
        <v>14.31006086645184</v>
      </c>
      <c r="E80">
        <v>18.05</v>
      </c>
      <c r="F80">
        <v>18.05</v>
      </c>
      <c r="G80">
        <v>13.20820500448983</v>
      </c>
      <c r="H80">
        <v>1.2613503302642117</v>
      </c>
      <c r="I80">
        <v>1.2613503302642117</v>
      </c>
      <c r="J80">
        <v>0.92300131549089537</v>
      </c>
      <c r="K80">
        <v>0</v>
      </c>
      <c r="L80">
        <v>0</v>
      </c>
      <c r="M80">
        <v>1.1350330264211728E-2</v>
      </c>
      <c r="N80">
        <v>0</v>
      </c>
      <c r="O80">
        <v>0</v>
      </c>
      <c r="P80">
        <v>0</v>
      </c>
      <c r="Q80">
        <v>0</v>
      </c>
      <c r="R80">
        <v>0</v>
      </c>
      <c r="S80">
        <v>0.25</v>
      </c>
      <c r="T80">
        <v>0</v>
      </c>
      <c r="U80">
        <v>0</v>
      </c>
      <c r="V80">
        <v>0</v>
      </c>
      <c r="W80">
        <v>7.6998684509104631E-2</v>
      </c>
      <c r="X80">
        <v>0</v>
      </c>
      <c r="Y80">
        <v>0.92300131549089537</v>
      </c>
      <c r="Z80">
        <v>0</v>
      </c>
      <c r="AA80">
        <v>0</v>
      </c>
      <c r="AB80">
        <v>0</v>
      </c>
      <c r="AC80">
        <v>0</v>
      </c>
      <c r="AD80">
        <v>0</v>
      </c>
      <c r="AE80" t="s">
        <v>166</v>
      </c>
      <c r="AF80">
        <v>10</v>
      </c>
      <c r="AG80" t="s">
        <v>207</v>
      </c>
      <c r="AH80">
        <v>1</v>
      </c>
      <c r="AI80">
        <v>45585</v>
      </c>
      <c r="AJ80" t="s">
        <v>168</v>
      </c>
    </row>
    <row r="81" spans="1:36" x14ac:dyDescent="0.25">
      <c r="A81" s="1">
        <v>45585</v>
      </c>
      <c r="B81" t="s">
        <v>165</v>
      </c>
      <c r="C81" t="s">
        <v>11</v>
      </c>
      <c r="D81">
        <v>5.3662728249194425</v>
      </c>
      <c r="E81">
        <v>5.6999999999999993</v>
      </c>
      <c r="F81">
        <v>5.6999999999999993</v>
      </c>
      <c r="G81">
        <v>5.6194502801120452</v>
      </c>
      <c r="H81">
        <v>1.0621897518014409</v>
      </c>
      <c r="I81">
        <v>1.0621897518014409</v>
      </c>
      <c r="J81">
        <v>1.047179385665395</v>
      </c>
      <c r="K81">
        <v>0</v>
      </c>
      <c r="L81">
        <v>0</v>
      </c>
      <c r="M81">
        <v>0</v>
      </c>
      <c r="N81">
        <v>0</v>
      </c>
      <c r="O81">
        <v>0</v>
      </c>
      <c r="P81">
        <v>0</v>
      </c>
      <c r="Q81">
        <v>4.7179385665395035E-2</v>
      </c>
      <c r="R81">
        <v>0</v>
      </c>
      <c r="S81">
        <v>1.5010366136045894E-2</v>
      </c>
      <c r="T81">
        <v>0</v>
      </c>
      <c r="U81">
        <v>0</v>
      </c>
      <c r="V81">
        <v>0</v>
      </c>
      <c r="W81">
        <v>0</v>
      </c>
      <c r="X81">
        <v>0</v>
      </c>
      <c r="Y81">
        <v>1</v>
      </c>
      <c r="Z81">
        <v>0</v>
      </c>
      <c r="AA81">
        <v>0</v>
      </c>
      <c r="AB81">
        <v>0</v>
      </c>
      <c r="AC81">
        <v>0</v>
      </c>
      <c r="AD81">
        <v>0</v>
      </c>
      <c r="AE81" t="s">
        <v>166</v>
      </c>
      <c r="AF81">
        <v>10</v>
      </c>
      <c r="AG81" t="s">
        <v>208</v>
      </c>
      <c r="AH81">
        <v>1</v>
      </c>
      <c r="AI81">
        <v>45585</v>
      </c>
      <c r="AJ81" t="s">
        <v>168</v>
      </c>
    </row>
    <row r="82" spans="1:36" x14ac:dyDescent="0.25">
      <c r="A82" s="1">
        <v>45585</v>
      </c>
      <c r="B82" t="s">
        <v>165</v>
      </c>
      <c r="C82" t="s">
        <v>12</v>
      </c>
      <c r="D82">
        <v>11.626924453992126</v>
      </c>
      <c r="E82">
        <v>13.3</v>
      </c>
      <c r="F82">
        <v>13.3</v>
      </c>
      <c r="G82">
        <v>11.217490035941784</v>
      </c>
      <c r="H82">
        <v>1.1438966557861669</v>
      </c>
      <c r="I82">
        <v>1.1438966557861669</v>
      </c>
      <c r="J82">
        <v>0.96478566454349313</v>
      </c>
      <c r="K82">
        <v>0</v>
      </c>
      <c r="L82">
        <v>0</v>
      </c>
      <c r="M82">
        <v>0</v>
      </c>
      <c r="N82">
        <v>0</v>
      </c>
      <c r="O82">
        <v>0</v>
      </c>
      <c r="P82">
        <v>0</v>
      </c>
      <c r="Q82">
        <v>0</v>
      </c>
      <c r="R82">
        <v>0</v>
      </c>
      <c r="S82">
        <v>0.14389665578616695</v>
      </c>
      <c r="T82">
        <v>0</v>
      </c>
      <c r="U82">
        <v>0</v>
      </c>
      <c r="V82">
        <v>0</v>
      </c>
      <c r="W82">
        <v>3.5214335456506873E-2</v>
      </c>
      <c r="X82">
        <v>0</v>
      </c>
      <c r="Y82">
        <v>0.96478566454349313</v>
      </c>
      <c r="Z82">
        <v>0</v>
      </c>
      <c r="AA82">
        <v>0</v>
      </c>
      <c r="AB82">
        <v>0</v>
      </c>
      <c r="AC82">
        <v>0</v>
      </c>
      <c r="AD82">
        <v>0</v>
      </c>
      <c r="AE82" t="s">
        <v>166</v>
      </c>
      <c r="AF82">
        <v>10</v>
      </c>
      <c r="AG82" t="s">
        <v>209</v>
      </c>
      <c r="AH82">
        <v>1</v>
      </c>
      <c r="AI82">
        <v>45585</v>
      </c>
      <c r="AJ82" t="s">
        <v>168</v>
      </c>
    </row>
    <row r="83" spans="1:36" x14ac:dyDescent="0.25">
      <c r="A83" s="1">
        <v>45585</v>
      </c>
      <c r="B83" t="s">
        <v>165</v>
      </c>
      <c r="C83" t="s">
        <v>10</v>
      </c>
      <c r="D83">
        <v>14.12921652156102</v>
      </c>
      <c r="E83">
        <v>19.95</v>
      </c>
      <c r="F83">
        <v>19.95</v>
      </c>
      <c r="G83">
        <v>13.844607843137254</v>
      </c>
      <c r="H83">
        <v>1.4119678872184125</v>
      </c>
      <c r="I83">
        <v>1.4119678872184125</v>
      </c>
      <c r="J83">
        <v>0.97985672609734187</v>
      </c>
      <c r="K83">
        <v>0</v>
      </c>
      <c r="L83">
        <v>0</v>
      </c>
      <c r="M83">
        <v>0.16196788721841249</v>
      </c>
      <c r="N83">
        <v>0</v>
      </c>
      <c r="O83">
        <v>0</v>
      </c>
      <c r="P83">
        <v>0</v>
      </c>
      <c r="Q83">
        <v>0</v>
      </c>
      <c r="R83">
        <v>0</v>
      </c>
      <c r="S83">
        <v>0.25</v>
      </c>
      <c r="T83">
        <v>0</v>
      </c>
      <c r="U83">
        <v>0</v>
      </c>
      <c r="V83">
        <v>0</v>
      </c>
      <c r="W83">
        <v>2.0143273902658132E-2</v>
      </c>
      <c r="X83">
        <v>0</v>
      </c>
      <c r="Y83">
        <v>0.97985672609734187</v>
      </c>
      <c r="Z83">
        <v>0</v>
      </c>
      <c r="AA83">
        <v>0</v>
      </c>
      <c r="AB83">
        <v>0</v>
      </c>
      <c r="AC83">
        <v>0</v>
      </c>
      <c r="AD83">
        <v>0</v>
      </c>
      <c r="AE83" t="s">
        <v>212</v>
      </c>
      <c r="AF83">
        <v>10</v>
      </c>
      <c r="AG83" t="s">
        <v>207</v>
      </c>
      <c r="AI83">
        <v>45585</v>
      </c>
      <c r="AJ83" t="s">
        <v>168</v>
      </c>
    </row>
    <row r="84" spans="1:36" x14ac:dyDescent="0.25">
      <c r="A84" s="1">
        <v>45585</v>
      </c>
      <c r="B84" t="s">
        <v>165</v>
      </c>
      <c r="C84" t="s">
        <v>11</v>
      </c>
      <c r="D84">
        <v>3.5111676249447159</v>
      </c>
      <c r="E84">
        <v>5.6999999999999993</v>
      </c>
      <c r="F84">
        <v>5.6999999999999993</v>
      </c>
      <c r="G84">
        <v>6.8163992869875214</v>
      </c>
      <c r="H84">
        <v>1.6233915918752946</v>
      </c>
      <c r="I84">
        <v>1.6233915918752946</v>
      </c>
      <c r="J84">
        <v>1.9413482963789992</v>
      </c>
      <c r="K84">
        <v>0.31795670450370461</v>
      </c>
      <c r="L84">
        <v>0</v>
      </c>
      <c r="M84">
        <v>0</v>
      </c>
      <c r="N84">
        <v>0</v>
      </c>
      <c r="O84">
        <v>0.37339159187529458</v>
      </c>
      <c r="P84">
        <v>0</v>
      </c>
      <c r="Q84">
        <v>0.25</v>
      </c>
      <c r="R84">
        <v>0</v>
      </c>
      <c r="S84">
        <v>0</v>
      </c>
      <c r="T84">
        <v>0</v>
      </c>
      <c r="U84">
        <v>0</v>
      </c>
      <c r="V84">
        <v>0</v>
      </c>
      <c r="W84">
        <v>0</v>
      </c>
      <c r="X84">
        <v>0</v>
      </c>
      <c r="Y84">
        <v>1</v>
      </c>
      <c r="Z84">
        <v>0</v>
      </c>
      <c r="AA84">
        <v>0</v>
      </c>
      <c r="AB84">
        <v>0</v>
      </c>
      <c r="AC84">
        <v>0</v>
      </c>
      <c r="AD84">
        <v>0</v>
      </c>
      <c r="AE84" t="s">
        <v>212</v>
      </c>
      <c r="AF84">
        <v>10</v>
      </c>
      <c r="AG84" t="s">
        <v>208</v>
      </c>
      <c r="AI84">
        <v>45585</v>
      </c>
      <c r="AJ84" t="s">
        <v>168</v>
      </c>
    </row>
    <row r="85" spans="1:36" x14ac:dyDescent="0.25">
      <c r="A85" s="1">
        <v>45585</v>
      </c>
      <c r="B85" t="s">
        <v>165</v>
      </c>
      <c r="C85" t="s">
        <v>12</v>
      </c>
      <c r="D85">
        <v>12.417771069086861</v>
      </c>
      <c r="E85">
        <v>16.149999999999999</v>
      </c>
      <c r="F85">
        <v>16.149999999999999</v>
      </c>
      <c r="G85">
        <v>10.77941176470588</v>
      </c>
      <c r="H85">
        <v>1.3005554628241014</v>
      </c>
      <c r="I85">
        <v>1.3005554628241014</v>
      </c>
      <c r="J85">
        <v>0.86806333477514686</v>
      </c>
      <c r="K85">
        <v>0</v>
      </c>
      <c r="L85">
        <v>0</v>
      </c>
      <c r="M85">
        <v>5.0555462824101394E-2</v>
      </c>
      <c r="N85">
        <v>0</v>
      </c>
      <c r="O85">
        <v>0</v>
      </c>
      <c r="P85">
        <v>0</v>
      </c>
      <c r="Q85">
        <v>0</v>
      </c>
      <c r="R85">
        <v>0</v>
      </c>
      <c r="S85">
        <v>0.25</v>
      </c>
      <c r="T85">
        <v>0</v>
      </c>
      <c r="U85">
        <v>0</v>
      </c>
      <c r="V85">
        <v>0</v>
      </c>
      <c r="W85">
        <v>0.13193666522485314</v>
      </c>
      <c r="X85">
        <v>0</v>
      </c>
      <c r="Y85">
        <v>0.86806333477514686</v>
      </c>
      <c r="Z85">
        <v>0</v>
      </c>
      <c r="AA85">
        <v>0</v>
      </c>
      <c r="AB85">
        <v>0</v>
      </c>
      <c r="AC85">
        <v>0</v>
      </c>
      <c r="AD85">
        <v>0</v>
      </c>
      <c r="AE85" t="s">
        <v>212</v>
      </c>
      <c r="AF85">
        <v>10</v>
      </c>
      <c r="AG85" t="s">
        <v>209</v>
      </c>
      <c r="AI85">
        <v>45585</v>
      </c>
      <c r="AJ85" t="s">
        <v>168</v>
      </c>
    </row>
    <row r="86" spans="1:36" x14ac:dyDescent="0.25">
      <c r="A86" s="1">
        <v>45572</v>
      </c>
      <c r="B86" t="s">
        <v>210</v>
      </c>
      <c r="C86" t="s">
        <v>12</v>
      </c>
      <c r="D86">
        <v>2.1042606516290729</v>
      </c>
      <c r="E86">
        <v>0.95</v>
      </c>
      <c r="F86">
        <v>0.95</v>
      </c>
      <c r="G86">
        <v>1.7568627450980394</v>
      </c>
      <c r="H86">
        <v>0.45146498332539298</v>
      </c>
      <c r="I86">
        <v>0.45146498332539298</v>
      </c>
      <c r="J86">
        <v>0.83490737886388477</v>
      </c>
      <c r="K86">
        <v>0</v>
      </c>
      <c r="L86">
        <v>0</v>
      </c>
      <c r="M86">
        <v>0</v>
      </c>
      <c r="N86">
        <v>0</v>
      </c>
      <c r="O86">
        <v>0</v>
      </c>
      <c r="P86">
        <v>0</v>
      </c>
      <c r="Q86">
        <v>0</v>
      </c>
      <c r="R86">
        <v>0</v>
      </c>
      <c r="S86">
        <v>0</v>
      </c>
      <c r="T86">
        <v>0.3834423955384918</v>
      </c>
      <c r="U86">
        <v>0.16509262113611523</v>
      </c>
      <c r="V86">
        <v>0</v>
      </c>
      <c r="W86">
        <v>0</v>
      </c>
      <c r="X86">
        <v>0</v>
      </c>
      <c r="Y86">
        <v>0.45146498332539298</v>
      </c>
      <c r="Z86">
        <v>0</v>
      </c>
      <c r="AA86">
        <v>0</v>
      </c>
      <c r="AB86">
        <v>0</v>
      </c>
      <c r="AC86">
        <v>0</v>
      </c>
      <c r="AD86">
        <v>0</v>
      </c>
      <c r="AE86" t="s">
        <v>166</v>
      </c>
      <c r="AF86">
        <v>10</v>
      </c>
      <c r="AG86" t="s">
        <v>169</v>
      </c>
      <c r="AH86">
        <v>1</v>
      </c>
      <c r="AI86">
        <v>45572</v>
      </c>
      <c r="AJ86" t="s">
        <v>168</v>
      </c>
    </row>
    <row r="87" spans="1:36" x14ac:dyDescent="0.25">
      <c r="A87" s="1">
        <v>45572</v>
      </c>
      <c r="B87" t="s">
        <v>210</v>
      </c>
      <c r="C87" t="s">
        <v>10</v>
      </c>
      <c r="D87">
        <v>3.1563909774436096</v>
      </c>
      <c r="E87">
        <v>2.8499999999999996</v>
      </c>
      <c r="F87">
        <v>2.8499999999999996</v>
      </c>
      <c r="G87">
        <v>1.882352941176471</v>
      </c>
      <c r="H87">
        <v>0.90292996665078584</v>
      </c>
      <c r="I87">
        <v>0.90292996665078584</v>
      </c>
      <c r="J87">
        <v>0.59636241347420338</v>
      </c>
      <c r="K87">
        <v>0</v>
      </c>
      <c r="L87">
        <v>0</v>
      </c>
      <c r="M87">
        <v>0</v>
      </c>
      <c r="N87">
        <v>0</v>
      </c>
      <c r="O87">
        <v>0</v>
      </c>
      <c r="P87">
        <v>0</v>
      </c>
      <c r="Q87">
        <v>0</v>
      </c>
      <c r="R87">
        <v>0</v>
      </c>
      <c r="S87">
        <v>0</v>
      </c>
      <c r="T87">
        <v>0</v>
      </c>
      <c r="U87">
        <v>9.7070033349214158E-2</v>
      </c>
      <c r="V87">
        <v>0</v>
      </c>
      <c r="W87">
        <v>0.30656755317658246</v>
      </c>
      <c r="X87">
        <v>0</v>
      </c>
      <c r="Y87">
        <v>0.59636241347420338</v>
      </c>
      <c r="Z87">
        <v>0</v>
      </c>
      <c r="AA87">
        <v>0</v>
      </c>
      <c r="AB87">
        <v>0</v>
      </c>
      <c r="AC87">
        <v>0</v>
      </c>
      <c r="AD87">
        <v>0</v>
      </c>
      <c r="AE87" t="s">
        <v>166</v>
      </c>
      <c r="AF87">
        <v>10</v>
      </c>
      <c r="AG87" t="s">
        <v>170</v>
      </c>
      <c r="AH87">
        <v>1</v>
      </c>
      <c r="AI87">
        <v>45572</v>
      </c>
      <c r="AJ87" t="s">
        <v>168</v>
      </c>
    </row>
    <row r="88" spans="1:36" x14ac:dyDescent="0.25">
      <c r="A88" s="1">
        <v>45572</v>
      </c>
      <c r="B88" t="s">
        <v>210</v>
      </c>
      <c r="C88" t="s">
        <v>11</v>
      </c>
      <c r="D88">
        <v>1</v>
      </c>
      <c r="E88">
        <v>0</v>
      </c>
      <c r="F88">
        <v>0</v>
      </c>
      <c r="G88">
        <v>2.7450980392156862E-2</v>
      </c>
      <c r="H88">
        <v>0</v>
      </c>
      <c r="I88">
        <v>0</v>
      </c>
      <c r="J88">
        <v>2.7450980392156862E-2</v>
      </c>
      <c r="K88">
        <v>0</v>
      </c>
      <c r="L88">
        <v>0</v>
      </c>
      <c r="M88">
        <v>0</v>
      </c>
      <c r="N88">
        <v>0</v>
      </c>
      <c r="O88">
        <v>0</v>
      </c>
      <c r="P88">
        <v>0</v>
      </c>
      <c r="Q88">
        <v>0</v>
      </c>
      <c r="R88">
        <v>0</v>
      </c>
      <c r="S88">
        <v>0</v>
      </c>
      <c r="T88">
        <v>2.7450980392156862E-2</v>
      </c>
      <c r="U88">
        <v>0.97254901960784312</v>
      </c>
      <c r="V88">
        <v>0</v>
      </c>
      <c r="W88">
        <v>0</v>
      </c>
      <c r="X88">
        <v>0</v>
      </c>
      <c r="Y88">
        <v>0</v>
      </c>
      <c r="Z88">
        <v>0</v>
      </c>
      <c r="AA88">
        <v>0</v>
      </c>
      <c r="AB88">
        <v>0</v>
      </c>
      <c r="AC88">
        <v>0</v>
      </c>
      <c r="AD88">
        <v>0</v>
      </c>
      <c r="AE88" t="s">
        <v>166</v>
      </c>
      <c r="AF88">
        <v>10</v>
      </c>
      <c r="AG88" t="s">
        <v>167</v>
      </c>
      <c r="AH88">
        <v>1</v>
      </c>
      <c r="AI88">
        <v>45572</v>
      </c>
      <c r="AJ88" t="s">
        <v>168</v>
      </c>
    </row>
    <row r="89" spans="1:36" x14ac:dyDescent="0.25">
      <c r="A89" s="1">
        <v>45572</v>
      </c>
      <c r="B89" t="s">
        <v>210</v>
      </c>
      <c r="C89" t="s">
        <v>12</v>
      </c>
      <c r="D89">
        <v>4.5836142079336275</v>
      </c>
      <c r="E89">
        <v>3.8</v>
      </c>
      <c r="F89">
        <v>3.8</v>
      </c>
      <c r="G89">
        <v>2.8368983957219247</v>
      </c>
      <c r="H89">
        <v>0.82904010407828488</v>
      </c>
      <c r="I89">
        <v>0.82904010407828488</v>
      </c>
      <c r="J89">
        <v>0.61892172138126944</v>
      </c>
      <c r="K89">
        <v>0</v>
      </c>
      <c r="L89">
        <v>0</v>
      </c>
      <c r="M89">
        <v>0</v>
      </c>
      <c r="N89">
        <v>0</v>
      </c>
      <c r="O89">
        <v>0</v>
      </c>
      <c r="P89">
        <v>0</v>
      </c>
      <c r="Q89">
        <v>0</v>
      </c>
      <c r="R89">
        <v>0</v>
      </c>
      <c r="S89">
        <v>0</v>
      </c>
      <c r="T89">
        <v>0</v>
      </c>
      <c r="U89">
        <v>0.17095989592171512</v>
      </c>
      <c r="V89">
        <v>0</v>
      </c>
      <c r="W89">
        <v>0.21011838269701544</v>
      </c>
      <c r="X89">
        <v>0</v>
      </c>
      <c r="Y89">
        <v>0.61892172138126944</v>
      </c>
      <c r="Z89">
        <v>0</v>
      </c>
      <c r="AA89">
        <v>0</v>
      </c>
      <c r="AB89">
        <v>0</v>
      </c>
      <c r="AC89">
        <v>0</v>
      </c>
      <c r="AD89">
        <v>0</v>
      </c>
      <c r="AE89" t="s">
        <v>212</v>
      </c>
      <c r="AF89">
        <v>10</v>
      </c>
      <c r="AG89" t="s">
        <v>169</v>
      </c>
      <c r="AI89">
        <v>45572</v>
      </c>
      <c r="AJ89" t="s">
        <v>168</v>
      </c>
    </row>
    <row r="90" spans="1:36" x14ac:dyDescent="0.25">
      <c r="A90" s="1">
        <v>45572</v>
      </c>
      <c r="B90" t="s">
        <v>210</v>
      </c>
      <c r="C90" t="s">
        <v>10</v>
      </c>
      <c r="D90">
        <v>3.7478639781271368</v>
      </c>
      <c r="E90">
        <v>2.8499999999999996</v>
      </c>
      <c r="F90">
        <v>2.8499999999999996</v>
      </c>
      <c r="G90">
        <v>3.75</v>
      </c>
      <c r="H90">
        <v>0.76043314715604671</v>
      </c>
      <c r="I90">
        <v>0.76043314715604671</v>
      </c>
      <c r="J90">
        <v>1.0005699304684827</v>
      </c>
      <c r="K90">
        <v>5.6993046848274886E-4</v>
      </c>
      <c r="L90">
        <v>0</v>
      </c>
      <c r="M90">
        <v>0</v>
      </c>
      <c r="N90">
        <v>0</v>
      </c>
      <c r="O90">
        <v>0</v>
      </c>
      <c r="P90">
        <v>0</v>
      </c>
      <c r="Q90">
        <v>0</v>
      </c>
      <c r="R90">
        <v>0</v>
      </c>
      <c r="S90">
        <v>0</v>
      </c>
      <c r="T90">
        <v>0.23956685284395329</v>
      </c>
      <c r="U90">
        <v>0</v>
      </c>
      <c r="V90">
        <v>0</v>
      </c>
      <c r="W90">
        <v>0</v>
      </c>
      <c r="X90">
        <v>0</v>
      </c>
      <c r="Y90">
        <v>0.76043314715604671</v>
      </c>
      <c r="Z90">
        <v>0</v>
      </c>
      <c r="AA90">
        <v>0</v>
      </c>
      <c r="AB90">
        <v>0</v>
      </c>
      <c r="AC90">
        <v>0</v>
      </c>
      <c r="AD90">
        <v>0</v>
      </c>
      <c r="AE90" t="s">
        <v>212</v>
      </c>
      <c r="AF90">
        <v>10</v>
      </c>
      <c r="AG90" t="s">
        <v>170</v>
      </c>
      <c r="AI90">
        <v>45572</v>
      </c>
      <c r="AJ90" t="s">
        <v>168</v>
      </c>
    </row>
    <row r="91" spans="1:36" x14ac:dyDescent="0.25">
      <c r="A91" s="1">
        <v>45572</v>
      </c>
      <c r="B91" t="s">
        <v>210</v>
      </c>
      <c r="C91" t="s">
        <v>11</v>
      </c>
      <c r="D91">
        <v>0.97058823529411775</v>
      </c>
      <c r="E91">
        <v>0</v>
      </c>
      <c r="F91">
        <v>0</v>
      </c>
      <c r="G91">
        <v>5.7040998217468802E-2</v>
      </c>
      <c r="H91">
        <v>0</v>
      </c>
      <c r="I91">
        <v>0</v>
      </c>
      <c r="J91">
        <v>5.8769513314967853E-2</v>
      </c>
      <c r="K91">
        <v>0</v>
      </c>
      <c r="L91">
        <v>0</v>
      </c>
      <c r="M91">
        <v>0</v>
      </c>
      <c r="N91">
        <v>0</v>
      </c>
      <c r="O91">
        <v>0</v>
      </c>
      <c r="P91">
        <v>0</v>
      </c>
      <c r="Q91">
        <v>0</v>
      </c>
      <c r="R91">
        <v>0</v>
      </c>
      <c r="S91">
        <v>0</v>
      </c>
      <c r="T91">
        <v>5.8769513314967853E-2</v>
      </c>
      <c r="U91">
        <v>0.94123048668503217</v>
      </c>
      <c r="V91">
        <v>0</v>
      </c>
      <c r="W91">
        <v>0</v>
      </c>
      <c r="X91">
        <v>0</v>
      </c>
      <c r="Y91">
        <v>0</v>
      </c>
      <c r="Z91">
        <v>0</v>
      </c>
      <c r="AA91">
        <v>0</v>
      </c>
      <c r="AB91">
        <v>0</v>
      </c>
      <c r="AC91">
        <v>0</v>
      </c>
      <c r="AD91">
        <v>0</v>
      </c>
      <c r="AE91" t="s">
        <v>212</v>
      </c>
      <c r="AF91">
        <v>10</v>
      </c>
      <c r="AG91" t="s">
        <v>167</v>
      </c>
      <c r="AI91">
        <v>45572</v>
      </c>
      <c r="AJ91" t="s">
        <v>168</v>
      </c>
    </row>
    <row r="92" spans="1:36" x14ac:dyDescent="0.25">
      <c r="A92" s="1">
        <v>45573</v>
      </c>
      <c r="B92" t="s">
        <v>210</v>
      </c>
      <c r="C92" t="s">
        <v>10</v>
      </c>
      <c r="D92">
        <v>3.1563909774436096</v>
      </c>
      <c r="E92">
        <v>1.9</v>
      </c>
      <c r="F92">
        <v>1.9</v>
      </c>
      <c r="G92">
        <v>1.7290552584670236</v>
      </c>
      <c r="H92">
        <v>0.60195331110052397</v>
      </c>
      <c r="I92">
        <v>0.60195331110052397</v>
      </c>
      <c r="J92">
        <v>0.54779501995263002</v>
      </c>
      <c r="K92">
        <v>0</v>
      </c>
      <c r="L92">
        <v>0</v>
      </c>
      <c r="M92">
        <v>0</v>
      </c>
      <c r="N92">
        <v>0</v>
      </c>
      <c r="O92">
        <v>0</v>
      </c>
      <c r="P92">
        <v>0</v>
      </c>
      <c r="Q92">
        <v>0</v>
      </c>
      <c r="R92">
        <v>0</v>
      </c>
      <c r="S92">
        <v>0</v>
      </c>
      <c r="T92">
        <v>0</v>
      </c>
      <c r="U92">
        <v>0.39804668889947603</v>
      </c>
      <c r="V92">
        <v>0</v>
      </c>
      <c r="W92">
        <v>5.4158291147893944E-2</v>
      </c>
      <c r="X92">
        <v>0</v>
      </c>
      <c r="Y92">
        <v>0.54779501995263002</v>
      </c>
      <c r="Z92">
        <v>0</v>
      </c>
      <c r="AA92">
        <v>0</v>
      </c>
      <c r="AB92">
        <v>0</v>
      </c>
      <c r="AC92">
        <v>0</v>
      </c>
      <c r="AD92">
        <v>0</v>
      </c>
      <c r="AE92" t="s">
        <v>166</v>
      </c>
      <c r="AF92">
        <v>10</v>
      </c>
      <c r="AG92" t="s">
        <v>173</v>
      </c>
      <c r="AH92">
        <v>1</v>
      </c>
      <c r="AI92">
        <v>45573</v>
      </c>
      <c r="AJ92" t="s">
        <v>168</v>
      </c>
    </row>
    <row r="93" spans="1:36" x14ac:dyDescent="0.25">
      <c r="A93" s="1">
        <v>45573</v>
      </c>
      <c r="B93" t="s">
        <v>210</v>
      </c>
      <c r="C93" t="s">
        <v>12</v>
      </c>
      <c r="D93">
        <v>2.1042606516290729</v>
      </c>
      <c r="E93">
        <v>2.8499999999999996</v>
      </c>
      <c r="F93">
        <v>2.8499999999999996</v>
      </c>
      <c r="G93">
        <v>1.5496957403651117</v>
      </c>
      <c r="H93">
        <v>1.3543949499761787</v>
      </c>
      <c r="I93">
        <v>1.3543949499761787</v>
      </c>
      <c r="J93">
        <v>0.73645617008775544</v>
      </c>
      <c r="K93">
        <v>0</v>
      </c>
      <c r="L93">
        <v>0</v>
      </c>
      <c r="M93">
        <v>0.10439494997617871</v>
      </c>
      <c r="N93">
        <v>0</v>
      </c>
      <c r="O93">
        <v>0</v>
      </c>
      <c r="P93">
        <v>0</v>
      </c>
      <c r="Q93">
        <v>0</v>
      </c>
      <c r="R93">
        <v>0</v>
      </c>
      <c r="S93">
        <v>0.25</v>
      </c>
      <c r="T93">
        <v>0</v>
      </c>
      <c r="U93">
        <v>0</v>
      </c>
      <c r="V93">
        <v>0</v>
      </c>
      <c r="W93">
        <v>0.26354382991224456</v>
      </c>
      <c r="X93">
        <v>0</v>
      </c>
      <c r="Y93">
        <v>0.73645617008775544</v>
      </c>
      <c r="Z93">
        <v>0</v>
      </c>
      <c r="AA93">
        <v>0</v>
      </c>
      <c r="AB93">
        <v>0</v>
      </c>
      <c r="AC93">
        <v>0</v>
      </c>
      <c r="AD93">
        <v>0</v>
      </c>
      <c r="AE93" t="s">
        <v>166</v>
      </c>
      <c r="AF93">
        <v>10</v>
      </c>
      <c r="AG93" t="s">
        <v>172</v>
      </c>
      <c r="AH93">
        <v>1</v>
      </c>
      <c r="AI93">
        <v>45573</v>
      </c>
      <c r="AJ93" t="s">
        <v>168</v>
      </c>
    </row>
    <row r="94" spans="1:36" x14ac:dyDescent="0.25">
      <c r="A94" s="1">
        <v>45573</v>
      </c>
      <c r="B94" t="s">
        <v>210</v>
      </c>
      <c r="C94" t="s">
        <v>11</v>
      </c>
      <c r="D94">
        <v>1</v>
      </c>
      <c r="E94">
        <v>0</v>
      </c>
      <c r="F94">
        <v>0</v>
      </c>
      <c r="G94">
        <v>0</v>
      </c>
      <c r="H94">
        <v>0</v>
      </c>
      <c r="I94">
        <v>0</v>
      </c>
      <c r="J94">
        <v>0</v>
      </c>
      <c r="K94">
        <v>0</v>
      </c>
      <c r="L94">
        <v>0</v>
      </c>
      <c r="M94">
        <v>0</v>
      </c>
      <c r="N94">
        <v>0</v>
      </c>
      <c r="O94">
        <v>0</v>
      </c>
      <c r="P94">
        <v>0</v>
      </c>
      <c r="Q94">
        <v>0</v>
      </c>
      <c r="R94">
        <v>0</v>
      </c>
      <c r="S94">
        <v>0</v>
      </c>
      <c r="T94">
        <v>0</v>
      </c>
      <c r="U94">
        <v>1</v>
      </c>
      <c r="V94">
        <v>0</v>
      </c>
      <c r="W94">
        <v>0</v>
      </c>
      <c r="X94">
        <v>0</v>
      </c>
      <c r="Y94">
        <v>0</v>
      </c>
      <c r="Z94">
        <v>0</v>
      </c>
      <c r="AA94">
        <v>0</v>
      </c>
      <c r="AB94">
        <v>0</v>
      </c>
      <c r="AC94">
        <v>0</v>
      </c>
      <c r="AD94">
        <v>0</v>
      </c>
      <c r="AE94" t="s">
        <v>166</v>
      </c>
      <c r="AF94">
        <v>10</v>
      </c>
      <c r="AG94" t="s">
        <v>171</v>
      </c>
      <c r="AH94">
        <v>1</v>
      </c>
      <c r="AI94">
        <v>45573</v>
      </c>
      <c r="AJ94" t="s">
        <v>168</v>
      </c>
    </row>
    <row r="95" spans="1:36" x14ac:dyDescent="0.25">
      <c r="A95" s="1">
        <v>45573</v>
      </c>
      <c r="B95" t="s">
        <v>210</v>
      </c>
      <c r="C95" t="s">
        <v>10</v>
      </c>
      <c r="D95">
        <v>3.7478639781271368</v>
      </c>
      <c r="E95">
        <v>3.8</v>
      </c>
      <c r="F95">
        <v>3.8</v>
      </c>
      <c r="G95">
        <v>3.75</v>
      </c>
      <c r="H95">
        <v>1.0139108628747291</v>
      </c>
      <c r="I95">
        <v>1.0139108628747291</v>
      </c>
      <c r="J95">
        <v>1.0005699304684827</v>
      </c>
      <c r="K95">
        <v>0</v>
      </c>
      <c r="L95">
        <v>0</v>
      </c>
      <c r="M95">
        <v>0</v>
      </c>
      <c r="N95">
        <v>0</v>
      </c>
      <c r="O95">
        <v>0</v>
      </c>
      <c r="P95">
        <v>0</v>
      </c>
      <c r="Q95">
        <v>5.6993046848274886E-4</v>
      </c>
      <c r="R95">
        <v>0</v>
      </c>
      <c r="S95">
        <v>1.3340932406246342E-2</v>
      </c>
      <c r="T95">
        <v>0</v>
      </c>
      <c r="U95">
        <v>0</v>
      </c>
      <c r="V95">
        <v>0</v>
      </c>
      <c r="W95">
        <v>0</v>
      </c>
      <c r="X95">
        <v>0</v>
      </c>
      <c r="Y95">
        <v>1</v>
      </c>
      <c r="Z95">
        <v>0</v>
      </c>
      <c r="AA95">
        <v>0</v>
      </c>
      <c r="AB95">
        <v>0</v>
      </c>
      <c r="AC95">
        <v>0</v>
      </c>
      <c r="AD95">
        <v>0</v>
      </c>
      <c r="AE95" t="s">
        <v>212</v>
      </c>
      <c r="AF95">
        <v>10</v>
      </c>
      <c r="AG95" t="s">
        <v>173</v>
      </c>
      <c r="AI95">
        <v>45573</v>
      </c>
      <c r="AJ95" t="s">
        <v>168</v>
      </c>
    </row>
    <row r="96" spans="1:36" x14ac:dyDescent="0.25">
      <c r="A96" s="1">
        <v>45573</v>
      </c>
      <c r="B96" t="s">
        <v>210</v>
      </c>
      <c r="C96" t="s">
        <v>12</v>
      </c>
      <c r="D96">
        <v>4.5836142079336275</v>
      </c>
      <c r="E96">
        <v>4.75</v>
      </c>
      <c r="F96">
        <v>4.75</v>
      </c>
      <c r="G96">
        <v>2.8368983957219247</v>
      </c>
      <c r="H96">
        <v>1.036300130097856</v>
      </c>
      <c r="I96">
        <v>1.036300130097856</v>
      </c>
      <c r="J96">
        <v>0.61892172138126944</v>
      </c>
      <c r="K96">
        <v>0</v>
      </c>
      <c r="L96">
        <v>0</v>
      </c>
      <c r="M96">
        <v>0</v>
      </c>
      <c r="N96">
        <v>0</v>
      </c>
      <c r="O96">
        <v>0</v>
      </c>
      <c r="P96">
        <v>0</v>
      </c>
      <c r="Q96">
        <v>0</v>
      </c>
      <c r="R96">
        <v>0</v>
      </c>
      <c r="S96">
        <v>3.6300130097856043E-2</v>
      </c>
      <c r="T96">
        <v>0</v>
      </c>
      <c r="U96">
        <v>0</v>
      </c>
      <c r="V96">
        <v>0</v>
      </c>
      <c r="W96">
        <v>0.38107827861873056</v>
      </c>
      <c r="X96">
        <v>0</v>
      </c>
      <c r="Y96">
        <v>0.61892172138126944</v>
      </c>
      <c r="Z96">
        <v>0</v>
      </c>
      <c r="AA96">
        <v>0</v>
      </c>
      <c r="AB96">
        <v>0</v>
      </c>
      <c r="AC96">
        <v>0</v>
      </c>
      <c r="AD96">
        <v>0</v>
      </c>
      <c r="AE96" t="s">
        <v>212</v>
      </c>
      <c r="AF96">
        <v>10</v>
      </c>
      <c r="AG96" t="s">
        <v>172</v>
      </c>
      <c r="AI96">
        <v>45573</v>
      </c>
      <c r="AJ96" t="s">
        <v>168</v>
      </c>
    </row>
    <row r="97" spans="1:36" x14ac:dyDescent="0.25">
      <c r="A97" s="1">
        <v>45573</v>
      </c>
      <c r="B97" t="s">
        <v>210</v>
      </c>
      <c r="C97" t="s">
        <v>11</v>
      </c>
      <c r="D97">
        <v>0.97058823529411775</v>
      </c>
      <c r="E97">
        <v>0.95</v>
      </c>
      <c r="F97">
        <v>0.95</v>
      </c>
      <c r="G97">
        <v>0.99821746880570394</v>
      </c>
      <c r="H97">
        <v>0.97878787878787865</v>
      </c>
      <c r="I97">
        <v>0.97878787878787865</v>
      </c>
      <c r="J97">
        <v>1.0284664830119372</v>
      </c>
      <c r="K97">
        <v>2.8466483011937216E-2</v>
      </c>
      <c r="L97">
        <v>0</v>
      </c>
      <c r="M97">
        <v>0</v>
      </c>
      <c r="N97">
        <v>0</v>
      </c>
      <c r="O97">
        <v>0</v>
      </c>
      <c r="P97">
        <v>0</v>
      </c>
      <c r="Q97">
        <v>0</v>
      </c>
      <c r="R97">
        <v>0</v>
      </c>
      <c r="S97">
        <v>0</v>
      </c>
      <c r="T97">
        <v>2.1212121212121349E-2</v>
      </c>
      <c r="U97">
        <v>0</v>
      </c>
      <c r="V97">
        <v>0</v>
      </c>
      <c r="W97">
        <v>0</v>
      </c>
      <c r="X97">
        <v>0</v>
      </c>
      <c r="Y97">
        <v>0.97878787878787865</v>
      </c>
      <c r="Z97">
        <v>0</v>
      </c>
      <c r="AA97">
        <v>0</v>
      </c>
      <c r="AB97">
        <v>0</v>
      </c>
      <c r="AC97">
        <v>0</v>
      </c>
      <c r="AD97">
        <v>0</v>
      </c>
      <c r="AE97" t="s">
        <v>212</v>
      </c>
      <c r="AF97">
        <v>10</v>
      </c>
      <c r="AG97" t="s">
        <v>171</v>
      </c>
      <c r="AI97">
        <v>45573</v>
      </c>
      <c r="AJ97" t="s">
        <v>168</v>
      </c>
    </row>
    <row r="98" spans="1:36" x14ac:dyDescent="0.25">
      <c r="A98" s="1">
        <v>45574</v>
      </c>
      <c r="B98" t="s">
        <v>210</v>
      </c>
      <c r="C98" t="s">
        <v>11</v>
      </c>
      <c r="D98">
        <v>1</v>
      </c>
      <c r="E98">
        <v>0</v>
      </c>
      <c r="F98">
        <v>0</v>
      </c>
      <c r="G98">
        <v>0</v>
      </c>
      <c r="H98">
        <v>0</v>
      </c>
      <c r="I98">
        <v>0</v>
      </c>
      <c r="J98">
        <v>0</v>
      </c>
      <c r="K98">
        <v>0</v>
      </c>
      <c r="L98">
        <v>0</v>
      </c>
      <c r="M98">
        <v>0</v>
      </c>
      <c r="N98">
        <v>0</v>
      </c>
      <c r="O98">
        <v>0</v>
      </c>
      <c r="P98">
        <v>0</v>
      </c>
      <c r="Q98">
        <v>0</v>
      </c>
      <c r="R98">
        <v>0</v>
      </c>
      <c r="S98">
        <v>0</v>
      </c>
      <c r="T98">
        <v>0</v>
      </c>
      <c r="U98">
        <v>1</v>
      </c>
      <c r="V98">
        <v>0</v>
      </c>
      <c r="W98">
        <v>0</v>
      </c>
      <c r="X98">
        <v>0</v>
      </c>
      <c r="Y98">
        <v>0</v>
      </c>
      <c r="Z98">
        <v>0</v>
      </c>
      <c r="AA98">
        <v>0</v>
      </c>
      <c r="AB98">
        <v>0</v>
      </c>
      <c r="AC98">
        <v>0</v>
      </c>
      <c r="AD98">
        <v>0</v>
      </c>
      <c r="AE98" t="s">
        <v>166</v>
      </c>
      <c r="AF98">
        <v>10</v>
      </c>
      <c r="AG98" t="s">
        <v>176</v>
      </c>
      <c r="AH98">
        <v>1</v>
      </c>
      <c r="AI98">
        <v>45574</v>
      </c>
      <c r="AJ98" t="s">
        <v>168</v>
      </c>
    </row>
    <row r="99" spans="1:36" x14ac:dyDescent="0.25">
      <c r="A99" s="1">
        <v>45574</v>
      </c>
      <c r="B99" t="s">
        <v>210</v>
      </c>
      <c r="C99" t="s">
        <v>10</v>
      </c>
      <c r="D99">
        <v>3.1563909774436096</v>
      </c>
      <c r="E99">
        <v>2.8499999999999996</v>
      </c>
      <c r="F99">
        <v>2.8499999999999996</v>
      </c>
      <c r="G99">
        <v>1.7290552584670236</v>
      </c>
      <c r="H99">
        <v>0.90292996665078584</v>
      </c>
      <c r="I99">
        <v>0.90292996665078584</v>
      </c>
      <c r="J99">
        <v>0.54779501995263002</v>
      </c>
      <c r="K99">
        <v>0</v>
      </c>
      <c r="L99">
        <v>0</v>
      </c>
      <c r="M99">
        <v>0</v>
      </c>
      <c r="N99">
        <v>0</v>
      </c>
      <c r="O99">
        <v>0</v>
      </c>
      <c r="P99">
        <v>0</v>
      </c>
      <c r="Q99">
        <v>0</v>
      </c>
      <c r="R99">
        <v>0</v>
      </c>
      <c r="S99">
        <v>0</v>
      </c>
      <c r="T99">
        <v>0</v>
      </c>
      <c r="U99">
        <v>9.7070033349214158E-2</v>
      </c>
      <c r="V99">
        <v>0</v>
      </c>
      <c r="W99">
        <v>0.35513494669815582</v>
      </c>
      <c r="X99">
        <v>0</v>
      </c>
      <c r="Y99">
        <v>0.54779501995263002</v>
      </c>
      <c r="Z99">
        <v>0</v>
      </c>
      <c r="AA99">
        <v>0</v>
      </c>
      <c r="AB99">
        <v>0</v>
      </c>
      <c r="AC99">
        <v>0</v>
      </c>
      <c r="AD99">
        <v>0</v>
      </c>
      <c r="AE99" t="s">
        <v>166</v>
      </c>
      <c r="AF99">
        <v>10</v>
      </c>
      <c r="AG99" t="s">
        <v>175</v>
      </c>
      <c r="AH99">
        <v>1</v>
      </c>
      <c r="AI99">
        <v>45574</v>
      </c>
      <c r="AJ99" t="s">
        <v>168</v>
      </c>
    </row>
    <row r="100" spans="1:36" x14ac:dyDescent="0.25">
      <c r="A100" s="1">
        <v>45574</v>
      </c>
      <c r="B100" t="s">
        <v>210</v>
      </c>
      <c r="C100" t="s">
        <v>12</v>
      </c>
      <c r="D100">
        <v>2.1042606516290729</v>
      </c>
      <c r="E100">
        <v>1.9</v>
      </c>
      <c r="F100">
        <v>1.9</v>
      </c>
      <c r="G100">
        <v>1.5496957403651113</v>
      </c>
      <c r="H100">
        <v>0.90292996665078595</v>
      </c>
      <c r="I100">
        <v>0.90292996665078595</v>
      </c>
      <c r="J100">
        <v>0.73645617008775521</v>
      </c>
      <c r="K100">
        <v>0</v>
      </c>
      <c r="L100">
        <v>0</v>
      </c>
      <c r="M100">
        <v>0</v>
      </c>
      <c r="N100">
        <v>0</v>
      </c>
      <c r="O100">
        <v>0</v>
      </c>
      <c r="P100">
        <v>0</v>
      </c>
      <c r="Q100">
        <v>0</v>
      </c>
      <c r="R100">
        <v>0</v>
      </c>
      <c r="S100">
        <v>0</v>
      </c>
      <c r="T100">
        <v>0</v>
      </c>
      <c r="U100">
        <v>9.7070033349214047E-2</v>
      </c>
      <c r="V100">
        <v>0</v>
      </c>
      <c r="W100">
        <v>0.16647379656303074</v>
      </c>
      <c r="X100">
        <v>0</v>
      </c>
      <c r="Y100">
        <v>0.73645617008775521</v>
      </c>
      <c r="Z100">
        <v>0</v>
      </c>
      <c r="AA100">
        <v>0</v>
      </c>
      <c r="AB100">
        <v>0</v>
      </c>
      <c r="AC100">
        <v>0</v>
      </c>
      <c r="AD100">
        <v>0</v>
      </c>
      <c r="AE100" t="s">
        <v>166</v>
      </c>
      <c r="AF100">
        <v>10</v>
      </c>
      <c r="AG100" t="s">
        <v>174</v>
      </c>
      <c r="AH100">
        <v>1</v>
      </c>
      <c r="AI100">
        <v>45574</v>
      </c>
      <c r="AJ100" t="s">
        <v>168</v>
      </c>
    </row>
    <row r="101" spans="1:36" x14ac:dyDescent="0.25">
      <c r="A101" s="1">
        <v>45574</v>
      </c>
      <c r="B101" t="s">
        <v>210</v>
      </c>
      <c r="C101" t="s">
        <v>11</v>
      </c>
      <c r="D101">
        <v>0.97058823529411775</v>
      </c>
      <c r="E101">
        <v>0.95</v>
      </c>
      <c r="F101">
        <v>0.95</v>
      </c>
      <c r="G101">
        <v>5.7040998217468802E-2</v>
      </c>
      <c r="H101">
        <v>0.97878787878787865</v>
      </c>
      <c r="I101">
        <v>0.97878787878787865</v>
      </c>
      <c r="J101">
        <v>5.8769513314967853E-2</v>
      </c>
      <c r="K101">
        <v>0</v>
      </c>
      <c r="L101">
        <v>0</v>
      </c>
      <c r="M101">
        <v>0</v>
      </c>
      <c r="N101">
        <v>0</v>
      </c>
      <c r="O101">
        <v>0</v>
      </c>
      <c r="P101">
        <v>0</v>
      </c>
      <c r="Q101">
        <v>0</v>
      </c>
      <c r="R101">
        <v>0</v>
      </c>
      <c r="S101">
        <v>0</v>
      </c>
      <c r="T101">
        <v>0</v>
      </c>
      <c r="U101">
        <v>2.1212121212121349E-2</v>
      </c>
      <c r="V101">
        <v>0</v>
      </c>
      <c r="W101">
        <v>0.92001836547291083</v>
      </c>
      <c r="X101">
        <v>0</v>
      </c>
      <c r="Y101">
        <v>5.8769513314967853E-2</v>
      </c>
      <c r="Z101">
        <v>0</v>
      </c>
      <c r="AA101">
        <v>0</v>
      </c>
      <c r="AB101">
        <v>0</v>
      </c>
      <c r="AC101">
        <v>0</v>
      </c>
      <c r="AD101">
        <v>0</v>
      </c>
      <c r="AE101" t="s">
        <v>212</v>
      </c>
      <c r="AF101">
        <v>10</v>
      </c>
      <c r="AG101" t="s">
        <v>176</v>
      </c>
      <c r="AI101">
        <v>45574</v>
      </c>
      <c r="AJ101" t="s">
        <v>168</v>
      </c>
    </row>
    <row r="102" spans="1:36" x14ac:dyDescent="0.25">
      <c r="A102" s="1">
        <v>45574</v>
      </c>
      <c r="B102" t="s">
        <v>210</v>
      </c>
      <c r="C102" t="s">
        <v>10</v>
      </c>
      <c r="D102">
        <v>3.7478639781271368</v>
      </c>
      <c r="E102">
        <v>4.75</v>
      </c>
      <c r="F102">
        <v>4.75</v>
      </c>
      <c r="G102">
        <v>3.7813725490196082</v>
      </c>
      <c r="H102">
        <v>1.2673885785934114</v>
      </c>
      <c r="I102">
        <v>1.2673885785934114</v>
      </c>
      <c r="J102">
        <v>1.0089407115861275</v>
      </c>
      <c r="K102">
        <v>0</v>
      </c>
      <c r="L102">
        <v>0</v>
      </c>
      <c r="M102">
        <v>1.7388578593411363E-2</v>
      </c>
      <c r="N102">
        <v>0</v>
      </c>
      <c r="O102">
        <v>0</v>
      </c>
      <c r="P102">
        <v>0</v>
      </c>
      <c r="Q102">
        <v>8.9407115861275255E-3</v>
      </c>
      <c r="R102">
        <v>0</v>
      </c>
      <c r="S102">
        <v>0.24105928841387247</v>
      </c>
      <c r="T102">
        <v>0</v>
      </c>
      <c r="U102">
        <v>0</v>
      </c>
      <c r="V102">
        <v>0</v>
      </c>
      <c r="W102">
        <v>0</v>
      </c>
      <c r="X102">
        <v>0</v>
      </c>
      <c r="Y102">
        <v>1</v>
      </c>
      <c r="Z102">
        <v>0</v>
      </c>
      <c r="AA102">
        <v>0</v>
      </c>
      <c r="AB102">
        <v>0</v>
      </c>
      <c r="AC102">
        <v>0</v>
      </c>
      <c r="AD102">
        <v>0</v>
      </c>
      <c r="AE102" t="s">
        <v>212</v>
      </c>
      <c r="AF102">
        <v>10</v>
      </c>
      <c r="AG102" t="s">
        <v>175</v>
      </c>
      <c r="AI102">
        <v>45574</v>
      </c>
      <c r="AJ102" t="s">
        <v>168</v>
      </c>
    </row>
    <row r="103" spans="1:36" x14ac:dyDescent="0.25">
      <c r="A103" s="1">
        <v>45574</v>
      </c>
      <c r="B103" t="s">
        <v>210</v>
      </c>
      <c r="C103" t="s">
        <v>12</v>
      </c>
      <c r="D103">
        <v>4.5836142079336275</v>
      </c>
      <c r="E103">
        <v>2.8499999999999996</v>
      </c>
      <c r="F103">
        <v>2.8499999999999996</v>
      </c>
      <c r="G103">
        <v>2.8368983957219247</v>
      </c>
      <c r="H103">
        <v>0.6217800780587136</v>
      </c>
      <c r="I103">
        <v>0.6217800780587136</v>
      </c>
      <c r="J103">
        <v>0.61892172138126944</v>
      </c>
      <c r="K103">
        <v>0</v>
      </c>
      <c r="L103">
        <v>0</v>
      </c>
      <c r="M103">
        <v>0</v>
      </c>
      <c r="N103">
        <v>0</v>
      </c>
      <c r="O103">
        <v>0</v>
      </c>
      <c r="P103">
        <v>0</v>
      </c>
      <c r="Q103">
        <v>0</v>
      </c>
      <c r="R103">
        <v>0</v>
      </c>
      <c r="S103">
        <v>0</v>
      </c>
      <c r="T103">
        <v>0</v>
      </c>
      <c r="U103">
        <v>0.3782199219412864</v>
      </c>
      <c r="V103">
        <v>0</v>
      </c>
      <c r="W103">
        <v>2.8583566774441627E-3</v>
      </c>
      <c r="X103">
        <v>0</v>
      </c>
      <c r="Y103">
        <v>0.61892172138126944</v>
      </c>
      <c r="Z103">
        <v>0</v>
      </c>
      <c r="AA103">
        <v>0</v>
      </c>
      <c r="AB103">
        <v>0</v>
      </c>
      <c r="AC103">
        <v>0</v>
      </c>
      <c r="AD103">
        <v>0</v>
      </c>
      <c r="AE103" t="s">
        <v>212</v>
      </c>
      <c r="AF103">
        <v>10</v>
      </c>
      <c r="AG103" t="s">
        <v>174</v>
      </c>
      <c r="AI103">
        <v>45574</v>
      </c>
      <c r="AJ103" t="s">
        <v>168</v>
      </c>
    </row>
    <row r="104" spans="1:36" x14ac:dyDescent="0.25">
      <c r="A104" s="1">
        <v>45575</v>
      </c>
      <c r="B104" t="s">
        <v>210</v>
      </c>
      <c r="C104" t="s">
        <v>10</v>
      </c>
      <c r="D104">
        <v>3.1563909774436087</v>
      </c>
      <c r="E104">
        <v>3.8</v>
      </c>
      <c r="F104">
        <v>3.8</v>
      </c>
      <c r="G104">
        <v>1.882352941176471</v>
      </c>
      <c r="H104">
        <v>1.2039066222010482</v>
      </c>
      <c r="I104">
        <v>1.2039066222010482</v>
      </c>
      <c r="J104">
        <v>0.5963624134742036</v>
      </c>
      <c r="K104">
        <v>0</v>
      </c>
      <c r="L104">
        <v>0</v>
      </c>
      <c r="M104">
        <v>0</v>
      </c>
      <c r="N104">
        <v>0</v>
      </c>
      <c r="O104">
        <v>0</v>
      </c>
      <c r="P104">
        <v>0</v>
      </c>
      <c r="Q104">
        <v>0</v>
      </c>
      <c r="R104">
        <v>0</v>
      </c>
      <c r="S104">
        <v>0.20390662220104816</v>
      </c>
      <c r="T104">
        <v>0</v>
      </c>
      <c r="U104">
        <v>0</v>
      </c>
      <c r="V104">
        <v>0</v>
      </c>
      <c r="W104">
        <v>0.4036375865257964</v>
      </c>
      <c r="X104">
        <v>0</v>
      </c>
      <c r="Y104">
        <v>0.5963624134742036</v>
      </c>
      <c r="Z104">
        <v>0</v>
      </c>
      <c r="AA104">
        <v>0</v>
      </c>
      <c r="AB104">
        <v>0</v>
      </c>
      <c r="AC104">
        <v>0</v>
      </c>
      <c r="AD104">
        <v>0</v>
      </c>
      <c r="AE104" t="s">
        <v>166</v>
      </c>
      <c r="AF104">
        <v>10</v>
      </c>
      <c r="AG104" t="s">
        <v>179</v>
      </c>
      <c r="AH104">
        <v>1</v>
      </c>
      <c r="AI104">
        <v>45575</v>
      </c>
      <c r="AJ104" t="s">
        <v>168</v>
      </c>
    </row>
    <row r="105" spans="1:36" x14ac:dyDescent="0.25">
      <c r="A105" s="1">
        <v>45575</v>
      </c>
      <c r="B105" t="s">
        <v>210</v>
      </c>
      <c r="C105" t="s">
        <v>11</v>
      </c>
      <c r="D105">
        <v>1</v>
      </c>
      <c r="E105">
        <v>0</v>
      </c>
      <c r="F105">
        <v>0</v>
      </c>
      <c r="G105">
        <v>5.4901960784313725E-2</v>
      </c>
      <c r="H105">
        <v>0</v>
      </c>
      <c r="I105">
        <v>0</v>
      </c>
      <c r="J105">
        <v>5.4901960784313725E-2</v>
      </c>
      <c r="K105">
        <v>0</v>
      </c>
      <c r="L105">
        <v>0</v>
      </c>
      <c r="M105">
        <v>0</v>
      </c>
      <c r="N105">
        <v>0</v>
      </c>
      <c r="O105">
        <v>0</v>
      </c>
      <c r="P105">
        <v>0</v>
      </c>
      <c r="Q105">
        <v>0</v>
      </c>
      <c r="R105">
        <v>0</v>
      </c>
      <c r="S105">
        <v>0</v>
      </c>
      <c r="T105">
        <v>5.4901960784313725E-2</v>
      </c>
      <c r="U105">
        <v>0.94509803921568625</v>
      </c>
      <c r="V105">
        <v>0</v>
      </c>
      <c r="W105">
        <v>0</v>
      </c>
      <c r="X105">
        <v>0</v>
      </c>
      <c r="Y105">
        <v>0</v>
      </c>
      <c r="Z105">
        <v>0</v>
      </c>
      <c r="AA105">
        <v>0</v>
      </c>
      <c r="AB105">
        <v>0</v>
      </c>
      <c r="AC105">
        <v>0</v>
      </c>
      <c r="AD105">
        <v>0</v>
      </c>
      <c r="AE105" t="s">
        <v>166</v>
      </c>
      <c r="AF105">
        <v>10</v>
      </c>
      <c r="AG105" t="s">
        <v>177</v>
      </c>
      <c r="AH105">
        <v>1</v>
      </c>
      <c r="AI105">
        <v>45575</v>
      </c>
      <c r="AJ105" t="s">
        <v>168</v>
      </c>
    </row>
    <row r="106" spans="1:36" x14ac:dyDescent="0.25">
      <c r="A106" s="1">
        <v>45575</v>
      </c>
      <c r="B106" t="s">
        <v>210</v>
      </c>
      <c r="C106" t="s">
        <v>12</v>
      </c>
      <c r="D106">
        <v>2.1042606516290729</v>
      </c>
      <c r="E106">
        <v>1.9</v>
      </c>
      <c r="F106">
        <v>1.9</v>
      </c>
      <c r="G106">
        <v>1.9315753887761999</v>
      </c>
      <c r="H106">
        <v>0.90292996665078595</v>
      </c>
      <c r="I106">
        <v>0.90292996665078595</v>
      </c>
      <c r="J106">
        <v>0.91793542177430165</v>
      </c>
      <c r="K106">
        <v>0</v>
      </c>
      <c r="L106">
        <v>0</v>
      </c>
      <c r="M106">
        <v>0</v>
      </c>
      <c r="N106">
        <v>0</v>
      </c>
      <c r="O106">
        <v>0</v>
      </c>
      <c r="P106">
        <v>0</v>
      </c>
      <c r="Q106">
        <v>0</v>
      </c>
      <c r="R106">
        <v>0</v>
      </c>
      <c r="S106">
        <v>0</v>
      </c>
      <c r="T106">
        <v>1.5005455123515699E-2</v>
      </c>
      <c r="U106">
        <v>8.2064578225698348E-2</v>
      </c>
      <c r="V106">
        <v>0</v>
      </c>
      <c r="W106">
        <v>0</v>
      </c>
      <c r="X106">
        <v>0</v>
      </c>
      <c r="Y106">
        <v>0.90292996665078595</v>
      </c>
      <c r="Z106">
        <v>0</v>
      </c>
      <c r="AA106">
        <v>0</v>
      </c>
      <c r="AB106">
        <v>0</v>
      </c>
      <c r="AC106">
        <v>0</v>
      </c>
      <c r="AD106">
        <v>0</v>
      </c>
      <c r="AE106" t="s">
        <v>166</v>
      </c>
      <c r="AF106">
        <v>10</v>
      </c>
      <c r="AG106" t="s">
        <v>178</v>
      </c>
      <c r="AH106">
        <v>1</v>
      </c>
      <c r="AI106">
        <v>45575</v>
      </c>
      <c r="AJ106" t="s">
        <v>168</v>
      </c>
    </row>
    <row r="107" spans="1:36" x14ac:dyDescent="0.25">
      <c r="A107" s="1">
        <v>45575</v>
      </c>
      <c r="B107" t="s">
        <v>210</v>
      </c>
      <c r="C107" t="s">
        <v>10</v>
      </c>
      <c r="D107">
        <v>3.7478639781271368</v>
      </c>
      <c r="E107">
        <v>4.75</v>
      </c>
      <c r="F107">
        <v>4.75</v>
      </c>
      <c r="G107">
        <v>3.75</v>
      </c>
      <c r="H107">
        <v>1.2673885785934114</v>
      </c>
      <c r="I107">
        <v>1.2673885785934114</v>
      </c>
      <c r="J107">
        <v>1.0005699304684827</v>
      </c>
      <c r="K107">
        <v>0</v>
      </c>
      <c r="L107">
        <v>0</v>
      </c>
      <c r="M107">
        <v>1.7388578593411363E-2</v>
      </c>
      <c r="N107">
        <v>0</v>
      </c>
      <c r="O107">
        <v>0</v>
      </c>
      <c r="P107">
        <v>0</v>
      </c>
      <c r="Q107">
        <v>5.6993046848274886E-4</v>
      </c>
      <c r="R107">
        <v>0</v>
      </c>
      <c r="S107">
        <v>0.24943006953151725</v>
      </c>
      <c r="T107">
        <v>0</v>
      </c>
      <c r="U107">
        <v>0</v>
      </c>
      <c r="V107">
        <v>0</v>
      </c>
      <c r="W107">
        <v>0</v>
      </c>
      <c r="X107">
        <v>0</v>
      </c>
      <c r="Y107">
        <v>1</v>
      </c>
      <c r="Z107">
        <v>0</v>
      </c>
      <c r="AA107">
        <v>0</v>
      </c>
      <c r="AB107">
        <v>0</v>
      </c>
      <c r="AC107">
        <v>0</v>
      </c>
      <c r="AD107">
        <v>0</v>
      </c>
      <c r="AE107" t="s">
        <v>212</v>
      </c>
      <c r="AF107">
        <v>10</v>
      </c>
      <c r="AG107" t="s">
        <v>179</v>
      </c>
      <c r="AI107">
        <v>45575</v>
      </c>
      <c r="AJ107" t="s">
        <v>168</v>
      </c>
    </row>
    <row r="108" spans="1:36" x14ac:dyDescent="0.25">
      <c r="A108" s="1">
        <v>45575</v>
      </c>
      <c r="B108" t="s">
        <v>210</v>
      </c>
      <c r="C108" t="s">
        <v>11</v>
      </c>
      <c r="D108">
        <v>0.97058823529411775</v>
      </c>
      <c r="E108">
        <v>0.95</v>
      </c>
      <c r="F108">
        <v>0.95</v>
      </c>
      <c r="G108">
        <v>5.7040998217468802E-2</v>
      </c>
      <c r="H108">
        <v>0.97878787878787865</v>
      </c>
      <c r="I108">
        <v>0.97878787878787865</v>
      </c>
      <c r="J108">
        <v>5.8769513314967853E-2</v>
      </c>
      <c r="K108">
        <v>0</v>
      </c>
      <c r="L108">
        <v>0</v>
      </c>
      <c r="M108">
        <v>0</v>
      </c>
      <c r="N108">
        <v>0</v>
      </c>
      <c r="O108">
        <v>0</v>
      </c>
      <c r="P108">
        <v>0</v>
      </c>
      <c r="Q108">
        <v>0</v>
      </c>
      <c r="R108">
        <v>0</v>
      </c>
      <c r="S108">
        <v>0</v>
      </c>
      <c r="T108">
        <v>0</v>
      </c>
      <c r="U108">
        <v>2.1212121212121349E-2</v>
      </c>
      <c r="V108">
        <v>0</v>
      </c>
      <c r="W108">
        <v>0.92001836547291083</v>
      </c>
      <c r="X108">
        <v>0</v>
      </c>
      <c r="Y108">
        <v>5.8769513314967853E-2</v>
      </c>
      <c r="Z108">
        <v>0</v>
      </c>
      <c r="AA108">
        <v>0</v>
      </c>
      <c r="AB108">
        <v>0</v>
      </c>
      <c r="AC108">
        <v>0</v>
      </c>
      <c r="AD108">
        <v>0</v>
      </c>
      <c r="AE108" t="s">
        <v>212</v>
      </c>
      <c r="AF108">
        <v>10</v>
      </c>
      <c r="AG108" t="s">
        <v>177</v>
      </c>
      <c r="AI108">
        <v>45575</v>
      </c>
      <c r="AJ108" t="s">
        <v>168</v>
      </c>
    </row>
    <row r="109" spans="1:36" x14ac:dyDescent="0.25">
      <c r="A109" s="1">
        <v>45575</v>
      </c>
      <c r="B109" t="s">
        <v>210</v>
      </c>
      <c r="C109" t="s">
        <v>12</v>
      </c>
      <c r="D109">
        <v>4.5836142079336275</v>
      </c>
      <c r="E109">
        <v>1.9</v>
      </c>
      <c r="F109">
        <v>1.9</v>
      </c>
      <c r="G109">
        <v>2.8368983957219247</v>
      </c>
      <c r="H109">
        <v>0.41452005203914244</v>
      </c>
      <c r="I109">
        <v>0.41452005203914244</v>
      </c>
      <c r="J109">
        <v>0.61892172138126944</v>
      </c>
      <c r="K109">
        <v>0</v>
      </c>
      <c r="L109">
        <v>0</v>
      </c>
      <c r="M109">
        <v>0</v>
      </c>
      <c r="N109">
        <v>0</v>
      </c>
      <c r="O109">
        <v>0</v>
      </c>
      <c r="P109">
        <v>0</v>
      </c>
      <c r="Q109">
        <v>0</v>
      </c>
      <c r="R109">
        <v>0</v>
      </c>
      <c r="S109">
        <v>0</v>
      </c>
      <c r="T109">
        <v>0.204401669342127</v>
      </c>
      <c r="U109">
        <v>0.38107827861873056</v>
      </c>
      <c r="V109">
        <v>0</v>
      </c>
      <c r="W109">
        <v>0</v>
      </c>
      <c r="X109">
        <v>0</v>
      </c>
      <c r="Y109">
        <v>0.41452005203914244</v>
      </c>
      <c r="Z109">
        <v>0</v>
      </c>
      <c r="AA109">
        <v>0</v>
      </c>
      <c r="AB109">
        <v>0</v>
      </c>
      <c r="AC109">
        <v>0</v>
      </c>
      <c r="AD109">
        <v>0</v>
      </c>
      <c r="AE109" t="s">
        <v>212</v>
      </c>
      <c r="AF109">
        <v>10</v>
      </c>
      <c r="AG109" t="s">
        <v>178</v>
      </c>
      <c r="AI109">
        <v>45575</v>
      </c>
      <c r="AJ109" t="s">
        <v>168</v>
      </c>
    </row>
    <row r="110" spans="1:36" x14ac:dyDescent="0.25">
      <c r="A110" s="1">
        <v>45576</v>
      </c>
      <c r="B110" t="s">
        <v>210</v>
      </c>
      <c r="C110" t="s">
        <v>10</v>
      </c>
      <c r="D110">
        <v>3.1563909774436087</v>
      </c>
      <c r="E110">
        <v>3.8</v>
      </c>
      <c r="F110">
        <v>3.8</v>
      </c>
      <c r="G110">
        <v>1.882352941176471</v>
      </c>
      <c r="H110">
        <v>1.2039066222010482</v>
      </c>
      <c r="I110">
        <v>1.2039066222010482</v>
      </c>
      <c r="J110">
        <v>0.5963624134742036</v>
      </c>
      <c r="K110">
        <v>0</v>
      </c>
      <c r="L110">
        <v>0</v>
      </c>
      <c r="M110">
        <v>0</v>
      </c>
      <c r="N110">
        <v>0</v>
      </c>
      <c r="O110">
        <v>0</v>
      </c>
      <c r="P110">
        <v>0</v>
      </c>
      <c r="Q110">
        <v>0</v>
      </c>
      <c r="R110">
        <v>0</v>
      </c>
      <c r="S110">
        <v>0.20390662220104816</v>
      </c>
      <c r="T110">
        <v>0</v>
      </c>
      <c r="U110">
        <v>0</v>
      </c>
      <c r="V110">
        <v>0</v>
      </c>
      <c r="W110">
        <v>0.4036375865257964</v>
      </c>
      <c r="X110">
        <v>0</v>
      </c>
      <c r="Y110">
        <v>0.5963624134742036</v>
      </c>
      <c r="Z110">
        <v>0</v>
      </c>
      <c r="AA110">
        <v>0</v>
      </c>
      <c r="AB110">
        <v>0</v>
      </c>
      <c r="AC110">
        <v>0</v>
      </c>
      <c r="AD110">
        <v>0</v>
      </c>
      <c r="AE110" t="s">
        <v>166</v>
      </c>
      <c r="AF110">
        <v>10</v>
      </c>
      <c r="AG110" t="s">
        <v>180</v>
      </c>
      <c r="AH110">
        <v>1</v>
      </c>
      <c r="AI110">
        <v>45576</v>
      </c>
      <c r="AJ110" t="s">
        <v>168</v>
      </c>
    </row>
    <row r="111" spans="1:36" x14ac:dyDescent="0.25">
      <c r="A111" s="1">
        <v>45576</v>
      </c>
      <c r="B111" t="s">
        <v>210</v>
      </c>
      <c r="C111" t="s">
        <v>11</v>
      </c>
      <c r="D111">
        <v>1</v>
      </c>
      <c r="E111">
        <v>0</v>
      </c>
      <c r="F111">
        <v>0</v>
      </c>
      <c r="G111">
        <v>2.7450980392156862E-2</v>
      </c>
      <c r="H111">
        <v>0</v>
      </c>
      <c r="I111">
        <v>0</v>
      </c>
      <c r="J111">
        <v>2.7450980392156862E-2</v>
      </c>
      <c r="K111">
        <v>0</v>
      </c>
      <c r="L111">
        <v>0</v>
      </c>
      <c r="M111">
        <v>0</v>
      </c>
      <c r="N111">
        <v>0</v>
      </c>
      <c r="O111">
        <v>0</v>
      </c>
      <c r="P111">
        <v>0</v>
      </c>
      <c r="Q111">
        <v>0</v>
      </c>
      <c r="R111">
        <v>0</v>
      </c>
      <c r="S111">
        <v>0</v>
      </c>
      <c r="T111">
        <v>2.7450980392156862E-2</v>
      </c>
      <c r="U111">
        <v>0.97254901960784312</v>
      </c>
      <c r="V111">
        <v>0</v>
      </c>
      <c r="W111">
        <v>0</v>
      </c>
      <c r="X111">
        <v>0</v>
      </c>
      <c r="Y111">
        <v>0</v>
      </c>
      <c r="Z111">
        <v>0</v>
      </c>
      <c r="AA111">
        <v>0</v>
      </c>
      <c r="AB111">
        <v>0</v>
      </c>
      <c r="AC111">
        <v>0</v>
      </c>
      <c r="AD111">
        <v>0</v>
      </c>
      <c r="AE111" t="s">
        <v>166</v>
      </c>
      <c r="AF111">
        <v>10</v>
      </c>
      <c r="AG111" t="s">
        <v>181</v>
      </c>
      <c r="AH111">
        <v>1</v>
      </c>
      <c r="AI111">
        <v>45576</v>
      </c>
      <c r="AJ111" t="s">
        <v>168</v>
      </c>
    </row>
    <row r="112" spans="1:36" x14ac:dyDescent="0.25">
      <c r="A112" s="1">
        <v>45576</v>
      </c>
      <c r="B112" t="s">
        <v>210</v>
      </c>
      <c r="C112" t="s">
        <v>12</v>
      </c>
      <c r="D112">
        <v>2.1042606516290729</v>
      </c>
      <c r="E112">
        <v>2.8499999999999996</v>
      </c>
      <c r="F112">
        <v>2.8499999999999996</v>
      </c>
      <c r="G112">
        <v>1.7568627450980387</v>
      </c>
      <c r="H112">
        <v>1.3543949499761787</v>
      </c>
      <c r="I112">
        <v>1.3543949499761787</v>
      </c>
      <c r="J112">
        <v>0.83490737886388444</v>
      </c>
      <c r="K112">
        <v>0</v>
      </c>
      <c r="L112">
        <v>0</v>
      </c>
      <c r="M112">
        <v>0.10439494997617871</v>
      </c>
      <c r="N112">
        <v>0</v>
      </c>
      <c r="O112">
        <v>0</v>
      </c>
      <c r="P112">
        <v>0</v>
      </c>
      <c r="Q112">
        <v>0</v>
      </c>
      <c r="R112">
        <v>0</v>
      </c>
      <c r="S112">
        <v>0.25</v>
      </c>
      <c r="T112">
        <v>0</v>
      </c>
      <c r="U112">
        <v>0</v>
      </c>
      <c r="V112">
        <v>0</v>
      </c>
      <c r="W112">
        <v>0.16509262113611556</v>
      </c>
      <c r="X112">
        <v>0</v>
      </c>
      <c r="Y112">
        <v>0.83490737886388444</v>
      </c>
      <c r="Z112">
        <v>0</v>
      </c>
      <c r="AA112">
        <v>0</v>
      </c>
      <c r="AB112">
        <v>0</v>
      </c>
      <c r="AC112">
        <v>0</v>
      </c>
      <c r="AD112">
        <v>0</v>
      </c>
      <c r="AE112" t="s">
        <v>166</v>
      </c>
      <c r="AF112">
        <v>10</v>
      </c>
      <c r="AG112" t="s">
        <v>182</v>
      </c>
      <c r="AH112">
        <v>1</v>
      </c>
      <c r="AI112">
        <v>45576</v>
      </c>
      <c r="AJ112" t="s">
        <v>168</v>
      </c>
    </row>
    <row r="113" spans="1:36" x14ac:dyDescent="0.25">
      <c r="A113" s="1">
        <v>45576</v>
      </c>
      <c r="B113" t="s">
        <v>210</v>
      </c>
      <c r="C113" t="s">
        <v>10</v>
      </c>
      <c r="D113">
        <v>3.7478639781271368</v>
      </c>
      <c r="E113">
        <v>4.75</v>
      </c>
      <c r="F113">
        <v>4.75</v>
      </c>
      <c r="G113">
        <v>3.75</v>
      </c>
      <c r="H113">
        <v>1.2673885785934114</v>
      </c>
      <c r="I113">
        <v>1.2673885785934114</v>
      </c>
      <c r="J113">
        <v>1.0005699304684827</v>
      </c>
      <c r="K113">
        <v>0</v>
      </c>
      <c r="L113">
        <v>0</v>
      </c>
      <c r="M113">
        <v>1.7388578593411363E-2</v>
      </c>
      <c r="N113">
        <v>0</v>
      </c>
      <c r="O113">
        <v>0</v>
      </c>
      <c r="P113">
        <v>0</v>
      </c>
      <c r="Q113">
        <v>5.6993046848274886E-4</v>
      </c>
      <c r="R113">
        <v>0</v>
      </c>
      <c r="S113">
        <v>0.24943006953151725</v>
      </c>
      <c r="T113">
        <v>0</v>
      </c>
      <c r="U113">
        <v>0</v>
      </c>
      <c r="V113">
        <v>0</v>
      </c>
      <c r="W113">
        <v>0</v>
      </c>
      <c r="X113">
        <v>0</v>
      </c>
      <c r="Y113">
        <v>1</v>
      </c>
      <c r="Z113">
        <v>0</v>
      </c>
      <c r="AA113">
        <v>0</v>
      </c>
      <c r="AB113">
        <v>0</v>
      </c>
      <c r="AC113">
        <v>0</v>
      </c>
      <c r="AD113">
        <v>0</v>
      </c>
      <c r="AE113" t="s">
        <v>212</v>
      </c>
      <c r="AF113">
        <v>10</v>
      </c>
      <c r="AG113" t="s">
        <v>180</v>
      </c>
      <c r="AI113">
        <v>45576</v>
      </c>
      <c r="AJ113" t="s">
        <v>168</v>
      </c>
    </row>
    <row r="114" spans="1:36" x14ac:dyDescent="0.25">
      <c r="A114" s="1">
        <v>45576</v>
      </c>
      <c r="B114" t="s">
        <v>210</v>
      </c>
      <c r="C114" t="s">
        <v>11</v>
      </c>
      <c r="D114">
        <v>0.97058823529411775</v>
      </c>
      <c r="E114">
        <v>0.95</v>
      </c>
      <c r="F114">
        <v>0.95</v>
      </c>
      <c r="G114">
        <v>5.7040998217468802E-2</v>
      </c>
      <c r="H114">
        <v>0.97878787878787865</v>
      </c>
      <c r="I114">
        <v>0.97878787878787865</v>
      </c>
      <c r="J114">
        <v>5.8769513314967853E-2</v>
      </c>
      <c r="K114">
        <v>0</v>
      </c>
      <c r="L114">
        <v>0</v>
      </c>
      <c r="M114">
        <v>0</v>
      </c>
      <c r="N114">
        <v>0</v>
      </c>
      <c r="O114">
        <v>0</v>
      </c>
      <c r="P114">
        <v>0</v>
      </c>
      <c r="Q114">
        <v>0</v>
      </c>
      <c r="R114">
        <v>0</v>
      </c>
      <c r="S114">
        <v>0</v>
      </c>
      <c r="T114">
        <v>0</v>
      </c>
      <c r="U114">
        <v>2.1212121212121349E-2</v>
      </c>
      <c r="V114">
        <v>0</v>
      </c>
      <c r="W114">
        <v>0.92001836547291083</v>
      </c>
      <c r="X114">
        <v>0</v>
      </c>
      <c r="Y114">
        <v>5.8769513314967853E-2</v>
      </c>
      <c r="Z114">
        <v>0</v>
      </c>
      <c r="AA114">
        <v>0</v>
      </c>
      <c r="AB114">
        <v>0</v>
      </c>
      <c r="AC114">
        <v>0</v>
      </c>
      <c r="AD114">
        <v>0</v>
      </c>
      <c r="AE114" t="s">
        <v>212</v>
      </c>
      <c r="AF114">
        <v>10</v>
      </c>
      <c r="AG114" t="s">
        <v>181</v>
      </c>
      <c r="AI114">
        <v>45576</v>
      </c>
      <c r="AJ114" t="s">
        <v>168</v>
      </c>
    </row>
    <row r="115" spans="1:36" x14ac:dyDescent="0.25">
      <c r="A115" s="1">
        <v>45576</v>
      </c>
      <c r="B115" t="s">
        <v>210</v>
      </c>
      <c r="C115" t="s">
        <v>12</v>
      </c>
      <c r="D115">
        <v>4.5836142079336275</v>
      </c>
      <c r="E115">
        <v>3.8</v>
      </c>
      <c r="F115">
        <v>3.8</v>
      </c>
      <c r="G115">
        <v>3.5641711229946522</v>
      </c>
      <c r="H115">
        <v>0.82904010407828488</v>
      </c>
      <c r="I115">
        <v>0.82904010407828488</v>
      </c>
      <c r="J115">
        <v>0.77758968388429051</v>
      </c>
      <c r="K115">
        <v>0</v>
      </c>
      <c r="L115">
        <v>0</v>
      </c>
      <c r="M115">
        <v>0</v>
      </c>
      <c r="N115">
        <v>0</v>
      </c>
      <c r="O115">
        <v>0</v>
      </c>
      <c r="P115">
        <v>0</v>
      </c>
      <c r="Q115">
        <v>0</v>
      </c>
      <c r="R115">
        <v>0</v>
      </c>
      <c r="S115">
        <v>0</v>
      </c>
      <c r="T115">
        <v>0</v>
      </c>
      <c r="U115">
        <v>0.17095989592171512</v>
      </c>
      <c r="V115">
        <v>0</v>
      </c>
      <c r="W115">
        <v>5.1450420193994373E-2</v>
      </c>
      <c r="X115">
        <v>0</v>
      </c>
      <c r="Y115">
        <v>0.77758968388429051</v>
      </c>
      <c r="Z115">
        <v>0</v>
      </c>
      <c r="AA115">
        <v>0</v>
      </c>
      <c r="AB115">
        <v>0</v>
      </c>
      <c r="AC115">
        <v>0</v>
      </c>
      <c r="AD115">
        <v>0</v>
      </c>
      <c r="AE115" t="s">
        <v>212</v>
      </c>
      <c r="AF115">
        <v>10</v>
      </c>
      <c r="AG115" t="s">
        <v>182</v>
      </c>
      <c r="AI115">
        <v>45576</v>
      </c>
      <c r="AJ115" t="s">
        <v>168</v>
      </c>
    </row>
    <row r="116" spans="1:36" x14ac:dyDescent="0.25">
      <c r="A116" s="1">
        <v>45577</v>
      </c>
      <c r="B116" t="s">
        <v>210</v>
      </c>
      <c r="C116" t="s">
        <v>12</v>
      </c>
      <c r="D116">
        <v>2.1042606516290729</v>
      </c>
      <c r="E116">
        <v>1.9</v>
      </c>
      <c r="F116">
        <v>1.9</v>
      </c>
      <c r="G116">
        <v>1.7568627450980394</v>
      </c>
      <c r="H116">
        <v>0.90292996665078595</v>
      </c>
      <c r="I116">
        <v>0.90292996665078595</v>
      </c>
      <c r="J116">
        <v>0.83490737886388477</v>
      </c>
      <c r="K116">
        <v>0</v>
      </c>
      <c r="L116">
        <v>0</v>
      </c>
      <c r="M116">
        <v>0</v>
      </c>
      <c r="N116">
        <v>0</v>
      </c>
      <c r="O116">
        <v>0</v>
      </c>
      <c r="P116">
        <v>0</v>
      </c>
      <c r="Q116">
        <v>0</v>
      </c>
      <c r="R116">
        <v>0</v>
      </c>
      <c r="S116">
        <v>0</v>
      </c>
      <c r="T116">
        <v>0</v>
      </c>
      <c r="U116">
        <v>9.7070033349214047E-2</v>
      </c>
      <c r="V116">
        <v>0</v>
      </c>
      <c r="W116">
        <v>6.8022587786901179E-2</v>
      </c>
      <c r="X116">
        <v>0</v>
      </c>
      <c r="Y116">
        <v>0.83490737886388477</v>
      </c>
      <c r="Z116">
        <v>0</v>
      </c>
      <c r="AA116">
        <v>0</v>
      </c>
      <c r="AB116">
        <v>0</v>
      </c>
      <c r="AC116">
        <v>0</v>
      </c>
      <c r="AD116">
        <v>0</v>
      </c>
      <c r="AE116" t="s">
        <v>166</v>
      </c>
      <c r="AF116">
        <v>10</v>
      </c>
      <c r="AG116" t="s">
        <v>185</v>
      </c>
      <c r="AH116">
        <v>1</v>
      </c>
      <c r="AI116">
        <v>45577</v>
      </c>
      <c r="AJ116" t="s">
        <v>168</v>
      </c>
    </row>
    <row r="117" spans="1:36" x14ac:dyDescent="0.25">
      <c r="A117" s="1">
        <v>45577</v>
      </c>
      <c r="B117" t="s">
        <v>210</v>
      </c>
      <c r="C117" t="s">
        <v>10</v>
      </c>
      <c r="D117">
        <v>3.1563909774436096</v>
      </c>
      <c r="E117">
        <v>4.75</v>
      </c>
      <c r="F117">
        <v>4.75</v>
      </c>
      <c r="G117">
        <v>1.882352941176471</v>
      </c>
      <c r="H117">
        <v>1.5048832777513099</v>
      </c>
      <c r="I117">
        <v>1.5048832777513099</v>
      </c>
      <c r="J117">
        <v>0.59636241347420338</v>
      </c>
      <c r="K117">
        <v>0</v>
      </c>
      <c r="L117">
        <v>0</v>
      </c>
      <c r="M117">
        <v>0.25488327775130992</v>
      </c>
      <c r="N117">
        <v>0</v>
      </c>
      <c r="O117">
        <v>0</v>
      </c>
      <c r="P117">
        <v>0</v>
      </c>
      <c r="Q117">
        <v>0</v>
      </c>
      <c r="R117">
        <v>0</v>
      </c>
      <c r="S117">
        <v>0.25</v>
      </c>
      <c r="T117">
        <v>0</v>
      </c>
      <c r="U117">
        <v>0</v>
      </c>
      <c r="V117">
        <v>0</v>
      </c>
      <c r="W117">
        <v>0.40363758652579662</v>
      </c>
      <c r="X117">
        <v>0</v>
      </c>
      <c r="Y117">
        <v>0.59636241347420338</v>
      </c>
      <c r="Z117">
        <v>0</v>
      </c>
      <c r="AA117">
        <v>0</v>
      </c>
      <c r="AB117">
        <v>0</v>
      </c>
      <c r="AC117">
        <v>0</v>
      </c>
      <c r="AD117">
        <v>0</v>
      </c>
      <c r="AE117" t="s">
        <v>166</v>
      </c>
      <c r="AF117">
        <v>10</v>
      </c>
      <c r="AG117" t="s">
        <v>183</v>
      </c>
      <c r="AH117">
        <v>1</v>
      </c>
      <c r="AI117">
        <v>45577</v>
      </c>
      <c r="AJ117" t="s">
        <v>168</v>
      </c>
    </row>
    <row r="118" spans="1:36" x14ac:dyDescent="0.25">
      <c r="A118" s="1">
        <v>45577</v>
      </c>
      <c r="B118" t="s">
        <v>210</v>
      </c>
      <c r="C118" t="s">
        <v>11</v>
      </c>
      <c r="D118">
        <v>1</v>
      </c>
      <c r="E118">
        <v>0</v>
      </c>
      <c r="F118">
        <v>0</v>
      </c>
      <c r="G118">
        <v>2.7450980392156862E-2</v>
      </c>
      <c r="H118">
        <v>0</v>
      </c>
      <c r="I118">
        <v>0</v>
      </c>
      <c r="J118">
        <v>2.7450980392156862E-2</v>
      </c>
      <c r="K118">
        <v>0</v>
      </c>
      <c r="L118">
        <v>0</v>
      </c>
      <c r="M118">
        <v>0</v>
      </c>
      <c r="N118">
        <v>0</v>
      </c>
      <c r="O118">
        <v>0</v>
      </c>
      <c r="P118">
        <v>0</v>
      </c>
      <c r="Q118">
        <v>0</v>
      </c>
      <c r="R118">
        <v>0</v>
      </c>
      <c r="S118">
        <v>0</v>
      </c>
      <c r="T118">
        <v>2.7450980392156862E-2</v>
      </c>
      <c r="U118">
        <v>0.97254901960784312</v>
      </c>
      <c r="V118">
        <v>0</v>
      </c>
      <c r="W118">
        <v>0</v>
      </c>
      <c r="X118">
        <v>0</v>
      </c>
      <c r="Y118">
        <v>0</v>
      </c>
      <c r="Z118">
        <v>0</v>
      </c>
      <c r="AA118">
        <v>0</v>
      </c>
      <c r="AB118">
        <v>0</v>
      </c>
      <c r="AC118">
        <v>0</v>
      </c>
      <c r="AD118">
        <v>0</v>
      </c>
      <c r="AE118" t="s">
        <v>166</v>
      </c>
      <c r="AF118">
        <v>10</v>
      </c>
      <c r="AG118" t="s">
        <v>184</v>
      </c>
      <c r="AH118">
        <v>1</v>
      </c>
      <c r="AI118">
        <v>45577</v>
      </c>
      <c r="AJ118" t="s">
        <v>168</v>
      </c>
    </row>
    <row r="119" spans="1:36" x14ac:dyDescent="0.25">
      <c r="A119" s="1">
        <v>45577</v>
      </c>
      <c r="B119" t="s">
        <v>210</v>
      </c>
      <c r="C119" t="s">
        <v>12</v>
      </c>
      <c r="D119">
        <v>4.5836142079336275</v>
      </c>
      <c r="E119">
        <v>3.8</v>
      </c>
      <c r="F119">
        <v>3.8</v>
      </c>
      <c r="G119">
        <v>3.3502673796791447</v>
      </c>
      <c r="H119">
        <v>0.82904010407828488</v>
      </c>
      <c r="I119">
        <v>0.82904010407828488</v>
      </c>
      <c r="J119">
        <v>0.73092263608928443</v>
      </c>
      <c r="K119">
        <v>0</v>
      </c>
      <c r="L119">
        <v>0</v>
      </c>
      <c r="M119">
        <v>0</v>
      </c>
      <c r="N119">
        <v>0</v>
      </c>
      <c r="O119">
        <v>0</v>
      </c>
      <c r="P119">
        <v>0</v>
      </c>
      <c r="Q119">
        <v>0</v>
      </c>
      <c r="R119">
        <v>0</v>
      </c>
      <c r="S119">
        <v>0</v>
      </c>
      <c r="T119">
        <v>0</v>
      </c>
      <c r="U119">
        <v>0.17095989592171512</v>
      </c>
      <c r="V119">
        <v>0</v>
      </c>
      <c r="W119">
        <v>9.8117467989000451E-2</v>
      </c>
      <c r="X119">
        <v>0</v>
      </c>
      <c r="Y119">
        <v>0.73092263608928443</v>
      </c>
      <c r="Z119">
        <v>0</v>
      </c>
      <c r="AA119">
        <v>0</v>
      </c>
      <c r="AB119">
        <v>0</v>
      </c>
      <c r="AC119">
        <v>0</v>
      </c>
      <c r="AD119">
        <v>0</v>
      </c>
      <c r="AE119" t="s">
        <v>212</v>
      </c>
      <c r="AF119">
        <v>10</v>
      </c>
      <c r="AG119" t="s">
        <v>185</v>
      </c>
      <c r="AI119">
        <v>45577</v>
      </c>
      <c r="AJ119" t="s">
        <v>168</v>
      </c>
    </row>
    <row r="120" spans="1:36" x14ac:dyDescent="0.25">
      <c r="A120" s="1">
        <v>45577</v>
      </c>
      <c r="B120" t="s">
        <v>210</v>
      </c>
      <c r="C120" t="s">
        <v>10</v>
      </c>
      <c r="D120">
        <v>3.7478639781271368</v>
      </c>
      <c r="E120">
        <v>4.75</v>
      </c>
      <c r="F120">
        <v>4.75</v>
      </c>
      <c r="G120">
        <v>3.75</v>
      </c>
      <c r="H120">
        <v>1.2673885785934114</v>
      </c>
      <c r="I120">
        <v>1.2673885785934114</v>
      </c>
      <c r="J120">
        <v>1.0005699304684827</v>
      </c>
      <c r="K120">
        <v>0</v>
      </c>
      <c r="L120">
        <v>0</v>
      </c>
      <c r="M120">
        <v>1.7388578593411363E-2</v>
      </c>
      <c r="N120">
        <v>0</v>
      </c>
      <c r="O120">
        <v>0</v>
      </c>
      <c r="P120">
        <v>0</v>
      </c>
      <c r="Q120">
        <v>5.6993046848274886E-4</v>
      </c>
      <c r="R120">
        <v>0</v>
      </c>
      <c r="S120">
        <v>0.24943006953151725</v>
      </c>
      <c r="T120">
        <v>0</v>
      </c>
      <c r="U120">
        <v>0</v>
      </c>
      <c r="V120">
        <v>0</v>
      </c>
      <c r="W120">
        <v>0</v>
      </c>
      <c r="X120">
        <v>0</v>
      </c>
      <c r="Y120">
        <v>1</v>
      </c>
      <c r="Z120">
        <v>0</v>
      </c>
      <c r="AA120">
        <v>0</v>
      </c>
      <c r="AB120">
        <v>0</v>
      </c>
      <c r="AC120">
        <v>0</v>
      </c>
      <c r="AD120">
        <v>0</v>
      </c>
      <c r="AE120" t="s">
        <v>212</v>
      </c>
      <c r="AF120">
        <v>10</v>
      </c>
      <c r="AG120" t="s">
        <v>183</v>
      </c>
      <c r="AI120">
        <v>45577</v>
      </c>
      <c r="AJ120" t="s">
        <v>168</v>
      </c>
    </row>
    <row r="121" spans="1:36" x14ac:dyDescent="0.25">
      <c r="A121" s="1">
        <v>45577</v>
      </c>
      <c r="B121" t="s">
        <v>210</v>
      </c>
      <c r="C121" t="s">
        <v>11</v>
      </c>
      <c r="D121">
        <v>0.97058823529411775</v>
      </c>
      <c r="E121">
        <v>0.95</v>
      </c>
      <c r="F121">
        <v>0.95</v>
      </c>
      <c r="G121">
        <v>2.8520499108734401E-2</v>
      </c>
      <c r="H121">
        <v>0.97878787878787865</v>
      </c>
      <c r="I121">
        <v>0.97878787878787865</v>
      </c>
      <c r="J121">
        <v>2.9384756657483926E-2</v>
      </c>
      <c r="K121">
        <v>0</v>
      </c>
      <c r="L121">
        <v>0</v>
      </c>
      <c r="M121">
        <v>0</v>
      </c>
      <c r="N121">
        <v>0</v>
      </c>
      <c r="O121">
        <v>0</v>
      </c>
      <c r="P121">
        <v>0</v>
      </c>
      <c r="Q121">
        <v>0</v>
      </c>
      <c r="R121">
        <v>0</v>
      </c>
      <c r="S121">
        <v>0</v>
      </c>
      <c r="T121">
        <v>0</v>
      </c>
      <c r="U121">
        <v>2.1212121212121349E-2</v>
      </c>
      <c r="V121">
        <v>0</v>
      </c>
      <c r="W121">
        <v>0.94940312213039468</v>
      </c>
      <c r="X121">
        <v>0</v>
      </c>
      <c r="Y121">
        <v>2.9384756657483926E-2</v>
      </c>
      <c r="Z121">
        <v>0</v>
      </c>
      <c r="AA121">
        <v>0</v>
      </c>
      <c r="AB121">
        <v>0</v>
      </c>
      <c r="AC121">
        <v>0</v>
      </c>
      <c r="AD121">
        <v>0</v>
      </c>
      <c r="AE121" t="s">
        <v>212</v>
      </c>
      <c r="AF121">
        <v>10</v>
      </c>
      <c r="AG121" t="s">
        <v>184</v>
      </c>
      <c r="AI121">
        <v>45577</v>
      </c>
      <c r="AJ121" t="s">
        <v>168</v>
      </c>
    </row>
    <row r="122" spans="1:36" x14ac:dyDescent="0.25">
      <c r="A122" s="1">
        <v>45578</v>
      </c>
      <c r="B122" t="s">
        <v>210</v>
      </c>
      <c r="C122" t="s">
        <v>11</v>
      </c>
      <c r="D122">
        <v>1</v>
      </c>
      <c r="E122">
        <v>0</v>
      </c>
      <c r="F122">
        <v>0</v>
      </c>
      <c r="G122">
        <v>0</v>
      </c>
      <c r="H122">
        <v>0</v>
      </c>
      <c r="I122">
        <v>0</v>
      </c>
      <c r="J122">
        <v>0</v>
      </c>
      <c r="K122">
        <v>0</v>
      </c>
      <c r="L122">
        <v>0</v>
      </c>
      <c r="M122">
        <v>0</v>
      </c>
      <c r="N122">
        <v>0</v>
      </c>
      <c r="O122">
        <v>0</v>
      </c>
      <c r="P122">
        <v>0</v>
      </c>
      <c r="Q122">
        <v>0</v>
      </c>
      <c r="R122">
        <v>0</v>
      </c>
      <c r="S122">
        <v>0</v>
      </c>
      <c r="T122">
        <v>0</v>
      </c>
      <c r="U122">
        <v>1</v>
      </c>
      <c r="V122">
        <v>0</v>
      </c>
      <c r="W122">
        <v>0</v>
      </c>
      <c r="X122">
        <v>0</v>
      </c>
      <c r="Y122">
        <v>0</v>
      </c>
      <c r="Z122">
        <v>0</v>
      </c>
      <c r="AA122">
        <v>0</v>
      </c>
      <c r="AB122">
        <v>0</v>
      </c>
      <c r="AC122">
        <v>0</v>
      </c>
      <c r="AD122">
        <v>0</v>
      </c>
      <c r="AE122" t="s">
        <v>166</v>
      </c>
      <c r="AF122">
        <v>10</v>
      </c>
      <c r="AG122" t="s">
        <v>187</v>
      </c>
      <c r="AH122">
        <v>1</v>
      </c>
      <c r="AI122">
        <v>45578</v>
      </c>
      <c r="AJ122" t="s">
        <v>168</v>
      </c>
    </row>
    <row r="123" spans="1:36" x14ac:dyDescent="0.25">
      <c r="A123" s="1">
        <v>45578</v>
      </c>
      <c r="B123" t="s">
        <v>210</v>
      </c>
      <c r="C123" t="s">
        <v>10</v>
      </c>
      <c r="D123">
        <v>3.1563909774436096</v>
      </c>
      <c r="E123">
        <v>2.8499999999999996</v>
      </c>
      <c r="F123">
        <v>2.8499999999999996</v>
      </c>
      <c r="G123">
        <v>1.882352941176471</v>
      </c>
      <c r="H123">
        <v>0.90292996665078584</v>
      </c>
      <c r="I123">
        <v>0.90292996665078584</v>
      </c>
      <c r="J123">
        <v>0.59636241347420338</v>
      </c>
      <c r="K123">
        <v>0</v>
      </c>
      <c r="L123">
        <v>0</v>
      </c>
      <c r="M123">
        <v>0</v>
      </c>
      <c r="N123">
        <v>0</v>
      </c>
      <c r="O123">
        <v>0</v>
      </c>
      <c r="P123">
        <v>0</v>
      </c>
      <c r="Q123">
        <v>0</v>
      </c>
      <c r="R123">
        <v>0</v>
      </c>
      <c r="S123">
        <v>0</v>
      </c>
      <c r="T123">
        <v>0</v>
      </c>
      <c r="U123">
        <v>9.7070033349214158E-2</v>
      </c>
      <c r="V123">
        <v>0</v>
      </c>
      <c r="W123">
        <v>0.30656755317658246</v>
      </c>
      <c r="X123">
        <v>0</v>
      </c>
      <c r="Y123">
        <v>0.59636241347420338</v>
      </c>
      <c r="Z123">
        <v>0</v>
      </c>
      <c r="AA123">
        <v>0</v>
      </c>
      <c r="AB123">
        <v>0</v>
      </c>
      <c r="AC123">
        <v>0</v>
      </c>
      <c r="AD123">
        <v>0</v>
      </c>
      <c r="AE123" t="s">
        <v>166</v>
      </c>
      <c r="AF123">
        <v>10</v>
      </c>
      <c r="AG123" t="s">
        <v>186</v>
      </c>
      <c r="AH123">
        <v>1</v>
      </c>
      <c r="AI123">
        <v>45578</v>
      </c>
      <c r="AJ123" t="s">
        <v>168</v>
      </c>
    </row>
    <row r="124" spans="1:36" x14ac:dyDescent="0.25">
      <c r="A124" s="1">
        <v>45578</v>
      </c>
      <c r="B124" t="s">
        <v>210</v>
      </c>
      <c r="C124" t="s">
        <v>12</v>
      </c>
      <c r="D124">
        <v>2.1042606516290729</v>
      </c>
      <c r="E124">
        <v>1.9</v>
      </c>
      <c r="F124">
        <v>1.9</v>
      </c>
      <c r="G124">
        <v>1.5821501014198778</v>
      </c>
      <c r="H124">
        <v>0.90292996665078595</v>
      </c>
      <c r="I124">
        <v>0.90292996665078595</v>
      </c>
      <c r="J124">
        <v>0.75187933595346734</v>
      </c>
      <c r="K124">
        <v>0</v>
      </c>
      <c r="L124">
        <v>0</v>
      </c>
      <c r="M124">
        <v>0</v>
      </c>
      <c r="N124">
        <v>0</v>
      </c>
      <c r="O124">
        <v>0</v>
      </c>
      <c r="P124">
        <v>0</v>
      </c>
      <c r="Q124">
        <v>0</v>
      </c>
      <c r="R124">
        <v>0</v>
      </c>
      <c r="S124">
        <v>0</v>
      </c>
      <c r="T124">
        <v>0</v>
      </c>
      <c r="U124">
        <v>9.7070033349214047E-2</v>
      </c>
      <c r="V124">
        <v>0</v>
      </c>
      <c r="W124">
        <v>0.15105063069731861</v>
      </c>
      <c r="X124">
        <v>0</v>
      </c>
      <c r="Y124">
        <v>0.75187933595346734</v>
      </c>
      <c r="Z124">
        <v>0</v>
      </c>
      <c r="AA124">
        <v>0</v>
      </c>
      <c r="AB124">
        <v>0</v>
      </c>
      <c r="AC124">
        <v>0</v>
      </c>
      <c r="AD124">
        <v>0</v>
      </c>
      <c r="AE124" t="s">
        <v>166</v>
      </c>
      <c r="AF124">
        <v>10</v>
      </c>
      <c r="AG124" t="s">
        <v>188</v>
      </c>
      <c r="AH124">
        <v>1</v>
      </c>
      <c r="AI124">
        <v>45578</v>
      </c>
      <c r="AJ124" t="s">
        <v>168</v>
      </c>
    </row>
    <row r="125" spans="1:36" x14ac:dyDescent="0.25">
      <c r="A125" s="1">
        <v>45578</v>
      </c>
      <c r="B125" t="s">
        <v>210</v>
      </c>
      <c r="C125" t="s">
        <v>11</v>
      </c>
      <c r="D125">
        <v>0.97058823529411775</v>
      </c>
      <c r="E125">
        <v>0.95</v>
      </c>
      <c r="F125">
        <v>0.95</v>
      </c>
      <c r="G125">
        <v>8.5561497326203204E-2</v>
      </c>
      <c r="H125">
        <v>0.97878787878787865</v>
      </c>
      <c r="I125">
        <v>0.97878787878787865</v>
      </c>
      <c r="J125">
        <v>8.8154269972451779E-2</v>
      </c>
      <c r="K125">
        <v>0</v>
      </c>
      <c r="L125">
        <v>0</v>
      </c>
      <c r="M125">
        <v>0</v>
      </c>
      <c r="N125">
        <v>0</v>
      </c>
      <c r="O125">
        <v>0</v>
      </c>
      <c r="P125">
        <v>0</v>
      </c>
      <c r="Q125">
        <v>0</v>
      </c>
      <c r="R125">
        <v>0</v>
      </c>
      <c r="S125">
        <v>0</v>
      </c>
      <c r="T125">
        <v>0</v>
      </c>
      <c r="U125">
        <v>2.1212121212121349E-2</v>
      </c>
      <c r="V125">
        <v>0</v>
      </c>
      <c r="W125">
        <v>0.89063360881542686</v>
      </c>
      <c r="X125">
        <v>0</v>
      </c>
      <c r="Y125">
        <v>8.8154269972451779E-2</v>
      </c>
      <c r="Z125">
        <v>0</v>
      </c>
      <c r="AA125">
        <v>0</v>
      </c>
      <c r="AB125">
        <v>0</v>
      </c>
      <c r="AC125">
        <v>0</v>
      </c>
      <c r="AD125">
        <v>0</v>
      </c>
      <c r="AE125" t="s">
        <v>212</v>
      </c>
      <c r="AF125">
        <v>10</v>
      </c>
      <c r="AG125" t="s">
        <v>187</v>
      </c>
      <c r="AI125">
        <v>45578</v>
      </c>
      <c r="AJ125" t="s">
        <v>168</v>
      </c>
    </row>
    <row r="126" spans="1:36" x14ac:dyDescent="0.25">
      <c r="A126" s="1">
        <v>45578</v>
      </c>
      <c r="B126" t="s">
        <v>210</v>
      </c>
      <c r="C126" t="s">
        <v>10</v>
      </c>
      <c r="D126">
        <v>3.7478639781271368</v>
      </c>
      <c r="E126">
        <v>3.8</v>
      </c>
      <c r="F126">
        <v>3.8</v>
      </c>
      <c r="G126">
        <v>3.75</v>
      </c>
      <c r="H126">
        <v>1.0139108628747291</v>
      </c>
      <c r="I126">
        <v>1.0139108628747291</v>
      </c>
      <c r="J126">
        <v>1.0005699304684827</v>
      </c>
      <c r="K126">
        <v>0</v>
      </c>
      <c r="L126">
        <v>0</v>
      </c>
      <c r="M126">
        <v>0</v>
      </c>
      <c r="N126">
        <v>0</v>
      </c>
      <c r="O126">
        <v>0</v>
      </c>
      <c r="P126">
        <v>0</v>
      </c>
      <c r="Q126">
        <v>5.6993046848274886E-4</v>
      </c>
      <c r="R126">
        <v>0</v>
      </c>
      <c r="S126">
        <v>1.3340932406246342E-2</v>
      </c>
      <c r="T126">
        <v>0</v>
      </c>
      <c r="U126">
        <v>0</v>
      </c>
      <c r="V126">
        <v>0</v>
      </c>
      <c r="W126">
        <v>0</v>
      </c>
      <c r="X126">
        <v>0</v>
      </c>
      <c r="Y126">
        <v>1</v>
      </c>
      <c r="Z126">
        <v>0</v>
      </c>
      <c r="AA126">
        <v>0</v>
      </c>
      <c r="AB126">
        <v>0</v>
      </c>
      <c r="AC126">
        <v>0</v>
      </c>
      <c r="AD126">
        <v>0</v>
      </c>
      <c r="AE126" t="s">
        <v>212</v>
      </c>
      <c r="AF126">
        <v>10</v>
      </c>
      <c r="AG126" t="s">
        <v>186</v>
      </c>
      <c r="AI126">
        <v>45578</v>
      </c>
      <c r="AJ126" t="s">
        <v>168</v>
      </c>
    </row>
    <row r="127" spans="1:36" x14ac:dyDescent="0.25">
      <c r="A127" s="1">
        <v>45578</v>
      </c>
      <c r="B127" t="s">
        <v>210</v>
      </c>
      <c r="C127" t="s">
        <v>12</v>
      </c>
      <c r="D127">
        <v>4.5836142079336275</v>
      </c>
      <c r="E127">
        <v>4.75</v>
      </c>
      <c r="F127">
        <v>4.75</v>
      </c>
      <c r="G127">
        <v>3.7780748663101602</v>
      </c>
      <c r="H127">
        <v>1.036300130097856</v>
      </c>
      <c r="I127">
        <v>1.036300130097856</v>
      </c>
      <c r="J127">
        <v>0.82425673167929669</v>
      </c>
      <c r="K127">
        <v>0</v>
      </c>
      <c r="L127">
        <v>0</v>
      </c>
      <c r="M127">
        <v>0</v>
      </c>
      <c r="N127">
        <v>0</v>
      </c>
      <c r="O127">
        <v>0</v>
      </c>
      <c r="P127">
        <v>0</v>
      </c>
      <c r="Q127">
        <v>0</v>
      </c>
      <c r="R127">
        <v>0</v>
      </c>
      <c r="S127">
        <v>3.6300130097856043E-2</v>
      </c>
      <c r="T127">
        <v>0</v>
      </c>
      <c r="U127">
        <v>0</v>
      </c>
      <c r="V127">
        <v>0</v>
      </c>
      <c r="W127">
        <v>0.17574326832070331</v>
      </c>
      <c r="X127">
        <v>0</v>
      </c>
      <c r="Y127">
        <v>0.82425673167929669</v>
      </c>
      <c r="Z127">
        <v>0</v>
      </c>
      <c r="AA127">
        <v>0</v>
      </c>
      <c r="AB127">
        <v>0</v>
      </c>
      <c r="AC127">
        <v>0</v>
      </c>
      <c r="AD127">
        <v>0</v>
      </c>
      <c r="AE127" t="s">
        <v>212</v>
      </c>
      <c r="AF127">
        <v>10</v>
      </c>
      <c r="AG127" t="s">
        <v>188</v>
      </c>
      <c r="AI127">
        <v>45578</v>
      </c>
      <c r="AJ127" t="s">
        <v>168</v>
      </c>
    </row>
    <row r="128" spans="1:36" x14ac:dyDescent="0.25">
      <c r="A128" s="1">
        <v>45579</v>
      </c>
      <c r="B128" t="s">
        <v>210</v>
      </c>
      <c r="C128" t="s">
        <v>10</v>
      </c>
      <c r="D128">
        <v>3.1563909774436096</v>
      </c>
      <c r="E128">
        <v>2.8499999999999996</v>
      </c>
      <c r="F128">
        <v>2.8499999999999996</v>
      </c>
      <c r="G128">
        <v>1.882352941176471</v>
      </c>
      <c r="H128">
        <v>0.90292996665078584</v>
      </c>
      <c r="I128">
        <v>0.90292996665078584</v>
      </c>
      <c r="J128">
        <v>0.59636241347420338</v>
      </c>
      <c r="K128">
        <v>0</v>
      </c>
      <c r="L128">
        <v>0</v>
      </c>
      <c r="M128">
        <v>0</v>
      </c>
      <c r="N128">
        <v>0</v>
      </c>
      <c r="O128">
        <v>0</v>
      </c>
      <c r="P128">
        <v>0</v>
      </c>
      <c r="Q128">
        <v>0</v>
      </c>
      <c r="R128">
        <v>0</v>
      </c>
      <c r="S128">
        <v>0</v>
      </c>
      <c r="T128">
        <v>0</v>
      </c>
      <c r="U128">
        <v>9.7070033349214158E-2</v>
      </c>
      <c r="V128">
        <v>0</v>
      </c>
      <c r="W128">
        <v>0.30656755317658246</v>
      </c>
      <c r="X128">
        <v>0</v>
      </c>
      <c r="Y128">
        <v>0.59636241347420338</v>
      </c>
      <c r="Z128">
        <v>0</v>
      </c>
      <c r="AA128">
        <v>0</v>
      </c>
      <c r="AB128">
        <v>0</v>
      </c>
      <c r="AC128">
        <v>0</v>
      </c>
      <c r="AD128">
        <v>0</v>
      </c>
      <c r="AE128" t="s">
        <v>166</v>
      </c>
      <c r="AF128">
        <v>10</v>
      </c>
      <c r="AG128" t="s">
        <v>189</v>
      </c>
      <c r="AH128">
        <v>1</v>
      </c>
      <c r="AI128">
        <v>45579</v>
      </c>
      <c r="AJ128" t="s">
        <v>168</v>
      </c>
    </row>
    <row r="129" spans="1:36" x14ac:dyDescent="0.25">
      <c r="A129" s="1">
        <v>45579</v>
      </c>
      <c r="B129" t="s">
        <v>210</v>
      </c>
      <c r="C129" t="s">
        <v>11</v>
      </c>
      <c r="D129">
        <v>1</v>
      </c>
      <c r="E129">
        <v>0</v>
      </c>
      <c r="F129">
        <v>0</v>
      </c>
      <c r="G129">
        <v>5.4901960784313725E-2</v>
      </c>
      <c r="H129">
        <v>0</v>
      </c>
      <c r="I129">
        <v>0</v>
      </c>
      <c r="J129">
        <v>5.4901960784313725E-2</v>
      </c>
      <c r="K129">
        <v>0</v>
      </c>
      <c r="L129">
        <v>0</v>
      </c>
      <c r="M129">
        <v>0</v>
      </c>
      <c r="N129">
        <v>0</v>
      </c>
      <c r="O129">
        <v>0</v>
      </c>
      <c r="P129">
        <v>0</v>
      </c>
      <c r="Q129">
        <v>0</v>
      </c>
      <c r="R129">
        <v>0</v>
      </c>
      <c r="S129">
        <v>0</v>
      </c>
      <c r="T129">
        <v>5.4901960784313725E-2</v>
      </c>
      <c r="U129">
        <v>0.94509803921568625</v>
      </c>
      <c r="V129">
        <v>0</v>
      </c>
      <c r="W129">
        <v>0</v>
      </c>
      <c r="X129">
        <v>0</v>
      </c>
      <c r="Y129">
        <v>0</v>
      </c>
      <c r="Z129">
        <v>0</v>
      </c>
      <c r="AA129">
        <v>0</v>
      </c>
      <c r="AB129">
        <v>0</v>
      </c>
      <c r="AC129">
        <v>0</v>
      </c>
      <c r="AD129">
        <v>0</v>
      </c>
      <c r="AE129" t="s">
        <v>166</v>
      </c>
      <c r="AF129">
        <v>10</v>
      </c>
      <c r="AG129" t="s">
        <v>191</v>
      </c>
      <c r="AH129">
        <v>1</v>
      </c>
      <c r="AI129">
        <v>45579</v>
      </c>
      <c r="AJ129" t="s">
        <v>168</v>
      </c>
    </row>
    <row r="130" spans="1:36" x14ac:dyDescent="0.25">
      <c r="A130" s="1">
        <v>45579</v>
      </c>
      <c r="B130" t="s">
        <v>210</v>
      </c>
      <c r="C130" t="s">
        <v>12</v>
      </c>
      <c r="D130">
        <v>2.1042606516290729</v>
      </c>
      <c r="E130">
        <v>1.9</v>
      </c>
      <c r="F130">
        <v>1.9</v>
      </c>
      <c r="G130">
        <v>1.9315753887761999</v>
      </c>
      <c r="H130">
        <v>0.90292996665078595</v>
      </c>
      <c r="I130">
        <v>0.90292996665078595</v>
      </c>
      <c r="J130">
        <v>0.91793542177430165</v>
      </c>
      <c r="K130">
        <v>0</v>
      </c>
      <c r="L130">
        <v>0</v>
      </c>
      <c r="M130">
        <v>0</v>
      </c>
      <c r="N130">
        <v>0</v>
      </c>
      <c r="O130">
        <v>0</v>
      </c>
      <c r="P130">
        <v>0</v>
      </c>
      <c r="Q130">
        <v>0</v>
      </c>
      <c r="R130">
        <v>0</v>
      </c>
      <c r="S130">
        <v>0</v>
      </c>
      <c r="T130">
        <v>1.5005455123515699E-2</v>
      </c>
      <c r="U130">
        <v>8.2064578225698348E-2</v>
      </c>
      <c r="V130">
        <v>0</v>
      </c>
      <c r="W130">
        <v>0</v>
      </c>
      <c r="X130">
        <v>0</v>
      </c>
      <c r="Y130">
        <v>0.90292996665078595</v>
      </c>
      <c r="Z130">
        <v>0</v>
      </c>
      <c r="AA130">
        <v>0</v>
      </c>
      <c r="AB130">
        <v>0</v>
      </c>
      <c r="AC130">
        <v>0</v>
      </c>
      <c r="AD130">
        <v>0</v>
      </c>
      <c r="AE130" t="s">
        <v>166</v>
      </c>
      <c r="AF130">
        <v>10</v>
      </c>
      <c r="AG130" t="s">
        <v>190</v>
      </c>
      <c r="AH130">
        <v>1</v>
      </c>
      <c r="AI130">
        <v>45579</v>
      </c>
      <c r="AJ130" t="s">
        <v>168</v>
      </c>
    </row>
    <row r="131" spans="1:36" x14ac:dyDescent="0.25">
      <c r="A131" s="1">
        <v>45579</v>
      </c>
      <c r="B131" t="s">
        <v>210</v>
      </c>
      <c r="C131" t="s">
        <v>10</v>
      </c>
      <c r="D131">
        <v>3.7478639781271377</v>
      </c>
      <c r="E131">
        <v>2.8499999999999996</v>
      </c>
      <c r="F131">
        <v>2.8499999999999996</v>
      </c>
      <c r="G131">
        <v>2.8125</v>
      </c>
      <c r="H131">
        <v>0.76043314715604649</v>
      </c>
      <c r="I131">
        <v>0.76043314715604649</v>
      </c>
      <c r="J131">
        <v>0.75042744785136184</v>
      </c>
      <c r="K131">
        <v>0</v>
      </c>
      <c r="L131">
        <v>0</v>
      </c>
      <c r="M131">
        <v>0</v>
      </c>
      <c r="N131">
        <v>0</v>
      </c>
      <c r="O131">
        <v>0</v>
      </c>
      <c r="P131">
        <v>0</v>
      </c>
      <c r="Q131">
        <v>0</v>
      </c>
      <c r="R131">
        <v>0</v>
      </c>
      <c r="S131">
        <v>0</v>
      </c>
      <c r="T131">
        <v>0</v>
      </c>
      <c r="U131">
        <v>0.23956685284395351</v>
      </c>
      <c r="V131">
        <v>0</v>
      </c>
      <c r="W131">
        <v>1.0005699304684645E-2</v>
      </c>
      <c r="X131">
        <v>0</v>
      </c>
      <c r="Y131">
        <v>0.75042744785136184</v>
      </c>
      <c r="Z131">
        <v>0</v>
      </c>
      <c r="AA131">
        <v>0</v>
      </c>
      <c r="AB131">
        <v>0</v>
      </c>
      <c r="AC131">
        <v>0</v>
      </c>
      <c r="AD131">
        <v>0</v>
      </c>
      <c r="AE131" t="s">
        <v>212</v>
      </c>
      <c r="AF131">
        <v>10</v>
      </c>
      <c r="AG131" t="s">
        <v>189</v>
      </c>
      <c r="AI131">
        <v>45579</v>
      </c>
      <c r="AJ131" t="s">
        <v>168</v>
      </c>
    </row>
    <row r="132" spans="1:36" x14ac:dyDescent="0.25">
      <c r="A132" s="1">
        <v>45579</v>
      </c>
      <c r="B132" t="s">
        <v>210</v>
      </c>
      <c r="C132" t="s">
        <v>11</v>
      </c>
      <c r="D132">
        <v>0.97058823529411775</v>
      </c>
      <c r="E132">
        <v>0</v>
      </c>
      <c r="F132">
        <v>0</v>
      </c>
      <c r="G132">
        <v>2.8520499108734401E-2</v>
      </c>
      <c r="H132">
        <v>0</v>
      </c>
      <c r="I132">
        <v>0</v>
      </c>
      <c r="J132">
        <v>2.9384756657483926E-2</v>
      </c>
      <c r="K132">
        <v>0</v>
      </c>
      <c r="L132">
        <v>0</v>
      </c>
      <c r="M132">
        <v>0</v>
      </c>
      <c r="N132">
        <v>0</v>
      </c>
      <c r="O132">
        <v>0</v>
      </c>
      <c r="P132">
        <v>0</v>
      </c>
      <c r="Q132">
        <v>0</v>
      </c>
      <c r="R132">
        <v>0</v>
      </c>
      <c r="S132">
        <v>0</v>
      </c>
      <c r="T132">
        <v>2.9384756657483926E-2</v>
      </c>
      <c r="U132">
        <v>0.97061524334251603</v>
      </c>
      <c r="V132">
        <v>0</v>
      </c>
      <c r="W132">
        <v>0</v>
      </c>
      <c r="X132">
        <v>0</v>
      </c>
      <c r="Y132">
        <v>0</v>
      </c>
      <c r="Z132">
        <v>0</v>
      </c>
      <c r="AA132">
        <v>0</v>
      </c>
      <c r="AB132">
        <v>0</v>
      </c>
      <c r="AC132">
        <v>0</v>
      </c>
      <c r="AD132">
        <v>0</v>
      </c>
      <c r="AE132" t="s">
        <v>212</v>
      </c>
      <c r="AF132">
        <v>10</v>
      </c>
      <c r="AG132" t="s">
        <v>191</v>
      </c>
      <c r="AI132">
        <v>45579</v>
      </c>
      <c r="AJ132" t="s">
        <v>168</v>
      </c>
    </row>
    <row r="133" spans="1:36" x14ac:dyDescent="0.25">
      <c r="A133" s="1">
        <v>45579</v>
      </c>
      <c r="B133" t="s">
        <v>210</v>
      </c>
      <c r="C133" t="s">
        <v>12</v>
      </c>
      <c r="D133">
        <v>4.5836142079336275</v>
      </c>
      <c r="E133">
        <v>2.8499999999999996</v>
      </c>
      <c r="F133">
        <v>2.8499999999999996</v>
      </c>
      <c r="G133">
        <v>2.5661764705882355</v>
      </c>
      <c r="H133">
        <v>0.6217800780587136</v>
      </c>
      <c r="I133">
        <v>0.6217800780587136</v>
      </c>
      <c r="J133">
        <v>0.55985873901571492</v>
      </c>
      <c r="K133">
        <v>0</v>
      </c>
      <c r="L133">
        <v>0</v>
      </c>
      <c r="M133">
        <v>0</v>
      </c>
      <c r="N133">
        <v>0</v>
      </c>
      <c r="O133">
        <v>0</v>
      </c>
      <c r="P133">
        <v>0</v>
      </c>
      <c r="Q133">
        <v>0</v>
      </c>
      <c r="R133">
        <v>0</v>
      </c>
      <c r="S133">
        <v>0</v>
      </c>
      <c r="T133">
        <v>0</v>
      </c>
      <c r="U133">
        <v>0.3782199219412864</v>
      </c>
      <c r="V133">
        <v>0</v>
      </c>
      <c r="W133">
        <v>6.192133904299868E-2</v>
      </c>
      <c r="X133">
        <v>0</v>
      </c>
      <c r="Y133">
        <v>0.55985873901571492</v>
      </c>
      <c r="Z133">
        <v>0</v>
      </c>
      <c r="AA133">
        <v>0</v>
      </c>
      <c r="AB133">
        <v>0</v>
      </c>
      <c r="AC133">
        <v>0</v>
      </c>
      <c r="AD133">
        <v>0</v>
      </c>
      <c r="AE133" t="s">
        <v>212</v>
      </c>
      <c r="AF133">
        <v>10</v>
      </c>
      <c r="AG133" t="s">
        <v>190</v>
      </c>
      <c r="AI133">
        <v>45579</v>
      </c>
      <c r="AJ133" t="s">
        <v>168</v>
      </c>
    </row>
    <row r="134" spans="1:36" x14ac:dyDescent="0.25">
      <c r="A134" s="1">
        <v>45580</v>
      </c>
      <c r="B134" t="s">
        <v>210</v>
      </c>
      <c r="C134" t="s">
        <v>10</v>
      </c>
      <c r="D134">
        <v>3.1563909774436087</v>
      </c>
      <c r="E134">
        <v>1.9</v>
      </c>
      <c r="F134">
        <v>1.9</v>
      </c>
      <c r="G134">
        <v>0.78787878787878785</v>
      </c>
      <c r="H134">
        <v>0.60195331110052408</v>
      </c>
      <c r="I134">
        <v>0.60195331110052408</v>
      </c>
      <c r="J134">
        <v>0.24961381321552834</v>
      </c>
      <c r="K134">
        <v>0</v>
      </c>
      <c r="L134">
        <v>0</v>
      </c>
      <c r="M134">
        <v>0</v>
      </c>
      <c r="N134">
        <v>0</v>
      </c>
      <c r="O134">
        <v>0</v>
      </c>
      <c r="P134">
        <v>0</v>
      </c>
      <c r="Q134">
        <v>0</v>
      </c>
      <c r="R134">
        <v>0</v>
      </c>
      <c r="S134">
        <v>0</v>
      </c>
      <c r="T134">
        <v>0</v>
      </c>
      <c r="U134">
        <v>0.39804668889947592</v>
      </c>
      <c r="V134">
        <v>0</v>
      </c>
      <c r="W134">
        <v>0.35233949788499574</v>
      </c>
      <c r="X134">
        <v>0</v>
      </c>
      <c r="Y134">
        <v>0.24961381321552834</v>
      </c>
      <c r="Z134">
        <v>0</v>
      </c>
      <c r="AA134">
        <v>0</v>
      </c>
      <c r="AB134">
        <v>0</v>
      </c>
      <c r="AC134">
        <v>0</v>
      </c>
      <c r="AD134">
        <v>0</v>
      </c>
      <c r="AE134" t="s">
        <v>166</v>
      </c>
      <c r="AF134">
        <v>10</v>
      </c>
      <c r="AG134" t="s">
        <v>193</v>
      </c>
      <c r="AH134">
        <v>1</v>
      </c>
      <c r="AI134">
        <v>45580</v>
      </c>
      <c r="AJ134" t="s">
        <v>168</v>
      </c>
    </row>
    <row r="135" spans="1:36" x14ac:dyDescent="0.25">
      <c r="A135" s="1">
        <v>45580</v>
      </c>
      <c r="B135" t="s">
        <v>210</v>
      </c>
      <c r="C135" t="s">
        <v>11</v>
      </c>
      <c r="D135">
        <v>1</v>
      </c>
      <c r="E135">
        <v>0</v>
      </c>
      <c r="F135">
        <v>0</v>
      </c>
      <c r="G135">
        <v>0</v>
      </c>
      <c r="H135">
        <v>0</v>
      </c>
      <c r="I135">
        <v>0</v>
      </c>
      <c r="J135">
        <v>0</v>
      </c>
      <c r="K135">
        <v>0</v>
      </c>
      <c r="L135">
        <v>0</v>
      </c>
      <c r="M135">
        <v>0</v>
      </c>
      <c r="N135">
        <v>0</v>
      </c>
      <c r="O135">
        <v>0</v>
      </c>
      <c r="P135">
        <v>0</v>
      </c>
      <c r="Q135">
        <v>0</v>
      </c>
      <c r="R135">
        <v>0</v>
      </c>
      <c r="S135">
        <v>0</v>
      </c>
      <c r="T135">
        <v>0</v>
      </c>
      <c r="U135">
        <v>1</v>
      </c>
      <c r="V135">
        <v>0</v>
      </c>
      <c r="W135">
        <v>0</v>
      </c>
      <c r="X135">
        <v>0</v>
      </c>
      <c r="Y135">
        <v>0</v>
      </c>
      <c r="Z135">
        <v>0</v>
      </c>
      <c r="AA135">
        <v>0</v>
      </c>
      <c r="AB135">
        <v>0</v>
      </c>
      <c r="AC135">
        <v>0</v>
      </c>
      <c r="AD135">
        <v>0</v>
      </c>
      <c r="AE135" t="s">
        <v>166</v>
      </c>
      <c r="AF135">
        <v>10</v>
      </c>
      <c r="AG135" t="s">
        <v>194</v>
      </c>
      <c r="AH135">
        <v>1</v>
      </c>
      <c r="AI135">
        <v>45580</v>
      </c>
      <c r="AJ135" t="s">
        <v>168</v>
      </c>
    </row>
    <row r="136" spans="1:36" x14ac:dyDescent="0.25">
      <c r="A136" s="1">
        <v>45580</v>
      </c>
      <c r="B136" t="s">
        <v>210</v>
      </c>
      <c r="C136" t="s">
        <v>12</v>
      </c>
      <c r="D136">
        <v>2.1042606516290729</v>
      </c>
      <c r="E136">
        <v>2.8499999999999996</v>
      </c>
      <c r="F136">
        <v>2.8499999999999996</v>
      </c>
      <c r="G136">
        <v>1.5172413793103443</v>
      </c>
      <c r="H136">
        <v>1.3543949499761787</v>
      </c>
      <c r="I136">
        <v>1.3543949499761787</v>
      </c>
      <c r="J136">
        <v>0.72103300422204297</v>
      </c>
      <c r="K136">
        <v>0</v>
      </c>
      <c r="L136">
        <v>0</v>
      </c>
      <c r="M136">
        <v>0.10439494997617871</v>
      </c>
      <c r="N136">
        <v>0</v>
      </c>
      <c r="O136">
        <v>0</v>
      </c>
      <c r="P136">
        <v>0</v>
      </c>
      <c r="Q136">
        <v>0</v>
      </c>
      <c r="R136">
        <v>0</v>
      </c>
      <c r="S136">
        <v>0.25</v>
      </c>
      <c r="T136">
        <v>0</v>
      </c>
      <c r="U136">
        <v>0</v>
      </c>
      <c r="V136">
        <v>0</v>
      </c>
      <c r="W136">
        <v>0.27896699577795703</v>
      </c>
      <c r="X136">
        <v>0</v>
      </c>
      <c r="Y136">
        <v>0.72103300422204297</v>
      </c>
      <c r="Z136">
        <v>0</v>
      </c>
      <c r="AA136">
        <v>0</v>
      </c>
      <c r="AB136">
        <v>0</v>
      </c>
      <c r="AC136">
        <v>0</v>
      </c>
      <c r="AD136">
        <v>0</v>
      </c>
      <c r="AE136" t="s">
        <v>166</v>
      </c>
      <c r="AF136">
        <v>10</v>
      </c>
      <c r="AG136" t="s">
        <v>192</v>
      </c>
      <c r="AH136">
        <v>1</v>
      </c>
      <c r="AI136">
        <v>45580</v>
      </c>
      <c r="AJ136" t="s">
        <v>168</v>
      </c>
    </row>
    <row r="137" spans="1:36" x14ac:dyDescent="0.25">
      <c r="A137" s="1">
        <v>45580</v>
      </c>
      <c r="B137" t="s">
        <v>210</v>
      </c>
      <c r="C137" t="s">
        <v>10</v>
      </c>
      <c r="D137">
        <v>3.7478639781271368</v>
      </c>
      <c r="E137">
        <v>4.75</v>
      </c>
      <c r="F137">
        <v>4.75</v>
      </c>
      <c r="G137">
        <v>3.75</v>
      </c>
      <c r="H137">
        <v>1.2673885785934114</v>
      </c>
      <c r="I137">
        <v>1.2673885785934114</v>
      </c>
      <c r="J137">
        <v>1.0005699304684827</v>
      </c>
      <c r="K137">
        <v>0</v>
      </c>
      <c r="L137">
        <v>0</v>
      </c>
      <c r="M137">
        <v>1.7388578593411363E-2</v>
      </c>
      <c r="N137">
        <v>0</v>
      </c>
      <c r="O137">
        <v>0</v>
      </c>
      <c r="P137">
        <v>0</v>
      </c>
      <c r="Q137">
        <v>5.6993046848274886E-4</v>
      </c>
      <c r="R137">
        <v>0</v>
      </c>
      <c r="S137">
        <v>0.24943006953151725</v>
      </c>
      <c r="T137">
        <v>0</v>
      </c>
      <c r="U137">
        <v>0</v>
      </c>
      <c r="V137">
        <v>0</v>
      </c>
      <c r="W137">
        <v>0</v>
      </c>
      <c r="X137">
        <v>0</v>
      </c>
      <c r="Y137">
        <v>1</v>
      </c>
      <c r="Z137">
        <v>0</v>
      </c>
      <c r="AA137">
        <v>0</v>
      </c>
      <c r="AB137">
        <v>0</v>
      </c>
      <c r="AC137">
        <v>0</v>
      </c>
      <c r="AD137">
        <v>0</v>
      </c>
      <c r="AE137" t="s">
        <v>212</v>
      </c>
      <c r="AF137">
        <v>10</v>
      </c>
      <c r="AG137" t="s">
        <v>193</v>
      </c>
      <c r="AI137">
        <v>45580</v>
      </c>
      <c r="AJ137" t="s">
        <v>168</v>
      </c>
    </row>
    <row r="138" spans="1:36" x14ac:dyDescent="0.25">
      <c r="A138" s="1">
        <v>45580</v>
      </c>
      <c r="B138" t="s">
        <v>210</v>
      </c>
      <c r="C138" t="s">
        <v>11</v>
      </c>
      <c r="D138">
        <v>0.97058823529411775</v>
      </c>
      <c r="E138">
        <v>0.95</v>
      </c>
      <c r="F138">
        <v>0.95</v>
      </c>
      <c r="G138">
        <v>0.96969696969696972</v>
      </c>
      <c r="H138">
        <v>0.97878787878787865</v>
      </c>
      <c r="I138">
        <v>0.97878787878787865</v>
      </c>
      <c r="J138">
        <v>0.99908172635445358</v>
      </c>
      <c r="K138">
        <v>0</v>
      </c>
      <c r="L138">
        <v>0</v>
      </c>
      <c r="M138">
        <v>0</v>
      </c>
      <c r="N138">
        <v>0</v>
      </c>
      <c r="O138">
        <v>0</v>
      </c>
      <c r="P138">
        <v>0</v>
      </c>
      <c r="Q138">
        <v>0</v>
      </c>
      <c r="R138">
        <v>0</v>
      </c>
      <c r="S138">
        <v>0</v>
      </c>
      <c r="T138">
        <v>2.029384756657493E-2</v>
      </c>
      <c r="U138">
        <v>9.182736455464191E-4</v>
      </c>
      <c r="V138">
        <v>0</v>
      </c>
      <c r="W138">
        <v>0</v>
      </c>
      <c r="X138">
        <v>0</v>
      </c>
      <c r="Y138">
        <v>0.97878787878787865</v>
      </c>
      <c r="Z138">
        <v>0</v>
      </c>
      <c r="AA138">
        <v>0</v>
      </c>
      <c r="AB138">
        <v>0</v>
      </c>
      <c r="AC138">
        <v>0</v>
      </c>
      <c r="AD138">
        <v>0</v>
      </c>
      <c r="AE138" t="s">
        <v>212</v>
      </c>
      <c r="AF138">
        <v>10</v>
      </c>
      <c r="AG138" t="s">
        <v>194</v>
      </c>
      <c r="AI138">
        <v>45580</v>
      </c>
      <c r="AJ138" t="s">
        <v>168</v>
      </c>
    </row>
    <row r="139" spans="1:36" x14ac:dyDescent="0.25">
      <c r="A139" s="1">
        <v>45580</v>
      </c>
      <c r="B139" t="s">
        <v>210</v>
      </c>
      <c r="C139" t="s">
        <v>12</v>
      </c>
      <c r="D139">
        <v>4.5836142079336275</v>
      </c>
      <c r="E139">
        <v>3.8</v>
      </c>
      <c r="F139">
        <v>3.8</v>
      </c>
      <c r="G139">
        <v>2.6229946524064167</v>
      </c>
      <c r="H139">
        <v>0.82904010407828488</v>
      </c>
      <c r="I139">
        <v>0.82904010407828488</v>
      </c>
      <c r="J139">
        <v>0.57225467358626325</v>
      </c>
      <c r="K139">
        <v>0</v>
      </c>
      <c r="L139">
        <v>0</v>
      </c>
      <c r="M139">
        <v>0</v>
      </c>
      <c r="N139">
        <v>0</v>
      </c>
      <c r="O139">
        <v>0</v>
      </c>
      <c r="P139">
        <v>0</v>
      </c>
      <c r="Q139">
        <v>0</v>
      </c>
      <c r="R139">
        <v>0</v>
      </c>
      <c r="S139">
        <v>0</v>
      </c>
      <c r="T139">
        <v>0</v>
      </c>
      <c r="U139">
        <v>0.17095989592171512</v>
      </c>
      <c r="V139">
        <v>0</v>
      </c>
      <c r="W139">
        <v>0.25678543049202163</v>
      </c>
      <c r="X139">
        <v>0</v>
      </c>
      <c r="Y139">
        <v>0.57225467358626325</v>
      </c>
      <c r="Z139">
        <v>0</v>
      </c>
      <c r="AA139">
        <v>0</v>
      </c>
      <c r="AB139">
        <v>0</v>
      </c>
      <c r="AC139">
        <v>0</v>
      </c>
      <c r="AD139">
        <v>0</v>
      </c>
      <c r="AE139" t="s">
        <v>212</v>
      </c>
      <c r="AF139">
        <v>10</v>
      </c>
      <c r="AG139" t="s">
        <v>192</v>
      </c>
      <c r="AI139">
        <v>45580</v>
      </c>
      <c r="AJ139" t="s">
        <v>168</v>
      </c>
    </row>
    <row r="140" spans="1:36" x14ac:dyDescent="0.25">
      <c r="A140" s="1">
        <v>45581</v>
      </c>
      <c r="B140" t="s">
        <v>210</v>
      </c>
      <c r="C140" t="s">
        <v>12</v>
      </c>
      <c r="D140">
        <v>2.1042606516290729</v>
      </c>
      <c r="E140">
        <v>1.9</v>
      </c>
      <c r="F140">
        <v>1.9</v>
      </c>
      <c r="G140">
        <v>2.3083164300202839</v>
      </c>
      <c r="H140">
        <v>0.90292996665078595</v>
      </c>
      <c r="I140">
        <v>0.90292996665078595</v>
      </c>
      <c r="J140">
        <v>1.0969726721987769</v>
      </c>
      <c r="K140">
        <v>9.6972672198776921E-2</v>
      </c>
      <c r="L140">
        <v>0</v>
      </c>
      <c r="M140">
        <v>0</v>
      </c>
      <c r="N140">
        <v>0</v>
      </c>
      <c r="O140">
        <v>0</v>
      </c>
      <c r="P140">
        <v>0</v>
      </c>
      <c r="Q140">
        <v>0</v>
      </c>
      <c r="R140">
        <v>0</v>
      </c>
      <c r="S140">
        <v>0</v>
      </c>
      <c r="T140">
        <v>9.7070033349214047E-2</v>
      </c>
      <c r="U140">
        <v>0</v>
      </c>
      <c r="V140">
        <v>0</v>
      </c>
      <c r="W140">
        <v>0</v>
      </c>
      <c r="X140">
        <v>0</v>
      </c>
      <c r="Y140">
        <v>0.90292996665078595</v>
      </c>
      <c r="Z140">
        <v>0</v>
      </c>
      <c r="AA140">
        <v>0</v>
      </c>
      <c r="AB140">
        <v>0</v>
      </c>
      <c r="AC140">
        <v>0</v>
      </c>
      <c r="AD140">
        <v>0</v>
      </c>
      <c r="AE140" t="s">
        <v>166</v>
      </c>
      <c r="AF140">
        <v>10</v>
      </c>
      <c r="AG140" t="s">
        <v>197</v>
      </c>
      <c r="AH140">
        <v>1</v>
      </c>
      <c r="AI140">
        <v>45581</v>
      </c>
      <c r="AJ140" t="s">
        <v>168</v>
      </c>
    </row>
    <row r="141" spans="1:36" x14ac:dyDescent="0.25">
      <c r="A141" s="1">
        <v>45581</v>
      </c>
      <c r="B141" t="s">
        <v>210</v>
      </c>
      <c r="C141" t="s">
        <v>10</v>
      </c>
      <c r="D141">
        <v>3.1563909774436087</v>
      </c>
      <c r="E141">
        <v>1.9</v>
      </c>
      <c r="F141">
        <v>1.9</v>
      </c>
      <c r="G141">
        <v>1.7290552584670236</v>
      </c>
      <c r="H141">
        <v>0.60195331110052408</v>
      </c>
      <c r="I141">
        <v>0.60195331110052408</v>
      </c>
      <c r="J141">
        <v>0.54779501995263025</v>
      </c>
      <c r="K141">
        <v>0</v>
      </c>
      <c r="L141">
        <v>0</v>
      </c>
      <c r="M141">
        <v>0</v>
      </c>
      <c r="N141">
        <v>0</v>
      </c>
      <c r="O141">
        <v>0</v>
      </c>
      <c r="P141">
        <v>0</v>
      </c>
      <c r="Q141">
        <v>0</v>
      </c>
      <c r="R141">
        <v>0</v>
      </c>
      <c r="S141">
        <v>0</v>
      </c>
      <c r="T141">
        <v>0</v>
      </c>
      <c r="U141">
        <v>0.39804668889947592</v>
      </c>
      <c r="V141">
        <v>0</v>
      </c>
      <c r="W141">
        <v>5.4158291147893833E-2</v>
      </c>
      <c r="X141">
        <v>0</v>
      </c>
      <c r="Y141">
        <v>0.54779501995263025</v>
      </c>
      <c r="Z141">
        <v>0</v>
      </c>
      <c r="AA141">
        <v>0</v>
      </c>
      <c r="AB141">
        <v>0</v>
      </c>
      <c r="AC141">
        <v>0</v>
      </c>
      <c r="AD141">
        <v>0</v>
      </c>
      <c r="AE141" t="s">
        <v>166</v>
      </c>
      <c r="AF141">
        <v>10</v>
      </c>
      <c r="AG141" t="s">
        <v>195</v>
      </c>
      <c r="AH141">
        <v>1</v>
      </c>
      <c r="AI141">
        <v>45581</v>
      </c>
      <c r="AJ141" t="s">
        <v>168</v>
      </c>
    </row>
    <row r="142" spans="1:36" x14ac:dyDescent="0.25">
      <c r="A142" s="1">
        <v>45581</v>
      </c>
      <c r="B142" t="s">
        <v>210</v>
      </c>
      <c r="C142" t="s">
        <v>11</v>
      </c>
      <c r="D142">
        <v>1</v>
      </c>
      <c r="E142">
        <v>0</v>
      </c>
      <c r="F142">
        <v>0</v>
      </c>
      <c r="G142">
        <v>0</v>
      </c>
      <c r="H142">
        <v>0</v>
      </c>
      <c r="I142">
        <v>0</v>
      </c>
      <c r="J142">
        <v>0</v>
      </c>
      <c r="K142">
        <v>0</v>
      </c>
      <c r="L142">
        <v>0</v>
      </c>
      <c r="M142">
        <v>0</v>
      </c>
      <c r="N142">
        <v>0</v>
      </c>
      <c r="O142">
        <v>0</v>
      </c>
      <c r="P142">
        <v>0</v>
      </c>
      <c r="Q142">
        <v>0</v>
      </c>
      <c r="R142">
        <v>0</v>
      </c>
      <c r="S142">
        <v>0</v>
      </c>
      <c r="T142">
        <v>0</v>
      </c>
      <c r="U142">
        <v>1</v>
      </c>
      <c r="V142">
        <v>0</v>
      </c>
      <c r="W142">
        <v>0</v>
      </c>
      <c r="X142">
        <v>0</v>
      </c>
      <c r="Y142">
        <v>0</v>
      </c>
      <c r="Z142">
        <v>0</v>
      </c>
      <c r="AA142">
        <v>0</v>
      </c>
      <c r="AB142">
        <v>0</v>
      </c>
      <c r="AC142">
        <v>0</v>
      </c>
      <c r="AD142">
        <v>0</v>
      </c>
      <c r="AE142" t="s">
        <v>166</v>
      </c>
      <c r="AF142">
        <v>10</v>
      </c>
      <c r="AG142" t="s">
        <v>196</v>
      </c>
      <c r="AH142">
        <v>1</v>
      </c>
      <c r="AI142">
        <v>45581</v>
      </c>
      <c r="AJ142" t="s">
        <v>168</v>
      </c>
    </row>
    <row r="143" spans="1:36" x14ac:dyDescent="0.25">
      <c r="A143" s="1">
        <v>45581</v>
      </c>
      <c r="B143" t="s">
        <v>210</v>
      </c>
      <c r="C143" t="s">
        <v>12</v>
      </c>
      <c r="D143">
        <v>4.5836142079336275</v>
      </c>
      <c r="E143">
        <v>2.8499999999999996</v>
      </c>
      <c r="F143">
        <v>2.8499999999999996</v>
      </c>
      <c r="G143">
        <v>2.780080213903743</v>
      </c>
      <c r="H143">
        <v>0.6217800780587136</v>
      </c>
      <c r="I143">
        <v>0.6217800780587136</v>
      </c>
      <c r="J143">
        <v>0.606525786810721</v>
      </c>
      <c r="K143">
        <v>0</v>
      </c>
      <c r="L143">
        <v>0</v>
      </c>
      <c r="M143">
        <v>0</v>
      </c>
      <c r="N143">
        <v>0</v>
      </c>
      <c r="O143">
        <v>0</v>
      </c>
      <c r="P143">
        <v>0</v>
      </c>
      <c r="Q143">
        <v>0</v>
      </c>
      <c r="R143">
        <v>0</v>
      </c>
      <c r="S143">
        <v>0</v>
      </c>
      <c r="T143">
        <v>0</v>
      </c>
      <c r="U143">
        <v>0.3782199219412864</v>
      </c>
      <c r="V143">
        <v>0</v>
      </c>
      <c r="W143">
        <v>1.5254291247992602E-2</v>
      </c>
      <c r="X143">
        <v>0</v>
      </c>
      <c r="Y143">
        <v>0.606525786810721</v>
      </c>
      <c r="Z143">
        <v>0</v>
      </c>
      <c r="AA143">
        <v>0</v>
      </c>
      <c r="AB143">
        <v>0</v>
      </c>
      <c r="AC143">
        <v>0</v>
      </c>
      <c r="AD143">
        <v>0</v>
      </c>
      <c r="AE143" t="s">
        <v>212</v>
      </c>
      <c r="AF143">
        <v>10</v>
      </c>
      <c r="AG143" t="s">
        <v>197</v>
      </c>
      <c r="AI143">
        <v>45581</v>
      </c>
      <c r="AJ143" t="s">
        <v>168</v>
      </c>
    </row>
    <row r="144" spans="1:36" x14ac:dyDescent="0.25">
      <c r="A144" s="1">
        <v>45581</v>
      </c>
      <c r="B144" t="s">
        <v>210</v>
      </c>
      <c r="C144" t="s">
        <v>10</v>
      </c>
      <c r="D144">
        <v>3.7478639781271368</v>
      </c>
      <c r="E144">
        <v>6.6499999999999995</v>
      </c>
      <c r="F144">
        <v>6.6499999999999995</v>
      </c>
      <c r="G144">
        <v>3.643872549019608</v>
      </c>
      <c r="H144">
        <v>1.7743440100307757</v>
      </c>
      <c r="I144">
        <v>1.7743440100307757</v>
      </c>
      <c r="J144">
        <v>0.97225314746894986</v>
      </c>
      <c r="K144">
        <v>0</v>
      </c>
      <c r="L144">
        <v>0</v>
      </c>
      <c r="M144">
        <v>0.52434401003077569</v>
      </c>
      <c r="N144">
        <v>0</v>
      </c>
      <c r="O144">
        <v>0</v>
      </c>
      <c r="P144">
        <v>0</v>
      </c>
      <c r="Q144">
        <v>0</v>
      </c>
      <c r="R144">
        <v>0</v>
      </c>
      <c r="S144">
        <v>0.25</v>
      </c>
      <c r="T144">
        <v>0</v>
      </c>
      <c r="U144">
        <v>0</v>
      </c>
      <c r="V144">
        <v>0</v>
      </c>
      <c r="W144">
        <v>2.7746852531050137E-2</v>
      </c>
      <c r="X144">
        <v>0</v>
      </c>
      <c r="Y144">
        <v>0.97225314746894986</v>
      </c>
      <c r="Z144">
        <v>0</v>
      </c>
      <c r="AA144">
        <v>0</v>
      </c>
      <c r="AB144">
        <v>0</v>
      </c>
      <c r="AC144">
        <v>0</v>
      </c>
      <c r="AD144">
        <v>0</v>
      </c>
      <c r="AE144" t="s">
        <v>212</v>
      </c>
      <c r="AF144">
        <v>10</v>
      </c>
      <c r="AG144" t="s">
        <v>195</v>
      </c>
      <c r="AI144">
        <v>45581</v>
      </c>
      <c r="AJ144" t="s">
        <v>168</v>
      </c>
    </row>
    <row r="145" spans="1:36" x14ac:dyDescent="0.25">
      <c r="A145" s="1">
        <v>45581</v>
      </c>
      <c r="B145" t="s">
        <v>210</v>
      </c>
      <c r="C145" t="s">
        <v>11</v>
      </c>
      <c r="D145">
        <v>0.97058823529411775</v>
      </c>
      <c r="E145">
        <v>0.95</v>
      </c>
      <c r="F145">
        <v>0.95</v>
      </c>
      <c r="G145">
        <v>0.99821746880570394</v>
      </c>
      <c r="H145">
        <v>0.97878787878787865</v>
      </c>
      <c r="I145">
        <v>0.97878787878787865</v>
      </c>
      <c r="J145">
        <v>1.0284664830119372</v>
      </c>
      <c r="K145">
        <v>2.8466483011937216E-2</v>
      </c>
      <c r="L145">
        <v>0</v>
      </c>
      <c r="M145">
        <v>0</v>
      </c>
      <c r="N145">
        <v>0</v>
      </c>
      <c r="O145">
        <v>0</v>
      </c>
      <c r="P145">
        <v>0</v>
      </c>
      <c r="Q145">
        <v>0</v>
      </c>
      <c r="R145">
        <v>0</v>
      </c>
      <c r="S145">
        <v>0</v>
      </c>
      <c r="T145">
        <v>2.1212121212121349E-2</v>
      </c>
      <c r="U145">
        <v>0</v>
      </c>
      <c r="V145">
        <v>0</v>
      </c>
      <c r="W145">
        <v>0</v>
      </c>
      <c r="X145">
        <v>0</v>
      </c>
      <c r="Y145">
        <v>0.97878787878787865</v>
      </c>
      <c r="Z145">
        <v>0</v>
      </c>
      <c r="AA145">
        <v>0</v>
      </c>
      <c r="AB145">
        <v>0</v>
      </c>
      <c r="AC145">
        <v>0</v>
      </c>
      <c r="AD145">
        <v>0</v>
      </c>
      <c r="AE145" t="s">
        <v>212</v>
      </c>
      <c r="AF145">
        <v>10</v>
      </c>
      <c r="AG145" t="s">
        <v>196</v>
      </c>
      <c r="AI145">
        <v>45581</v>
      </c>
      <c r="AJ145" t="s">
        <v>168</v>
      </c>
    </row>
    <row r="146" spans="1:36" x14ac:dyDescent="0.25">
      <c r="A146" s="1">
        <v>45582</v>
      </c>
      <c r="B146" t="s">
        <v>210</v>
      </c>
      <c r="C146" t="s">
        <v>11</v>
      </c>
      <c r="D146">
        <v>1</v>
      </c>
      <c r="E146">
        <v>0</v>
      </c>
      <c r="F146">
        <v>0</v>
      </c>
      <c r="G146">
        <v>2.7450980392156862E-2</v>
      </c>
      <c r="H146">
        <v>0</v>
      </c>
      <c r="I146">
        <v>0</v>
      </c>
      <c r="J146">
        <v>2.7450980392156862E-2</v>
      </c>
      <c r="K146">
        <v>0</v>
      </c>
      <c r="L146">
        <v>0</v>
      </c>
      <c r="M146">
        <v>0</v>
      </c>
      <c r="N146">
        <v>0</v>
      </c>
      <c r="O146">
        <v>0</v>
      </c>
      <c r="P146">
        <v>0</v>
      </c>
      <c r="Q146">
        <v>0</v>
      </c>
      <c r="R146">
        <v>0</v>
      </c>
      <c r="S146">
        <v>0</v>
      </c>
      <c r="T146">
        <v>2.7450980392156862E-2</v>
      </c>
      <c r="U146">
        <v>0.97254901960784312</v>
      </c>
      <c r="V146">
        <v>0</v>
      </c>
      <c r="W146">
        <v>0</v>
      </c>
      <c r="X146">
        <v>0</v>
      </c>
      <c r="Y146">
        <v>0</v>
      </c>
      <c r="Z146">
        <v>0</v>
      </c>
      <c r="AA146">
        <v>0</v>
      </c>
      <c r="AB146">
        <v>0</v>
      </c>
      <c r="AC146">
        <v>0</v>
      </c>
      <c r="AD146">
        <v>0</v>
      </c>
      <c r="AE146" t="s">
        <v>166</v>
      </c>
      <c r="AF146">
        <v>10</v>
      </c>
      <c r="AG146" t="s">
        <v>198</v>
      </c>
      <c r="AH146">
        <v>1</v>
      </c>
      <c r="AI146">
        <v>45582</v>
      </c>
      <c r="AJ146" t="s">
        <v>168</v>
      </c>
    </row>
    <row r="147" spans="1:36" x14ac:dyDescent="0.25">
      <c r="A147" s="1">
        <v>45582</v>
      </c>
      <c r="B147" t="s">
        <v>210</v>
      </c>
      <c r="C147" t="s">
        <v>12</v>
      </c>
      <c r="D147">
        <v>2.1042606516290729</v>
      </c>
      <c r="E147">
        <v>1.9</v>
      </c>
      <c r="F147">
        <v>1.9</v>
      </c>
      <c r="G147">
        <v>1.7568627450980394</v>
      </c>
      <c r="H147">
        <v>0.90292996665078595</v>
      </c>
      <c r="I147">
        <v>0.90292996665078595</v>
      </c>
      <c r="J147">
        <v>0.83490737886388477</v>
      </c>
      <c r="K147">
        <v>0</v>
      </c>
      <c r="L147">
        <v>0</v>
      </c>
      <c r="M147">
        <v>0</v>
      </c>
      <c r="N147">
        <v>0</v>
      </c>
      <c r="O147">
        <v>0</v>
      </c>
      <c r="P147">
        <v>0</v>
      </c>
      <c r="Q147">
        <v>0</v>
      </c>
      <c r="R147">
        <v>0</v>
      </c>
      <c r="S147">
        <v>0</v>
      </c>
      <c r="T147">
        <v>0</v>
      </c>
      <c r="U147">
        <v>9.7070033349214047E-2</v>
      </c>
      <c r="V147">
        <v>0</v>
      </c>
      <c r="W147">
        <v>6.8022587786901179E-2</v>
      </c>
      <c r="X147">
        <v>0</v>
      </c>
      <c r="Y147">
        <v>0.83490737886388477</v>
      </c>
      <c r="Z147">
        <v>0</v>
      </c>
      <c r="AA147">
        <v>0</v>
      </c>
      <c r="AB147">
        <v>0</v>
      </c>
      <c r="AC147">
        <v>0</v>
      </c>
      <c r="AD147">
        <v>0</v>
      </c>
      <c r="AE147" t="s">
        <v>166</v>
      </c>
      <c r="AF147">
        <v>10</v>
      </c>
      <c r="AG147" t="s">
        <v>200</v>
      </c>
      <c r="AH147">
        <v>1</v>
      </c>
      <c r="AI147">
        <v>45582</v>
      </c>
      <c r="AJ147" t="s">
        <v>168</v>
      </c>
    </row>
    <row r="148" spans="1:36" x14ac:dyDescent="0.25">
      <c r="A148" s="1">
        <v>45582</v>
      </c>
      <c r="B148" t="s">
        <v>210</v>
      </c>
      <c r="C148" t="s">
        <v>10</v>
      </c>
      <c r="D148">
        <v>3.1563909774436087</v>
      </c>
      <c r="E148">
        <v>2.8499999999999996</v>
      </c>
      <c r="F148">
        <v>2.8499999999999996</v>
      </c>
      <c r="G148">
        <v>1.882352941176471</v>
      </c>
      <c r="H148">
        <v>0.90292996665078606</v>
      </c>
      <c r="I148">
        <v>0.90292996665078606</v>
      </c>
      <c r="J148">
        <v>0.5963624134742036</v>
      </c>
      <c r="K148">
        <v>0</v>
      </c>
      <c r="L148">
        <v>0</v>
      </c>
      <c r="M148">
        <v>0</v>
      </c>
      <c r="N148">
        <v>0</v>
      </c>
      <c r="O148">
        <v>0</v>
      </c>
      <c r="P148">
        <v>0</v>
      </c>
      <c r="Q148">
        <v>0</v>
      </c>
      <c r="R148">
        <v>0</v>
      </c>
      <c r="S148">
        <v>0</v>
      </c>
      <c r="T148">
        <v>0</v>
      </c>
      <c r="U148">
        <v>9.7070033349213936E-2</v>
      </c>
      <c r="V148">
        <v>0</v>
      </c>
      <c r="W148">
        <v>0.30656755317658246</v>
      </c>
      <c r="X148">
        <v>0</v>
      </c>
      <c r="Y148">
        <v>0.5963624134742036</v>
      </c>
      <c r="Z148">
        <v>0</v>
      </c>
      <c r="AA148">
        <v>0</v>
      </c>
      <c r="AB148">
        <v>0</v>
      </c>
      <c r="AC148">
        <v>0</v>
      </c>
      <c r="AD148">
        <v>0</v>
      </c>
      <c r="AE148" t="s">
        <v>166</v>
      </c>
      <c r="AF148">
        <v>10</v>
      </c>
      <c r="AG148" t="s">
        <v>199</v>
      </c>
      <c r="AH148">
        <v>1</v>
      </c>
      <c r="AI148">
        <v>45582</v>
      </c>
      <c r="AJ148" t="s">
        <v>168</v>
      </c>
    </row>
    <row r="149" spans="1:36" x14ac:dyDescent="0.25">
      <c r="A149" s="1">
        <v>45582</v>
      </c>
      <c r="B149" t="s">
        <v>210</v>
      </c>
      <c r="C149" t="s">
        <v>11</v>
      </c>
      <c r="D149">
        <v>0.97058823529411775</v>
      </c>
      <c r="E149">
        <v>0</v>
      </c>
      <c r="F149">
        <v>0</v>
      </c>
      <c r="G149">
        <v>5.7040998217468802E-2</v>
      </c>
      <c r="H149">
        <v>0</v>
      </c>
      <c r="I149">
        <v>0</v>
      </c>
      <c r="J149">
        <v>5.8769513314967853E-2</v>
      </c>
      <c r="K149">
        <v>0</v>
      </c>
      <c r="L149">
        <v>0</v>
      </c>
      <c r="M149">
        <v>0</v>
      </c>
      <c r="N149">
        <v>0</v>
      </c>
      <c r="O149">
        <v>0</v>
      </c>
      <c r="P149">
        <v>0</v>
      </c>
      <c r="Q149">
        <v>0</v>
      </c>
      <c r="R149">
        <v>0</v>
      </c>
      <c r="S149">
        <v>0</v>
      </c>
      <c r="T149">
        <v>5.8769513314967853E-2</v>
      </c>
      <c r="U149">
        <v>0.94123048668503217</v>
      </c>
      <c r="V149">
        <v>0</v>
      </c>
      <c r="W149">
        <v>0</v>
      </c>
      <c r="X149">
        <v>0</v>
      </c>
      <c r="Y149">
        <v>0</v>
      </c>
      <c r="Z149">
        <v>0</v>
      </c>
      <c r="AA149">
        <v>0</v>
      </c>
      <c r="AB149">
        <v>0</v>
      </c>
      <c r="AC149">
        <v>0</v>
      </c>
      <c r="AD149">
        <v>0</v>
      </c>
      <c r="AE149" t="s">
        <v>212</v>
      </c>
      <c r="AF149">
        <v>10</v>
      </c>
      <c r="AG149" t="s">
        <v>198</v>
      </c>
      <c r="AI149">
        <v>45582</v>
      </c>
      <c r="AJ149" t="s">
        <v>168</v>
      </c>
    </row>
    <row r="150" spans="1:36" x14ac:dyDescent="0.25">
      <c r="A150" s="1">
        <v>45582</v>
      </c>
      <c r="B150" t="s">
        <v>210</v>
      </c>
      <c r="C150" t="s">
        <v>12</v>
      </c>
      <c r="D150">
        <v>4.5836142079336275</v>
      </c>
      <c r="E150">
        <v>1.9</v>
      </c>
      <c r="F150">
        <v>1.9</v>
      </c>
      <c r="G150">
        <v>2.8368983957219247</v>
      </c>
      <c r="H150">
        <v>0.41452005203914244</v>
      </c>
      <c r="I150">
        <v>0.41452005203914244</v>
      </c>
      <c r="J150">
        <v>0.61892172138126944</v>
      </c>
      <c r="K150">
        <v>0</v>
      </c>
      <c r="L150">
        <v>0</v>
      </c>
      <c r="M150">
        <v>0</v>
      </c>
      <c r="N150">
        <v>0</v>
      </c>
      <c r="O150">
        <v>0</v>
      </c>
      <c r="P150">
        <v>0</v>
      </c>
      <c r="Q150">
        <v>0</v>
      </c>
      <c r="R150">
        <v>0</v>
      </c>
      <c r="S150">
        <v>0</v>
      </c>
      <c r="T150">
        <v>0.204401669342127</v>
      </c>
      <c r="U150">
        <v>0.38107827861873056</v>
      </c>
      <c r="V150">
        <v>0</v>
      </c>
      <c r="W150">
        <v>0</v>
      </c>
      <c r="X150">
        <v>0</v>
      </c>
      <c r="Y150">
        <v>0.41452005203914244</v>
      </c>
      <c r="Z150">
        <v>0</v>
      </c>
      <c r="AA150">
        <v>0</v>
      </c>
      <c r="AB150">
        <v>0</v>
      </c>
      <c r="AC150">
        <v>0</v>
      </c>
      <c r="AD150">
        <v>0</v>
      </c>
      <c r="AE150" t="s">
        <v>212</v>
      </c>
      <c r="AF150">
        <v>10</v>
      </c>
      <c r="AG150" t="s">
        <v>200</v>
      </c>
      <c r="AI150">
        <v>45582</v>
      </c>
      <c r="AJ150" t="s">
        <v>168</v>
      </c>
    </row>
    <row r="151" spans="1:36" x14ac:dyDescent="0.25">
      <c r="A151" s="1">
        <v>45582</v>
      </c>
      <c r="B151" t="s">
        <v>210</v>
      </c>
      <c r="C151" t="s">
        <v>10</v>
      </c>
      <c r="D151">
        <v>3.7478639781271368</v>
      </c>
      <c r="E151">
        <v>6.6499999999999995</v>
      </c>
      <c r="F151">
        <v>6.6499999999999995</v>
      </c>
      <c r="G151">
        <v>3.7813725490196082</v>
      </c>
      <c r="H151">
        <v>1.7743440100307757</v>
      </c>
      <c r="I151">
        <v>1.7743440100307757</v>
      </c>
      <c r="J151">
        <v>1.0089407115861275</v>
      </c>
      <c r="K151">
        <v>0</v>
      </c>
      <c r="L151">
        <v>0</v>
      </c>
      <c r="M151">
        <v>0.52434401003077569</v>
      </c>
      <c r="N151">
        <v>0</v>
      </c>
      <c r="O151">
        <v>0</v>
      </c>
      <c r="P151">
        <v>0</v>
      </c>
      <c r="Q151">
        <v>8.9407115861275255E-3</v>
      </c>
      <c r="R151">
        <v>0</v>
      </c>
      <c r="S151">
        <v>0.24105928841387247</v>
      </c>
      <c r="T151">
        <v>0</v>
      </c>
      <c r="U151">
        <v>0</v>
      </c>
      <c r="V151">
        <v>0</v>
      </c>
      <c r="W151">
        <v>0</v>
      </c>
      <c r="X151">
        <v>0</v>
      </c>
      <c r="Y151">
        <v>1</v>
      </c>
      <c r="Z151">
        <v>0</v>
      </c>
      <c r="AA151">
        <v>0</v>
      </c>
      <c r="AB151">
        <v>0</v>
      </c>
      <c r="AC151">
        <v>0</v>
      </c>
      <c r="AD151">
        <v>0</v>
      </c>
      <c r="AE151" t="s">
        <v>212</v>
      </c>
      <c r="AF151">
        <v>10</v>
      </c>
      <c r="AG151" t="s">
        <v>199</v>
      </c>
      <c r="AI151">
        <v>45582</v>
      </c>
      <c r="AJ151" t="s">
        <v>168</v>
      </c>
    </row>
    <row r="152" spans="1:36" x14ac:dyDescent="0.25">
      <c r="A152" s="1">
        <v>45583</v>
      </c>
      <c r="B152" t="s">
        <v>210</v>
      </c>
      <c r="C152" t="s">
        <v>10</v>
      </c>
      <c r="D152">
        <v>3.1563909774436096</v>
      </c>
      <c r="E152">
        <v>2.8499999999999996</v>
      </c>
      <c r="F152">
        <v>2.8499999999999996</v>
      </c>
      <c r="G152">
        <v>1.882352941176471</v>
      </c>
      <c r="H152">
        <v>0.90292996665078584</v>
      </c>
      <c r="I152">
        <v>0.90292996665078584</v>
      </c>
      <c r="J152">
        <v>0.59636241347420338</v>
      </c>
      <c r="K152">
        <v>0</v>
      </c>
      <c r="L152">
        <v>0</v>
      </c>
      <c r="M152">
        <v>0</v>
      </c>
      <c r="N152">
        <v>0</v>
      </c>
      <c r="O152">
        <v>0</v>
      </c>
      <c r="P152">
        <v>0</v>
      </c>
      <c r="Q152">
        <v>0</v>
      </c>
      <c r="R152">
        <v>0</v>
      </c>
      <c r="S152">
        <v>0</v>
      </c>
      <c r="T152">
        <v>0</v>
      </c>
      <c r="U152">
        <v>9.7070033349214158E-2</v>
      </c>
      <c r="V152">
        <v>0</v>
      </c>
      <c r="W152">
        <v>0.30656755317658246</v>
      </c>
      <c r="X152">
        <v>0</v>
      </c>
      <c r="Y152">
        <v>0.59636241347420338</v>
      </c>
      <c r="Z152">
        <v>0</v>
      </c>
      <c r="AA152">
        <v>0</v>
      </c>
      <c r="AB152">
        <v>0</v>
      </c>
      <c r="AC152">
        <v>0</v>
      </c>
      <c r="AD152">
        <v>0</v>
      </c>
      <c r="AE152" t="s">
        <v>166</v>
      </c>
      <c r="AF152">
        <v>10</v>
      </c>
      <c r="AG152" t="s">
        <v>201</v>
      </c>
      <c r="AH152">
        <v>1</v>
      </c>
      <c r="AI152">
        <v>45583</v>
      </c>
      <c r="AJ152" t="s">
        <v>168</v>
      </c>
    </row>
    <row r="153" spans="1:36" x14ac:dyDescent="0.25">
      <c r="A153" s="1">
        <v>45583</v>
      </c>
      <c r="B153" t="s">
        <v>210</v>
      </c>
      <c r="C153" t="s">
        <v>11</v>
      </c>
      <c r="D153">
        <v>1</v>
      </c>
      <c r="E153">
        <v>0</v>
      </c>
      <c r="F153">
        <v>0</v>
      </c>
      <c r="G153">
        <v>2.7450980392156862E-2</v>
      </c>
      <c r="H153">
        <v>0</v>
      </c>
      <c r="I153">
        <v>0</v>
      </c>
      <c r="J153">
        <v>2.7450980392156862E-2</v>
      </c>
      <c r="K153">
        <v>0</v>
      </c>
      <c r="L153">
        <v>0</v>
      </c>
      <c r="M153">
        <v>0</v>
      </c>
      <c r="N153">
        <v>0</v>
      </c>
      <c r="O153">
        <v>0</v>
      </c>
      <c r="P153">
        <v>0</v>
      </c>
      <c r="Q153">
        <v>0</v>
      </c>
      <c r="R153">
        <v>0</v>
      </c>
      <c r="S153">
        <v>0</v>
      </c>
      <c r="T153">
        <v>2.7450980392156862E-2</v>
      </c>
      <c r="U153">
        <v>0.97254901960784312</v>
      </c>
      <c r="V153">
        <v>0</v>
      </c>
      <c r="W153">
        <v>0</v>
      </c>
      <c r="X153">
        <v>0</v>
      </c>
      <c r="Y153">
        <v>0</v>
      </c>
      <c r="Z153">
        <v>0</v>
      </c>
      <c r="AA153">
        <v>0</v>
      </c>
      <c r="AB153">
        <v>0</v>
      </c>
      <c r="AC153">
        <v>0</v>
      </c>
      <c r="AD153">
        <v>0</v>
      </c>
      <c r="AE153" t="s">
        <v>166</v>
      </c>
      <c r="AF153">
        <v>10</v>
      </c>
      <c r="AG153" t="s">
        <v>202</v>
      </c>
      <c r="AH153">
        <v>1</v>
      </c>
      <c r="AI153">
        <v>45583</v>
      </c>
      <c r="AJ153" t="s">
        <v>168</v>
      </c>
    </row>
    <row r="154" spans="1:36" x14ac:dyDescent="0.25">
      <c r="A154" s="1">
        <v>45583</v>
      </c>
      <c r="B154" t="s">
        <v>210</v>
      </c>
      <c r="C154" t="s">
        <v>12</v>
      </c>
      <c r="D154">
        <v>2.1042606516290729</v>
      </c>
      <c r="E154">
        <v>2.8499999999999996</v>
      </c>
      <c r="F154">
        <v>2.8499999999999996</v>
      </c>
      <c r="G154">
        <v>1.7568627450980387</v>
      </c>
      <c r="H154">
        <v>1.3543949499761787</v>
      </c>
      <c r="I154">
        <v>1.3543949499761787</v>
      </c>
      <c r="J154">
        <v>0.83490737886388444</v>
      </c>
      <c r="K154">
        <v>0</v>
      </c>
      <c r="L154">
        <v>0</v>
      </c>
      <c r="M154">
        <v>0.10439494997617871</v>
      </c>
      <c r="N154">
        <v>0</v>
      </c>
      <c r="O154">
        <v>0</v>
      </c>
      <c r="P154">
        <v>0</v>
      </c>
      <c r="Q154">
        <v>0</v>
      </c>
      <c r="R154">
        <v>0</v>
      </c>
      <c r="S154">
        <v>0.25</v>
      </c>
      <c r="T154">
        <v>0</v>
      </c>
      <c r="U154">
        <v>0</v>
      </c>
      <c r="V154">
        <v>0</v>
      </c>
      <c r="W154">
        <v>0.16509262113611556</v>
      </c>
      <c r="X154">
        <v>0</v>
      </c>
      <c r="Y154">
        <v>0.83490737886388444</v>
      </c>
      <c r="Z154">
        <v>0</v>
      </c>
      <c r="AA154">
        <v>0</v>
      </c>
      <c r="AB154">
        <v>0</v>
      </c>
      <c r="AC154">
        <v>0</v>
      </c>
      <c r="AD154">
        <v>0</v>
      </c>
      <c r="AE154" t="s">
        <v>166</v>
      </c>
      <c r="AF154">
        <v>10</v>
      </c>
      <c r="AG154" t="s">
        <v>203</v>
      </c>
      <c r="AH154">
        <v>1</v>
      </c>
      <c r="AI154">
        <v>45583</v>
      </c>
      <c r="AJ154" t="s">
        <v>168</v>
      </c>
    </row>
    <row r="155" spans="1:36" x14ac:dyDescent="0.25">
      <c r="A155" s="1">
        <v>45583</v>
      </c>
      <c r="B155" t="s">
        <v>210</v>
      </c>
      <c r="C155" t="s">
        <v>10</v>
      </c>
      <c r="D155">
        <v>3.7478639781271368</v>
      </c>
      <c r="E155">
        <v>6.6499999999999995</v>
      </c>
      <c r="F155">
        <v>6.6499999999999995</v>
      </c>
      <c r="G155">
        <v>3.75</v>
      </c>
      <c r="H155">
        <v>1.7743440100307757</v>
      </c>
      <c r="I155">
        <v>1.7743440100307757</v>
      </c>
      <c r="J155">
        <v>1.0005699304684827</v>
      </c>
      <c r="K155">
        <v>0</v>
      </c>
      <c r="L155">
        <v>0</v>
      </c>
      <c r="M155">
        <v>0.52434401003077569</v>
      </c>
      <c r="N155">
        <v>0</v>
      </c>
      <c r="O155">
        <v>0</v>
      </c>
      <c r="P155">
        <v>0</v>
      </c>
      <c r="Q155">
        <v>5.6993046848274886E-4</v>
      </c>
      <c r="R155">
        <v>0</v>
      </c>
      <c r="S155">
        <v>0.24943006953151725</v>
      </c>
      <c r="T155">
        <v>0</v>
      </c>
      <c r="U155">
        <v>0</v>
      </c>
      <c r="V155">
        <v>0</v>
      </c>
      <c r="W155">
        <v>0</v>
      </c>
      <c r="X155">
        <v>0</v>
      </c>
      <c r="Y155">
        <v>1</v>
      </c>
      <c r="Z155">
        <v>0</v>
      </c>
      <c r="AA155">
        <v>0</v>
      </c>
      <c r="AB155">
        <v>0</v>
      </c>
      <c r="AC155">
        <v>0</v>
      </c>
      <c r="AD155">
        <v>0</v>
      </c>
      <c r="AE155" t="s">
        <v>212</v>
      </c>
      <c r="AF155">
        <v>10</v>
      </c>
      <c r="AG155" t="s">
        <v>201</v>
      </c>
      <c r="AI155">
        <v>45583</v>
      </c>
      <c r="AJ155" t="s">
        <v>168</v>
      </c>
    </row>
    <row r="156" spans="1:36" x14ac:dyDescent="0.25">
      <c r="A156" s="1">
        <v>45583</v>
      </c>
      <c r="B156" t="s">
        <v>210</v>
      </c>
      <c r="C156" t="s">
        <v>11</v>
      </c>
      <c r="D156">
        <v>0.97058823529411775</v>
      </c>
      <c r="E156">
        <v>0.95</v>
      </c>
      <c r="F156">
        <v>0.95</v>
      </c>
      <c r="G156">
        <v>0.96969696969696972</v>
      </c>
      <c r="H156">
        <v>0.97878787878787865</v>
      </c>
      <c r="I156">
        <v>0.97878787878787865</v>
      </c>
      <c r="J156">
        <v>0.99908172635445358</v>
      </c>
      <c r="K156">
        <v>0</v>
      </c>
      <c r="L156">
        <v>0</v>
      </c>
      <c r="M156">
        <v>0</v>
      </c>
      <c r="N156">
        <v>0</v>
      </c>
      <c r="O156">
        <v>0</v>
      </c>
      <c r="P156">
        <v>0</v>
      </c>
      <c r="Q156">
        <v>0</v>
      </c>
      <c r="R156">
        <v>0</v>
      </c>
      <c r="S156">
        <v>0</v>
      </c>
      <c r="T156">
        <v>2.029384756657493E-2</v>
      </c>
      <c r="U156">
        <v>9.182736455464191E-4</v>
      </c>
      <c r="V156">
        <v>0</v>
      </c>
      <c r="W156">
        <v>0</v>
      </c>
      <c r="X156">
        <v>0</v>
      </c>
      <c r="Y156">
        <v>0.97878787878787865</v>
      </c>
      <c r="Z156">
        <v>0</v>
      </c>
      <c r="AA156">
        <v>0</v>
      </c>
      <c r="AB156">
        <v>0</v>
      </c>
      <c r="AC156">
        <v>0</v>
      </c>
      <c r="AD156">
        <v>0</v>
      </c>
      <c r="AE156" t="s">
        <v>212</v>
      </c>
      <c r="AF156">
        <v>10</v>
      </c>
      <c r="AG156" t="s">
        <v>202</v>
      </c>
      <c r="AI156">
        <v>45583</v>
      </c>
      <c r="AJ156" t="s">
        <v>168</v>
      </c>
    </row>
    <row r="157" spans="1:36" x14ac:dyDescent="0.25">
      <c r="A157" s="1">
        <v>45583</v>
      </c>
      <c r="B157" t="s">
        <v>210</v>
      </c>
      <c r="C157" t="s">
        <v>12</v>
      </c>
      <c r="D157">
        <v>4.5836142079336275</v>
      </c>
      <c r="E157">
        <v>2.8499999999999996</v>
      </c>
      <c r="F157">
        <v>2.8499999999999996</v>
      </c>
      <c r="G157">
        <v>2.6229946524064167</v>
      </c>
      <c r="H157">
        <v>0.6217800780587136</v>
      </c>
      <c r="I157">
        <v>0.6217800780587136</v>
      </c>
      <c r="J157">
        <v>0.57225467358626325</v>
      </c>
      <c r="K157">
        <v>0</v>
      </c>
      <c r="L157">
        <v>0</v>
      </c>
      <c r="M157">
        <v>0</v>
      </c>
      <c r="N157">
        <v>0</v>
      </c>
      <c r="O157">
        <v>0</v>
      </c>
      <c r="P157">
        <v>0</v>
      </c>
      <c r="Q157">
        <v>0</v>
      </c>
      <c r="R157">
        <v>0</v>
      </c>
      <c r="S157">
        <v>0</v>
      </c>
      <c r="T157">
        <v>0</v>
      </c>
      <c r="U157">
        <v>0.3782199219412864</v>
      </c>
      <c r="V157">
        <v>0</v>
      </c>
      <c r="W157">
        <v>4.9525404472450352E-2</v>
      </c>
      <c r="X157">
        <v>0</v>
      </c>
      <c r="Y157">
        <v>0.57225467358626325</v>
      </c>
      <c r="Z157">
        <v>0</v>
      </c>
      <c r="AA157">
        <v>0</v>
      </c>
      <c r="AB157">
        <v>0</v>
      </c>
      <c r="AC157">
        <v>0</v>
      </c>
      <c r="AD157">
        <v>0</v>
      </c>
      <c r="AE157" t="s">
        <v>212</v>
      </c>
      <c r="AF157">
        <v>10</v>
      </c>
      <c r="AG157" t="s">
        <v>203</v>
      </c>
      <c r="AI157">
        <v>45583</v>
      </c>
      <c r="AJ157" t="s">
        <v>168</v>
      </c>
    </row>
    <row r="158" spans="1:36" x14ac:dyDescent="0.25">
      <c r="A158" s="1">
        <v>45584</v>
      </c>
      <c r="B158" t="s">
        <v>210</v>
      </c>
      <c r="C158" t="s">
        <v>11</v>
      </c>
      <c r="D158">
        <v>1</v>
      </c>
      <c r="E158">
        <v>0</v>
      </c>
      <c r="F158">
        <v>0</v>
      </c>
      <c r="G158">
        <v>0</v>
      </c>
      <c r="H158">
        <v>0</v>
      </c>
      <c r="I158">
        <v>0</v>
      </c>
      <c r="J158">
        <v>0</v>
      </c>
      <c r="K158">
        <v>0</v>
      </c>
      <c r="L158">
        <v>0</v>
      </c>
      <c r="M158">
        <v>0</v>
      </c>
      <c r="N158">
        <v>0</v>
      </c>
      <c r="O158">
        <v>0</v>
      </c>
      <c r="P158">
        <v>0</v>
      </c>
      <c r="Q158">
        <v>0</v>
      </c>
      <c r="R158">
        <v>0</v>
      </c>
      <c r="S158">
        <v>0</v>
      </c>
      <c r="T158">
        <v>0</v>
      </c>
      <c r="U158">
        <v>1</v>
      </c>
      <c r="V158">
        <v>0</v>
      </c>
      <c r="W158">
        <v>0</v>
      </c>
      <c r="X158">
        <v>0</v>
      </c>
      <c r="Y158">
        <v>0</v>
      </c>
      <c r="Z158">
        <v>0</v>
      </c>
      <c r="AA158">
        <v>0</v>
      </c>
      <c r="AB158">
        <v>0</v>
      </c>
      <c r="AC158">
        <v>0</v>
      </c>
      <c r="AD158">
        <v>0</v>
      </c>
      <c r="AE158" t="s">
        <v>166</v>
      </c>
      <c r="AF158">
        <v>10</v>
      </c>
      <c r="AG158" t="s">
        <v>205</v>
      </c>
      <c r="AH158">
        <v>1</v>
      </c>
      <c r="AI158">
        <v>45584</v>
      </c>
      <c r="AJ158" t="s">
        <v>168</v>
      </c>
    </row>
    <row r="159" spans="1:36" x14ac:dyDescent="0.25">
      <c r="A159" s="1">
        <v>45584</v>
      </c>
      <c r="B159" t="s">
        <v>210</v>
      </c>
      <c r="C159" t="s">
        <v>12</v>
      </c>
      <c r="D159">
        <v>2.1042606516290729</v>
      </c>
      <c r="E159">
        <v>2.8499999999999996</v>
      </c>
      <c r="F159">
        <v>2.8499999999999996</v>
      </c>
      <c r="G159">
        <v>1.5821501014198782</v>
      </c>
      <c r="H159">
        <v>1.3543949499761787</v>
      </c>
      <c r="I159">
        <v>1.3543949499761787</v>
      </c>
      <c r="J159">
        <v>0.75187933595346756</v>
      </c>
      <c r="K159">
        <v>0</v>
      </c>
      <c r="L159">
        <v>0</v>
      </c>
      <c r="M159">
        <v>0.10439494997617871</v>
      </c>
      <c r="N159">
        <v>0</v>
      </c>
      <c r="O159">
        <v>0</v>
      </c>
      <c r="P159">
        <v>0</v>
      </c>
      <c r="Q159">
        <v>0</v>
      </c>
      <c r="R159">
        <v>0</v>
      </c>
      <c r="S159">
        <v>0.25</v>
      </c>
      <c r="T159">
        <v>0</v>
      </c>
      <c r="U159">
        <v>0</v>
      </c>
      <c r="V159">
        <v>0</v>
      </c>
      <c r="W159">
        <v>0.24812066404653244</v>
      </c>
      <c r="X159">
        <v>0</v>
      </c>
      <c r="Y159">
        <v>0.75187933595346756</v>
      </c>
      <c r="Z159">
        <v>0</v>
      </c>
      <c r="AA159">
        <v>0</v>
      </c>
      <c r="AB159">
        <v>0</v>
      </c>
      <c r="AC159">
        <v>0</v>
      </c>
      <c r="AD159">
        <v>0</v>
      </c>
      <c r="AE159" t="s">
        <v>166</v>
      </c>
      <c r="AF159">
        <v>10</v>
      </c>
      <c r="AG159" t="s">
        <v>206</v>
      </c>
      <c r="AH159">
        <v>1</v>
      </c>
      <c r="AI159">
        <v>45584</v>
      </c>
      <c r="AJ159" t="s">
        <v>168</v>
      </c>
    </row>
    <row r="160" spans="1:36" x14ac:dyDescent="0.25">
      <c r="A160" s="1">
        <v>45584</v>
      </c>
      <c r="B160" t="s">
        <v>210</v>
      </c>
      <c r="C160" t="s">
        <v>10</v>
      </c>
      <c r="D160">
        <v>3.1563909774436096</v>
      </c>
      <c r="E160">
        <v>2.8499999999999996</v>
      </c>
      <c r="F160">
        <v>2.8499999999999996</v>
      </c>
      <c r="G160">
        <v>1.882352941176471</v>
      </c>
      <c r="H160">
        <v>0.90292996665078584</v>
      </c>
      <c r="I160">
        <v>0.90292996665078584</v>
      </c>
      <c r="J160">
        <v>0.59636241347420338</v>
      </c>
      <c r="K160">
        <v>0</v>
      </c>
      <c r="L160">
        <v>0</v>
      </c>
      <c r="M160">
        <v>0</v>
      </c>
      <c r="N160">
        <v>0</v>
      </c>
      <c r="O160">
        <v>0</v>
      </c>
      <c r="P160">
        <v>0</v>
      </c>
      <c r="Q160">
        <v>0</v>
      </c>
      <c r="R160">
        <v>0</v>
      </c>
      <c r="S160">
        <v>0</v>
      </c>
      <c r="T160">
        <v>0</v>
      </c>
      <c r="U160">
        <v>9.7070033349214158E-2</v>
      </c>
      <c r="V160">
        <v>0</v>
      </c>
      <c r="W160">
        <v>0.30656755317658246</v>
      </c>
      <c r="X160">
        <v>0</v>
      </c>
      <c r="Y160">
        <v>0.59636241347420338</v>
      </c>
      <c r="Z160">
        <v>0</v>
      </c>
      <c r="AA160">
        <v>0</v>
      </c>
      <c r="AB160">
        <v>0</v>
      </c>
      <c r="AC160">
        <v>0</v>
      </c>
      <c r="AD160">
        <v>0</v>
      </c>
      <c r="AE160" t="s">
        <v>166</v>
      </c>
      <c r="AF160">
        <v>10</v>
      </c>
      <c r="AG160" t="s">
        <v>204</v>
      </c>
      <c r="AH160">
        <v>1</v>
      </c>
      <c r="AI160">
        <v>45584</v>
      </c>
      <c r="AJ160" t="s">
        <v>168</v>
      </c>
    </row>
    <row r="161" spans="1:36" x14ac:dyDescent="0.25">
      <c r="A161" s="1">
        <v>45584</v>
      </c>
      <c r="B161" t="s">
        <v>210</v>
      </c>
      <c r="C161" t="s">
        <v>11</v>
      </c>
      <c r="D161">
        <v>0.97058823529411775</v>
      </c>
      <c r="E161">
        <v>0.95</v>
      </c>
      <c r="F161">
        <v>0.95</v>
      </c>
      <c r="G161">
        <v>0.96969696969696972</v>
      </c>
      <c r="H161">
        <v>0.97878787878787865</v>
      </c>
      <c r="I161">
        <v>0.97878787878787865</v>
      </c>
      <c r="J161">
        <v>0.99908172635445358</v>
      </c>
      <c r="K161">
        <v>0</v>
      </c>
      <c r="L161">
        <v>0</v>
      </c>
      <c r="M161">
        <v>0</v>
      </c>
      <c r="N161">
        <v>0</v>
      </c>
      <c r="O161">
        <v>0</v>
      </c>
      <c r="P161">
        <v>0</v>
      </c>
      <c r="Q161">
        <v>0</v>
      </c>
      <c r="R161">
        <v>0</v>
      </c>
      <c r="S161">
        <v>0</v>
      </c>
      <c r="T161">
        <v>2.029384756657493E-2</v>
      </c>
      <c r="U161">
        <v>9.182736455464191E-4</v>
      </c>
      <c r="V161">
        <v>0</v>
      </c>
      <c r="W161">
        <v>0</v>
      </c>
      <c r="X161">
        <v>0</v>
      </c>
      <c r="Y161">
        <v>0.97878787878787865</v>
      </c>
      <c r="Z161">
        <v>0</v>
      </c>
      <c r="AA161">
        <v>0</v>
      </c>
      <c r="AB161">
        <v>0</v>
      </c>
      <c r="AC161">
        <v>0</v>
      </c>
      <c r="AD161">
        <v>0</v>
      </c>
      <c r="AE161" t="s">
        <v>212</v>
      </c>
      <c r="AF161">
        <v>10</v>
      </c>
      <c r="AG161" t="s">
        <v>205</v>
      </c>
      <c r="AI161">
        <v>45584</v>
      </c>
      <c r="AJ161" t="s">
        <v>168</v>
      </c>
    </row>
    <row r="162" spans="1:36" x14ac:dyDescent="0.25">
      <c r="A162" s="1">
        <v>45584</v>
      </c>
      <c r="B162" t="s">
        <v>210</v>
      </c>
      <c r="C162" t="s">
        <v>12</v>
      </c>
      <c r="D162">
        <v>4.5836142079336275</v>
      </c>
      <c r="E162">
        <v>3.8</v>
      </c>
      <c r="F162">
        <v>3.8</v>
      </c>
      <c r="G162">
        <v>3.3502673796791438</v>
      </c>
      <c r="H162">
        <v>0.82904010407828488</v>
      </c>
      <c r="I162">
        <v>0.82904010407828488</v>
      </c>
      <c r="J162">
        <v>0.73092263608928432</v>
      </c>
      <c r="K162">
        <v>0</v>
      </c>
      <c r="L162">
        <v>0</v>
      </c>
      <c r="M162">
        <v>0</v>
      </c>
      <c r="N162">
        <v>0</v>
      </c>
      <c r="O162">
        <v>0</v>
      </c>
      <c r="P162">
        <v>0</v>
      </c>
      <c r="Q162">
        <v>0</v>
      </c>
      <c r="R162">
        <v>0</v>
      </c>
      <c r="S162">
        <v>0</v>
      </c>
      <c r="T162">
        <v>0</v>
      </c>
      <c r="U162">
        <v>0.17095989592171512</v>
      </c>
      <c r="V162">
        <v>0</v>
      </c>
      <c r="W162">
        <v>9.8117467989000562E-2</v>
      </c>
      <c r="X162">
        <v>0</v>
      </c>
      <c r="Y162">
        <v>0.73092263608928432</v>
      </c>
      <c r="Z162">
        <v>0</v>
      </c>
      <c r="AA162">
        <v>0</v>
      </c>
      <c r="AB162">
        <v>0</v>
      </c>
      <c r="AC162">
        <v>0</v>
      </c>
      <c r="AD162">
        <v>0</v>
      </c>
      <c r="AE162" t="s">
        <v>212</v>
      </c>
      <c r="AF162">
        <v>10</v>
      </c>
      <c r="AG162" t="s">
        <v>206</v>
      </c>
      <c r="AI162">
        <v>45584</v>
      </c>
      <c r="AJ162" t="s">
        <v>168</v>
      </c>
    </row>
    <row r="163" spans="1:36" x14ac:dyDescent="0.25">
      <c r="A163" s="1">
        <v>45584</v>
      </c>
      <c r="B163" t="s">
        <v>210</v>
      </c>
      <c r="C163" t="s">
        <v>10</v>
      </c>
      <c r="D163">
        <v>3.7478639781271368</v>
      </c>
      <c r="E163">
        <v>3.8</v>
      </c>
      <c r="F163">
        <v>3.8</v>
      </c>
      <c r="G163">
        <v>3.7813725490196082</v>
      </c>
      <c r="H163">
        <v>1.0139108628747291</v>
      </c>
      <c r="I163">
        <v>1.0139108628747291</v>
      </c>
      <c r="J163">
        <v>1.0089407115861275</v>
      </c>
      <c r="K163">
        <v>0</v>
      </c>
      <c r="L163">
        <v>0</v>
      </c>
      <c r="M163">
        <v>0</v>
      </c>
      <c r="N163">
        <v>0</v>
      </c>
      <c r="O163">
        <v>0</v>
      </c>
      <c r="P163">
        <v>0</v>
      </c>
      <c r="Q163">
        <v>8.9407115861275255E-3</v>
      </c>
      <c r="R163">
        <v>0</v>
      </c>
      <c r="S163">
        <v>4.9701512886015653E-3</v>
      </c>
      <c r="T163">
        <v>0</v>
      </c>
      <c r="U163">
        <v>0</v>
      </c>
      <c r="V163">
        <v>0</v>
      </c>
      <c r="W163">
        <v>0</v>
      </c>
      <c r="X163">
        <v>0</v>
      </c>
      <c r="Y163">
        <v>1</v>
      </c>
      <c r="Z163">
        <v>0</v>
      </c>
      <c r="AA163">
        <v>0</v>
      </c>
      <c r="AB163">
        <v>0</v>
      </c>
      <c r="AC163">
        <v>0</v>
      </c>
      <c r="AD163">
        <v>0</v>
      </c>
      <c r="AE163" t="s">
        <v>212</v>
      </c>
      <c r="AF163">
        <v>10</v>
      </c>
      <c r="AG163" t="s">
        <v>204</v>
      </c>
      <c r="AI163">
        <v>45584</v>
      </c>
      <c r="AJ163" t="s">
        <v>168</v>
      </c>
    </row>
    <row r="164" spans="1:36" x14ac:dyDescent="0.25">
      <c r="A164" s="1">
        <v>45585</v>
      </c>
      <c r="B164" t="s">
        <v>210</v>
      </c>
      <c r="C164" t="s">
        <v>11</v>
      </c>
      <c r="D164">
        <v>1</v>
      </c>
      <c r="E164">
        <v>0</v>
      </c>
      <c r="F164">
        <v>0</v>
      </c>
      <c r="G164">
        <v>0</v>
      </c>
      <c r="H164">
        <v>0</v>
      </c>
      <c r="I164">
        <v>0</v>
      </c>
      <c r="J164">
        <v>0</v>
      </c>
      <c r="K164">
        <v>0</v>
      </c>
      <c r="L164">
        <v>0</v>
      </c>
      <c r="M164">
        <v>0</v>
      </c>
      <c r="N164">
        <v>0</v>
      </c>
      <c r="O164">
        <v>0</v>
      </c>
      <c r="P164">
        <v>0</v>
      </c>
      <c r="Q164">
        <v>0</v>
      </c>
      <c r="R164">
        <v>0</v>
      </c>
      <c r="S164">
        <v>0</v>
      </c>
      <c r="T164">
        <v>0</v>
      </c>
      <c r="U164">
        <v>1</v>
      </c>
      <c r="V164">
        <v>0</v>
      </c>
      <c r="W164">
        <v>0</v>
      </c>
      <c r="X164">
        <v>0</v>
      </c>
      <c r="Y164">
        <v>0</v>
      </c>
      <c r="Z164">
        <v>0</v>
      </c>
      <c r="AA164">
        <v>0</v>
      </c>
      <c r="AB164">
        <v>0</v>
      </c>
      <c r="AC164">
        <v>0</v>
      </c>
      <c r="AD164">
        <v>0</v>
      </c>
      <c r="AE164" t="s">
        <v>166</v>
      </c>
      <c r="AF164">
        <v>10</v>
      </c>
      <c r="AG164" t="s">
        <v>208</v>
      </c>
      <c r="AH164">
        <v>1</v>
      </c>
      <c r="AI164">
        <v>45585</v>
      </c>
      <c r="AJ164" t="s">
        <v>168</v>
      </c>
    </row>
    <row r="165" spans="1:36" x14ac:dyDescent="0.25">
      <c r="A165" s="1">
        <v>45585</v>
      </c>
      <c r="B165" t="s">
        <v>210</v>
      </c>
      <c r="C165" t="s">
        <v>12</v>
      </c>
      <c r="D165">
        <v>2.1042606516290729</v>
      </c>
      <c r="E165">
        <v>2.8499999999999996</v>
      </c>
      <c r="F165">
        <v>2.8499999999999996</v>
      </c>
      <c r="G165">
        <v>1.5930393936158855</v>
      </c>
      <c r="H165">
        <v>1.3543949499761787</v>
      </c>
      <c r="I165">
        <v>1.3543949499761787</v>
      </c>
      <c r="J165">
        <v>0.75705421397419992</v>
      </c>
      <c r="K165">
        <v>0</v>
      </c>
      <c r="L165">
        <v>0</v>
      </c>
      <c r="M165">
        <v>0.10439494997617871</v>
      </c>
      <c r="N165">
        <v>0</v>
      </c>
      <c r="O165">
        <v>0</v>
      </c>
      <c r="P165">
        <v>0</v>
      </c>
      <c r="Q165">
        <v>0</v>
      </c>
      <c r="R165">
        <v>0</v>
      </c>
      <c r="S165">
        <v>0.25</v>
      </c>
      <c r="T165">
        <v>0</v>
      </c>
      <c r="U165">
        <v>0</v>
      </c>
      <c r="V165">
        <v>0</v>
      </c>
      <c r="W165">
        <v>0.24294578602580008</v>
      </c>
      <c r="X165">
        <v>0</v>
      </c>
      <c r="Y165">
        <v>0.75705421397419992</v>
      </c>
      <c r="Z165">
        <v>0</v>
      </c>
      <c r="AA165">
        <v>0</v>
      </c>
      <c r="AB165">
        <v>0</v>
      </c>
      <c r="AC165">
        <v>0</v>
      </c>
      <c r="AD165">
        <v>0</v>
      </c>
      <c r="AE165" t="s">
        <v>166</v>
      </c>
      <c r="AF165">
        <v>10</v>
      </c>
      <c r="AG165" t="s">
        <v>209</v>
      </c>
      <c r="AH165">
        <v>1</v>
      </c>
      <c r="AI165">
        <v>45585</v>
      </c>
      <c r="AJ165" t="s">
        <v>168</v>
      </c>
    </row>
    <row r="166" spans="1:36" x14ac:dyDescent="0.25">
      <c r="A166" s="1">
        <v>45585</v>
      </c>
      <c r="B166" t="s">
        <v>210</v>
      </c>
      <c r="C166" t="s">
        <v>10</v>
      </c>
      <c r="D166">
        <v>3.1563909774436087</v>
      </c>
      <c r="E166">
        <v>3.8</v>
      </c>
      <c r="F166">
        <v>3.8</v>
      </c>
      <c r="G166">
        <v>2.8121775025799796</v>
      </c>
      <c r="H166">
        <v>1.2039066222010482</v>
      </c>
      <c r="I166">
        <v>1.2039066222010482</v>
      </c>
      <c r="J166">
        <v>0.89094713635811651</v>
      </c>
      <c r="K166">
        <v>0</v>
      </c>
      <c r="L166">
        <v>0</v>
      </c>
      <c r="M166">
        <v>0</v>
      </c>
      <c r="N166">
        <v>0</v>
      </c>
      <c r="O166">
        <v>0</v>
      </c>
      <c r="P166">
        <v>0</v>
      </c>
      <c r="Q166">
        <v>0</v>
      </c>
      <c r="R166">
        <v>0</v>
      </c>
      <c r="S166">
        <v>0.20390662220104816</v>
      </c>
      <c r="T166">
        <v>0</v>
      </c>
      <c r="U166">
        <v>0</v>
      </c>
      <c r="V166">
        <v>0</v>
      </c>
      <c r="W166">
        <v>0.10905286364188349</v>
      </c>
      <c r="X166">
        <v>0</v>
      </c>
      <c r="Y166">
        <v>0.89094713635811651</v>
      </c>
      <c r="Z166">
        <v>0</v>
      </c>
      <c r="AA166">
        <v>0</v>
      </c>
      <c r="AB166">
        <v>0</v>
      </c>
      <c r="AC166">
        <v>0</v>
      </c>
      <c r="AD166">
        <v>0</v>
      </c>
      <c r="AE166" t="s">
        <v>166</v>
      </c>
      <c r="AF166">
        <v>10</v>
      </c>
      <c r="AG166" t="s">
        <v>207</v>
      </c>
      <c r="AH166">
        <v>1</v>
      </c>
      <c r="AI166">
        <v>45585</v>
      </c>
      <c r="AJ166" t="s">
        <v>168</v>
      </c>
    </row>
    <row r="167" spans="1:36" x14ac:dyDescent="0.25">
      <c r="A167" s="1">
        <v>45585</v>
      </c>
      <c r="B167" t="s">
        <v>210</v>
      </c>
      <c r="C167" t="s">
        <v>11</v>
      </c>
      <c r="D167">
        <v>0.97058823529411775</v>
      </c>
      <c r="E167">
        <v>0.95</v>
      </c>
      <c r="F167">
        <v>0.95</v>
      </c>
      <c r="G167">
        <v>0.99821746880570394</v>
      </c>
      <c r="H167">
        <v>0.97878787878787865</v>
      </c>
      <c r="I167">
        <v>0.97878787878787865</v>
      </c>
      <c r="J167">
        <v>1.0284664830119372</v>
      </c>
      <c r="K167">
        <v>2.8466483011937216E-2</v>
      </c>
      <c r="L167">
        <v>0</v>
      </c>
      <c r="M167">
        <v>0</v>
      </c>
      <c r="N167">
        <v>0</v>
      </c>
      <c r="O167">
        <v>0</v>
      </c>
      <c r="P167">
        <v>0</v>
      </c>
      <c r="Q167">
        <v>0</v>
      </c>
      <c r="R167">
        <v>0</v>
      </c>
      <c r="S167">
        <v>0</v>
      </c>
      <c r="T167">
        <v>2.1212121212121349E-2</v>
      </c>
      <c r="U167">
        <v>0</v>
      </c>
      <c r="V167">
        <v>0</v>
      </c>
      <c r="W167">
        <v>0</v>
      </c>
      <c r="X167">
        <v>0</v>
      </c>
      <c r="Y167">
        <v>0.97878787878787865</v>
      </c>
      <c r="Z167">
        <v>0</v>
      </c>
      <c r="AA167">
        <v>0</v>
      </c>
      <c r="AB167">
        <v>0</v>
      </c>
      <c r="AC167">
        <v>0</v>
      </c>
      <c r="AD167">
        <v>0</v>
      </c>
      <c r="AE167" t="s">
        <v>212</v>
      </c>
      <c r="AF167">
        <v>10</v>
      </c>
      <c r="AG167" t="s">
        <v>208</v>
      </c>
      <c r="AI167">
        <v>45585</v>
      </c>
      <c r="AJ167" t="s">
        <v>168</v>
      </c>
    </row>
    <row r="168" spans="1:36" x14ac:dyDescent="0.25">
      <c r="A168" s="1">
        <v>45585</v>
      </c>
      <c r="B168" t="s">
        <v>210</v>
      </c>
      <c r="C168" t="s">
        <v>12</v>
      </c>
      <c r="D168">
        <v>4.5836142079336275</v>
      </c>
      <c r="E168">
        <v>3.8</v>
      </c>
      <c r="F168">
        <v>3.8</v>
      </c>
      <c r="G168">
        <v>3.5641711229946522</v>
      </c>
      <c r="H168">
        <v>0.82904010407828488</v>
      </c>
      <c r="I168">
        <v>0.82904010407828488</v>
      </c>
      <c r="J168">
        <v>0.77758968388429051</v>
      </c>
      <c r="K168">
        <v>0</v>
      </c>
      <c r="L168">
        <v>0</v>
      </c>
      <c r="M168">
        <v>0</v>
      </c>
      <c r="N168">
        <v>0</v>
      </c>
      <c r="O168">
        <v>0</v>
      </c>
      <c r="P168">
        <v>0</v>
      </c>
      <c r="Q168">
        <v>0</v>
      </c>
      <c r="R168">
        <v>0</v>
      </c>
      <c r="S168">
        <v>0</v>
      </c>
      <c r="T168">
        <v>0</v>
      </c>
      <c r="U168">
        <v>0.17095989592171512</v>
      </c>
      <c r="V168">
        <v>0</v>
      </c>
      <c r="W168">
        <v>5.1450420193994373E-2</v>
      </c>
      <c r="X168">
        <v>0</v>
      </c>
      <c r="Y168">
        <v>0.77758968388429051</v>
      </c>
      <c r="Z168">
        <v>0</v>
      </c>
      <c r="AA168">
        <v>0</v>
      </c>
      <c r="AB168">
        <v>0</v>
      </c>
      <c r="AC168">
        <v>0</v>
      </c>
      <c r="AD168">
        <v>0</v>
      </c>
      <c r="AE168" t="s">
        <v>212</v>
      </c>
      <c r="AF168">
        <v>10</v>
      </c>
      <c r="AG168" t="s">
        <v>209</v>
      </c>
      <c r="AI168">
        <v>45585</v>
      </c>
      <c r="AJ168" t="s">
        <v>168</v>
      </c>
    </row>
    <row r="169" spans="1:36" x14ac:dyDescent="0.25">
      <c r="A169" s="1">
        <v>45585</v>
      </c>
      <c r="B169" t="s">
        <v>210</v>
      </c>
      <c r="C169" t="s">
        <v>10</v>
      </c>
      <c r="D169">
        <v>3.7478639781271368</v>
      </c>
      <c r="E169">
        <v>4.75</v>
      </c>
      <c r="F169">
        <v>4.75</v>
      </c>
      <c r="G169">
        <v>3.7813725490196082</v>
      </c>
      <c r="H169">
        <v>1.2673885785934114</v>
      </c>
      <c r="I169">
        <v>1.2673885785934114</v>
      </c>
      <c r="J169">
        <v>1.0089407115861275</v>
      </c>
      <c r="K169">
        <v>0</v>
      </c>
      <c r="L169">
        <v>0</v>
      </c>
      <c r="M169">
        <v>1.7388578593411363E-2</v>
      </c>
      <c r="N169">
        <v>0</v>
      </c>
      <c r="O169">
        <v>0</v>
      </c>
      <c r="P169">
        <v>0</v>
      </c>
      <c r="Q169">
        <v>8.9407115861275255E-3</v>
      </c>
      <c r="R169">
        <v>0</v>
      </c>
      <c r="S169">
        <v>0.24105928841387247</v>
      </c>
      <c r="T169">
        <v>0</v>
      </c>
      <c r="U169">
        <v>0</v>
      </c>
      <c r="V169">
        <v>0</v>
      </c>
      <c r="W169">
        <v>0</v>
      </c>
      <c r="X169">
        <v>0</v>
      </c>
      <c r="Y169">
        <v>1</v>
      </c>
      <c r="Z169">
        <v>0</v>
      </c>
      <c r="AA169">
        <v>0</v>
      </c>
      <c r="AB169">
        <v>0</v>
      </c>
      <c r="AC169">
        <v>0</v>
      </c>
      <c r="AD169">
        <v>0</v>
      </c>
      <c r="AE169" t="s">
        <v>212</v>
      </c>
      <c r="AF169">
        <v>10</v>
      </c>
      <c r="AG169" t="s">
        <v>207</v>
      </c>
      <c r="AI169">
        <v>45585</v>
      </c>
      <c r="AJ169" t="s">
        <v>168</v>
      </c>
    </row>
    <row r="170" spans="1:36" x14ac:dyDescent="0.25">
      <c r="A170" s="1">
        <v>45572</v>
      </c>
      <c r="B170" t="s">
        <v>13</v>
      </c>
      <c r="C170" t="s">
        <v>10</v>
      </c>
      <c r="D170">
        <v>5.7593984962406006</v>
      </c>
      <c r="E170">
        <v>4.75</v>
      </c>
      <c r="F170">
        <v>4.75</v>
      </c>
      <c r="G170">
        <v>3.6806722689075615</v>
      </c>
      <c r="H170">
        <v>0.82473890339425604</v>
      </c>
      <c r="I170">
        <v>0.82473890339425604</v>
      </c>
      <c r="J170">
        <v>0.63907233911841477</v>
      </c>
      <c r="K170">
        <v>0</v>
      </c>
      <c r="L170">
        <v>0</v>
      </c>
      <c r="M170">
        <v>0</v>
      </c>
      <c r="N170">
        <v>0</v>
      </c>
      <c r="O170">
        <v>0</v>
      </c>
      <c r="P170">
        <v>0</v>
      </c>
      <c r="Q170">
        <v>0</v>
      </c>
      <c r="R170">
        <v>0</v>
      </c>
      <c r="S170">
        <v>0</v>
      </c>
      <c r="T170">
        <v>0</v>
      </c>
      <c r="U170">
        <v>0.17526109660574396</v>
      </c>
      <c r="V170">
        <v>0</v>
      </c>
      <c r="W170">
        <v>0.18566656427584127</v>
      </c>
      <c r="X170">
        <v>0</v>
      </c>
      <c r="Y170">
        <v>0.63907233911841477</v>
      </c>
      <c r="Z170">
        <v>0</v>
      </c>
      <c r="AA170">
        <v>0</v>
      </c>
      <c r="AB170">
        <v>0</v>
      </c>
      <c r="AC170">
        <v>0</v>
      </c>
      <c r="AD170">
        <v>0</v>
      </c>
      <c r="AE170" t="s">
        <v>166</v>
      </c>
      <c r="AF170">
        <v>10</v>
      </c>
      <c r="AG170" t="s">
        <v>170</v>
      </c>
      <c r="AH170">
        <v>1</v>
      </c>
      <c r="AI170">
        <v>45572</v>
      </c>
      <c r="AJ170" t="s">
        <v>168</v>
      </c>
    </row>
    <row r="171" spans="1:36" x14ac:dyDescent="0.25">
      <c r="A171" s="1">
        <v>45572</v>
      </c>
      <c r="B171" t="s">
        <v>13</v>
      </c>
      <c r="C171" t="s">
        <v>11</v>
      </c>
      <c r="D171">
        <v>1</v>
      </c>
      <c r="E171">
        <v>0</v>
      </c>
      <c r="F171">
        <v>0</v>
      </c>
      <c r="G171">
        <v>1.2607763753274592</v>
      </c>
      <c r="H171">
        <v>0</v>
      </c>
      <c r="I171">
        <v>0</v>
      </c>
      <c r="J171">
        <v>1.2607763753274592</v>
      </c>
      <c r="K171">
        <v>0.26077637532745923</v>
      </c>
      <c r="L171">
        <v>0</v>
      </c>
      <c r="M171">
        <v>0</v>
      </c>
      <c r="N171">
        <v>0</v>
      </c>
      <c r="O171">
        <v>0</v>
      </c>
      <c r="P171">
        <v>0</v>
      </c>
      <c r="Q171">
        <v>0</v>
      </c>
      <c r="R171">
        <v>0</v>
      </c>
      <c r="S171">
        <v>0</v>
      </c>
      <c r="T171">
        <v>0</v>
      </c>
      <c r="U171">
        <v>0</v>
      </c>
      <c r="V171">
        <v>0</v>
      </c>
      <c r="W171">
        <v>0</v>
      </c>
      <c r="X171">
        <v>0</v>
      </c>
      <c r="Y171">
        <v>0</v>
      </c>
      <c r="Z171">
        <v>0</v>
      </c>
      <c r="AA171">
        <v>0</v>
      </c>
      <c r="AB171">
        <v>0</v>
      </c>
      <c r="AC171">
        <v>1</v>
      </c>
      <c r="AD171">
        <v>0</v>
      </c>
      <c r="AE171" t="s">
        <v>166</v>
      </c>
      <c r="AF171">
        <v>10</v>
      </c>
      <c r="AG171" t="s">
        <v>167</v>
      </c>
      <c r="AH171">
        <v>1</v>
      </c>
      <c r="AI171">
        <v>45572</v>
      </c>
      <c r="AJ171" t="s">
        <v>168</v>
      </c>
    </row>
    <row r="172" spans="1:36" x14ac:dyDescent="0.25">
      <c r="A172" s="1">
        <v>45572</v>
      </c>
      <c r="B172" t="s">
        <v>13</v>
      </c>
      <c r="C172" t="s">
        <v>12</v>
      </c>
      <c r="D172">
        <v>2.8796992481203003</v>
      </c>
      <c r="E172">
        <v>3.8</v>
      </c>
      <c r="F172">
        <v>3.8</v>
      </c>
      <c r="G172">
        <v>3.4077079107505077</v>
      </c>
      <c r="H172">
        <v>1.3195822454308095</v>
      </c>
      <c r="I172">
        <v>1.3195822454308095</v>
      </c>
      <c r="J172">
        <v>1.183355488589602</v>
      </c>
      <c r="K172">
        <v>0</v>
      </c>
      <c r="L172">
        <v>0</v>
      </c>
      <c r="M172">
        <v>6.9582245430809486E-2</v>
      </c>
      <c r="N172">
        <v>0</v>
      </c>
      <c r="O172">
        <v>0</v>
      </c>
      <c r="P172">
        <v>0</v>
      </c>
      <c r="Q172">
        <v>0.18335548858960204</v>
      </c>
      <c r="R172">
        <v>0</v>
      </c>
      <c r="S172">
        <v>6.6644511410397955E-2</v>
      </c>
      <c r="T172">
        <v>0</v>
      </c>
      <c r="U172">
        <v>0</v>
      </c>
      <c r="V172">
        <v>0</v>
      </c>
      <c r="W172">
        <v>0</v>
      </c>
      <c r="X172">
        <v>0</v>
      </c>
      <c r="Y172">
        <v>1</v>
      </c>
      <c r="Z172">
        <v>0</v>
      </c>
      <c r="AA172">
        <v>0</v>
      </c>
      <c r="AB172">
        <v>0</v>
      </c>
      <c r="AC172">
        <v>0</v>
      </c>
      <c r="AD172">
        <v>0</v>
      </c>
      <c r="AE172" t="s">
        <v>166</v>
      </c>
      <c r="AF172">
        <v>10</v>
      </c>
      <c r="AG172" t="s">
        <v>169</v>
      </c>
      <c r="AH172">
        <v>1</v>
      </c>
      <c r="AI172">
        <v>45572</v>
      </c>
      <c r="AJ172" t="s">
        <v>168</v>
      </c>
    </row>
    <row r="173" spans="1:36" x14ac:dyDescent="0.25">
      <c r="A173" s="1">
        <v>45572</v>
      </c>
      <c r="B173" t="s">
        <v>13</v>
      </c>
      <c r="C173" t="s">
        <v>10</v>
      </c>
      <c r="D173">
        <v>6.8471096572600336</v>
      </c>
      <c r="E173">
        <v>3.8</v>
      </c>
      <c r="F173">
        <v>3.8</v>
      </c>
      <c r="G173">
        <v>3.75</v>
      </c>
      <c r="H173">
        <v>0.55497869761306307</v>
      </c>
      <c r="I173">
        <v>0.55497869761306307</v>
      </c>
      <c r="J173">
        <v>0.54767634632868067</v>
      </c>
      <c r="K173">
        <v>0</v>
      </c>
      <c r="L173">
        <v>0</v>
      </c>
      <c r="M173">
        <v>0</v>
      </c>
      <c r="N173">
        <v>0</v>
      </c>
      <c r="O173">
        <v>0</v>
      </c>
      <c r="P173">
        <v>0</v>
      </c>
      <c r="Q173">
        <v>0</v>
      </c>
      <c r="R173">
        <v>0</v>
      </c>
      <c r="S173">
        <v>0</v>
      </c>
      <c r="T173">
        <v>0</v>
      </c>
      <c r="U173">
        <v>0.44502130238693693</v>
      </c>
      <c r="V173">
        <v>0</v>
      </c>
      <c r="W173">
        <v>7.3023512843823912E-3</v>
      </c>
      <c r="X173">
        <v>0</v>
      </c>
      <c r="Y173">
        <v>0.54767634632868067</v>
      </c>
      <c r="Z173">
        <v>0</v>
      </c>
      <c r="AA173">
        <v>0</v>
      </c>
      <c r="AB173">
        <v>0</v>
      </c>
      <c r="AC173">
        <v>0</v>
      </c>
      <c r="AD173">
        <v>0</v>
      </c>
      <c r="AE173" t="s">
        <v>212</v>
      </c>
      <c r="AF173">
        <v>10</v>
      </c>
      <c r="AG173" t="s">
        <v>170</v>
      </c>
      <c r="AI173">
        <v>45572</v>
      </c>
      <c r="AJ173" t="s">
        <v>168</v>
      </c>
    </row>
    <row r="174" spans="1:36" x14ac:dyDescent="0.25">
      <c r="A174" s="1">
        <v>45572</v>
      </c>
      <c r="B174" t="s">
        <v>13</v>
      </c>
      <c r="C174" t="s">
        <v>11</v>
      </c>
      <c r="D174">
        <v>0.84615384615384603</v>
      </c>
      <c r="E174">
        <v>1.9</v>
      </c>
      <c r="F174">
        <v>1.9</v>
      </c>
      <c r="G174">
        <v>1.9962624345926052</v>
      </c>
      <c r="H174">
        <v>2.2454545454545456</v>
      </c>
      <c r="I174">
        <v>2.2454545454545456</v>
      </c>
      <c r="J174">
        <v>2.3592192408821702</v>
      </c>
      <c r="K174">
        <v>0.11376469542762457</v>
      </c>
      <c r="L174">
        <v>0</v>
      </c>
      <c r="M174">
        <v>0</v>
      </c>
      <c r="N174">
        <v>0</v>
      </c>
      <c r="O174">
        <v>0.99545454545454559</v>
      </c>
      <c r="P174">
        <v>0</v>
      </c>
      <c r="Q174">
        <v>0.25</v>
      </c>
      <c r="R174">
        <v>0</v>
      </c>
      <c r="S174">
        <v>0</v>
      </c>
      <c r="T174">
        <v>0</v>
      </c>
      <c r="U174">
        <v>0</v>
      </c>
      <c r="V174">
        <v>0</v>
      </c>
      <c r="W174">
        <v>0</v>
      </c>
      <c r="X174">
        <v>0</v>
      </c>
      <c r="Y174">
        <v>1</v>
      </c>
      <c r="Z174">
        <v>0</v>
      </c>
      <c r="AA174">
        <v>0</v>
      </c>
      <c r="AB174">
        <v>0</v>
      </c>
      <c r="AC174">
        <v>0</v>
      </c>
      <c r="AD174">
        <v>0</v>
      </c>
      <c r="AE174" t="s">
        <v>212</v>
      </c>
      <c r="AF174">
        <v>10</v>
      </c>
      <c r="AG174" t="s">
        <v>167</v>
      </c>
      <c r="AI174">
        <v>45572</v>
      </c>
      <c r="AJ174" t="s">
        <v>168</v>
      </c>
    </row>
    <row r="175" spans="1:36" x14ac:dyDescent="0.25">
      <c r="A175" s="1">
        <v>45572</v>
      </c>
      <c r="B175" t="s">
        <v>13</v>
      </c>
      <c r="C175" t="s">
        <v>12</v>
      </c>
      <c r="D175">
        <v>2.5351191458269504</v>
      </c>
      <c r="E175">
        <v>3.8</v>
      </c>
      <c r="F175">
        <v>3.8</v>
      </c>
      <c r="G175">
        <v>3.9012420217353809</v>
      </c>
      <c r="H175">
        <v>1.498943355879413</v>
      </c>
      <c r="I175">
        <v>1.498943355879413</v>
      </c>
      <c r="J175">
        <v>1.538879160041531</v>
      </c>
      <c r="K175">
        <v>3.993580416211806E-2</v>
      </c>
      <c r="L175">
        <v>0</v>
      </c>
      <c r="M175">
        <v>0</v>
      </c>
      <c r="N175">
        <v>0</v>
      </c>
      <c r="O175">
        <v>0.24894335587941296</v>
      </c>
      <c r="P175">
        <v>0</v>
      </c>
      <c r="Q175">
        <v>0.25</v>
      </c>
      <c r="R175">
        <v>0</v>
      </c>
      <c r="S175">
        <v>0</v>
      </c>
      <c r="T175">
        <v>0</v>
      </c>
      <c r="U175">
        <v>0</v>
      </c>
      <c r="V175">
        <v>0</v>
      </c>
      <c r="W175">
        <v>0</v>
      </c>
      <c r="X175">
        <v>0</v>
      </c>
      <c r="Y175">
        <v>1</v>
      </c>
      <c r="Z175">
        <v>0</v>
      </c>
      <c r="AA175">
        <v>0</v>
      </c>
      <c r="AB175">
        <v>0</v>
      </c>
      <c r="AC175">
        <v>0</v>
      </c>
      <c r="AD175">
        <v>0</v>
      </c>
      <c r="AE175" t="s">
        <v>212</v>
      </c>
      <c r="AF175">
        <v>10</v>
      </c>
      <c r="AG175" t="s">
        <v>169</v>
      </c>
      <c r="AI175">
        <v>45572</v>
      </c>
      <c r="AJ175" t="s">
        <v>168</v>
      </c>
    </row>
    <row r="176" spans="1:36" x14ac:dyDescent="0.25">
      <c r="A176" s="1">
        <v>45573</v>
      </c>
      <c r="B176" t="s">
        <v>13</v>
      </c>
      <c r="C176" t="s">
        <v>10</v>
      </c>
      <c r="D176">
        <v>5.7593984962406006</v>
      </c>
      <c r="E176">
        <v>3.8</v>
      </c>
      <c r="F176">
        <v>3.8</v>
      </c>
      <c r="G176">
        <v>3.5676377851649996</v>
      </c>
      <c r="H176">
        <v>0.65979112271540474</v>
      </c>
      <c r="I176">
        <v>0.65979112271540474</v>
      </c>
      <c r="J176">
        <v>0.61944624729366193</v>
      </c>
      <c r="K176">
        <v>0</v>
      </c>
      <c r="L176">
        <v>0</v>
      </c>
      <c r="M176">
        <v>0</v>
      </c>
      <c r="N176">
        <v>0</v>
      </c>
      <c r="O176">
        <v>0</v>
      </c>
      <c r="P176">
        <v>0</v>
      </c>
      <c r="Q176">
        <v>0</v>
      </c>
      <c r="R176">
        <v>0</v>
      </c>
      <c r="S176">
        <v>0</v>
      </c>
      <c r="T176">
        <v>0</v>
      </c>
      <c r="U176">
        <v>0.34020887728459526</v>
      </c>
      <c r="V176">
        <v>0</v>
      </c>
      <c r="W176">
        <v>4.034487542174281E-2</v>
      </c>
      <c r="X176">
        <v>0</v>
      </c>
      <c r="Y176">
        <v>0.61944624729366193</v>
      </c>
      <c r="Z176">
        <v>0</v>
      </c>
      <c r="AA176">
        <v>0</v>
      </c>
      <c r="AB176">
        <v>0</v>
      </c>
      <c r="AC176">
        <v>0</v>
      </c>
      <c r="AD176">
        <v>0</v>
      </c>
      <c r="AE176" t="s">
        <v>166</v>
      </c>
      <c r="AF176">
        <v>10</v>
      </c>
      <c r="AG176" t="s">
        <v>173</v>
      </c>
      <c r="AH176">
        <v>1</v>
      </c>
      <c r="AI176">
        <v>45573</v>
      </c>
      <c r="AJ176" t="s">
        <v>168</v>
      </c>
    </row>
    <row r="177" spans="1:36" x14ac:dyDescent="0.25">
      <c r="A177" s="1">
        <v>45573</v>
      </c>
      <c r="B177" t="s">
        <v>13</v>
      </c>
      <c r="C177" t="s">
        <v>12</v>
      </c>
      <c r="D177">
        <v>2.8796992481203003</v>
      </c>
      <c r="E177">
        <v>2.8499999999999996</v>
      </c>
      <c r="F177">
        <v>2.8499999999999996</v>
      </c>
      <c r="G177">
        <v>3.205666426748675</v>
      </c>
      <c r="H177">
        <v>0.98968668407310711</v>
      </c>
      <c r="I177">
        <v>0.98968668407310711</v>
      </c>
      <c r="J177">
        <v>1.1131948688187305</v>
      </c>
      <c r="K177">
        <v>0.11319486881873053</v>
      </c>
      <c r="L177">
        <v>0</v>
      </c>
      <c r="M177">
        <v>0</v>
      </c>
      <c r="N177">
        <v>0</v>
      </c>
      <c r="O177">
        <v>0</v>
      </c>
      <c r="P177">
        <v>0</v>
      </c>
      <c r="Q177">
        <v>0</v>
      </c>
      <c r="R177">
        <v>0</v>
      </c>
      <c r="S177">
        <v>0</v>
      </c>
      <c r="T177">
        <v>1.0313315926892885E-2</v>
      </c>
      <c r="U177">
        <v>0</v>
      </c>
      <c r="V177">
        <v>0</v>
      </c>
      <c r="W177">
        <v>0</v>
      </c>
      <c r="X177">
        <v>0</v>
      </c>
      <c r="Y177">
        <v>0.98968668407310711</v>
      </c>
      <c r="Z177">
        <v>0</v>
      </c>
      <c r="AA177">
        <v>0</v>
      </c>
      <c r="AB177">
        <v>0</v>
      </c>
      <c r="AC177">
        <v>0</v>
      </c>
      <c r="AD177">
        <v>0</v>
      </c>
      <c r="AE177" t="s">
        <v>166</v>
      </c>
      <c r="AF177">
        <v>10</v>
      </c>
      <c r="AG177" t="s">
        <v>172</v>
      </c>
      <c r="AH177">
        <v>1</v>
      </c>
      <c r="AI177">
        <v>45573</v>
      </c>
      <c r="AJ177" t="s">
        <v>168</v>
      </c>
    </row>
    <row r="178" spans="1:36" x14ac:dyDescent="0.25">
      <c r="A178" s="1">
        <v>45573</v>
      </c>
      <c r="B178" t="s">
        <v>13</v>
      </c>
      <c r="C178" t="s">
        <v>11</v>
      </c>
      <c r="D178">
        <v>1</v>
      </c>
      <c r="E178">
        <v>0</v>
      </c>
      <c r="F178">
        <v>0</v>
      </c>
      <c r="G178">
        <v>1.3112611297620786</v>
      </c>
      <c r="H178">
        <v>0</v>
      </c>
      <c r="I178">
        <v>0</v>
      </c>
      <c r="J178">
        <v>1.3112611297620786</v>
      </c>
      <c r="K178">
        <v>0.31126112976207865</v>
      </c>
      <c r="L178">
        <v>0</v>
      </c>
      <c r="M178">
        <v>0</v>
      </c>
      <c r="N178">
        <v>0</v>
      </c>
      <c r="O178">
        <v>0</v>
      </c>
      <c r="P178">
        <v>0</v>
      </c>
      <c r="Q178">
        <v>0</v>
      </c>
      <c r="R178">
        <v>0</v>
      </c>
      <c r="S178">
        <v>0</v>
      </c>
      <c r="T178">
        <v>0</v>
      </c>
      <c r="U178">
        <v>0</v>
      </c>
      <c r="V178">
        <v>0</v>
      </c>
      <c r="W178">
        <v>0</v>
      </c>
      <c r="X178">
        <v>0</v>
      </c>
      <c r="Y178">
        <v>0</v>
      </c>
      <c r="Z178">
        <v>0</v>
      </c>
      <c r="AA178">
        <v>0</v>
      </c>
      <c r="AB178">
        <v>0</v>
      </c>
      <c r="AC178">
        <v>1</v>
      </c>
      <c r="AD178">
        <v>0</v>
      </c>
      <c r="AE178" t="s">
        <v>166</v>
      </c>
      <c r="AF178">
        <v>10</v>
      </c>
      <c r="AG178" t="s">
        <v>171</v>
      </c>
      <c r="AH178">
        <v>1</v>
      </c>
      <c r="AI178">
        <v>45573</v>
      </c>
      <c r="AJ178" t="s">
        <v>168</v>
      </c>
    </row>
    <row r="179" spans="1:36" x14ac:dyDescent="0.25">
      <c r="A179" s="1">
        <v>45573</v>
      </c>
      <c r="B179" t="s">
        <v>13</v>
      </c>
      <c r="C179" t="s">
        <v>10</v>
      </c>
      <c r="D179">
        <v>6.8471096572600336</v>
      </c>
      <c r="E179">
        <v>3.8</v>
      </c>
      <c r="F179">
        <v>3.8</v>
      </c>
      <c r="G179">
        <v>2.8752450980392155</v>
      </c>
      <c r="H179">
        <v>0.55497869761306307</v>
      </c>
      <c r="I179">
        <v>0.55497869761306307</v>
      </c>
      <c r="J179">
        <v>0.41992099469161781</v>
      </c>
      <c r="K179">
        <v>0</v>
      </c>
      <c r="L179">
        <v>0</v>
      </c>
      <c r="M179">
        <v>0</v>
      </c>
      <c r="N179">
        <v>0</v>
      </c>
      <c r="O179">
        <v>0</v>
      </c>
      <c r="P179">
        <v>0</v>
      </c>
      <c r="Q179">
        <v>0</v>
      </c>
      <c r="R179">
        <v>0</v>
      </c>
      <c r="S179">
        <v>0</v>
      </c>
      <c r="T179">
        <v>0</v>
      </c>
      <c r="U179">
        <v>0.44502130238693693</v>
      </c>
      <c r="V179">
        <v>0</v>
      </c>
      <c r="W179">
        <v>0.13505770292144526</v>
      </c>
      <c r="X179">
        <v>0</v>
      </c>
      <c r="Y179">
        <v>0.41992099469161781</v>
      </c>
      <c r="Z179">
        <v>0</v>
      </c>
      <c r="AA179">
        <v>0</v>
      </c>
      <c r="AB179">
        <v>0</v>
      </c>
      <c r="AC179">
        <v>0</v>
      </c>
      <c r="AD179">
        <v>0</v>
      </c>
      <c r="AE179" t="s">
        <v>212</v>
      </c>
      <c r="AF179">
        <v>10</v>
      </c>
      <c r="AG179" t="s">
        <v>173</v>
      </c>
      <c r="AI179">
        <v>45573</v>
      </c>
      <c r="AJ179" t="s">
        <v>168</v>
      </c>
    </row>
    <row r="180" spans="1:36" x14ac:dyDescent="0.25">
      <c r="A180" s="1">
        <v>45573</v>
      </c>
      <c r="B180" t="s">
        <v>13</v>
      </c>
      <c r="C180" t="s">
        <v>12</v>
      </c>
      <c r="D180">
        <v>2.5351191458269504</v>
      </c>
      <c r="E180">
        <v>3.8</v>
      </c>
      <c r="F180">
        <v>3.8</v>
      </c>
      <c r="G180">
        <v>3.9351604278074865</v>
      </c>
      <c r="H180">
        <v>1.498943355879413</v>
      </c>
      <c r="I180">
        <v>1.498943355879413</v>
      </c>
      <c r="J180">
        <v>1.5522585730477949</v>
      </c>
      <c r="K180">
        <v>5.3315217168381945E-2</v>
      </c>
      <c r="L180">
        <v>0</v>
      </c>
      <c r="M180">
        <v>0</v>
      </c>
      <c r="N180">
        <v>0</v>
      </c>
      <c r="O180">
        <v>0.24894335587941296</v>
      </c>
      <c r="P180">
        <v>0</v>
      </c>
      <c r="Q180">
        <v>0.25</v>
      </c>
      <c r="R180">
        <v>0</v>
      </c>
      <c r="S180">
        <v>0</v>
      </c>
      <c r="T180">
        <v>0</v>
      </c>
      <c r="U180">
        <v>0</v>
      </c>
      <c r="V180">
        <v>0</v>
      </c>
      <c r="W180">
        <v>0</v>
      </c>
      <c r="X180">
        <v>0</v>
      </c>
      <c r="Y180">
        <v>1</v>
      </c>
      <c r="Z180">
        <v>0</v>
      </c>
      <c r="AA180">
        <v>0</v>
      </c>
      <c r="AB180">
        <v>0</v>
      </c>
      <c r="AC180">
        <v>0</v>
      </c>
      <c r="AD180">
        <v>0</v>
      </c>
      <c r="AE180" t="s">
        <v>212</v>
      </c>
      <c r="AF180">
        <v>10</v>
      </c>
      <c r="AG180" t="s">
        <v>172</v>
      </c>
      <c r="AI180">
        <v>45573</v>
      </c>
      <c r="AJ180" t="s">
        <v>168</v>
      </c>
    </row>
    <row r="181" spans="1:36" x14ac:dyDescent="0.25">
      <c r="A181" s="1">
        <v>45573</v>
      </c>
      <c r="B181" t="s">
        <v>13</v>
      </c>
      <c r="C181" t="s">
        <v>11</v>
      </c>
      <c r="D181">
        <v>0.84615384615384603</v>
      </c>
      <c r="E181">
        <v>1.9</v>
      </c>
      <c r="F181">
        <v>1.9</v>
      </c>
      <c r="G181">
        <v>1.9964349376114079</v>
      </c>
      <c r="H181">
        <v>2.2454545454545456</v>
      </c>
      <c r="I181">
        <v>2.2454545454545456</v>
      </c>
      <c r="J181">
        <v>2.3594231080862098</v>
      </c>
      <c r="K181">
        <v>0.11396856263166422</v>
      </c>
      <c r="L181">
        <v>0</v>
      </c>
      <c r="M181">
        <v>0</v>
      </c>
      <c r="N181">
        <v>0</v>
      </c>
      <c r="O181">
        <v>0.99545454545454559</v>
      </c>
      <c r="P181">
        <v>0</v>
      </c>
      <c r="Q181">
        <v>0.25</v>
      </c>
      <c r="R181">
        <v>0</v>
      </c>
      <c r="S181">
        <v>0</v>
      </c>
      <c r="T181">
        <v>0</v>
      </c>
      <c r="U181">
        <v>0</v>
      </c>
      <c r="V181">
        <v>0</v>
      </c>
      <c r="W181">
        <v>0</v>
      </c>
      <c r="X181">
        <v>0</v>
      </c>
      <c r="Y181">
        <v>1</v>
      </c>
      <c r="Z181">
        <v>0</v>
      </c>
      <c r="AA181">
        <v>0</v>
      </c>
      <c r="AB181">
        <v>0</v>
      </c>
      <c r="AC181">
        <v>0</v>
      </c>
      <c r="AD181">
        <v>0</v>
      </c>
      <c r="AE181" t="s">
        <v>212</v>
      </c>
      <c r="AF181">
        <v>10</v>
      </c>
      <c r="AG181" t="s">
        <v>171</v>
      </c>
      <c r="AI181">
        <v>45573</v>
      </c>
      <c r="AJ181" t="s">
        <v>168</v>
      </c>
    </row>
    <row r="182" spans="1:36" x14ac:dyDescent="0.25">
      <c r="A182" s="1">
        <v>45574</v>
      </c>
      <c r="B182" t="s">
        <v>13</v>
      </c>
      <c r="C182" t="s">
        <v>10</v>
      </c>
      <c r="D182">
        <v>5.7593984962406006</v>
      </c>
      <c r="E182">
        <v>3.8</v>
      </c>
      <c r="F182">
        <v>3.8</v>
      </c>
      <c r="G182">
        <v>3.6431722689075623</v>
      </c>
      <c r="H182">
        <v>0.65979112271540474</v>
      </c>
      <c r="I182">
        <v>0.65979112271540474</v>
      </c>
      <c r="J182">
        <v>0.63256124251267087</v>
      </c>
      <c r="K182">
        <v>0</v>
      </c>
      <c r="L182">
        <v>0</v>
      </c>
      <c r="M182">
        <v>0</v>
      </c>
      <c r="N182">
        <v>0</v>
      </c>
      <c r="O182">
        <v>0</v>
      </c>
      <c r="P182">
        <v>0</v>
      </c>
      <c r="Q182">
        <v>0</v>
      </c>
      <c r="R182">
        <v>0</v>
      </c>
      <c r="S182">
        <v>0</v>
      </c>
      <c r="T182">
        <v>0</v>
      </c>
      <c r="U182">
        <v>0.34020887728459526</v>
      </c>
      <c r="V182">
        <v>0</v>
      </c>
      <c r="W182">
        <v>2.7229880202733869E-2</v>
      </c>
      <c r="X182">
        <v>0</v>
      </c>
      <c r="Y182">
        <v>0.63256124251267087</v>
      </c>
      <c r="Z182">
        <v>0</v>
      </c>
      <c r="AA182">
        <v>0</v>
      </c>
      <c r="AB182">
        <v>0</v>
      </c>
      <c r="AC182">
        <v>0</v>
      </c>
      <c r="AD182">
        <v>0</v>
      </c>
      <c r="AE182" t="s">
        <v>166</v>
      </c>
      <c r="AF182">
        <v>10</v>
      </c>
      <c r="AG182" t="s">
        <v>175</v>
      </c>
      <c r="AH182">
        <v>1</v>
      </c>
      <c r="AI182">
        <v>45574</v>
      </c>
      <c r="AJ182" t="s">
        <v>168</v>
      </c>
    </row>
    <row r="183" spans="1:36" x14ac:dyDescent="0.25">
      <c r="A183" s="1">
        <v>45574</v>
      </c>
      <c r="B183" t="s">
        <v>13</v>
      </c>
      <c r="C183" t="s">
        <v>11</v>
      </c>
      <c r="D183">
        <v>1</v>
      </c>
      <c r="E183">
        <v>0</v>
      </c>
      <c r="F183">
        <v>0</v>
      </c>
      <c r="G183">
        <v>1.1913273001508298</v>
      </c>
      <c r="H183">
        <v>0</v>
      </c>
      <c r="I183">
        <v>0</v>
      </c>
      <c r="J183">
        <v>1.1913273001508298</v>
      </c>
      <c r="K183">
        <v>0.19132730015082977</v>
      </c>
      <c r="L183">
        <v>0</v>
      </c>
      <c r="M183">
        <v>0</v>
      </c>
      <c r="N183">
        <v>0</v>
      </c>
      <c r="O183">
        <v>0</v>
      </c>
      <c r="P183">
        <v>0</v>
      </c>
      <c r="Q183">
        <v>0</v>
      </c>
      <c r="R183">
        <v>0</v>
      </c>
      <c r="S183">
        <v>0</v>
      </c>
      <c r="T183">
        <v>0</v>
      </c>
      <c r="U183">
        <v>0</v>
      </c>
      <c r="V183">
        <v>0</v>
      </c>
      <c r="W183">
        <v>0</v>
      </c>
      <c r="X183">
        <v>0</v>
      </c>
      <c r="Y183">
        <v>0</v>
      </c>
      <c r="Z183">
        <v>0</v>
      </c>
      <c r="AA183">
        <v>0</v>
      </c>
      <c r="AB183">
        <v>0</v>
      </c>
      <c r="AC183">
        <v>1</v>
      </c>
      <c r="AD183">
        <v>0</v>
      </c>
      <c r="AE183" t="s">
        <v>166</v>
      </c>
      <c r="AF183">
        <v>10</v>
      </c>
      <c r="AG183" t="s">
        <v>176</v>
      </c>
      <c r="AH183">
        <v>1</v>
      </c>
      <c r="AI183">
        <v>45574</v>
      </c>
      <c r="AJ183" t="s">
        <v>168</v>
      </c>
    </row>
    <row r="184" spans="1:36" x14ac:dyDescent="0.25">
      <c r="A184" s="1">
        <v>45574</v>
      </c>
      <c r="B184" t="s">
        <v>13</v>
      </c>
      <c r="C184" t="s">
        <v>12</v>
      </c>
      <c r="D184">
        <v>2.8796992481203008</v>
      </c>
      <c r="E184">
        <v>4.75</v>
      </c>
      <c r="F184">
        <v>4.75</v>
      </c>
      <c r="G184">
        <v>2.4665314401622722</v>
      </c>
      <c r="H184">
        <v>1.6494778067885116</v>
      </c>
      <c r="I184">
        <v>1.6494778067885116</v>
      </c>
      <c r="J184">
        <v>0.85652397269342617</v>
      </c>
      <c r="K184">
        <v>0</v>
      </c>
      <c r="L184">
        <v>0</v>
      </c>
      <c r="M184">
        <v>0.39947780678851164</v>
      </c>
      <c r="N184">
        <v>0</v>
      </c>
      <c r="O184">
        <v>0</v>
      </c>
      <c r="P184">
        <v>0</v>
      </c>
      <c r="Q184">
        <v>0</v>
      </c>
      <c r="R184">
        <v>0</v>
      </c>
      <c r="S184">
        <v>0.25</v>
      </c>
      <c r="T184">
        <v>0</v>
      </c>
      <c r="U184">
        <v>0</v>
      </c>
      <c r="V184">
        <v>0</v>
      </c>
      <c r="W184">
        <v>0.14347602730657383</v>
      </c>
      <c r="X184">
        <v>0</v>
      </c>
      <c r="Y184">
        <v>0.85652397269342617</v>
      </c>
      <c r="Z184">
        <v>0</v>
      </c>
      <c r="AA184">
        <v>0</v>
      </c>
      <c r="AB184">
        <v>0</v>
      </c>
      <c r="AC184">
        <v>0</v>
      </c>
      <c r="AD184">
        <v>0</v>
      </c>
      <c r="AE184" t="s">
        <v>166</v>
      </c>
      <c r="AF184">
        <v>10</v>
      </c>
      <c r="AG184" t="s">
        <v>174</v>
      </c>
      <c r="AH184">
        <v>1</v>
      </c>
      <c r="AI184">
        <v>45574</v>
      </c>
      <c r="AJ184" t="s">
        <v>168</v>
      </c>
    </row>
    <row r="185" spans="1:36" x14ac:dyDescent="0.25">
      <c r="A185" s="1">
        <v>45574</v>
      </c>
      <c r="B185" t="s">
        <v>13</v>
      </c>
      <c r="C185" t="s">
        <v>10</v>
      </c>
      <c r="D185">
        <v>6.8471096572600336</v>
      </c>
      <c r="E185">
        <v>2.8499999999999996</v>
      </c>
      <c r="F185">
        <v>2.8499999999999996</v>
      </c>
      <c r="G185">
        <v>2.8752450980392155</v>
      </c>
      <c r="H185">
        <v>0.41623402320979724</v>
      </c>
      <c r="I185">
        <v>0.41623402320979724</v>
      </c>
      <c r="J185">
        <v>0.41992099469161781</v>
      </c>
      <c r="K185">
        <v>0</v>
      </c>
      <c r="L185">
        <v>0</v>
      </c>
      <c r="M185">
        <v>0</v>
      </c>
      <c r="N185">
        <v>0</v>
      </c>
      <c r="O185">
        <v>0</v>
      </c>
      <c r="P185">
        <v>0</v>
      </c>
      <c r="Q185">
        <v>0</v>
      </c>
      <c r="R185">
        <v>0</v>
      </c>
      <c r="S185">
        <v>0</v>
      </c>
      <c r="T185">
        <v>3.6869714818205668E-3</v>
      </c>
      <c r="U185">
        <v>0.58007900530838219</v>
      </c>
      <c r="V185">
        <v>0</v>
      </c>
      <c r="W185">
        <v>0</v>
      </c>
      <c r="X185">
        <v>0</v>
      </c>
      <c r="Y185">
        <v>0.41623402320979724</v>
      </c>
      <c r="Z185">
        <v>0</v>
      </c>
      <c r="AA185">
        <v>0</v>
      </c>
      <c r="AB185">
        <v>0</v>
      </c>
      <c r="AC185">
        <v>0</v>
      </c>
      <c r="AD185">
        <v>0</v>
      </c>
      <c r="AE185" t="s">
        <v>212</v>
      </c>
      <c r="AF185">
        <v>10</v>
      </c>
      <c r="AG185" t="s">
        <v>175</v>
      </c>
      <c r="AI185">
        <v>45574</v>
      </c>
      <c r="AJ185" t="s">
        <v>168</v>
      </c>
    </row>
    <row r="186" spans="1:36" x14ac:dyDescent="0.25">
      <c r="A186" s="1">
        <v>45574</v>
      </c>
      <c r="B186" t="s">
        <v>13</v>
      </c>
      <c r="C186" t="s">
        <v>11</v>
      </c>
      <c r="D186">
        <v>0.84615384615384603</v>
      </c>
      <c r="E186">
        <v>1.9</v>
      </c>
      <c r="F186">
        <v>1.9</v>
      </c>
      <c r="G186">
        <v>1.9964349376114079</v>
      </c>
      <c r="H186">
        <v>2.2454545454545456</v>
      </c>
      <c r="I186">
        <v>2.2454545454545456</v>
      </c>
      <c r="J186">
        <v>2.3594231080862098</v>
      </c>
      <c r="K186">
        <v>0.11396856263166422</v>
      </c>
      <c r="L186">
        <v>0</v>
      </c>
      <c r="M186">
        <v>0</v>
      </c>
      <c r="N186">
        <v>0</v>
      </c>
      <c r="O186">
        <v>0.99545454545454559</v>
      </c>
      <c r="P186">
        <v>0</v>
      </c>
      <c r="Q186">
        <v>0.25</v>
      </c>
      <c r="R186">
        <v>0</v>
      </c>
      <c r="S186">
        <v>0</v>
      </c>
      <c r="T186">
        <v>0</v>
      </c>
      <c r="U186">
        <v>0</v>
      </c>
      <c r="V186">
        <v>0</v>
      </c>
      <c r="W186">
        <v>0</v>
      </c>
      <c r="X186">
        <v>0</v>
      </c>
      <c r="Y186">
        <v>1</v>
      </c>
      <c r="Z186">
        <v>0</v>
      </c>
      <c r="AA186">
        <v>0</v>
      </c>
      <c r="AB186">
        <v>0</v>
      </c>
      <c r="AC186">
        <v>0</v>
      </c>
      <c r="AD186">
        <v>0</v>
      </c>
      <c r="AE186" t="s">
        <v>212</v>
      </c>
      <c r="AF186">
        <v>10</v>
      </c>
      <c r="AG186" t="s">
        <v>176</v>
      </c>
      <c r="AI186">
        <v>45574</v>
      </c>
      <c r="AJ186" t="s">
        <v>168</v>
      </c>
    </row>
    <row r="187" spans="1:36" x14ac:dyDescent="0.25">
      <c r="A187" s="1">
        <v>45574</v>
      </c>
      <c r="B187" t="s">
        <v>13</v>
      </c>
      <c r="C187" t="s">
        <v>12</v>
      </c>
      <c r="D187">
        <v>2.5351191458269504</v>
      </c>
      <c r="E187">
        <v>2.8499999999999996</v>
      </c>
      <c r="F187">
        <v>2.8499999999999996</v>
      </c>
      <c r="G187">
        <v>3.9351604278074865</v>
      </c>
      <c r="H187">
        <v>1.1242075169095596</v>
      </c>
      <c r="I187">
        <v>1.1242075169095596</v>
      </c>
      <c r="J187">
        <v>1.5522585730477949</v>
      </c>
      <c r="K187">
        <v>0.42805105613823535</v>
      </c>
      <c r="L187">
        <v>0</v>
      </c>
      <c r="M187">
        <v>0</v>
      </c>
      <c r="N187">
        <v>0</v>
      </c>
      <c r="O187">
        <v>0</v>
      </c>
      <c r="P187">
        <v>0.12579248309044044</v>
      </c>
      <c r="Q187">
        <v>0.12420751690955956</v>
      </c>
      <c r="R187">
        <v>0</v>
      </c>
      <c r="S187">
        <v>0</v>
      </c>
      <c r="T187">
        <v>0</v>
      </c>
      <c r="U187">
        <v>0</v>
      </c>
      <c r="V187">
        <v>0</v>
      </c>
      <c r="W187">
        <v>0</v>
      </c>
      <c r="X187">
        <v>0</v>
      </c>
      <c r="Y187">
        <v>0</v>
      </c>
      <c r="Z187">
        <v>0</v>
      </c>
      <c r="AA187">
        <v>0</v>
      </c>
      <c r="AB187">
        <v>0</v>
      </c>
      <c r="AC187">
        <v>0</v>
      </c>
      <c r="AD187">
        <v>1</v>
      </c>
      <c r="AE187" t="s">
        <v>212</v>
      </c>
      <c r="AF187">
        <v>10</v>
      </c>
      <c r="AG187" t="s">
        <v>174</v>
      </c>
      <c r="AI187">
        <v>45574</v>
      </c>
      <c r="AJ187" t="s">
        <v>168</v>
      </c>
    </row>
    <row r="188" spans="1:36" x14ac:dyDescent="0.25">
      <c r="A188" s="1">
        <v>45575</v>
      </c>
      <c r="B188" t="s">
        <v>13</v>
      </c>
      <c r="C188" t="s">
        <v>10</v>
      </c>
      <c r="D188">
        <v>5.7593984962406006</v>
      </c>
      <c r="E188">
        <v>1.9</v>
      </c>
      <c r="F188">
        <v>1.9</v>
      </c>
      <c r="G188">
        <v>2.857457983193278</v>
      </c>
      <c r="H188">
        <v>0.32989556135770237</v>
      </c>
      <c r="I188">
        <v>0.32989556135770237</v>
      </c>
      <c r="J188">
        <v>0.49613826601136557</v>
      </c>
      <c r="K188">
        <v>0</v>
      </c>
      <c r="L188">
        <v>0</v>
      </c>
      <c r="M188">
        <v>0</v>
      </c>
      <c r="N188">
        <v>0</v>
      </c>
      <c r="O188">
        <v>0</v>
      </c>
      <c r="P188">
        <v>0</v>
      </c>
      <c r="Q188">
        <v>0</v>
      </c>
      <c r="R188">
        <v>0</v>
      </c>
      <c r="S188">
        <v>0</v>
      </c>
      <c r="T188">
        <v>0.1662427046536632</v>
      </c>
      <c r="U188">
        <v>0.50386173398863443</v>
      </c>
      <c r="V188">
        <v>0</v>
      </c>
      <c r="W188">
        <v>0</v>
      </c>
      <c r="X188">
        <v>0</v>
      </c>
      <c r="Y188">
        <v>0.32989556135770237</v>
      </c>
      <c r="Z188">
        <v>0</v>
      </c>
      <c r="AA188">
        <v>0</v>
      </c>
      <c r="AB188">
        <v>0</v>
      </c>
      <c r="AC188">
        <v>0</v>
      </c>
      <c r="AD188">
        <v>0</v>
      </c>
      <c r="AE188" t="s">
        <v>166</v>
      </c>
      <c r="AF188">
        <v>10</v>
      </c>
      <c r="AG188" t="s">
        <v>179</v>
      </c>
      <c r="AH188">
        <v>1</v>
      </c>
      <c r="AI188">
        <v>45575</v>
      </c>
      <c r="AJ188" t="s">
        <v>168</v>
      </c>
    </row>
    <row r="189" spans="1:36" x14ac:dyDescent="0.25">
      <c r="A189" s="1">
        <v>45575</v>
      </c>
      <c r="B189" t="s">
        <v>13</v>
      </c>
      <c r="C189" t="s">
        <v>11</v>
      </c>
      <c r="D189">
        <v>1</v>
      </c>
      <c r="E189">
        <v>0</v>
      </c>
      <c r="F189">
        <v>0</v>
      </c>
      <c r="G189">
        <v>1.2607763753274592</v>
      </c>
      <c r="H189">
        <v>0</v>
      </c>
      <c r="I189">
        <v>0</v>
      </c>
      <c r="J189">
        <v>1.2607763753274592</v>
      </c>
      <c r="K189">
        <v>0.26077637532745923</v>
      </c>
      <c r="L189">
        <v>0</v>
      </c>
      <c r="M189">
        <v>0</v>
      </c>
      <c r="N189">
        <v>0</v>
      </c>
      <c r="O189">
        <v>0</v>
      </c>
      <c r="P189">
        <v>0</v>
      </c>
      <c r="Q189">
        <v>0</v>
      </c>
      <c r="R189">
        <v>0</v>
      </c>
      <c r="S189">
        <v>0</v>
      </c>
      <c r="T189">
        <v>0</v>
      </c>
      <c r="U189">
        <v>0</v>
      </c>
      <c r="V189">
        <v>0</v>
      </c>
      <c r="W189">
        <v>0</v>
      </c>
      <c r="X189">
        <v>0</v>
      </c>
      <c r="Y189">
        <v>0</v>
      </c>
      <c r="Z189">
        <v>0</v>
      </c>
      <c r="AA189">
        <v>0</v>
      </c>
      <c r="AB189">
        <v>0</v>
      </c>
      <c r="AC189">
        <v>1</v>
      </c>
      <c r="AD189">
        <v>0</v>
      </c>
      <c r="AE189" t="s">
        <v>166</v>
      </c>
      <c r="AF189">
        <v>10</v>
      </c>
      <c r="AG189" t="s">
        <v>177</v>
      </c>
      <c r="AH189">
        <v>1</v>
      </c>
      <c r="AI189">
        <v>45575</v>
      </c>
      <c r="AJ189" t="s">
        <v>168</v>
      </c>
    </row>
    <row r="190" spans="1:36" x14ac:dyDescent="0.25">
      <c r="A190" s="1">
        <v>45575</v>
      </c>
      <c r="B190" t="s">
        <v>13</v>
      </c>
      <c r="C190" t="s">
        <v>12</v>
      </c>
      <c r="D190">
        <v>2.8796992481203003</v>
      </c>
      <c r="E190">
        <v>4.75</v>
      </c>
      <c r="F190">
        <v>4.75</v>
      </c>
      <c r="G190">
        <v>3.4077079107505077</v>
      </c>
      <c r="H190">
        <v>1.6494778067885121</v>
      </c>
      <c r="I190">
        <v>1.6494778067885121</v>
      </c>
      <c r="J190">
        <v>1.183355488589602</v>
      </c>
      <c r="K190">
        <v>0</v>
      </c>
      <c r="L190">
        <v>0</v>
      </c>
      <c r="M190">
        <v>0.39947780678851208</v>
      </c>
      <c r="N190">
        <v>0</v>
      </c>
      <c r="O190">
        <v>0</v>
      </c>
      <c r="P190">
        <v>0</v>
      </c>
      <c r="Q190">
        <v>0.18335548858960204</v>
      </c>
      <c r="R190">
        <v>0</v>
      </c>
      <c r="S190">
        <v>6.6644511410397955E-2</v>
      </c>
      <c r="T190">
        <v>0</v>
      </c>
      <c r="U190">
        <v>0</v>
      </c>
      <c r="V190">
        <v>0</v>
      </c>
      <c r="W190">
        <v>0</v>
      </c>
      <c r="X190">
        <v>0</v>
      </c>
      <c r="Y190">
        <v>1</v>
      </c>
      <c r="Z190">
        <v>0</v>
      </c>
      <c r="AA190">
        <v>0</v>
      </c>
      <c r="AB190">
        <v>0</v>
      </c>
      <c r="AC190">
        <v>0</v>
      </c>
      <c r="AD190">
        <v>0</v>
      </c>
      <c r="AE190" t="s">
        <v>166</v>
      </c>
      <c r="AF190">
        <v>10</v>
      </c>
      <c r="AG190" t="s">
        <v>178</v>
      </c>
      <c r="AH190">
        <v>1</v>
      </c>
      <c r="AI190">
        <v>45575</v>
      </c>
      <c r="AJ190" t="s">
        <v>168</v>
      </c>
    </row>
    <row r="191" spans="1:36" x14ac:dyDescent="0.25">
      <c r="A191" s="1">
        <v>45575</v>
      </c>
      <c r="B191" t="s">
        <v>13</v>
      </c>
      <c r="C191" t="s">
        <v>10</v>
      </c>
      <c r="D191">
        <v>6.8471096572600327</v>
      </c>
      <c r="E191">
        <v>3.8</v>
      </c>
      <c r="F191">
        <v>3.8</v>
      </c>
      <c r="G191">
        <v>2.8752450980392155</v>
      </c>
      <c r="H191">
        <v>0.55497869761306307</v>
      </c>
      <c r="I191">
        <v>0.55497869761306307</v>
      </c>
      <c r="J191">
        <v>0.41992099469161787</v>
      </c>
      <c r="K191">
        <v>0</v>
      </c>
      <c r="L191">
        <v>0</v>
      </c>
      <c r="M191">
        <v>0</v>
      </c>
      <c r="N191">
        <v>0</v>
      </c>
      <c r="O191">
        <v>0</v>
      </c>
      <c r="P191">
        <v>0</v>
      </c>
      <c r="Q191">
        <v>0</v>
      </c>
      <c r="R191">
        <v>0</v>
      </c>
      <c r="S191">
        <v>0</v>
      </c>
      <c r="T191">
        <v>0</v>
      </c>
      <c r="U191">
        <v>0.44502130238693693</v>
      </c>
      <c r="V191">
        <v>0</v>
      </c>
      <c r="W191">
        <v>0.1350577029214452</v>
      </c>
      <c r="X191">
        <v>0</v>
      </c>
      <c r="Y191">
        <v>0.41992099469161787</v>
      </c>
      <c r="Z191">
        <v>0</v>
      </c>
      <c r="AA191">
        <v>0</v>
      </c>
      <c r="AB191">
        <v>0</v>
      </c>
      <c r="AC191">
        <v>0</v>
      </c>
      <c r="AD191">
        <v>0</v>
      </c>
      <c r="AE191" t="s">
        <v>212</v>
      </c>
      <c r="AF191">
        <v>10</v>
      </c>
      <c r="AG191" t="s">
        <v>179</v>
      </c>
      <c r="AI191">
        <v>45575</v>
      </c>
      <c r="AJ191" t="s">
        <v>168</v>
      </c>
    </row>
    <row r="192" spans="1:36" x14ac:dyDescent="0.25">
      <c r="A192" s="1">
        <v>45575</v>
      </c>
      <c r="B192" t="s">
        <v>13</v>
      </c>
      <c r="C192" t="s">
        <v>11</v>
      </c>
      <c r="D192">
        <v>0.84615384615384603</v>
      </c>
      <c r="E192">
        <v>1.9</v>
      </c>
      <c r="F192">
        <v>1.9</v>
      </c>
      <c r="G192">
        <v>1.9393939393939392</v>
      </c>
      <c r="H192">
        <v>2.2454545454545456</v>
      </c>
      <c r="I192">
        <v>2.2454545454545456</v>
      </c>
      <c r="J192">
        <v>2.2920110192837466</v>
      </c>
      <c r="K192">
        <v>4.6556473829201028E-2</v>
      </c>
      <c r="L192">
        <v>0</v>
      </c>
      <c r="M192">
        <v>0</v>
      </c>
      <c r="N192">
        <v>0</v>
      </c>
      <c r="O192">
        <v>0.99545454545454559</v>
      </c>
      <c r="P192">
        <v>0</v>
      </c>
      <c r="Q192">
        <v>0.25</v>
      </c>
      <c r="R192">
        <v>0</v>
      </c>
      <c r="S192">
        <v>0</v>
      </c>
      <c r="T192">
        <v>0</v>
      </c>
      <c r="U192">
        <v>0</v>
      </c>
      <c r="V192">
        <v>0</v>
      </c>
      <c r="W192">
        <v>0</v>
      </c>
      <c r="X192">
        <v>0</v>
      </c>
      <c r="Y192">
        <v>1</v>
      </c>
      <c r="Z192">
        <v>0</v>
      </c>
      <c r="AA192">
        <v>0</v>
      </c>
      <c r="AB192">
        <v>0</v>
      </c>
      <c r="AC192">
        <v>0</v>
      </c>
      <c r="AD192">
        <v>0</v>
      </c>
      <c r="AE192" t="s">
        <v>212</v>
      </c>
      <c r="AF192">
        <v>10</v>
      </c>
      <c r="AG192" t="s">
        <v>177</v>
      </c>
      <c r="AI192">
        <v>45575</v>
      </c>
      <c r="AJ192" t="s">
        <v>168</v>
      </c>
    </row>
    <row r="193" spans="1:36" x14ac:dyDescent="0.25">
      <c r="A193" s="1">
        <v>45575</v>
      </c>
      <c r="B193" t="s">
        <v>13</v>
      </c>
      <c r="C193" t="s">
        <v>12</v>
      </c>
      <c r="D193">
        <v>2.5351191458269504</v>
      </c>
      <c r="E193">
        <v>4.75</v>
      </c>
      <c r="F193">
        <v>4.75</v>
      </c>
      <c r="G193">
        <v>2.780080213903743</v>
      </c>
      <c r="H193">
        <v>1.8736791948492661</v>
      </c>
      <c r="I193">
        <v>1.8736791948492661</v>
      </c>
      <c r="J193">
        <v>1.0966270435375876</v>
      </c>
      <c r="K193">
        <v>0</v>
      </c>
      <c r="L193">
        <v>0</v>
      </c>
      <c r="M193">
        <v>0.62367919484926615</v>
      </c>
      <c r="N193">
        <v>0</v>
      </c>
      <c r="O193">
        <v>0</v>
      </c>
      <c r="P193">
        <v>0</v>
      </c>
      <c r="Q193">
        <v>9.6627043537587554E-2</v>
      </c>
      <c r="R193">
        <v>0</v>
      </c>
      <c r="S193">
        <v>0.15337295646241245</v>
      </c>
      <c r="T193">
        <v>0</v>
      </c>
      <c r="U193">
        <v>0</v>
      </c>
      <c r="V193">
        <v>0</v>
      </c>
      <c r="W193">
        <v>0</v>
      </c>
      <c r="X193">
        <v>0</v>
      </c>
      <c r="Y193">
        <v>1</v>
      </c>
      <c r="Z193">
        <v>0</v>
      </c>
      <c r="AA193">
        <v>0</v>
      </c>
      <c r="AB193">
        <v>0</v>
      </c>
      <c r="AC193">
        <v>0</v>
      </c>
      <c r="AD193">
        <v>0</v>
      </c>
      <c r="AE193" t="s">
        <v>212</v>
      </c>
      <c r="AF193">
        <v>10</v>
      </c>
      <c r="AG193" t="s">
        <v>178</v>
      </c>
      <c r="AI193">
        <v>45575</v>
      </c>
      <c r="AJ193" t="s">
        <v>168</v>
      </c>
    </row>
    <row r="194" spans="1:36" x14ac:dyDescent="0.25">
      <c r="A194" s="1">
        <v>45576</v>
      </c>
      <c r="B194" t="s">
        <v>13</v>
      </c>
      <c r="C194" t="s">
        <v>10</v>
      </c>
      <c r="D194">
        <v>5.7593984962406006</v>
      </c>
      <c r="E194">
        <v>2.8499999999999996</v>
      </c>
      <c r="F194">
        <v>2.8499999999999996</v>
      </c>
      <c r="G194">
        <v>3.714506855373727</v>
      </c>
      <c r="H194">
        <v>0.49484334203655356</v>
      </c>
      <c r="I194">
        <v>0.49484334203655356</v>
      </c>
      <c r="J194">
        <v>0.64494701274765764</v>
      </c>
      <c r="K194">
        <v>0</v>
      </c>
      <c r="L194">
        <v>0</v>
      </c>
      <c r="M194">
        <v>0</v>
      </c>
      <c r="N194">
        <v>0</v>
      </c>
      <c r="O194">
        <v>0</v>
      </c>
      <c r="P194">
        <v>0</v>
      </c>
      <c r="Q194">
        <v>0</v>
      </c>
      <c r="R194">
        <v>0</v>
      </c>
      <c r="S194">
        <v>0</v>
      </c>
      <c r="T194">
        <v>0.15010367071110409</v>
      </c>
      <c r="U194">
        <v>0.35505298725234236</v>
      </c>
      <c r="V194">
        <v>0</v>
      </c>
      <c r="W194">
        <v>0</v>
      </c>
      <c r="X194">
        <v>0</v>
      </c>
      <c r="Y194">
        <v>0.49484334203655356</v>
      </c>
      <c r="Z194">
        <v>0</v>
      </c>
      <c r="AA194">
        <v>0</v>
      </c>
      <c r="AB194">
        <v>0</v>
      </c>
      <c r="AC194">
        <v>0</v>
      </c>
      <c r="AD194">
        <v>0</v>
      </c>
      <c r="AE194" t="s">
        <v>166</v>
      </c>
      <c r="AF194">
        <v>10</v>
      </c>
      <c r="AG194" t="s">
        <v>180</v>
      </c>
      <c r="AH194">
        <v>1</v>
      </c>
      <c r="AI194">
        <v>45576</v>
      </c>
      <c r="AJ194" t="s">
        <v>168</v>
      </c>
    </row>
    <row r="195" spans="1:36" x14ac:dyDescent="0.25">
      <c r="A195" s="1">
        <v>45576</v>
      </c>
      <c r="B195" t="s">
        <v>13</v>
      </c>
      <c r="C195" t="s">
        <v>12</v>
      </c>
      <c r="D195">
        <v>2.8796992481203008</v>
      </c>
      <c r="E195">
        <v>2.8499999999999996</v>
      </c>
      <c r="F195">
        <v>2.8499999999999996</v>
      </c>
      <c r="G195">
        <v>2.6236195627676362</v>
      </c>
      <c r="H195">
        <v>0.98968668407310689</v>
      </c>
      <c r="I195">
        <v>0.98968668407310689</v>
      </c>
      <c r="J195">
        <v>0.91107415626134625</v>
      </c>
      <c r="K195">
        <v>0</v>
      </c>
      <c r="L195">
        <v>0</v>
      </c>
      <c r="M195">
        <v>0</v>
      </c>
      <c r="N195">
        <v>0</v>
      </c>
      <c r="O195">
        <v>0</v>
      </c>
      <c r="P195">
        <v>0</v>
      </c>
      <c r="Q195">
        <v>0</v>
      </c>
      <c r="R195">
        <v>0</v>
      </c>
      <c r="S195">
        <v>0</v>
      </c>
      <c r="T195">
        <v>0</v>
      </c>
      <c r="U195">
        <v>1.0313315926893107E-2</v>
      </c>
      <c r="V195">
        <v>0</v>
      </c>
      <c r="W195">
        <v>7.8612527811760646E-2</v>
      </c>
      <c r="X195">
        <v>0</v>
      </c>
      <c r="Y195">
        <v>0.91107415626134625</v>
      </c>
      <c r="Z195">
        <v>0</v>
      </c>
      <c r="AA195">
        <v>0</v>
      </c>
      <c r="AB195">
        <v>0</v>
      </c>
      <c r="AC195">
        <v>0</v>
      </c>
      <c r="AD195">
        <v>0</v>
      </c>
      <c r="AE195" t="s">
        <v>166</v>
      </c>
      <c r="AF195">
        <v>10</v>
      </c>
      <c r="AG195" t="s">
        <v>182</v>
      </c>
      <c r="AH195">
        <v>1</v>
      </c>
      <c r="AI195">
        <v>45576</v>
      </c>
      <c r="AJ195" t="s">
        <v>168</v>
      </c>
    </row>
    <row r="196" spans="1:36" x14ac:dyDescent="0.25">
      <c r="A196" s="1">
        <v>45576</v>
      </c>
      <c r="B196" t="s">
        <v>13</v>
      </c>
      <c r="C196" t="s">
        <v>11</v>
      </c>
      <c r="D196">
        <v>1</v>
      </c>
      <c r="E196">
        <v>0</v>
      </c>
      <c r="F196">
        <v>0</v>
      </c>
      <c r="G196">
        <v>1.1524384112619406</v>
      </c>
      <c r="H196">
        <v>0</v>
      </c>
      <c r="I196">
        <v>0</v>
      </c>
      <c r="J196">
        <v>1.1524384112619406</v>
      </c>
      <c r="K196">
        <v>0.15243841126194058</v>
      </c>
      <c r="L196">
        <v>0</v>
      </c>
      <c r="M196">
        <v>0</v>
      </c>
      <c r="N196">
        <v>0</v>
      </c>
      <c r="O196">
        <v>0</v>
      </c>
      <c r="P196">
        <v>0</v>
      </c>
      <c r="Q196">
        <v>0</v>
      </c>
      <c r="R196">
        <v>0</v>
      </c>
      <c r="S196">
        <v>0</v>
      </c>
      <c r="T196">
        <v>0</v>
      </c>
      <c r="U196">
        <v>0</v>
      </c>
      <c r="V196">
        <v>0</v>
      </c>
      <c r="W196">
        <v>0</v>
      </c>
      <c r="X196">
        <v>0</v>
      </c>
      <c r="Y196">
        <v>0</v>
      </c>
      <c r="Z196">
        <v>0</v>
      </c>
      <c r="AA196">
        <v>0</v>
      </c>
      <c r="AB196">
        <v>0</v>
      </c>
      <c r="AC196">
        <v>1</v>
      </c>
      <c r="AD196">
        <v>0</v>
      </c>
      <c r="AE196" t="s">
        <v>166</v>
      </c>
      <c r="AF196">
        <v>10</v>
      </c>
      <c r="AG196" t="s">
        <v>181</v>
      </c>
      <c r="AH196">
        <v>1</v>
      </c>
      <c r="AI196">
        <v>45576</v>
      </c>
      <c r="AJ196" t="s">
        <v>168</v>
      </c>
    </row>
    <row r="197" spans="1:36" x14ac:dyDescent="0.25">
      <c r="A197" s="1">
        <v>45576</v>
      </c>
      <c r="B197" t="s">
        <v>13</v>
      </c>
      <c r="C197" t="s">
        <v>10</v>
      </c>
      <c r="D197">
        <v>6.8471096572600336</v>
      </c>
      <c r="E197">
        <v>2.8499999999999996</v>
      </c>
      <c r="F197">
        <v>2.8499999999999996</v>
      </c>
      <c r="G197">
        <v>2.8420461733080331</v>
      </c>
      <c r="H197">
        <v>0.41623402320979724</v>
      </c>
      <c r="I197">
        <v>0.41623402320979724</v>
      </c>
      <c r="J197">
        <v>0.41507239047860051</v>
      </c>
      <c r="K197">
        <v>0</v>
      </c>
      <c r="L197">
        <v>0</v>
      </c>
      <c r="M197">
        <v>0</v>
      </c>
      <c r="N197">
        <v>0</v>
      </c>
      <c r="O197">
        <v>0</v>
      </c>
      <c r="P197">
        <v>0</v>
      </c>
      <c r="Q197">
        <v>0</v>
      </c>
      <c r="R197">
        <v>0</v>
      </c>
      <c r="S197">
        <v>0</v>
      </c>
      <c r="T197">
        <v>0</v>
      </c>
      <c r="U197">
        <v>0.58376597679020281</v>
      </c>
      <c r="V197">
        <v>0</v>
      </c>
      <c r="W197">
        <v>1.1616327311967378E-3</v>
      </c>
      <c r="X197">
        <v>0</v>
      </c>
      <c r="Y197">
        <v>0.41507239047860051</v>
      </c>
      <c r="Z197">
        <v>0</v>
      </c>
      <c r="AA197">
        <v>0</v>
      </c>
      <c r="AB197">
        <v>0</v>
      </c>
      <c r="AC197">
        <v>0</v>
      </c>
      <c r="AD197">
        <v>0</v>
      </c>
      <c r="AE197" t="s">
        <v>212</v>
      </c>
      <c r="AF197">
        <v>10</v>
      </c>
      <c r="AG197" t="s">
        <v>180</v>
      </c>
      <c r="AI197">
        <v>45576</v>
      </c>
      <c r="AJ197" t="s">
        <v>168</v>
      </c>
    </row>
    <row r="198" spans="1:36" x14ac:dyDescent="0.25">
      <c r="A198" s="1">
        <v>45576</v>
      </c>
      <c r="B198" t="s">
        <v>13</v>
      </c>
      <c r="C198" t="s">
        <v>12</v>
      </c>
      <c r="D198">
        <v>2.5351191458269504</v>
      </c>
      <c r="E198">
        <v>3.8</v>
      </c>
      <c r="F198">
        <v>3.8</v>
      </c>
      <c r="G198">
        <v>2.993861767580932</v>
      </c>
      <c r="H198">
        <v>1.498943355879413</v>
      </c>
      <c r="I198">
        <v>1.498943355879413</v>
      </c>
      <c r="J198">
        <v>1.1809550539307456</v>
      </c>
      <c r="K198">
        <v>0</v>
      </c>
      <c r="L198">
        <v>0</v>
      </c>
      <c r="M198">
        <v>0.24894335587941296</v>
      </c>
      <c r="N198">
        <v>0</v>
      </c>
      <c r="O198">
        <v>0</v>
      </c>
      <c r="P198">
        <v>0</v>
      </c>
      <c r="Q198">
        <v>0.18095505393074562</v>
      </c>
      <c r="R198">
        <v>0</v>
      </c>
      <c r="S198">
        <v>6.9044946069254376E-2</v>
      </c>
      <c r="T198">
        <v>0</v>
      </c>
      <c r="U198">
        <v>0</v>
      </c>
      <c r="V198">
        <v>0</v>
      </c>
      <c r="W198">
        <v>0</v>
      </c>
      <c r="X198">
        <v>0</v>
      </c>
      <c r="Y198">
        <v>1</v>
      </c>
      <c r="Z198">
        <v>0</v>
      </c>
      <c r="AA198">
        <v>0</v>
      </c>
      <c r="AB198">
        <v>0</v>
      </c>
      <c r="AC198">
        <v>0</v>
      </c>
      <c r="AD198">
        <v>0</v>
      </c>
      <c r="AE198" t="s">
        <v>212</v>
      </c>
      <c r="AF198">
        <v>10</v>
      </c>
      <c r="AG198" t="s">
        <v>182</v>
      </c>
      <c r="AI198">
        <v>45576</v>
      </c>
      <c r="AJ198" t="s">
        <v>168</v>
      </c>
    </row>
    <row r="199" spans="1:36" x14ac:dyDescent="0.25">
      <c r="A199" s="1">
        <v>45576</v>
      </c>
      <c r="B199" t="s">
        <v>13</v>
      </c>
      <c r="C199" t="s">
        <v>11</v>
      </c>
      <c r="D199">
        <v>0.84615384615384603</v>
      </c>
      <c r="E199">
        <v>1.9</v>
      </c>
      <c r="F199">
        <v>1.9</v>
      </c>
      <c r="G199">
        <v>1.9679144385026737</v>
      </c>
      <c r="H199">
        <v>2.2454545454545456</v>
      </c>
      <c r="I199">
        <v>2.2454545454545456</v>
      </c>
      <c r="J199">
        <v>2.3257170636849782</v>
      </c>
      <c r="K199">
        <v>8.0262518230432622E-2</v>
      </c>
      <c r="L199">
        <v>0</v>
      </c>
      <c r="M199">
        <v>0</v>
      </c>
      <c r="N199">
        <v>0</v>
      </c>
      <c r="O199">
        <v>0.99545454545454559</v>
      </c>
      <c r="P199">
        <v>0</v>
      </c>
      <c r="Q199">
        <v>0.25</v>
      </c>
      <c r="R199">
        <v>0</v>
      </c>
      <c r="S199">
        <v>0</v>
      </c>
      <c r="T199">
        <v>0</v>
      </c>
      <c r="U199">
        <v>0</v>
      </c>
      <c r="V199">
        <v>0</v>
      </c>
      <c r="W199">
        <v>0</v>
      </c>
      <c r="X199">
        <v>0</v>
      </c>
      <c r="Y199">
        <v>1</v>
      </c>
      <c r="Z199">
        <v>0</v>
      </c>
      <c r="AA199">
        <v>0</v>
      </c>
      <c r="AB199">
        <v>0</v>
      </c>
      <c r="AC199">
        <v>0</v>
      </c>
      <c r="AD199">
        <v>0</v>
      </c>
      <c r="AE199" t="s">
        <v>212</v>
      </c>
      <c r="AF199">
        <v>10</v>
      </c>
      <c r="AG199" t="s">
        <v>181</v>
      </c>
      <c r="AI199">
        <v>45576</v>
      </c>
      <c r="AJ199" t="s">
        <v>168</v>
      </c>
    </row>
    <row r="200" spans="1:36" x14ac:dyDescent="0.25">
      <c r="A200" s="1">
        <v>45577</v>
      </c>
      <c r="B200" t="s">
        <v>13</v>
      </c>
      <c r="C200" t="s">
        <v>10</v>
      </c>
      <c r="D200">
        <v>5.7593984962406006</v>
      </c>
      <c r="E200">
        <v>3.8</v>
      </c>
      <c r="F200">
        <v>3.8</v>
      </c>
      <c r="G200">
        <v>2.6288885669210211</v>
      </c>
      <c r="H200">
        <v>0.65979112271540474</v>
      </c>
      <c r="I200">
        <v>0.65979112271540474</v>
      </c>
      <c r="J200">
        <v>0.45645193133224005</v>
      </c>
      <c r="K200">
        <v>0</v>
      </c>
      <c r="L200">
        <v>0</v>
      </c>
      <c r="M200">
        <v>0</v>
      </c>
      <c r="N200">
        <v>0</v>
      </c>
      <c r="O200">
        <v>0</v>
      </c>
      <c r="P200">
        <v>0</v>
      </c>
      <c r="Q200">
        <v>0</v>
      </c>
      <c r="R200">
        <v>0</v>
      </c>
      <c r="S200">
        <v>0</v>
      </c>
      <c r="T200">
        <v>0</v>
      </c>
      <c r="U200">
        <v>0.34020887728459526</v>
      </c>
      <c r="V200">
        <v>0</v>
      </c>
      <c r="W200">
        <v>0.2033391913831647</v>
      </c>
      <c r="X200">
        <v>0</v>
      </c>
      <c r="Y200">
        <v>0.45645193133224005</v>
      </c>
      <c r="Z200">
        <v>0</v>
      </c>
      <c r="AA200">
        <v>0</v>
      </c>
      <c r="AB200">
        <v>0</v>
      </c>
      <c r="AC200">
        <v>0</v>
      </c>
      <c r="AD200">
        <v>0</v>
      </c>
      <c r="AE200" t="s">
        <v>166</v>
      </c>
      <c r="AF200">
        <v>10</v>
      </c>
      <c r="AG200" t="s">
        <v>183</v>
      </c>
      <c r="AH200">
        <v>1</v>
      </c>
      <c r="AI200">
        <v>45577</v>
      </c>
      <c r="AJ200" t="s">
        <v>168</v>
      </c>
    </row>
    <row r="201" spans="1:36" x14ac:dyDescent="0.25">
      <c r="A201" s="1">
        <v>45577</v>
      </c>
      <c r="B201" t="s">
        <v>13</v>
      </c>
      <c r="C201" t="s">
        <v>11</v>
      </c>
      <c r="D201">
        <v>1</v>
      </c>
      <c r="E201">
        <v>0.95</v>
      </c>
      <c r="F201">
        <v>0.95</v>
      </c>
      <c r="G201">
        <v>1.113207918481752</v>
      </c>
      <c r="H201">
        <v>0.95</v>
      </c>
      <c r="I201">
        <v>0.95</v>
      </c>
      <c r="J201">
        <v>1.113207918481752</v>
      </c>
      <c r="K201">
        <v>0.11320791848175205</v>
      </c>
      <c r="L201">
        <v>0</v>
      </c>
      <c r="M201">
        <v>0</v>
      </c>
      <c r="N201">
        <v>0</v>
      </c>
      <c r="O201">
        <v>0</v>
      </c>
      <c r="P201">
        <v>0</v>
      </c>
      <c r="Q201">
        <v>0</v>
      </c>
      <c r="R201">
        <v>0</v>
      </c>
      <c r="S201">
        <v>0</v>
      </c>
      <c r="T201">
        <v>5.0000000000000044E-2</v>
      </c>
      <c r="U201">
        <v>0</v>
      </c>
      <c r="V201">
        <v>0</v>
      </c>
      <c r="W201">
        <v>0</v>
      </c>
      <c r="X201">
        <v>0</v>
      </c>
      <c r="Y201">
        <v>0.95</v>
      </c>
      <c r="Z201">
        <v>0</v>
      </c>
      <c r="AA201">
        <v>0</v>
      </c>
      <c r="AB201">
        <v>0</v>
      </c>
      <c r="AC201">
        <v>0</v>
      </c>
      <c r="AD201">
        <v>0</v>
      </c>
      <c r="AE201" t="s">
        <v>166</v>
      </c>
      <c r="AF201">
        <v>10</v>
      </c>
      <c r="AG201" t="s">
        <v>184</v>
      </c>
      <c r="AH201">
        <v>1</v>
      </c>
      <c r="AI201">
        <v>45577</v>
      </c>
      <c r="AJ201" t="s">
        <v>168</v>
      </c>
    </row>
    <row r="202" spans="1:36" x14ac:dyDescent="0.25">
      <c r="A202" s="1">
        <v>45577</v>
      </c>
      <c r="B202" t="s">
        <v>13</v>
      </c>
      <c r="C202" t="s">
        <v>12</v>
      </c>
      <c r="D202">
        <v>2.8796992481203008</v>
      </c>
      <c r="E202">
        <v>0.95</v>
      </c>
      <c r="F202">
        <v>0.95</v>
      </c>
      <c r="G202">
        <v>2.0669371196754565</v>
      </c>
      <c r="H202">
        <v>0.32989556135770232</v>
      </c>
      <c r="I202">
        <v>0.32989556135770232</v>
      </c>
      <c r="J202">
        <v>0.71776145409095482</v>
      </c>
      <c r="K202">
        <v>0</v>
      </c>
      <c r="L202">
        <v>0</v>
      </c>
      <c r="M202">
        <v>0</v>
      </c>
      <c r="N202">
        <v>0</v>
      </c>
      <c r="O202">
        <v>0</v>
      </c>
      <c r="P202">
        <v>0</v>
      </c>
      <c r="Q202">
        <v>0</v>
      </c>
      <c r="R202">
        <v>0</v>
      </c>
      <c r="S202">
        <v>0</v>
      </c>
      <c r="T202">
        <v>0.3878658927332525</v>
      </c>
      <c r="U202">
        <v>0.28223854590904518</v>
      </c>
      <c r="V202">
        <v>0</v>
      </c>
      <c r="W202">
        <v>0</v>
      </c>
      <c r="X202">
        <v>0</v>
      </c>
      <c r="Y202">
        <v>0.32989556135770232</v>
      </c>
      <c r="Z202">
        <v>0</v>
      </c>
      <c r="AA202">
        <v>0</v>
      </c>
      <c r="AB202">
        <v>0</v>
      </c>
      <c r="AC202">
        <v>0</v>
      </c>
      <c r="AD202">
        <v>0</v>
      </c>
      <c r="AE202" t="s">
        <v>166</v>
      </c>
      <c r="AF202">
        <v>10</v>
      </c>
      <c r="AG202" t="s">
        <v>185</v>
      </c>
      <c r="AH202">
        <v>1</v>
      </c>
      <c r="AI202">
        <v>45577</v>
      </c>
      <c r="AJ202" t="s">
        <v>168</v>
      </c>
    </row>
    <row r="203" spans="1:36" x14ac:dyDescent="0.25">
      <c r="A203" s="1">
        <v>45577</v>
      </c>
      <c r="B203" t="s">
        <v>13</v>
      </c>
      <c r="C203" t="s">
        <v>10</v>
      </c>
      <c r="D203">
        <v>6.8471096572600327</v>
      </c>
      <c r="E203">
        <v>3.8</v>
      </c>
      <c r="F203">
        <v>3.8</v>
      </c>
      <c r="G203">
        <v>3.812745098039215</v>
      </c>
      <c r="H203">
        <v>0.55497869761306307</v>
      </c>
      <c r="I203">
        <v>0.55497869761306307</v>
      </c>
      <c r="J203">
        <v>0.55684008127378792</v>
      </c>
      <c r="K203">
        <v>0</v>
      </c>
      <c r="L203">
        <v>0</v>
      </c>
      <c r="M203">
        <v>0</v>
      </c>
      <c r="N203">
        <v>0</v>
      </c>
      <c r="O203">
        <v>0</v>
      </c>
      <c r="P203">
        <v>0</v>
      </c>
      <c r="Q203">
        <v>0</v>
      </c>
      <c r="R203">
        <v>0</v>
      </c>
      <c r="S203">
        <v>0</v>
      </c>
      <c r="T203">
        <v>1.8613836607248579E-3</v>
      </c>
      <c r="U203">
        <v>0.44315991872621208</v>
      </c>
      <c r="V203">
        <v>0</v>
      </c>
      <c r="W203">
        <v>0</v>
      </c>
      <c r="X203">
        <v>0</v>
      </c>
      <c r="Y203">
        <v>0.55497869761306307</v>
      </c>
      <c r="Z203">
        <v>0</v>
      </c>
      <c r="AA203">
        <v>0</v>
      </c>
      <c r="AB203">
        <v>0</v>
      </c>
      <c r="AC203">
        <v>0</v>
      </c>
      <c r="AD203">
        <v>0</v>
      </c>
      <c r="AE203" t="s">
        <v>212</v>
      </c>
      <c r="AF203">
        <v>10</v>
      </c>
      <c r="AG203" t="s">
        <v>183</v>
      </c>
      <c r="AI203">
        <v>45577</v>
      </c>
      <c r="AJ203" t="s">
        <v>168</v>
      </c>
    </row>
    <row r="204" spans="1:36" x14ac:dyDescent="0.25">
      <c r="A204" s="1">
        <v>45577</v>
      </c>
      <c r="B204" t="s">
        <v>13</v>
      </c>
      <c r="C204" t="s">
        <v>11</v>
      </c>
      <c r="D204">
        <v>0.84615384615384603</v>
      </c>
      <c r="E204">
        <v>1.9</v>
      </c>
      <c r="F204">
        <v>1.9</v>
      </c>
      <c r="G204">
        <v>1.9963235294117645</v>
      </c>
      <c r="H204">
        <v>2.2454545454545456</v>
      </c>
      <c r="I204">
        <v>2.2454545454545456</v>
      </c>
      <c r="J204">
        <v>2.3592914438502675</v>
      </c>
      <c r="K204">
        <v>0.11383689839572186</v>
      </c>
      <c r="L204">
        <v>0</v>
      </c>
      <c r="M204">
        <v>0</v>
      </c>
      <c r="N204">
        <v>0</v>
      </c>
      <c r="O204">
        <v>0.99545454545454559</v>
      </c>
      <c r="P204">
        <v>0</v>
      </c>
      <c r="Q204">
        <v>0.25</v>
      </c>
      <c r="R204">
        <v>0</v>
      </c>
      <c r="S204">
        <v>0</v>
      </c>
      <c r="T204">
        <v>0</v>
      </c>
      <c r="U204">
        <v>0</v>
      </c>
      <c r="V204">
        <v>0</v>
      </c>
      <c r="W204">
        <v>0</v>
      </c>
      <c r="X204">
        <v>0</v>
      </c>
      <c r="Y204">
        <v>1</v>
      </c>
      <c r="Z204">
        <v>0</v>
      </c>
      <c r="AA204">
        <v>0</v>
      </c>
      <c r="AB204">
        <v>0</v>
      </c>
      <c r="AC204">
        <v>0</v>
      </c>
      <c r="AD204">
        <v>0</v>
      </c>
      <c r="AE204" t="s">
        <v>212</v>
      </c>
      <c r="AF204">
        <v>10</v>
      </c>
      <c r="AG204" t="s">
        <v>184</v>
      </c>
      <c r="AI204">
        <v>45577</v>
      </c>
      <c r="AJ204" t="s">
        <v>168</v>
      </c>
    </row>
    <row r="205" spans="1:36" x14ac:dyDescent="0.25">
      <c r="A205" s="1">
        <v>45577</v>
      </c>
      <c r="B205" t="s">
        <v>13</v>
      </c>
      <c r="C205" t="s">
        <v>12</v>
      </c>
      <c r="D205">
        <v>2.5351191458269504</v>
      </c>
      <c r="E205">
        <v>3.8</v>
      </c>
      <c r="F205">
        <v>3.8</v>
      </c>
      <c r="G205">
        <v>3.9314839572192506</v>
      </c>
      <c r="H205">
        <v>1.498943355879413</v>
      </c>
      <c r="I205">
        <v>1.498943355879413</v>
      </c>
      <c r="J205">
        <v>1.55080835695271</v>
      </c>
      <c r="K205">
        <v>5.1865001073297057E-2</v>
      </c>
      <c r="L205">
        <v>0</v>
      </c>
      <c r="M205">
        <v>0</v>
      </c>
      <c r="N205">
        <v>0</v>
      </c>
      <c r="O205">
        <v>0.24894335587941296</v>
      </c>
      <c r="P205">
        <v>0</v>
      </c>
      <c r="Q205">
        <v>0.25</v>
      </c>
      <c r="R205">
        <v>0</v>
      </c>
      <c r="S205">
        <v>0</v>
      </c>
      <c r="T205">
        <v>0</v>
      </c>
      <c r="U205">
        <v>0</v>
      </c>
      <c r="V205">
        <v>0</v>
      </c>
      <c r="W205">
        <v>0</v>
      </c>
      <c r="X205">
        <v>0</v>
      </c>
      <c r="Y205">
        <v>1</v>
      </c>
      <c r="Z205">
        <v>0</v>
      </c>
      <c r="AA205">
        <v>0</v>
      </c>
      <c r="AB205">
        <v>0</v>
      </c>
      <c r="AC205">
        <v>0</v>
      </c>
      <c r="AD205">
        <v>0</v>
      </c>
      <c r="AE205" t="s">
        <v>212</v>
      </c>
      <c r="AF205">
        <v>10</v>
      </c>
      <c r="AG205" t="s">
        <v>185</v>
      </c>
      <c r="AI205">
        <v>45577</v>
      </c>
      <c r="AJ205" t="s">
        <v>168</v>
      </c>
    </row>
    <row r="206" spans="1:36" x14ac:dyDescent="0.25">
      <c r="A206" s="1">
        <v>45578</v>
      </c>
      <c r="B206" t="s">
        <v>13</v>
      </c>
      <c r="C206" t="s">
        <v>10</v>
      </c>
      <c r="D206">
        <v>5.7593984962406006</v>
      </c>
      <c r="E206">
        <v>5.6999999999999993</v>
      </c>
      <c r="F206">
        <v>5.6999999999999993</v>
      </c>
      <c r="G206">
        <v>2.7228594140358848</v>
      </c>
      <c r="H206">
        <v>0.98968668407310711</v>
      </c>
      <c r="I206">
        <v>0.98968668407310711</v>
      </c>
      <c r="J206">
        <v>0.47276801836393306</v>
      </c>
      <c r="K206">
        <v>0</v>
      </c>
      <c r="L206">
        <v>0</v>
      </c>
      <c r="M206">
        <v>0</v>
      </c>
      <c r="N206">
        <v>0</v>
      </c>
      <c r="O206">
        <v>0</v>
      </c>
      <c r="P206">
        <v>0</v>
      </c>
      <c r="Q206">
        <v>0</v>
      </c>
      <c r="R206">
        <v>0</v>
      </c>
      <c r="S206">
        <v>0</v>
      </c>
      <c r="T206">
        <v>0</v>
      </c>
      <c r="U206">
        <v>1.0313315926892885E-2</v>
      </c>
      <c r="V206">
        <v>0</v>
      </c>
      <c r="W206">
        <v>0.516918665709174</v>
      </c>
      <c r="X206">
        <v>0</v>
      </c>
      <c r="Y206">
        <v>0.47276801836393306</v>
      </c>
      <c r="Z206">
        <v>0</v>
      </c>
      <c r="AA206">
        <v>0</v>
      </c>
      <c r="AB206">
        <v>0</v>
      </c>
      <c r="AC206">
        <v>0</v>
      </c>
      <c r="AD206">
        <v>0</v>
      </c>
      <c r="AE206" t="s">
        <v>166</v>
      </c>
      <c r="AF206">
        <v>10</v>
      </c>
      <c r="AG206" t="s">
        <v>186</v>
      </c>
      <c r="AH206">
        <v>1</v>
      </c>
      <c r="AI206">
        <v>45578</v>
      </c>
      <c r="AJ206" t="s">
        <v>168</v>
      </c>
    </row>
    <row r="207" spans="1:36" x14ac:dyDescent="0.25">
      <c r="A207" s="1">
        <v>45578</v>
      </c>
      <c r="B207" t="s">
        <v>13</v>
      </c>
      <c r="C207" t="s">
        <v>11</v>
      </c>
      <c r="D207">
        <v>1</v>
      </c>
      <c r="E207">
        <v>0</v>
      </c>
      <c r="F207">
        <v>0</v>
      </c>
      <c r="G207">
        <v>1.1401127252520442</v>
      </c>
      <c r="H207">
        <v>0</v>
      </c>
      <c r="I207">
        <v>0</v>
      </c>
      <c r="J207">
        <v>1.1401127252520442</v>
      </c>
      <c r="K207">
        <v>0.14011272525204421</v>
      </c>
      <c r="L207">
        <v>0</v>
      </c>
      <c r="M207">
        <v>0</v>
      </c>
      <c r="N207">
        <v>0</v>
      </c>
      <c r="O207">
        <v>0</v>
      </c>
      <c r="P207">
        <v>0</v>
      </c>
      <c r="Q207">
        <v>0</v>
      </c>
      <c r="R207">
        <v>0</v>
      </c>
      <c r="S207">
        <v>0</v>
      </c>
      <c r="T207">
        <v>0</v>
      </c>
      <c r="U207">
        <v>0</v>
      </c>
      <c r="V207">
        <v>0</v>
      </c>
      <c r="W207">
        <v>0</v>
      </c>
      <c r="X207">
        <v>0</v>
      </c>
      <c r="Y207">
        <v>0</v>
      </c>
      <c r="Z207">
        <v>0</v>
      </c>
      <c r="AA207">
        <v>0</v>
      </c>
      <c r="AB207">
        <v>0</v>
      </c>
      <c r="AC207">
        <v>1</v>
      </c>
      <c r="AD207">
        <v>0</v>
      </c>
      <c r="AE207" t="s">
        <v>166</v>
      </c>
      <c r="AF207">
        <v>10</v>
      </c>
      <c r="AG207" t="s">
        <v>187</v>
      </c>
      <c r="AH207">
        <v>1</v>
      </c>
      <c r="AI207">
        <v>45578</v>
      </c>
      <c r="AJ207" t="s">
        <v>168</v>
      </c>
    </row>
    <row r="208" spans="1:36" x14ac:dyDescent="0.25">
      <c r="A208" s="1">
        <v>45578</v>
      </c>
      <c r="B208" t="s">
        <v>13</v>
      </c>
      <c r="C208" t="s">
        <v>12</v>
      </c>
      <c r="D208">
        <v>2.8796992481203003</v>
      </c>
      <c r="E208">
        <v>0.95</v>
      </c>
      <c r="F208">
        <v>0.95</v>
      </c>
      <c r="G208">
        <v>2.5963488843813378</v>
      </c>
      <c r="H208">
        <v>0.32989556135770237</v>
      </c>
      <c r="I208">
        <v>0.32989556135770237</v>
      </c>
      <c r="J208">
        <v>0.90160418178255353</v>
      </c>
      <c r="K208">
        <v>0</v>
      </c>
      <c r="L208">
        <v>0</v>
      </c>
      <c r="M208">
        <v>0</v>
      </c>
      <c r="N208">
        <v>0</v>
      </c>
      <c r="O208">
        <v>0</v>
      </c>
      <c r="P208">
        <v>0</v>
      </c>
      <c r="Q208">
        <v>0</v>
      </c>
      <c r="R208">
        <v>0</v>
      </c>
      <c r="S208">
        <v>0</v>
      </c>
      <c r="T208">
        <v>0.57170862042485115</v>
      </c>
      <c r="U208">
        <v>9.8395818217446473E-2</v>
      </c>
      <c r="V208">
        <v>0</v>
      </c>
      <c r="W208">
        <v>0</v>
      </c>
      <c r="X208">
        <v>0</v>
      </c>
      <c r="Y208">
        <v>0.32989556135770237</v>
      </c>
      <c r="Z208">
        <v>0</v>
      </c>
      <c r="AA208">
        <v>0</v>
      </c>
      <c r="AB208">
        <v>0</v>
      </c>
      <c r="AC208">
        <v>0</v>
      </c>
      <c r="AD208">
        <v>0</v>
      </c>
      <c r="AE208" t="s">
        <v>166</v>
      </c>
      <c r="AF208">
        <v>10</v>
      </c>
      <c r="AG208" t="s">
        <v>188</v>
      </c>
      <c r="AH208">
        <v>1</v>
      </c>
      <c r="AI208">
        <v>45578</v>
      </c>
      <c r="AJ208" t="s">
        <v>168</v>
      </c>
    </row>
    <row r="209" spans="1:36" x14ac:dyDescent="0.25">
      <c r="A209" s="1">
        <v>45578</v>
      </c>
      <c r="B209" t="s">
        <v>13</v>
      </c>
      <c r="C209" t="s">
        <v>10</v>
      </c>
      <c r="D209">
        <v>6.8471096572600327</v>
      </c>
      <c r="E209">
        <v>3.8</v>
      </c>
      <c r="F209">
        <v>3.8</v>
      </c>
      <c r="G209">
        <v>3.812745098039215</v>
      </c>
      <c r="H209">
        <v>0.55497869761306307</v>
      </c>
      <c r="I209">
        <v>0.55497869761306307</v>
      </c>
      <c r="J209">
        <v>0.55684008127378792</v>
      </c>
      <c r="K209">
        <v>0</v>
      </c>
      <c r="L209">
        <v>0</v>
      </c>
      <c r="M209">
        <v>0</v>
      </c>
      <c r="N209">
        <v>0</v>
      </c>
      <c r="O209">
        <v>0</v>
      </c>
      <c r="P209">
        <v>0</v>
      </c>
      <c r="Q209">
        <v>0</v>
      </c>
      <c r="R209">
        <v>0</v>
      </c>
      <c r="S209">
        <v>0</v>
      </c>
      <c r="T209">
        <v>1.8613836607248579E-3</v>
      </c>
      <c r="U209">
        <v>0.44315991872621208</v>
      </c>
      <c r="V209">
        <v>0</v>
      </c>
      <c r="W209">
        <v>0</v>
      </c>
      <c r="X209">
        <v>0</v>
      </c>
      <c r="Y209">
        <v>0.55497869761306307</v>
      </c>
      <c r="Z209">
        <v>0</v>
      </c>
      <c r="AA209">
        <v>0</v>
      </c>
      <c r="AB209">
        <v>0</v>
      </c>
      <c r="AC209">
        <v>0</v>
      </c>
      <c r="AD209">
        <v>0</v>
      </c>
      <c r="AE209" t="s">
        <v>212</v>
      </c>
      <c r="AF209">
        <v>10</v>
      </c>
      <c r="AG209" t="s">
        <v>186</v>
      </c>
      <c r="AI209">
        <v>45578</v>
      </c>
      <c r="AJ209" t="s">
        <v>168</v>
      </c>
    </row>
    <row r="210" spans="1:36" x14ac:dyDescent="0.25">
      <c r="A210" s="1">
        <v>45578</v>
      </c>
      <c r="B210" t="s">
        <v>13</v>
      </c>
      <c r="C210" t="s">
        <v>11</v>
      </c>
      <c r="D210">
        <v>0.84615384615384603</v>
      </c>
      <c r="E210">
        <v>1.9</v>
      </c>
      <c r="F210">
        <v>1.9</v>
      </c>
      <c r="G210">
        <v>1.9964349376114079</v>
      </c>
      <c r="H210">
        <v>2.2454545454545456</v>
      </c>
      <c r="I210">
        <v>2.2454545454545456</v>
      </c>
      <c r="J210">
        <v>2.3594231080862098</v>
      </c>
      <c r="K210">
        <v>0.11396856263166422</v>
      </c>
      <c r="L210">
        <v>0</v>
      </c>
      <c r="M210">
        <v>0</v>
      </c>
      <c r="N210">
        <v>0</v>
      </c>
      <c r="O210">
        <v>0.99545454545454559</v>
      </c>
      <c r="P210">
        <v>0</v>
      </c>
      <c r="Q210">
        <v>0.25</v>
      </c>
      <c r="R210">
        <v>0</v>
      </c>
      <c r="S210">
        <v>0</v>
      </c>
      <c r="T210">
        <v>0</v>
      </c>
      <c r="U210">
        <v>0</v>
      </c>
      <c r="V210">
        <v>0</v>
      </c>
      <c r="W210">
        <v>0</v>
      </c>
      <c r="X210">
        <v>0</v>
      </c>
      <c r="Y210">
        <v>1</v>
      </c>
      <c r="Z210">
        <v>0</v>
      </c>
      <c r="AA210">
        <v>0</v>
      </c>
      <c r="AB210">
        <v>0</v>
      </c>
      <c r="AC210">
        <v>0</v>
      </c>
      <c r="AD210">
        <v>0</v>
      </c>
      <c r="AE210" t="s">
        <v>212</v>
      </c>
      <c r="AF210">
        <v>10</v>
      </c>
      <c r="AG210" t="s">
        <v>187</v>
      </c>
      <c r="AI210">
        <v>45578</v>
      </c>
      <c r="AJ210" t="s">
        <v>168</v>
      </c>
    </row>
    <row r="211" spans="1:36" x14ac:dyDescent="0.25">
      <c r="A211" s="1">
        <v>45578</v>
      </c>
      <c r="B211" t="s">
        <v>13</v>
      </c>
      <c r="C211" t="s">
        <v>12</v>
      </c>
      <c r="D211">
        <v>2.5351191458269504</v>
      </c>
      <c r="E211">
        <v>5.6999999999999993</v>
      </c>
      <c r="F211">
        <v>5.6999999999999993</v>
      </c>
      <c r="G211">
        <v>3.9919786096256682</v>
      </c>
      <c r="H211">
        <v>2.2484150338191191</v>
      </c>
      <c r="I211">
        <v>2.2484150338191191</v>
      </c>
      <c r="J211">
        <v>1.5746710036081928</v>
      </c>
      <c r="K211">
        <v>0</v>
      </c>
      <c r="L211">
        <v>0</v>
      </c>
      <c r="M211">
        <v>0.67374403021092633</v>
      </c>
      <c r="N211">
        <v>0</v>
      </c>
      <c r="O211">
        <v>0.32467100360819279</v>
      </c>
      <c r="P211">
        <v>0</v>
      </c>
      <c r="Q211">
        <v>0.25</v>
      </c>
      <c r="R211">
        <v>0</v>
      </c>
      <c r="S211">
        <v>0</v>
      </c>
      <c r="T211">
        <v>0</v>
      </c>
      <c r="U211">
        <v>0</v>
      </c>
      <c r="V211">
        <v>0</v>
      </c>
      <c r="W211">
        <v>0</v>
      </c>
      <c r="X211">
        <v>0</v>
      </c>
      <c r="Y211">
        <v>1</v>
      </c>
      <c r="Z211">
        <v>0</v>
      </c>
      <c r="AA211">
        <v>0</v>
      </c>
      <c r="AB211">
        <v>0</v>
      </c>
      <c r="AC211">
        <v>0</v>
      </c>
      <c r="AD211">
        <v>0</v>
      </c>
      <c r="AE211" t="s">
        <v>212</v>
      </c>
      <c r="AF211">
        <v>10</v>
      </c>
      <c r="AG211" t="s">
        <v>188</v>
      </c>
      <c r="AI211">
        <v>45578</v>
      </c>
      <c r="AJ211" t="s">
        <v>168</v>
      </c>
    </row>
    <row r="212" spans="1:36" x14ac:dyDescent="0.25">
      <c r="A212" s="1">
        <v>45579</v>
      </c>
      <c r="B212" t="s">
        <v>13</v>
      </c>
      <c r="C212" t="s">
        <v>10</v>
      </c>
      <c r="D212">
        <v>5.7593984962406006</v>
      </c>
      <c r="E212">
        <v>4.75</v>
      </c>
      <c r="F212">
        <v>4.75</v>
      </c>
      <c r="G212">
        <v>3.714506855373727</v>
      </c>
      <c r="H212">
        <v>0.82473890339425604</v>
      </c>
      <c r="I212">
        <v>0.82473890339425604</v>
      </c>
      <c r="J212">
        <v>0.64494701274765764</v>
      </c>
      <c r="K212">
        <v>0</v>
      </c>
      <c r="L212">
        <v>0</v>
      </c>
      <c r="M212">
        <v>0</v>
      </c>
      <c r="N212">
        <v>0</v>
      </c>
      <c r="O212">
        <v>0</v>
      </c>
      <c r="P212">
        <v>0</v>
      </c>
      <c r="Q212">
        <v>0</v>
      </c>
      <c r="R212">
        <v>0</v>
      </c>
      <c r="S212">
        <v>0</v>
      </c>
      <c r="T212">
        <v>0</v>
      </c>
      <c r="U212">
        <v>0.17526109660574396</v>
      </c>
      <c r="V212">
        <v>0</v>
      </c>
      <c r="W212">
        <v>0.1797918906465984</v>
      </c>
      <c r="X212">
        <v>0</v>
      </c>
      <c r="Y212">
        <v>0.64494701274765764</v>
      </c>
      <c r="Z212">
        <v>0</v>
      </c>
      <c r="AA212">
        <v>0</v>
      </c>
      <c r="AB212">
        <v>0</v>
      </c>
      <c r="AC212">
        <v>0</v>
      </c>
      <c r="AD212">
        <v>0</v>
      </c>
      <c r="AE212" t="s">
        <v>166</v>
      </c>
      <c r="AF212">
        <v>10</v>
      </c>
      <c r="AG212" t="s">
        <v>189</v>
      </c>
      <c r="AH212">
        <v>1</v>
      </c>
      <c r="AI212">
        <v>45579</v>
      </c>
      <c r="AJ212" t="s">
        <v>168</v>
      </c>
    </row>
    <row r="213" spans="1:36" x14ac:dyDescent="0.25">
      <c r="A213" s="1">
        <v>45579</v>
      </c>
      <c r="B213" t="s">
        <v>13</v>
      </c>
      <c r="C213" t="s">
        <v>11</v>
      </c>
      <c r="D213">
        <v>1</v>
      </c>
      <c r="E213">
        <v>0</v>
      </c>
      <c r="F213">
        <v>0</v>
      </c>
      <c r="G213">
        <v>1.1401127252520442</v>
      </c>
      <c r="H213">
        <v>0</v>
      </c>
      <c r="I213">
        <v>0</v>
      </c>
      <c r="J213">
        <v>1.1401127252520442</v>
      </c>
      <c r="K213">
        <v>0.14011272525204421</v>
      </c>
      <c r="L213">
        <v>0</v>
      </c>
      <c r="M213">
        <v>0</v>
      </c>
      <c r="N213">
        <v>0</v>
      </c>
      <c r="O213">
        <v>0</v>
      </c>
      <c r="P213">
        <v>0</v>
      </c>
      <c r="Q213">
        <v>0</v>
      </c>
      <c r="R213">
        <v>0</v>
      </c>
      <c r="S213">
        <v>0</v>
      </c>
      <c r="T213">
        <v>0</v>
      </c>
      <c r="U213">
        <v>0</v>
      </c>
      <c r="V213">
        <v>0</v>
      </c>
      <c r="W213">
        <v>0</v>
      </c>
      <c r="X213">
        <v>0</v>
      </c>
      <c r="Y213">
        <v>0</v>
      </c>
      <c r="Z213">
        <v>0</v>
      </c>
      <c r="AA213">
        <v>0</v>
      </c>
      <c r="AB213">
        <v>0</v>
      </c>
      <c r="AC213">
        <v>1</v>
      </c>
      <c r="AD213">
        <v>0</v>
      </c>
      <c r="AE213" t="s">
        <v>166</v>
      </c>
      <c r="AF213">
        <v>10</v>
      </c>
      <c r="AG213" t="s">
        <v>191</v>
      </c>
      <c r="AH213">
        <v>1</v>
      </c>
      <c r="AI213">
        <v>45579</v>
      </c>
      <c r="AJ213" t="s">
        <v>168</v>
      </c>
    </row>
    <row r="214" spans="1:36" x14ac:dyDescent="0.25">
      <c r="A214" s="1">
        <v>45579</v>
      </c>
      <c r="B214" t="s">
        <v>13</v>
      </c>
      <c r="C214" t="s">
        <v>12</v>
      </c>
      <c r="D214">
        <v>2.8796992481203003</v>
      </c>
      <c r="E214">
        <v>3.8</v>
      </c>
      <c r="F214">
        <v>3.8</v>
      </c>
      <c r="G214">
        <v>2.4665314401622722</v>
      </c>
      <c r="H214">
        <v>1.3195822454308095</v>
      </c>
      <c r="I214">
        <v>1.3195822454308095</v>
      </c>
      <c r="J214">
        <v>0.85652397269342628</v>
      </c>
      <c r="K214">
        <v>0</v>
      </c>
      <c r="L214">
        <v>0</v>
      </c>
      <c r="M214">
        <v>6.9582245430809486E-2</v>
      </c>
      <c r="N214">
        <v>0</v>
      </c>
      <c r="O214">
        <v>0</v>
      </c>
      <c r="P214">
        <v>0</v>
      </c>
      <c r="Q214">
        <v>0</v>
      </c>
      <c r="R214">
        <v>0</v>
      </c>
      <c r="S214">
        <v>0.25</v>
      </c>
      <c r="T214">
        <v>0</v>
      </c>
      <c r="U214">
        <v>0</v>
      </c>
      <c r="V214">
        <v>0</v>
      </c>
      <c r="W214">
        <v>0.14347602730657372</v>
      </c>
      <c r="X214">
        <v>0</v>
      </c>
      <c r="Y214">
        <v>0.85652397269342628</v>
      </c>
      <c r="Z214">
        <v>0</v>
      </c>
      <c r="AA214">
        <v>0</v>
      </c>
      <c r="AB214">
        <v>0</v>
      </c>
      <c r="AC214">
        <v>0</v>
      </c>
      <c r="AD214">
        <v>0</v>
      </c>
      <c r="AE214" t="s">
        <v>166</v>
      </c>
      <c r="AF214">
        <v>10</v>
      </c>
      <c r="AG214" t="s">
        <v>190</v>
      </c>
      <c r="AH214">
        <v>1</v>
      </c>
      <c r="AI214">
        <v>45579</v>
      </c>
      <c r="AJ214" t="s">
        <v>168</v>
      </c>
    </row>
    <row r="215" spans="1:36" x14ac:dyDescent="0.25">
      <c r="A215" s="1">
        <v>45579</v>
      </c>
      <c r="B215" t="s">
        <v>13</v>
      </c>
      <c r="C215" t="s">
        <v>10</v>
      </c>
      <c r="D215">
        <v>6.8471096572600345</v>
      </c>
      <c r="E215">
        <v>3.8</v>
      </c>
      <c r="F215">
        <v>3.8</v>
      </c>
      <c r="G215">
        <v>2.2407754010695187</v>
      </c>
      <c r="H215">
        <v>0.55497869761306295</v>
      </c>
      <c r="I215">
        <v>0.55497869761306295</v>
      </c>
      <c r="J215">
        <v>0.32725858256025009</v>
      </c>
      <c r="K215">
        <v>0</v>
      </c>
      <c r="L215">
        <v>0</v>
      </c>
      <c r="M215">
        <v>0</v>
      </c>
      <c r="N215">
        <v>0</v>
      </c>
      <c r="O215">
        <v>0</v>
      </c>
      <c r="P215">
        <v>0</v>
      </c>
      <c r="Q215">
        <v>0</v>
      </c>
      <c r="R215">
        <v>0</v>
      </c>
      <c r="S215">
        <v>0</v>
      </c>
      <c r="T215">
        <v>0</v>
      </c>
      <c r="U215">
        <v>0.44502130238693705</v>
      </c>
      <c r="V215">
        <v>0</v>
      </c>
      <c r="W215">
        <v>0.22772011505281287</v>
      </c>
      <c r="X215">
        <v>0</v>
      </c>
      <c r="Y215">
        <v>0.32725858256025009</v>
      </c>
      <c r="Z215">
        <v>0</v>
      </c>
      <c r="AA215">
        <v>0</v>
      </c>
      <c r="AB215">
        <v>0</v>
      </c>
      <c r="AC215">
        <v>0</v>
      </c>
      <c r="AD215">
        <v>0</v>
      </c>
      <c r="AE215" t="s">
        <v>212</v>
      </c>
      <c r="AF215">
        <v>10</v>
      </c>
      <c r="AG215" t="s">
        <v>189</v>
      </c>
      <c r="AI215">
        <v>45579</v>
      </c>
      <c r="AJ215" t="s">
        <v>168</v>
      </c>
    </row>
    <row r="216" spans="1:36" x14ac:dyDescent="0.25">
      <c r="A216" s="1">
        <v>45579</v>
      </c>
      <c r="B216" t="s">
        <v>13</v>
      </c>
      <c r="C216" t="s">
        <v>11</v>
      </c>
      <c r="D216">
        <v>0.84615384615384603</v>
      </c>
      <c r="E216">
        <v>1.9</v>
      </c>
      <c r="F216">
        <v>1.9</v>
      </c>
      <c r="G216">
        <v>1.9282047025623392</v>
      </c>
      <c r="H216">
        <v>2.2454545454545456</v>
      </c>
      <c r="I216">
        <v>2.2454545454545456</v>
      </c>
      <c r="J216">
        <v>2.278787375755492</v>
      </c>
      <c r="K216">
        <v>3.3332830300946359E-2</v>
      </c>
      <c r="L216">
        <v>0</v>
      </c>
      <c r="M216">
        <v>0</v>
      </c>
      <c r="N216">
        <v>0</v>
      </c>
      <c r="O216">
        <v>0.99545454545454559</v>
      </c>
      <c r="P216">
        <v>0</v>
      </c>
      <c r="Q216">
        <v>0.25</v>
      </c>
      <c r="R216">
        <v>0</v>
      </c>
      <c r="S216">
        <v>0</v>
      </c>
      <c r="T216">
        <v>0</v>
      </c>
      <c r="U216">
        <v>0</v>
      </c>
      <c r="V216">
        <v>0</v>
      </c>
      <c r="W216">
        <v>0</v>
      </c>
      <c r="X216">
        <v>0</v>
      </c>
      <c r="Y216">
        <v>1</v>
      </c>
      <c r="Z216">
        <v>0</v>
      </c>
      <c r="AA216">
        <v>0</v>
      </c>
      <c r="AB216">
        <v>0</v>
      </c>
      <c r="AC216">
        <v>0</v>
      </c>
      <c r="AD216">
        <v>0</v>
      </c>
      <c r="AE216" t="s">
        <v>212</v>
      </c>
      <c r="AF216">
        <v>10</v>
      </c>
      <c r="AG216" t="s">
        <v>191</v>
      </c>
      <c r="AI216">
        <v>45579</v>
      </c>
      <c r="AJ216" t="s">
        <v>168</v>
      </c>
    </row>
    <row r="217" spans="1:36" x14ac:dyDescent="0.25">
      <c r="A217" s="1">
        <v>45579</v>
      </c>
      <c r="B217" t="s">
        <v>13</v>
      </c>
      <c r="C217" t="s">
        <v>12</v>
      </c>
      <c r="D217">
        <v>2.5351191458269504</v>
      </c>
      <c r="E217">
        <v>3.8</v>
      </c>
      <c r="F217">
        <v>3.8</v>
      </c>
      <c r="G217">
        <v>3.0965066736228852</v>
      </c>
      <c r="H217">
        <v>1.498943355879413</v>
      </c>
      <c r="I217">
        <v>1.498943355879413</v>
      </c>
      <c r="J217">
        <v>1.2214442381219173</v>
      </c>
      <c r="K217">
        <v>0</v>
      </c>
      <c r="L217">
        <v>0</v>
      </c>
      <c r="M217">
        <v>0.24894335587941296</v>
      </c>
      <c r="N217">
        <v>0</v>
      </c>
      <c r="O217">
        <v>0</v>
      </c>
      <c r="P217">
        <v>0</v>
      </c>
      <c r="Q217">
        <v>0.22144423812191727</v>
      </c>
      <c r="R217">
        <v>0</v>
      </c>
      <c r="S217">
        <v>2.855576187808273E-2</v>
      </c>
      <c r="T217">
        <v>0</v>
      </c>
      <c r="U217">
        <v>0</v>
      </c>
      <c r="V217">
        <v>0</v>
      </c>
      <c r="W217">
        <v>0</v>
      </c>
      <c r="X217">
        <v>0</v>
      </c>
      <c r="Y217">
        <v>1</v>
      </c>
      <c r="Z217">
        <v>0</v>
      </c>
      <c r="AA217">
        <v>0</v>
      </c>
      <c r="AB217">
        <v>0</v>
      </c>
      <c r="AC217">
        <v>0</v>
      </c>
      <c r="AD217">
        <v>0</v>
      </c>
      <c r="AE217" t="s">
        <v>212</v>
      </c>
      <c r="AF217">
        <v>10</v>
      </c>
      <c r="AG217" t="s">
        <v>190</v>
      </c>
      <c r="AI217">
        <v>45579</v>
      </c>
      <c r="AJ217" t="s">
        <v>168</v>
      </c>
    </row>
    <row r="218" spans="1:36" x14ac:dyDescent="0.25">
      <c r="A218" s="1">
        <v>45580</v>
      </c>
      <c r="B218" t="s">
        <v>13</v>
      </c>
      <c r="C218" t="s">
        <v>10</v>
      </c>
      <c r="D218">
        <v>5.7593984962406006</v>
      </c>
      <c r="E218">
        <v>3.8</v>
      </c>
      <c r="F218">
        <v>3.8</v>
      </c>
      <c r="G218">
        <v>2.8447589562140649</v>
      </c>
      <c r="H218">
        <v>0.65979112271540474</v>
      </c>
      <c r="I218">
        <v>0.65979112271540474</v>
      </c>
      <c r="J218">
        <v>0.49393334357241603</v>
      </c>
      <c r="K218">
        <v>0</v>
      </c>
      <c r="L218">
        <v>0</v>
      </c>
      <c r="M218">
        <v>0</v>
      </c>
      <c r="N218">
        <v>0</v>
      </c>
      <c r="O218">
        <v>0</v>
      </c>
      <c r="P218">
        <v>0</v>
      </c>
      <c r="Q218">
        <v>0</v>
      </c>
      <c r="R218">
        <v>0</v>
      </c>
      <c r="S218">
        <v>0</v>
      </c>
      <c r="T218">
        <v>0</v>
      </c>
      <c r="U218">
        <v>0.34020887728459526</v>
      </c>
      <c r="V218">
        <v>0</v>
      </c>
      <c r="W218">
        <v>0.16585777914298871</v>
      </c>
      <c r="X218">
        <v>0</v>
      </c>
      <c r="Y218">
        <v>0.49393334357241603</v>
      </c>
      <c r="Z218">
        <v>0</v>
      </c>
      <c r="AA218">
        <v>0</v>
      </c>
      <c r="AB218">
        <v>0</v>
      </c>
      <c r="AC218">
        <v>0</v>
      </c>
      <c r="AD218">
        <v>0</v>
      </c>
      <c r="AE218" t="s">
        <v>166</v>
      </c>
      <c r="AF218">
        <v>10</v>
      </c>
      <c r="AG218" t="s">
        <v>193</v>
      </c>
      <c r="AH218">
        <v>1</v>
      </c>
      <c r="AI218">
        <v>45580</v>
      </c>
      <c r="AJ218" t="s">
        <v>168</v>
      </c>
    </row>
    <row r="219" spans="1:36" x14ac:dyDescent="0.25">
      <c r="A219" s="1">
        <v>45580</v>
      </c>
      <c r="B219" t="s">
        <v>13</v>
      </c>
      <c r="C219" t="s">
        <v>11</v>
      </c>
      <c r="D219">
        <v>1</v>
      </c>
      <c r="E219">
        <v>0</v>
      </c>
      <c r="F219">
        <v>0</v>
      </c>
      <c r="G219">
        <v>0.24132730015082957</v>
      </c>
      <c r="H219">
        <v>0</v>
      </c>
      <c r="I219">
        <v>0</v>
      </c>
      <c r="J219">
        <v>0.24132730015082957</v>
      </c>
      <c r="K219">
        <v>0</v>
      </c>
      <c r="L219">
        <v>0</v>
      </c>
      <c r="M219">
        <v>0</v>
      </c>
      <c r="N219">
        <v>0</v>
      </c>
      <c r="O219">
        <v>0</v>
      </c>
      <c r="P219">
        <v>0</v>
      </c>
      <c r="Q219">
        <v>0</v>
      </c>
      <c r="R219">
        <v>0</v>
      </c>
      <c r="S219">
        <v>0</v>
      </c>
      <c r="T219">
        <v>0.24132730015082957</v>
      </c>
      <c r="U219">
        <v>0.75867269984917041</v>
      </c>
      <c r="V219">
        <v>0</v>
      </c>
      <c r="W219">
        <v>0</v>
      </c>
      <c r="X219">
        <v>0</v>
      </c>
      <c r="Y219">
        <v>0</v>
      </c>
      <c r="Z219">
        <v>0</v>
      </c>
      <c r="AA219">
        <v>0</v>
      </c>
      <c r="AB219">
        <v>0</v>
      </c>
      <c r="AC219">
        <v>0</v>
      </c>
      <c r="AD219">
        <v>0</v>
      </c>
      <c r="AE219" t="s">
        <v>166</v>
      </c>
      <c r="AF219">
        <v>10</v>
      </c>
      <c r="AG219" t="s">
        <v>194</v>
      </c>
      <c r="AH219">
        <v>1</v>
      </c>
      <c r="AI219">
        <v>45580</v>
      </c>
      <c r="AJ219" t="s">
        <v>168</v>
      </c>
    </row>
    <row r="220" spans="1:36" x14ac:dyDescent="0.25">
      <c r="A220" s="1">
        <v>45580</v>
      </c>
      <c r="B220" t="s">
        <v>13</v>
      </c>
      <c r="C220" t="s">
        <v>12</v>
      </c>
      <c r="D220">
        <v>2.8796992481203003</v>
      </c>
      <c r="E220">
        <v>2.8499999999999996</v>
      </c>
      <c r="F220">
        <v>2.8499999999999996</v>
      </c>
      <c r="G220">
        <v>3.1683569979716029</v>
      </c>
      <c r="H220">
        <v>0.98968668407310711</v>
      </c>
      <c r="I220">
        <v>0.98968668407310711</v>
      </c>
      <c r="J220">
        <v>1.1002388530815228</v>
      </c>
      <c r="K220">
        <v>0.10023885308152281</v>
      </c>
      <c r="L220">
        <v>0</v>
      </c>
      <c r="M220">
        <v>0</v>
      </c>
      <c r="N220">
        <v>0</v>
      </c>
      <c r="O220">
        <v>0</v>
      </c>
      <c r="P220">
        <v>0</v>
      </c>
      <c r="Q220">
        <v>0</v>
      </c>
      <c r="R220">
        <v>0</v>
      </c>
      <c r="S220">
        <v>0</v>
      </c>
      <c r="T220">
        <v>1.0313315926892885E-2</v>
      </c>
      <c r="U220">
        <v>0</v>
      </c>
      <c r="V220">
        <v>0</v>
      </c>
      <c r="W220">
        <v>0</v>
      </c>
      <c r="X220">
        <v>0</v>
      </c>
      <c r="Y220">
        <v>0.98968668407310711</v>
      </c>
      <c r="Z220">
        <v>0</v>
      </c>
      <c r="AA220">
        <v>0</v>
      </c>
      <c r="AB220">
        <v>0</v>
      </c>
      <c r="AC220">
        <v>0</v>
      </c>
      <c r="AD220">
        <v>0</v>
      </c>
      <c r="AE220" t="s">
        <v>166</v>
      </c>
      <c r="AF220">
        <v>10</v>
      </c>
      <c r="AG220" t="s">
        <v>192</v>
      </c>
      <c r="AH220">
        <v>1</v>
      </c>
      <c r="AI220">
        <v>45580</v>
      </c>
      <c r="AJ220" t="s">
        <v>168</v>
      </c>
    </row>
    <row r="221" spans="1:36" x14ac:dyDescent="0.25">
      <c r="A221" s="1">
        <v>45580</v>
      </c>
      <c r="B221" t="s">
        <v>13</v>
      </c>
      <c r="C221" t="s">
        <v>10</v>
      </c>
      <c r="D221">
        <v>6.8471096572600336</v>
      </c>
      <c r="E221">
        <v>3.8</v>
      </c>
      <c r="F221">
        <v>3.8</v>
      </c>
      <c r="G221">
        <v>0.99895384983261604</v>
      </c>
      <c r="H221">
        <v>0.55497869761306307</v>
      </c>
      <c r="I221">
        <v>0.55497869761306307</v>
      </c>
      <c r="J221">
        <v>0.14589423856727912</v>
      </c>
      <c r="K221">
        <v>0</v>
      </c>
      <c r="L221">
        <v>0</v>
      </c>
      <c r="M221">
        <v>0</v>
      </c>
      <c r="N221">
        <v>0</v>
      </c>
      <c r="O221">
        <v>0</v>
      </c>
      <c r="P221">
        <v>0</v>
      </c>
      <c r="Q221">
        <v>0</v>
      </c>
      <c r="R221">
        <v>0</v>
      </c>
      <c r="S221">
        <v>0</v>
      </c>
      <c r="T221">
        <v>0</v>
      </c>
      <c r="U221">
        <v>0.44502130238693693</v>
      </c>
      <c r="V221">
        <v>0</v>
      </c>
      <c r="W221">
        <v>0.40908445904578394</v>
      </c>
      <c r="X221">
        <v>0</v>
      </c>
      <c r="Y221">
        <v>0.14589423856727912</v>
      </c>
      <c r="Z221">
        <v>0</v>
      </c>
      <c r="AA221">
        <v>0</v>
      </c>
      <c r="AB221">
        <v>0</v>
      </c>
      <c r="AC221">
        <v>0</v>
      </c>
      <c r="AD221">
        <v>0</v>
      </c>
      <c r="AE221" t="s">
        <v>212</v>
      </c>
      <c r="AF221">
        <v>10</v>
      </c>
      <c r="AG221" t="s">
        <v>193</v>
      </c>
      <c r="AI221">
        <v>45580</v>
      </c>
      <c r="AJ221" t="s">
        <v>168</v>
      </c>
    </row>
    <row r="222" spans="1:36" x14ac:dyDescent="0.25">
      <c r="A222" s="1">
        <v>45580</v>
      </c>
      <c r="B222" t="s">
        <v>13</v>
      </c>
      <c r="C222" t="s">
        <v>11</v>
      </c>
      <c r="D222">
        <v>0.84615384615384603</v>
      </c>
      <c r="E222">
        <v>1.9</v>
      </c>
      <c r="F222">
        <v>1.9</v>
      </c>
      <c r="G222">
        <v>1.9964349376114079</v>
      </c>
      <c r="H222">
        <v>2.2454545454545456</v>
      </c>
      <c r="I222">
        <v>2.2454545454545456</v>
      </c>
      <c r="J222">
        <v>2.3594231080862098</v>
      </c>
      <c r="K222">
        <v>0.11396856263166422</v>
      </c>
      <c r="L222">
        <v>0</v>
      </c>
      <c r="M222">
        <v>0</v>
      </c>
      <c r="N222">
        <v>0</v>
      </c>
      <c r="O222">
        <v>0.99545454545454559</v>
      </c>
      <c r="P222">
        <v>0</v>
      </c>
      <c r="Q222">
        <v>0.25</v>
      </c>
      <c r="R222">
        <v>0</v>
      </c>
      <c r="S222">
        <v>0</v>
      </c>
      <c r="T222">
        <v>0</v>
      </c>
      <c r="U222">
        <v>0</v>
      </c>
      <c r="V222">
        <v>0</v>
      </c>
      <c r="W222">
        <v>0</v>
      </c>
      <c r="X222">
        <v>0</v>
      </c>
      <c r="Y222">
        <v>1</v>
      </c>
      <c r="Z222">
        <v>0</v>
      </c>
      <c r="AA222">
        <v>0</v>
      </c>
      <c r="AB222">
        <v>0</v>
      </c>
      <c r="AC222">
        <v>0</v>
      </c>
      <c r="AD222">
        <v>0</v>
      </c>
      <c r="AE222" t="s">
        <v>212</v>
      </c>
      <c r="AF222">
        <v>10</v>
      </c>
      <c r="AG222" t="s">
        <v>194</v>
      </c>
      <c r="AI222">
        <v>45580</v>
      </c>
      <c r="AJ222" t="s">
        <v>168</v>
      </c>
    </row>
    <row r="223" spans="1:36" x14ac:dyDescent="0.25">
      <c r="A223" s="1">
        <v>45580</v>
      </c>
      <c r="B223" t="s">
        <v>13</v>
      </c>
      <c r="C223" t="s">
        <v>12</v>
      </c>
      <c r="D223">
        <v>2.5351191458269504</v>
      </c>
      <c r="E223">
        <v>3.8</v>
      </c>
      <c r="F223">
        <v>3.8</v>
      </c>
      <c r="G223">
        <v>3.8215240641711223</v>
      </c>
      <c r="H223">
        <v>1.498943355879413</v>
      </c>
      <c r="I223">
        <v>1.498943355879413</v>
      </c>
      <c r="J223">
        <v>1.5074337119269987</v>
      </c>
      <c r="K223">
        <v>8.4903560475857454E-3</v>
      </c>
      <c r="L223">
        <v>0</v>
      </c>
      <c r="M223">
        <v>0</v>
      </c>
      <c r="N223">
        <v>0</v>
      </c>
      <c r="O223">
        <v>0.24894335587941296</v>
      </c>
      <c r="P223">
        <v>0</v>
      </c>
      <c r="Q223">
        <v>0.25</v>
      </c>
      <c r="R223">
        <v>0</v>
      </c>
      <c r="S223">
        <v>0</v>
      </c>
      <c r="T223">
        <v>0</v>
      </c>
      <c r="U223">
        <v>0</v>
      </c>
      <c r="V223">
        <v>0</v>
      </c>
      <c r="W223">
        <v>0</v>
      </c>
      <c r="X223">
        <v>0</v>
      </c>
      <c r="Y223">
        <v>1</v>
      </c>
      <c r="Z223">
        <v>0</v>
      </c>
      <c r="AA223">
        <v>0</v>
      </c>
      <c r="AB223">
        <v>0</v>
      </c>
      <c r="AC223">
        <v>0</v>
      </c>
      <c r="AD223">
        <v>0</v>
      </c>
      <c r="AE223" t="s">
        <v>212</v>
      </c>
      <c r="AF223">
        <v>10</v>
      </c>
      <c r="AG223" t="s">
        <v>192</v>
      </c>
      <c r="AI223">
        <v>45580</v>
      </c>
      <c r="AJ223" t="s">
        <v>168</v>
      </c>
    </row>
    <row r="224" spans="1:36" x14ac:dyDescent="0.25">
      <c r="A224" s="1">
        <v>45581</v>
      </c>
      <c r="B224" t="s">
        <v>13</v>
      </c>
      <c r="C224" t="s">
        <v>12</v>
      </c>
      <c r="D224">
        <v>2.8796992481203003</v>
      </c>
      <c r="E224">
        <v>4.75</v>
      </c>
      <c r="F224">
        <v>4.75</v>
      </c>
      <c r="G224">
        <v>1.5253549695740365</v>
      </c>
      <c r="H224">
        <v>1.6494778067885121</v>
      </c>
      <c r="I224">
        <v>1.6494778067885121</v>
      </c>
      <c r="J224">
        <v>0.5296924567972503</v>
      </c>
      <c r="K224">
        <v>0</v>
      </c>
      <c r="L224">
        <v>0</v>
      </c>
      <c r="M224">
        <v>0.39947780678851208</v>
      </c>
      <c r="N224">
        <v>0</v>
      </c>
      <c r="O224">
        <v>0</v>
      </c>
      <c r="P224">
        <v>0</v>
      </c>
      <c r="Q224">
        <v>0</v>
      </c>
      <c r="R224">
        <v>0</v>
      </c>
      <c r="S224">
        <v>0.25</v>
      </c>
      <c r="T224">
        <v>0</v>
      </c>
      <c r="U224">
        <v>0</v>
      </c>
      <c r="V224">
        <v>0</v>
      </c>
      <c r="W224">
        <v>0.4703075432027497</v>
      </c>
      <c r="X224">
        <v>0</v>
      </c>
      <c r="Y224">
        <v>0.5296924567972503</v>
      </c>
      <c r="Z224">
        <v>0</v>
      </c>
      <c r="AA224">
        <v>0</v>
      </c>
      <c r="AB224">
        <v>0</v>
      </c>
      <c r="AC224">
        <v>0</v>
      </c>
      <c r="AD224">
        <v>0</v>
      </c>
      <c r="AE224" t="s">
        <v>166</v>
      </c>
      <c r="AF224">
        <v>10</v>
      </c>
      <c r="AG224" t="s">
        <v>197</v>
      </c>
      <c r="AH224">
        <v>1</v>
      </c>
      <c r="AI224">
        <v>45581</v>
      </c>
      <c r="AJ224" t="s">
        <v>168</v>
      </c>
    </row>
    <row r="225" spans="1:36" x14ac:dyDescent="0.25">
      <c r="A225" s="1">
        <v>45581</v>
      </c>
      <c r="B225" t="s">
        <v>13</v>
      </c>
      <c r="C225" t="s">
        <v>10</v>
      </c>
      <c r="D225">
        <v>5.7593984962406006</v>
      </c>
      <c r="E225">
        <v>3.8</v>
      </c>
      <c r="F225">
        <v>3.8</v>
      </c>
      <c r="G225">
        <v>3.6806722689075615</v>
      </c>
      <c r="H225">
        <v>0.65979112271540474</v>
      </c>
      <c r="I225">
        <v>0.65979112271540474</v>
      </c>
      <c r="J225">
        <v>0.63907233911841477</v>
      </c>
      <c r="K225">
        <v>0</v>
      </c>
      <c r="L225">
        <v>0</v>
      </c>
      <c r="M225">
        <v>0</v>
      </c>
      <c r="N225">
        <v>0</v>
      </c>
      <c r="O225">
        <v>0</v>
      </c>
      <c r="P225">
        <v>0</v>
      </c>
      <c r="Q225">
        <v>0</v>
      </c>
      <c r="R225">
        <v>0</v>
      </c>
      <c r="S225">
        <v>0</v>
      </c>
      <c r="T225">
        <v>0</v>
      </c>
      <c r="U225">
        <v>0.34020887728459526</v>
      </c>
      <c r="V225">
        <v>0</v>
      </c>
      <c r="W225">
        <v>2.0718783596989976E-2</v>
      </c>
      <c r="X225">
        <v>0</v>
      </c>
      <c r="Y225">
        <v>0.63907233911841477</v>
      </c>
      <c r="Z225">
        <v>0</v>
      </c>
      <c r="AA225">
        <v>0</v>
      </c>
      <c r="AB225">
        <v>0</v>
      </c>
      <c r="AC225">
        <v>0</v>
      </c>
      <c r="AD225">
        <v>0</v>
      </c>
      <c r="AE225" t="s">
        <v>166</v>
      </c>
      <c r="AF225">
        <v>10</v>
      </c>
      <c r="AG225" t="s">
        <v>195</v>
      </c>
      <c r="AH225">
        <v>1</v>
      </c>
      <c r="AI225">
        <v>45581</v>
      </c>
      <c r="AJ225" t="s">
        <v>168</v>
      </c>
    </row>
    <row r="226" spans="1:36" x14ac:dyDescent="0.25">
      <c r="A226" s="1">
        <v>45581</v>
      </c>
      <c r="B226" t="s">
        <v>13</v>
      </c>
      <c r="C226" t="s">
        <v>11</v>
      </c>
      <c r="D226">
        <v>1</v>
      </c>
      <c r="E226">
        <v>0</v>
      </c>
      <c r="F226">
        <v>0</v>
      </c>
      <c r="G226">
        <v>0.12066365007541478</v>
      </c>
      <c r="H226">
        <v>0</v>
      </c>
      <c r="I226">
        <v>0</v>
      </c>
      <c r="J226">
        <v>0.12066365007541478</v>
      </c>
      <c r="K226">
        <v>0</v>
      </c>
      <c r="L226">
        <v>0</v>
      </c>
      <c r="M226">
        <v>0</v>
      </c>
      <c r="N226">
        <v>0</v>
      </c>
      <c r="O226">
        <v>0</v>
      </c>
      <c r="P226">
        <v>0</v>
      </c>
      <c r="Q226">
        <v>0</v>
      </c>
      <c r="R226">
        <v>0</v>
      </c>
      <c r="S226">
        <v>0</v>
      </c>
      <c r="T226">
        <v>0.12066365007541478</v>
      </c>
      <c r="U226">
        <v>0.8793363499245852</v>
      </c>
      <c r="V226">
        <v>0</v>
      </c>
      <c r="W226">
        <v>0</v>
      </c>
      <c r="X226">
        <v>0</v>
      </c>
      <c r="Y226">
        <v>0</v>
      </c>
      <c r="Z226">
        <v>0</v>
      </c>
      <c r="AA226">
        <v>0</v>
      </c>
      <c r="AB226">
        <v>0</v>
      </c>
      <c r="AC226">
        <v>0</v>
      </c>
      <c r="AD226">
        <v>0</v>
      </c>
      <c r="AE226" t="s">
        <v>166</v>
      </c>
      <c r="AF226">
        <v>10</v>
      </c>
      <c r="AG226" t="s">
        <v>196</v>
      </c>
      <c r="AH226">
        <v>1</v>
      </c>
      <c r="AI226">
        <v>45581</v>
      </c>
      <c r="AJ226" t="s">
        <v>168</v>
      </c>
    </row>
    <row r="227" spans="1:36" x14ac:dyDescent="0.25">
      <c r="A227" s="1">
        <v>45581</v>
      </c>
      <c r="B227" t="s">
        <v>13</v>
      </c>
      <c r="C227" t="s">
        <v>12</v>
      </c>
      <c r="D227">
        <v>2.5351191458269504</v>
      </c>
      <c r="E227">
        <v>2.8499999999999996</v>
      </c>
      <c r="F227">
        <v>2.8499999999999996</v>
      </c>
      <c r="G227">
        <v>2.9371657754010689</v>
      </c>
      <c r="H227">
        <v>1.1242075169095596</v>
      </c>
      <c r="I227">
        <v>1.1242075169095596</v>
      </c>
      <c r="J227">
        <v>1.1585908221457464</v>
      </c>
      <c r="K227">
        <v>3.4383305236186823E-2</v>
      </c>
      <c r="L227">
        <v>0</v>
      </c>
      <c r="M227">
        <v>0</v>
      </c>
      <c r="N227">
        <v>0</v>
      </c>
      <c r="O227">
        <v>0</v>
      </c>
      <c r="P227">
        <v>0</v>
      </c>
      <c r="Q227">
        <v>0.12420751690955956</v>
      </c>
      <c r="R227">
        <v>0</v>
      </c>
      <c r="S227">
        <v>0</v>
      </c>
      <c r="T227">
        <v>0</v>
      </c>
      <c r="U227">
        <v>0</v>
      </c>
      <c r="V227">
        <v>0</v>
      </c>
      <c r="W227">
        <v>0</v>
      </c>
      <c r="X227">
        <v>0</v>
      </c>
      <c r="Y227">
        <v>1</v>
      </c>
      <c r="Z227">
        <v>0</v>
      </c>
      <c r="AA227">
        <v>0</v>
      </c>
      <c r="AB227">
        <v>0</v>
      </c>
      <c r="AC227">
        <v>0</v>
      </c>
      <c r="AD227">
        <v>0</v>
      </c>
      <c r="AE227" t="s">
        <v>212</v>
      </c>
      <c r="AF227">
        <v>10</v>
      </c>
      <c r="AG227" t="s">
        <v>197</v>
      </c>
      <c r="AI227">
        <v>45581</v>
      </c>
      <c r="AJ227" t="s">
        <v>168</v>
      </c>
    </row>
    <row r="228" spans="1:36" x14ac:dyDescent="0.25">
      <c r="A228" s="1">
        <v>45581</v>
      </c>
      <c r="B228" t="s">
        <v>13</v>
      </c>
      <c r="C228" t="s">
        <v>10</v>
      </c>
      <c r="D228">
        <v>6.8471096572600336</v>
      </c>
      <c r="E228">
        <v>3.8</v>
      </c>
      <c r="F228">
        <v>3.8</v>
      </c>
      <c r="G228">
        <v>1.9377450980392157</v>
      </c>
      <c r="H228">
        <v>0.55497869761306307</v>
      </c>
      <c r="I228">
        <v>0.55497869761306307</v>
      </c>
      <c r="J228">
        <v>0.28300190810944764</v>
      </c>
      <c r="K228">
        <v>0</v>
      </c>
      <c r="L228">
        <v>0</v>
      </c>
      <c r="M228">
        <v>0</v>
      </c>
      <c r="N228">
        <v>0</v>
      </c>
      <c r="O228">
        <v>0</v>
      </c>
      <c r="P228">
        <v>0</v>
      </c>
      <c r="Q228">
        <v>0</v>
      </c>
      <c r="R228">
        <v>0</v>
      </c>
      <c r="S228">
        <v>0</v>
      </c>
      <c r="T228">
        <v>0</v>
      </c>
      <c r="U228">
        <v>0.44502130238693693</v>
      </c>
      <c r="V228">
        <v>0</v>
      </c>
      <c r="W228">
        <v>0.27197678950361542</v>
      </c>
      <c r="X228">
        <v>0</v>
      </c>
      <c r="Y228">
        <v>0.28300190810944764</v>
      </c>
      <c r="Z228">
        <v>0</v>
      </c>
      <c r="AA228">
        <v>0</v>
      </c>
      <c r="AB228">
        <v>0</v>
      </c>
      <c r="AC228">
        <v>0</v>
      </c>
      <c r="AD228">
        <v>0</v>
      </c>
      <c r="AE228" t="s">
        <v>212</v>
      </c>
      <c r="AF228">
        <v>10</v>
      </c>
      <c r="AG228" t="s">
        <v>195</v>
      </c>
      <c r="AI228">
        <v>45581</v>
      </c>
      <c r="AJ228" t="s">
        <v>168</v>
      </c>
    </row>
    <row r="229" spans="1:36" x14ac:dyDescent="0.25">
      <c r="A229" s="1">
        <v>45581</v>
      </c>
      <c r="B229" t="s">
        <v>13</v>
      </c>
      <c r="C229" t="s">
        <v>11</v>
      </c>
      <c r="D229">
        <v>0.84615384615384603</v>
      </c>
      <c r="E229">
        <v>1.9</v>
      </c>
      <c r="F229">
        <v>1.9</v>
      </c>
      <c r="G229">
        <v>1.9679144385026737</v>
      </c>
      <c r="H229">
        <v>2.2454545454545456</v>
      </c>
      <c r="I229">
        <v>2.2454545454545456</v>
      </c>
      <c r="J229">
        <v>2.3257170636849782</v>
      </c>
      <c r="K229">
        <v>8.0262518230432622E-2</v>
      </c>
      <c r="L229">
        <v>0</v>
      </c>
      <c r="M229">
        <v>0</v>
      </c>
      <c r="N229">
        <v>0</v>
      </c>
      <c r="O229">
        <v>0.99545454545454559</v>
      </c>
      <c r="P229">
        <v>0</v>
      </c>
      <c r="Q229">
        <v>0.25</v>
      </c>
      <c r="R229">
        <v>0</v>
      </c>
      <c r="S229">
        <v>0</v>
      </c>
      <c r="T229">
        <v>0</v>
      </c>
      <c r="U229">
        <v>0</v>
      </c>
      <c r="V229">
        <v>0</v>
      </c>
      <c r="W229">
        <v>0</v>
      </c>
      <c r="X229">
        <v>0</v>
      </c>
      <c r="Y229">
        <v>1</v>
      </c>
      <c r="Z229">
        <v>0</v>
      </c>
      <c r="AA229">
        <v>0</v>
      </c>
      <c r="AB229">
        <v>0</v>
      </c>
      <c r="AC229">
        <v>0</v>
      </c>
      <c r="AD229">
        <v>0</v>
      </c>
      <c r="AE229" t="s">
        <v>212</v>
      </c>
      <c r="AF229">
        <v>10</v>
      </c>
      <c r="AG229" t="s">
        <v>196</v>
      </c>
      <c r="AI229">
        <v>45581</v>
      </c>
      <c r="AJ229" t="s">
        <v>168</v>
      </c>
    </row>
    <row r="230" spans="1:36" x14ac:dyDescent="0.25">
      <c r="A230" s="1">
        <v>45582</v>
      </c>
      <c r="B230" t="s">
        <v>13</v>
      </c>
      <c r="C230" t="s">
        <v>12</v>
      </c>
      <c r="D230">
        <v>2.8796992481203003</v>
      </c>
      <c r="E230">
        <v>5.6999999999999993</v>
      </c>
      <c r="F230">
        <v>5.6999999999999993</v>
      </c>
      <c r="G230">
        <v>3.4020153111300142</v>
      </c>
      <c r="H230">
        <v>1.9793733681462142</v>
      </c>
      <c r="I230">
        <v>1.9793733681462142</v>
      </c>
      <c r="J230">
        <v>1.1813786850660364</v>
      </c>
      <c r="K230">
        <v>0</v>
      </c>
      <c r="L230">
        <v>0</v>
      </c>
      <c r="M230">
        <v>0.72937336814621423</v>
      </c>
      <c r="N230">
        <v>0</v>
      </c>
      <c r="O230">
        <v>0</v>
      </c>
      <c r="P230">
        <v>0</v>
      </c>
      <c r="Q230">
        <v>0.18137868506603638</v>
      </c>
      <c r="R230">
        <v>0</v>
      </c>
      <c r="S230">
        <v>6.8621314933963617E-2</v>
      </c>
      <c r="T230">
        <v>0</v>
      </c>
      <c r="U230">
        <v>0</v>
      </c>
      <c r="V230">
        <v>0</v>
      </c>
      <c r="W230">
        <v>0</v>
      </c>
      <c r="X230">
        <v>0</v>
      </c>
      <c r="Y230">
        <v>1</v>
      </c>
      <c r="Z230">
        <v>0</v>
      </c>
      <c r="AA230">
        <v>0</v>
      </c>
      <c r="AB230">
        <v>0</v>
      </c>
      <c r="AC230">
        <v>0</v>
      </c>
      <c r="AD230">
        <v>0</v>
      </c>
      <c r="AE230" t="s">
        <v>166</v>
      </c>
      <c r="AF230">
        <v>10</v>
      </c>
      <c r="AG230" t="s">
        <v>200</v>
      </c>
      <c r="AH230">
        <v>1</v>
      </c>
      <c r="AI230">
        <v>45582</v>
      </c>
      <c r="AJ230" t="s">
        <v>168</v>
      </c>
    </row>
    <row r="231" spans="1:36" x14ac:dyDescent="0.25">
      <c r="A231" s="1">
        <v>45582</v>
      </c>
      <c r="B231" t="s">
        <v>13</v>
      </c>
      <c r="C231" t="s">
        <v>11</v>
      </c>
      <c r="D231">
        <v>1</v>
      </c>
      <c r="E231">
        <v>0</v>
      </c>
      <c r="F231">
        <v>0</v>
      </c>
      <c r="G231">
        <v>1.2600465548632931</v>
      </c>
      <c r="H231">
        <v>0</v>
      </c>
      <c r="I231">
        <v>0</v>
      </c>
      <c r="J231">
        <v>1.2600465548632931</v>
      </c>
      <c r="K231">
        <v>0.26004655486329309</v>
      </c>
      <c r="L231">
        <v>0</v>
      </c>
      <c r="M231">
        <v>0</v>
      </c>
      <c r="N231">
        <v>0</v>
      </c>
      <c r="O231">
        <v>0</v>
      </c>
      <c r="P231">
        <v>0</v>
      </c>
      <c r="Q231">
        <v>0</v>
      </c>
      <c r="R231">
        <v>0</v>
      </c>
      <c r="S231">
        <v>0</v>
      </c>
      <c r="T231">
        <v>0</v>
      </c>
      <c r="U231">
        <v>0</v>
      </c>
      <c r="V231">
        <v>0</v>
      </c>
      <c r="W231">
        <v>0</v>
      </c>
      <c r="X231">
        <v>0</v>
      </c>
      <c r="Y231">
        <v>0</v>
      </c>
      <c r="Z231">
        <v>0</v>
      </c>
      <c r="AA231">
        <v>0</v>
      </c>
      <c r="AB231">
        <v>0</v>
      </c>
      <c r="AC231">
        <v>1</v>
      </c>
      <c r="AD231">
        <v>0</v>
      </c>
      <c r="AE231" t="s">
        <v>166</v>
      </c>
      <c r="AF231">
        <v>10</v>
      </c>
      <c r="AG231" t="s">
        <v>198</v>
      </c>
      <c r="AH231">
        <v>1</v>
      </c>
      <c r="AI231">
        <v>45582</v>
      </c>
      <c r="AJ231" t="s">
        <v>168</v>
      </c>
    </row>
    <row r="232" spans="1:36" x14ac:dyDescent="0.25">
      <c r="A232" s="1">
        <v>45582</v>
      </c>
      <c r="B232" t="s">
        <v>13</v>
      </c>
      <c r="C232" t="s">
        <v>10</v>
      </c>
      <c r="D232">
        <v>5.7593984962406006</v>
      </c>
      <c r="E232">
        <v>0.95</v>
      </c>
      <c r="F232">
        <v>0.95</v>
      </c>
      <c r="G232">
        <v>3.7590132827324472</v>
      </c>
      <c r="H232">
        <v>0.16494778067885119</v>
      </c>
      <c r="I232">
        <v>0.16494778067885119</v>
      </c>
      <c r="J232">
        <v>0.65267463003056858</v>
      </c>
      <c r="K232">
        <v>0</v>
      </c>
      <c r="L232">
        <v>0</v>
      </c>
      <c r="M232">
        <v>0</v>
      </c>
      <c r="N232">
        <v>0</v>
      </c>
      <c r="O232">
        <v>0</v>
      </c>
      <c r="P232">
        <v>0</v>
      </c>
      <c r="Q232">
        <v>0</v>
      </c>
      <c r="R232">
        <v>0</v>
      </c>
      <c r="S232">
        <v>0</v>
      </c>
      <c r="T232">
        <v>0.4877268493517174</v>
      </c>
      <c r="U232">
        <v>0.34732536996943142</v>
      </c>
      <c r="V232">
        <v>0</v>
      </c>
      <c r="W232">
        <v>0</v>
      </c>
      <c r="X232">
        <v>0</v>
      </c>
      <c r="Y232">
        <v>0.16494778067885119</v>
      </c>
      <c r="Z232">
        <v>0</v>
      </c>
      <c r="AA232">
        <v>0</v>
      </c>
      <c r="AB232">
        <v>0</v>
      </c>
      <c r="AC232">
        <v>0</v>
      </c>
      <c r="AD232">
        <v>0</v>
      </c>
      <c r="AE232" t="s">
        <v>166</v>
      </c>
      <c r="AF232">
        <v>10</v>
      </c>
      <c r="AG232" t="s">
        <v>199</v>
      </c>
      <c r="AH232">
        <v>1</v>
      </c>
      <c r="AI232">
        <v>45582</v>
      </c>
      <c r="AJ232" t="s">
        <v>168</v>
      </c>
    </row>
    <row r="233" spans="1:36" x14ac:dyDescent="0.25">
      <c r="A233" s="1">
        <v>45582</v>
      </c>
      <c r="B233" t="s">
        <v>13</v>
      </c>
      <c r="C233" t="s">
        <v>12</v>
      </c>
      <c r="D233">
        <v>2.5351191458269504</v>
      </c>
      <c r="E233">
        <v>4.75</v>
      </c>
      <c r="F233">
        <v>4.75</v>
      </c>
      <c r="G233">
        <v>3.7212566844919786</v>
      </c>
      <c r="H233">
        <v>1.8736791948492661</v>
      </c>
      <c r="I233">
        <v>1.8736791948492661</v>
      </c>
      <c r="J233">
        <v>1.467882363879238</v>
      </c>
      <c r="K233">
        <v>0</v>
      </c>
      <c r="L233">
        <v>0</v>
      </c>
      <c r="M233">
        <v>0.40579683097002817</v>
      </c>
      <c r="N233">
        <v>0</v>
      </c>
      <c r="O233">
        <v>0.21788236387923798</v>
      </c>
      <c r="P233">
        <v>0</v>
      </c>
      <c r="Q233">
        <v>0.25</v>
      </c>
      <c r="R233">
        <v>0</v>
      </c>
      <c r="S233">
        <v>0</v>
      </c>
      <c r="T233">
        <v>0</v>
      </c>
      <c r="U233">
        <v>0</v>
      </c>
      <c r="V233">
        <v>0</v>
      </c>
      <c r="W233">
        <v>0</v>
      </c>
      <c r="X233">
        <v>0</v>
      </c>
      <c r="Y233">
        <v>1</v>
      </c>
      <c r="Z233">
        <v>0</v>
      </c>
      <c r="AA233">
        <v>0</v>
      </c>
      <c r="AB233">
        <v>0</v>
      </c>
      <c r="AC233">
        <v>0</v>
      </c>
      <c r="AD233">
        <v>0</v>
      </c>
      <c r="AE233" t="s">
        <v>212</v>
      </c>
      <c r="AF233">
        <v>10</v>
      </c>
      <c r="AG233" t="s">
        <v>200</v>
      </c>
      <c r="AI233">
        <v>45582</v>
      </c>
      <c r="AJ233" t="s">
        <v>168</v>
      </c>
    </row>
    <row r="234" spans="1:36" x14ac:dyDescent="0.25">
      <c r="A234" s="1">
        <v>45582</v>
      </c>
      <c r="B234" t="s">
        <v>13</v>
      </c>
      <c r="C234" t="s">
        <v>11</v>
      </c>
      <c r="D234">
        <v>0.84615384615384603</v>
      </c>
      <c r="E234">
        <v>1.9</v>
      </c>
      <c r="F234">
        <v>1.9</v>
      </c>
      <c r="G234">
        <v>1.9679144385026737</v>
      </c>
      <c r="H234">
        <v>2.2454545454545456</v>
      </c>
      <c r="I234">
        <v>2.2454545454545456</v>
      </c>
      <c r="J234">
        <v>2.3257170636849782</v>
      </c>
      <c r="K234">
        <v>8.0262518230432622E-2</v>
      </c>
      <c r="L234">
        <v>0</v>
      </c>
      <c r="M234">
        <v>0</v>
      </c>
      <c r="N234">
        <v>0</v>
      </c>
      <c r="O234">
        <v>0.99545454545454559</v>
      </c>
      <c r="P234">
        <v>0</v>
      </c>
      <c r="Q234">
        <v>0.25</v>
      </c>
      <c r="R234">
        <v>0</v>
      </c>
      <c r="S234">
        <v>0</v>
      </c>
      <c r="T234">
        <v>0</v>
      </c>
      <c r="U234">
        <v>0</v>
      </c>
      <c r="V234">
        <v>0</v>
      </c>
      <c r="W234">
        <v>0</v>
      </c>
      <c r="X234">
        <v>0</v>
      </c>
      <c r="Y234">
        <v>1</v>
      </c>
      <c r="Z234">
        <v>0</v>
      </c>
      <c r="AA234">
        <v>0</v>
      </c>
      <c r="AB234">
        <v>0</v>
      </c>
      <c r="AC234">
        <v>0</v>
      </c>
      <c r="AD234">
        <v>0</v>
      </c>
      <c r="AE234" t="s">
        <v>212</v>
      </c>
      <c r="AF234">
        <v>10</v>
      </c>
      <c r="AG234" t="s">
        <v>198</v>
      </c>
      <c r="AI234">
        <v>45582</v>
      </c>
      <c r="AJ234" t="s">
        <v>168</v>
      </c>
    </row>
    <row r="235" spans="1:36" x14ac:dyDescent="0.25">
      <c r="A235" s="1">
        <v>45582</v>
      </c>
      <c r="B235" t="s">
        <v>13</v>
      </c>
      <c r="C235" t="s">
        <v>10</v>
      </c>
      <c r="D235">
        <v>6.8471096572600327</v>
      </c>
      <c r="E235">
        <v>3.8</v>
      </c>
      <c r="F235">
        <v>3.8</v>
      </c>
      <c r="G235">
        <v>2.8752450980392155</v>
      </c>
      <c r="H235">
        <v>0.55497869761306307</v>
      </c>
      <c r="I235">
        <v>0.55497869761306307</v>
      </c>
      <c r="J235">
        <v>0.41992099469161787</v>
      </c>
      <c r="K235">
        <v>0</v>
      </c>
      <c r="L235">
        <v>0</v>
      </c>
      <c r="M235">
        <v>0</v>
      </c>
      <c r="N235">
        <v>0</v>
      </c>
      <c r="O235">
        <v>0</v>
      </c>
      <c r="P235">
        <v>0</v>
      </c>
      <c r="Q235">
        <v>0</v>
      </c>
      <c r="R235">
        <v>0</v>
      </c>
      <c r="S235">
        <v>0</v>
      </c>
      <c r="T235">
        <v>0</v>
      </c>
      <c r="U235">
        <v>0.44502130238693693</v>
      </c>
      <c r="V235">
        <v>0</v>
      </c>
      <c r="W235">
        <v>0.1350577029214452</v>
      </c>
      <c r="X235">
        <v>0</v>
      </c>
      <c r="Y235">
        <v>0.41992099469161787</v>
      </c>
      <c r="Z235">
        <v>0</v>
      </c>
      <c r="AA235">
        <v>0</v>
      </c>
      <c r="AB235">
        <v>0</v>
      </c>
      <c r="AC235">
        <v>0</v>
      </c>
      <c r="AD235">
        <v>0</v>
      </c>
      <c r="AE235" t="s">
        <v>212</v>
      </c>
      <c r="AF235">
        <v>10</v>
      </c>
      <c r="AG235" t="s">
        <v>199</v>
      </c>
      <c r="AI235">
        <v>45582</v>
      </c>
      <c r="AJ235" t="s">
        <v>168</v>
      </c>
    </row>
    <row r="236" spans="1:36" x14ac:dyDescent="0.25">
      <c r="A236" s="1">
        <v>45583</v>
      </c>
      <c r="B236" t="s">
        <v>13</v>
      </c>
      <c r="C236" t="s">
        <v>10</v>
      </c>
      <c r="D236">
        <v>5.7593984962406006</v>
      </c>
      <c r="E236">
        <v>2.8499999999999996</v>
      </c>
      <c r="F236">
        <v>2.8499999999999996</v>
      </c>
      <c r="G236">
        <v>3.502922221520187</v>
      </c>
      <c r="H236">
        <v>0.49484334203655356</v>
      </c>
      <c r="I236">
        <v>0.49484334203655356</v>
      </c>
      <c r="J236">
        <v>0.60820973297935366</v>
      </c>
      <c r="K236">
        <v>0</v>
      </c>
      <c r="L236">
        <v>0</v>
      </c>
      <c r="M236">
        <v>0</v>
      </c>
      <c r="N236">
        <v>0</v>
      </c>
      <c r="O236">
        <v>0</v>
      </c>
      <c r="P236">
        <v>0</v>
      </c>
      <c r="Q236">
        <v>0</v>
      </c>
      <c r="R236">
        <v>0</v>
      </c>
      <c r="S236">
        <v>0</v>
      </c>
      <c r="T236">
        <v>0.1133663909428001</v>
      </c>
      <c r="U236">
        <v>0.39179026702064634</v>
      </c>
      <c r="V236">
        <v>0</v>
      </c>
      <c r="W236">
        <v>0</v>
      </c>
      <c r="X236">
        <v>0</v>
      </c>
      <c r="Y236">
        <v>0.49484334203655356</v>
      </c>
      <c r="Z236">
        <v>0</v>
      </c>
      <c r="AA236">
        <v>0</v>
      </c>
      <c r="AB236">
        <v>0</v>
      </c>
      <c r="AC236">
        <v>0</v>
      </c>
      <c r="AD236">
        <v>0</v>
      </c>
      <c r="AE236" t="s">
        <v>166</v>
      </c>
      <c r="AF236">
        <v>10</v>
      </c>
      <c r="AG236" t="s">
        <v>201</v>
      </c>
      <c r="AH236">
        <v>1</v>
      </c>
      <c r="AI236">
        <v>45583</v>
      </c>
      <c r="AJ236" t="s">
        <v>168</v>
      </c>
    </row>
    <row r="237" spans="1:36" x14ac:dyDescent="0.25">
      <c r="A237" s="1">
        <v>45583</v>
      </c>
      <c r="B237" t="s">
        <v>13</v>
      </c>
      <c r="C237" t="s">
        <v>11</v>
      </c>
      <c r="D237">
        <v>1</v>
      </c>
      <c r="E237">
        <v>0</v>
      </c>
      <c r="F237">
        <v>0</v>
      </c>
      <c r="G237">
        <v>1.1913273001508298</v>
      </c>
      <c r="H237">
        <v>0</v>
      </c>
      <c r="I237">
        <v>0</v>
      </c>
      <c r="J237">
        <v>1.1913273001508298</v>
      </c>
      <c r="K237">
        <v>0.19132730015082977</v>
      </c>
      <c r="L237">
        <v>0</v>
      </c>
      <c r="M237">
        <v>0</v>
      </c>
      <c r="N237">
        <v>0</v>
      </c>
      <c r="O237">
        <v>0</v>
      </c>
      <c r="P237">
        <v>0</v>
      </c>
      <c r="Q237">
        <v>0</v>
      </c>
      <c r="R237">
        <v>0</v>
      </c>
      <c r="S237">
        <v>0</v>
      </c>
      <c r="T237">
        <v>0</v>
      </c>
      <c r="U237">
        <v>0</v>
      </c>
      <c r="V237">
        <v>0</v>
      </c>
      <c r="W237">
        <v>0</v>
      </c>
      <c r="X237">
        <v>0</v>
      </c>
      <c r="Y237">
        <v>0</v>
      </c>
      <c r="Z237">
        <v>0</v>
      </c>
      <c r="AA237">
        <v>0</v>
      </c>
      <c r="AB237">
        <v>0</v>
      </c>
      <c r="AC237">
        <v>1</v>
      </c>
      <c r="AD237">
        <v>0</v>
      </c>
      <c r="AE237" t="s">
        <v>166</v>
      </c>
      <c r="AF237">
        <v>10</v>
      </c>
      <c r="AG237" t="s">
        <v>202</v>
      </c>
      <c r="AH237">
        <v>1</v>
      </c>
      <c r="AI237">
        <v>45583</v>
      </c>
      <c r="AJ237" t="s">
        <v>168</v>
      </c>
    </row>
    <row r="238" spans="1:36" x14ac:dyDescent="0.25">
      <c r="A238" s="1">
        <v>45583</v>
      </c>
      <c r="B238" t="s">
        <v>13</v>
      </c>
      <c r="C238" t="s">
        <v>12</v>
      </c>
      <c r="D238">
        <v>2.8796992481203003</v>
      </c>
      <c r="E238">
        <v>2.8499999999999996</v>
      </c>
      <c r="F238">
        <v>2.8499999999999996</v>
      </c>
      <c r="G238">
        <v>2.4639235004346567</v>
      </c>
      <c r="H238">
        <v>0.98968668407310711</v>
      </c>
      <c r="I238">
        <v>0.98968668407310711</v>
      </c>
      <c r="J238">
        <v>0.85561834349297494</v>
      </c>
      <c r="K238">
        <v>0</v>
      </c>
      <c r="L238">
        <v>0</v>
      </c>
      <c r="M238">
        <v>0</v>
      </c>
      <c r="N238">
        <v>0</v>
      </c>
      <c r="O238">
        <v>0</v>
      </c>
      <c r="P238">
        <v>0</v>
      </c>
      <c r="Q238">
        <v>0</v>
      </c>
      <c r="R238">
        <v>0</v>
      </c>
      <c r="S238">
        <v>0</v>
      </c>
      <c r="T238">
        <v>0</v>
      </c>
      <c r="U238">
        <v>1.0313315926892885E-2</v>
      </c>
      <c r="V238">
        <v>0</v>
      </c>
      <c r="W238">
        <v>0.13406834058013217</v>
      </c>
      <c r="X238">
        <v>0</v>
      </c>
      <c r="Y238">
        <v>0.85561834349297494</v>
      </c>
      <c r="Z238">
        <v>0</v>
      </c>
      <c r="AA238">
        <v>0</v>
      </c>
      <c r="AB238">
        <v>0</v>
      </c>
      <c r="AC238">
        <v>0</v>
      </c>
      <c r="AD238">
        <v>0</v>
      </c>
      <c r="AE238" t="s">
        <v>166</v>
      </c>
      <c r="AF238">
        <v>10</v>
      </c>
      <c r="AG238" t="s">
        <v>203</v>
      </c>
      <c r="AH238">
        <v>1</v>
      </c>
      <c r="AI238">
        <v>45583</v>
      </c>
      <c r="AJ238" t="s">
        <v>168</v>
      </c>
    </row>
    <row r="239" spans="1:36" x14ac:dyDescent="0.25">
      <c r="A239" s="1">
        <v>45583</v>
      </c>
      <c r="B239" t="s">
        <v>13</v>
      </c>
      <c r="C239" t="s">
        <v>10</v>
      </c>
      <c r="D239">
        <v>6.8471096572600336</v>
      </c>
      <c r="E239">
        <v>2.8499999999999996</v>
      </c>
      <c r="F239">
        <v>2.8499999999999996</v>
      </c>
      <c r="G239">
        <v>3.812745098039215</v>
      </c>
      <c r="H239">
        <v>0.41623402320979724</v>
      </c>
      <c r="I239">
        <v>0.41623402320979724</v>
      </c>
      <c r="J239">
        <v>0.55684008127378792</v>
      </c>
      <c r="K239">
        <v>0</v>
      </c>
      <c r="L239">
        <v>0</v>
      </c>
      <c r="M239">
        <v>0</v>
      </c>
      <c r="N239">
        <v>0</v>
      </c>
      <c r="O239">
        <v>0</v>
      </c>
      <c r="P239">
        <v>0</v>
      </c>
      <c r="Q239">
        <v>0</v>
      </c>
      <c r="R239">
        <v>0</v>
      </c>
      <c r="S239">
        <v>0</v>
      </c>
      <c r="T239">
        <v>0.14060605806399068</v>
      </c>
      <c r="U239">
        <v>0.44315991872621208</v>
      </c>
      <c r="V239">
        <v>0</v>
      </c>
      <c r="W239">
        <v>0</v>
      </c>
      <c r="X239">
        <v>0</v>
      </c>
      <c r="Y239">
        <v>0.41623402320979724</v>
      </c>
      <c r="Z239">
        <v>0</v>
      </c>
      <c r="AA239">
        <v>0</v>
      </c>
      <c r="AB239">
        <v>0</v>
      </c>
      <c r="AC239">
        <v>0</v>
      </c>
      <c r="AD239">
        <v>0</v>
      </c>
      <c r="AE239" t="s">
        <v>212</v>
      </c>
      <c r="AF239">
        <v>10</v>
      </c>
      <c r="AG239" t="s">
        <v>201</v>
      </c>
      <c r="AI239">
        <v>45583</v>
      </c>
      <c r="AJ239" t="s">
        <v>168</v>
      </c>
    </row>
    <row r="240" spans="1:36" x14ac:dyDescent="0.25">
      <c r="A240" s="1">
        <v>45583</v>
      </c>
      <c r="B240" t="s">
        <v>13</v>
      </c>
      <c r="C240" t="s">
        <v>11</v>
      </c>
      <c r="D240">
        <v>0.84615384615384603</v>
      </c>
      <c r="E240">
        <v>1.9</v>
      </c>
      <c r="F240">
        <v>1.9</v>
      </c>
      <c r="G240">
        <v>1.9964349376114079</v>
      </c>
      <c r="H240">
        <v>2.2454545454545456</v>
      </c>
      <c r="I240">
        <v>2.2454545454545456</v>
      </c>
      <c r="J240">
        <v>2.3594231080862098</v>
      </c>
      <c r="K240">
        <v>0.11396856263166422</v>
      </c>
      <c r="L240">
        <v>0</v>
      </c>
      <c r="M240">
        <v>0</v>
      </c>
      <c r="N240">
        <v>0</v>
      </c>
      <c r="O240">
        <v>0.99545454545454559</v>
      </c>
      <c r="P240">
        <v>0</v>
      </c>
      <c r="Q240">
        <v>0.25</v>
      </c>
      <c r="R240">
        <v>0</v>
      </c>
      <c r="S240">
        <v>0</v>
      </c>
      <c r="T240">
        <v>0</v>
      </c>
      <c r="U240">
        <v>0</v>
      </c>
      <c r="V240">
        <v>0</v>
      </c>
      <c r="W240">
        <v>0</v>
      </c>
      <c r="X240">
        <v>0</v>
      </c>
      <c r="Y240">
        <v>1</v>
      </c>
      <c r="Z240">
        <v>0</v>
      </c>
      <c r="AA240">
        <v>0</v>
      </c>
      <c r="AB240">
        <v>0</v>
      </c>
      <c r="AC240">
        <v>0</v>
      </c>
      <c r="AD240">
        <v>0</v>
      </c>
      <c r="AE240" t="s">
        <v>212</v>
      </c>
      <c r="AF240">
        <v>10</v>
      </c>
      <c r="AG240" t="s">
        <v>202</v>
      </c>
      <c r="AI240">
        <v>45583</v>
      </c>
      <c r="AJ240" t="s">
        <v>168</v>
      </c>
    </row>
    <row r="241" spans="1:36" x14ac:dyDescent="0.25">
      <c r="A241" s="1">
        <v>45583</v>
      </c>
      <c r="B241" t="s">
        <v>13</v>
      </c>
      <c r="C241" t="s">
        <v>12</v>
      </c>
      <c r="D241">
        <v>2.5351191458269504</v>
      </c>
      <c r="E241">
        <v>3.8</v>
      </c>
      <c r="F241">
        <v>3.8</v>
      </c>
      <c r="G241">
        <v>3.9919786096256682</v>
      </c>
      <c r="H241">
        <v>1.498943355879413</v>
      </c>
      <c r="I241">
        <v>1.498943355879413</v>
      </c>
      <c r="J241">
        <v>1.5746710036081928</v>
      </c>
      <c r="K241">
        <v>7.5727647728779823E-2</v>
      </c>
      <c r="L241">
        <v>0</v>
      </c>
      <c r="M241">
        <v>0</v>
      </c>
      <c r="N241">
        <v>0</v>
      </c>
      <c r="O241">
        <v>0.24894335587941296</v>
      </c>
      <c r="P241">
        <v>0</v>
      </c>
      <c r="Q241">
        <v>0.25</v>
      </c>
      <c r="R241">
        <v>0</v>
      </c>
      <c r="S241">
        <v>0</v>
      </c>
      <c r="T241">
        <v>0</v>
      </c>
      <c r="U241">
        <v>0</v>
      </c>
      <c r="V241">
        <v>0</v>
      </c>
      <c r="W241">
        <v>0</v>
      </c>
      <c r="X241">
        <v>0</v>
      </c>
      <c r="Y241">
        <v>1</v>
      </c>
      <c r="Z241">
        <v>0</v>
      </c>
      <c r="AA241">
        <v>0</v>
      </c>
      <c r="AB241">
        <v>0</v>
      </c>
      <c r="AC241">
        <v>0</v>
      </c>
      <c r="AD241">
        <v>0</v>
      </c>
      <c r="AE241" t="s">
        <v>212</v>
      </c>
      <c r="AF241">
        <v>10</v>
      </c>
      <c r="AG241" t="s">
        <v>203</v>
      </c>
      <c r="AI241">
        <v>45583</v>
      </c>
      <c r="AJ241" t="s">
        <v>168</v>
      </c>
    </row>
    <row r="242" spans="1:36" x14ac:dyDescent="0.25">
      <c r="A242" s="1">
        <v>45584</v>
      </c>
      <c r="B242" t="s">
        <v>13</v>
      </c>
      <c r="C242" t="s">
        <v>11</v>
      </c>
      <c r="D242">
        <v>1</v>
      </c>
      <c r="E242">
        <v>0.95</v>
      </c>
      <c r="F242">
        <v>0.95</v>
      </c>
      <c r="G242">
        <v>1.1401127252520442</v>
      </c>
      <c r="H242">
        <v>0.95</v>
      </c>
      <c r="I242">
        <v>0.95</v>
      </c>
      <c r="J242">
        <v>1.1401127252520442</v>
      </c>
      <c r="K242">
        <v>0.14011272525204421</v>
      </c>
      <c r="L242">
        <v>0</v>
      </c>
      <c r="M242">
        <v>0</v>
      </c>
      <c r="N242">
        <v>0</v>
      </c>
      <c r="O242">
        <v>0</v>
      </c>
      <c r="P242">
        <v>0</v>
      </c>
      <c r="Q242">
        <v>0</v>
      </c>
      <c r="R242">
        <v>0</v>
      </c>
      <c r="S242">
        <v>0</v>
      </c>
      <c r="T242">
        <v>5.0000000000000044E-2</v>
      </c>
      <c r="U242">
        <v>0</v>
      </c>
      <c r="V242">
        <v>0</v>
      </c>
      <c r="W242">
        <v>0</v>
      </c>
      <c r="X242">
        <v>0</v>
      </c>
      <c r="Y242">
        <v>0.95</v>
      </c>
      <c r="Z242">
        <v>0</v>
      </c>
      <c r="AA242">
        <v>0</v>
      </c>
      <c r="AB242">
        <v>0</v>
      </c>
      <c r="AC242">
        <v>0</v>
      </c>
      <c r="AD242">
        <v>0</v>
      </c>
      <c r="AE242" t="s">
        <v>166</v>
      </c>
      <c r="AF242">
        <v>10</v>
      </c>
      <c r="AG242" t="s">
        <v>205</v>
      </c>
      <c r="AH242">
        <v>1</v>
      </c>
      <c r="AI242">
        <v>45584</v>
      </c>
      <c r="AJ242" t="s">
        <v>168</v>
      </c>
    </row>
    <row r="243" spans="1:36" x14ac:dyDescent="0.25">
      <c r="A243" s="1">
        <v>45584</v>
      </c>
      <c r="B243" t="s">
        <v>13</v>
      </c>
      <c r="C243" t="s">
        <v>12</v>
      </c>
      <c r="D243">
        <v>2.8796992481203003</v>
      </c>
      <c r="E243">
        <v>0.95</v>
      </c>
      <c r="F243">
        <v>0.95</v>
      </c>
      <c r="G243">
        <v>2.5963488843813387</v>
      </c>
      <c r="H243">
        <v>0.32989556135770237</v>
      </c>
      <c r="I243">
        <v>0.32989556135770237</v>
      </c>
      <c r="J243">
        <v>0.90160418178255375</v>
      </c>
      <c r="K243">
        <v>0</v>
      </c>
      <c r="L243">
        <v>0</v>
      </c>
      <c r="M243">
        <v>0</v>
      </c>
      <c r="N243">
        <v>0</v>
      </c>
      <c r="O243">
        <v>0</v>
      </c>
      <c r="P243">
        <v>0</v>
      </c>
      <c r="Q243">
        <v>0</v>
      </c>
      <c r="R243">
        <v>0</v>
      </c>
      <c r="S243">
        <v>0</v>
      </c>
      <c r="T243">
        <v>0.57170862042485138</v>
      </c>
      <c r="U243">
        <v>9.8395818217446251E-2</v>
      </c>
      <c r="V243">
        <v>0</v>
      </c>
      <c r="W243">
        <v>0</v>
      </c>
      <c r="X243">
        <v>0</v>
      </c>
      <c r="Y243">
        <v>0.32989556135770237</v>
      </c>
      <c r="Z243">
        <v>0</v>
      </c>
      <c r="AA243">
        <v>0</v>
      </c>
      <c r="AB243">
        <v>0</v>
      </c>
      <c r="AC243">
        <v>0</v>
      </c>
      <c r="AD243">
        <v>0</v>
      </c>
      <c r="AE243" t="s">
        <v>166</v>
      </c>
      <c r="AF243">
        <v>10</v>
      </c>
      <c r="AG243" t="s">
        <v>206</v>
      </c>
      <c r="AH243">
        <v>1</v>
      </c>
      <c r="AI243">
        <v>45584</v>
      </c>
      <c r="AJ243" t="s">
        <v>168</v>
      </c>
    </row>
    <row r="244" spans="1:36" x14ac:dyDescent="0.25">
      <c r="A244" s="1">
        <v>45584</v>
      </c>
      <c r="B244" t="s">
        <v>13</v>
      </c>
      <c r="C244" t="s">
        <v>10</v>
      </c>
      <c r="D244">
        <v>5.7593984962406006</v>
      </c>
      <c r="E244">
        <v>3.8</v>
      </c>
      <c r="F244">
        <v>3.8</v>
      </c>
      <c r="G244">
        <v>2.723004201680673</v>
      </c>
      <c r="H244">
        <v>0.65979112271540474</v>
      </c>
      <c r="I244">
        <v>0.65979112271540474</v>
      </c>
      <c r="J244">
        <v>0.47279315773306735</v>
      </c>
      <c r="K244">
        <v>0</v>
      </c>
      <c r="L244">
        <v>0</v>
      </c>
      <c r="M244">
        <v>0</v>
      </c>
      <c r="N244">
        <v>0</v>
      </c>
      <c r="O244">
        <v>0</v>
      </c>
      <c r="P244">
        <v>0</v>
      </c>
      <c r="Q244">
        <v>0</v>
      </c>
      <c r="R244">
        <v>0</v>
      </c>
      <c r="S244">
        <v>0</v>
      </c>
      <c r="T244">
        <v>0</v>
      </c>
      <c r="U244">
        <v>0.34020887728459526</v>
      </c>
      <c r="V244">
        <v>0</v>
      </c>
      <c r="W244">
        <v>0.18699796498233739</v>
      </c>
      <c r="X244">
        <v>0</v>
      </c>
      <c r="Y244">
        <v>0.47279315773306735</v>
      </c>
      <c r="Z244">
        <v>0</v>
      </c>
      <c r="AA244">
        <v>0</v>
      </c>
      <c r="AB244">
        <v>0</v>
      </c>
      <c r="AC244">
        <v>0</v>
      </c>
      <c r="AD244">
        <v>0</v>
      </c>
      <c r="AE244" t="s">
        <v>166</v>
      </c>
      <c r="AF244">
        <v>10</v>
      </c>
      <c r="AG244" t="s">
        <v>204</v>
      </c>
      <c r="AH244">
        <v>1</v>
      </c>
      <c r="AI244">
        <v>45584</v>
      </c>
      <c r="AJ244" t="s">
        <v>168</v>
      </c>
    </row>
    <row r="245" spans="1:36" x14ac:dyDescent="0.25">
      <c r="A245" s="1">
        <v>45584</v>
      </c>
      <c r="B245" t="s">
        <v>13</v>
      </c>
      <c r="C245" t="s">
        <v>11</v>
      </c>
      <c r="D245">
        <v>0.84615384615384603</v>
      </c>
      <c r="E245">
        <v>1.9</v>
      </c>
      <c r="F245">
        <v>1.9</v>
      </c>
      <c r="G245">
        <v>1.9964349376114079</v>
      </c>
      <c r="H245">
        <v>2.2454545454545456</v>
      </c>
      <c r="I245">
        <v>2.2454545454545456</v>
      </c>
      <c r="J245">
        <v>2.3594231080862098</v>
      </c>
      <c r="K245">
        <v>0.11396856263166422</v>
      </c>
      <c r="L245">
        <v>0</v>
      </c>
      <c r="M245">
        <v>0</v>
      </c>
      <c r="N245">
        <v>0</v>
      </c>
      <c r="O245">
        <v>0.99545454545454559</v>
      </c>
      <c r="P245">
        <v>0</v>
      </c>
      <c r="Q245">
        <v>0.25</v>
      </c>
      <c r="R245">
        <v>0</v>
      </c>
      <c r="S245">
        <v>0</v>
      </c>
      <c r="T245">
        <v>0</v>
      </c>
      <c r="U245">
        <v>0</v>
      </c>
      <c r="V245">
        <v>0</v>
      </c>
      <c r="W245">
        <v>0</v>
      </c>
      <c r="X245">
        <v>0</v>
      </c>
      <c r="Y245">
        <v>1</v>
      </c>
      <c r="Z245">
        <v>0</v>
      </c>
      <c r="AA245">
        <v>0</v>
      </c>
      <c r="AB245">
        <v>0</v>
      </c>
      <c r="AC245">
        <v>0</v>
      </c>
      <c r="AD245">
        <v>0</v>
      </c>
      <c r="AE245" t="s">
        <v>212</v>
      </c>
      <c r="AF245">
        <v>10</v>
      </c>
      <c r="AG245" t="s">
        <v>205</v>
      </c>
      <c r="AI245">
        <v>45584</v>
      </c>
      <c r="AJ245" t="s">
        <v>168</v>
      </c>
    </row>
    <row r="246" spans="1:36" x14ac:dyDescent="0.25">
      <c r="A246" s="1">
        <v>45584</v>
      </c>
      <c r="B246" t="s">
        <v>13</v>
      </c>
      <c r="C246" t="s">
        <v>12</v>
      </c>
      <c r="D246">
        <v>2.5351191458269504</v>
      </c>
      <c r="E246">
        <v>4.75</v>
      </c>
      <c r="F246">
        <v>4.75</v>
      </c>
      <c r="G246">
        <v>3.9919786096256682</v>
      </c>
      <c r="H246">
        <v>1.8736791948492661</v>
      </c>
      <c r="I246">
        <v>1.8736791948492661</v>
      </c>
      <c r="J246">
        <v>1.5746710036081928</v>
      </c>
      <c r="K246">
        <v>0</v>
      </c>
      <c r="L246">
        <v>0</v>
      </c>
      <c r="M246">
        <v>0.29900819124107336</v>
      </c>
      <c r="N246">
        <v>0</v>
      </c>
      <c r="O246">
        <v>0.32467100360819279</v>
      </c>
      <c r="P246">
        <v>0</v>
      </c>
      <c r="Q246">
        <v>0.25</v>
      </c>
      <c r="R246">
        <v>0</v>
      </c>
      <c r="S246">
        <v>0</v>
      </c>
      <c r="T246">
        <v>0</v>
      </c>
      <c r="U246">
        <v>0</v>
      </c>
      <c r="V246">
        <v>0</v>
      </c>
      <c r="W246">
        <v>0</v>
      </c>
      <c r="X246">
        <v>0</v>
      </c>
      <c r="Y246">
        <v>1</v>
      </c>
      <c r="Z246">
        <v>0</v>
      </c>
      <c r="AA246">
        <v>0</v>
      </c>
      <c r="AB246">
        <v>0</v>
      </c>
      <c r="AC246">
        <v>0</v>
      </c>
      <c r="AD246">
        <v>0</v>
      </c>
      <c r="AE246" t="s">
        <v>212</v>
      </c>
      <c r="AF246">
        <v>10</v>
      </c>
      <c r="AG246" t="s">
        <v>206</v>
      </c>
      <c r="AI246">
        <v>45584</v>
      </c>
      <c r="AJ246" t="s">
        <v>168</v>
      </c>
    </row>
    <row r="247" spans="1:36" x14ac:dyDescent="0.25">
      <c r="A247" s="1">
        <v>45584</v>
      </c>
      <c r="B247" t="s">
        <v>13</v>
      </c>
      <c r="C247" t="s">
        <v>10</v>
      </c>
      <c r="D247">
        <v>6.8471096572600327</v>
      </c>
      <c r="E247">
        <v>3.8</v>
      </c>
      <c r="F247">
        <v>3.8</v>
      </c>
      <c r="G247">
        <v>3.812745098039215</v>
      </c>
      <c r="H247">
        <v>0.55497869761306307</v>
      </c>
      <c r="I247">
        <v>0.55497869761306307</v>
      </c>
      <c r="J247">
        <v>0.55684008127378792</v>
      </c>
      <c r="K247">
        <v>0</v>
      </c>
      <c r="L247">
        <v>0</v>
      </c>
      <c r="M247">
        <v>0</v>
      </c>
      <c r="N247">
        <v>0</v>
      </c>
      <c r="O247">
        <v>0</v>
      </c>
      <c r="P247">
        <v>0</v>
      </c>
      <c r="Q247">
        <v>0</v>
      </c>
      <c r="R247">
        <v>0</v>
      </c>
      <c r="S247">
        <v>0</v>
      </c>
      <c r="T247">
        <v>1.8613836607248579E-3</v>
      </c>
      <c r="U247">
        <v>0.44315991872621208</v>
      </c>
      <c r="V247">
        <v>0</v>
      </c>
      <c r="W247">
        <v>0</v>
      </c>
      <c r="X247">
        <v>0</v>
      </c>
      <c r="Y247">
        <v>0.55497869761306307</v>
      </c>
      <c r="Z247">
        <v>0</v>
      </c>
      <c r="AA247">
        <v>0</v>
      </c>
      <c r="AB247">
        <v>0</v>
      </c>
      <c r="AC247">
        <v>0</v>
      </c>
      <c r="AD247">
        <v>0</v>
      </c>
      <c r="AE247" t="s">
        <v>212</v>
      </c>
      <c r="AF247">
        <v>10</v>
      </c>
      <c r="AG247" t="s">
        <v>204</v>
      </c>
      <c r="AI247">
        <v>45584</v>
      </c>
      <c r="AJ247" t="s">
        <v>168</v>
      </c>
    </row>
    <row r="248" spans="1:36" x14ac:dyDescent="0.25">
      <c r="A248" s="1">
        <v>45585</v>
      </c>
      <c r="B248" t="s">
        <v>13</v>
      </c>
      <c r="C248" t="s">
        <v>11</v>
      </c>
      <c r="D248">
        <v>1</v>
      </c>
      <c r="E248">
        <v>0</v>
      </c>
      <c r="F248">
        <v>0</v>
      </c>
      <c r="G248">
        <v>0.24132730015082957</v>
      </c>
      <c r="H248">
        <v>0</v>
      </c>
      <c r="I248">
        <v>0</v>
      </c>
      <c r="J248">
        <v>0.24132730015082957</v>
      </c>
      <c r="K248">
        <v>0</v>
      </c>
      <c r="L248">
        <v>0</v>
      </c>
      <c r="M248">
        <v>0</v>
      </c>
      <c r="N248">
        <v>0</v>
      </c>
      <c r="O248">
        <v>0</v>
      </c>
      <c r="P248">
        <v>0</v>
      </c>
      <c r="Q248">
        <v>0</v>
      </c>
      <c r="R248">
        <v>0</v>
      </c>
      <c r="S248">
        <v>0</v>
      </c>
      <c r="T248">
        <v>0.24132730015082957</v>
      </c>
      <c r="U248">
        <v>0.75867269984917041</v>
      </c>
      <c r="V248">
        <v>0</v>
      </c>
      <c r="W248">
        <v>0</v>
      </c>
      <c r="X248">
        <v>0</v>
      </c>
      <c r="Y248">
        <v>0</v>
      </c>
      <c r="Z248">
        <v>0</v>
      </c>
      <c r="AA248">
        <v>0</v>
      </c>
      <c r="AB248">
        <v>0</v>
      </c>
      <c r="AC248">
        <v>0</v>
      </c>
      <c r="AD248">
        <v>0</v>
      </c>
      <c r="AE248" t="s">
        <v>166</v>
      </c>
      <c r="AF248">
        <v>10</v>
      </c>
      <c r="AG248" t="s">
        <v>208</v>
      </c>
      <c r="AH248">
        <v>1</v>
      </c>
      <c r="AI248">
        <v>45585</v>
      </c>
      <c r="AJ248" t="s">
        <v>168</v>
      </c>
    </row>
    <row r="249" spans="1:36" x14ac:dyDescent="0.25">
      <c r="A249" s="1">
        <v>45585</v>
      </c>
      <c r="B249" t="s">
        <v>13</v>
      </c>
      <c r="C249" t="s">
        <v>12</v>
      </c>
      <c r="D249">
        <v>2.8796992481203003</v>
      </c>
      <c r="E249">
        <v>1.9</v>
      </c>
      <c r="F249">
        <v>1.9</v>
      </c>
      <c r="G249">
        <v>2.5309330628803242</v>
      </c>
      <c r="H249">
        <v>0.65979112271540474</v>
      </c>
      <c r="I249">
        <v>0.65979112271540474</v>
      </c>
      <c r="J249">
        <v>0.87888798267123547</v>
      </c>
      <c r="K249">
        <v>0</v>
      </c>
      <c r="L249">
        <v>0</v>
      </c>
      <c r="M249">
        <v>0</v>
      </c>
      <c r="N249">
        <v>0</v>
      </c>
      <c r="O249">
        <v>0</v>
      </c>
      <c r="P249">
        <v>0</v>
      </c>
      <c r="Q249">
        <v>0</v>
      </c>
      <c r="R249">
        <v>0</v>
      </c>
      <c r="S249">
        <v>0</v>
      </c>
      <c r="T249">
        <v>0.21909685995583073</v>
      </c>
      <c r="U249">
        <v>0.12111201732876453</v>
      </c>
      <c r="V249">
        <v>0</v>
      </c>
      <c r="W249">
        <v>0</v>
      </c>
      <c r="X249">
        <v>0</v>
      </c>
      <c r="Y249">
        <v>0.65979112271540474</v>
      </c>
      <c r="Z249">
        <v>0</v>
      </c>
      <c r="AA249">
        <v>0</v>
      </c>
      <c r="AB249">
        <v>0</v>
      </c>
      <c r="AC249">
        <v>0</v>
      </c>
      <c r="AD249">
        <v>0</v>
      </c>
      <c r="AE249" t="s">
        <v>166</v>
      </c>
      <c r="AF249">
        <v>10</v>
      </c>
      <c r="AG249" t="s">
        <v>209</v>
      </c>
      <c r="AH249">
        <v>1</v>
      </c>
      <c r="AI249">
        <v>45585</v>
      </c>
      <c r="AJ249" t="s">
        <v>168</v>
      </c>
    </row>
    <row r="250" spans="1:36" x14ac:dyDescent="0.25">
      <c r="A250" s="1">
        <v>45585</v>
      </c>
      <c r="B250" t="s">
        <v>13</v>
      </c>
      <c r="C250" t="s">
        <v>10</v>
      </c>
      <c r="D250">
        <v>5.7593984962406006</v>
      </c>
      <c r="E250">
        <v>3.8</v>
      </c>
      <c r="F250">
        <v>3.8</v>
      </c>
      <c r="G250">
        <v>2.7192337461300311</v>
      </c>
      <c r="H250">
        <v>0.65979112271540474</v>
      </c>
      <c r="I250">
        <v>0.65979112271540474</v>
      </c>
      <c r="J250">
        <v>0.47213849639072347</v>
      </c>
      <c r="K250">
        <v>0</v>
      </c>
      <c r="L250">
        <v>0</v>
      </c>
      <c r="M250">
        <v>0</v>
      </c>
      <c r="N250">
        <v>0</v>
      </c>
      <c r="O250">
        <v>0</v>
      </c>
      <c r="P250">
        <v>0</v>
      </c>
      <c r="Q250">
        <v>0</v>
      </c>
      <c r="R250">
        <v>0</v>
      </c>
      <c r="S250">
        <v>0</v>
      </c>
      <c r="T250">
        <v>0</v>
      </c>
      <c r="U250">
        <v>0.34020887728459526</v>
      </c>
      <c r="V250">
        <v>0</v>
      </c>
      <c r="W250">
        <v>0.18765262632468127</v>
      </c>
      <c r="X250">
        <v>0</v>
      </c>
      <c r="Y250">
        <v>0.47213849639072347</v>
      </c>
      <c r="Z250">
        <v>0</v>
      </c>
      <c r="AA250">
        <v>0</v>
      </c>
      <c r="AB250">
        <v>0</v>
      </c>
      <c r="AC250">
        <v>0</v>
      </c>
      <c r="AD250">
        <v>0</v>
      </c>
      <c r="AE250" t="s">
        <v>166</v>
      </c>
      <c r="AF250">
        <v>10</v>
      </c>
      <c r="AG250" t="s">
        <v>207</v>
      </c>
      <c r="AH250">
        <v>1</v>
      </c>
      <c r="AI250">
        <v>45585</v>
      </c>
      <c r="AJ250" t="s">
        <v>168</v>
      </c>
    </row>
    <row r="251" spans="1:36" x14ac:dyDescent="0.25">
      <c r="A251" s="1">
        <v>45585</v>
      </c>
      <c r="B251" t="s">
        <v>13</v>
      </c>
      <c r="C251" t="s">
        <v>11</v>
      </c>
      <c r="D251">
        <v>0.84615384615384603</v>
      </c>
      <c r="E251">
        <v>1.9</v>
      </c>
      <c r="F251">
        <v>1.9</v>
      </c>
      <c r="G251">
        <v>1.9964349376114079</v>
      </c>
      <c r="H251">
        <v>2.2454545454545456</v>
      </c>
      <c r="I251">
        <v>2.2454545454545456</v>
      </c>
      <c r="J251">
        <v>2.3594231080862098</v>
      </c>
      <c r="K251">
        <v>0.11396856263166422</v>
      </c>
      <c r="L251">
        <v>0</v>
      </c>
      <c r="M251">
        <v>0</v>
      </c>
      <c r="N251">
        <v>0</v>
      </c>
      <c r="O251">
        <v>0.99545454545454559</v>
      </c>
      <c r="P251">
        <v>0</v>
      </c>
      <c r="Q251">
        <v>0.25</v>
      </c>
      <c r="R251">
        <v>0</v>
      </c>
      <c r="S251">
        <v>0</v>
      </c>
      <c r="T251">
        <v>0</v>
      </c>
      <c r="U251">
        <v>0</v>
      </c>
      <c r="V251">
        <v>0</v>
      </c>
      <c r="W251">
        <v>0</v>
      </c>
      <c r="X251">
        <v>0</v>
      </c>
      <c r="Y251">
        <v>1</v>
      </c>
      <c r="Z251">
        <v>0</v>
      </c>
      <c r="AA251">
        <v>0</v>
      </c>
      <c r="AB251">
        <v>0</v>
      </c>
      <c r="AC251">
        <v>0</v>
      </c>
      <c r="AD251">
        <v>0</v>
      </c>
      <c r="AE251" t="s">
        <v>212</v>
      </c>
      <c r="AF251">
        <v>10</v>
      </c>
      <c r="AG251" t="s">
        <v>208</v>
      </c>
      <c r="AI251">
        <v>45585</v>
      </c>
      <c r="AJ251" t="s">
        <v>168</v>
      </c>
    </row>
    <row r="252" spans="1:36" x14ac:dyDescent="0.25">
      <c r="A252" s="1">
        <v>45585</v>
      </c>
      <c r="B252" t="s">
        <v>13</v>
      </c>
      <c r="C252" t="s">
        <v>12</v>
      </c>
      <c r="D252">
        <v>2.5351191458269504</v>
      </c>
      <c r="E252">
        <v>5.6999999999999993</v>
      </c>
      <c r="F252">
        <v>5.6999999999999993</v>
      </c>
      <c r="G252">
        <v>3.9919786096256682</v>
      </c>
      <c r="H252">
        <v>2.2484150338191191</v>
      </c>
      <c r="I252">
        <v>2.2484150338191191</v>
      </c>
      <c r="J252">
        <v>1.5746710036081928</v>
      </c>
      <c r="K252">
        <v>0</v>
      </c>
      <c r="L252">
        <v>0</v>
      </c>
      <c r="M252">
        <v>0.67374403021092633</v>
      </c>
      <c r="N252">
        <v>0</v>
      </c>
      <c r="O252">
        <v>0.32467100360819279</v>
      </c>
      <c r="P252">
        <v>0</v>
      </c>
      <c r="Q252">
        <v>0.25</v>
      </c>
      <c r="R252">
        <v>0</v>
      </c>
      <c r="S252">
        <v>0</v>
      </c>
      <c r="T252">
        <v>0</v>
      </c>
      <c r="U252">
        <v>0</v>
      </c>
      <c r="V252">
        <v>0</v>
      </c>
      <c r="W252">
        <v>0</v>
      </c>
      <c r="X252">
        <v>0</v>
      </c>
      <c r="Y252">
        <v>1</v>
      </c>
      <c r="Z252">
        <v>0</v>
      </c>
      <c r="AA252">
        <v>0</v>
      </c>
      <c r="AB252">
        <v>0</v>
      </c>
      <c r="AC252">
        <v>0</v>
      </c>
      <c r="AD252">
        <v>0</v>
      </c>
      <c r="AE252" t="s">
        <v>212</v>
      </c>
      <c r="AF252">
        <v>10</v>
      </c>
      <c r="AG252" t="s">
        <v>209</v>
      </c>
      <c r="AI252">
        <v>45585</v>
      </c>
      <c r="AJ252" t="s">
        <v>168</v>
      </c>
    </row>
    <row r="253" spans="1:36" x14ac:dyDescent="0.25">
      <c r="A253" s="1">
        <v>45585</v>
      </c>
      <c r="B253" t="s">
        <v>13</v>
      </c>
      <c r="C253" t="s">
        <v>10</v>
      </c>
      <c r="D253">
        <v>6.8471096572600327</v>
      </c>
      <c r="E253">
        <v>3.8</v>
      </c>
      <c r="F253">
        <v>3.8</v>
      </c>
      <c r="G253">
        <v>3.812745098039215</v>
      </c>
      <c r="H253">
        <v>0.55497869761306307</v>
      </c>
      <c r="I253">
        <v>0.55497869761306307</v>
      </c>
      <c r="J253">
        <v>0.55684008127378792</v>
      </c>
      <c r="K253">
        <v>0</v>
      </c>
      <c r="L253">
        <v>0</v>
      </c>
      <c r="M253">
        <v>0</v>
      </c>
      <c r="N253">
        <v>0</v>
      </c>
      <c r="O253">
        <v>0</v>
      </c>
      <c r="P253">
        <v>0</v>
      </c>
      <c r="Q253">
        <v>0</v>
      </c>
      <c r="R253">
        <v>0</v>
      </c>
      <c r="S253">
        <v>0</v>
      </c>
      <c r="T253">
        <v>1.8613836607248579E-3</v>
      </c>
      <c r="U253">
        <v>0.44315991872621208</v>
      </c>
      <c r="V253">
        <v>0</v>
      </c>
      <c r="W253">
        <v>0</v>
      </c>
      <c r="X253">
        <v>0</v>
      </c>
      <c r="Y253">
        <v>0.55497869761306307</v>
      </c>
      <c r="Z253">
        <v>0</v>
      </c>
      <c r="AA253">
        <v>0</v>
      </c>
      <c r="AB253">
        <v>0</v>
      </c>
      <c r="AC253">
        <v>0</v>
      </c>
      <c r="AD253">
        <v>0</v>
      </c>
      <c r="AE253" t="s">
        <v>212</v>
      </c>
      <c r="AF253">
        <v>10</v>
      </c>
      <c r="AG253" t="s">
        <v>207</v>
      </c>
      <c r="AI253">
        <v>45585</v>
      </c>
      <c r="AJ253" t="s">
        <v>168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30CC-77D4-431C-9BA5-C101708360B5}">
  <dimension ref="A1:T253"/>
  <sheetViews>
    <sheetView workbookViewId="0">
      <selection activeCell="V13" sqref="V13"/>
    </sheetView>
  </sheetViews>
  <sheetFormatPr defaultRowHeight="15" x14ac:dyDescent="0.25"/>
  <cols>
    <col min="1" max="1" width="10.7109375" bestFit="1" customWidth="1"/>
    <col min="2" max="3" width="6.7109375" bestFit="1" customWidth="1"/>
    <col min="4" max="4" width="12" bestFit="1" customWidth="1"/>
    <col min="5" max="5" width="9.5703125" bestFit="1" customWidth="1"/>
    <col min="6" max="6" width="29" bestFit="1" customWidth="1"/>
    <col min="7" max="7" width="8.5703125" bestFit="1" customWidth="1"/>
    <col min="8" max="8" width="10.140625" bestFit="1" customWidth="1"/>
    <col min="9" max="9" width="18.140625" bestFit="1" customWidth="1"/>
    <col min="10" max="10" width="27.42578125" bestFit="1" customWidth="1"/>
    <col min="11" max="11" width="12" bestFit="1" customWidth="1"/>
    <col min="12" max="12" width="19.5703125" bestFit="1" customWidth="1"/>
    <col min="13" max="13" width="19.140625" bestFit="1" customWidth="1"/>
    <col min="14" max="14" width="12.28515625" bestFit="1" customWidth="1"/>
    <col min="15" max="15" width="17" bestFit="1" customWidth="1"/>
    <col min="16" max="16" width="13.85546875" bestFit="1" customWidth="1"/>
    <col min="17" max="17" width="25" bestFit="1" customWidth="1"/>
    <col min="18" max="18" width="24.28515625" bestFit="1" customWidth="1"/>
    <col min="19" max="19" width="12.7109375" bestFit="1" customWidth="1"/>
    <col min="20" max="20" width="17.7109375" customWidth="1"/>
    <col min="21" max="21" width="24.28515625" bestFit="1" customWidth="1"/>
    <col min="22" max="22" width="12.7109375" bestFit="1" customWidth="1"/>
    <col min="23" max="23" width="17.7109375" bestFit="1" customWidth="1"/>
    <col min="24" max="24" width="12.7109375" bestFit="1" customWidth="1"/>
    <col min="25" max="25" width="17.7109375" customWidth="1"/>
  </cols>
  <sheetData>
    <row r="1" spans="1:20" x14ac:dyDescent="0.25">
      <c r="A1" t="s">
        <v>0</v>
      </c>
      <c r="B1" t="s">
        <v>14</v>
      </c>
      <c r="C1" t="s">
        <v>15</v>
      </c>
      <c r="D1" t="s">
        <v>2</v>
      </c>
      <c r="E1" t="s">
        <v>140</v>
      </c>
      <c r="F1" t="s">
        <v>164</v>
      </c>
      <c r="G1" t="s">
        <v>214</v>
      </c>
      <c r="H1" t="s">
        <v>160</v>
      </c>
      <c r="I1" t="s">
        <v>38</v>
      </c>
      <c r="J1" t="s">
        <v>143</v>
      </c>
      <c r="K1" t="s">
        <v>39</v>
      </c>
      <c r="L1" t="s">
        <v>144</v>
      </c>
      <c r="M1" t="s">
        <v>40</v>
      </c>
      <c r="N1" t="s">
        <v>129</v>
      </c>
      <c r="O1" t="s">
        <v>137</v>
      </c>
      <c r="P1" t="s">
        <v>138</v>
      </c>
      <c r="Q1" t="s">
        <v>41</v>
      </c>
      <c r="R1" t="s">
        <v>42</v>
      </c>
      <c r="S1" t="s">
        <v>43</v>
      </c>
      <c r="T1" t="s">
        <v>44</v>
      </c>
    </row>
    <row r="2" spans="1:20" x14ac:dyDescent="0.25">
      <c r="A2" s="1">
        <v>45572</v>
      </c>
      <c r="B2" t="s">
        <v>165</v>
      </c>
      <c r="C2" t="s">
        <v>11</v>
      </c>
      <c r="D2">
        <v>5.3662728249194425</v>
      </c>
      <c r="E2" t="s">
        <v>166</v>
      </c>
      <c r="F2">
        <v>1</v>
      </c>
      <c r="G2">
        <v>45572</v>
      </c>
      <c r="H2" t="s">
        <v>168</v>
      </c>
      <c r="I2">
        <v>7.9780687294933816E-2</v>
      </c>
      <c r="J2">
        <v>7.9780687294933816E-2</v>
      </c>
      <c r="K2">
        <v>0</v>
      </c>
      <c r="L2">
        <v>0</v>
      </c>
      <c r="M2">
        <v>0</v>
      </c>
      <c r="N2" t="s">
        <v>130</v>
      </c>
      <c r="O2" t="s">
        <v>130</v>
      </c>
      <c r="P2">
        <v>29.417999999999999</v>
      </c>
      <c r="Q2">
        <v>13.945664139154431</v>
      </c>
      <c r="R2">
        <v>0</v>
      </c>
      <c r="S2">
        <v>0</v>
      </c>
      <c r="T2">
        <v>13.945664139154431</v>
      </c>
    </row>
    <row r="3" spans="1:20" x14ac:dyDescent="0.25">
      <c r="A3" s="1">
        <v>45572</v>
      </c>
      <c r="B3" t="s">
        <v>165</v>
      </c>
      <c r="C3" t="s">
        <v>11</v>
      </c>
      <c r="D3">
        <v>3.5111676249447159</v>
      </c>
      <c r="E3" t="s">
        <v>212</v>
      </c>
      <c r="G3">
        <v>45572</v>
      </c>
      <c r="H3" t="s">
        <v>168</v>
      </c>
      <c r="I3">
        <v>0.9332255001598404</v>
      </c>
      <c r="J3">
        <v>0.9332255001598404</v>
      </c>
      <c r="K3">
        <v>0</v>
      </c>
      <c r="L3">
        <v>0</v>
      </c>
      <c r="M3">
        <v>0</v>
      </c>
      <c r="N3" t="s">
        <v>130</v>
      </c>
      <c r="O3" t="s">
        <v>130</v>
      </c>
      <c r="P3">
        <v>29.417999999999999</v>
      </c>
      <c r="Q3">
        <v>163.1278174279401</v>
      </c>
      <c r="R3">
        <v>0</v>
      </c>
      <c r="S3">
        <v>0</v>
      </c>
      <c r="T3">
        <v>163.1278174279401</v>
      </c>
    </row>
    <row r="4" spans="1:20" x14ac:dyDescent="0.25">
      <c r="A4" s="1">
        <v>45579</v>
      </c>
      <c r="B4" t="s">
        <v>165</v>
      </c>
      <c r="C4" t="s">
        <v>11</v>
      </c>
      <c r="D4">
        <v>5.3662728249194425</v>
      </c>
      <c r="E4" t="s">
        <v>166</v>
      </c>
      <c r="F4">
        <v>1</v>
      </c>
      <c r="G4">
        <v>45579</v>
      </c>
      <c r="H4" t="s">
        <v>168</v>
      </c>
      <c r="I4">
        <v>7.4665222373977658E-2</v>
      </c>
      <c r="J4">
        <v>7.4665222373977658E-2</v>
      </c>
      <c r="K4">
        <v>0</v>
      </c>
      <c r="L4">
        <v>0</v>
      </c>
      <c r="M4">
        <v>0</v>
      </c>
      <c r="N4" t="s">
        <v>130</v>
      </c>
      <c r="O4" t="s">
        <v>130</v>
      </c>
      <c r="P4">
        <v>29.417999999999999</v>
      </c>
      <c r="Q4">
        <v>13.051480870971295</v>
      </c>
      <c r="R4">
        <v>0</v>
      </c>
      <c r="S4">
        <v>0</v>
      </c>
      <c r="T4">
        <v>13.051480870971295</v>
      </c>
    </row>
    <row r="5" spans="1:20" x14ac:dyDescent="0.25">
      <c r="A5" s="1">
        <v>45579</v>
      </c>
      <c r="B5" t="s">
        <v>165</v>
      </c>
      <c r="C5" t="s">
        <v>11</v>
      </c>
      <c r="D5">
        <v>3.5111676249447159</v>
      </c>
      <c r="E5" t="s">
        <v>212</v>
      </c>
      <c r="G5">
        <v>45579</v>
      </c>
      <c r="H5" t="s">
        <v>168</v>
      </c>
      <c r="I5">
        <v>0.9332255001598404</v>
      </c>
      <c r="J5">
        <v>0.9332255001598404</v>
      </c>
      <c r="K5">
        <v>0</v>
      </c>
      <c r="L5">
        <v>0</v>
      </c>
      <c r="M5">
        <v>0</v>
      </c>
      <c r="N5" t="s">
        <v>130</v>
      </c>
      <c r="O5" t="s">
        <v>130</v>
      </c>
      <c r="P5">
        <v>29.417999999999999</v>
      </c>
      <c r="Q5">
        <v>163.1278174279401</v>
      </c>
      <c r="R5">
        <v>0</v>
      </c>
      <c r="S5">
        <v>0</v>
      </c>
      <c r="T5">
        <v>163.1278174279401</v>
      </c>
    </row>
    <row r="6" spans="1:20" x14ac:dyDescent="0.25">
      <c r="A6" s="1">
        <v>45572</v>
      </c>
      <c r="B6" t="s">
        <v>165</v>
      </c>
      <c r="C6" t="s">
        <v>12</v>
      </c>
      <c r="D6">
        <v>11.626924453992126</v>
      </c>
      <c r="E6" t="s">
        <v>166</v>
      </c>
      <c r="F6">
        <v>1</v>
      </c>
      <c r="G6">
        <v>45572</v>
      </c>
      <c r="H6" t="s">
        <v>168</v>
      </c>
      <c r="I6">
        <v>0</v>
      </c>
      <c r="J6">
        <v>0</v>
      </c>
      <c r="K6">
        <v>1.3253693491915883</v>
      </c>
      <c r="L6">
        <v>1.3253693491915883</v>
      </c>
      <c r="M6">
        <v>0</v>
      </c>
      <c r="N6" t="s">
        <v>130</v>
      </c>
      <c r="O6" t="s">
        <v>130</v>
      </c>
      <c r="P6">
        <v>28.36</v>
      </c>
      <c r="Q6">
        <v>0</v>
      </c>
      <c r="R6">
        <v>285.66480804735818</v>
      </c>
      <c r="S6">
        <v>0</v>
      </c>
      <c r="T6">
        <v>285.66480804735818</v>
      </c>
    </row>
    <row r="7" spans="1:20" x14ac:dyDescent="0.25">
      <c r="A7" s="1">
        <v>45572</v>
      </c>
      <c r="B7" t="s">
        <v>165</v>
      </c>
      <c r="C7" t="s">
        <v>12</v>
      </c>
      <c r="D7">
        <v>12.417771069086861</v>
      </c>
      <c r="E7" t="s">
        <v>212</v>
      </c>
      <c r="G7">
        <v>45572</v>
      </c>
      <c r="H7" t="s">
        <v>168</v>
      </c>
      <c r="I7">
        <v>0</v>
      </c>
      <c r="J7">
        <v>0</v>
      </c>
      <c r="K7">
        <v>1.9090812295146706</v>
      </c>
      <c r="L7">
        <v>1.9090812295146706</v>
      </c>
      <c r="M7">
        <v>5.8689839572191198E-2</v>
      </c>
      <c r="N7" t="s">
        <v>130</v>
      </c>
      <c r="O7" t="s">
        <v>130</v>
      </c>
      <c r="P7">
        <v>28.36</v>
      </c>
      <c r="Q7">
        <v>0</v>
      </c>
      <c r="R7">
        <v>411.47573188467402</v>
      </c>
      <c r="S7">
        <v>0</v>
      </c>
      <c r="T7">
        <v>411.47573188467402</v>
      </c>
    </row>
    <row r="8" spans="1:20" x14ac:dyDescent="0.25">
      <c r="A8" s="1">
        <v>45579</v>
      </c>
      <c r="B8" t="s">
        <v>165</v>
      </c>
      <c r="C8" t="s">
        <v>12</v>
      </c>
      <c r="D8">
        <v>11.626924453992126</v>
      </c>
      <c r="E8" t="s">
        <v>166</v>
      </c>
      <c r="F8">
        <v>1</v>
      </c>
      <c r="G8">
        <v>45579</v>
      </c>
      <c r="H8" t="s">
        <v>168</v>
      </c>
      <c r="I8">
        <v>0</v>
      </c>
      <c r="J8">
        <v>0</v>
      </c>
      <c r="K8">
        <v>1.5974450760340513</v>
      </c>
      <c r="L8">
        <v>1.5974450760340513</v>
      </c>
      <c r="M8">
        <v>0</v>
      </c>
      <c r="N8" t="s">
        <v>130</v>
      </c>
      <c r="O8" t="s">
        <v>130</v>
      </c>
      <c r="P8">
        <v>28.36</v>
      </c>
      <c r="Q8">
        <v>0</v>
      </c>
      <c r="R8">
        <v>344.30692190807525</v>
      </c>
      <c r="S8">
        <v>0</v>
      </c>
      <c r="T8">
        <v>344.30692190807525</v>
      </c>
    </row>
    <row r="9" spans="1:20" x14ac:dyDescent="0.25">
      <c r="A9" s="1">
        <v>45579</v>
      </c>
      <c r="B9" t="s">
        <v>165</v>
      </c>
      <c r="C9" t="s">
        <v>12</v>
      </c>
      <c r="D9">
        <v>12.417771069086861</v>
      </c>
      <c r="E9" t="s">
        <v>212</v>
      </c>
      <c r="G9">
        <v>45579</v>
      </c>
      <c r="H9" t="s">
        <v>168</v>
      </c>
      <c r="I9">
        <v>0</v>
      </c>
      <c r="J9">
        <v>0</v>
      </c>
      <c r="K9">
        <v>1.8479340433674845</v>
      </c>
      <c r="L9">
        <v>1.8479340433674845</v>
      </c>
      <c r="M9">
        <v>1.0698370257193761</v>
      </c>
      <c r="N9" t="s">
        <v>130</v>
      </c>
      <c r="O9" t="s">
        <v>130</v>
      </c>
      <c r="P9">
        <v>28.36</v>
      </c>
      <c r="Q9">
        <v>0</v>
      </c>
      <c r="R9">
        <v>398.29631197125411</v>
      </c>
      <c r="S9">
        <v>0</v>
      </c>
      <c r="T9">
        <v>398.29631197125411</v>
      </c>
    </row>
    <row r="10" spans="1:20" x14ac:dyDescent="0.25">
      <c r="A10" s="1">
        <v>45572</v>
      </c>
      <c r="B10" t="s">
        <v>165</v>
      </c>
      <c r="C10" t="s">
        <v>10</v>
      </c>
      <c r="D10">
        <v>14.310060866451844</v>
      </c>
      <c r="E10" t="s">
        <v>166</v>
      </c>
      <c r="F10">
        <v>1</v>
      </c>
      <c r="G10">
        <v>45572</v>
      </c>
      <c r="H10" t="s">
        <v>168</v>
      </c>
      <c r="I10">
        <v>0</v>
      </c>
      <c r="J10">
        <v>0</v>
      </c>
      <c r="K10">
        <v>0.53465979693313614</v>
      </c>
      <c r="L10">
        <v>0.53465979693313614</v>
      </c>
      <c r="M10">
        <v>0.47540106951870859</v>
      </c>
      <c r="N10" t="s">
        <v>130</v>
      </c>
      <c r="O10" t="s">
        <v>130</v>
      </c>
      <c r="P10">
        <v>27.57</v>
      </c>
      <c r="Q10">
        <v>0</v>
      </c>
      <c r="R10">
        <v>112.02833657099387</v>
      </c>
      <c r="S10">
        <v>0</v>
      </c>
      <c r="T10">
        <v>112.02833657099387</v>
      </c>
    </row>
    <row r="11" spans="1:20" x14ac:dyDescent="0.25">
      <c r="A11" s="1">
        <v>45572</v>
      </c>
      <c r="B11" t="s">
        <v>165</v>
      </c>
      <c r="C11" t="s">
        <v>10</v>
      </c>
      <c r="D11">
        <v>14.129216521561023</v>
      </c>
      <c r="E11" t="s">
        <v>212</v>
      </c>
      <c r="G11">
        <v>45572</v>
      </c>
      <c r="H11" t="s">
        <v>168</v>
      </c>
      <c r="I11">
        <v>0</v>
      </c>
      <c r="J11">
        <v>0</v>
      </c>
      <c r="K11">
        <v>1.5083831882276912</v>
      </c>
      <c r="L11">
        <v>1.5083831882276912</v>
      </c>
      <c r="M11">
        <v>0</v>
      </c>
      <c r="N11" t="s">
        <v>130</v>
      </c>
      <c r="O11" t="s">
        <v>130</v>
      </c>
      <c r="P11">
        <v>27.57</v>
      </c>
      <c r="Q11">
        <v>0</v>
      </c>
      <c r="R11">
        <v>316.05454619572458</v>
      </c>
      <c r="S11">
        <v>0</v>
      </c>
      <c r="T11">
        <v>316.05454619572458</v>
      </c>
    </row>
    <row r="12" spans="1:20" x14ac:dyDescent="0.25">
      <c r="A12" s="1">
        <v>45579</v>
      </c>
      <c r="B12" t="s">
        <v>165</v>
      </c>
      <c r="C12" t="s">
        <v>10</v>
      </c>
      <c r="D12">
        <v>14.310060866451844</v>
      </c>
      <c r="E12" t="s">
        <v>166</v>
      </c>
      <c r="F12">
        <v>1</v>
      </c>
      <c r="G12">
        <v>45579</v>
      </c>
      <c r="H12" t="s">
        <v>168</v>
      </c>
      <c r="I12">
        <v>0</v>
      </c>
      <c r="J12">
        <v>0</v>
      </c>
      <c r="K12">
        <v>5.0335138840225131</v>
      </c>
      <c r="L12">
        <v>5.0335138840225131</v>
      </c>
      <c r="M12">
        <v>0</v>
      </c>
      <c r="N12" t="s">
        <v>130</v>
      </c>
      <c r="O12" t="s">
        <v>130</v>
      </c>
      <c r="P12">
        <v>27.57</v>
      </c>
      <c r="Q12">
        <v>0</v>
      </c>
      <c r="R12">
        <v>1054.682231147005</v>
      </c>
      <c r="S12">
        <v>0</v>
      </c>
      <c r="T12">
        <v>1054.682231147005</v>
      </c>
    </row>
    <row r="13" spans="1:20" x14ac:dyDescent="0.25">
      <c r="A13" s="1">
        <v>45579</v>
      </c>
      <c r="B13" t="s">
        <v>165</v>
      </c>
      <c r="C13" t="s">
        <v>10</v>
      </c>
      <c r="D13">
        <v>14.129216521561023</v>
      </c>
      <c r="E13" t="s">
        <v>212</v>
      </c>
      <c r="G13">
        <v>45579</v>
      </c>
      <c r="H13" t="s">
        <v>168</v>
      </c>
      <c r="I13">
        <v>0</v>
      </c>
      <c r="J13">
        <v>0</v>
      </c>
      <c r="K13">
        <v>0.99133136749940753</v>
      </c>
      <c r="L13">
        <v>0.99133136749940753</v>
      </c>
      <c r="M13">
        <v>0</v>
      </c>
      <c r="N13" t="s">
        <v>130</v>
      </c>
      <c r="O13" t="s">
        <v>130</v>
      </c>
      <c r="P13">
        <v>27.57</v>
      </c>
      <c r="Q13">
        <v>0</v>
      </c>
      <c r="R13">
        <v>207.71564409488587</v>
      </c>
      <c r="S13">
        <v>0</v>
      </c>
      <c r="T13">
        <v>207.71564409488587</v>
      </c>
    </row>
    <row r="14" spans="1:20" x14ac:dyDescent="0.25">
      <c r="A14" s="1">
        <v>45573</v>
      </c>
      <c r="B14" t="s">
        <v>165</v>
      </c>
      <c r="C14" t="s">
        <v>11</v>
      </c>
      <c r="D14">
        <v>5.3662728249194425</v>
      </c>
      <c r="E14" t="s">
        <v>166</v>
      </c>
      <c r="F14">
        <v>1</v>
      </c>
      <c r="G14">
        <v>45573</v>
      </c>
      <c r="H14" t="s">
        <v>168</v>
      </c>
      <c r="I14">
        <v>8.4896152215890419E-2</v>
      </c>
      <c r="J14">
        <v>8.4896152215890419E-2</v>
      </c>
      <c r="K14">
        <v>0</v>
      </c>
      <c r="L14">
        <v>0</v>
      </c>
      <c r="M14">
        <v>0</v>
      </c>
      <c r="N14" t="s">
        <v>131</v>
      </c>
      <c r="O14" t="s">
        <v>131</v>
      </c>
      <c r="P14">
        <v>29.417999999999999</v>
      </c>
      <c r="Q14">
        <v>14.839847407337645</v>
      </c>
      <c r="R14">
        <v>0</v>
      </c>
      <c r="S14">
        <v>0</v>
      </c>
      <c r="T14">
        <v>14.839847407337645</v>
      </c>
    </row>
    <row r="15" spans="1:20" x14ac:dyDescent="0.25">
      <c r="A15" s="1">
        <v>45573</v>
      </c>
      <c r="B15" t="s">
        <v>165</v>
      </c>
      <c r="C15" t="s">
        <v>11</v>
      </c>
      <c r="D15">
        <v>3.5111676249447159</v>
      </c>
      <c r="E15" t="s">
        <v>212</v>
      </c>
      <c r="G15">
        <v>45573</v>
      </c>
      <c r="H15" t="s">
        <v>168</v>
      </c>
      <c r="I15">
        <v>0.94134829637899919</v>
      </c>
      <c r="J15">
        <v>0.94134829637899919</v>
      </c>
      <c r="K15">
        <v>0</v>
      </c>
      <c r="L15">
        <v>0</v>
      </c>
      <c r="M15">
        <v>0</v>
      </c>
      <c r="N15" t="s">
        <v>131</v>
      </c>
      <c r="O15" t="s">
        <v>131</v>
      </c>
      <c r="P15">
        <v>29.417999999999999</v>
      </c>
      <c r="Q15">
        <v>164.54768220704906</v>
      </c>
      <c r="R15">
        <v>0</v>
      </c>
      <c r="S15">
        <v>0</v>
      </c>
      <c r="T15">
        <v>164.54768220704906</v>
      </c>
    </row>
    <row r="16" spans="1:20" x14ac:dyDescent="0.25">
      <c r="A16" s="1">
        <v>45580</v>
      </c>
      <c r="B16" t="s">
        <v>165</v>
      </c>
      <c r="C16" t="s">
        <v>11</v>
      </c>
      <c r="D16">
        <v>5.3662728249194425</v>
      </c>
      <c r="E16" t="s">
        <v>166</v>
      </c>
      <c r="F16">
        <v>1</v>
      </c>
      <c r="G16">
        <v>45580</v>
      </c>
      <c r="H16" t="s">
        <v>168</v>
      </c>
      <c r="I16">
        <v>8.4896152215890419E-2</v>
      </c>
      <c r="J16">
        <v>8.4896152215890419E-2</v>
      </c>
      <c r="K16">
        <v>0</v>
      </c>
      <c r="L16">
        <v>0</v>
      </c>
      <c r="M16">
        <v>0</v>
      </c>
      <c r="N16" t="s">
        <v>131</v>
      </c>
      <c r="O16" t="s">
        <v>131</v>
      </c>
      <c r="P16">
        <v>29.417999999999999</v>
      </c>
      <c r="Q16">
        <v>14.839847407337645</v>
      </c>
      <c r="R16">
        <v>0</v>
      </c>
      <c r="S16">
        <v>0</v>
      </c>
      <c r="T16">
        <v>14.839847407337645</v>
      </c>
    </row>
    <row r="17" spans="1:20" x14ac:dyDescent="0.25">
      <c r="A17" s="1">
        <v>45580</v>
      </c>
      <c r="B17" t="s">
        <v>165</v>
      </c>
      <c r="C17" t="s">
        <v>11</v>
      </c>
      <c r="D17">
        <v>3.5111676249447159</v>
      </c>
      <c r="E17" t="s">
        <v>212</v>
      </c>
      <c r="G17">
        <v>45580</v>
      </c>
      <c r="H17" t="s">
        <v>168</v>
      </c>
      <c r="I17">
        <v>0.94134829637899919</v>
      </c>
      <c r="J17">
        <v>0.94134829637899919</v>
      </c>
      <c r="K17">
        <v>0</v>
      </c>
      <c r="L17">
        <v>0</v>
      </c>
      <c r="M17">
        <v>0</v>
      </c>
      <c r="N17" t="s">
        <v>131</v>
      </c>
      <c r="O17" t="s">
        <v>131</v>
      </c>
      <c r="P17">
        <v>29.417999999999999</v>
      </c>
      <c r="Q17">
        <v>164.54768220704906</v>
      </c>
      <c r="R17">
        <v>0</v>
      </c>
      <c r="S17">
        <v>0</v>
      </c>
      <c r="T17">
        <v>164.54768220704906</v>
      </c>
    </row>
    <row r="18" spans="1:20" x14ac:dyDescent="0.25">
      <c r="A18" s="1">
        <v>45573</v>
      </c>
      <c r="B18" t="s">
        <v>165</v>
      </c>
      <c r="C18" t="s">
        <v>12</v>
      </c>
      <c r="D18">
        <v>11.626924453992125</v>
      </c>
      <c r="E18" t="s">
        <v>166</v>
      </c>
      <c r="F18">
        <v>1</v>
      </c>
      <c r="G18">
        <v>45573</v>
      </c>
      <c r="H18" t="s">
        <v>168</v>
      </c>
      <c r="I18">
        <v>0</v>
      </c>
      <c r="J18">
        <v>0</v>
      </c>
      <c r="K18">
        <v>1.183111066568189</v>
      </c>
      <c r="L18">
        <v>1.183111066568189</v>
      </c>
      <c r="M18">
        <v>0</v>
      </c>
      <c r="N18" t="s">
        <v>131</v>
      </c>
      <c r="O18" t="s">
        <v>131</v>
      </c>
      <c r="P18">
        <v>28.36</v>
      </c>
      <c r="Q18">
        <v>0</v>
      </c>
      <c r="R18">
        <v>255.00302684384116</v>
      </c>
      <c r="S18">
        <v>0</v>
      </c>
      <c r="T18">
        <v>255.00302684384116</v>
      </c>
    </row>
    <row r="19" spans="1:20" x14ac:dyDescent="0.25">
      <c r="A19" s="1">
        <v>45573</v>
      </c>
      <c r="B19" t="s">
        <v>165</v>
      </c>
      <c r="C19" t="s">
        <v>12</v>
      </c>
      <c r="D19">
        <v>12.417771069086861</v>
      </c>
      <c r="E19" t="s">
        <v>212</v>
      </c>
      <c r="G19">
        <v>45573</v>
      </c>
      <c r="H19" t="s">
        <v>168</v>
      </c>
      <c r="I19">
        <v>0</v>
      </c>
      <c r="J19">
        <v>0</v>
      </c>
      <c r="K19">
        <v>1.6951774861991653</v>
      </c>
      <c r="L19">
        <v>1.6951774861991653</v>
      </c>
      <c r="M19">
        <v>2.1725935828876968</v>
      </c>
      <c r="N19" t="s">
        <v>131</v>
      </c>
      <c r="O19" t="s">
        <v>131</v>
      </c>
      <c r="P19">
        <v>28.36</v>
      </c>
      <c r="Q19">
        <v>0</v>
      </c>
      <c r="R19">
        <v>365.37177466542329</v>
      </c>
      <c r="S19">
        <v>0</v>
      </c>
      <c r="T19">
        <v>365.37177466542329</v>
      </c>
    </row>
    <row r="20" spans="1:20" x14ac:dyDescent="0.25">
      <c r="A20" s="1">
        <v>45580</v>
      </c>
      <c r="B20" t="s">
        <v>165</v>
      </c>
      <c r="C20" t="s">
        <v>12</v>
      </c>
      <c r="D20">
        <v>11.626924453992126</v>
      </c>
      <c r="E20" t="s">
        <v>166</v>
      </c>
      <c r="F20">
        <v>1</v>
      </c>
      <c r="G20">
        <v>45580</v>
      </c>
      <c r="H20" t="s">
        <v>168</v>
      </c>
      <c r="I20">
        <v>0</v>
      </c>
      <c r="J20">
        <v>0</v>
      </c>
      <c r="K20">
        <v>0.3920360158582471</v>
      </c>
      <c r="L20">
        <v>0.3920360158582471</v>
      </c>
      <c r="M20">
        <v>0</v>
      </c>
      <c r="N20" t="s">
        <v>131</v>
      </c>
      <c r="O20" t="s">
        <v>131</v>
      </c>
      <c r="P20">
        <v>28.36</v>
      </c>
      <c r="Q20">
        <v>0</v>
      </c>
      <c r="R20">
        <v>84.497874714023141</v>
      </c>
      <c r="S20">
        <v>0</v>
      </c>
      <c r="T20">
        <v>84.497874714023141</v>
      </c>
    </row>
    <row r="21" spans="1:20" x14ac:dyDescent="0.25">
      <c r="A21" s="1">
        <v>45580</v>
      </c>
      <c r="B21" t="s">
        <v>165</v>
      </c>
      <c r="C21" t="s">
        <v>12</v>
      </c>
      <c r="D21">
        <v>12.417771069086861</v>
      </c>
      <c r="E21" t="s">
        <v>212</v>
      </c>
      <c r="G21">
        <v>45580</v>
      </c>
      <c r="H21" t="s">
        <v>168</v>
      </c>
      <c r="I21">
        <v>0</v>
      </c>
      <c r="J21">
        <v>0</v>
      </c>
      <c r="K21">
        <v>1.69543001145169</v>
      </c>
      <c r="L21">
        <v>1.69543001145169</v>
      </c>
      <c r="M21">
        <v>0</v>
      </c>
      <c r="N21" t="s">
        <v>131</v>
      </c>
      <c r="O21" t="s">
        <v>131</v>
      </c>
      <c r="P21">
        <v>28.36</v>
      </c>
      <c r="Q21">
        <v>0</v>
      </c>
      <c r="R21">
        <v>365.42620294825144</v>
      </c>
      <c r="S21">
        <v>0</v>
      </c>
      <c r="T21">
        <v>365.42620294825144</v>
      </c>
    </row>
    <row r="22" spans="1:20" x14ac:dyDescent="0.25">
      <c r="A22" s="1">
        <v>45573</v>
      </c>
      <c r="B22" t="s">
        <v>165</v>
      </c>
      <c r="C22" t="s">
        <v>10</v>
      </c>
      <c r="D22">
        <v>14.310060866451844</v>
      </c>
      <c r="E22" t="s">
        <v>166</v>
      </c>
      <c r="F22">
        <v>1</v>
      </c>
      <c r="G22">
        <v>45573</v>
      </c>
      <c r="H22" t="s">
        <v>168</v>
      </c>
      <c r="I22">
        <v>0</v>
      </c>
      <c r="J22">
        <v>0</v>
      </c>
      <c r="K22">
        <v>2.0316804233655201</v>
      </c>
      <c r="L22">
        <v>2.0316804233655201</v>
      </c>
      <c r="M22">
        <v>0</v>
      </c>
      <c r="N22" t="s">
        <v>131</v>
      </c>
      <c r="O22" t="s">
        <v>131</v>
      </c>
      <c r="P22">
        <v>27.57</v>
      </c>
      <c r="Q22">
        <v>0</v>
      </c>
      <c r="R22">
        <v>425.70206246862415</v>
      </c>
      <c r="S22">
        <v>0</v>
      </c>
      <c r="T22">
        <v>425.70206246862415</v>
      </c>
    </row>
    <row r="23" spans="1:20" x14ac:dyDescent="0.25">
      <c r="A23" s="1">
        <v>45573</v>
      </c>
      <c r="B23" t="s">
        <v>165</v>
      </c>
      <c r="C23" t="s">
        <v>10</v>
      </c>
      <c r="D23">
        <v>14.129216521561023</v>
      </c>
      <c r="E23" t="s">
        <v>212</v>
      </c>
      <c r="G23">
        <v>45573</v>
      </c>
      <c r="H23" t="s">
        <v>168</v>
      </c>
      <c r="I23">
        <v>0</v>
      </c>
      <c r="J23">
        <v>0</v>
      </c>
      <c r="K23">
        <v>2.0887753450904394</v>
      </c>
      <c r="L23">
        <v>2.0887753450904394</v>
      </c>
      <c r="M23">
        <v>0</v>
      </c>
      <c r="N23" t="s">
        <v>131</v>
      </c>
      <c r="O23" t="s">
        <v>131</v>
      </c>
      <c r="P23">
        <v>27.57</v>
      </c>
      <c r="Q23">
        <v>0</v>
      </c>
      <c r="R23">
        <v>437.66527560748995</v>
      </c>
      <c r="S23">
        <v>0</v>
      </c>
      <c r="T23">
        <v>437.66527560748995</v>
      </c>
    </row>
    <row r="24" spans="1:20" x14ac:dyDescent="0.25">
      <c r="A24" s="1">
        <v>45580</v>
      </c>
      <c r="B24" t="s">
        <v>165</v>
      </c>
      <c r="C24" t="s">
        <v>10</v>
      </c>
      <c r="D24">
        <v>14.310060866451844</v>
      </c>
      <c r="E24" t="s">
        <v>166</v>
      </c>
      <c r="F24">
        <v>1</v>
      </c>
      <c r="G24">
        <v>45580</v>
      </c>
      <c r="H24" t="s">
        <v>168</v>
      </c>
      <c r="I24">
        <v>0</v>
      </c>
      <c r="J24">
        <v>0</v>
      </c>
      <c r="K24">
        <v>2.5450494073227432</v>
      </c>
      <c r="L24">
        <v>2.5450494073227432</v>
      </c>
      <c r="M24">
        <v>0</v>
      </c>
      <c r="N24" t="s">
        <v>131</v>
      </c>
      <c r="O24" t="s">
        <v>131</v>
      </c>
      <c r="P24">
        <v>27.57</v>
      </c>
      <c r="Q24">
        <v>0</v>
      </c>
      <c r="R24">
        <v>533.26929241514904</v>
      </c>
      <c r="S24">
        <v>0</v>
      </c>
      <c r="T24">
        <v>533.26929241514904</v>
      </c>
    </row>
    <row r="25" spans="1:20" x14ac:dyDescent="0.25">
      <c r="A25" s="1">
        <v>45580</v>
      </c>
      <c r="B25" t="s">
        <v>165</v>
      </c>
      <c r="C25" t="s">
        <v>10</v>
      </c>
      <c r="D25">
        <v>14.129216521561023</v>
      </c>
      <c r="E25" t="s">
        <v>212</v>
      </c>
      <c r="G25">
        <v>45580</v>
      </c>
      <c r="H25" t="s">
        <v>168</v>
      </c>
      <c r="I25">
        <v>0</v>
      </c>
      <c r="J25">
        <v>0</v>
      </c>
      <c r="K25">
        <v>2.9551642339793225</v>
      </c>
      <c r="L25">
        <v>2.9551642339793225</v>
      </c>
      <c r="M25">
        <v>0</v>
      </c>
      <c r="N25" t="s">
        <v>131</v>
      </c>
      <c r="O25" t="s">
        <v>131</v>
      </c>
      <c r="P25">
        <v>27.57</v>
      </c>
      <c r="Q25">
        <v>0</v>
      </c>
      <c r="R25">
        <v>619.20147227415532</v>
      </c>
      <c r="S25">
        <v>0</v>
      </c>
      <c r="T25">
        <v>619.20147227415532</v>
      </c>
    </row>
    <row r="26" spans="1:20" x14ac:dyDescent="0.25">
      <c r="A26" s="1">
        <v>45574</v>
      </c>
      <c r="B26" t="s">
        <v>165</v>
      </c>
      <c r="C26" t="s">
        <v>12</v>
      </c>
      <c r="D26">
        <v>11.626924453992125</v>
      </c>
      <c r="E26" t="s">
        <v>166</v>
      </c>
      <c r="F26">
        <v>1</v>
      </c>
      <c r="G26">
        <v>45574</v>
      </c>
      <c r="H26" t="s">
        <v>168</v>
      </c>
      <c r="I26">
        <v>0</v>
      </c>
      <c r="J26">
        <v>0</v>
      </c>
      <c r="K26">
        <v>0.14370219957311831</v>
      </c>
      <c r="L26">
        <v>0.14370219957311831</v>
      </c>
      <c r="M26">
        <v>0</v>
      </c>
      <c r="N26" t="s">
        <v>132</v>
      </c>
      <c r="O26" t="s">
        <v>132</v>
      </c>
      <c r="P26">
        <v>28.36</v>
      </c>
      <c r="Q26">
        <v>0</v>
      </c>
      <c r="R26">
        <v>30.972997287191625</v>
      </c>
      <c r="S26">
        <v>0</v>
      </c>
      <c r="T26">
        <v>30.972997287191625</v>
      </c>
    </row>
    <row r="27" spans="1:20" x14ac:dyDescent="0.25">
      <c r="A27" s="1">
        <v>45574</v>
      </c>
      <c r="B27" t="s">
        <v>165</v>
      </c>
      <c r="C27" t="s">
        <v>12</v>
      </c>
      <c r="D27">
        <v>12.417771069086861</v>
      </c>
      <c r="E27" t="s">
        <v>212</v>
      </c>
      <c r="G27">
        <v>45574</v>
      </c>
      <c r="H27" t="s">
        <v>168</v>
      </c>
      <c r="I27">
        <v>0</v>
      </c>
      <c r="J27">
        <v>0</v>
      </c>
      <c r="K27">
        <v>1.8522630476964907</v>
      </c>
      <c r="L27">
        <v>1.8522630476964907</v>
      </c>
      <c r="M27">
        <v>0</v>
      </c>
      <c r="N27" t="s">
        <v>132</v>
      </c>
      <c r="O27" t="s">
        <v>132</v>
      </c>
      <c r="P27">
        <v>28.36</v>
      </c>
      <c r="Q27">
        <v>0</v>
      </c>
      <c r="R27">
        <v>399.22936824831078</v>
      </c>
      <c r="S27">
        <v>0</v>
      </c>
      <c r="T27">
        <v>399.22936824831078</v>
      </c>
    </row>
    <row r="28" spans="1:20" x14ac:dyDescent="0.25">
      <c r="A28" s="1">
        <v>45581</v>
      </c>
      <c r="B28" t="s">
        <v>165</v>
      </c>
      <c r="C28" t="s">
        <v>12</v>
      </c>
      <c r="D28">
        <v>11.626924453992125</v>
      </c>
      <c r="E28" t="s">
        <v>166</v>
      </c>
      <c r="F28">
        <v>1</v>
      </c>
      <c r="G28">
        <v>45581</v>
      </c>
      <c r="H28" t="s">
        <v>168</v>
      </c>
      <c r="I28">
        <v>0</v>
      </c>
      <c r="J28">
        <v>0</v>
      </c>
      <c r="K28">
        <v>1.3902780713011187</v>
      </c>
      <c r="L28">
        <v>1.3902780713011187</v>
      </c>
      <c r="M28">
        <v>0</v>
      </c>
      <c r="N28" t="s">
        <v>132</v>
      </c>
      <c r="O28" t="s">
        <v>132</v>
      </c>
      <c r="P28">
        <v>28.36</v>
      </c>
      <c r="Q28">
        <v>0</v>
      </c>
      <c r="R28">
        <v>299.65497437595792</v>
      </c>
      <c r="S28">
        <v>0</v>
      </c>
      <c r="T28">
        <v>299.65497437595792</v>
      </c>
    </row>
    <row r="29" spans="1:20" x14ac:dyDescent="0.25">
      <c r="A29" s="1">
        <v>45581</v>
      </c>
      <c r="B29" t="s">
        <v>165</v>
      </c>
      <c r="C29" t="s">
        <v>12</v>
      </c>
      <c r="D29">
        <v>12.417771069086861</v>
      </c>
      <c r="E29" t="s">
        <v>212</v>
      </c>
      <c r="G29">
        <v>45581</v>
      </c>
      <c r="H29" t="s">
        <v>168</v>
      </c>
      <c r="I29">
        <v>0</v>
      </c>
      <c r="J29">
        <v>0</v>
      </c>
      <c r="K29">
        <v>1.8985602747212695</v>
      </c>
      <c r="L29">
        <v>1.8985602747212695</v>
      </c>
      <c r="M29">
        <v>0</v>
      </c>
      <c r="N29" t="s">
        <v>132</v>
      </c>
      <c r="O29" t="s">
        <v>132</v>
      </c>
      <c r="P29">
        <v>28.36</v>
      </c>
      <c r="Q29">
        <v>0</v>
      </c>
      <c r="R29">
        <v>409.20808737232352</v>
      </c>
      <c r="S29">
        <v>0</v>
      </c>
      <c r="T29">
        <v>409.20808737232352</v>
      </c>
    </row>
    <row r="30" spans="1:20" x14ac:dyDescent="0.25">
      <c r="A30" s="1">
        <v>45574</v>
      </c>
      <c r="B30" t="s">
        <v>165</v>
      </c>
      <c r="C30" t="s">
        <v>10</v>
      </c>
      <c r="D30">
        <v>14.310060866451844</v>
      </c>
      <c r="E30" t="s">
        <v>166</v>
      </c>
      <c r="F30">
        <v>1</v>
      </c>
      <c r="G30">
        <v>45574</v>
      </c>
      <c r="H30" t="s">
        <v>168</v>
      </c>
      <c r="I30">
        <v>0</v>
      </c>
      <c r="J30">
        <v>0</v>
      </c>
      <c r="K30">
        <v>1.8541912458763437</v>
      </c>
      <c r="L30">
        <v>1.8541912458763437</v>
      </c>
      <c r="M30">
        <v>0</v>
      </c>
      <c r="N30" t="s">
        <v>132</v>
      </c>
      <c r="O30" t="s">
        <v>132</v>
      </c>
      <c r="P30">
        <v>27.57</v>
      </c>
      <c r="Q30">
        <v>0</v>
      </c>
      <c r="R30">
        <v>388.51240013096202</v>
      </c>
      <c r="S30">
        <v>0</v>
      </c>
      <c r="T30">
        <v>388.51240013096202</v>
      </c>
    </row>
    <row r="31" spans="1:20" x14ac:dyDescent="0.25">
      <c r="A31" s="1">
        <v>45574</v>
      </c>
      <c r="B31" t="s">
        <v>165</v>
      </c>
      <c r="C31" t="s">
        <v>10</v>
      </c>
      <c r="D31">
        <v>14.129216521561023</v>
      </c>
      <c r="E31" t="s">
        <v>212</v>
      </c>
      <c r="G31">
        <v>45574</v>
      </c>
      <c r="H31" t="s">
        <v>168</v>
      </c>
      <c r="I31">
        <v>0</v>
      </c>
      <c r="J31">
        <v>0</v>
      </c>
      <c r="K31">
        <v>1.9512753450904365</v>
      </c>
      <c r="L31">
        <v>1.9512753450904365</v>
      </c>
      <c r="M31">
        <v>0</v>
      </c>
      <c r="N31" t="s">
        <v>132</v>
      </c>
      <c r="O31" t="s">
        <v>132</v>
      </c>
      <c r="P31">
        <v>27.57</v>
      </c>
      <c r="Q31">
        <v>0</v>
      </c>
      <c r="R31">
        <v>408.85462560748937</v>
      </c>
      <c r="S31">
        <v>0</v>
      </c>
      <c r="T31">
        <v>408.85462560748937</v>
      </c>
    </row>
    <row r="32" spans="1:20" x14ac:dyDescent="0.25">
      <c r="A32" s="1">
        <v>45581</v>
      </c>
      <c r="B32" t="s">
        <v>165</v>
      </c>
      <c r="C32" t="s">
        <v>10</v>
      </c>
      <c r="D32">
        <v>14.310060866451844</v>
      </c>
      <c r="E32" t="s">
        <v>166</v>
      </c>
      <c r="F32">
        <v>1</v>
      </c>
      <c r="G32">
        <v>45581</v>
      </c>
      <c r="H32" t="s">
        <v>168</v>
      </c>
      <c r="I32">
        <v>0</v>
      </c>
      <c r="J32">
        <v>0</v>
      </c>
      <c r="K32">
        <v>4.4274023484992142</v>
      </c>
      <c r="L32">
        <v>4.4274023484992142</v>
      </c>
      <c r="M32">
        <v>0</v>
      </c>
      <c r="N32" t="s">
        <v>132</v>
      </c>
      <c r="O32" t="s">
        <v>132</v>
      </c>
      <c r="P32">
        <v>27.57</v>
      </c>
      <c r="Q32">
        <v>0</v>
      </c>
      <c r="R32">
        <v>927.68246888573731</v>
      </c>
      <c r="S32">
        <v>0</v>
      </c>
      <c r="T32">
        <v>927.68246888573731</v>
      </c>
    </row>
    <row r="33" spans="1:20" x14ac:dyDescent="0.25">
      <c r="A33" s="1">
        <v>45581</v>
      </c>
      <c r="B33" t="s">
        <v>165</v>
      </c>
      <c r="C33" t="s">
        <v>10</v>
      </c>
      <c r="D33">
        <v>14.129216521561023</v>
      </c>
      <c r="E33" t="s">
        <v>212</v>
      </c>
      <c r="G33">
        <v>45581</v>
      </c>
      <c r="H33" t="s">
        <v>168</v>
      </c>
      <c r="I33">
        <v>0</v>
      </c>
      <c r="J33">
        <v>0</v>
      </c>
      <c r="K33">
        <v>1.8338881270453229</v>
      </c>
      <c r="L33">
        <v>1.8338881270453229</v>
      </c>
      <c r="M33">
        <v>0</v>
      </c>
      <c r="N33" t="s">
        <v>132</v>
      </c>
      <c r="O33" t="s">
        <v>132</v>
      </c>
      <c r="P33">
        <v>27.57</v>
      </c>
      <c r="Q33">
        <v>0</v>
      </c>
      <c r="R33">
        <v>384.2582470360606</v>
      </c>
      <c r="S33">
        <v>0</v>
      </c>
      <c r="T33">
        <v>384.2582470360606</v>
      </c>
    </row>
    <row r="34" spans="1:20" x14ac:dyDescent="0.25">
      <c r="A34" s="1">
        <v>45574</v>
      </c>
      <c r="B34" t="s">
        <v>165</v>
      </c>
      <c r="C34" t="s">
        <v>11</v>
      </c>
      <c r="D34">
        <v>5.3662728249194425</v>
      </c>
      <c r="E34" t="s">
        <v>166</v>
      </c>
      <c r="F34">
        <v>1</v>
      </c>
      <c r="G34">
        <v>45574</v>
      </c>
      <c r="H34" t="s">
        <v>168</v>
      </c>
      <c r="I34">
        <v>8.4896152215890419E-2</v>
      </c>
      <c r="J34">
        <v>8.4896152215890419E-2</v>
      </c>
      <c r="K34">
        <v>0</v>
      </c>
      <c r="L34">
        <v>0</v>
      </c>
      <c r="M34">
        <v>0</v>
      </c>
      <c r="N34" t="s">
        <v>132</v>
      </c>
      <c r="O34" t="s">
        <v>132</v>
      </c>
      <c r="P34">
        <v>29.417999999999999</v>
      </c>
      <c r="Q34">
        <v>14.839847407337645</v>
      </c>
      <c r="R34">
        <v>0</v>
      </c>
      <c r="S34">
        <v>0</v>
      </c>
      <c r="T34">
        <v>14.839847407337645</v>
      </c>
    </row>
    <row r="35" spans="1:20" x14ac:dyDescent="0.25">
      <c r="A35" s="1">
        <v>45574</v>
      </c>
      <c r="B35" t="s">
        <v>165</v>
      </c>
      <c r="C35" t="s">
        <v>11</v>
      </c>
      <c r="D35">
        <v>3.5111676249447159</v>
      </c>
      <c r="E35" t="s">
        <v>212</v>
      </c>
      <c r="G35">
        <v>45574</v>
      </c>
      <c r="H35" t="s">
        <v>168</v>
      </c>
      <c r="I35">
        <v>1.2012777753920871</v>
      </c>
      <c r="J35">
        <v>1.2012777753920871</v>
      </c>
      <c r="K35">
        <v>0</v>
      </c>
      <c r="L35">
        <v>0</v>
      </c>
      <c r="M35">
        <v>0</v>
      </c>
      <c r="N35" t="s">
        <v>132</v>
      </c>
      <c r="O35" t="s">
        <v>132</v>
      </c>
      <c r="P35">
        <v>29.417999999999999</v>
      </c>
      <c r="Q35">
        <v>209.98335513853684</v>
      </c>
      <c r="R35">
        <v>0</v>
      </c>
      <c r="S35">
        <v>0</v>
      </c>
      <c r="T35">
        <v>209.98335513853684</v>
      </c>
    </row>
    <row r="36" spans="1:20" x14ac:dyDescent="0.25">
      <c r="A36" s="1">
        <v>45581</v>
      </c>
      <c r="B36" t="s">
        <v>165</v>
      </c>
      <c r="C36" t="s">
        <v>11</v>
      </c>
      <c r="D36">
        <v>5.3662728249194425</v>
      </c>
      <c r="E36" t="s">
        <v>166</v>
      </c>
      <c r="F36">
        <v>1</v>
      </c>
      <c r="G36">
        <v>45581</v>
      </c>
      <c r="H36" t="s">
        <v>168</v>
      </c>
      <c r="I36">
        <v>0</v>
      </c>
      <c r="J36">
        <v>0</v>
      </c>
      <c r="K36">
        <v>0.51473220867294267</v>
      </c>
      <c r="L36">
        <v>0.51473220867294267</v>
      </c>
      <c r="M36">
        <v>0</v>
      </c>
      <c r="N36" t="s">
        <v>132</v>
      </c>
      <c r="O36" t="s">
        <v>132</v>
      </c>
      <c r="P36">
        <v>29.417999999999999</v>
      </c>
      <c r="Q36">
        <v>0</v>
      </c>
      <c r="R36">
        <v>115.08218007202876</v>
      </c>
      <c r="S36">
        <v>0</v>
      </c>
      <c r="T36">
        <v>115.08218007202876</v>
      </c>
    </row>
    <row r="37" spans="1:20" x14ac:dyDescent="0.25">
      <c r="A37" s="1">
        <v>45581</v>
      </c>
      <c r="B37" t="s">
        <v>165</v>
      </c>
      <c r="C37" t="s">
        <v>11</v>
      </c>
      <c r="D37">
        <v>3.5111676249447159</v>
      </c>
      <c r="E37" t="s">
        <v>212</v>
      </c>
      <c r="G37">
        <v>45581</v>
      </c>
      <c r="H37" t="s">
        <v>168</v>
      </c>
      <c r="I37">
        <v>0.93327893960865094</v>
      </c>
      <c r="J37">
        <v>0.93327893960865094</v>
      </c>
      <c r="K37">
        <v>0</v>
      </c>
      <c r="L37">
        <v>0</v>
      </c>
      <c r="M37">
        <v>0</v>
      </c>
      <c r="N37" t="s">
        <v>132</v>
      </c>
      <c r="O37" t="s">
        <v>132</v>
      </c>
      <c r="P37">
        <v>29.417999999999999</v>
      </c>
      <c r="Q37">
        <v>163.13715864359216</v>
      </c>
      <c r="R37">
        <v>0</v>
      </c>
      <c r="S37">
        <v>0</v>
      </c>
      <c r="T37">
        <v>163.13715864359216</v>
      </c>
    </row>
    <row r="38" spans="1:20" x14ac:dyDescent="0.25">
      <c r="A38" s="1">
        <v>45575</v>
      </c>
      <c r="B38" t="s">
        <v>165</v>
      </c>
      <c r="C38" t="s">
        <v>11</v>
      </c>
      <c r="D38">
        <v>5.3662728249194425</v>
      </c>
      <c r="E38" t="s">
        <v>166</v>
      </c>
      <c r="F38">
        <v>1</v>
      </c>
      <c r="G38">
        <v>45575</v>
      </c>
      <c r="H38" t="s">
        <v>168</v>
      </c>
      <c r="I38">
        <v>7.4665222373977658E-2</v>
      </c>
      <c r="J38">
        <v>7.4665222373977658E-2</v>
      </c>
      <c r="K38">
        <v>0</v>
      </c>
      <c r="L38">
        <v>0</v>
      </c>
      <c r="M38">
        <v>0</v>
      </c>
      <c r="N38" t="s">
        <v>133</v>
      </c>
      <c r="O38" t="s">
        <v>133</v>
      </c>
      <c r="P38">
        <v>29.417999999999999</v>
      </c>
      <c r="Q38">
        <v>13.051480870971295</v>
      </c>
      <c r="R38">
        <v>0</v>
      </c>
      <c r="S38">
        <v>0</v>
      </c>
      <c r="T38">
        <v>13.051480870971295</v>
      </c>
    </row>
    <row r="39" spans="1:20" x14ac:dyDescent="0.25">
      <c r="A39" s="1">
        <v>45575</v>
      </c>
      <c r="B39" t="s">
        <v>165</v>
      </c>
      <c r="C39" t="s">
        <v>11</v>
      </c>
      <c r="D39">
        <v>3.5111676249447159</v>
      </c>
      <c r="E39" t="s">
        <v>212</v>
      </c>
      <c r="G39">
        <v>45575</v>
      </c>
      <c r="H39" t="s">
        <v>168</v>
      </c>
      <c r="I39">
        <v>0.65705042870843489</v>
      </c>
      <c r="J39">
        <v>0.65705042870843489</v>
      </c>
      <c r="K39">
        <v>0</v>
      </c>
      <c r="L39">
        <v>0</v>
      </c>
      <c r="M39">
        <v>0</v>
      </c>
      <c r="N39" t="s">
        <v>133</v>
      </c>
      <c r="O39" t="s">
        <v>133</v>
      </c>
      <c r="P39">
        <v>29.417999999999999</v>
      </c>
      <c r="Q39">
        <v>114.85241493823442</v>
      </c>
      <c r="R39">
        <v>0</v>
      </c>
      <c r="S39">
        <v>0</v>
      </c>
      <c r="T39">
        <v>114.85241493823442</v>
      </c>
    </row>
    <row r="40" spans="1:20" x14ac:dyDescent="0.25">
      <c r="A40" s="1">
        <v>45582</v>
      </c>
      <c r="B40" t="s">
        <v>165</v>
      </c>
      <c r="C40" t="s">
        <v>11</v>
      </c>
      <c r="D40">
        <v>5.3662728249194425</v>
      </c>
      <c r="E40" t="s">
        <v>166</v>
      </c>
      <c r="F40">
        <v>1</v>
      </c>
      <c r="G40">
        <v>45582</v>
      </c>
      <c r="H40" t="s">
        <v>168</v>
      </c>
      <c r="I40">
        <v>7.9780687294933816E-2</v>
      </c>
      <c r="J40">
        <v>7.9780687294933816E-2</v>
      </c>
      <c r="K40">
        <v>0</v>
      </c>
      <c r="L40">
        <v>0</v>
      </c>
      <c r="M40">
        <v>0</v>
      </c>
      <c r="N40" t="s">
        <v>133</v>
      </c>
      <c r="O40" t="s">
        <v>133</v>
      </c>
      <c r="P40">
        <v>29.417999999999999</v>
      </c>
      <c r="Q40">
        <v>13.945664139154431</v>
      </c>
      <c r="R40">
        <v>0</v>
      </c>
      <c r="S40">
        <v>0</v>
      </c>
      <c r="T40">
        <v>13.945664139154431</v>
      </c>
    </row>
    <row r="41" spans="1:20" x14ac:dyDescent="0.25">
      <c r="A41" s="1">
        <v>45582</v>
      </c>
      <c r="B41" t="s">
        <v>165</v>
      </c>
      <c r="C41" t="s">
        <v>11</v>
      </c>
      <c r="D41">
        <v>3.5111676249447159</v>
      </c>
      <c r="E41" t="s">
        <v>212</v>
      </c>
      <c r="G41">
        <v>45582</v>
      </c>
      <c r="H41" t="s">
        <v>168</v>
      </c>
      <c r="I41">
        <v>1.2012777753920871</v>
      </c>
      <c r="J41">
        <v>1.2012777753920871</v>
      </c>
      <c r="K41">
        <v>0</v>
      </c>
      <c r="L41">
        <v>0</v>
      </c>
      <c r="M41">
        <v>0</v>
      </c>
      <c r="N41" t="s">
        <v>133</v>
      </c>
      <c r="O41" t="s">
        <v>133</v>
      </c>
      <c r="P41">
        <v>29.417999999999999</v>
      </c>
      <c r="Q41">
        <v>209.98335513853684</v>
      </c>
      <c r="R41">
        <v>0</v>
      </c>
      <c r="S41">
        <v>0</v>
      </c>
      <c r="T41">
        <v>209.98335513853684</v>
      </c>
    </row>
    <row r="42" spans="1:20" x14ac:dyDescent="0.25">
      <c r="A42" s="1">
        <v>45575</v>
      </c>
      <c r="B42" t="s">
        <v>165</v>
      </c>
      <c r="C42" t="s">
        <v>12</v>
      </c>
      <c r="D42">
        <v>11.626924453992126</v>
      </c>
      <c r="E42" t="s">
        <v>166</v>
      </c>
      <c r="F42">
        <v>1</v>
      </c>
      <c r="G42">
        <v>45575</v>
      </c>
      <c r="H42" t="s">
        <v>168</v>
      </c>
      <c r="I42">
        <v>0</v>
      </c>
      <c r="J42">
        <v>0</v>
      </c>
      <c r="K42">
        <v>1.5325363539245156</v>
      </c>
      <c r="L42">
        <v>1.5325363539245156</v>
      </c>
      <c r="M42">
        <v>0</v>
      </c>
      <c r="N42" t="s">
        <v>133</v>
      </c>
      <c r="O42" t="s">
        <v>133</v>
      </c>
      <c r="P42">
        <v>28.36</v>
      </c>
      <c r="Q42">
        <v>0</v>
      </c>
      <c r="R42">
        <v>330.31675557947437</v>
      </c>
      <c r="S42">
        <v>0</v>
      </c>
      <c r="T42">
        <v>330.31675557947437</v>
      </c>
    </row>
    <row r="43" spans="1:20" x14ac:dyDescent="0.25">
      <c r="A43" s="1">
        <v>45575</v>
      </c>
      <c r="B43" t="s">
        <v>165</v>
      </c>
      <c r="C43" t="s">
        <v>12</v>
      </c>
      <c r="D43">
        <v>12.417771069086861</v>
      </c>
      <c r="E43" t="s">
        <v>212</v>
      </c>
      <c r="G43">
        <v>45575</v>
      </c>
      <c r="H43" t="s">
        <v>168</v>
      </c>
      <c r="I43">
        <v>0</v>
      </c>
      <c r="J43">
        <v>0</v>
      </c>
      <c r="K43">
        <v>2.0661667910119963</v>
      </c>
      <c r="L43">
        <v>2.0661667910119963</v>
      </c>
      <c r="M43">
        <v>0</v>
      </c>
      <c r="N43" t="s">
        <v>133</v>
      </c>
      <c r="O43" t="s">
        <v>133</v>
      </c>
      <c r="P43">
        <v>28.36</v>
      </c>
      <c r="Q43">
        <v>0</v>
      </c>
      <c r="R43">
        <v>445.33332546756162</v>
      </c>
      <c r="S43">
        <v>0</v>
      </c>
      <c r="T43">
        <v>445.33332546756162</v>
      </c>
    </row>
    <row r="44" spans="1:20" x14ac:dyDescent="0.25">
      <c r="A44" s="1">
        <v>45582</v>
      </c>
      <c r="B44" t="s">
        <v>165</v>
      </c>
      <c r="C44" t="s">
        <v>12</v>
      </c>
      <c r="D44">
        <v>11.626924453992126</v>
      </c>
      <c r="E44" t="s">
        <v>166</v>
      </c>
      <c r="F44">
        <v>1</v>
      </c>
      <c r="G44">
        <v>45582</v>
      </c>
      <c r="H44" t="s">
        <v>168</v>
      </c>
      <c r="I44">
        <v>0</v>
      </c>
      <c r="J44">
        <v>0</v>
      </c>
      <c r="K44">
        <v>0.61608452291402604</v>
      </c>
      <c r="L44">
        <v>0.61608452291402604</v>
      </c>
      <c r="M44">
        <v>0</v>
      </c>
      <c r="N44" t="s">
        <v>133</v>
      </c>
      <c r="O44" t="s">
        <v>133</v>
      </c>
      <c r="P44">
        <v>28.36</v>
      </c>
      <c r="Q44">
        <v>0</v>
      </c>
      <c r="R44">
        <v>132.78839373079751</v>
      </c>
      <c r="S44">
        <v>0</v>
      </c>
      <c r="T44">
        <v>132.78839373079751</v>
      </c>
    </row>
    <row r="45" spans="1:20" x14ac:dyDescent="0.25">
      <c r="A45" s="1">
        <v>45575</v>
      </c>
      <c r="B45" t="s">
        <v>165</v>
      </c>
      <c r="C45" t="s">
        <v>10</v>
      </c>
      <c r="D45">
        <v>14.310060866451844</v>
      </c>
      <c r="E45" t="s">
        <v>166</v>
      </c>
      <c r="F45">
        <v>1</v>
      </c>
      <c r="G45">
        <v>45575</v>
      </c>
      <c r="H45" t="s">
        <v>168</v>
      </c>
      <c r="I45">
        <v>0</v>
      </c>
      <c r="J45">
        <v>0</v>
      </c>
      <c r="K45">
        <v>3.4862258779109809</v>
      </c>
      <c r="L45">
        <v>3.4862258779109809</v>
      </c>
      <c r="M45">
        <v>0</v>
      </c>
      <c r="N45" t="s">
        <v>133</v>
      </c>
      <c r="O45" t="s">
        <v>133</v>
      </c>
      <c r="P45">
        <v>27.57</v>
      </c>
      <c r="Q45">
        <v>0</v>
      </c>
      <c r="R45">
        <v>730.47588065044363</v>
      </c>
      <c r="S45">
        <v>0</v>
      </c>
      <c r="T45">
        <v>730.47588065044363</v>
      </c>
    </row>
    <row r="46" spans="1:20" x14ac:dyDescent="0.25">
      <c r="A46" s="1">
        <v>45575</v>
      </c>
      <c r="B46" t="s">
        <v>165</v>
      </c>
      <c r="C46" t="s">
        <v>10</v>
      </c>
      <c r="D46">
        <v>14.12921652156102</v>
      </c>
      <c r="E46" t="s">
        <v>212</v>
      </c>
      <c r="G46">
        <v>45575</v>
      </c>
      <c r="H46" t="s">
        <v>168</v>
      </c>
      <c r="I46">
        <v>0</v>
      </c>
      <c r="J46">
        <v>0</v>
      </c>
      <c r="K46">
        <v>0.25323612940415735</v>
      </c>
      <c r="L46">
        <v>0.25323612940415735</v>
      </c>
      <c r="M46">
        <v>0</v>
      </c>
      <c r="N46" t="s">
        <v>133</v>
      </c>
      <c r="O46" t="s">
        <v>133</v>
      </c>
      <c r="P46">
        <v>27.57</v>
      </c>
      <c r="Q46">
        <v>0</v>
      </c>
      <c r="R46">
        <v>53.061072666311901</v>
      </c>
      <c r="S46">
        <v>0</v>
      </c>
      <c r="T46">
        <v>53.061072666311901</v>
      </c>
    </row>
    <row r="47" spans="1:20" x14ac:dyDescent="0.25">
      <c r="A47" s="1">
        <v>45582</v>
      </c>
      <c r="B47" t="s">
        <v>165</v>
      </c>
      <c r="C47" t="s">
        <v>10</v>
      </c>
      <c r="D47">
        <v>14.310060866451844</v>
      </c>
      <c r="E47" t="s">
        <v>166</v>
      </c>
      <c r="F47">
        <v>1</v>
      </c>
      <c r="G47">
        <v>45582</v>
      </c>
      <c r="H47" t="s">
        <v>168</v>
      </c>
      <c r="I47">
        <v>0</v>
      </c>
      <c r="J47">
        <v>0</v>
      </c>
      <c r="K47">
        <v>1.3484468953502113</v>
      </c>
      <c r="L47">
        <v>1.3484468953502113</v>
      </c>
      <c r="M47">
        <v>0</v>
      </c>
      <c r="N47" t="s">
        <v>133</v>
      </c>
      <c r="O47" t="s">
        <v>133</v>
      </c>
      <c r="P47">
        <v>27.57</v>
      </c>
      <c r="Q47">
        <v>0</v>
      </c>
      <c r="R47">
        <v>282.54277487652053</v>
      </c>
      <c r="S47">
        <v>0</v>
      </c>
      <c r="T47">
        <v>282.54277487652053</v>
      </c>
    </row>
    <row r="48" spans="1:20" x14ac:dyDescent="0.25">
      <c r="A48" s="1">
        <v>45576</v>
      </c>
      <c r="B48" t="s">
        <v>165</v>
      </c>
      <c r="C48" t="s">
        <v>10</v>
      </c>
      <c r="D48">
        <v>14.310060866451844</v>
      </c>
      <c r="E48" t="s">
        <v>166</v>
      </c>
      <c r="F48">
        <v>1</v>
      </c>
      <c r="G48">
        <v>45576</v>
      </c>
      <c r="H48" t="s">
        <v>168</v>
      </c>
      <c r="I48">
        <v>0</v>
      </c>
      <c r="J48">
        <v>0</v>
      </c>
      <c r="K48">
        <v>6.3097552896756826</v>
      </c>
      <c r="L48">
        <v>6.3097552896756826</v>
      </c>
      <c r="M48">
        <v>0</v>
      </c>
      <c r="N48" t="s">
        <v>134</v>
      </c>
      <c r="O48" t="s">
        <v>134</v>
      </c>
      <c r="P48">
        <v>27.57</v>
      </c>
      <c r="Q48">
        <v>0</v>
      </c>
      <c r="R48">
        <v>1322.0956453563251</v>
      </c>
      <c r="S48">
        <v>0</v>
      </c>
      <c r="T48">
        <v>1322.0956453563251</v>
      </c>
    </row>
    <row r="49" spans="1:20" x14ac:dyDescent="0.25">
      <c r="A49" s="1">
        <v>45576</v>
      </c>
      <c r="B49" t="s">
        <v>165</v>
      </c>
      <c r="C49" t="s">
        <v>10</v>
      </c>
      <c r="D49">
        <v>14.129216521561023</v>
      </c>
      <c r="E49" t="s">
        <v>212</v>
      </c>
      <c r="G49">
        <v>45576</v>
      </c>
      <c r="H49" t="s">
        <v>168</v>
      </c>
      <c r="I49">
        <v>0</v>
      </c>
      <c r="J49">
        <v>0</v>
      </c>
      <c r="K49">
        <v>2.1201478941100467</v>
      </c>
      <c r="L49">
        <v>2.1201478941100467</v>
      </c>
      <c r="M49">
        <v>0</v>
      </c>
      <c r="N49" t="s">
        <v>134</v>
      </c>
      <c r="O49" t="s">
        <v>134</v>
      </c>
      <c r="P49">
        <v>27.57</v>
      </c>
      <c r="Q49">
        <v>0</v>
      </c>
      <c r="R49">
        <v>444.23882854866628</v>
      </c>
      <c r="S49">
        <v>0</v>
      </c>
      <c r="T49">
        <v>444.23882854866628</v>
      </c>
    </row>
    <row r="50" spans="1:20" x14ac:dyDescent="0.25">
      <c r="A50" s="1">
        <v>45576</v>
      </c>
      <c r="B50" t="s">
        <v>165</v>
      </c>
      <c r="C50" t="s">
        <v>11</v>
      </c>
      <c r="D50">
        <v>5.3662728249194425</v>
      </c>
      <c r="E50" t="s">
        <v>166</v>
      </c>
      <c r="F50">
        <v>1</v>
      </c>
      <c r="G50">
        <v>45576</v>
      </c>
      <c r="H50" t="s">
        <v>168</v>
      </c>
      <c r="I50">
        <v>8.8159356956747814E-2</v>
      </c>
      <c r="J50">
        <v>8.8159356956747814E-2</v>
      </c>
      <c r="K50">
        <v>0</v>
      </c>
      <c r="L50">
        <v>0</v>
      </c>
      <c r="M50">
        <v>0</v>
      </c>
      <c r="N50" t="s">
        <v>134</v>
      </c>
      <c r="O50" t="s">
        <v>134</v>
      </c>
      <c r="P50">
        <v>29.417999999999999</v>
      </c>
      <c r="Q50">
        <v>15.410255596039518</v>
      </c>
      <c r="R50">
        <v>0</v>
      </c>
      <c r="S50">
        <v>0</v>
      </c>
      <c r="T50">
        <v>15.410255596039518</v>
      </c>
    </row>
    <row r="51" spans="1:20" x14ac:dyDescent="0.25">
      <c r="A51" s="1">
        <v>45576</v>
      </c>
      <c r="B51" t="s">
        <v>165</v>
      </c>
      <c r="C51" t="s">
        <v>11</v>
      </c>
      <c r="D51">
        <v>3.5111676249447159</v>
      </c>
      <c r="E51" t="s">
        <v>212</v>
      </c>
      <c r="G51">
        <v>45576</v>
      </c>
      <c r="H51" t="s">
        <v>168</v>
      </c>
      <c r="I51">
        <v>1.2094005716112459</v>
      </c>
      <c r="J51">
        <v>1.2094005716112459</v>
      </c>
      <c r="K51">
        <v>0</v>
      </c>
      <c r="L51">
        <v>0</v>
      </c>
      <c r="M51">
        <v>0</v>
      </c>
      <c r="N51" t="s">
        <v>134</v>
      </c>
      <c r="O51" t="s">
        <v>134</v>
      </c>
      <c r="P51">
        <v>29.417999999999999</v>
      </c>
      <c r="Q51">
        <v>211.40321991764577</v>
      </c>
      <c r="R51">
        <v>0</v>
      </c>
      <c r="S51">
        <v>0</v>
      </c>
      <c r="T51">
        <v>211.40321991764577</v>
      </c>
    </row>
    <row r="52" spans="1:20" x14ac:dyDescent="0.25">
      <c r="A52" s="1">
        <v>45576</v>
      </c>
      <c r="B52" t="s">
        <v>165</v>
      </c>
      <c r="C52" t="s">
        <v>12</v>
      </c>
      <c r="D52">
        <v>11.626924453992125</v>
      </c>
      <c r="E52" t="s">
        <v>166</v>
      </c>
      <c r="F52">
        <v>1</v>
      </c>
      <c r="G52">
        <v>45576</v>
      </c>
      <c r="H52" t="s">
        <v>168</v>
      </c>
      <c r="I52">
        <v>0</v>
      </c>
      <c r="J52">
        <v>0</v>
      </c>
      <c r="K52">
        <v>2.0128322131250371</v>
      </c>
      <c r="L52">
        <v>2.0128322131250371</v>
      </c>
      <c r="M52">
        <v>0</v>
      </c>
      <c r="N52" t="s">
        <v>134</v>
      </c>
      <c r="O52" t="s">
        <v>134</v>
      </c>
      <c r="P52">
        <v>28.36</v>
      </c>
      <c r="Q52">
        <v>0</v>
      </c>
      <c r="R52">
        <v>433.837803888118</v>
      </c>
      <c r="S52">
        <v>0</v>
      </c>
      <c r="T52">
        <v>433.837803888118</v>
      </c>
    </row>
    <row r="53" spans="1:20" x14ac:dyDescent="0.25">
      <c r="A53" s="1">
        <v>45576</v>
      </c>
      <c r="B53" t="s">
        <v>165</v>
      </c>
      <c r="C53" t="s">
        <v>12</v>
      </c>
      <c r="D53">
        <v>12.417771069086861</v>
      </c>
      <c r="E53" t="s">
        <v>212</v>
      </c>
      <c r="G53">
        <v>45576</v>
      </c>
      <c r="H53" t="s">
        <v>168</v>
      </c>
      <c r="I53">
        <v>0</v>
      </c>
      <c r="J53">
        <v>0</v>
      </c>
      <c r="K53">
        <v>1.876995668017347</v>
      </c>
      <c r="L53">
        <v>1.876995668017347</v>
      </c>
      <c r="M53">
        <v>1.0407754010695136</v>
      </c>
      <c r="N53" t="s">
        <v>134</v>
      </c>
      <c r="O53" t="s">
        <v>134</v>
      </c>
      <c r="P53">
        <v>28.36</v>
      </c>
      <c r="Q53">
        <v>0</v>
      </c>
      <c r="R53">
        <v>404.56013830178688</v>
      </c>
      <c r="S53">
        <v>0</v>
      </c>
      <c r="T53">
        <v>404.56013830178688</v>
      </c>
    </row>
    <row r="54" spans="1:20" x14ac:dyDescent="0.25">
      <c r="A54" s="1">
        <v>45577</v>
      </c>
      <c r="B54" t="s">
        <v>165</v>
      </c>
      <c r="C54" t="s">
        <v>10</v>
      </c>
      <c r="D54">
        <v>14.310060866451844</v>
      </c>
      <c r="E54" t="s">
        <v>166</v>
      </c>
      <c r="F54">
        <v>1</v>
      </c>
      <c r="G54">
        <v>45577</v>
      </c>
      <c r="H54" t="s">
        <v>168</v>
      </c>
      <c r="I54">
        <v>0</v>
      </c>
      <c r="J54">
        <v>0</v>
      </c>
      <c r="K54">
        <v>1.5109287250737273</v>
      </c>
      <c r="L54">
        <v>1.5109287250737273</v>
      </c>
      <c r="M54">
        <v>0</v>
      </c>
      <c r="N54" t="s">
        <v>124</v>
      </c>
      <c r="O54" t="s">
        <v>124</v>
      </c>
      <c r="P54">
        <v>37.600000000000009</v>
      </c>
      <c r="Q54">
        <v>0</v>
      </c>
      <c r="R54">
        <v>431.76299247706839</v>
      </c>
      <c r="S54">
        <v>0</v>
      </c>
      <c r="T54">
        <v>431.76299247706839</v>
      </c>
    </row>
    <row r="55" spans="1:20" x14ac:dyDescent="0.25">
      <c r="A55" s="1">
        <v>45577</v>
      </c>
      <c r="B55" t="s">
        <v>165</v>
      </c>
      <c r="C55" t="s">
        <v>10</v>
      </c>
      <c r="D55">
        <v>14.12921652156102</v>
      </c>
      <c r="E55" t="s">
        <v>212</v>
      </c>
      <c r="G55">
        <v>45577</v>
      </c>
      <c r="H55" t="s">
        <v>168</v>
      </c>
      <c r="I55">
        <v>0</v>
      </c>
      <c r="J55">
        <v>0</v>
      </c>
      <c r="K55">
        <v>0.25323612940415735</v>
      </c>
      <c r="L55">
        <v>0.25323612940415735</v>
      </c>
      <c r="M55">
        <v>0</v>
      </c>
      <c r="N55" t="s">
        <v>124</v>
      </c>
      <c r="O55" t="s">
        <v>124</v>
      </c>
      <c r="P55">
        <v>37.600000000000009</v>
      </c>
      <c r="Q55">
        <v>0</v>
      </c>
      <c r="R55">
        <v>72.364756338532018</v>
      </c>
      <c r="S55">
        <v>0</v>
      </c>
      <c r="T55">
        <v>72.364756338532018</v>
      </c>
    </row>
    <row r="56" spans="1:20" x14ac:dyDescent="0.25">
      <c r="A56" s="1">
        <v>45578</v>
      </c>
      <c r="B56" t="s">
        <v>165</v>
      </c>
      <c r="C56" t="s">
        <v>10</v>
      </c>
      <c r="D56">
        <v>14.310060866451844</v>
      </c>
      <c r="E56" t="s">
        <v>166</v>
      </c>
      <c r="F56">
        <v>1</v>
      </c>
      <c r="G56">
        <v>45578</v>
      </c>
      <c r="H56" t="s">
        <v>168</v>
      </c>
      <c r="I56">
        <v>0</v>
      </c>
      <c r="J56">
        <v>0</v>
      </c>
      <c r="K56">
        <v>0.91990984100670226</v>
      </c>
      <c r="L56">
        <v>0.91990984100670226</v>
      </c>
      <c r="M56">
        <v>0</v>
      </c>
      <c r="N56" t="s">
        <v>125</v>
      </c>
      <c r="O56" t="s">
        <v>125</v>
      </c>
      <c r="P56">
        <v>42.790000000000006</v>
      </c>
      <c r="Q56">
        <v>0</v>
      </c>
      <c r="R56">
        <v>299.15835993474366</v>
      </c>
      <c r="S56">
        <v>0</v>
      </c>
      <c r="T56">
        <v>299.15835993474366</v>
      </c>
    </row>
    <row r="57" spans="1:20" x14ac:dyDescent="0.25">
      <c r="A57" s="1">
        <v>45578</v>
      </c>
      <c r="B57" t="s">
        <v>165</v>
      </c>
      <c r="C57" t="s">
        <v>10</v>
      </c>
      <c r="D57">
        <v>14.12921652156102</v>
      </c>
      <c r="E57" t="s">
        <v>212</v>
      </c>
      <c r="G57">
        <v>45578</v>
      </c>
      <c r="H57" t="s">
        <v>168</v>
      </c>
      <c r="I57">
        <v>0</v>
      </c>
      <c r="J57">
        <v>0</v>
      </c>
      <c r="K57">
        <v>0.28460867842376619</v>
      </c>
      <c r="L57">
        <v>0.28460867842376619</v>
      </c>
      <c r="M57">
        <v>0</v>
      </c>
      <c r="N57" t="s">
        <v>125</v>
      </c>
      <c r="O57" t="s">
        <v>125</v>
      </c>
      <c r="P57">
        <v>42.790000000000006</v>
      </c>
      <c r="Q57">
        <v>0</v>
      </c>
      <c r="R57">
        <v>92.555880658122462</v>
      </c>
      <c r="S57">
        <v>0</v>
      </c>
      <c r="T57">
        <v>92.555880658122462</v>
      </c>
    </row>
    <row r="58" spans="1:20" x14ac:dyDescent="0.25">
      <c r="A58" s="1">
        <v>45577</v>
      </c>
      <c r="B58" t="s">
        <v>165</v>
      </c>
      <c r="C58" t="s">
        <v>11</v>
      </c>
      <c r="D58">
        <v>5.3662728249194425</v>
      </c>
      <c r="E58" t="s">
        <v>166</v>
      </c>
      <c r="F58">
        <v>1</v>
      </c>
      <c r="G58">
        <v>45577</v>
      </c>
      <c r="H58" t="s">
        <v>168</v>
      </c>
      <c r="I58">
        <v>7.9780687294933816E-2</v>
      </c>
      <c r="J58">
        <v>7.9780687294933816E-2</v>
      </c>
      <c r="K58">
        <v>0</v>
      </c>
      <c r="L58">
        <v>0</v>
      </c>
      <c r="M58">
        <v>0</v>
      </c>
      <c r="N58" t="s">
        <v>124</v>
      </c>
      <c r="O58" t="s">
        <v>124</v>
      </c>
      <c r="P58">
        <v>32.272000000000013</v>
      </c>
      <c r="Q58">
        <v>13.945664139154431</v>
      </c>
      <c r="R58">
        <v>0</v>
      </c>
      <c r="S58">
        <v>0</v>
      </c>
      <c r="T58">
        <v>13.945664139154431</v>
      </c>
    </row>
    <row r="59" spans="1:20" x14ac:dyDescent="0.25">
      <c r="A59" s="1">
        <v>45577</v>
      </c>
      <c r="B59" t="s">
        <v>165</v>
      </c>
      <c r="C59" t="s">
        <v>11</v>
      </c>
      <c r="D59">
        <v>3.5111676249447159</v>
      </c>
      <c r="E59" t="s">
        <v>212</v>
      </c>
      <c r="G59">
        <v>45577</v>
      </c>
      <c r="H59" t="s">
        <v>168</v>
      </c>
      <c r="I59">
        <v>0.94947109259815821</v>
      </c>
      <c r="J59">
        <v>0.94947109259815821</v>
      </c>
      <c r="K59">
        <v>0</v>
      </c>
      <c r="L59">
        <v>0</v>
      </c>
      <c r="M59">
        <v>0</v>
      </c>
      <c r="N59" t="s">
        <v>124</v>
      </c>
      <c r="O59" t="s">
        <v>124</v>
      </c>
      <c r="P59">
        <v>32.272000000000013</v>
      </c>
      <c r="Q59">
        <v>165.96754698615806</v>
      </c>
      <c r="R59">
        <v>0</v>
      </c>
      <c r="S59">
        <v>0</v>
      </c>
      <c r="T59">
        <v>165.96754698615806</v>
      </c>
    </row>
    <row r="60" spans="1:20" x14ac:dyDescent="0.25">
      <c r="A60" s="1">
        <v>45577</v>
      </c>
      <c r="B60" t="s">
        <v>165</v>
      </c>
      <c r="C60" t="s">
        <v>12</v>
      </c>
      <c r="D60">
        <v>11.626924453992126</v>
      </c>
      <c r="E60" t="s">
        <v>166</v>
      </c>
      <c r="F60">
        <v>1</v>
      </c>
      <c r="G60">
        <v>45577</v>
      </c>
      <c r="H60" t="s">
        <v>168</v>
      </c>
      <c r="I60">
        <v>0</v>
      </c>
      <c r="J60">
        <v>0</v>
      </c>
      <c r="K60">
        <v>1.5705156835874112</v>
      </c>
      <c r="L60">
        <v>1.5705156835874112</v>
      </c>
      <c r="M60">
        <v>0</v>
      </c>
      <c r="N60" t="s">
        <v>124</v>
      </c>
      <c r="O60" t="s">
        <v>124</v>
      </c>
      <c r="P60">
        <v>33.160000000000011</v>
      </c>
      <c r="Q60">
        <v>0</v>
      </c>
      <c r="R60">
        <v>395.79508051496515</v>
      </c>
      <c r="S60">
        <v>0</v>
      </c>
      <c r="T60">
        <v>395.79508051496515</v>
      </c>
    </row>
    <row r="61" spans="1:20" x14ac:dyDescent="0.25">
      <c r="A61" s="1">
        <v>45577</v>
      </c>
      <c r="B61" t="s">
        <v>165</v>
      </c>
      <c r="C61" t="s">
        <v>12</v>
      </c>
      <c r="D61">
        <v>12.417771069086861</v>
      </c>
      <c r="E61" t="s">
        <v>212</v>
      </c>
      <c r="G61">
        <v>45577</v>
      </c>
      <c r="H61" t="s">
        <v>168</v>
      </c>
      <c r="I61">
        <v>0</v>
      </c>
      <c r="J61">
        <v>0</v>
      </c>
      <c r="K61">
        <v>1.4244555610654772</v>
      </c>
      <c r="L61">
        <v>1.4244555610654772</v>
      </c>
      <c r="M61">
        <v>0</v>
      </c>
      <c r="N61" t="s">
        <v>124</v>
      </c>
      <c r="O61" t="s">
        <v>124</v>
      </c>
      <c r="P61">
        <v>33.160000000000011</v>
      </c>
      <c r="Q61">
        <v>0</v>
      </c>
      <c r="R61">
        <v>358.98559267747743</v>
      </c>
      <c r="S61">
        <v>0</v>
      </c>
      <c r="T61">
        <v>358.98559267747743</v>
      </c>
    </row>
    <row r="62" spans="1:20" x14ac:dyDescent="0.25">
      <c r="A62" s="1">
        <v>45578</v>
      </c>
      <c r="B62" t="s">
        <v>165</v>
      </c>
      <c r="C62" t="s">
        <v>12</v>
      </c>
      <c r="D62">
        <v>11.626924453992126</v>
      </c>
      <c r="E62" t="s">
        <v>166</v>
      </c>
      <c r="F62">
        <v>1</v>
      </c>
      <c r="G62">
        <v>45578</v>
      </c>
      <c r="H62" t="s">
        <v>168</v>
      </c>
      <c r="I62">
        <v>0</v>
      </c>
      <c r="J62">
        <v>0</v>
      </c>
      <c r="K62">
        <v>4.0390339131604067</v>
      </c>
      <c r="L62">
        <v>4.0390339131604067</v>
      </c>
      <c r="M62">
        <v>0</v>
      </c>
      <c r="N62" t="s">
        <v>125</v>
      </c>
      <c r="O62" t="s">
        <v>125</v>
      </c>
      <c r="P62">
        <v>37.610000000000007</v>
      </c>
      <c r="Q62">
        <v>0</v>
      </c>
      <c r="R62">
        <v>1154.5012976021183</v>
      </c>
      <c r="S62">
        <v>0</v>
      </c>
      <c r="T62">
        <v>1154.5012976021183</v>
      </c>
    </row>
    <row r="63" spans="1:20" x14ac:dyDescent="0.25">
      <c r="A63" s="1">
        <v>45578</v>
      </c>
      <c r="B63" t="s">
        <v>165</v>
      </c>
      <c r="C63" t="s">
        <v>12</v>
      </c>
      <c r="D63">
        <v>12.417771069086861</v>
      </c>
      <c r="E63" t="s">
        <v>212</v>
      </c>
      <c r="G63">
        <v>45578</v>
      </c>
      <c r="H63" t="s">
        <v>168</v>
      </c>
      <c r="I63">
        <v>0</v>
      </c>
      <c r="J63">
        <v>0</v>
      </c>
      <c r="K63">
        <v>1.8522630476964907</v>
      </c>
      <c r="L63">
        <v>1.8522630476964907</v>
      </c>
      <c r="M63">
        <v>0</v>
      </c>
      <c r="N63" t="s">
        <v>125</v>
      </c>
      <c r="O63" t="s">
        <v>125</v>
      </c>
      <c r="P63">
        <v>37.610000000000007</v>
      </c>
      <c r="Q63">
        <v>0</v>
      </c>
      <c r="R63">
        <v>529.44346050137415</v>
      </c>
      <c r="S63">
        <v>0</v>
      </c>
      <c r="T63">
        <v>529.44346050137415</v>
      </c>
    </row>
    <row r="64" spans="1:20" x14ac:dyDescent="0.25">
      <c r="A64" s="1">
        <v>45578</v>
      </c>
      <c r="B64" t="s">
        <v>165</v>
      </c>
      <c r="C64" t="s">
        <v>11</v>
      </c>
      <c r="D64">
        <v>5.3662728249194425</v>
      </c>
      <c r="E64" t="s">
        <v>166</v>
      </c>
      <c r="F64">
        <v>1</v>
      </c>
      <c r="G64">
        <v>45578</v>
      </c>
      <c r="H64" t="s">
        <v>168</v>
      </c>
      <c r="I64">
        <v>0</v>
      </c>
      <c r="J64">
        <v>0</v>
      </c>
      <c r="K64">
        <v>0.54218318906510021</v>
      </c>
      <c r="L64">
        <v>0.54218318906510021</v>
      </c>
      <c r="M64">
        <v>0</v>
      </c>
      <c r="N64" t="s">
        <v>125</v>
      </c>
      <c r="O64" t="s">
        <v>125</v>
      </c>
      <c r="P64">
        <v>36.574000000000012</v>
      </c>
      <c r="Q64">
        <v>0</v>
      </c>
      <c r="R64">
        <v>150.70654047218906</v>
      </c>
      <c r="S64">
        <v>0</v>
      </c>
      <c r="T64">
        <v>150.70654047218906</v>
      </c>
    </row>
    <row r="65" spans="1:20" x14ac:dyDescent="0.25">
      <c r="A65" s="1">
        <v>45578</v>
      </c>
      <c r="B65" t="s">
        <v>165</v>
      </c>
      <c r="C65" t="s">
        <v>11</v>
      </c>
      <c r="D65">
        <v>3.5111676249447159</v>
      </c>
      <c r="E65" t="s">
        <v>212</v>
      </c>
      <c r="G65">
        <v>45578</v>
      </c>
      <c r="H65" t="s">
        <v>168</v>
      </c>
      <c r="I65">
        <v>1.2012777753920871</v>
      </c>
      <c r="J65">
        <v>1.2012777753920871</v>
      </c>
      <c r="K65">
        <v>0</v>
      </c>
      <c r="L65">
        <v>0</v>
      </c>
      <c r="M65">
        <v>0</v>
      </c>
      <c r="N65" t="s">
        <v>125</v>
      </c>
      <c r="O65" t="s">
        <v>125</v>
      </c>
      <c r="P65">
        <v>36.574000000000012</v>
      </c>
      <c r="Q65">
        <v>209.98335513853684</v>
      </c>
      <c r="R65">
        <v>0</v>
      </c>
      <c r="S65">
        <v>0</v>
      </c>
      <c r="T65">
        <v>209.98335513853684</v>
      </c>
    </row>
    <row r="66" spans="1:20" x14ac:dyDescent="0.25">
      <c r="A66" s="1">
        <v>45582</v>
      </c>
      <c r="B66" t="s">
        <v>165</v>
      </c>
      <c r="C66" t="s">
        <v>10</v>
      </c>
      <c r="D66">
        <v>14.12921652156102</v>
      </c>
      <c r="E66" t="s">
        <v>212</v>
      </c>
      <c r="G66">
        <v>45582</v>
      </c>
      <c r="H66" t="s">
        <v>168</v>
      </c>
      <c r="I66">
        <v>0</v>
      </c>
      <c r="J66">
        <v>0</v>
      </c>
      <c r="K66">
        <v>0.29353724985234042</v>
      </c>
      <c r="L66">
        <v>0.29353724985234042</v>
      </c>
      <c r="M66">
        <v>0</v>
      </c>
      <c r="N66" t="s">
        <v>133</v>
      </c>
      <c r="O66" t="s">
        <v>133</v>
      </c>
      <c r="P66">
        <v>27.57</v>
      </c>
      <c r="Q66">
        <v>0</v>
      </c>
      <c r="R66">
        <v>61.505447036060595</v>
      </c>
      <c r="S66">
        <v>0</v>
      </c>
      <c r="T66">
        <v>61.505447036060595</v>
      </c>
    </row>
    <row r="67" spans="1:20" x14ac:dyDescent="0.25">
      <c r="A67" s="1">
        <v>45582</v>
      </c>
      <c r="B67" t="s">
        <v>165</v>
      </c>
      <c r="C67" t="s">
        <v>12</v>
      </c>
      <c r="D67">
        <v>12.417771069086861</v>
      </c>
      <c r="E67" t="s">
        <v>212</v>
      </c>
      <c r="G67">
        <v>45582</v>
      </c>
      <c r="H67" t="s">
        <v>168</v>
      </c>
      <c r="I67">
        <v>0</v>
      </c>
      <c r="J67">
        <v>0</v>
      </c>
      <c r="K67">
        <v>1.9047522251856643</v>
      </c>
      <c r="L67">
        <v>1.9047522251856643</v>
      </c>
      <c r="M67">
        <v>0</v>
      </c>
      <c r="N67" t="s">
        <v>133</v>
      </c>
      <c r="O67" t="s">
        <v>133</v>
      </c>
      <c r="P67">
        <v>28.36</v>
      </c>
      <c r="Q67">
        <v>0</v>
      </c>
      <c r="R67">
        <v>410.54267560761735</v>
      </c>
      <c r="S67">
        <v>0</v>
      </c>
      <c r="T67">
        <v>410.54267560761735</v>
      </c>
    </row>
    <row r="68" spans="1:20" x14ac:dyDescent="0.25">
      <c r="A68" s="1">
        <v>45583</v>
      </c>
      <c r="B68" t="s">
        <v>165</v>
      </c>
      <c r="C68" t="s">
        <v>10</v>
      </c>
      <c r="D68">
        <v>14.310060866451844</v>
      </c>
      <c r="E68" t="s">
        <v>166</v>
      </c>
      <c r="F68">
        <v>1</v>
      </c>
      <c r="G68">
        <v>45583</v>
      </c>
      <c r="H68" t="s">
        <v>168</v>
      </c>
      <c r="I68">
        <v>0</v>
      </c>
      <c r="J68">
        <v>0</v>
      </c>
      <c r="K68">
        <v>1.0905039527772826</v>
      </c>
      <c r="L68">
        <v>1.0905039527772826</v>
      </c>
      <c r="M68">
        <v>0</v>
      </c>
      <c r="N68" t="s">
        <v>134</v>
      </c>
      <c r="O68" t="s">
        <v>134</v>
      </c>
      <c r="P68">
        <v>27.57</v>
      </c>
      <c r="Q68">
        <v>0</v>
      </c>
      <c r="R68">
        <v>228.49547423332959</v>
      </c>
      <c r="S68">
        <v>0</v>
      </c>
      <c r="T68">
        <v>228.49547423332959</v>
      </c>
    </row>
    <row r="69" spans="1:20" x14ac:dyDescent="0.25">
      <c r="A69" s="1">
        <v>45583</v>
      </c>
      <c r="B69" t="s">
        <v>165</v>
      </c>
      <c r="C69" t="s">
        <v>11</v>
      </c>
      <c r="D69">
        <v>5.3662728249194425</v>
      </c>
      <c r="E69" t="s">
        <v>166</v>
      </c>
      <c r="F69">
        <v>1</v>
      </c>
      <c r="G69">
        <v>45583</v>
      </c>
      <c r="H69" t="s">
        <v>168</v>
      </c>
      <c r="I69">
        <v>7.9780687294933816E-2</v>
      </c>
      <c r="J69">
        <v>7.9780687294933816E-2</v>
      </c>
      <c r="K69">
        <v>0</v>
      </c>
      <c r="L69">
        <v>0</v>
      </c>
      <c r="M69">
        <v>0</v>
      </c>
      <c r="N69" t="s">
        <v>134</v>
      </c>
      <c r="O69" t="s">
        <v>134</v>
      </c>
      <c r="P69">
        <v>29.417999999999999</v>
      </c>
      <c r="Q69">
        <v>13.945664139154431</v>
      </c>
      <c r="R69">
        <v>0</v>
      </c>
      <c r="S69">
        <v>0</v>
      </c>
      <c r="T69">
        <v>13.945664139154431</v>
      </c>
    </row>
    <row r="70" spans="1:20" x14ac:dyDescent="0.25">
      <c r="A70" s="1">
        <v>45583</v>
      </c>
      <c r="B70" t="s">
        <v>165</v>
      </c>
      <c r="C70" t="s">
        <v>12</v>
      </c>
      <c r="D70">
        <v>11.626924453992125</v>
      </c>
      <c r="E70" t="s">
        <v>166</v>
      </c>
      <c r="F70">
        <v>1</v>
      </c>
      <c r="G70">
        <v>45583</v>
      </c>
      <c r="H70" t="s">
        <v>168</v>
      </c>
      <c r="I70">
        <v>0</v>
      </c>
      <c r="J70">
        <v>0</v>
      </c>
      <c r="K70">
        <v>1.3253693491915881</v>
      </c>
      <c r="L70">
        <v>1.3253693491915881</v>
      </c>
      <c r="M70">
        <v>0</v>
      </c>
      <c r="N70" t="s">
        <v>134</v>
      </c>
      <c r="O70" t="s">
        <v>134</v>
      </c>
      <c r="P70">
        <v>28.36</v>
      </c>
      <c r="Q70">
        <v>0</v>
      </c>
      <c r="R70">
        <v>285.66480804735812</v>
      </c>
      <c r="S70">
        <v>0</v>
      </c>
      <c r="T70">
        <v>285.66480804735812</v>
      </c>
    </row>
    <row r="71" spans="1:20" x14ac:dyDescent="0.25">
      <c r="A71" s="1">
        <v>45583</v>
      </c>
      <c r="B71" t="s">
        <v>165</v>
      </c>
      <c r="C71" t="s">
        <v>10</v>
      </c>
      <c r="D71">
        <v>14.129216521561023</v>
      </c>
      <c r="E71" t="s">
        <v>212</v>
      </c>
      <c r="G71">
        <v>45583</v>
      </c>
      <c r="H71" t="s">
        <v>168</v>
      </c>
      <c r="I71">
        <v>0</v>
      </c>
      <c r="J71">
        <v>0</v>
      </c>
      <c r="K71">
        <v>2.0574027960708321</v>
      </c>
      <c r="L71">
        <v>2.0574027960708321</v>
      </c>
      <c r="M71">
        <v>0</v>
      </c>
      <c r="N71" t="s">
        <v>134</v>
      </c>
      <c r="O71" t="s">
        <v>134</v>
      </c>
      <c r="P71">
        <v>27.57</v>
      </c>
      <c r="Q71">
        <v>0</v>
      </c>
      <c r="R71">
        <v>431.09172266631361</v>
      </c>
      <c r="S71">
        <v>0</v>
      </c>
      <c r="T71">
        <v>431.09172266631361</v>
      </c>
    </row>
    <row r="72" spans="1:20" x14ac:dyDescent="0.25">
      <c r="A72" s="1">
        <v>45583</v>
      </c>
      <c r="B72" t="s">
        <v>165</v>
      </c>
      <c r="C72" t="s">
        <v>11</v>
      </c>
      <c r="D72">
        <v>3.5111676249447159</v>
      </c>
      <c r="E72" t="s">
        <v>212</v>
      </c>
      <c r="G72">
        <v>45583</v>
      </c>
      <c r="H72" t="s">
        <v>168</v>
      </c>
      <c r="I72">
        <v>0.94134829637899919</v>
      </c>
      <c r="J72">
        <v>0.94134829637899919</v>
      </c>
      <c r="K72">
        <v>0</v>
      </c>
      <c r="L72">
        <v>0</v>
      </c>
      <c r="M72">
        <v>0</v>
      </c>
      <c r="N72" t="s">
        <v>134</v>
      </c>
      <c r="O72" t="s">
        <v>134</v>
      </c>
      <c r="P72">
        <v>29.417999999999999</v>
      </c>
      <c r="Q72">
        <v>164.54768220704906</v>
      </c>
      <c r="R72">
        <v>0</v>
      </c>
      <c r="S72">
        <v>0</v>
      </c>
      <c r="T72">
        <v>164.54768220704906</v>
      </c>
    </row>
    <row r="73" spans="1:20" x14ac:dyDescent="0.25">
      <c r="A73" s="1">
        <v>45583</v>
      </c>
      <c r="B73" t="s">
        <v>165</v>
      </c>
      <c r="C73" t="s">
        <v>12</v>
      </c>
      <c r="D73">
        <v>12.417771069086861</v>
      </c>
      <c r="E73" t="s">
        <v>212</v>
      </c>
      <c r="G73">
        <v>45583</v>
      </c>
      <c r="H73" t="s">
        <v>168</v>
      </c>
      <c r="I73">
        <v>0</v>
      </c>
      <c r="J73">
        <v>0</v>
      </c>
      <c r="K73">
        <v>1.6951774861991653</v>
      </c>
      <c r="L73">
        <v>1.6951774861991653</v>
      </c>
      <c r="M73">
        <v>0</v>
      </c>
      <c r="N73" t="s">
        <v>134</v>
      </c>
      <c r="O73" t="s">
        <v>134</v>
      </c>
      <c r="P73">
        <v>28.36</v>
      </c>
      <c r="Q73">
        <v>0</v>
      </c>
      <c r="R73">
        <v>365.37177466542329</v>
      </c>
      <c r="S73">
        <v>0</v>
      </c>
      <c r="T73">
        <v>365.37177466542329</v>
      </c>
    </row>
    <row r="74" spans="1:20" x14ac:dyDescent="0.25">
      <c r="A74" s="1">
        <v>45584</v>
      </c>
      <c r="B74" t="s">
        <v>165</v>
      </c>
      <c r="C74" t="s">
        <v>10</v>
      </c>
      <c r="D74">
        <v>14.310060866451844</v>
      </c>
      <c r="E74" t="s">
        <v>166</v>
      </c>
      <c r="F74">
        <v>1</v>
      </c>
      <c r="G74">
        <v>45584</v>
      </c>
      <c r="H74" t="s">
        <v>168</v>
      </c>
      <c r="I74">
        <v>0</v>
      </c>
      <c r="J74">
        <v>0</v>
      </c>
      <c r="K74">
        <v>0.37458313468928595</v>
      </c>
      <c r="L74">
        <v>0.37458313468928595</v>
      </c>
      <c r="M74">
        <v>0</v>
      </c>
      <c r="N74" t="s">
        <v>124</v>
      </c>
      <c r="O74" t="s">
        <v>124</v>
      </c>
      <c r="P74">
        <v>37.600000000000009</v>
      </c>
      <c r="Q74">
        <v>0</v>
      </c>
      <c r="R74">
        <v>107.04087656881038</v>
      </c>
      <c r="S74">
        <v>0</v>
      </c>
      <c r="T74">
        <v>107.04087656881038</v>
      </c>
    </row>
    <row r="75" spans="1:20" x14ac:dyDescent="0.25">
      <c r="A75" s="1">
        <v>45584</v>
      </c>
      <c r="B75" t="s">
        <v>165</v>
      </c>
      <c r="C75" t="s">
        <v>11</v>
      </c>
      <c r="D75">
        <v>5.3662728249194425</v>
      </c>
      <c r="E75" t="s">
        <v>166</v>
      </c>
      <c r="F75">
        <v>1</v>
      </c>
      <c r="G75">
        <v>45584</v>
      </c>
      <c r="H75" t="s">
        <v>168</v>
      </c>
      <c r="I75">
        <v>8.4896152215890419E-2</v>
      </c>
      <c r="J75">
        <v>8.4896152215890419E-2</v>
      </c>
      <c r="K75">
        <v>0</v>
      </c>
      <c r="L75">
        <v>0</v>
      </c>
      <c r="M75">
        <v>0</v>
      </c>
      <c r="N75" t="s">
        <v>124</v>
      </c>
      <c r="O75" t="s">
        <v>124</v>
      </c>
      <c r="P75">
        <v>32.272000000000013</v>
      </c>
      <c r="Q75">
        <v>14.839847407337645</v>
      </c>
      <c r="R75">
        <v>0</v>
      </c>
      <c r="S75">
        <v>0</v>
      </c>
      <c r="T75">
        <v>14.839847407337645</v>
      </c>
    </row>
    <row r="76" spans="1:20" x14ac:dyDescent="0.25">
      <c r="A76" s="1">
        <v>45584</v>
      </c>
      <c r="B76" t="s">
        <v>165</v>
      </c>
      <c r="C76" t="s">
        <v>12</v>
      </c>
      <c r="D76">
        <v>11.626924453992126</v>
      </c>
      <c r="E76" t="s">
        <v>166</v>
      </c>
      <c r="F76">
        <v>1</v>
      </c>
      <c r="G76">
        <v>45584</v>
      </c>
      <c r="H76" t="s">
        <v>168</v>
      </c>
      <c r="I76">
        <v>0</v>
      </c>
      <c r="J76">
        <v>0</v>
      </c>
      <c r="K76">
        <v>1.172221774372183</v>
      </c>
      <c r="L76">
        <v>1.172221774372183</v>
      </c>
      <c r="M76">
        <v>0</v>
      </c>
      <c r="N76" t="s">
        <v>124</v>
      </c>
      <c r="O76" t="s">
        <v>124</v>
      </c>
      <c r="P76">
        <v>33.160000000000011</v>
      </c>
      <c r="Q76">
        <v>0</v>
      </c>
      <c r="R76">
        <v>295.41864269018021</v>
      </c>
      <c r="S76">
        <v>0</v>
      </c>
      <c r="T76">
        <v>295.41864269018021</v>
      </c>
    </row>
    <row r="77" spans="1:20" x14ac:dyDescent="0.25">
      <c r="A77" s="1">
        <v>45584</v>
      </c>
      <c r="B77" t="s">
        <v>165</v>
      </c>
      <c r="C77" t="s">
        <v>10</v>
      </c>
      <c r="D77">
        <v>14.12921652156102</v>
      </c>
      <c r="E77" t="s">
        <v>212</v>
      </c>
      <c r="G77">
        <v>45584</v>
      </c>
      <c r="H77" t="s">
        <v>168</v>
      </c>
      <c r="I77">
        <v>0</v>
      </c>
      <c r="J77">
        <v>0</v>
      </c>
      <c r="K77">
        <v>0.28460867842376619</v>
      </c>
      <c r="L77">
        <v>0.28460867842376619</v>
      </c>
      <c r="M77">
        <v>0</v>
      </c>
      <c r="N77" t="s">
        <v>124</v>
      </c>
      <c r="O77" t="s">
        <v>124</v>
      </c>
      <c r="P77">
        <v>37.600000000000009</v>
      </c>
      <c r="Q77">
        <v>0</v>
      </c>
      <c r="R77">
        <v>81.329775946375435</v>
      </c>
      <c r="S77">
        <v>0</v>
      </c>
      <c r="T77">
        <v>81.329775946375435</v>
      </c>
    </row>
    <row r="78" spans="1:20" x14ac:dyDescent="0.25">
      <c r="A78" s="1">
        <v>45584</v>
      </c>
      <c r="B78" t="s">
        <v>165</v>
      </c>
      <c r="C78" t="s">
        <v>11</v>
      </c>
      <c r="D78">
        <v>3.5111676249447159</v>
      </c>
      <c r="E78" t="s">
        <v>212</v>
      </c>
      <c r="G78">
        <v>45584</v>
      </c>
      <c r="H78" t="s">
        <v>168</v>
      </c>
      <c r="I78">
        <v>0.94947109259815821</v>
      </c>
      <c r="J78">
        <v>0.94947109259815821</v>
      </c>
      <c r="K78">
        <v>0</v>
      </c>
      <c r="L78">
        <v>0</v>
      </c>
      <c r="M78">
        <v>0</v>
      </c>
      <c r="N78" t="s">
        <v>124</v>
      </c>
      <c r="O78" t="s">
        <v>124</v>
      </c>
      <c r="P78">
        <v>32.272000000000013</v>
      </c>
      <c r="Q78">
        <v>165.96754698615806</v>
      </c>
      <c r="R78">
        <v>0</v>
      </c>
      <c r="S78">
        <v>0</v>
      </c>
      <c r="T78">
        <v>165.96754698615806</v>
      </c>
    </row>
    <row r="79" spans="1:20" x14ac:dyDescent="0.25">
      <c r="A79" s="1">
        <v>45584</v>
      </c>
      <c r="B79" t="s">
        <v>165</v>
      </c>
      <c r="C79" t="s">
        <v>12</v>
      </c>
      <c r="D79">
        <v>12.417771069086861</v>
      </c>
      <c r="E79" t="s">
        <v>212</v>
      </c>
      <c r="G79">
        <v>45584</v>
      </c>
      <c r="H79" t="s">
        <v>168</v>
      </c>
      <c r="I79">
        <v>0</v>
      </c>
      <c r="J79">
        <v>0</v>
      </c>
      <c r="K79">
        <v>1.4244555610654746</v>
      </c>
      <c r="L79">
        <v>1.4244555610654746</v>
      </c>
      <c r="M79">
        <v>0</v>
      </c>
      <c r="N79" t="s">
        <v>124</v>
      </c>
      <c r="O79" t="s">
        <v>124</v>
      </c>
      <c r="P79">
        <v>33.160000000000011</v>
      </c>
      <c r="Q79">
        <v>0</v>
      </c>
      <c r="R79">
        <v>358.98559267747675</v>
      </c>
      <c r="S79">
        <v>0</v>
      </c>
      <c r="T79">
        <v>358.98559267747675</v>
      </c>
    </row>
    <row r="80" spans="1:20" x14ac:dyDescent="0.25">
      <c r="A80" s="1">
        <v>45585</v>
      </c>
      <c r="B80" t="s">
        <v>165</v>
      </c>
      <c r="C80" t="s">
        <v>10</v>
      </c>
      <c r="D80">
        <v>14.31006086645184</v>
      </c>
      <c r="E80" t="s">
        <v>166</v>
      </c>
      <c r="F80">
        <v>1</v>
      </c>
      <c r="G80">
        <v>45585</v>
      </c>
      <c r="H80" t="s">
        <v>168</v>
      </c>
      <c r="I80">
        <v>0</v>
      </c>
      <c r="J80">
        <v>0</v>
      </c>
      <c r="K80">
        <v>1.1018558619620098</v>
      </c>
      <c r="L80">
        <v>1.1018558619620098</v>
      </c>
      <c r="M80">
        <v>0</v>
      </c>
      <c r="N80" t="s">
        <v>125</v>
      </c>
      <c r="O80" t="s">
        <v>125</v>
      </c>
      <c r="P80">
        <v>42.790000000000006</v>
      </c>
      <c r="Q80">
        <v>0</v>
      </c>
      <c r="R80">
        <v>358.32793373349347</v>
      </c>
      <c r="S80">
        <v>0</v>
      </c>
      <c r="T80">
        <v>358.32793373349347</v>
      </c>
    </row>
    <row r="81" spans="1:20" x14ac:dyDescent="0.25">
      <c r="A81" s="1">
        <v>45585</v>
      </c>
      <c r="B81" t="s">
        <v>165</v>
      </c>
      <c r="C81" t="s">
        <v>11</v>
      </c>
      <c r="D81">
        <v>5.3662728249194425</v>
      </c>
      <c r="E81" t="s">
        <v>166</v>
      </c>
      <c r="F81">
        <v>1</v>
      </c>
      <c r="G81">
        <v>45585</v>
      </c>
      <c r="H81" t="s">
        <v>168</v>
      </c>
      <c r="I81">
        <v>4.7179385665395035E-2</v>
      </c>
      <c r="J81">
        <v>4.7179385665395035E-2</v>
      </c>
      <c r="K81">
        <v>0</v>
      </c>
      <c r="L81">
        <v>0</v>
      </c>
      <c r="M81">
        <v>0</v>
      </c>
      <c r="N81" t="s">
        <v>125</v>
      </c>
      <c r="O81" t="s">
        <v>125</v>
      </c>
      <c r="P81">
        <v>36.574000000000012</v>
      </c>
      <c r="Q81">
        <v>8.2469566143110509</v>
      </c>
      <c r="R81">
        <v>0</v>
      </c>
      <c r="S81">
        <v>0</v>
      </c>
      <c r="T81">
        <v>8.2469566143110509</v>
      </c>
    </row>
    <row r="82" spans="1:20" x14ac:dyDescent="0.25">
      <c r="A82" s="1">
        <v>45585</v>
      </c>
      <c r="B82" t="s">
        <v>165</v>
      </c>
      <c r="C82" t="s">
        <v>12</v>
      </c>
      <c r="D82">
        <v>11.626924453992126</v>
      </c>
      <c r="E82" t="s">
        <v>166</v>
      </c>
      <c r="F82">
        <v>1</v>
      </c>
      <c r="G82">
        <v>45585</v>
      </c>
      <c r="H82" t="s">
        <v>168</v>
      </c>
      <c r="I82">
        <v>0</v>
      </c>
      <c r="J82">
        <v>0</v>
      </c>
      <c r="K82">
        <v>0.40943441805034175</v>
      </c>
      <c r="L82">
        <v>0.40943441805034175</v>
      </c>
      <c r="M82">
        <v>0</v>
      </c>
      <c r="N82" t="s">
        <v>125</v>
      </c>
      <c r="O82" t="s">
        <v>125</v>
      </c>
      <c r="P82">
        <v>37.610000000000007</v>
      </c>
      <c r="Q82">
        <v>0</v>
      </c>
      <c r="R82">
        <v>117.03109631783749</v>
      </c>
      <c r="S82">
        <v>0</v>
      </c>
      <c r="T82">
        <v>117.03109631783749</v>
      </c>
    </row>
    <row r="83" spans="1:20" x14ac:dyDescent="0.25">
      <c r="A83" s="1">
        <v>45585</v>
      </c>
      <c r="B83" t="s">
        <v>165</v>
      </c>
      <c r="C83" t="s">
        <v>10</v>
      </c>
      <c r="D83">
        <v>14.12921652156102</v>
      </c>
      <c r="E83" t="s">
        <v>212</v>
      </c>
      <c r="G83">
        <v>45585</v>
      </c>
      <c r="H83" t="s">
        <v>168</v>
      </c>
      <c r="I83">
        <v>0</v>
      </c>
      <c r="J83">
        <v>0</v>
      </c>
      <c r="K83">
        <v>0.28460867842376619</v>
      </c>
      <c r="L83">
        <v>0.28460867842376619</v>
      </c>
      <c r="M83">
        <v>0</v>
      </c>
      <c r="N83" t="s">
        <v>125</v>
      </c>
      <c r="O83" t="s">
        <v>125</v>
      </c>
      <c r="P83">
        <v>42.790000000000006</v>
      </c>
      <c r="Q83">
        <v>0</v>
      </c>
      <c r="R83">
        <v>92.555880658122462</v>
      </c>
      <c r="S83">
        <v>0</v>
      </c>
      <c r="T83">
        <v>92.555880658122462</v>
      </c>
    </row>
    <row r="84" spans="1:20" x14ac:dyDescent="0.25">
      <c r="A84" s="1">
        <v>45585</v>
      </c>
      <c r="B84" t="s">
        <v>165</v>
      </c>
      <c r="C84" t="s">
        <v>11</v>
      </c>
      <c r="D84">
        <v>3.5111676249447159</v>
      </c>
      <c r="E84" t="s">
        <v>212</v>
      </c>
      <c r="G84">
        <v>45585</v>
      </c>
      <c r="H84" t="s">
        <v>168</v>
      </c>
      <c r="I84">
        <v>0.94134829637899919</v>
      </c>
      <c r="J84">
        <v>0.94134829637899919</v>
      </c>
      <c r="K84">
        <v>0</v>
      </c>
      <c r="L84">
        <v>0</v>
      </c>
      <c r="M84">
        <v>0</v>
      </c>
      <c r="N84" t="s">
        <v>125</v>
      </c>
      <c r="O84" t="s">
        <v>125</v>
      </c>
      <c r="P84">
        <v>36.574000000000012</v>
      </c>
      <c r="Q84">
        <v>164.54768220704906</v>
      </c>
      <c r="R84">
        <v>0</v>
      </c>
      <c r="S84">
        <v>0</v>
      </c>
      <c r="T84">
        <v>164.54768220704906</v>
      </c>
    </row>
    <row r="85" spans="1:20" x14ac:dyDescent="0.25">
      <c r="A85" s="1">
        <v>45585</v>
      </c>
      <c r="B85" t="s">
        <v>165</v>
      </c>
      <c r="C85" t="s">
        <v>12</v>
      </c>
      <c r="D85">
        <v>12.417771069086861</v>
      </c>
      <c r="E85" t="s">
        <v>212</v>
      </c>
      <c r="G85">
        <v>45585</v>
      </c>
      <c r="H85" t="s">
        <v>168</v>
      </c>
      <c r="I85">
        <v>0</v>
      </c>
      <c r="J85">
        <v>0</v>
      </c>
      <c r="K85">
        <v>1.6383593043809799</v>
      </c>
      <c r="L85">
        <v>1.6383593043809799</v>
      </c>
      <c r="M85">
        <v>0</v>
      </c>
      <c r="N85" t="s">
        <v>125</v>
      </c>
      <c r="O85" t="s">
        <v>125</v>
      </c>
      <c r="P85">
        <v>37.610000000000007</v>
      </c>
      <c r="Q85">
        <v>0</v>
      </c>
      <c r="R85">
        <v>468.30207012704182</v>
      </c>
      <c r="S85">
        <v>0</v>
      </c>
      <c r="T85">
        <v>468.30207012704182</v>
      </c>
    </row>
    <row r="86" spans="1:20" x14ac:dyDescent="0.25">
      <c r="A86" s="1">
        <v>45572</v>
      </c>
      <c r="B86" t="s">
        <v>210</v>
      </c>
      <c r="C86" t="s">
        <v>12</v>
      </c>
      <c r="D86">
        <v>2.1042606516290729</v>
      </c>
      <c r="E86" t="s">
        <v>166</v>
      </c>
      <c r="F86">
        <v>1</v>
      </c>
      <c r="G86">
        <v>45572</v>
      </c>
      <c r="H86" t="s">
        <v>168</v>
      </c>
      <c r="I86">
        <v>0</v>
      </c>
      <c r="J86">
        <v>0</v>
      </c>
      <c r="K86">
        <v>0.34739790653103347</v>
      </c>
      <c r="L86">
        <v>0.34739790653103347</v>
      </c>
      <c r="M86">
        <v>0.80686274509803946</v>
      </c>
      <c r="N86" t="s">
        <v>130</v>
      </c>
      <c r="O86" t="s">
        <v>130</v>
      </c>
      <c r="P86">
        <v>28.36</v>
      </c>
      <c r="Q86">
        <v>0</v>
      </c>
      <c r="R86">
        <v>74.876755182072827</v>
      </c>
      <c r="S86">
        <v>0</v>
      </c>
      <c r="T86">
        <v>74.876755182072827</v>
      </c>
    </row>
    <row r="87" spans="1:20" x14ac:dyDescent="0.25">
      <c r="A87" s="1">
        <v>45572</v>
      </c>
      <c r="B87" t="s">
        <v>210</v>
      </c>
      <c r="C87" t="s">
        <v>10</v>
      </c>
      <c r="D87">
        <v>3.1563909774436096</v>
      </c>
      <c r="E87" t="s">
        <v>166</v>
      </c>
      <c r="F87">
        <v>1</v>
      </c>
      <c r="G87">
        <v>45572</v>
      </c>
      <c r="H87" t="s">
        <v>168</v>
      </c>
      <c r="I87">
        <v>0</v>
      </c>
      <c r="J87">
        <v>0</v>
      </c>
      <c r="K87">
        <v>1.2740380362671389</v>
      </c>
      <c r="L87">
        <v>1.2740380362671389</v>
      </c>
      <c r="M87">
        <v>0</v>
      </c>
      <c r="N87" t="s">
        <v>130</v>
      </c>
      <c r="O87" t="s">
        <v>130</v>
      </c>
      <c r="P87">
        <v>27.57</v>
      </c>
      <c r="Q87">
        <v>0</v>
      </c>
      <c r="R87">
        <v>266.95173781512614</v>
      </c>
      <c r="S87">
        <v>0</v>
      </c>
      <c r="T87">
        <v>266.95173781512614</v>
      </c>
    </row>
    <row r="88" spans="1:20" x14ac:dyDescent="0.25">
      <c r="A88" s="1">
        <v>45572</v>
      </c>
      <c r="B88" t="s">
        <v>210</v>
      </c>
      <c r="C88" t="s">
        <v>11</v>
      </c>
      <c r="D88">
        <v>1</v>
      </c>
      <c r="E88" t="s">
        <v>166</v>
      </c>
      <c r="F88">
        <v>1</v>
      </c>
      <c r="G88">
        <v>45572</v>
      </c>
      <c r="H88" t="s">
        <v>168</v>
      </c>
      <c r="I88">
        <v>0</v>
      </c>
      <c r="J88">
        <v>0</v>
      </c>
      <c r="K88">
        <v>0.97254901960784312</v>
      </c>
      <c r="L88">
        <v>0.97254901960784312</v>
      </c>
      <c r="M88">
        <v>2.7450980392156862E-2</v>
      </c>
      <c r="N88" t="s">
        <v>130</v>
      </c>
      <c r="O88" t="s">
        <v>130</v>
      </c>
      <c r="P88">
        <v>29.417999999999999</v>
      </c>
      <c r="Q88">
        <v>0</v>
      </c>
      <c r="R88">
        <v>217.4393976470588</v>
      </c>
      <c r="S88">
        <v>0</v>
      </c>
      <c r="T88">
        <v>217.4393976470588</v>
      </c>
    </row>
    <row r="89" spans="1:20" x14ac:dyDescent="0.25">
      <c r="A89" s="1">
        <v>45572</v>
      </c>
      <c r="B89" t="s">
        <v>210</v>
      </c>
      <c r="C89" t="s">
        <v>12</v>
      </c>
      <c r="D89">
        <v>4.5836142079336275</v>
      </c>
      <c r="E89" t="s">
        <v>212</v>
      </c>
      <c r="G89">
        <v>45572</v>
      </c>
      <c r="H89" t="s">
        <v>168</v>
      </c>
      <c r="I89">
        <v>0</v>
      </c>
      <c r="J89">
        <v>0</v>
      </c>
      <c r="K89">
        <v>1.7467158122117028</v>
      </c>
      <c r="L89">
        <v>1.7467158122117028</v>
      </c>
      <c r="M89">
        <v>0</v>
      </c>
      <c r="N89" t="s">
        <v>130</v>
      </c>
      <c r="O89" t="s">
        <v>130</v>
      </c>
      <c r="P89">
        <v>28.36</v>
      </c>
      <c r="Q89">
        <v>0</v>
      </c>
      <c r="R89">
        <v>376.48013930086154</v>
      </c>
      <c r="S89">
        <v>0</v>
      </c>
      <c r="T89">
        <v>376.48013930086154</v>
      </c>
    </row>
    <row r="90" spans="1:20" x14ac:dyDescent="0.25">
      <c r="A90" s="1">
        <v>45572</v>
      </c>
      <c r="B90" t="s">
        <v>210</v>
      </c>
      <c r="C90" t="s">
        <v>10</v>
      </c>
      <c r="D90">
        <v>3.7478639781271368</v>
      </c>
      <c r="E90" t="s">
        <v>212</v>
      </c>
      <c r="G90">
        <v>45572</v>
      </c>
      <c r="H90" t="s">
        <v>168</v>
      </c>
      <c r="I90">
        <v>5.6993046848274886E-4</v>
      </c>
      <c r="J90">
        <v>5.6993046848274886E-4</v>
      </c>
      <c r="K90">
        <v>0</v>
      </c>
      <c r="L90">
        <v>0</v>
      </c>
      <c r="M90">
        <v>0.89786397812713714</v>
      </c>
      <c r="N90" t="s">
        <v>130</v>
      </c>
      <c r="O90" t="s">
        <v>130</v>
      </c>
      <c r="P90">
        <v>27.57</v>
      </c>
      <c r="Q90">
        <v>9.962384589078449E-2</v>
      </c>
      <c r="R90">
        <v>0</v>
      </c>
      <c r="S90">
        <v>0</v>
      </c>
      <c r="T90">
        <v>9.962384589078449E-2</v>
      </c>
    </row>
    <row r="91" spans="1:20" x14ac:dyDescent="0.25">
      <c r="A91" s="1">
        <v>45572</v>
      </c>
      <c r="B91" t="s">
        <v>210</v>
      </c>
      <c r="C91" t="s">
        <v>11</v>
      </c>
      <c r="D91">
        <v>0.97058823529411775</v>
      </c>
      <c r="E91" t="s">
        <v>212</v>
      </c>
      <c r="G91">
        <v>45572</v>
      </c>
      <c r="H91" t="s">
        <v>168</v>
      </c>
      <c r="I91">
        <v>0</v>
      </c>
      <c r="J91">
        <v>0</v>
      </c>
      <c r="K91">
        <v>0.91354723707664898</v>
      </c>
      <c r="L91">
        <v>0.91354723707664898</v>
      </c>
      <c r="M91">
        <v>5.7040998217468802E-2</v>
      </c>
      <c r="N91" t="s">
        <v>130</v>
      </c>
      <c r="O91" t="s">
        <v>130</v>
      </c>
      <c r="P91">
        <v>29.417999999999999</v>
      </c>
      <c r="Q91">
        <v>0</v>
      </c>
      <c r="R91">
        <v>204.24796791443853</v>
      </c>
      <c r="S91">
        <v>0</v>
      </c>
      <c r="T91">
        <v>204.24796791443853</v>
      </c>
    </row>
    <row r="92" spans="1:20" x14ac:dyDescent="0.25">
      <c r="A92" s="1">
        <v>45573</v>
      </c>
      <c r="B92" t="s">
        <v>210</v>
      </c>
      <c r="C92" t="s">
        <v>10</v>
      </c>
      <c r="D92">
        <v>3.1563909774436096</v>
      </c>
      <c r="E92" t="s">
        <v>166</v>
      </c>
      <c r="F92">
        <v>1</v>
      </c>
      <c r="G92">
        <v>45573</v>
      </c>
      <c r="H92" t="s">
        <v>168</v>
      </c>
      <c r="I92">
        <v>0</v>
      </c>
      <c r="J92">
        <v>0</v>
      </c>
      <c r="K92">
        <v>1.4273357189765861</v>
      </c>
      <c r="L92">
        <v>1.4273357189765861</v>
      </c>
      <c r="M92">
        <v>0</v>
      </c>
      <c r="N92" t="s">
        <v>131</v>
      </c>
      <c r="O92" t="s">
        <v>131</v>
      </c>
      <c r="P92">
        <v>27.57</v>
      </c>
      <c r="Q92">
        <v>0</v>
      </c>
      <c r="R92">
        <v>299.07250786860203</v>
      </c>
      <c r="S92">
        <v>0</v>
      </c>
      <c r="T92">
        <v>299.07250786860203</v>
      </c>
    </row>
    <row r="93" spans="1:20" x14ac:dyDescent="0.25">
      <c r="A93" s="1">
        <v>45573</v>
      </c>
      <c r="B93" t="s">
        <v>210</v>
      </c>
      <c r="C93" t="s">
        <v>12</v>
      </c>
      <c r="D93">
        <v>2.1042606516290729</v>
      </c>
      <c r="E93" t="s">
        <v>166</v>
      </c>
      <c r="F93">
        <v>1</v>
      </c>
      <c r="G93">
        <v>45573</v>
      </c>
      <c r="H93" t="s">
        <v>168</v>
      </c>
      <c r="I93">
        <v>0</v>
      </c>
      <c r="J93">
        <v>0</v>
      </c>
      <c r="K93">
        <v>0.55456491126396135</v>
      </c>
      <c r="L93">
        <v>0.55456491126396135</v>
      </c>
      <c r="M93">
        <v>0</v>
      </c>
      <c r="N93" t="s">
        <v>131</v>
      </c>
      <c r="O93" t="s">
        <v>131</v>
      </c>
      <c r="P93">
        <v>28.36</v>
      </c>
      <c r="Q93">
        <v>0</v>
      </c>
      <c r="R93">
        <v>119.52870271418917</v>
      </c>
      <c r="S93">
        <v>0</v>
      </c>
      <c r="T93">
        <v>119.52870271418917</v>
      </c>
    </row>
    <row r="94" spans="1:20" x14ac:dyDescent="0.25">
      <c r="A94" s="1">
        <v>45573</v>
      </c>
      <c r="B94" t="s">
        <v>210</v>
      </c>
      <c r="C94" t="s">
        <v>11</v>
      </c>
      <c r="D94">
        <v>1</v>
      </c>
      <c r="E94" t="s">
        <v>166</v>
      </c>
      <c r="F94">
        <v>1</v>
      </c>
      <c r="G94">
        <v>45573</v>
      </c>
      <c r="H94" t="s">
        <v>168</v>
      </c>
      <c r="I94">
        <v>0</v>
      </c>
      <c r="J94">
        <v>0</v>
      </c>
      <c r="K94">
        <v>1</v>
      </c>
      <c r="L94">
        <v>1</v>
      </c>
      <c r="M94">
        <v>0</v>
      </c>
      <c r="N94" t="s">
        <v>131</v>
      </c>
      <c r="O94" t="s">
        <v>131</v>
      </c>
      <c r="P94">
        <v>29.417999999999999</v>
      </c>
      <c r="Q94">
        <v>0</v>
      </c>
      <c r="R94">
        <v>223.57679999999999</v>
      </c>
      <c r="S94">
        <v>0</v>
      </c>
      <c r="T94">
        <v>223.57679999999999</v>
      </c>
    </row>
    <row r="95" spans="1:20" x14ac:dyDescent="0.25">
      <c r="A95" s="1">
        <v>45573</v>
      </c>
      <c r="B95" t="s">
        <v>210</v>
      </c>
      <c r="C95" t="s">
        <v>10</v>
      </c>
      <c r="D95">
        <v>3.7478639781271368</v>
      </c>
      <c r="E95" t="s">
        <v>212</v>
      </c>
      <c r="G95">
        <v>45573</v>
      </c>
      <c r="H95" t="s">
        <v>168</v>
      </c>
      <c r="I95">
        <v>5.6993046848274886E-4</v>
      </c>
      <c r="J95">
        <v>5.6993046848274886E-4</v>
      </c>
      <c r="K95">
        <v>0</v>
      </c>
      <c r="L95">
        <v>0</v>
      </c>
      <c r="M95">
        <v>0</v>
      </c>
      <c r="N95" t="s">
        <v>131</v>
      </c>
      <c r="O95" t="s">
        <v>131</v>
      </c>
      <c r="P95">
        <v>27.57</v>
      </c>
      <c r="Q95">
        <v>9.962384589078449E-2</v>
      </c>
      <c r="R95">
        <v>0</v>
      </c>
      <c r="S95">
        <v>0</v>
      </c>
      <c r="T95">
        <v>9.962384589078449E-2</v>
      </c>
    </row>
    <row r="96" spans="1:20" x14ac:dyDescent="0.25">
      <c r="A96" s="1">
        <v>45573</v>
      </c>
      <c r="B96" t="s">
        <v>210</v>
      </c>
      <c r="C96" t="s">
        <v>12</v>
      </c>
      <c r="D96">
        <v>4.5836142079336275</v>
      </c>
      <c r="E96" t="s">
        <v>212</v>
      </c>
      <c r="G96">
        <v>45573</v>
      </c>
      <c r="H96" t="s">
        <v>168</v>
      </c>
      <c r="I96">
        <v>0</v>
      </c>
      <c r="J96">
        <v>0</v>
      </c>
      <c r="K96">
        <v>1.7467158122117028</v>
      </c>
      <c r="L96">
        <v>1.7467158122117028</v>
      </c>
      <c r="M96">
        <v>0</v>
      </c>
      <c r="N96" t="s">
        <v>131</v>
      </c>
      <c r="O96" t="s">
        <v>131</v>
      </c>
      <c r="P96">
        <v>28.36</v>
      </c>
      <c r="Q96">
        <v>0</v>
      </c>
      <c r="R96">
        <v>376.48013930086154</v>
      </c>
      <c r="S96">
        <v>0</v>
      </c>
      <c r="T96">
        <v>376.48013930086154</v>
      </c>
    </row>
    <row r="97" spans="1:20" x14ac:dyDescent="0.25">
      <c r="A97" s="1">
        <v>45573</v>
      </c>
      <c r="B97" t="s">
        <v>210</v>
      </c>
      <c r="C97" t="s">
        <v>11</v>
      </c>
      <c r="D97">
        <v>0.97058823529411775</v>
      </c>
      <c r="E97" t="s">
        <v>212</v>
      </c>
      <c r="G97">
        <v>45573</v>
      </c>
      <c r="H97" t="s">
        <v>168</v>
      </c>
      <c r="I97">
        <v>2.8466483011937216E-2</v>
      </c>
      <c r="J97">
        <v>2.8466483011937216E-2</v>
      </c>
      <c r="K97">
        <v>0</v>
      </c>
      <c r="L97">
        <v>0</v>
      </c>
      <c r="M97">
        <v>2.0588235294117782E-2</v>
      </c>
      <c r="N97" t="s">
        <v>131</v>
      </c>
      <c r="O97" t="s">
        <v>131</v>
      </c>
      <c r="P97">
        <v>29.417999999999999</v>
      </c>
      <c r="Q97">
        <v>4.9759412304866251</v>
      </c>
      <c r="R97">
        <v>0</v>
      </c>
      <c r="S97">
        <v>0</v>
      </c>
      <c r="T97">
        <v>4.9759412304866251</v>
      </c>
    </row>
    <row r="98" spans="1:20" x14ac:dyDescent="0.25">
      <c r="A98" s="1">
        <v>45574</v>
      </c>
      <c r="B98" t="s">
        <v>210</v>
      </c>
      <c r="C98" t="s">
        <v>11</v>
      </c>
      <c r="D98">
        <v>1</v>
      </c>
      <c r="E98" t="s">
        <v>166</v>
      </c>
      <c r="F98">
        <v>1</v>
      </c>
      <c r="G98">
        <v>45574</v>
      </c>
      <c r="H98" t="s">
        <v>168</v>
      </c>
      <c r="I98">
        <v>0</v>
      </c>
      <c r="J98">
        <v>0</v>
      </c>
      <c r="K98">
        <v>1</v>
      </c>
      <c r="L98">
        <v>1</v>
      </c>
      <c r="M98">
        <v>0</v>
      </c>
      <c r="N98" t="s">
        <v>132</v>
      </c>
      <c r="O98" t="s">
        <v>132</v>
      </c>
      <c r="P98">
        <v>29.417999999999999</v>
      </c>
      <c r="Q98">
        <v>0</v>
      </c>
      <c r="R98">
        <v>223.57679999999999</v>
      </c>
      <c r="S98">
        <v>0</v>
      </c>
      <c r="T98">
        <v>223.57679999999999</v>
      </c>
    </row>
    <row r="99" spans="1:20" x14ac:dyDescent="0.25">
      <c r="A99" s="1">
        <v>45574</v>
      </c>
      <c r="B99" t="s">
        <v>210</v>
      </c>
      <c r="C99" t="s">
        <v>10</v>
      </c>
      <c r="D99">
        <v>3.1563909774436096</v>
      </c>
      <c r="E99" t="s">
        <v>166</v>
      </c>
      <c r="F99">
        <v>1</v>
      </c>
      <c r="G99">
        <v>45574</v>
      </c>
      <c r="H99" t="s">
        <v>168</v>
      </c>
      <c r="I99">
        <v>0</v>
      </c>
      <c r="J99">
        <v>0</v>
      </c>
      <c r="K99">
        <v>1.4273357189765861</v>
      </c>
      <c r="L99">
        <v>1.4273357189765861</v>
      </c>
      <c r="M99">
        <v>0</v>
      </c>
      <c r="N99" t="s">
        <v>132</v>
      </c>
      <c r="O99" t="s">
        <v>132</v>
      </c>
      <c r="P99">
        <v>27.57</v>
      </c>
      <c r="Q99">
        <v>0</v>
      </c>
      <c r="R99">
        <v>299.07250786860203</v>
      </c>
      <c r="S99">
        <v>0</v>
      </c>
      <c r="T99">
        <v>299.07250786860203</v>
      </c>
    </row>
    <row r="100" spans="1:20" x14ac:dyDescent="0.25">
      <c r="A100" s="1">
        <v>45574</v>
      </c>
      <c r="B100" t="s">
        <v>210</v>
      </c>
      <c r="C100" t="s">
        <v>12</v>
      </c>
      <c r="D100">
        <v>2.1042606516290729</v>
      </c>
      <c r="E100" t="s">
        <v>166</v>
      </c>
      <c r="F100">
        <v>1</v>
      </c>
      <c r="G100">
        <v>45574</v>
      </c>
      <c r="H100" t="s">
        <v>168</v>
      </c>
      <c r="I100">
        <v>0</v>
      </c>
      <c r="J100">
        <v>0</v>
      </c>
      <c r="K100">
        <v>0.55456491126396179</v>
      </c>
      <c r="L100">
        <v>0.55456491126396179</v>
      </c>
      <c r="M100">
        <v>0</v>
      </c>
      <c r="N100" t="s">
        <v>132</v>
      </c>
      <c r="O100" t="s">
        <v>132</v>
      </c>
      <c r="P100">
        <v>28.36</v>
      </c>
      <c r="Q100">
        <v>0</v>
      </c>
      <c r="R100">
        <v>119.52870271418925</v>
      </c>
      <c r="S100">
        <v>0</v>
      </c>
      <c r="T100">
        <v>119.52870271418925</v>
      </c>
    </row>
    <row r="101" spans="1:20" x14ac:dyDescent="0.25">
      <c r="A101" s="1">
        <v>45574</v>
      </c>
      <c r="B101" t="s">
        <v>210</v>
      </c>
      <c r="C101" t="s">
        <v>11</v>
      </c>
      <c r="D101">
        <v>0.97058823529411775</v>
      </c>
      <c r="E101" t="s">
        <v>212</v>
      </c>
      <c r="G101">
        <v>45574</v>
      </c>
      <c r="H101" t="s">
        <v>168</v>
      </c>
      <c r="I101">
        <v>0</v>
      </c>
      <c r="J101">
        <v>0</v>
      </c>
      <c r="K101">
        <v>0.91354723707664898</v>
      </c>
      <c r="L101">
        <v>0.91354723707664898</v>
      </c>
      <c r="M101">
        <v>0</v>
      </c>
      <c r="N101" t="s">
        <v>132</v>
      </c>
      <c r="O101" t="s">
        <v>132</v>
      </c>
      <c r="P101">
        <v>29.417999999999999</v>
      </c>
      <c r="Q101">
        <v>0</v>
      </c>
      <c r="R101">
        <v>204.24796791443853</v>
      </c>
      <c r="S101">
        <v>0</v>
      </c>
      <c r="T101">
        <v>204.24796791443853</v>
      </c>
    </row>
    <row r="102" spans="1:20" x14ac:dyDescent="0.25">
      <c r="A102" s="1">
        <v>45574</v>
      </c>
      <c r="B102" t="s">
        <v>210</v>
      </c>
      <c r="C102" t="s">
        <v>10</v>
      </c>
      <c r="D102">
        <v>3.7478639781271368</v>
      </c>
      <c r="E102" t="s">
        <v>212</v>
      </c>
      <c r="G102">
        <v>45574</v>
      </c>
      <c r="H102" t="s">
        <v>168</v>
      </c>
      <c r="I102">
        <v>8.9407115861275255E-3</v>
      </c>
      <c r="J102">
        <v>8.9407115861275255E-3</v>
      </c>
      <c r="K102">
        <v>0</v>
      </c>
      <c r="L102">
        <v>0</v>
      </c>
      <c r="M102">
        <v>0</v>
      </c>
      <c r="N102" t="s">
        <v>132</v>
      </c>
      <c r="O102" t="s">
        <v>132</v>
      </c>
      <c r="P102">
        <v>27.57</v>
      </c>
      <c r="Q102">
        <v>1.5628363852550913</v>
      </c>
      <c r="R102">
        <v>0</v>
      </c>
      <c r="S102">
        <v>0</v>
      </c>
      <c r="T102">
        <v>1.5628363852550913</v>
      </c>
    </row>
    <row r="103" spans="1:20" x14ac:dyDescent="0.25">
      <c r="A103" s="1">
        <v>45574</v>
      </c>
      <c r="B103" t="s">
        <v>210</v>
      </c>
      <c r="C103" t="s">
        <v>12</v>
      </c>
      <c r="D103">
        <v>4.5836142079336275</v>
      </c>
      <c r="E103" t="s">
        <v>212</v>
      </c>
      <c r="G103">
        <v>45574</v>
      </c>
      <c r="H103" t="s">
        <v>168</v>
      </c>
      <c r="I103">
        <v>0</v>
      </c>
      <c r="J103">
        <v>0</v>
      </c>
      <c r="K103">
        <v>1.7467158122117028</v>
      </c>
      <c r="L103">
        <v>1.7467158122117028</v>
      </c>
      <c r="M103">
        <v>0</v>
      </c>
      <c r="N103" t="s">
        <v>132</v>
      </c>
      <c r="O103" t="s">
        <v>132</v>
      </c>
      <c r="P103">
        <v>28.36</v>
      </c>
      <c r="Q103">
        <v>0</v>
      </c>
      <c r="R103">
        <v>376.48013930086154</v>
      </c>
      <c r="S103">
        <v>0</v>
      </c>
      <c r="T103">
        <v>376.48013930086154</v>
      </c>
    </row>
    <row r="104" spans="1:20" x14ac:dyDescent="0.25">
      <c r="A104" s="1">
        <v>45575</v>
      </c>
      <c r="B104" t="s">
        <v>210</v>
      </c>
      <c r="C104" t="s">
        <v>10</v>
      </c>
      <c r="D104">
        <v>3.1563909774436087</v>
      </c>
      <c r="E104" t="s">
        <v>166</v>
      </c>
      <c r="F104">
        <v>1</v>
      </c>
      <c r="G104">
        <v>45575</v>
      </c>
      <c r="H104" t="s">
        <v>168</v>
      </c>
      <c r="I104">
        <v>0</v>
      </c>
      <c r="J104">
        <v>0</v>
      </c>
      <c r="K104">
        <v>1.2740380362671377</v>
      </c>
      <c r="L104">
        <v>1.2740380362671377</v>
      </c>
      <c r="M104">
        <v>0</v>
      </c>
      <c r="N104" t="s">
        <v>133</v>
      </c>
      <c r="O104" t="s">
        <v>133</v>
      </c>
      <c r="P104">
        <v>27.57</v>
      </c>
      <c r="Q104">
        <v>0</v>
      </c>
      <c r="R104">
        <v>266.95173781512591</v>
      </c>
      <c r="S104">
        <v>0</v>
      </c>
      <c r="T104">
        <v>266.95173781512591</v>
      </c>
    </row>
    <row r="105" spans="1:20" x14ac:dyDescent="0.25">
      <c r="A105" s="1">
        <v>45575</v>
      </c>
      <c r="B105" t="s">
        <v>210</v>
      </c>
      <c r="C105" t="s">
        <v>11</v>
      </c>
      <c r="D105">
        <v>1</v>
      </c>
      <c r="E105" t="s">
        <v>166</v>
      </c>
      <c r="F105">
        <v>1</v>
      </c>
      <c r="G105">
        <v>45575</v>
      </c>
      <c r="H105" t="s">
        <v>168</v>
      </c>
      <c r="I105">
        <v>0</v>
      </c>
      <c r="J105">
        <v>0</v>
      </c>
      <c r="K105">
        <v>0.94509803921568625</v>
      </c>
      <c r="L105">
        <v>0.94509803921568625</v>
      </c>
      <c r="M105">
        <v>5.4901960784313725E-2</v>
      </c>
      <c r="N105" t="s">
        <v>133</v>
      </c>
      <c r="O105" t="s">
        <v>133</v>
      </c>
      <c r="P105">
        <v>29.417999999999999</v>
      </c>
      <c r="Q105">
        <v>0</v>
      </c>
      <c r="R105">
        <v>211.30199529411763</v>
      </c>
      <c r="S105">
        <v>0</v>
      </c>
      <c r="T105">
        <v>211.30199529411763</v>
      </c>
    </row>
    <row r="106" spans="1:20" x14ac:dyDescent="0.25">
      <c r="A106" s="1">
        <v>45575</v>
      </c>
      <c r="B106" t="s">
        <v>210</v>
      </c>
      <c r="C106" t="s">
        <v>12</v>
      </c>
      <c r="D106">
        <v>2.1042606516290729</v>
      </c>
      <c r="E106" t="s">
        <v>166</v>
      </c>
      <c r="F106">
        <v>1</v>
      </c>
      <c r="G106">
        <v>45575</v>
      </c>
      <c r="H106" t="s">
        <v>168</v>
      </c>
      <c r="I106">
        <v>0</v>
      </c>
      <c r="J106">
        <v>0</v>
      </c>
      <c r="K106">
        <v>0.17268526285287303</v>
      </c>
      <c r="L106">
        <v>0.17268526285287303</v>
      </c>
      <c r="M106">
        <v>3.1575388776199954E-2</v>
      </c>
      <c r="N106" t="s">
        <v>133</v>
      </c>
      <c r="O106" t="s">
        <v>133</v>
      </c>
      <c r="P106">
        <v>28.36</v>
      </c>
      <c r="Q106">
        <v>0</v>
      </c>
      <c r="R106">
        <v>37.219890814256843</v>
      </c>
      <c r="S106">
        <v>0</v>
      </c>
      <c r="T106">
        <v>37.219890814256843</v>
      </c>
    </row>
    <row r="107" spans="1:20" x14ac:dyDescent="0.25">
      <c r="A107" s="1">
        <v>45575</v>
      </c>
      <c r="B107" t="s">
        <v>210</v>
      </c>
      <c r="C107" t="s">
        <v>10</v>
      </c>
      <c r="D107">
        <v>3.7478639781271368</v>
      </c>
      <c r="E107" t="s">
        <v>212</v>
      </c>
      <c r="G107">
        <v>45575</v>
      </c>
      <c r="H107" t="s">
        <v>168</v>
      </c>
      <c r="I107">
        <v>5.6993046848274886E-4</v>
      </c>
      <c r="J107">
        <v>5.6993046848274886E-4</v>
      </c>
      <c r="K107">
        <v>0</v>
      </c>
      <c r="L107">
        <v>0</v>
      </c>
      <c r="M107">
        <v>0</v>
      </c>
      <c r="N107" t="s">
        <v>133</v>
      </c>
      <c r="O107" t="s">
        <v>133</v>
      </c>
      <c r="P107">
        <v>27.57</v>
      </c>
      <c r="Q107">
        <v>9.962384589078449E-2</v>
      </c>
      <c r="R107">
        <v>0</v>
      </c>
      <c r="S107">
        <v>0</v>
      </c>
      <c r="T107">
        <v>9.962384589078449E-2</v>
      </c>
    </row>
    <row r="108" spans="1:20" x14ac:dyDescent="0.25">
      <c r="A108" s="1">
        <v>45575</v>
      </c>
      <c r="B108" t="s">
        <v>210</v>
      </c>
      <c r="C108" t="s">
        <v>11</v>
      </c>
      <c r="D108">
        <v>0.97058823529411775</v>
      </c>
      <c r="E108" t="s">
        <v>212</v>
      </c>
      <c r="G108">
        <v>45575</v>
      </c>
      <c r="H108" t="s">
        <v>168</v>
      </c>
      <c r="I108">
        <v>0</v>
      </c>
      <c r="J108">
        <v>0</v>
      </c>
      <c r="K108">
        <v>0.91354723707664898</v>
      </c>
      <c r="L108">
        <v>0.91354723707664898</v>
      </c>
      <c r="M108">
        <v>0</v>
      </c>
      <c r="N108" t="s">
        <v>133</v>
      </c>
      <c r="O108" t="s">
        <v>133</v>
      </c>
      <c r="P108">
        <v>29.417999999999999</v>
      </c>
      <c r="Q108">
        <v>0</v>
      </c>
      <c r="R108">
        <v>204.24796791443853</v>
      </c>
      <c r="S108">
        <v>0</v>
      </c>
      <c r="T108">
        <v>204.24796791443853</v>
      </c>
    </row>
    <row r="109" spans="1:20" x14ac:dyDescent="0.25">
      <c r="A109" s="1">
        <v>45575</v>
      </c>
      <c r="B109" t="s">
        <v>210</v>
      </c>
      <c r="C109" t="s">
        <v>12</v>
      </c>
      <c r="D109">
        <v>4.5836142079336275</v>
      </c>
      <c r="E109" t="s">
        <v>212</v>
      </c>
      <c r="G109">
        <v>45575</v>
      </c>
      <c r="H109" t="s">
        <v>168</v>
      </c>
      <c r="I109">
        <v>0</v>
      </c>
      <c r="J109">
        <v>0</v>
      </c>
      <c r="K109">
        <v>1.7467158122117028</v>
      </c>
      <c r="L109">
        <v>1.7467158122117028</v>
      </c>
      <c r="M109">
        <v>0.93689839572192468</v>
      </c>
      <c r="N109" t="s">
        <v>133</v>
      </c>
      <c r="O109" t="s">
        <v>133</v>
      </c>
      <c r="P109">
        <v>28.36</v>
      </c>
      <c r="Q109">
        <v>0</v>
      </c>
      <c r="R109">
        <v>376.48013930086154</v>
      </c>
      <c r="S109">
        <v>0</v>
      </c>
      <c r="T109">
        <v>376.48013930086154</v>
      </c>
    </row>
    <row r="110" spans="1:20" x14ac:dyDescent="0.25">
      <c r="A110" s="1">
        <v>45576</v>
      </c>
      <c r="B110" t="s">
        <v>210</v>
      </c>
      <c r="C110" t="s">
        <v>10</v>
      </c>
      <c r="D110">
        <v>3.1563909774436087</v>
      </c>
      <c r="E110" t="s">
        <v>166</v>
      </c>
      <c r="F110">
        <v>1</v>
      </c>
      <c r="G110">
        <v>45576</v>
      </c>
      <c r="H110" t="s">
        <v>168</v>
      </c>
      <c r="I110">
        <v>0</v>
      </c>
      <c r="J110">
        <v>0</v>
      </c>
      <c r="K110">
        <v>1.2740380362671377</v>
      </c>
      <c r="L110">
        <v>1.2740380362671377</v>
      </c>
      <c r="M110">
        <v>0</v>
      </c>
      <c r="N110" t="s">
        <v>134</v>
      </c>
      <c r="O110" t="s">
        <v>134</v>
      </c>
      <c r="P110">
        <v>27.57</v>
      </c>
      <c r="Q110">
        <v>0</v>
      </c>
      <c r="R110">
        <v>266.95173781512591</v>
      </c>
      <c r="S110">
        <v>0</v>
      </c>
      <c r="T110">
        <v>266.95173781512591</v>
      </c>
    </row>
    <row r="111" spans="1:20" x14ac:dyDescent="0.25">
      <c r="A111" s="1">
        <v>45576</v>
      </c>
      <c r="B111" t="s">
        <v>210</v>
      </c>
      <c r="C111" t="s">
        <v>11</v>
      </c>
      <c r="D111">
        <v>1</v>
      </c>
      <c r="E111" t="s">
        <v>166</v>
      </c>
      <c r="F111">
        <v>1</v>
      </c>
      <c r="G111">
        <v>45576</v>
      </c>
      <c r="H111" t="s">
        <v>168</v>
      </c>
      <c r="I111">
        <v>0</v>
      </c>
      <c r="J111">
        <v>0</v>
      </c>
      <c r="K111">
        <v>0.97254901960784312</v>
      </c>
      <c r="L111">
        <v>0.97254901960784312</v>
      </c>
      <c r="M111">
        <v>2.7450980392156862E-2</v>
      </c>
      <c r="N111" t="s">
        <v>134</v>
      </c>
      <c r="O111" t="s">
        <v>134</v>
      </c>
      <c r="P111">
        <v>29.417999999999999</v>
      </c>
      <c r="Q111">
        <v>0</v>
      </c>
      <c r="R111">
        <v>217.4393976470588</v>
      </c>
      <c r="S111">
        <v>0</v>
      </c>
      <c r="T111">
        <v>217.4393976470588</v>
      </c>
    </row>
    <row r="112" spans="1:20" x14ac:dyDescent="0.25">
      <c r="A112" s="1">
        <v>45576</v>
      </c>
      <c r="B112" t="s">
        <v>210</v>
      </c>
      <c r="C112" t="s">
        <v>12</v>
      </c>
      <c r="D112">
        <v>2.1042606516290729</v>
      </c>
      <c r="E112" t="s">
        <v>166</v>
      </c>
      <c r="F112">
        <v>1</v>
      </c>
      <c r="G112">
        <v>45576</v>
      </c>
      <c r="H112" t="s">
        <v>168</v>
      </c>
      <c r="I112">
        <v>0</v>
      </c>
      <c r="J112">
        <v>0</v>
      </c>
      <c r="K112">
        <v>0.3473979065310342</v>
      </c>
      <c r="L112">
        <v>0.3473979065310342</v>
      </c>
      <c r="M112">
        <v>0</v>
      </c>
      <c r="N112" t="s">
        <v>134</v>
      </c>
      <c r="O112" t="s">
        <v>134</v>
      </c>
      <c r="P112">
        <v>28.36</v>
      </c>
      <c r="Q112">
        <v>0</v>
      </c>
      <c r="R112">
        <v>74.876755182072969</v>
      </c>
      <c r="S112">
        <v>0</v>
      </c>
      <c r="T112">
        <v>74.876755182072969</v>
      </c>
    </row>
    <row r="113" spans="1:20" x14ac:dyDescent="0.25">
      <c r="A113" s="1">
        <v>45576</v>
      </c>
      <c r="B113" t="s">
        <v>210</v>
      </c>
      <c r="C113" t="s">
        <v>10</v>
      </c>
      <c r="D113">
        <v>3.7478639781271368</v>
      </c>
      <c r="E113" t="s">
        <v>212</v>
      </c>
      <c r="G113">
        <v>45576</v>
      </c>
      <c r="H113" t="s">
        <v>168</v>
      </c>
      <c r="I113">
        <v>5.6993046848274886E-4</v>
      </c>
      <c r="J113">
        <v>5.6993046848274886E-4</v>
      </c>
      <c r="K113">
        <v>0</v>
      </c>
      <c r="L113">
        <v>0</v>
      </c>
      <c r="M113">
        <v>0</v>
      </c>
      <c r="N113" t="s">
        <v>134</v>
      </c>
      <c r="O113" t="s">
        <v>134</v>
      </c>
      <c r="P113">
        <v>27.57</v>
      </c>
      <c r="Q113">
        <v>9.962384589078449E-2</v>
      </c>
      <c r="R113">
        <v>0</v>
      </c>
      <c r="S113">
        <v>0</v>
      </c>
      <c r="T113">
        <v>9.962384589078449E-2</v>
      </c>
    </row>
    <row r="114" spans="1:20" x14ac:dyDescent="0.25">
      <c r="A114" s="1">
        <v>45576</v>
      </c>
      <c r="B114" t="s">
        <v>210</v>
      </c>
      <c r="C114" t="s">
        <v>11</v>
      </c>
      <c r="D114">
        <v>0.97058823529411775</v>
      </c>
      <c r="E114" t="s">
        <v>212</v>
      </c>
      <c r="G114">
        <v>45576</v>
      </c>
      <c r="H114" t="s">
        <v>168</v>
      </c>
      <c r="I114">
        <v>0</v>
      </c>
      <c r="J114">
        <v>0</v>
      </c>
      <c r="K114">
        <v>0.91354723707664898</v>
      </c>
      <c r="L114">
        <v>0.91354723707664898</v>
      </c>
      <c r="M114">
        <v>0</v>
      </c>
      <c r="N114" t="s">
        <v>134</v>
      </c>
      <c r="O114" t="s">
        <v>134</v>
      </c>
      <c r="P114">
        <v>29.417999999999999</v>
      </c>
      <c r="Q114">
        <v>0</v>
      </c>
      <c r="R114">
        <v>204.24796791443853</v>
      </c>
      <c r="S114">
        <v>0</v>
      </c>
      <c r="T114">
        <v>204.24796791443853</v>
      </c>
    </row>
    <row r="115" spans="1:20" x14ac:dyDescent="0.25">
      <c r="A115" s="1">
        <v>45576</v>
      </c>
      <c r="B115" t="s">
        <v>210</v>
      </c>
      <c r="C115" t="s">
        <v>12</v>
      </c>
      <c r="D115">
        <v>4.5836142079336275</v>
      </c>
      <c r="E115" t="s">
        <v>212</v>
      </c>
      <c r="G115">
        <v>45576</v>
      </c>
      <c r="H115" t="s">
        <v>168</v>
      </c>
      <c r="I115">
        <v>0</v>
      </c>
      <c r="J115">
        <v>0</v>
      </c>
      <c r="K115">
        <v>1.0194430849389755</v>
      </c>
      <c r="L115">
        <v>1.0194430849389755</v>
      </c>
      <c r="M115">
        <v>0</v>
      </c>
      <c r="N115" t="s">
        <v>134</v>
      </c>
      <c r="O115" t="s">
        <v>134</v>
      </c>
      <c r="P115">
        <v>28.36</v>
      </c>
      <c r="Q115">
        <v>0</v>
      </c>
      <c r="R115">
        <v>219.72668475540704</v>
      </c>
      <c r="S115">
        <v>0</v>
      </c>
      <c r="T115">
        <v>219.72668475540704</v>
      </c>
    </row>
    <row r="116" spans="1:20" x14ac:dyDescent="0.25">
      <c r="A116" s="1">
        <v>45577</v>
      </c>
      <c r="B116" t="s">
        <v>210</v>
      </c>
      <c r="C116" t="s">
        <v>12</v>
      </c>
      <c r="D116">
        <v>2.1042606516290729</v>
      </c>
      <c r="E116" t="s">
        <v>166</v>
      </c>
      <c r="F116">
        <v>1</v>
      </c>
      <c r="G116">
        <v>45577</v>
      </c>
      <c r="H116" t="s">
        <v>168</v>
      </c>
      <c r="I116">
        <v>0</v>
      </c>
      <c r="J116">
        <v>0</v>
      </c>
      <c r="K116">
        <v>0.34739790653103347</v>
      </c>
      <c r="L116">
        <v>0.34739790653103347</v>
      </c>
      <c r="M116">
        <v>0</v>
      </c>
      <c r="N116" t="s">
        <v>124</v>
      </c>
      <c r="O116" t="s">
        <v>124</v>
      </c>
      <c r="P116">
        <v>33.160000000000011</v>
      </c>
      <c r="Q116">
        <v>0</v>
      </c>
      <c r="R116">
        <v>87.549830812324956</v>
      </c>
      <c r="S116">
        <v>0</v>
      </c>
      <c r="T116">
        <v>87.549830812324956</v>
      </c>
    </row>
    <row r="117" spans="1:20" x14ac:dyDescent="0.25">
      <c r="A117" s="1">
        <v>45577</v>
      </c>
      <c r="B117" t="s">
        <v>210</v>
      </c>
      <c r="C117" t="s">
        <v>10</v>
      </c>
      <c r="D117">
        <v>3.1563909774436096</v>
      </c>
      <c r="E117" t="s">
        <v>166</v>
      </c>
      <c r="F117">
        <v>1</v>
      </c>
      <c r="G117">
        <v>45577</v>
      </c>
      <c r="H117" t="s">
        <v>168</v>
      </c>
      <c r="I117">
        <v>0</v>
      </c>
      <c r="J117">
        <v>0</v>
      </c>
      <c r="K117">
        <v>1.2740380362671389</v>
      </c>
      <c r="L117">
        <v>1.2740380362671389</v>
      </c>
      <c r="M117">
        <v>0</v>
      </c>
      <c r="N117" t="s">
        <v>124</v>
      </c>
      <c r="O117" t="s">
        <v>124</v>
      </c>
      <c r="P117">
        <v>37.600000000000009</v>
      </c>
      <c r="Q117">
        <v>0</v>
      </c>
      <c r="R117">
        <v>364.06910924369765</v>
      </c>
      <c r="S117">
        <v>0</v>
      </c>
      <c r="T117">
        <v>364.06910924369765</v>
      </c>
    </row>
    <row r="118" spans="1:20" x14ac:dyDescent="0.25">
      <c r="A118" s="1">
        <v>45577</v>
      </c>
      <c r="B118" t="s">
        <v>210</v>
      </c>
      <c r="C118" t="s">
        <v>11</v>
      </c>
      <c r="D118">
        <v>1</v>
      </c>
      <c r="E118" t="s">
        <v>166</v>
      </c>
      <c r="F118">
        <v>1</v>
      </c>
      <c r="G118">
        <v>45577</v>
      </c>
      <c r="H118" t="s">
        <v>168</v>
      </c>
      <c r="I118">
        <v>0</v>
      </c>
      <c r="J118">
        <v>0</v>
      </c>
      <c r="K118">
        <v>0.97254901960784312</v>
      </c>
      <c r="L118">
        <v>0.97254901960784312</v>
      </c>
      <c r="M118">
        <v>2.7450980392156862E-2</v>
      </c>
      <c r="N118" t="s">
        <v>124</v>
      </c>
      <c r="O118" t="s">
        <v>124</v>
      </c>
      <c r="P118">
        <v>32.272000000000013</v>
      </c>
      <c r="Q118">
        <v>0</v>
      </c>
      <c r="R118">
        <v>238.53437490196086</v>
      </c>
      <c r="S118">
        <v>0</v>
      </c>
      <c r="T118">
        <v>238.53437490196086</v>
      </c>
    </row>
    <row r="119" spans="1:20" x14ac:dyDescent="0.25">
      <c r="A119" s="1">
        <v>45577</v>
      </c>
      <c r="B119" t="s">
        <v>210</v>
      </c>
      <c r="C119" t="s">
        <v>12</v>
      </c>
      <c r="D119">
        <v>4.5836142079336275</v>
      </c>
      <c r="E119" t="s">
        <v>212</v>
      </c>
      <c r="G119">
        <v>45577</v>
      </c>
      <c r="H119" t="s">
        <v>168</v>
      </c>
      <c r="I119">
        <v>0</v>
      </c>
      <c r="J119">
        <v>0</v>
      </c>
      <c r="K119">
        <v>1.2333468282544831</v>
      </c>
      <c r="L119">
        <v>1.2333468282544831</v>
      </c>
      <c r="M119">
        <v>0</v>
      </c>
      <c r="N119" t="s">
        <v>124</v>
      </c>
      <c r="O119" t="s">
        <v>124</v>
      </c>
      <c r="P119">
        <v>33.160000000000011</v>
      </c>
      <c r="Q119">
        <v>0</v>
      </c>
      <c r="R119">
        <v>310.82313426938185</v>
      </c>
      <c r="S119">
        <v>0</v>
      </c>
      <c r="T119">
        <v>310.82313426938185</v>
      </c>
    </row>
    <row r="120" spans="1:20" x14ac:dyDescent="0.25">
      <c r="A120" s="1">
        <v>45577</v>
      </c>
      <c r="B120" t="s">
        <v>210</v>
      </c>
      <c r="C120" t="s">
        <v>10</v>
      </c>
      <c r="D120">
        <v>3.7478639781271368</v>
      </c>
      <c r="E120" t="s">
        <v>212</v>
      </c>
      <c r="G120">
        <v>45577</v>
      </c>
      <c r="H120" t="s">
        <v>168</v>
      </c>
      <c r="I120">
        <v>5.6993046848274886E-4</v>
      </c>
      <c r="J120">
        <v>5.6993046848274886E-4</v>
      </c>
      <c r="K120">
        <v>0</v>
      </c>
      <c r="L120">
        <v>0</v>
      </c>
      <c r="M120">
        <v>0</v>
      </c>
      <c r="N120" t="s">
        <v>124</v>
      </c>
      <c r="O120" t="s">
        <v>124</v>
      </c>
      <c r="P120">
        <v>37.600000000000009</v>
      </c>
      <c r="Q120">
        <v>9.962384589078449E-2</v>
      </c>
      <c r="R120">
        <v>0</v>
      </c>
      <c r="S120">
        <v>0</v>
      </c>
      <c r="T120">
        <v>9.962384589078449E-2</v>
      </c>
    </row>
    <row r="121" spans="1:20" x14ac:dyDescent="0.25">
      <c r="A121" s="1">
        <v>45577</v>
      </c>
      <c r="B121" t="s">
        <v>210</v>
      </c>
      <c r="C121" t="s">
        <v>11</v>
      </c>
      <c r="D121">
        <v>0.97058823529411775</v>
      </c>
      <c r="E121" t="s">
        <v>212</v>
      </c>
      <c r="G121">
        <v>45577</v>
      </c>
      <c r="H121" t="s">
        <v>168</v>
      </c>
      <c r="I121">
        <v>0</v>
      </c>
      <c r="J121">
        <v>0</v>
      </c>
      <c r="K121">
        <v>0.94206773618538331</v>
      </c>
      <c r="L121">
        <v>0.94206773618538331</v>
      </c>
      <c r="M121">
        <v>0</v>
      </c>
      <c r="N121" t="s">
        <v>124</v>
      </c>
      <c r="O121" t="s">
        <v>124</v>
      </c>
      <c r="P121">
        <v>32.272000000000013</v>
      </c>
      <c r="Q121">
        <v>0</v>
      </c>
      <c r="R121">
        <v>231.05831586452774</v>
      </c>
      <c r="S121">
        <v>0</v>
      </c>
      <c r="T121">
        <v>231.05831586452774</v>
      </c>
    </row>
    <row r="122" spans="1:20" x14ac:dyDescent="0.25">
      <c r="A122" s="1">
        <v>45578</v>
      </c>
      <c r="B122" t="s">
        <v>210</v>
      </c>
      <c r="C122" t="s">
        <v>11</v>
      </c>
      <c r="D122">
        <v>1</v>
      </c>
      <c r="E122" t="s">
        <v>166</v>
      </c>
      <c r="F122">
        <v>1</v>
      </c>
      <c r="G122">
        <v>45578</v>
      </c>
      <c r="H122" t="s">
        <v>168</v>
      </c>
      <c r="I122">
        <v>0</v>
      </c>
      <c r="J122">
        <v>0</v>
      </c>
      <c r="K122">
        <v>1</v>
      </c>
      <c r="L122">
        <v>1</v>
      </c>
      <c r="M122">
        <v>0</v>
      </c>
      <c r="N122" t="s">
        <v>125</v>
      </c>
      <c r="O122" t="s">
        <v>125</v>
      </c>
      <c r="P122">
        <v>36.574000000000012</v>
      </c>
      <c r="Q122">
        <v>0</v>
      </c>
      <c r="R122">
        <v>277.96240000000006</v>
      </c>
      <c r="S122">
        <v>0</v>
      </c>
      <c r="T122">
        <v>277.96240000000006</v>
      </c>
    </row>
    <row r="123" spans="1:20" x14ac:dyDescent="0.25">
      <c r="A123" s="1">
        <v>45578</v>
      </c>
      <c r="B123" t="s">
        <v>210</v>
      </c>
      <c r="C123" t="s">
        <v>10</v>
      </c>
      <c r="D123">
        <v>3.1563909774436096</v>
      </c>
      <c r="E123" t="s">
        <v>166</v>
      </c>
      <c r="F123">
        <v>1</v>
      </c>
      <c r="G123">
        <v>45578</v>
      </c>
      <c r="H123" t="s">
        <v>168</v>
      </c>
      <c r="I123">
        <v>0</v>
      </c>
      <c r="J123">
        <v>0</v>
      </c>
      <c r="K123">
        <v>1.2740380362671389</v>
      </c>
      <c r="L123">
        <v>1.2740380362671389</v>
      </c>
      <c r="M123">
        <v>0</v>
      </c>
      <c r="N123" t="s">
        <v>125</v>
      </c>
      <c r="O123" t="s">
        <v>125</v>
      </c>
      <c r="P123">
        <v>42.790000000000006</v>
      </c>
      <c r="Q123">
        <v>0</v>
      </c>
      <c r="R123">
        <v>414.32226554621866</v>
      </c>
      <c r="S123">
        <v>0</v>
      </c>
      <c r="T123">
        <v>414.32226554621866</v>
      </c>
    </row>
    <row r="124" spans="1:20" x14ac:dyDescent="0.25">
      <c r="A124" s="1">
        <v>45578</v>
      </c>
      <c r="B124" t="s">
        <v>210</v>
      </c>
      <c r="C124" t="s">
        <v>12</v>
      </c>
      <c r="D124">
        <v>2.1042606516290729</v>
      </c>
      <c r="E124" t="s">
        <v>166</v>
      </c>
      <c r="F124">
        <v>1</v>
      </c>
      <c r="G124">
        <v>45578</v>
      </c>
      <c r="H124" t="s">
        <v>168</v>
      </c>
      <c r="I124">
        <v>0</v>
      </c>
      <c r="J124">
        <v>0</v>
      </c>
      <c r="K124">
        <v>0.52211055020919506</v>
      </c>
      <c r="L124">
        <v>0.52211055020919506</v>
      </c>
      <c r="M124">
        <v>0</v>
      </c>
      <c r="N124" t="s">
        <v>125</v>
      </c>
      <c r="O124" t="s">
        <v>125</v>
      </c>
      <c r="P124">
        <v>37.610000000000007</v>
      </c>
      <c r="Q124">
        <v>0</v>
      </c>
      <c r="R124">
        <v>149.23799122959551</v>
      </c>
      <c r="S124">
        <v>0</v>
      </c>
      <c r="T124">
        <v>149.23799122959551</v>
      </c>
    </row>
    <row r="125" spans="1:20" x14ac:dyDescent="0.25">
      <c r="A125" s="1">
        <v>45578</v>
      </c>
      <c r="B125" t="s">
        <v>210</v>
      </c>
      <c r="C125" t="s">
        <v>11</v>
      </c>
      <c r="D125">
        <v>0.97058823529411775</v>
      </c>
      <c r="E125" t="s">
        <v>212</v>
      </c>
      <c r="G125">
        <v>45578</v>
      </c>
      <c r="H125" t="s">
        <v>168</v>
      </c>
      <c r="I125">
        <v>0</v>
      </c>
      <c r="J125">
        <v>0</v>
      </c>
      <c r="K125">
        <v>0.88502673796791453</v>
      </c>
      <c r="L125">
        <v>0.88502673796791453</v>
      </c>
      <c r="M125">
        <v>0</v>
      </c>
      <c r="N125" t="s">
        <v>125</v>
      </c>
      <c r="O125" t="s">
        <v>125</v>
      </c>
      <c r="P125">
        <v>36.574000000000012</v>
      </c>
      <c r="Q125">
        <v>0</v>
      </c>
      <c r="R125">
        <v>246.00415614973269</v>
      </c>
      <c r="S125">
        <v>0</v>
      </c>
      <c r="T125">
        <v>246.00415614973269</v>
      </c>
    </row>
    <row r="126" spans="1:20" x14ac:dyDescent="0.25">
      <c r="A126" s="1">
        <v>45578</v>
      </c>
      <c r="B126" t="s">
        <v>210</v>
      </c>
      <c r="C126" t="s">
        <v>10</v>
      </c>
      <c r="D126">
        <v>3.7478639781271368</v>
      </c>
      <c r="E126" t="s">
        <v>212</v>
      </c>
      <c r="G126">
        <v>45578</v>
      </c>
      <c r="H126" t="s">
        <v>168</v>
      </c>
      <c r="I126">
        <v>5.6993046848274886E-4</v>
      </c>
      <c r="J126">
        <v>5.6993046848274886E-4</v>
      </c>
      <c r="K126">
        <v>0</v>
      </c>
      <c r="L126">
        <v>0</v>
      </c>
      <c r="M126">
        <v>0</v>
      </c>
      <c r="N126" t="s">
        <v>125</v>
      </c>
      <c r="O126" t="s">
        <v>125</v>
      </c>
      <c r="P126">
        <v>42.790000000000006</v>
      </c>
      <c r="Q126">
        <v>9.962384589078449E-2</v>
      </c>
      <c r="R126">
        <v>0</v>
      </c>
      <c r="S126">
        <v>0</v>
      </c>
      <c r="T126">
        <v>9.962384589078449E-2</v>
      </c>
    </row>
    <row r="127" spans="1:20" x14ac:dyDescent="0.25">
      <c r="A127" s="1">
        <v>45578</v>
      </c>
      <c r="B127" t="s">
        <v>210</v>
      </c>
      <c r="C127" t="s">
        <v>12</v>
      </c>
      <c r="D127">
        <v>4.5836142079336275</v>
      </c>
      <c r="E127" t="s">
        <v>212</v>
      </c>
      <c r="G127">
        <v>45578</v>
      </c>
      <c r="H127" t="s">
        <v>168</v>
      </c>
      <c r="I127">
        <v>0</v>
      </c>
      <c r="J127">
        <v>0</v>
      </c>
      <c r="K127">
        <v>0.80553934162346741</v>
      </c>
      <c r="L127">
        <v>0.80553934162346741</v>
      </c>
      <c r="M127">
        <v>0</v>
      </c>
      <c r="N127" t="s">
        <v>125</v>
      </c>
      <c r="O127" t="s">
        <v>125</v>
      </c>
      <c r="P127">
        <v>37.610000000000007</v>
      </c>
      <c r="Q127">
        <v>0</v>
      </c>
      <c r="R127">
        <v>230.25214325228546</v>
      </c>
      <c r="S127">
        <v>0</v>
      </c>
      <c r="T127">
        <v>230.25214325228546</v>
      </c>
    </row>
    <row r="128" spans="1:20" x14ac:dyDescent="0.25">
      <c r="A128" s="1">
        <v>45579</v>
      </c>
      <c r="B128" t="s">
        <v>210</v>
      </c>
      <c r="C128" t="s">
        <v>10</v>
      </c>
      <c r="D128">
        <v>3.1563909774436096</v>
      </c>
      <c r="E128" t="s">
        <v>166</v>
      </c>
      <c r="F128">
        <v>1</v>
      </c>
      <c r="G128">
        <v>45579</v>
      </c>
      <c r="H128" t="s">
        <v>168</v>
      </c>
      <c r="I128">
        <v>0</v>
      </c>
      <c r="J128">
        <v>0</v>
      </c>
      <c r="K128">
        <v>1.2740380362671389</v>
      </c>
      <c r="L128">
        <v>1.2740380362671389</v>
      </c>
      <c r="M128">
        <v>0</v>
      </c>
      <c r="N128" t="s">
        <v>130</v>
      </c>
      <c r="O128" t="s">
        <v>130</v>
      </c>
      <c r="P128">
        <v>27.57</v>
      </c>
      <c r="Q128">
        <v>0</v>
      </c>
      <c r="R128">
        <v>266.95173781512614</v>
      </c>
      <c r="S128">
        <v>0</v>
      </c>
      <c r="T128">
        <v>266.95173781512614</v>
      </c>
    </row>
    <row r="129" spans="1:20" x14ac:dyDescent="0.25">
      <c r="A129" s="1">
        <v>45579</v>
      </c>
      <c r="B129" t="s">
        <v>210</v>
      </c>
      <c r="C129" t="s">
        <v>11</v>
      </c>
      <c r="D129">
        <v>1</v>
      </c>
      <c r="E129" t="s">
        <v>166</v>
      </c>
      <c r="F129">
        <v>1</v>
      </c>
      <c r="G129">
        <v>45579</v>
      </c>
      <c r="H129" t="s">
        <v>168</v>
      </c>
      <c r="I129">
        <v>0</v>
      </c>
      <c r="J129">
        <v>0</v>
      </c>
      <c r="K129">
        <v>0.94509803921568625</v>
      </c>
      <c r="L129">
        <v>0.94509803921568625</v>
      </c>
      <c r="M129">
        <v>5.4901960784313725E-2</v>
      </c>
      <c r="N129" t="s">
        <v>130</v>
      </c>
      <c r="O129" t="s">
        <v>130</v>
      </c>
      <c r="P129">
        <v>29.417999999999999</v>
      </c>
      <c r="Q129">
        <v>0</v>
      </c>
      <c r="R129">
        <v>211.30199529411763</v>
      </c>
      <c r="S129">
        <v>0</v>
      </c>
      <c r="T129">
        <v>211.30199529411763</v>
      </c>
    </row>
    <row r="130" spans="1:20" x14ac:dyDescent="0.25">
      <c r="A130" s="1">
        <v>45579</v>
      </c>
      <c r="B130" t="s">
        <v>210</v>
      </c>
      <c r="C130" t="s">
        <v>12</v>
      </c>
      <c r="D130">
        <v>2.1042606516290729</v>
      </c>
      <c r="E130" t="s">
        <v>166</v>
      </c>
      <c r="F130">
        <v>1</v>
      </c>
      <c r="G130">
        <v>45579</v>
      </c>
      <c r="H130" t="s">
        <v>168</v>
      </c>
      <c r="I130">
        <v>0</v>
      </c>
      <c r="J130">
        <v>0</v>
      </c>
      <c r="K130">
        <v>0.17268526285287303</v>
      </c>
      <c r="L130">
        <v>0.17268526285287303</v>
      </c>
      <c r="M130">
        <v>3.1575388776199954E-2</v>
      </c>
      <c r="N130" t="s">
        <v>130</v>
      </c>
      <c r="O130" t="s">
        <v>130</v>
      </c>
      <c r="P130">
        <v>28.36</v>
      </c>
      <c r="Q130">
        <v>0</v>
      </c>
      <c r="R130">
        <v>37.219890814256843</v>
      </c>
      <c r="S130">
        <v>0</v>
      </c>
      <c r="T130">
        <v>37.219890814256843</v>
      </c>
    </row>
    <row r="131" spans="1:20" x14ac:dyDescent="0.25">
      <c r="A131" s="1">
        <v>45579</v>
      </c>
      <c r="B131" t="s">
        <v>210</v>
      </c>
      <c r="C131" t="s">
        <v>10</v>
      </c>
      <c r="D131">
        <v>3.7478639781271377</v>
      </c>
      <c r="E131" t="s">
        <v>212</v>
      </c>
      <c r="G131">
        <v>45579</v>
      </c>
      <c r="H131" t="s">
        <v>168</v>
      </c>
      <c r="I131">
        <v>0</v>
      </c>
      <c r="J131">
        <v>0</v>
      </c>
      <c r="K131">
        <v>0.93536397812713756</v>
      </c>
      <c r="L131">
        <v>0.93536397812713756</v>
      </c>
      <c r="M131">
        <v>0</v>
      </c>
      <c r="N131" t="s">
        <v>130</v>
      </c>
      <c r="O131" t="s">
        <v>130</v>
      </c>
      <c r="P131">
        <v>27.57</v>
      </c>
      <c r="Q131">
        <v>0</v>
      </c>
      <c r="R131">
        <v>195.98868506493537</v>
      </c>
      <c r="S131">
        <v>0</v>
      </c>
      <c r="T131">
        <v>195.98868506493537</v>
      </c>
    </row>
    <row r="132" spans="1:20" x14ac:dyDescent="0.25">
      <c r="A132" s="1">
        <v>45579</v>
      </c>
      <c r="B132" t="s">
        <v>210</v>
      </c>
      <c r="C132" t="s">
        <v>11</v>
      </c>
      <c r="D132">
        <v>0.97058823529411775</v>
      </c>
      <c r="E132" t="s">
        <v>212</v>
      </c>
      <c r="G132">
        <v>45579</v>
      </c>
      <c r="H132" t="s">
        <v>168</v>
      </c>
      <c r="I132">
        <v>0</v>
      </c>
      <c r="J132">
        <v>0</v>
      </c>
      <c r="K132">
        <v>0.94206773618538331</v>
      </c>
      <c r="L132">
        <v>0.94206773618538331</v>
      </c>
      <c r="M132">
        <v>2.8520499108734401E-2</v>
      </c>
      <c r="N132" t="s">
        <v>130</v>
      </c>
      <c r="O132" t="s">
        <v>130</v>
      </c>
      <c r="P132">
        <v>29.417999999999999</v>
      </c>
      <c r="Q132">
        <v>0</v>
      </c>
      <c r="R132">
        <v>210.62448983957219</v>
      </c>
      <c r="S132">
        <v>0</v>
      </c>
      <c r="T132">
        <v>210.62448983957219</v>
      </c>
    </row>
    <row r="133" spans="1:20" x14ac:dyDescent="0.25">
      <c r="A133" s="1">
        <v>45579</v>
      </c>
      <c r="B133" t="s">
        <v>210</v>
      </c>
      <c r="C133" t="s">
        <v>12</v>
      </c>
      <c r="D133">
        <v>4.5836142079336275</v>
      </c>
      <c r="E133" t="s">
        <v>212</v>
      </c>
      <c r="G133">
        <v>45579</v>
      </c>
      <c r="H133" t="s">
        <v>168</v>
      </c>
      <c r="I133">
        <v>0</v>
      </c>
      <c r="J133">
        <v>0</v>
      </c>
      <c r="K133">
        <v>2.017437737345392</v>
      </c>
      <c r="L133">
        <v>2.017437737345392</v>
      </c>
      <c r="M133">
        <v>0</v>
      </c>
      <c r="N133" t="s">
        <v>130</v>
      </c>
      <c r="O133" t="s">
        <v>130</v>
      </c>
      <c r="P133">
        <v>28.36</v>
      </c>
      <c r="Q133">
        <v>0</v>
      </c>
      <c r="R133">
        <v>434.83046015647636</v>
      </c>
      <c r="S133">
        <v>0</v>
      </c>
      <c r="T133">
        <v>434.83046015647636</v>
      </c>
    </row>
    <row r="134" spans="1:20" x14ac:dyDescent="0.25">
      <c r="A134" s="1">
        <v>45580</v>
      </c>
      <c r="B134" t="s">
        <v>210</v>
      </c>
      <c r="C134" t="s">
        <v>10</v>
      </c>
      <c r="D134">
        <v>3.1563909774436087</v>
      </c>
      <c r="E134" t="s">
        <v>166</v>
      </c>
      <c r="F134">
        <v>1</v>
      </c>
      <c r="G134">
        <v>45580</v>
      </c>
      <c r="H134" t="s">
        <v>168</v>
      </c>
      <c r="I134">
        <v>0</v>
      </c>
      <c r="J134">
        <v>0</v>
      </c>
      <c r="K134">
        <v>2.3685121895648207</v>
      </c>
      <c r="L134">
        <v>2.3685121895648207</v>
      </c>
      <c r="M134">
        <v>0</v>
      </c>
      <c r="N134" t="s">
        <v>131</v>
      </c>
      <c r="O134" t="s">
        <v>131</v>
      </c>
      <c r="P134">
        <v>27.57</v>
      </c>
      <c r="Q134">
        <v>0</v>
      </c>
      <c r="R134">
        <v>496.27909610389599</v>
      </c>
      <c r="S134">
        <v>0</v>
      </c>
      <c r="T134">
        <v>496.27909610389599</v>
      </c>
    </row>
    <row r="135" spans="1:20" x14ac:dyDescent="0.25">
      <c r="A135" s="1">
        <v>45580</v>
      </c>
      <c r="B135" t="s">
        <v>210</v>
      </c>
      <c r="C135" t="s">
        <v>11</v>
      </c>
      <c r="D135">
        <v>1</v>
      </c>
      <c r="E135" t="s">
        <v>166</v>
      </c>
      <c r="F135">
        <v>1</v>
      </c>
      <c r="G135">
        <v>45580</v>
      </c>
      <c r="H135" t="s">
        <v>168</v>
      </c>
      <c r="I135">
        <v>0</v>
      </c>
      <c r="J135">
        <v>0</v>
      </c>
      <c r="K135">
        <v>1</v>
      </c>
      <c r="L135">
        <v>1</v>
      </c>
      <c r="M135">
        <v>0</v>
      </c>
      <c r="N135" t="s">
        <v>131</v>
      </c>
      <c r="O135" t="s">
        <v>131</v>
      </c>
      <c r="P135">
        <v>29.417999999999999</v>
      </c>
      <c r="Q135">
        <v>0</v>
      </c>
      <c r="R135">
        <v>223.57679999999999</v>
      </c>
      <c r="S135">
        <v>0</v>
      </c>
      <c r="T135">
        <v>223.57679999999999</v>
      </c>
    </row>
    <row r="136" spans="1:20" x14ac:dyDescent="0.25">
      <c r="A136" s="1">
        <v>45580</v>
      </c>
      <c r="B136" t="s">
        <v>210</v>
      </c>
      <c r="C136" t="s">
        <v>12</v>
      </c>
      <c r="D136">
        <v>2.1042606516290729</v>
      </c>
      <c r="E136" t="s">
        <v>166</v>
      </c>
      <c r="F136">
        <v>1</v>
      </c>
      <c r="G136">
        <v>45580</v>
      </c>
      <c r="H136" t="s">
        <v>168</v>
      </c>
      <c r="I136">
        <v>0</v>
      </c>
      <c r="J136">
        <v>0</v>
      </c>
      <c r="K136">
        <v>0.58701927231872875</v>
      </c>
      <c r="L136">
        <v>0.58701927231872875</v>
      </c>
      <c r="M136">
        <v>0</v>
      </c>
      <c r="N136" t="s">
        <v>131</v>
      </c>
      <c r="O136" t="s">
        <v>131</v>
      </c>
      <c r="P136">
        <v>28.36</v>
      </c>
      <c r="Q136">
        <v>0</v>
      </c>
      <c r="R136">
        <v>126.52378587848952</v>
      </c>
      <c r="S136">
        <v>0</v>
      </c>
      <c r="T136">
        <v>126.52378587848952</v>
      </c>
    </row>
    <row r="137" spans="1:20" x14ac:dyDescent="0.25">
      <c r="A137" s="1">
        <v>45580</v>
      </c>
      <c r="B137" t="s">
        <v>210</v>
      </c>
      <c r="C137" t="s">
        <v>10</v>
      </c>
      <c r="D137">
        <v>3.7478639781271368</v>
      </c>
      <c r="E137" t="s">
        <v>212</v>
      </c>
      <c r="G137">
        <v>45580</v>
      </c>
      <c r="H137" t="s">
        <v>168</v>
      </c>
      <c r="I137">
        <v>5.6993046848274886E-4</v>
      </c>
      <c r="J137">
        <v>5.6993046848274886E-4</v>
      </c>
      <c r="K137">
        <v>0</v>
      </c>
      <c r="L137">
        <v>0</v>
      </c>
      <c r="M137">
        <v>0</v>
      </c>
      <c r="N137" t="s">
        <v>131</v>
      </c>
      <c r="O137" t="s">
        <v>131</v>
      </c>
      <c r="P137">
        <v>27.57</v>
      </c>
      <c r="Q137">
        <v>9.962384589078449E-2</v>
      </c>
      <c r="R137">
        <v>0</v>
      </c>
      <c r="S137">
        <v>0</v>
      </c>
      <c r="T137">
        <v>9.962384589078449E-2</v>
      </c>
    </row>
    <row r="138" spans="1:20" x14ac:dyDescent="0.25">
      <c r="A138" s="1">
        <v>45580</v>
      </c>
      <c r="B138" t="s">
        <v>210</v>
      </c>
      <c r="C138" t="s">
        <v>11</v>
      </c>
      <c r="D138">
        <v>0.97058823529411775</v>
      </c>
      <c r="E138" t="s">
        <v>212</v>
      </c>
      <c r="G138">
        <v>45580</v>
      </c>
      <c r="H138" t="s">
        <v>168</v>
      </c>
      <c r="I138">
        <v>0</v>
      </c>
      <c r="J138">
        <v>0</v>
      </c>
      <c r="K138">
        <v>8.9126559714799514E-4</v>
      </c>
      <c r="L138">
        <v>8.9126559714799514E-4</v>
      </c>
      <c r="M138">
        <v>1.9696969696969786E-2</v>
      </c>
      <c r="N138" t="s">
        <v>131</v>
      </c>
      <c r="O138" t="s">
        <v>131</v>
      </c>
      <c r="P138">
        <v>29.417999999999999</v>
      </c>
      <c r="Q138">
        <v>0</v>
      </c>
      <c r="R138">
        <v>0.19926631016043786</v>
      </c>
      <c r="S138">
        <v>0</v>
      </c>
      <c r="T138">
        <v>0.19926631016043786</v>
      </c>
    </row>
    <row r="139" spans="1:20" x14ac:dyDescent="0.25">
      <c r="A139" s="1">
        <v>45580</v>
      </c>
      <c r="B139" t="s">
        <v>210</v>
      </c>
      <c r="C139" t="s">
        <v>12</v>
      </c>
      <c r="D139">
        <v>4.5836142079336275</v>
      </c>
      <c r="E139" t="s">
        <v>212</v>
      </c>
      <c r="G139">
        <v>45580</v>
      </c>
      <c r="H139" t="s">
        <v>168</v>
      </c>
      <c r="I139">
        <v>0</v>
      </c>
      <c r="J139">
        <v>0</v>
      </c>
      <c r="K139">
        <v>1.960619555527211</v>
      </c>
      <c r="L139">
        <v>1.960619555527211</v>
      </c>
      <c r="M139">
        <v>0</v>
      </c>
      <c r="N139" t="s">
        <v>131</v>
      </c>
      <c r="O139" t="s">
        <v>131</v>
      </c>
      <c r="P139">
        <v>28.36</v>
      </c>
      <c r="Q139">
        <v>0</v>
      </c>
      <c r="R139">
        <v>422.58409652011289</v>
      </c>
      <c r="S139">
        <v>0</v>
      </c>
      <c r="T139">
        <v>422.58409652011289</v>
      </c>
    </row>
    <row r="140" spans="1:20" x14ac:dyDescent="0.25">
      <c r="A140" s="1">
        <v>45581</v>
      </c>
      <c r="B140" t="s">
        <v>210</v>
      </c>
      <c r="C140" t="s">
        <v>12</v>
      </c>
      <c r="D140">
        <v>2.1042606516290729</v>
      </c>
      <c r="E140" t="s">
        <v>166</v>
      </c>
      <c r="F140">
        <v>1</v>
      </c>
      <c r="G140">
        <v>45581</v>
      </c>
      <c r="H140" t="s">
        <v>168</v>
      </c>
      <c r="I140">
        <v>9.6972672198776921E-2</v>
      </c>
      <c r="J140">
        <v>9.6972672198776921E-2</v>
      </c>
      <c r="K140">
        <v>0</v>
      </c>
      <c r="L140">
        <v>0</v>
      </c>
      <c r="M140">
        <v>0.204260651629073</v>
      </c>
      <c r="N140" t="s">
        <v>132</v>
      </c>
      <c r="O140" t="s">
        <v>132</v>
      </c>
      <c r="P140">
        <v>28.36</v>
      </c>
      <c r="Q140">
        <v>16.950823100346206</v>
      </c>
      <c r="R140">
        <v>0</v>
      </c>
      <c r="S140">
        <v>0</v>
      </c>
      <c r="T140">
        <v>16.950823100346206</v>
      </c>
    </row>
    <row r="141" spans="1:20" x14ac:dyDescent="0.25">
      <c r="A141" s="1">
        <v>45581</v>
      </c>
      <c r="B141" t="s">
        <v>210</v>
      </c>
      <c r="C141" t="s">
        <v>10</v>
      </c>
      <c r="D141">
        <v>3.1563909774436087</v>
      </c>
      <c r="E141" t="s">
        <v>166</v>
      </c>
      <c r="F141">
        <v>1</v>
      </c>
      <c r="G141">
        <v>45581</v>
      </c>
      <c r="H141" t="s">
        <v>168</v>
      </c>
      <c r="I141">
        <v>0</v>
      </c>
      <c r="J141">
        <v>0</v>
      </c>
      <c r="K141">
        <v>1.427335718976585</v>
      </c>
      <c r="L141">
        <v>1.427335718976585</v>
      </c>
      <c r="M141">
        <v>0</v>
      </c>
      <c r="N141" t="s">
        <v>132</v>
      </c>
      <c r="O141" t="s">
        <v>132</v>
      </c>
      <c r="P141">
        <v>27.57</v>
      </c>
      <c r="Q141">
        <v>0</v>
      </c>
      <c r="R141">
        <v>299.0725078686018</v>
      </c>
      <c r="S141">
        <v>0</v>
      </c>
      <c r="T141">
        <v>299.0725078686018</v>
      </c>
    </row>
    <row r="142" spans="1:20" x14ac:dyDescent="0.25">
      <c r="A142" s="1">
        <v>45581</v>
      </c>
      <c r="B142" t="s">
        <v>210</v>
      </c>
      <c r="C142" t="s">
        <v>11</v>
      </c>
      <c r="D142">
        <v>1</v>
      </c>
      <c r="E142" t="s">
        <v>166</v>
      </c>
      <c r="F142">
        <v>1</v>
      </c>
      <c r="G142">
        <v>45581</v>
      </c>
      <c r="H142" t="s">
        <v>168</v>
      </c>
      <c r="I142">
        <v>0</v>
      </c>
      <c r="J142">
        <v>0</v>
      </c>
      <c r="K142">
        <v>1</v>
      </c>
      <c r="L142">
        <v>1</v>
      </c>
      <c r="M142">
        <v>0</v>
      </c>
      <c r="N142" t="s">
        <v>132</v>
      </c>
      <c r="O142" t="s">
        <v>132</v>
      </c>
      <c r="P142">
        <v>29.417999999999999</v>
      </c>
      <c r="Q142">
        <v>0</v>
      </c>
      <c r="R142">
        <v>223.57679999999999</v>
      </c>
      <c r="S142">
        <v>0</v>
      </c>
      <c r="T142">
        <v>223.57679999999999</v>
      </c>
    </row>
    <row r="143" spans="1:20" x14ac:dyDescent="0.25">
      <c r="A143" s="1">
        <v>45581</v>
      </c>
      <c r="B143" t="s">
        <v>210</v>
      </c>
      <c r="C143" t="s">
        <v>12</v>
      </c>
      <c r="D143">
        <v>4.5836142079336275</v>
      </c>
      <c r="E143" t="s">
        <v>212</v>
      </c>
      <c r="G143">
        <v>45581</v>
      </c>
      <c r="H143" t="s">
        <v>168</v>
      </c>
      <c r="I143">
        <v>0</v>
      </c>
      <c r="J143">
        <v>0</v>
      </c>
      <c r="K143">
        <v>1.8035339940298842</v>
      </c>
      <c r="L143">
        <v>1.8035339940298842</v>
      </c>
      <c r="M143">
        <v>0</v>
      </c>
      <c r="N143" t="s">
        <v>132</v>
      </c>
      <c r="O143" t="s">
        <v>132</v>
      </c>
      <c r="P143">
        <v>28.36</v>
      </c>
      <c r="Q143">
        <v>0</v>
      </c>
      <c r="R143">
        <v>388.72650293722512</v>
      </c>
      <c r="S143">
        <v>0</v>
      </c>
      <c r="T143">
        <v>388.72650293722512</v>
      </c>
    </row>
    <row r="144" spans="1:20" x14ac:dyDescent="0.25">
      <c r="A144" s="1">
        <v>45581</v>
      </c>
      <c r="B144" t="s">
        <v>210</v>
      </c>
      <c r="C144" t="s">
        <v>10</v>
      </c>
      <c r="D144">
        <v>3.7478639781271368</v>
      </c>
      <c r="E144" t="s">
        <v>212</v>
      </c>
      <c r="G144">
        <v>45581</v>
      </c>
      <c r="H144" t="s">
        <v>168</v>
      </c>
      <c r="I144">
        <v>0</v>
      </c>
      <c r="J144">
        <v>0</v>
      </c>
      <c r="K144">
        <v>0.10399142910752858</v>
      </c>
      <c r="L144">
        <v>0.10399142910752858</v>
      </c>
      <c r="M144">
        <v>0</v>
      </c>
      <c r="N144" t="s">
        <v>132</v>
      </c>
      <c r="O144" t="s">
        <v>132</v>
      </c>
      <c r="P144">
        <v>27.57</v>
      </c>
      <c r="Q144">
        <v>0</v>
      </c>
      <c r="R144">
        <v>21.789532123758679</v>
      </c>
      <c r="S144">
        <v>0</v>
      </c>
      <c r="T144">
        <v>21.789532123758679</v>
      </c>
    </row>
    <row r="145" spans="1:20" x14ac:dyDescent="0.25">
      <c r="A145" s="1">
        <v>45581</v>
      </c>
      <c r="B145" t="s">
        <v>210</v>
      </c>
      <c r="C145" t="s">
        <v>11</v>
      </c>
      <c r="D145">
        <v>0.97058823529411775</v>
      </c>
      <c r="E145" t="s">
        <v>212</v>
      </c>
      <c r="G145">
        <v>45581</v>
      </c>
      <c r="H145" t="s">
        <v>168</v>
      </c>
      <c r="I145">
        <v>2.8466483011937216E-2</v>
      </c>
      <c r="J145">
        <v>2.8466483011937216E-2</v>
      </c>
      <c r="K145">
        <v>0</v>
      </c>
      <c r="L145">
        <v>0</v>
      </c>
      <c r="M145">
        <v>2.0588235294117782E-2</v>
      </c>
      <c r="N145" t="s">
        <v>132</v>
      </c>
      <c r="O145" t="s">
        <v>132</v>
      </c>
      <c r="P145">
        <v>29.417999999999999</v>
      </c>
      <c r="Q145">
        <v>4.9759412304866251</v>
      </c>
      <c r="R145">
        <v>0</v>
      </c>
      <c r="S145">
        <v>0</v>
      </c>
      <c r="T145">
        <v>4.9759412304866251</v>
      </c>
    </row>
    <row r="146" spans="1:20" x14ac:dyDescent="0.25">
      <c r="A146" s="1">
        <v>45582</v>
      </c>
      <c r="B146" t="s">
        <v>210</v>
      </c>
      <c r="C146" t="s">
        <v>11</v>
      </c>
      <c r="D146">
        <v>1</v>
      </c>
      <c r="E146" t="s">
        <v>166</v>
      </c>
      <c r="F146">
        <v>1</v>
      </c>
      <c r="G146">
        <v>45582</v>
      </c>
      <c r="H146" t="s">
        <v>168</v>
      </c>
      <c r="I146">
        <v>0</v>
      </c>
      <c r="J146">
        <v>0</v>
      </c>
      <c r="K146">
        <v>0.97254901960784312</v>
      </c>
      <c r="L146">
        <v>0.97254901960784312</v>
      </c>
      <c r="M146">
        <v>2.7450980392156862E-2</v>
      </c>
      <c r="N146" t="s">
        <v>133</v>
      </c>
      <c r="O146" t="s">
        <v>133</v>
      </c>
      <c r="P146">
        <v>29.417999999999999</v>
      </c>
      <c r="Q146">
        <v>0</v>
      </c>
      <c r="R146">
        <v>217.4393976470588</v>
      </c>
      <c r="S146">
        <v>0</v>
      </c>
      <c r="T146">
        <v>217.4393976470588</v>
      </c>
    </row>
    <row r="147" spans="1:20" x14ac:dyDescent="0.25">
      <c r="A147" s="1">
        <v>45582</v>
      </c>
      <c r="B147" t="s">
        <v>210</v>
      </c>
      <c r="C147" t="s">
        <v>12</v>
      </c>
      <c r="D147">
        <v>2.1042606516290729</v>
      </c>
      <c r="E147" t="s">
        <v>166</v>
      </c>
      <c r="F147">
        <v>1</v>
      </c>
      <c r="G147">
        <v>45582</v>
      </c>
      <c r="H147" t="s">
        <v>168</v>
      </c>
      <c r="I147">
        <v>0</v>
      </c>
      <c r="J147">
        <v>0</v>
      </c>
      <c r="K147">
        <v>0.34739790653103347</v>
      </c>
      <c r="L147">
        <v>0.34739790653103347</v>
      </c>
      <c r="M147">
        <v>0</v>
      </c>
      <c r="N147" t="s">
        <v>133</v>
      </c>
      <c r="O147" t="s">
        <v>133</v>
      </c>
      <c r="P147">
        <v>28.36</v>
      </c>
      <c r="Q147">
        <v>0</v>
      </c>
      <c r="R147">
        <v>74.876755182072827</v>
      </c>
      <c r="S147">
        <v>0</v>
      </c>
      <c r="T147">
        <v>74.876755182072827</v>
      </c>
    </row>
    <row r="148" spans="1:20" x14ac:dyDescent="0.25">
      <c r="A148" s="1">
        <v>45582</v>
      </c>
      <c r="B148" t="s">
        <v>210</v>
      </c>
      <c r="C148" t="s">
        <v>10</v>
      </c>
      <c r="D148">
        <v>3.1563909774436087</v>
      </c>
      <c r="E148" t="s">
        <v>166</v>
      </c>
      <c r="F148">
        <v>1</v>
      </c>
      <c r="G148">
        <v>45582</v>
      </c>
      <c r="H148" t="s">
        <v>168</v>
      </c>
      <c r="I148">
        <v>0</v>
      </c>
      <c r="J148">
        <v>0</v>
      </c>
      <c r="K148">
        <v>1.2740380362671377</v>
      </c>
      <c r="L148">
        <v>1.2740380362671377</v>
      </c>
      <c r="M148">
        <v>0</v>
      </c>
      <c r="N148" t="s">
        <v>133</v>
      </c>
      <c r="O148" t="s">
        <v>133</v>
      </c>
      <c r="P148">
        <v>27.57</v>
      </c>
      <c r="Q148">
        <v>0</v>
      </c>
      <c r="R148">
        <v>266.95173781512591</v>
      </c>
      <c r="S148">
        <v>0</v>
      </c>
      <c r="T148">
        <v>266.95173781512591</v>
      </c>
    </row>
    <row r="149" spans="1:20" x14ac:dyDescent="0.25">
      <c r="A149" s="1">
        <v>45582</v>
      </c>
      <c r="B149" t="s">
        <v>210</v>
      </c>
      <c r="C149" t="s">
        <v>11</v>
      </c>
      <c r="D149">
        <v>0.97058823529411775</v>
      </c>
      <c r="E149" t="s">
        <v>212</v>
      </c>
      <c r="G149">
        <v>45582</v>
      </c>
      <c r="H149" t="s">
        <v>168</v>
      </c>
      <c r="I149">
        <v>0</v>
      </c>
      <c r="J149">
        <v>0</v>
      </c>
      <c r="K149">
        <v>0.91354723707664898</v>
      </c>
      <c r="L149">
        <v>0.91354723707664898</v>
      </c>
      <c r="M149">
        <v>5.7040998217468802E-2</v>
      </c>
      <c r="N149" t="s">
        <v>133</v>
      </c>
      <c r="O149" t="s">
        <v>133</v>
      </c>
      <c r="P149">
        <v>29.417999999999999</v>
      </c>
      <c r="Q149">
        <v>0</v>
      </c>
      <c r="R149">
        <v>204.24796791443853</v>
      </c>
      <c r="S149">
        <v>0</v>
      </c>
      <c r="T149">
        <v>204.24796791443853</v>
      </c>
    </row>
    <row r="150" spans="1:20" x14ac:dyDescent="0.25">
      <c r="A150" s="1">
        <v>45582</v>
      </c>
      <c r="B150" t="s">
        <v>210</v>
      </c>
      <c r="C150" t="s">
        <v>12</v>
      </c>
      <c r="D150">
        <v>4.5836142079336275</v>
      </c>
      <c r="E150" t="s">
        <v>212</v>
      </c>
      <c r="G150">
        <v>45582</v>
      </c>
      <c r="H150" t="s">
        <v>168</v>
      </c>
      <c r="I150">
        <v>0</v>
      </c>
      <c r="J150">
        <v>0</v>
      </c>
      <c r="K150">
        <v>1.7467158122117028</v>
      </c>
      <c r="L150">
        <v>1.7467158122117028</v>
      </c>
      <c r="M150">
        <v>0.93689839572192468</v>
      </c>
      <c r="N150" t="s">
        <v>133</v>
      </c>
      <c r="O150" t="s">
        <v>133</v>
      </c>
      <c r="P150">
        <v>28.36</v>
      </c>
      <c r="Q150">
        <v>0</v>
      </c>
      <c r="R150">
        <v>376.48013930086154</v>
      </c>
      <c r="S150">
        <v>0</v>
      </c>
      <c r="T150">
        <v>376.48013930086154</v>
      </c>
    </row>
    <row r="151" spans="1:20" x14ac:dyDescent="0.25">
      <c r="A151" s="1">
        <v>45582</v>
      </c>
      <c r="B151" t="s">
        <v>210</v>
      </c>
      <c r="C151" t="s">
        <v>10</v>
      </c>
      <c r="D151">
        <v>3.7478639781271368</v>
      </c>
      <c r="E151" t="s">
        <v>212</v>
      </c>
      <c r="G151">
        <v>45582</v>
      </c>
      <c r="H151" t="s">
        <v>168</v>
      </c>
      <c r="I151">
        <v>8.9407115861275255E-3</v>
      </c>
      <c r="J151">
        <v>8.9407115861275255E-3</v>
      </c>
      <c r="K151">
        <v>0</v>
      </c>
      <c r="L151">
        <v>0</v>
      </c>
      <c r="M151">
        <v>0</v>
      </c>
      <c r="N151" t="s">
        <v>133</v>
      </c>
      <c r="O151" t="s">
        <v>133</v>
      </c>
      <c r="P151">
        <v>27.57</v>
      </c>
      <c r="Q151">
        <v>1.5628363852550913</v>
      </c>
      <c r="R151">
        <v>0</v>
      </c>
      <c r="S151">
        <v>0</v>
      </c>
      <c r="T151">
        <v>1.5628363852550913</v>
      </c>
    </row>
    <row r="152" spans="1:20" x14ac:dyDescent="0.25">
      <c r="A152" s="1">
        <v>45583</v>
      </c>
      <c r="B152" t="s">
        <v>210</v>
      </c>
      <c r="C152" t="s">
        <v>10</v>
      </c>
      <c r="D152">
        <v>3.1563909774436096</v>
      </c>
      <c r="E152" t="s">
        <v>166</v>
      </c>
      <c r="F152">
        <v>1</v>
      </c>
      <c r="G152">
        <v>45583</v>
      </c>
      <c r="H152" t="s">
        <v>168</v>
      </c>
      <c r="I152">
        <v>0</v>
      </c>
      <c r="J152">
        <v>0</v>
      </c>
      <c r="K152">
        <v>1.2740380362671389</v>
      </c>
      <c r="L152">
        <v>1.2740380362671389</v>
      </c>
      <c r="M152">
        <v>0</v>
      </c>
      <c r="N152" t="s">
        <v>134</v>
      </c>
      <c r="O152" t="s">
        <v>134</v>
      </c>
      <c r="P152">
        <v>27.57</v>
      </c>
      <c r="Q152">
        <v>0</v>
      </c>
      <c r="R152">
        <v>266.95173781512614</v>
      </c>
      <c r="S152">
        <v>0</v>
      </c>
      <c r="T152">
        <v>266.95173781512614</v>
      </c>
    </row>
    <row r="153" spans="1:20" x14ac:dyDescent="0.25">
      <c r="A153" s="1">
        <v>45583</v>
      </c>
      <c r="B153" t="s">
        <v>210</v>
      </c>
      <c r="C153" t="s">
        <v>11</v>
      </c>
      <c r="D153">
        <v>1</v>
      </c>
      <c r="E153" t="s">
        <v>166</v>
      </c>
      <c r="F153">
        <v>1</v>
      </c>
      <c r="G153">
        <v>45583</v>
      </c>
      <c r="H153" t="s">
        <v>168</v>
      </c>
      <c r="I153">
        <v>0</v>
      </c>
      <c r="J153">
        <v>0</v>
      </c>
      <c r="K153">
        <v>0.97254901960784312</v>
      </c>
      <c r="L153">
        <v>0.97254901960784312</v>
      </c>
      <c r="M153">
        <v>2.7450980392156862E-2</v>
      </c>
      <c r="N153" t="s">
        <v>134</v>
      </c>
      <c r="O153" t="s">
        <v>134</v>
      </c>
      <c r="P153">
        <v>29.417999999999999</v>
      </c>
      <c r="Q153">
        <v>0</v>
      </c>
      <c r="R153">
        <v>217.4393976470588</v>
      </c>
      <c r="S153">
        <v>0</v>
      </c>
      <c r="T153">
        <v>217.4393976470588</v>
      </c>
    </row>
    <row r="154" spans="1:20" x14ac:dyDescent="0.25">
      <c r="A154" s="1">
        <v>45583</v>
      </c>
      <c r="B154" t="s">
        <v>210</v>
      </c>
      <c r="C154" t="s">
        <v>12</v>
      </c>
      <c r="D154">
        <v>2.1042606516290729</v>
      </c>
      <c r="E154" t="s">
        <v>166</v>
      </c>
      <c r="F154">
        <v>1</v>
      </c>
      <c r="G154">
        <v>45583</v>
      </c>
      <c r="H154" t="s">
        <v>168</v>
      </c>
      <c r="I154">
        <v>0</v>
      </c>
      <c r="J154">
        <v>0</v>
      </c>
      <c r="K154">
        <v>0.3473979065310342</v>
      </c>
      <c r="L154">
        <v>0.3473979065310342</v>
      </c>
      <c r="M154">
        <v>0</v>
      </c>
      <c r="N154" t="s">
        <v>134</v>
      </c>
      <c r="O154" t="s">
        <v>134</v>
      </c>
      <c r="P154">
        <v>28.36</v>
      </c>
      <c r="Q154">
        <v>0</v>
      </c>
      <c r="R154">
        <v>74.876755182072969</v>
      </c>
      <c r="S154">
        <v>0</v>
      </c>
      <c r="T154">
        <v>74.876755182072969</v>
      </c>
    </row>
    <row r="155" spans="1:20" x14ac:dyDescent="0.25">
      <c r="A155" s="1">
        <v>45583</v>
      </c>
      <c r="B155" t="s">
        <v>210</v>
      </c>
      <c r="C155" t="s">
        <v>10</v>
      </c>
      <c r="D155">
        <v>3.7478639781271368</v>
      </c>
      <c r="E155" t="s">
        <v>212</v>
      </c>
      <c r="G155">
        <v>45583</v>
      </c>
      <c r="H155" t="s">
        <v>168</v>
      </c>
      <c r="I155">
        <v>5.6993046848274886E-4</v>
      </c>
      <c r="J155">
        <v>5.6993046848274886E-4</v>
      </c>
      <c r="K155">
        <v>0</v>
      </c>
      <c r="L155">
        <v>0</v>
      </c>
      <c r="M155">
        <v>0</v>
      </c>
      <c r="N155" t="s">
        <v>134</v>
      </c>
      <c r="O155" t="s">
        <v>134</v>
      </c>
      <c r="P155">
        <v>27.57</v>
      </c>
      <c r="Q155">
        <v>9.962384589078449E-2</v>
      </c>
      <c r="R155">
        <v>0</v>
      </c>
      <c r="S155">
        <v>0</v>
      </c>
      <c r="T155">
        <v>9.962384589078449E-2</v>
      </c>
    </row>
    <row r="156" spans="1:20" x14ac:dyDescent="0.25">
      <c r="A156" s="1">
        <v>45583</v>
      </c>
      <c r="B156" t="s">
        <v>210</v>
      </c>
      <c r="C156" t="s">
        <v>11</v>
      </c>
      <c r="D156">
        <v>0.97058823529411775</v>
      </c>
      <c r="E156" t="s">
        <v>212</v>
      </c>
      <c r="G156">
        <v>45583</v>
      </c>
      <c r="H156" t="s">
        <v>168</v>
      </c>
      <c r="I156">
        <v>0</v>
      </c>
      <c r="J156">
        <v>0</v>
      </c>
      <c r="K156">
        <v>8.9126559714799514E-4</v>
      </c>
      <c r="L156">
        <v>8.9126559714799514E-4</v>
      </c>
      <c r="M156">
        <v>1.9696969696969786E-2</v>
      </c>
      <c r="N156" t="s">
        <v>134</v>
      </c>
      <c r="O156" t="s">
        <v>134</v>
      </c>
      <c r="P156">
        <v>29.417999999999999</v>
      </c>
      <c r="Q156">
        <v>0</v>
      </c>
      <c r="R156">
        <v>0.19926631016043786</v>
      </c>
      <c r="S156">
        <v>0</v>
      </c>
      <c r="T156">
        <v>0.19926631016043786</v>
      </c>
    </row>
    <row r="157" spans="1:20" x14ac:dyDescent="0.25">
      <c r="A157" s="1">
        <v>45583</v>
      </c>
      <c r="B157" t="s">
        <v>210</v>
      </c>
      <c r="C157" t="s">
        <v>12</v>
      </c>
      <c r="D157">
        <v>4.5836142079336275</v>
      </c>
      <c r="E157" t="s">
        <v>212</v>
      </c>
      <c r="G157">
        <v>45583</v>
      </c>
      <c r="H157" t="s">
        <v>168</v>
      </c>
      <c r="I157">
        <v>0</v>
      </c>
      <c r="J157">
        <v>0</v>
      </c>
      <c r="K157">
        <v>1.960619555527211</v>
      </c>
      <c r="L157">
        <v>1.960619555527211</v>
      </c>
      <c r="M157">
        <v>0</v>
      </c>
      <c r="N157" t="s">
        <v>134</v>
      </c>
      <c r="O157" t="s">
        <v>134</v>
      </c>
      <c r="P157">
        <v>28.36</v>
      </c>
      <c r="Q157">
        <v>0</v>
      </c>
      <c r="R157">
        <v>422.58409652011289</v>
      </c>
      <c r="S157">
        <v>0</v>
      </c>
      <c r="T157">
        <v>422.58409652011289</v>
      </c>
    </row>
    <row r="158" spans="1:20" x14ac:dyDescent="0.25">
      <c r="A158" s="1">
        <v>45584</v>
      </c>
      <c r="B158" t="s">
        <v>210</v>
      </c>
      <c r="C158" t="s">
        <v>11</v>
      </c>
      <c r="D158">
        <v>1</v>
      </c>
      <c r="E158" t="s">
        <v>166</v>
      </c>
      <c r="F158">
        <v>1</v>
      </c>
      <c r="G158">
        <v>45584</v>
      </c>
      <c r="H158" t="s">
        <v>168</v>
      </c>
      <c r="I158">
        <v>0</v>
      </c>
      <c r="J158">
        <v>0</v>
      </c>
      <c r="K158">
        <v>1</v>
      </c>
      <c r="L158">
        <v>1</v>
      </c>
      <c r="M158">
        <v>0</v>
      </c>
      <c r="N158" t="s">
        <v>124</v>
      </c>
      <c r="O158" t="s">
        <v>124</v>
      </c>
      <c r="P158">
        <v>32.272000000000013</v>
      </c>
      <c r="Q158">
        <v>0</v>
      </c>
      <c r="R158">
        <v>245.26720000000009</v>
      </c>
      <c r="S158">
        <v>0</v>
      </c>
      <c r="T158">
        <v>245.26720000000009</v>
      </c>
    </row>
    <row r="159" spans="1:20" x14ac:dyDescent="0.25">
      <c r="A159" s="1">
        <v>45584</v>
      </c>
      <c r="B159" t="s">
        <v>210</v>
      </c>
      <c r="C159" t="s">
        <v>12</v>
      </c>
      <c r="D159">
        <v>2.1042606516290729</v>
      </c>
      <c r="E159" t="s">
        <v>166</v>
      </c>
      <c r="F159">
        <v>1</v>
      </c>
      <c r="G159">
        <v>45584</v>
      </c>
      <c r="H159" t="s">
        <v>168</v>
      </c>
      <c r="I159">
        <v>0</v>
      </c>
      <c r="J159">
        <v>0</v>
      </c>
      <c r="K159">
        <v>0.52211055020919461</v>
      </c>
      <c r="L159">
        <v>0.52211055020919461</v>
      </c>
      <c r="M159">
        <v>0</v>
      </c>
      <c r="N159" t="s">
        <v>124</v>
      </c>
      <c r="O159" t="s">
        <v>124</v>
      </c>
      <c r="P159">
        <v>33.160000000000011</v>
      </c>
      <c r="Q159">
        <v>0</v>
      </c>
      <c r="R159">
        <v>131.58021242152043</v>
      </c>
      <c r="S159">
        <v>0</v>
      </c>
      <c r="T159">
        <v>131.58021242152043</v>
      </c>
    </row>
    <row r="160" spans="1:20" x14ac:dyDescent="0.25">
      <c r="A160" s="1">
        <v>45584</v>
      </c>
      <c r="B160" t="s">
        <v>210</v>
      </c>
      <c r="C160" t="s">
        <v>10</v>
      </c>
      <c r="D160">
        <v>3.1563909774436096</v>
      </c>
      <c r="E160" t="s">
        <v>166</v>
      </c>
      <c r="F160">
        <v>1</v>
      </c>
      <c r="G160">
        <v>45584</v>
      </c>
      <c r="H160" t="s">
        <v>168</v>
      </c>
      <c r="I160">
        <v>0</v>
      </c>
      <c r="J160">
        <v>0</v>
      </c>
      <c r="K160">
        <v>1.2740380362671389</v>
      </c>
      <c r="L160">
        <v>1.2740380362671389</v>
      </c>
      <c r="M160">
        <v>0</v>
      </c>
      <c r="N160" t="s">
        <v>124</v>
      </c>
      <c r="O160" t="s">
        <v>124</v>
      </c>
      <c r="P160">
        <v>37.600000000000009</v>
      </c>
      <c r="Q160">
        <v>0</v>
      </c>
      <c r="R160">
        <v>364.06910924369765</v>
      </c>
      <c r="S160">
        <v>0</v>
      </c>
      <c r="T160">
        <v>364.06910924369765</v>
      </c>
    </row>
    <row r="161" spans="1:20" x14ac:dyDescent="0.25">
      <c r="A161" s="1">
        <v>45584</v>
      </c>
      <c r="B161" t="s">
        <v>210</v>
      </c>
      <c r="C161" t="s">
        <v>11</v>
      </c>
      <c r="D161">
        <v>0.97058823529411775</v>
      </c>
      <c r="E161" t="s">
        <v>212</v>
      </c>
      <c r="G161">
        <v>45584</v>
      </c>
      <c r="H161" t="s">
        <v>168</v>
      </c>
      <c r="I161">
        <v>0</v>
      </c>
      <c r="J161">
        <v>0</v>
      </c>
      <c r="K161">
        <v>8.9126559714799514E-4</v>
      </c>
      <c r="L161">
        <v>8.9126559714799514E-4</v>
      </c>
      <c r="M161">
        <v>1.9696969696969786E-2</v>
      </c>
      <c r="N161" t="s">
        <v>124</v>
      </c>
      <c r="O161" t="s">
        <v>124</v>
      </c>
      <c r="P161">
        <v>32.272000000000013</v>
      </c>
      <c r="Q161">
        <v>0</v>
      </c>
      <c r="R161">
        <v>0.21859821746881683</v>
      </c>
      <c r="S161">
        <v>0</v>
      </c>
      <c r="T161">
        <v>0.21859821746881683</v>
      </c>
    </row>
    <row r="162" spans="1:20" x14ac:dyDescent="0.25">
      <c r="A162" s="1">
        <v>45584</v>
      </c>
      <c r="B162" t="s">
        <v>210</v>
      </c>
      <c r="C162" t="s">
        <v>12</v>
      </c>
      <c r="D162">
        <v>4.5836142079336275</v>
      </c>
      <c r="E162" t="s">
        <v>212</v>
      </c>
      <c r="G162">
        <v>45584</v>
      </c>
      <c r="H162" t="s">
        <v>168</v>
      </c>
      <c r="I162">
        <v>0</v>
      </c>
      <c r="J162">
        <v>0</v>
      </c>
      <c r="K162">
        <v>1.2333468282544835</v>
      </c>
      <c r="L162">
        <v>1.2333468282544835</v>
      </c>
      <c r="M162">
        <v>0</v>
      </c>
      <c r="N162" t="s">
        <v>124</v>
      </c>
      <c r="O162" t="s">
        <v>124</v>
      </c>
      <c r="P162">
        <v>33.160000000000011</v>
      </c>
      <c r="Q162">
        <v>0</v>
      </c>
      <c r="R162">
        <v>310.82313426938197</v>
      </c>
      <c r="S162">
        <v>0</v>
      </c>
      <c r="T162">
        <v>310.82313426938197</v>
      </c>
    </row>
    <row r="163" spans="1:20" x14ac:dyDescent="0.25">
      <c r="A163" s="1">
        <v>45584</v>
      </c>
      <c r="B163" t="s">
        <v>210</v>
      </c>
      <c r="C163" t="s">
        <v>10</v>
      </c>
      <c r="D163">
        <v>3.7478639781271368</v>
      </c>
      <c r="E163" t="s">
        <v>212</v>
      </c>
      <c r="G163">
        <v>45584</v>
      </c>
      <c r="H163" t="s">
        <v>168</v>
      </c>
      <c r="I163">
        <v>8.9407115861275255E-3</v>
      </c>
      <c r="J163">
        <v>8.9407115861275255E-3</v>
      </c>
      <c r="K163">
        <v>0</v>
      </c>
      <c r="L163">
        <v>0</v>
      </c>
      <c r="M163">
        <v>0</v>
      </c>
      <c r="N163" t="s">
        <v>124</v>
      </c>
      <c r="O163" t="s">
        <v>124</v>
      </c>
      <c r="P163">
        <v>37.600000000000009</v>
      </c>
      <c r="Q163">
        <v>1.5628363852550913</v>
      </c>
      <c r="R163">
        <v>0</v>
      </c>
      <c r="S163">
        <v>0</v>
      </c>
      <c r="T163">
        <v>1.5628363852550913</v>
      </c>
    </row>
    <row r="164" spans="1:20" x14ac:dyDescent="0.25">
      <c r="A164" s="1">
        <v>45585</v>
      </c>
      <c r="B164" t="s">
        <v>210</v>
      </c>
      <c r="C164" t="s">
        <v>11</v>
      </c>
      <c r="D164">
        <v>1</v>
      </c>
      <c r="E164" t="s">
        <v>166</v>
      </c>
      <c r="F164">
        <v>1</v>
      </c>
      <c r="G164">
        <v>45585</v>
      </c>
      <c r="H164" t="s">
        <v>168</v>
      </c>
      <c r="I164">
        <v>0</v>
      </c>
      <c r="J164">
        <v>0</v>
      </c>
      <c r="K164">
        <v>1</v>
      </c>
      <c r="L164">
        <v>1</v>
      </c>
      <c r="M164">
        <v>0</v>
      </c>
      <c r="N164" t="s">
        <v>125</v>
      </c>
      <c r="O164" t="s">
        <v>125</v>
      </c>
      <c r="P164">
        <v>36.574000000000012</v>
      </c>
      <c r="Q164">
        <v>0</v>
      </c>
      <c r="R164">
        <v>277.96240000000006</v>
      </c>
      <c r="S164">
        <v>0</v>
      </c>
      <c r="T164">
        <v>277.96240000000006</v>
      </c>
    </row>
    <row r="165" spans="1:20" x14ac:dyDescent="0.25">
      <c r="A165" s="1">
        <v>45585</v>
      </c>
      <c r="B165" t="s">
        <v>210</v>
      </c>
      <c r="C165" t="s">
        <v>12</v>
      </c>
      <c r="D165">
        <v>2.1042606516290729</v>
      </c>
      <c r="E165" t="s">
        <v>166</v>
      </c>
      <c r="F165">
        <v>1</v>
      </c>
      <c r="G165">
        <v>45585</v>
      </c>
      <c r="H165" t="s">
        <v>168</v>
      </c>
      <c r="I165">
        <v>0</v>
      </c>
      <c r="J165">
        <v>0</v>
      </c>
      <c r="K165">
        <v>0.51122125801318741</v>
      </c>
      <c r="L165">
        <v>0.51122125801318741</v>
      </c>
      <c r="M165">
        <v>0</v>
      </c>
      <c r="N165" t="s">
        <v>125</v>
      </c>
      <c r="O165" t="s">
        <v>125</v>
      </c>
      <c r="P165">
        <v>37.610000000000007</v>
      </c>
      <c r="Q165">
        <v>0</v>
      </c>
      <c r="R165">
        <v>146.12543950545745</v>
      </c>
      <c r="S165">
        <v>0</v>
      </c>
      <c r="T165">
        <v>146.12543950545745</v>
      </c>
    </row>
    <row r="166" spans="1:20" x14ac:dyDescent="0.25">
      <c r="A166" s="1">
        <v>45585</v>
      </c>
      <c r="B166" t="s">
        <v>210</v>
      </c>
      <c r="C166" t="s">
        <v>10</v>
      </c>
      <c r="D166">
        <v>3.1563909774436087</v>
      </c>
      <c r="E166" t="s">
        <v>166</v>
      </c>
      <c r="F166">
        <v>1</v>
      </c>
      <c r="G166">
        <v>45585</v>
      </c>
      <c r="H166" t="s">
        <v>168</v>
      </c>
      <c r="I166">
        <v>0</v>
      </c>
      <c r="J166">
        <v>0</v>
      </c>
      <c r="K166">
        <v>0.34421347486362919</v>
      </c>
      <c r="L166">
        <v>0.34421347486362919</v>
      </c>
      <c r="M166">
        <v>0</v>
      </c>
      <c r="N166" t="s">
        <v>125</v>
      </c>
      <c r="O166" t="s">
        <v>125</v>
      </c>
      <c r="P166">
        <v>42.790000000000006</v>
      </c>
      <c r="Q166">
        <v>0</v>
      </c>
      <c r="R166">
        <v>111.93959887955168</v>
      </c>
      <c r="S166">
        <v>0</v>
      </c>
      <c r="T166">
        <v>111.93959887955168</v>
      </c>
    </row>
    <row r="167" spans="1:20" x14ac:dyDescent="0.25">
      <c r="A167" s="1">
        <v>45585</v>
      </c>
      <c r="B167" t="s">
        <v>210</v>
      </c>
      <c r="C167" t="s">
        <v>11</v>
      </c>
      <c r="D167">
        <v>0.97058823529411775</v>
      </c>
      <c r="E167" t="s">
        <v>212</v>
      </c>
      <c r="G167">
        <v>45585</v>
      </c>
      <c r="H167" t="s">
        <v>168</v>
      </c>
      <c r="I167">
        <v>2.8466483011937216E-2</v>
      </c>
      <c r="J167">
        <v>2.8466483011937216E-2</v>
      </c>
      <c r="K167">
        <v>0</v>
      </c>
      <c r="L167">
        <v>0</v>
      </c>
      <c r="M167">
        <v>2.0588235294117782E-2</v>
      </c>
      <c r="N167" t="s">
        <v>125</v>
      </c>
      <c r="O167" t="s">
        <v>125</v>
      </c>
      <c r="P167">
        <v>36.574000000000012</v>
      </c>
      <c r="Q167">
        <v>4.9759412304866251</v>
      </c>
      <c r="R167">
        <v>0</v>
      </c>
      <c r="S167">
        <v>0</v>
      </c>
      <c r="T167">
        <v>4.9759412304866251</v>
      </c>
    </row>
    <row r="168" spans="1:20" x14ac:dyDescent="0.25">
      <c r="A168" s="1">
        <v>45585</v>
      </c>
      <c r="B168" t="s">
        <v>210</v>
      </c>
      <c r="C168" t="s">
        <v>12</v>
      </c>
      <c r="D168">
        <v>4.5836142079336275</v>
      </c>
      <c r="E168" t="s">
        <v>212</v>
      </c>
      <c r="G168">
        <v>45585</v>
      </c>
      <c r="H168" t="s">
        <v>168</v>
      </c>
      <c r="I168">
        <v>0</v>
      </c>
      <c r="J168">
        <v>0</v>
      </c>
      <c r="K168">
        <v>1.0194430849389755</v>
      </c>
      <c r="L168">
        <v>1.0194430849389755</v>
      </c>
      <c r="M168">
        <v>0</v>
      </c>
      <c r="N168" t="s">
        <v>125</v>
      </c>
      <c r="O168" t="s">
        <v>125</v>
      </c>
      <c r="P168">
        <v>37.610000000000007</v>
      </c>
      <c r="Q168">
        <v>0</v>
      </c>
      <c r="R168">
        <v>291.39353362661706</v>
      </c>
      <c r="S168">
        <v>0</v>
      </c>
      <c r="T168">
        <v>291.39353362661706</v>
      </c>
    </row>
    <row r="169" spans="1:20" x14ac:dyDescent="0.25">
      <c r="A169" s="1">
        <v>45585</v>
      </c>
      <c r="B169" t="s">
        <v>210</v>
      </c>
      <c r="C169" t="s">
        <v>10</v>
      </c>
      <c r="D169">
        <v>3.7478639781271368</v>
      </c>
      <c r="E169" t="s">
        <v>212</v>
      </c>
      <c r="G169">
        <v>45585</v>
      </c>
      <c r="H169" t="s">
        <v>168</v>
      </c>
      <c r="I169">
        <v>8.9407115861275255E-3</v>
      </c>
      <c r="J169">
        <v>8.9407115861275255E-3</v>
      </c>
      <c r="K169">
        <v>0</v>
      </c>
      <c r="L169">
        <v>0</v>
      </c>
      <c r="M169">
        <v>0</v>
      </c>
      <c r="N169" t="s">
        <v>125</v>
      </c>
      <c r="O169" t="s">
        <v>125</v>
      </c>
      <c r="P169">
        <v>42.790000000000006</v>
      </c>
      <c r="Q169">
        <v>1.5628363852550913</v>
      </c>
      <c r="R169">
        <v>0</v>
      </c>
      <c r="S169">
        <v>0</v>
      </c>
      <c r="T169">
        <v>1.5628363852550913</v>
      </c>
    </row>
    <row r="170" spans="1:20" x14ac:dyDescent="0.25">
      <c r="A170" s="1">
        <v>45572</v>
      </c>
      <c r="B170" t="s">
        <v>13</v>
      </c>
      <c r="C170" t="s">
        <v>10</v>
      </c>
      <c r="D170">
        <v>5.7593984962406006</v>
      </c>
      <c r="E170" t="s">
        <v>166</v>
      </c>
      <c r="F170">
        <v>1</v>
      </c>
      <c r="G170">
        <v>45572</v>
      </c>
      <c r="H170" t="s">
        <v>168</v>
      </c>
      <c r="I170">
        <v>0</v>
      </c>
      <c r="J170">
        <v>0</v>
      </c>
      <c r="K170">
        <v>2.0787262273330396</v>
      </c>
      <c r="L170">
        <v>2.0787262273330396</v>
      </c>
      <c r="M170">
        <v>0</v>
      </c>
      <c r="N170" t="s">
        <v>130</v>
      </c>
      <c r="Q170">
        <v>0</v>
      </c>
      <c r="R170">
        <v>0</v>
      </c>
      <c r="S170">
        <v>0</v>
      </c>
      <c r="T170">
        <v>0</v>
      </c>
    </row>
    <row r="171" spans="1:20" x14ac:dyDescent="0.25">
      <c r="A171" s="1">
        <v>45572</v>
      </c>
      <c r="B171" t="s">
        <v>13</v>
      </c>
      <c r="C171" t="s">
        <v>11</v>
      </c>
      <c r="D171">
        <v>1</v>
      </c>
      <c r="E171" t="s">
        <v>166</v>
      </c>
      <c r="F171">
        <v>1</v>
      </c>
      <c r="G171">
        <v>45572</v>
      </c>
      <c r="H171" t="s">
        <v>168</v>
      </c>
      <c r="I171">
        <v>0.26077637532745923</v>
      </c>
      <c r="J171">
        <v>0.26077637532745923</v>
      </c>
      <c r="K171">
        <v>0</v>
      </c>
      <c r="L171">
        <v>0</v>
      </c>
      <c r="M171">
        <v>0</v>
      </c>
      <c r="N171" t="s">
        <v>130</v>
      </c>
      <c r="Q171">
        <v>45.58371040723987</v>
      </c>
      <c r="R171">
        <v>0</v>
      </c>
      <c r="S171">
        <v>0</v>
      </c>
      <c r="T171">
        <v>45.58371040723987</v>
      </c>
    </row>
    <row r="172" spans="1:20" x14ac:dyDescent="0.25">
      <c r="A172" s="1">
        <v>45572</v>
      </c>
      <c r="B172" t="s">
        <v>13</v>
      </c>
      <c r="C172" t="s">
        <v>12</v>
      </c>
      <c r="D172">
        <v>2.8796992481203003</v>
      </c>
      <c r="E172" t="s">
        <v>166</v>
      </c>
      <c r="F172">
        <v>1</v>
      </c>
      <c r="G172">
        <v>45572</v>
      </c>
      <c r="H172" t="s">
        <v>168</v>
      </c>
      <c r="I172">
        <v>0.18335548858960204</v>
      </c>
      <c r="J172">
        <v>0.18335548858960204</v>
      </c>
      <c r="K172">
        <v>0</v>
      </c>
      <c r="L172">
        <v>0</v>
      </c>
      <c r="M172">
        <v>0</v>
      </c>
      <c r="N172" t="s">
        <v>130</v>
      </c>
      <c r="Q172">
        <v>32.050539405462438</v>
      </c>
      <c r="R172">
        <v>0</v>
      </c>
      <c r="S172">
        <v>0</v>
      </c>
      <c r="T172">
        <v>32.050539405462438</v>
      </c>
    </row>
    <row r="173" spans="1:20" x14ac:dyDescent="0.25">
      <c r="A173" s="1">
        <v>45572</v>
      </c>
      <c r="B173" t="s">
        <v>13</v>
      </c>
      <c r="C173" t="s">
        <v>10</v>
      </c>
      <c r="D173">
        <v>6.8471096572600336</v>
      </c>
      <c r="E173" t="s">
        <v>212</v>
      </c>
      <c r="G173">
        <v>45572</v>
      </c>
      <c r="H173" t="s">
        <v>168</v>
      </c>
      <c r="I173">
        <v>0</v>
      </c>
      <c r="J173">
        <v>0</v>
      </c>
      <c r="K173">
        <v>3.0971096572600336</v>
      </c>
      <c r="L173">
        <v>3.0971096572600336</v>
      </c>
      <c r="M173">
        <v>0</v>
      </c>
      <c r="N173" t="s">
        <v>130</v>
      </c>
      <c r="Q173">
        <v>0</v>
      </c>
      <c r="R173">
        <v>0</v>
      </c>
      <c r="S173">
        <v>0</v>
      </c>
      <c r="T173">
        <v>0</v>
      </c>
    </row>
    <row r="174" spans="1:20" x14ac:dyDescent="0.25">
      <c r="A174" s="1">
        <v>45572</v>
      </c>
      <c r="B174" t="s">
        <v>13</v>
      </c>
      <c r="C174" t="s">
        <v>11</v>
      </c>
      <c r="D174">
        <v>0.84615384615384603</v>
      </c>
      <c r="E174" t="s">
        <v>212</v>
      </c>
      <c r="G174">
        <v>45572</v>
      </c>
      <c r="H174" t="s">
        <v>168</v>
      </c>
      <c r="I174">
        <v>1.3592192408821702</v>
      </c>
      <c r="J174">
        <v>1.3592192408821702</v>
      </c>
      <c r="K174">
        <v>0</v>
      </c>
      <c r="L174">
        <v>0</v>
      </c>
      <c r="M174">
        <v>0</v>
      </c>
      <c r="N174" t="s">
        <v>130</v>
      </c>
      <c r="Q174">
        <v>237.59152330620336</v>
      </c>
      <c r="R174">
        <v>0</v>
      </c>
      <c r="S174">
        <v>0</v>
      </c>
      <c r="T174">
        <v>237.59152330620336</v>
      </c>
    </row>
    <row r="175" spans="1:20" x14ac:dyDescent="0.25">
      <c r="A175" s="1">
        <v>45572</v>
      </c>
      <c r="B175" t="s">
        <v>13</v>
      </c>
      <c r="C175" t="s">
        <v>12</v>
      </c>
      <c r="D175">
        <v>2.5351191458269504</v>
      </c>
      <c r="E175" t="s">
        <v>212</v>
      </c>
      <c r="G175">
        <v>45572</v>
      </c>
      <c r="H175" t="s">
        <v>168</v>
      </c>
      <c r="I175">
        <v>0.53887916004153102</v>
      </c>
      <c r="J175">
        <v>0.53887916004153102</v>
      </c>
      <c r="K175">
        <v>0</v>
      </c>
      <c r="L175">
        <v>0</v>
      </c>
      <c r="M175">
        <v>0</v>
      </c>
      <c r="N175" t="s">
        <v>130</v>
      </c>
      <c r="Q175">
        <v>94.196077175259617</v>
      </c>
      <c r="R175">
        <v>0</v>
      </c>
      <c r="S175">
        <v>0</v>
      </c>
      <c r="T175">
        <v>94.196077175259617</v>
      </c>
    </row>
    <row r="176" spans="1:20" x14ac:dyDescent="0.25">
      <c r="A176" s="1">
        <v>45573</v>
      </c>
      <c r="B176" t="s">
        <v>13</v>
      </c>
      <c r="C176" t="s">
        <v>10</v>
      </c>
      <c r="D176">
        <v>5.7593984962406006</v>
      </c>
      <c r="E176" t="s">
        <v>166</v>
      </c>
      <c r="F176">
        <v>1</v>
      </c>
      <c r="G176">
        <v>45573</v>
      </c>
      <c r="H176" t="s">
        <v>168</v>
      </c>
      <c r="I176">
        <v>0</v>
      </c>
      <c r="J176">
        <v>0</v>
      </c>
      <c r="K176">
        <v>2.191760711075601</v>
      </c>
      <c r="L176">
        <v>2.191760711075601</v>
      </c>
      <c r="M176">
        <v>0</v>
      </c>
      <c r="N176" t="s">
        <v>131</v>
      </c>
      <c r="Q176">
        <v>0</v>
      </c>
      <c r="R176">
        <v>0</v>
      </c>
      <c r="S176">
        <v>0</v>
      </c>
      <c r="T176">
        <v>0</v>
      </c>
    </row>
    <row r="177" spans="1:20" x14ac:dyDescent="0.25">
      <c r="A177" s="1">
        <v>45573</v>
      </c>
      <c r="B177" t="s">
        <v>13</v>
      </c>
      <c r="C177" t="s">
        <v>12</v>
      </c>
      <c r="D177">
        <v>2.8796992481203003</v>
      </c>
      <c r="E177" t="s">
        <v>166</v>
      </c>
      <c r="F177">
        <v>1</v>
      </c>
      <c r="G177">
        <v>45573</v>
      </c>
      <c r="H177" t="s">
        <v>168</v>
      </c>
      <c r="I177">
        <v>0.11319486881873053</v>
      </c>
      <c r="J177">
        <v>0.11319486881873053</v>
      </c>
      <c r="K177">
        <v>0</v>
      </c>
      <c r="L177">
        <v>0</v>
      </c>
      <c r="M177">
        <v>2.9699248120300559E-2</v>
      </c>
      <c r="N177" t="s">
        <v>131</v>
      </c>
      <c r="Q177">
        <v>19.786463069514095</v>
      </c>
      <c r="R177">
        <v>0</v>
      </c>
      <c r="S177">
        <v>0</v>
      </c>
      <c r="T177">
        <v>19.786463069514095</v>
      </c>
    </row>
    <row r="178" spans="1:20" x14ac:dyDescent="0.25">
      <c r="A178" s="1">
        <v>45573</v>
      </c>
      <c r="B178" t="s">
        <v>13</v>
      </c>
      <c r="C178" t="s">
        <v>11</v>
      </c>
      <c r="D178">
        <v>1</v>
      </c>
      <c r="E178" t="s">
        <v>166</v>
      </c>
      <c r="F178">
        <v>1</v>
      </c>
      <c r="G178">
        <v>45573</v>
      </c>
      <c r="H178" t="s">
        <v>168</v>
      </c>
      <c r="I178">
        <v>0.31126112976207865</v>
      </c>
      <c r="J178">
        <v>0.31126112976207865</v>
      </c>
      <c r="K178">
        <v>0</v>
      </c>
      <c r="L178">
        <v>0</v>
      </c>
      <c r="M178">
        <v>0</v>
      </c>
      <c r="N178" t="s">
        <v>131</v>
      </c>
      <c r="Q178">
        <v>54.408445482411345</v>
      </c>
      <c r="R178">
        <v>0</v>
      </c>
      <c r="S178">
        <v>0</v>
      </c>
      <c r="T178">
        <v>54.408445482411345</v>
      </c>
    </row>
    <row r="179" spans="1:20" x14ac:dyDescent="0.25">
      <c r="A179" s="1">
        <v>45573</v>
      </c>
      <c r="B179" t="s">
        <v>13</v>
      </c>
      <c r="C179" t="s">
        <v>10</v>
      </c>
      <c r="D179">
        <v>6.8471096572600336</v>
      </c>
      <c r="E179" t="s">
        <v>212</v>
      </c>
      <c r="G179">
        <v>45573</v>
      </c>
      <c r="H179" t="s">
        <v>168</v>
      </c>
      <c r="I179">
        <v>0</v>
      </c>
      <c r="J179">
        <v>0</v>
      </c>
      <c r="K179">
        <v>3.9718645592208182</v>
      </c>
      <c r="L179">
        <v>3.9718645592208182</v>
      </c>
      <c r="M179">
        <v>0</v>
      </c>
      <c r="N179" t="s">
        <v>131</v>
      </c>
      <c r="Q179">
        <v>0</v>
      </c>
      <c r="R179">
        <v>0</v>
      </c>
      <c r="S179">
        <v>0</v>
      </c>
      <c r="T179">
        <v>0</v>
      </c>
    </row>
    <row r="180" spans="1:20" x14ac:dyDescent="0.25">
      <c r="A180" s="1">
        <v>45573</v>
      </c>
      <c r="B180" t="s">
        <v>13</v>
      </c>
      <c r="C180" t="s">
        <v>12</v>
      </c>
      <c r="D180">
        <v>2.5351191458269504</v>
      </c>
      <c r="E180" t="s">
        <v>212</v>
      </c>
      <c r="G180">
        <v>45573</v>
      </c>
      <c r="H180" t="s">
        <v>168</v>
      </c>
      <c r="I180">
        <v>0.55225857304779491</v>
      </c>
      <c r="J180">
        <v>0.55225857304779491</v>
      </c>
      <c r="K180">
        <v>0</v>
      </c>
      <c r="L180">
        <v>0</v>
      </c>
      <c r="M180">
        <v>0</v>
      </c>
      <c r="N180" t="s">
        <v>131</v>
      </c>
      <c r="Q180">
        <v>96.534798568754553</v>
      </c>
      <c r="R180">
        <v>0</v>
      </c>
      <c r="S180">
        <v>0</v>
      </c>
      <c r="T180">
        <v>96.534798568754553</v>
      </c>
    </row>
    <row r="181" spans="1:20" x14ac:dyDescent="0.25">
      <c r="A181" s="1">
        <v>45573</v>
      </c>
      <c r="B181" t="s">
        <v>13</v>
      </c>
      <c r="C181" t="s">
        <v>11</v>
      </c>
      <c r="D181">
        <v>0.84615384615384603</v>
      </c>
      <c r="E181" t="s">
        <v>212</v>
      </c>
      <c r="G181">
        <v>45573</v>
      </c>
      <c r="H181" t="s">
        <v>168</v>
      </c>
      <c r="I181">
        <v>1.3594231080862098</v>
      </c>
      <c r="J181">
        <v>1.3594231080862098</v>
      </c>
      <c r="K181">
        <v>0</v>
      </c>
      <c r="L181">
        <v>0</v>
      </c>
      <c r="M181">
        <v>0</v>
      </c>
      <c r="N181" t="s">
        <v>131</v>
      </c>
      <c r="Q181">
        <v>237.62715929346945</v>
      </c>
      <c r="R181">
        <v>0</v>
      </c>
      <c r="S181">
        <v>0</v>
      </c>
      <c r="T181">
        <v>237.62715929346945</v>
      </c>
    </row>
    <row r="182" spans="1:20" x14ac:dyDescent="0.25">
      <c r="A182" s="1">
        <v>45574</v>
      </c>
      <c r="B182" t="s">
        <v>13</v>
      </c>
      <c r="C182" t="s">
        <v>10</v>
      </c>
      <c r="D182">
        <v>5.7593984962406006</v>
      </c>
      <c r="E182" t="s">
        <v>166</v>
      </c>
      <c r="F182">
        <v>1</v>
      </c>
      <c r="G182">
        <v>45574</v>
      </c>
      <c r="H182" t="s">
        <v>168</v>
      </c>
      <c r="I182">
        <v>0</v>
      </c>
      <c r="J182">
        <v>0</v>
      </c>
      <c r="K182">
        <v>2.1162262273330379</v>
      </c>
      <c r="L182">
        <v>2.1162262273330379</v>
      </c>
      <c r="M182">
        <v>0</v>
      </c>
      <c r="N182" t="s">
        <v>132</v>
      </c>
      <c r="Q182">
        <v>0</v>
      </c>
      <c r="R182">
        <v>0</v>
      </c>
      <c r="S182">
        <v>0</v>
      </c>
      <c r="T182">
        <v>0</v>
      </c>
    </row>
    <row r="183" spans="1:20" x14ac:dyDescent="0.25">
      <c r="A183" s="1">
        <v>45574</v>
      </c>
      <c r="B183" t="s">
        <v>13</v>
      </c>
      <c r="C183" t="s">
        <v>11</v>
      </c>
      <c r="D183">
        <v>1</v>
      </c>
      <c r="E183" t="s">
        <v>166</v>
      </c>
      <c r="F183">
        <v>1</v>
      </c>
      <c r="G183">
        <v>45574</v>
      </c>
      <c r="H183" t="s">
        <v>168</v>
      </c>
      <c r="I183">
        <v>0.19132730015082977</v>
      </c>
      <c r="J183">
        <v>0.19132730015082977</v>
      </c>
      <c r="K183">
        <v>0</v>
      </c>
      <c r="L183">
        <v>0</v>
      </c>
      <c r="M183">
        <v>0</v>
      </c>
      <c r="N183" t="s">
        <v>132</v>
      </c>
      <c r="Q183">
        <v>33.44401206636504</v>
      </c>
      <c r="R183">
        <v>0</v>
      </c>
      <c r="S183">
        <v>0</v>
      </c>
      <c r="T183">
        <v>33.44401206636504</v>
      </c>
    </row>
    <row r="184" spans="1:20" x14ac:dyDescent="0.25">
      <c r="A184" s="1">
        <v>45574</v>
      </c>
      <c r="B184" t="s">
        <v>13</v>
      </c>
      <c r="C184" t="s">
        <v>12</v>
      </c>
      <c r="D184">
        <v>2.8796992481203008</v>
      </c>
      <c r="E184" t="s">
        <v>166</v>
      </c>
      <c r="F184">
        <v>1</v>
      </c>
      <c r="G184">
        <v>45574</v>
      </c>
      <c r="H184" t="s">
        <v>168</v>
      </c>
      <c r="I184">
        <v>0</v>
      </c>
      <c r="J184">
        <v>0</v>
      </c>
      <c r="K184">
        <v>0.41316780795802838</v>
      </c>
      <c r="L184">
        <v>0.41316780795802838</v>
      </c>
      <c r="M184">
        <v>0</v>
      </c>
      <c r="N184" t="s">
        <v>132</v>
      </c>
      <c r="Q184">
        <v>0</v>
      </c>
      <c r="R184">
        <v>0</v>
      </c>
      <c r="S184">
        <v>0</v>
      </c>
      <c r="T184">
        <v>0</v>
      </c>
    </row>
    <row r="185" spans="1:20" x14ac:dyDescent="0.25">
      <c r="A185" s="1">
        <v>45574</v>
      </c>
      <c r="B185" t="s">
        <v>13</v>
      </c>
      <c r="C185" t="s">
        <v>10</v>
      </c>
      <c r="D185">
        <v>6.8471096572600336</v>
      </c>
      <c r="E185" t="s">
        <v>212</v>
      </c>
      <c r="G185">
        <v>45574</v>
      </c>
      <c r="H185" t="s">
        <v>168</v>
      </c>
      <c r="I185">
        <v>0</v>
      </c>
      <c r="J185">
        <v>0</v>
      </c>
      <c r="K185">
        <v>3.9718645592208182</v>
      </c>
      <c r="L185">
        <v>3.9718645592208182</v>
      </c>
      <c r="M185">
        <v>2.524509803921594E-2</v>
      </c>
      <c r="N185" t="s">
        <v>132</v>
      </c>
      <c r="Q185">
        <v>0</v>
      </c>
      <c r="R185">
        <v>0</v>
      </c>
      <c r="S185">
        <v>0</v>
      </c>
      <c r="T185">
        <v>0</v>
      </c>
    </row>
    <row r="186" spans="1:20" x14ac:dyDescent="0.25">
      <c r="A186" s="1">
        <v>45574</v>
      </c>
      <c r="B186" t="s">
        <v>13</v>
      </c>
      <c r="C186" t="s">
        <v>11</v>
      </c>
      <c r="D186">
        <v>0.84615384615384603</v>
      </c>
      <c r="E186" t="s">
        <v>212</v>
      </c>
      <c r="G186">
        <v>45574</v>
      </c>
      <c r="H186" t="s">
        <v>168</v>
      </c>
      <c r="I186">
        <v>1.3594231080862098</v>
      </c>
      <c r="J186">
        <v>1.3594231080862098</v>
      </c>
      <c r="K186">
        <v>0</v>
      </c>
      <c r="L186">
        <v>0</v>
      </c>
      <c r="M186">
        <v>0</v>
      </c>
      <c r="N186" t="s">
        <v>132</v>
      </c>
      <c r="Q186">
        <v>237.62715929346945</v>
      </c>
      <c r="R186">
        <v>0</v>
      </c>
      <c r="S186">
        <v>0</v>
      </c>
      <c r="T186">
        <v>237.62715929346945</v>
      </c>
    </row>
    <row r="187" spans="1:20" x14ac:dyDescent="0.25">
      <c r="A187" s="1">
        <v>45574</v>
      </c>
      <c r="B187" t="s">
        <v>13</v>
      </c>
      <c r="C187" t="s">
        <v>12</v>
      </c>
      <c r="D187">
        <v>2.5351191458269504</v>
      </c>
      <c r="E187" t="s">
        <v>212</v>
      </c>
      <c r="G187">
        <v>45574</v>
      </c>
      <c r="H187" t="s">
        <v>168</v>
      </c>
      <c r="I187">
        <v>0.67805105613823535</v>
      </c>
      <c r="J187">
        <v>0.67805105613823535</v>
      </c>
      <c r="K187">
        <v>0</v>
      </c>
      <c r="L187">
        <v>0</v>
      </c>
      <c r="M187">
        <v>0</v>
      </c>
      <c r="N187" t="s">
        <v>132</v>
      </c>
      <c r="Q187">
        <v>118.52332461296353</v>
      </c>
      <c r="R187">
        <v>0</v>
      </c>
      <c r="S187">
        <v>0</v>
      </c>
      <c r="T187">
        <v>118.52332461296353</v>
      </c>
    </row>
    <row r="188" spans="1:20" x14ac:dyDescent="0.25">
      <c r="A188" s="1">
        <v>45575</v>
      </c>
      <c r="B188" t="s">
        <v>13</v>
      </c>
      <c r="C188" t="s">
        <v>10</v>
      </c>
      <c r="D188">
        <v>5.7593984962406006</v>
      </c>
      <c r="E188" t="s">
        <v>166</v>
      </c>
      <c r="F188">
        <v>1</v>
      </c>
      <c r="G188">
        <v>45575</v>
      </c>
      <c r="H188" t="s">
        <v>168</v>
      </c>
      <c r="I188">
        <v>0</v>
      </c>
      <c r="J188">
        <v>0</v>
      </c>
      <c r="K188">
        <v>2.9019405130473226</v>
      </c>
      <c r="L188">
        <v>2.9019405130473226</v>
      </c>
      <c r="M188">
        <v>0.95745798319327813</v>
      </c>
      <c r="N188" t="s">
        <v>133</v>
      </c>
      <c r="Q188">
        <v>0</v>
      </c>
      <c r="R188">
        <v>0</v>
      </c>
      <c r="S188">
        <v>0</v>
      </c>
      <c r="T188">
        <v>0</v>
      </c>
    </row>
    <row r="189" spans="1:20" x14ac:dyDescent="0.25">
      <c r="A189" s="1">
        <v>45575</v>
      </c>
      <c r="B189" t="s">
        <v>13</v>
      </c>
      <c r="C189" t="s">
        <v>11</v>
      </c>
      <c r="D189">
        <v>1</v>
      </c>
      <c r="E189" t="s">
        <v>166</v>
      </c>
      <c r="F189">
        <v>1</v>
      </c>
      <c r="G189">
        <v>45575</v>
      </c>
      <c r="H189" t="s">
        <v>168</v>
      </c>
      <c r="I189">
        <v>0.26077637532745923</v>
      </c>
      <c r="J189">
        <v>0.26077637532745923</v>
      </c>
      <c r="K189">
        <v>0</v>
      </c>
      <c r="L189">
        <v>0</v>
      </c>
      <c r="M189">
        <v>0</v>
      </c>
      <c r="N189" t="s">
        <v>133</v>
      </c>
      <c r="Q189">
        <v>45.58371040723987</v>
      </c>
      <c r="R189">
        <v>0</v>
      </c>
      <c r="S189">
        <v>0</v>
      </c>
      <c r="T189">
        <v>45.58371040723987</v>
      </c>
    </row>
    <row r="190" spans="1:20" x14ac:dyDescent="0.25">
      <c r="A190" s="1">
        <v>45575</v>
      </c>
      <c r="B190" t="s">
        <v>13</v>
      </c>
      <c r="C190" t="s">
        <v>12</v>
      </c>
      <c r="D190">
        <v>2.8796992481203003</v>
      </c>
      <c r="E190" t="s">
        <v>166</v>
      </c>
      <c r="F190">
        <v>1</v>
      </c>
      <c r="G190">
        <v>45575</v>
      </c>
      <c r="H190" t="s">
        <v>168</v>
      </c>
      <c r="I190">
        <v>0.18335548858960204</v>
      </c>
      <c r="J190">
        <v>0.18335548858960204</v>
      </c>
      <c r="K190">
        <v>0</v>
      </c>
      <c r="L190">
        <v>0</v>
      </c>
      <c r="M190">
        <v>0</v>
      </c>
      <c r="N190" t="s">
        <v>133</v>
      </c>
      <c r="Q190">
        <v>32.050539405462438</v>
      </c>
      <c r="R190">
        <v>0</v>
      </c>
      <c r="S190">
        <v>0</v>
      </c>
      <c r="T190">
        <v>32.050539405462438</v>
      </c>
    </row>
    <row r="191" spans="1:20" x14ac:dyDescent="0.25">
      <c r="A191" s="1">
        <v>45575</v>
      </c>
      <c r="B191" t="s">
        <v>13</v>
      </c>
      <c r="C191" t="s">
        <v>10</v>
      </c>
      <c r="D191">
        <v>6.8471096572600327</v>
      </c>
      <c r="E191" t="s">
        <v>212</v>
      </c>
      <c r="G191">
        <v>45575</v>
      </c>
      <c r="H191" t="s">
        <v>168</v>
      </c>
      <c r="I191">
        <v>0</v>
      </c>
      <c r="J191">
        <v>0</v>
      </c>
      <c r="K191">
        <v>3.9718645592208173</v>
      </c>
      <c r="L191">
        <v>3.9718645592208173</v>
      </c>
      <c r="M191">
        <v>0</v>
      </c>
      <c r="N191" t="s">
        <v>133</v>
      </c>
      <c r="Q191">
        <v>0</v>
      </c>
      <c r="R191">
        <v>0</v>
      </c>
      <c r="S191">
        <v>0</v>
      </c>
      <c r="T191">
        <v>0</v>
      </c>
    </row>
    <row r="192" spans="1:20" x14ac:dyDescent="0.25">
      <c r="A192" s="1">
        <v>45575</v>
      </c>
      <c r="B192" t="s">
        <v>13</v>
      </c>
      <c r="C192" t="s">
        <v>11</v>
      </c>
      <c r="D192">
        <v>0.84615384615384603</v>
      </c>
      <c r="E192" t="s">
        <v>212</v>
      </c>
      <c r="G192">
        <v>45575</v>
      </c>
      <c r="H192" t="s">
        <v>168</v>
      </c>
      <c r="I192">
        <v>1.2920110192837466</v>
      </c>
      <c r="J192">
        <v>1.2920110192837466</v>
      </c>
      <c r="K192">
        <v>0</v>
      </c>
      <c r="L192">
        <v>0</v>
      </c>
      <c r="M192">
        <v>0</v>
      </c>
      <c r="N192" t="s">
        <v>133</v>
      </c>
      <c r="Q192">
        <v>225.8435261707989</v>
      </c>
      <c r="R192">
        <v>0</v>
      </c>
      <c r="S192">
        <v>0</v>
      </c>
      <c r="T192">
        <v>225.8435261707989</v>
      </c>
    </row>
    <row r="193" spans="1:20" x14ac:dyDescent="0.25">
      <c r="A193" s="1">
        <v>45575</v>
      </c>
      <c r="B193" t="s">
        <v>13</v>
      </c>
      <c r="C193" t="s">
        <v>12</v>
      </c>
      <c r="D193">
        <v>2.5351191458269504</v>
      </c>
      <c r="E193" t="s">
        <v>212</v>
      </c>
      <c r="G193">
        <v>45575</v>
      </c>
      <c r="H193" t="s">
        <v>168</v>
      </c>
      <c r="I193">
        <v>9.6627043537587554E-2</v>
      </c>
      <c r="J193">
        <v>9.6627043537587554E-2</v>
      </c>
      <c r="K193">
        <v>0</v>
      </c>
      <c r="L193">
        <v>0</v>
      </c>
      <c r="M193">
        <v>0</v>
      </c>
      <c r="N193" t="s">
        <v>133</v>
      </c>
      <c r="Q193">
        <v>16.890407210370302</v>
      </c>
      <c r="R193">
        <v>0</v>
      </c>
      <c r="S193">
        <v>0</v>
      </c>
      <c r="T193">
        <v>16.890407210370302</v>
      </c>
    </row>
    <row r="194" spans="1:20" x14ac:dyDescent="0.25">
      <c r="A194" s="1">
        <v>45576</v>
      </c>
      <c r="B194" t="s">
        <v>13</v>
      </c>
      <c r="C194" t="s">
        <v>10</v>
      </c>
      <c r="D194">
        <v>5.7593984962406006</v>
      </c>
      <c r="E194" t="s">
        <v>166</v>
      </c>
      <c r="F194">
        <v>1</v>
      </c>
      <c r="G194">
        <v>45576</v>
      </c>
      <c r="H194" t="s">
        <v>168</v>
      </c>
      <c r="I194">
        <v>0</v>
      </c>
      <c r="J194">
        <v>0</v>
      </c>
      <c r="K194">
        <v>2.0448916408668736</v>
      </c>
      <c r="L194">
        <v>2.0448916408668736</v>
      </c>
      <c r="M194">
        <v>0.86450685537372718</v>
      </c>
      <c r="N194" t="s">
        <v>134</v>
      </c>
      <c r="Q194">
        <v>0</v>
      </c>
      <c r="R194">
        <v>0</v>
      </c>
      <c r="S194">
        <v>0</v>
      </c>
      <c r="T194">
        <v>0</v>
      </c>
    </row>
    <row r="195" spans="1:20" x14ac:dyDescent="0.25">
      <c r="A195" s="1">
        <v>45576</v>
      </c>
      <c r="B195" t="s">
        <v>13</v>
      </c>
      <c r="C195" t="s">
        <v>12</v>
      </c>
      <c r="D195">
        <v>2.8796992481203008</v>
      </c>
      <c r="E195" t="s">
        <v>166</v>
      </c>
      <c r="F195">
        <v>1</v>
      </c>
      <c r="G195">
        <v>45576</v>
      </c>
      <c r="H195" t="s">
        <v>168</v>
      </c>
      <c r="I195">
        <v>0</v>
      </c>
      <c r="J195">
        <v>0</v>
      </c>
      <c r="K195">
        <v>0.25607968535266457</v>
      </c>
      <c r="L195">
        <v>0.25607968535266457</v>
      </c>
      <c r="M195">
        <v>0</v>
      </c>
      <c r="N195" t="s">
        <v>134</v>
      </c>
      <c r="Q195">
        <v>0</v>
      </c>
      <c r="R195">
        <v>0</v>
      </c>
      <c r="S195">
        <v>0</v>
      </c>
      <c r="T195">
        <v>0</v>
      </c>
    </row>
    <row r="196" spans="1:20" x14ac:dyDescent="0.25">
      <c r="A196" s="1">
        <v>45576</v>
      </c>
      <c r="B196" t="s">
        <v>13</v>
      </c>
      <c r="C196" t="s">
        <v>11</v>
      </c>
      <c r="D196">
        <v>1</v>
      </c>
      <c r="E196" t="s">
        <v>166</v>
      </c>
      <c r="F196">
        <v>1</v>
      </c>
      <c r="G196">
        <v>45576</v>
      </c>
      <c r="H196" t="s">
        <v>168</v>
      </c>
      <c r="I196">
        <v>0.15243841126194058</v>
      </c>
      <c r="J196">
        <v>0.15243841126194058</v>
      </c>
      <c r="K196">
        <v>0</v>
      </c>
      <c r="L196">
        <v>0</v>
      </c>
      <c r="M196">
        <v>0</v>
      </c>
      <c r="N196" t="s">
        <v>134</v>
      </c>
      <c r="Q196">
        <v>26.646234288587213</v>
      </c>
      <c r="R196">
        <v>0</v>
      </c>
      <c r="S196">
        <v>0</v>
      </c>
      <c r="T196">
        <v>26.646234288587213</v>
      </c>
    </row>
    <row r="197" spans="1:20" x14ac:dyDescent="0.25">
      <c r="A197" s="1">
        <v>45576</v>
      </c>
      <c r="B197" t="s">
        <v>13</v>
      </c>
      <c r="C197" t="s">
        <v>10</v>
      </c>
      <c r="D197">
        <v>6.8471096572600336</v>
      </c>
      <c r="E197" t="s">
        <v>212</v>
      </c>
      <c r="G197">
        <v>45576</v>
      </c>
      <c r="H197" t="s">
        <v>168</v>
      </c>
      <c r="I197">
        <v>0</v>
      </c>
      <c r="J197">
        <v>0</v>
      </c>
      <c r="K197">
        <v>4.005063483952001</v>
      </c>
      <c r="L197">
        <v>4.005063483952001</v>
      </c>
      <c r="M197">
        <v>0</v>
      </c>
      <c r="N197" t="s">
        <v>134</v>
      </c>
      <c r="Q197">
        <v>0</v>
      </c>
      <c r="R197">
        <v>0</v>
      </c>
      <c r="S197">
        <v>0</v>
      </c>
      <c r="T197">
        <v>0</v>
      </c>
    </row>
    <row r="198" spans="1:20" x14ac:dyDescent="0.25">
      <c r="A198" s="1">
        <v>45576</v>
      </c>
      <c r="B198" t="s">
        <v>13</v>
      </c>
      <c r="C198" t="s">
        <v>12</v>
      </c>
      <c r="D198">
        <v>2.5351191458269504</v>
      </c>
      <c r="E198" t="s">
        <v>212</v>
      </c>
      <c r="G198">
        <v>45576</v>
      </c>
      <c r="H198" t="s">
        <v>168</v>
      </c>
      <c r="I198">
        <v>0.18095505393074562</v>
      </c>
      <c r="J198">
        <v>0.18095505393074562</v>
      </c>
      <c r="K198">
        <v>0</v>
      </c>
      <c r="L198">
        <v>0</v>
      </c>
      <c r="M198">
        <v>0</v>
      </c>
      <c r="N198" t="s">
        <v>134</v>
      </c>
      <c r="Q198">
        <v>31.630943427094337</v>
      </c>
      <c r="R198">
        <v>0</v>
      </c>
      <c r="S198">
        <v>0</v>
      </c>
      <c r="T198">
        <v>31.630943427094337</v>
      </c>
    </row>
    <row r="199" spans="1:20" x14ac:dyDescent="0.25">
      <c r="A199" s="1">
        <v>45576</v>
      </c>
      <c r="B199" t="s">
        <v>13</v>
      </c>
      <c r="C199" t="s">
        <v>11</v>
      </c>
      <c r="D199">
        <v>0.84615384615384603</v>
      </c>
      <c r="E199" t="s">
        <v>212</v>
      </c>
      <c r="G199">
        <v>45576</v>
      </c>
      <c r="H199" t="s">
        <v>168</v>
      </c>
      <c r="I199">
        <v>1.3257170636849782</v>
      </c>
      <c r="J199">
        <v>1.3257170636849782</v>
      </c>
      <c r="K199">
        <v>0</v>
      </c>
      <c r="L199">
        <v>0</v>
      </c>
      <c r="M199">
        <v>0</v>
      </c>
      <c r="N199" t="s">
        <v>134</v>
      </c>
      <c r="Q199">
        <v>231.7353427321342</v>
      </c>
      <c r="R199">
        <v>0</v>
      </c>
      <c r="S199">
        <v>0</v>
      </c>
      <c r="T199">
        <v>231.7353427321342</v>
      </c>
    </row>
    <row r="200" spans="1:20" x14ac:dyDescent="0.25">
      <c r="A200" s="1">
        <v>45577</v>
      </c>
      <c r="B200" t="s">
        <v>13</v>
      </c>
      <c r="C200" t="s">
        <v>10</v>
      </c>
      <c r="D200">
        <v>5.7593984962406006</v>
      </c>
      <c r="E200" t="s">
        <v>166</v>
      </c>
      <c r="F200">
        <v>1</v>
      </c>
      <c r="G200">
        <v>45577</v>
      </c>
      <c r="H200" t="s">
        <v>168</v>
      </c>
      <c r="I200">
        <v>0</v>
      </c>
      <c r="J200">
        <v>0</v>
      </c>
      <c r="K200">
        <v>3.1305099293195795</v>
      </c>
      <c r="L200">
        <v>3.1305099293195795</v>
      </c>
      <c r="M200">
        <v>0</v>
      </c>
      <c r="N200" t="s">
        <v>124</v>
      </c>
      <c r="Q200">
        <v>0</v>
      </c>
      <c r="R200">
        <v>0</v>
      </c>
      <c r="S200">
        <v>0</v>
      </c>
      <c r="T200">
        <v>0</v>
      </c>
    </row>
    <row r="201" spans="1:20" x14ac:dyDescent="0.25">
      <c r="A201" s="1">
        <v>45577</v>
      </c>
      <c r="B201" t="s">
        <v>13</v>
      </c>
      <c r="C201" t="s">
        <v>11</v>
      </c>
      <c r="D201">
        <v>1</v>
      </c>
      <c r="E201" t="s">
        <v>166</v>
      </c>
      <c r="F201">
        <v>1</v>
      </c>
      <c r="G201">
        <v>45577</v>
      </c>
      <c r="H201" t="s">
        <v>168</v>
      </c>
      <c r="I201">
        <v>0.11320791848175205</v>
      </c>
      <c r="J201">
        <v>0.11320791848175205</v>
      </c>
      <c r="K201">
        <v>0</v>
      </c>
      <c r="L201">
        <v>0</v>
      </c>
      <c r="M201">
        <v>5.0000000000000044E-2</v>
      </c>
      <c r="N201" t="s">
        <v>124</v>
      </c>
      <c r="Q201">
        <v>19.788744150610256</v>
      </c>
      <c r="R201">
        <v>0</v>
      </c>
      <c r="S201">
        <v>0</v>
      </c>
      <c r="T201">
        <v>19.788744150610256</v>
      </c>
    </row>
    <row r="202" spans="1:20" x14ac:dyDescent="0.25">
      <c r="A202" s="1">
        <v>45577</v>
      </c>
      <c r="B202" t="s">
        <v>13</v>
      </c>
      <c r="C202" t="s">
        <v>12</v>
      </c>
      <c r="D202">
        <v>2.8796992481203008</v>
      </c>
      <c r="E202" t="s">
        <v>166</v>
      </c>
      <c r="F202">
        <v>1</v>
      </c>
      <c r="G202">
        <v>45577</v>
      </c>
      <c r="H202" t="s">
        <v>168</v>
      </c>
      <c r="I202">
        <v>0</v>
      </c>
      <c r="J202">
        <v>0</v>
      </c>
      <c r="K202">
        <v>0.81276212844484441</v>
      </c>
      <c r="L202">
        <v>0.81276212844484441</v>
      </c>
      <c r="M202">
        <v>1.1169371196754565</v>
      </c>
      <c r="N202" t="s">
        <v>124</v>
      </c>
      <c r="Q202">
        <v>0</v>
      </c>
      <c r="R202">
        <v>0</v>
      </c>
      <c r="S202">
        <v>0</v>
      </c>
      <c r="T202">
        <v>0</v>
      </c>
    </row>
    <row r="203" spans="1:20" x14ac:dyDescent="0.25">
      <c r="A203" s="1">
        <v>45577</v>
      </c>
      <c r="B203" t="s">
        <v>13</v>
      </c>
      <c r="C203" t="s">
        <v>10</v>
      </c>
      <c r="D203">
        <v>6.8471096572600327</v>
      </c>
      <c r="E203" t="s">
        <v>212</v>
      </c>
      <c r="G203">
        <v>45577</v>
      </c>
      <c r="H203" t="s">
        <v>168</v>
      </c>
      <c r="I203">
        <v>0</v>
      </c>
      <c r="J203">
        <v>0</v>
      </c>
      <c r="K203">
        <v>3.0343645592208177</v>
      </c>
      <c r="L203">
        <v>3.0343645592208177</v>
      </c>
      <c r="M203">
        <v>1.2745098039215207E-2</v>
      </c>
      <c r="N203" t="s">
        <v>124</v>
      </c>
      <c r="Q203">
        <v>0</v>
      </c>
      <c r="R203">
        <v>0</v>
      </c>
      <c r="S203">
        <v>0</v>
      </c>
      <c r="T203">
        <v>0</v>
      </c>
    </row>
    <row r="204" spans="1:20" x14ac:dyDescent="0.25">
      <c r="A204" s="1">
        <v>45577</v>
      </c>
      <c r="B204" t="s">
        <v>13</v>
      </c>
      <c r="C204" t="s">
        <v>11</v>
      </c>
      <c r="D204">
        <v>0.84615384615384603</v>
      </c>
      <c r="E204" t="s">
        <v>212</v>
      </c>
      <c r="G204">
        <v>45577</v>
      </c>
      <c r="H204" t="s">
        <v>168</v>
      </c>
      <c r="I204">
        <v>1.3592914438502675</v>
      </c>
      <c r="J204">
        <v>1.3592914438502675</v>
      </c>
      <c r="K204">
        <v>0</v>
      </c>
      <c r="L204">
        <v>0</v>
      </c>
      <c r="M204">
        <v>0</v>
      </c>
      <c r="N204" t="s">
        <v>124</v>
      </c>
      <c r="Q204">
        <v>237.60414438502673</v>
      </c>
      <c r="R204">
        <v>0</v>
      </c>
      <c r="S204">
        <v>0</v>
      </c>
      <c r="T204">
        <v>237.60414438502673</v>
      </c>
    </row>
    <row r="205" spans="1:20" x14ac:dyDescent="0.25">
      <c r="A205" s="1">
        <v>45577</v>
      </c>
      <c r="B205" t="s">
        <v>13</v>
      </c>
      <c r="C205" t="s">
        <v>12</v>
      </c>
      <c r="D205">
        <v>2.5351191458269504</v>
      </c>
      <c r="E205" t="s">
        <v>212</v>
      </c>
      <c r="G205">
        <v>45577</v>
      </c>
      <c r="H205" t="s">
        <v>168</v>
      </c>
      <c r="I205">
        <v>0.55080835695271002</v>
      </c>
      <c r="J205">
        <v>0.55080835695271002</v>
      </c>
      <c r="K205">
        <v>0</v>
      </c>
      <c r="L205">
        <v>0</v>
      </c>
      <c r="M205">
        <v>0</v>
      </c>
      <c r="N205" t="s">
        <v>124</v>
      </c>
      <c r="Q205">
        <v>96.281300795333706</v>
      </c>
      <c r="R205">
        <v>0</v>
      </c>
      <c r="S205">
        <v>0</v>
      </c>
      <c r="T205">
        <v>96.281300795333706</v>
      </c>
    </row>
    <row r="206" spans="1:20" x14ac:dyDescent="0.25">
      <c r="A206" s="1">
        <v>45578</v>
      </c>
      <c r="B206" t="s">
        <v>13</v>
      </c>
      <c r="C206" t="s">
        <v>10</v>
      </c>
      <c r="D206">
        <v>5.7593984962406006</v>
      </c>
      <c r="E206" t="s">
        <v>166</v>
      </c>
      <c r="F206">
        <v>1</v>
      </c>
      <c r="G206">
        <v>45578</v>
      </c>
      <c r="H206" t="s">
        <v>168</v>
      </c>
      <c r="I206">
        <v>0</v>
      </c>
      <c r="J206">
        <v>0</v>
      </c>
      <c r="K206">
        <v>3.0365390822047154</v>
      </c>
      <c r="L206">
        <v>3.0365390822047154</v>
      </c>
      <c r="M206">
        <v>0</v>
      </c>
      <c r="N206" t="s">
        <v>125</v>
      </c>
      <c r="Q206">
        <v>0</v>
      </c>
      <c r="R206">
        <v>0</v>
      </c>
      <c r="S206">
        <v>0</v>
      </c>
      <c r="T206">
        <v>0</v>
      </c>
    </row>
    <row r="207" spans="1:20" x14ac:dyDescent="0.25">
      <c r="A207" s="1">
        <v>45578</v>
      </c>
      <c r="B207" t="s">
        <v>13</v>
      </c>
      <c r="C207" t="s">
        <v>11</v>
      </c>
      <c r="D207">
        <v>1</v>
      </c>
      <c r="E207" t="s">
        <v>166</v>
      </c>
      <c r="F207">
        <v>1</v>
      </c>
      <c r="G207">
        <v>45578</v>
      </c>
      <c r="H207" t="s">
        <v>168</v>
      </c>
      <c r="I207">
        <v>0.14011272525204421</v>
      </c>
      <c r="J207">
        <v>0.14011272525204421</v>
      </c>
      <c r="K207">
        <v>0</v>
      </c>
      <c r="L207">
        <v>0</v>
      </c>
      <c r="M207">
        <v>0</v>
      </c>
      <c r="N207" t="s">
        <v>125</v>
      </c>
      <c r="Q207">
        <v>24.491704374057324</v>
      </c>
      <c r="R207">
        <v>0</v>
      </c>
      <c r="S207">
        <v>0</v>
      </c>
      <c r="T207">
        <v>24.491704374057324</v>
      </c>
    </row>
    <row r="208" spans="1:20" x14ac:dyDescent="0.25">
      <c r="A208" s="1">
        <v>45578</v>
      </c>
      <c r="B208" t="s">
        <v>13</v>
      </c>
      <c r="C208" t="s">
        <v>12</v>
      </c>
      <c r="D208">
        <v>2.8796992481203003</v>
      </c>
      <c r="E208" t="s">
        <v>166</v>
      </c>
      <c r="F208">
        <v>1</v>
      </c>
      <c r="G208">
        <v>45578</v>
      </c>
      <c r="H208" t="s">
        <v>168</v>
      </c>
      <c r="I208">
        <v>0</v>
      </c>
      <c r="J208">
        <v>0</v>
      </c>
      <c r="K208">
        <v>0.28335036373896239</v>
      </c>
      <c r="L208">
        <v>0.28335036373896239</v>
      </c>
      <c r="M208">
        <v>1.6463488843813381</v>
      </c>
      <c r="N208" t="s">
        <v>125</v>
      </c>
      <c r="Q208">
        <v>0</v>
      </c>
      <c r="R208">
        <v>0</v>
      </c>
      <c r="S208">
        <v>0</v>
      </c>
      <c r="T208">
        <v>0</v>
      </c>
    </row>
    <row r="209" spans="1:20" x14ac:dyDescent="0.25">
      <c r="A209" s="1">
        <v>45578</v>
      </c>
      <c r="B209" t="s">
        <v>13</v>
      </c>
      <c r="C209" t="s">
        <v>10</v>
      </c>
      <c r="D209">
        <v>6.8471096572600327</v>
      </c>
      <c r="E209" t="s">
        <v>212</v>
      </c>
      <c r="G209">
        <v>45578</v>
      </c>
      <c r="H209" t="s">
        <v>168</v>
      </c>
      <c r="I209">
        <v>0</v>
      </c>
      <c r="J209">
        <v>0</v>
      </c>
      <c r="K209">
        <v>3.0343645592208177</v>
      </c>
      <c r="L209">
        <v>3.0343645592208177</v>
      </c>
      <c r="M209">
        <v>1.2745098039215207E-2</v>
      </c>
      <c r="N209" t="s">
        <v>125</v>
      </c>
      <c r="Q209">
        <v>0</v>
      </c>
      <c r="R209">
        <v>0</v>
      </c>
      <c r="S209">
        <v>0</v>
      </c>
      <c r="T209">
        <v>0</v>
      </c>
    </row>
    <row r="210" spans="1:20" x14ac:dyDescent="0.25">
      <c r="A210" s="1">
        <v>45578</v>
      </c>
      <c r="B210" t="s">
        <v>13</v>
      </c>
      <c r="C210" t="s">
        <v>11</v>
      </c>
      <c r="D210">
        <v>0.84615384615384603</v>
      </c>
      <c r="E210" t="s">
        <v>212</v>
      </c>
      <c r="G210">
        <v>45578</v>
      </c>
      <c r="H210" t="s">
        <v>168</v>
      </c>
      <c r="I210">
        <v>1.3594231080862098</v>
      </c>
      <c r="J210">
        <v>1.3594231080862098</v>
      </c>
      <c r="K210">
        <v>0</v>
      </c>
      <c r="L210">
        <v>0</v>
      </c>
      <c r="M210">
        <v>0</v>
      </c>
      <c r="N210" t="s">
        <v>125</v>
      </c>
      <c r="Q210">
        <v>237.62715929346945</v>
      </c>
      <c r="R210">
        <v>0</v>
      </c>
      <c r="S210">
        <v>0</v>
      </c>
      <c r="T210">
        <v>237.62715929346945</v>
      </c>
    </row>
    <row r="211" spans="1:20" x14ac:dyDescent="0.25">
      <c r="A211" s="1">
        <v>45578</v>
      </c>
      <c r="B211" t="s">
        <v>13</v>
      </c>
      <c r="C211" t="s">
        <v>12</v>
      </c>
      <c r="D211">
        <v>2.5351191458269504</v>
      </c>
      <c r="E211" t="s">
        <v>212</v>
      </c>
      <c r="G211">
        <v>45578</v>
      </c>
      <c r="H211" t="s">
        <v>168</v>
      </c>
      <c r="I211">
        <v>0.57467100360819279</v>
      </c>
      <c r="J211">
        <v>0.57467100360819279</v>
      </c>
      <c r="K211">
        <v>0</v>
      </c>
      <c r="L211">
        <v>0</v>
      </c>
      <c r="M211">
        <v>0</v>
      </c>
      <c r="N211" t="s">
        <v>125</v>
      </c>
      <c r="Q211">
        <v>100.45249143071209</v>
      </c>
      <c r="R211">
        <v>0</v>
      </c>
      <c r="S211">
        <v>0</v>
      </c>
      <c r="T211">
        <v>100.45249143071209</v>
      </c>
    </row>
    <row r="212" spans="1:20" x14ac:dyDescent="0.25">
      <c r="A212" s="1">
        <v>45579</v>
      </c>
      <c r="B212" t="s">
        <v>13</v>
      </c>
      <c r="C212" t="s">
        <v>10</v>
      </c>
      <c r="D212">
        <v>5.7593984962406006</v>
      </c>
      <c r="E212" t="s">
        <v>166</v>
      </c>
      <c r="F212">
        <v>1</v>
      </c>
      <c r="G212">
        <v>45579</v>
      </c>
      <c r="H212" t="s">
        <v>168</v>
      </c>
      <c r="I212">
        <v>0</v>
      </c>
      <c r="J212">
        <v>0</v>
      </c>
      <c r="K212">
        <v>2.0448916408668736</v>
      </c>
      <c r="L212">
        <v>2.0448916408668736</v>
      </c>
      <c r="M212">
        <v>0</v>
      </c>
      <c r="N212" t="s">
        <v>130</v>
      </c>
      <c r="Q212">
        <v>0</v>
      </c>
      <c r="R212">
        <v>0</v>
      </c>
      <c r="S212">
        <v>0</v>
      </c>
      <c r="T212">
        <v>0</v>
      </c>
    </row>
    <row r="213" spans="1:20" x14ac:dyDescent="0.25">
      <c r="A213" s="1">
        <v>45579</v>
      </c>
      <c r="B213" t="s">
        <v>13</v>
      </c>
      <c r="C213" t="s">
        <v>11</v>
      </c>
      <c r="D213">
        <v>1</v>
      </c>
      <c r="E213" t="s">
        <v>166</v>
      </c>
      <c r="F213">
        <v>1</v>
      </c>
      <c r="G213">
        <v>45579</v>
      </c>
      <c r="H213" t="s">
        <v>168</v>
      </c>
      <c r="I213">
        <v>0.14011272525204421</v>
      </c>
      <c r="J213">
        <v>0.14011272525204421</v>
      </c>
      <c r="K213">
        <v>0</v>
      </c>
      <c r="L213">
        <v>0</v>
      </c>
      <c r="M213">
        <v>0</v>
      </c>
      <c r="N213" t="s">
        <v>130</v>
      </c>
      <c r="Q213">
        <v>24.491704374057324</v>
      </c>
      <c r="R213">
        <v>0</v>
      </c>
      <c r="S213">
        <v>0</v>
      </c>
      <c r="T213">
        <v>24.491704374057324</v>
      </c>
    </row>
    <row r="214" spans="1:20" x14ac:dyDescent="0.25">
      <c r="A214" s="1">
        <v>45579</v>
      </c>
      <c r="B214" t="s">
        <v>13</v>
      </c>
      <c r="C214" t="s">
        <v>12</v>
      </c>
      <c r="D214">
        <v>2.8796992481203003</v>
      </c>
      <c r="E214" t="s">
        <v>166</v>
      </c>
      <c r="F214">
        <v>1</v>
      </c>
      <c r="G214">
        <v>45579</v>
      </c>
      <c r="H214" t="s">
        <v>168</v>
      </c>
      <c r="I214">
        <v>0</v>
      </c>
      <c r="J214">
        <v>0</v>
      </c>
      <c r="K214">
        <v>0.41316780795802799</v>
      </c>
      <c r="L214">
        <v>0.41316780795802799</v>
      </c>
      <c r="M214">
        <v>0</v>
      </c>
      <c r="N214" t="s">
        <v>130</v>
      </c>
      <c r="Q214">
        <v>0</v>
      </c>
      <c r="R214">
        <v>0</v>
      </c>
      <c r="S214">
        <v>0</v>
      </c>
      <c r="T214">
        <v>0</v>
      </c>
    </row>
    <row r="215" spans="1:20" x14ac:dyDescent="0.25">
      <c r="A215" s="1">
        <v>45579</v>
      </c>
      <c r="B215" t="s">
        <v>13</v>
      </c>
      <c r="C215" t="s">
        <v>10</v>
      </c>
      <c r="D215">
        <v>6.8471096572600345</v>
      </c>
      <c r="E215" t="s">
        <v>212</v>
      </c>
      <c r="G215">
        <v>45579</v>
      </c>
      <c r="H215" t="s">
        <v>168</v>
      </c>
      <c r="I215">
        <v>0</v>
      </c>
      <c r="J215">
        <v>0</v>
      </c>
      <c r="K215">
        <v>4.6063342561905154</v>
      </c>
      <c r="L215">
        <v>4.6063342561905154</v>
      </c>
      <c r="M215">
        <v>0</v>
      </c>
      <c r="N215" t="s">
        <v>130</v>
      </c>
      <c r="Q215">
        <v>0</v>
      </c>
      <c r="R215">
        <v>0</v>
      </c>
      <c r="S215">
        <v>0</v>
      </c>
      <c r="T215">
        <v>0</v>
      </c>
    </row>
    <row r="216" spans="1:20" x14ac:dyDescent="0.25">
      <c r="A216" s="1">
        <v>45579</v>
      </c>
      <c r="B216" t="s">
        <v>13</v>
      </c>
      <c r="C216" t="s">
        <v>11</v>
      </c>
      <c r="D216">
        <v>0.84615384615384603</v>
      </c>
      <c r="E216" t="s">
        <v>212</v>
      </c>
      <c r="G216">
        <v>45579</v>
      </c>
      <c r="H216" t="s">
        <v>168</v>
      </c>
      <c r="I216">
        <v>1.278787375755492</v>
      </c>
      <c r="J216">
        <v>1.278787375755492</v>
      </c>
      <c r="K216">
        <v>0</v>
      </c>
      <c r="L216">
        <v>0</v>
      </c>
      <c r="M216">
        <v>0</v>
      </c>
      <c r="N216" t="s">
        <v>130</v>
      </c>
      <c r="Q216">
        <v>223.53203328205998</v>
      </c>
      <c r="R216">
        <v>0</v>
      </c>
      <c r="S216">
        <v>0</v>
      </c>
      <c r="T216">
        <v>223.53203328205998</v>
      </c>
    </row>
    <row r="217" spans="1:20" x14ac:dyDescent="0.25">
      <c r="A217" s="1">
        <v>45579</v>
      </c>
      <c r="B217" t="s">
        <v>13</v>
      </c>
      <c r="C217" t="s">
        <v>12</v>
      </c>
      <c r="D217">
        <v>2.5351191458269504</v>
      </c>
      <c r="E217" t="s">
        <v>212</v>
      </c>
      <c r="G217">
        <v>45579</v>
      </c>
      <c r="H217" t="s">
        <v>168</v>
      </c>
      <c r="I217">
        <v>0.22144423812191727</v>
      </c>
      <c r="J217">
        <v>0.22144423812191727</v>
      </c>
      <c r="K217">
        <v>0</v>
      </c>
      <c r="L217">
        <v>0</v>
      </c>
      <c r="M217">
        <v>0</v>
      </c>
      <c r="N217" t="s">
        <v>130</v>
      </c>
      <c r="Q217">
        <v>38.708452823711141</v>
      </c>
      <c r="R217">
        <v>0</v>
      </c>
      <c r="S217">
        <v>0</v>
      </c>
      <c r="T217">
        <v>38.708452823711141</v>
      </c>
    </row>
    <row r="218" spans="1:20" x14ac:dyDescent="0.25">
      <c r="A218" s="1">
        <v>45580</v>
      </c>
      <c r="B218" t="s">
        <v>13</v>
      </c>
      <c r="C218" t="s">
        <v>10</v>
      </c>
      <c r="D218">
        <v>5.7593984962406006</v>
      </c>
      <c r="E218" t="s">
        <v>166</v>
      </c>
      <c r="F218">
        <v>1</v>
      </c>
      <c r="G218">
        <v>45580</v>
      </c>
      <c r="H218" t="s">
        <v>168</v>
      </c>
      <c r="I218">
        <v>0</v>
      </c>
      <c r="J218">
        <v>0</v>
      </c>
      <c r="K218">
        <v>2.9146395400265357</v>
      </c>
      <c r="L218">
        <v>2.9146395400265357</v>
      </c>
      <c r="M218">
        <v>0</v>
      </c>
      <c r="N218" t="s">
        <v>131</v>
      </c>
      <c r="Q218">
        <v>0</v>
      </c>
      <c r="R218">
        <v>0</v>
      </c>
      <c r="S218">
        <v>0</v>
      </c>
      <c r="T218">
        <v>0</v>
      </c>
    </row>
    <row r="219" spans="1:20" x14ac:dyDescent="0.25">
      <c r="A219" s="1">
        <v>45580</v>
      </c>
      <c r="B219" t="s">
        <v>13</v>
      </c>
      <c r="C219" t="s">
        <v>11</v>
      </c>
      <c r="D219">
        <v>1</v>
      </c>
      <c r="E219" t="s">
        <v>166</v>
      </c>
      <c r="F219">
        <v>1</v>
      </c>
      <c r="G219">
        <v>45580</v>
      </c>
      <c r="H219" t="s">
        <v>168</v>
      </c>
      <c r="I219">
        <v>0</v>
      </c>
      <c r="J219">
        <v>0</v>
      </c>
      <c r="K219">
        <v>0.75867269984917041</v>
      </c>
      <c r="L219">
        <v>0.75867269984917041</v>
      </c>
      <c r="M219">
        <v>0.24132730015082957</v>
      </c>
      <c r="N219" t="s">
        <v>131</v>
      </c>
      <c r="Q219">
        <v>0</v>
      </c>
      <c r="R219">
        <v>0</v>
      </c>
      <c r="S219">
        <v>0</v>
      </c>
      <c r="T219">
        <v>0</v>
      </c>
    </row>
    <row r="220" spans="1:20" x14ac:dyDescent="0.25">
      <c r="A220" s="1">
        <v>45580</v>
      </c>
      <c r="B220" t="s">
        <v>13</v>
      </c>
      <c r="C220" t="s">
        <v>12</v>
      </c>
      <c r="D220">
        <v>2.8796992481203003</v>
      </c>
      <c r="E220" t="s">
        <v>166</v>
      </c>
      <c r="F220">
        <v>1</v>
      </c>
      <c r="G220">
        <v>45580</v>
      </c>
      <c r="H220" t="s">
        <v>168</v>
      </c>
      <c r="I220">
        <v>0.10023885308152281</v>
      </c>
      <c r="J220">
        <v>0.10023885308152281</v>
      </c>
      <c r="K220">
        <v>0</v>
      </c>
      <c r="L220">
        <v>0</v>
      </c>
      <c r="M220">
        <v>2.9699248120300559E-2</v>
      </c>
      <c r="N220" t="s">
        <v>131</v>
      </c>
      <c r="Q220">
        <v>17.521751518650184</v>
      </c>
      <c r="R220">
        <v>0</v>
      </c>
      <c r="S220">
        <v>0</v>
      </c>
      <c r="T220">
        <v>17.521751518650184</v>
      </c>
    </row>
    <row r="221" spans="1:20" x14ac:dyDescent="0.25">
      <c r="A221" s="1">
        <v>45580</v>
      </c>
      <c r="B221" t="s">
        <v>13</v>
      </c>
      <c r="C221" t="s">
        <v>10</v>
      </c>
      <c r="D221">
        <v>6.8471096572600336</v>
      </c>
      <c r="E221" t="s">
        <v>212</v>
      </c>
      <c r="G221">
        <v>45580</v>
      </c>
      <c r="H221" t="s">
        <v>168</v>
      </c>
      <c r="I221">
        <v>0</v>
      </c>
      <c r="J221">
        <v>0</v>
      </c>
      <c r="K221">
        <v>5.8481558074274176</v>
      </c>
      <c r="L221">
        <v>5.8481558074274176</v>
      </c>
      <c r="M221">
        <v>0</v>
      </c>
      <c r="N221" t="s">
        <v>131</v>
      </c>
      <c r="Q221">
        <v>0</v>
      </c>
      <c r="R221">
        <v>0</v>
      </c>
      <c r="S221">
        <v>0</v>
      </c>
      <c r="T221">
        <v>0</v>
      </c>
    </row>
    <row r="222" spans="1:20" x14ac:dyDescent="0.25">
      <c r="A222" s="1">
        <v>45580</v>
      </c>
      <c r="B222" t="s">
        <v>13</v>
      </c>
      <c r="C222" t="s">
        <v>11</v>
      </c>
      <c r="D222">
        <v>0.84615384615384603</v>
      </c>
      <c r="E222" t="s">
        <v>212</v>
      </c>
      <c r="G222">
        <v>45580</v>
      </c>
      <c r="H222" t="s">
        <v>168</v>
      </c>
      <c r="I222">
        <v>1.3594231080862098</v>
      </c>
      <c r="J222">
        <v>1.3594231080862098</v>
      </c>
      <c r="K222">
        <v>0</v>
      </c>
      <c r="L222">
        <v>0</v>
      </c>
      <c r="M222">
        <v>0</v>
      </c>
      <c r="N222" t="s">
        <v>131</v>
      </c>
      <c r="Q222">
        <v>237.62715929346945</v>
      </c>
      <c r="R222">
        <v>0</v>
      </c>
      <c r="S222">
        <v>0</v>
      </c>
      <c r="T222">
        <v>237.62715929346945</v>
      </c>
    </row>
    <row r="223" spans="1:20" x14ac:dyDescent="0.25">
      <c r="A223" s="1">
        <v>45580</v>
      </c>
      <c r="B223" t="s">
        <v>13</v>
      </c>
      <c r="C223" t="s">
        <v>12</v>
      </c>
      <c r="D223">
        <v>2.5351191458269504</v>
      </c>
      <c r="E223" t="s">
        <v>212</v>
      </c>
      <c r="G223">
        <v>45580</v>
      </c>
      <c r="H223" t="s">
        <v>168</v>
      </c>
      <c r="I223">
        <v>0.50743371192699871</v>
      </c>
      <c r="J223">
        <v>0.50743371192699871</v>
      </c>
      <c r="K223">
        <v>0</v>
      </c>
      <c r="L223">
        <v>0</v>
      </c>
      <c r="M223">
        <v>0</v>
      </c>
      <c r="N223" t="s">
        <v>131</v>
      </c>
      <c r="Q223">
        <v>88.699412844839372</v>
      </c>
      <c r="R223">
        <v>0</v>
      </c>
      <c r="S223">
        <v>0</v>
      </c>
      <c r="T223">
        <v>88.699412844839372</v>
      </c>
    </row>
    <row r="224" spans="1:20" x14ac:dyDescent="0.25">
      <c r="A224" s="1">
        <v>45581</v>
      </c>
      <c r="B224" t="s">
        <v>13</v>
      </c>
      <c r="C224" t="s">
        <v>12</v>
      </c>
      <c r="D224">
        <v>2.8796992481203003</v>
      </c>
      <c r="E224" t="s">
        <v>166</v>
      </c>
      <c r="F224">
        <v>1</v>
      </c>
      <c r="G224">
        <v>45581</v>
      </c>
      <c r="H224" t="s">
        <v>168</v>
      </c>
      <c r="I224">
        <v>0</v>
      </c>
      <c r="J224">
        <v>0</v>
      </c>
      <c r="K224">
        <v>1.354344278546264</v>
      </c>
      <c r="L224">
        <v>1.354344278546264</v>
      </c>
      <c r="M224">
        <v>0</v>
      </c>
      <c r="N224" t="s">
        <v>132</v>
      </c>
      <c r="Q224">
        <v>0</v>
      </c>
      <c r="R224">
        <v>0</v>
      </c>
      <c r="S224">
        <v>0</v>
      </c>
      <c r="T224">
        <v>0</v>
      </c>
    </row>
    <row r="225" spans="1:20" x14ac:dyDescent="0.25">
      <c r="A225" s="1">
        <v>45581</v>
      </c>
      <c r="B225" t="s">
        <v>13</v>
      </c>
      <c r="C225" t="s">
        <v>10</v>
      </c>
      <c r="D225">
        <v>5.7593984962406006</v>
      </c>
      <c r="E225" t="s">
        <v>166</v>
      </c>
      <c r="F225">
        <v>1</v>
      </c>
      <c r="G225">
        <v>45581</v>
      </c>
      <c r="H225" t="s">
        <v>168</v>
      </c>
      <c r="I225">
        <v>0</v>
      </c>
      <c r="J225">
        <v>0</v>
      </c>
      <c r="K225">
        <v>2.0787262273330396</v>
      </c>
      <c r="L225">
        <v>2.0787262273330396</v>
      </c>
      <c r="M225">
        <v>0</v>
      </c>
      <c r="N225" t="s">
        <v>132</v>
      </c>
      <c r="Q225">
        <v>0</v>
      </c>
      <c r="R225">
        <v>0</v>
      </c>
      <c r="S225">
        <v>0</v>
      </c>
      <c r="T225">
        <v>0</v>
      </c>
    </row>
    <row r="226" spans="1:20" x14ac:dyDescent="0.25">
      <c r="A226" s="1">
        <v>45581</v>
      </c>
      <c r="B226" t="s">
        <v>13</v>
      </c>
      <c r="C226" t="s">
        <v>11</v>
      </c>
      <c r="D226">
        <v>1</v>
      </c>
      <c r="E226" t="s">
        <v>166</v>
      </c>
      <c r="F226">
        <v>1</v>
      </c>
      <c r="G226">
        <v>45581</v>
      </c>
      <c r="H226" t="s">
        <v>168</v>
      </c>
      <c r="I226">
        <v>0</v>
      </c>
      <c r="J226">
        <v>0</v>
      </c>
      <c r="K226">
        <v>0.8793363499245852</v>
      </c>
      <c r="L226">
        <v>0.8793363499245852</v>
      </c>
      <c r="M226">
        <v>0.12066365007541478</v>
      </c>
      <c r="N226" t="s">
        <v>132</v>
      </c>
      <c r="Q226">
        <v>0</v>
      </c>
      <c r="R226">
        <v>0</v>
      </c>
      <c r="S226">
        <v>0</v>
      </c>
      <c r="T226">
        <v>0</v>
      </c>
    </row>
    <row r="227" spans="1:20" x14ac:dyDescent="0.25">
      <c r="A227" s="1">
        <v>45581</v>
      </c>
      <c r="B227" t="s">
        <v>13</v>
      </c>
      <c r="C227" t="s">
        <v>12</v>
      </c>
      <c r="D227">
        <v>2.5351191458269504</v>
      </c>
      <c r="E227" t="s">
        <v>212</v>
      </c>
      <c r="G227">
        <v>45581</v>
      </c>
      <c r="H227" t="s">
        <v>168</v>
      </c>
      <c r="I227">
        <v>0.15859082214574638</v>
      </c>
      <c r="J227">
        <v>0.15859082214574638</v>
      </c>
      <c r="K227">
        <v>0</v>
      </c>
      <c r="L227">
        <v>0</v>
      </c>
      <c r="M227">
        <v>0</v>
      </c>
      <c r="N227" t="s">
        <v>132</v>
      </c>
      <c r="Q227">
        <v>27.721675711076465</v>
      </c>
      <c r="R227">
        <v>0</v>
      </c>
      <c r="S227">
        <v>0</v>
      </c>
      <c r="T227">
        <v>27.721675711076465</v>
      </c>
    </row>
    <row r="228" spans="1:20" x14ac:dyDescent="0.25">
      <c r="A228" s="1">
        <v>45581</v>
      </c>
      <c r="B228" t="s">
        <v>13</v>
      </c>
      <c r="C228" t="s">
        <v>10</v>
      </c>
      <c r="D228">
        <v>6.8471096572600336</v>
      </c>
      <c r="E228" t="s">
        <v>212</v>
      </c>
      <c r="G228">
        <v>45581</v>
      </c>
      <c r="H228" t="s">
        <v>168</v>
      </c>
      <c r="I228">
        <v>0</v>
      </c>
      <c r="J228">
        <v>0</v>
      </c>
      <c r="K228">
        <v>4.9093645592208173</v>
      </c>
      <c r="L228">
        <v>4.9093645592208173</v>
      </c>
      <c r="M228">
        <v>0</v>
      </c>
      <c r="N228" t="s">
        <v>132</v>
      </c>
      <c r="Q228">
        <v>0</v>
      </c>
      <c r="R228">
        <v>0</v>
      </c>
      <c r="S228">
        <v>0</v>
      </c>
      <c r="T228">
        <v>0</v>
      </c>
    </row>
    <row r="229" spans="1:20" x14ac:dyDescent="0.25">
      <c r="A229" s="1">
        <v>45581</v>
      </c>
      <c r="B229" t="s">
        <v>13</v>
      </c>
      <c r="C229" t="s">
        <v>11</v>
      </c>
      <c r="D229">
        <v>0.84615384615384603</v>
      </c>
      <c r="E229" t="s">
        <v>212</v>
      </c>
      <c r="G229">
        <v>45581</v>
      </c>
      <c r="H229" t="s">
        <v>168</v>
      </c>
      <c r="I229">
        <v>1.3257170636849782</v>
      </c>
      <c r="J229">
        <v>1.3257170636849782</v>
      </c>
      <c r="K229">
        <v>0</v>
      </c>
      <c r="L229">
        <v>0</v>
      </c>
      <c r="M229">
        <v>0</v>
      </c>
      <c r="N229" t="s">
        <v>132</v>
      </c>
      <c r="Q229">
        <v>231.7353427321342</v>
      </c>
      <c r="R229">
        <v>0</v>
      </c>
      <c r="S229">
        <v>0</v>
      </c>
      <c r="T229">
        <v>231.7353427321342</v>
      </c>
    </row>
    <row r="230" spans="1:20" x14ac:dyDescent="0.25">
      <c r="A230" s="1">
        <v>45582</v>
      </c>
      <c r="B230" t="s">
        <v>13</v>
      </c>
      <c r="C230" t="s">
        <v>12</v>
      </c>
      <c r="D230">
        <v>2.8796992481203003</v>
      </c>
      <c r="E230" t="s">
        <v>166</v>
      </c>
      <c r="F230">
        <v>1</v>
      </c>
      <c r="G230">
        <v>45582</v>
      </c>
      <c r="H230" t="s">
        <v>168</v>
      </c>
      <c r="I230">
        <v>0.18137868506603638</v>
      </c>
      <c r="J230">
        <v>0.18137868506603638</v>
      </c>
      <c r="K230">
        <v>0</v>
      </c>
      <c r="L230">
        <v>0</v>
      </c>
      <c r="M230">
        <v>0</v>
      </c>
      <c r="N230" t="s">
        <v>133</v>
      </c>
      <c r="Q230">
        <v>31.704994149543158</v>
      </c>
      <c r="R230">
        <v>0</v>
      </c>
      <c r="S230">
        <v>0</v>
      </c>
      <c r="T230">
        <v>31.704994149543158</v>
      </c>
    </row>
    <row r="231" spans="1:20" x14ac:dyDescent="0.25">
      <c r="A231" s="1">
        <v>45582</v>
      </c>
      <c r="B231" t="s">
        <v>13</v>
      </c>
      <c r="C231" t="s">
        <v>11</v>
      </c>
      <c r="D231">
        <v>1</v>
      </c>
      <c r="E231" t="s">
        <v>166</v>
      </c>
      <c r="F231">
        <v>1</v>
      </c>
      <c r="G231">
        <v>45582</v>
      </c>
      <c r="H231" t="s">
        <v>168</v>
      </c>
      <c r="I231">
        <v>0.26004655486329309</v>
      </c>
      <c r="J231">
        <v>0.26004655486329309</v>
      </c>
      <c r="K231">
        <v>0</v>
      </c>
      <c r="L231">
        <v>0</v>
      </c>
      <c r="M231">
        <v>0</v>
      </c>
      <c r="N231" t="s">
        <v>133</v>
      </c>
      <c r="Q231">
        <v>45.456137790103632</v>
      </c>
      <c r="R231">
        <v>0</v>
      </c>
      <c r="S231">
        <v>0</v>
      </c>
      <c r="T231">
        <v>45.456137790103632</v>
      </c>
    </row>
    <row r="232" spans="1:20" x14ac:dyDescent="0.25">
      <c r="A232" s="1">
        <v>45582</v>
      </c>
      <c r="B232" t="s">
        <v>13</v>
      </c>
      <c r="C232" t="s">
        <v>10</v>
      </c>
      <c r="D232">
        <v>5.7593984962406006</v>
      </c>
      <c r="E232" t="s">
        <v>166</v>
      </c>
      <c r="F232">
        <v>1</v>
      </c>
      <c r="G232">
        <v>45582</v>
      </c>
      <c r="H232" t="s">
        <v>168</v>
      </c>
      <c r="I232">
        <v>0</v>
      </c>
      <c r="J232">
        <v>0</v>
      </c>
      <c r="K232">
        <v>2.0003852135081535</v>
      </c>
      <c r="L232">
        <v>2.0003852135081535</v>
      </c>
      <c r="M232">
        <v>2.809013282732447</v>
      </c>
      <c r="N232" t="s">
        <v>133</v>
      </c>
      <c r="Q232">
        <v>0</v>
      </c>
      <c r="R232">
        <v>0</v>
      </c>
      <c r="S232">
        <v>0</v>
      </c>
      <c r="T232">
        <v>0</v>
      </c>
    </row>
    <row r="233" spans="1:20" x14ac:dyDescent="0.25">
      <c r="A233" s="1">
        <v>45582</v>
      </c>
      <c r="B233" t="s">
        <v>13</v>
      </c>
      <c r="C233" t="s">
        <v>12</v>
      </c>
      <c r="D233">
        <v>2.5351191458269504</v>
      </c>
      <c r="E233" t="s">
        <v>212</v>
      </c>
      <c r="G233">
        <v>45582</v>
      </c>
      <c r="H233" t="s">
        <v>168</v>
      </c>
      <c r="I233">
        <v>0.46788236387923798</v>
      </c>
      <c r="J233">
        <v>0.46788236387923798</v>
      </c>
      <c r="K233">
        <v>0</v>
      </c>
      <c r="L233">
        <v>0</v>
      </c>
      <c r="M233">
        <v>0</v>
      </c>
      <c r="N233" t="s">
        <v>133</v>
      </c>
      <c r="Q233">
        <v>81.785837206090804</v>
      </c>
      <c r="R233">
        <v>0</v>
      </c>
      <c r="S233">
        <v>0</v>
      </c>
      <c r="T233">
        <v>81.785837206090804</v>
      </c>
    </row>
    <row r="234" spans="1:20" x14ac:dyDescent="0.25">
      <c r="A234" s="1">
        <v>45582</v>
      </c>
      <c r="B234" t="s">
        <v>13</v>
      </c>
      <c r="C234" t="s">
        <v>11</v>
      </c>
      <c r="D234">
        <v>0.84615384615384603</v>
      </c>
      <c r="E234" t="s">
        <v>212</v>
      </c>
      <c r="G234">
        <v>45582</v>
      </c>
      <c r="H234" t="s">
        <v>168</v>
      </c>
      <c r="I234">
        <v>1.3257170636849782</v>
      </c>
      <c r="J234">
        <v>1.3257170636849782</v>
      </c>
      <c r="K234">
        <v>0</v>
      </c>
      <c r="L234">
        <v>0</v>
      </c>
      <c r="M234">
        <v>0</v>
      </c>
      <c r="N234" t="s">
        <v>133</v>
      </c>
      <c r="Q234">
        <v>231.7353427321342</v>
      </c>
      <c r="R234">
        <v>0</v>
      </c>
      <c r="S234">
        <v>0</v>
      </c>
      <c r="T234">
        <v>231.7353427321342</v>
      </c>
    </row>
    <row r="235" spans="1:20" x14ac:dyDescent="0.25">
      <c r="A235" s="1">
        <v>45582</v>
      </c>
      <c r="B235" t="s">
        <v>13</v>
      </c>
      <c r="C235" t="s">
        <v>10</v>
      </c>
      <c r="D235">
        <v>6.8471096572600327</v>
      </c>
      <c r="E235" t="s">
        <v>212</v>
      </c>
      <c r="G235">
        <v>45582</v>
      </c>
      <c r="H235" t="s">
        <v>168</v>
      </c>
      <c r="I235">
        <v>0</v>
      </c>
      <c r="J235">
        <v>0</v>
      </c>
      <c r="K235">
        <v>3.9718645592208173</v>
      </c>
      <c r="L235">
        <v>3.9718645592208173</v>
      </c>
      <c r="M235">
        <v>0</v>
      </c>
      <c r="N235" t="s">
        <v>133</v>
      </c>
      <c r="Q235">
        <v>0</v>
      </c>
      <c r="R235">
        <v>0</v>
      </c>
      <c r="S235">
        <v>0</v>
      </c>
      <c r="T235">
        <v>0</v>
      </c>
    </row>
    <row r="236" spans="1:20" x14ac:dyDescent="0.25">
      <c r="A236" s="1">
        <v>45583</v>
      </c>
      <c r="B236" t="s">
        <v>13</v>
      </c>
      <c r="C236" t="s">
        <v>10</v>
      </c>
      <c r="D236">
        <v>5.7593984962406006</v>
      </c>
      <c r="E236" t="s">
        <v>166</v>
      </c>
      <c r="F236">
        <v>1</v>
      </c>
      <c r="G236">
        <v>45583</v>
      </c>
      <c r="H236" t="s">
        <v>168</v>
      </c>
      <c r="I236">
        <v>0</v>
      </c>
      <c r="J236">
        <v>0</v>
      </c>
      <c r="K236">
        <v>2.2564762747204141</v>
      </c>
      <c r="L236">
        <v>2.2564762747204141</v>
      </c>
      <c r="M236">
        <v>0.65292222152018697</v>
      </c>
      <c r="N236" t="s">
        <v>134</v>
      </c>
      <c r="Q236">
        <v>0</v>
      </c>
      <c r="R236">
        <v>0</v>
      </c>
      <c r="S236">
        <v>0</v>
      </c>
      <c r="T236">
        <v>0</v>
      </c>
    </row>
    <row r="237" spans="1:20" x14ac:dyDescent="0.25">
      <c r="A237" s="1">
        <v>45583</v>
      </c>
      <c r="B237" t="s">
        <v>13</v>
      </c>
      <c r="C237" t="s">
        <v>11</v>
      </c>
      <c r="D237">
        <v>1</v>
      </c>
      <c r="E237" t="s">
        <v>166</v>
      </c>
      <c r="F237">
        <v>1</v>
      </c>
      <c r="G237">
        <v>45583</v>
      </c>
      <c r="H237" t="s">
        <v>168</v>
      </c>
      <c r="I237">
        <v>0.19132730015082977</v>
      </c>
      <c r="J237">
        <v>0.19132730015082977</v>
      </c>
      <c r="K237">
        <v>0</v>
      </c>
      <c r="L237">
        <v>0</v>
      </c>
      <c r="M237">
        <v>0</v>
      </c>
      <c r="N237" t="s">
        <v>134</v>
      </c>
      <c r="Q237">
        <v>33.44401206636504</v>
      </c>
      <c r="R237">
        <v>0</v>
      </c>
      <c r="S237">
        <v>0</v>
      </c>
      <c r="T237">
        <v>33.44401206636504</v>
      </c>
    </row>
    <row r="238" spans="1:20" x14ac:dyDescent="0.25">
      <c r="A238" s="1">
        <v>45583</v>
      </c>
      <c r="B238" t="s">
        <v>13</v>
      </c>
      <c r="C238" t="s">
        <v>12</v>
      </c>
      <c r="D238">
        <v>2.8796992481203003</v>
      </c>
      <c r="E238" t="s">
        <v>166</v>
      </c>
      <c r="F238">
        <v>1</v>
      </c>
      <c r="G238">
        <v>45583</v>
      </c>
      <c r="H238" t="s">
        <v>168</v>
      </c>
      <c r="I238">
        <v>0</v>
      </c>
      <c r="J238">
        <v>0</v>
      </c>
      <c r="K238">
        <v>0.41577574768564352</v>
      </c>
      <c r="L238">
        <v>0.41577574768564352</v>
      </c>
      <c r="M238">
        <v>0</v>
      </c>
      <c r="N238" t="s">
        <v>134</v>
      </c>
      <c r="Q238">
        <v>0</v>
      </c>
      <c r="R238">
        <v>0</v>
      </c>
      <c r="S238">
        <v>0</v>
      </c>
      <c r="T238">
        <v>0</v>
      </c>
    </row>
    <row r="239" spans="1:20" x14ac:dyDescent="0.25">
      <c r="A239" s="1">
        <v>45583</v>
      </c>
      <c r="B239" t="s">
        <v>13</v>
      </c>
      <c r="C239" t="s">
        <v>10</v>
      </c>
      <c r="D239">
        <v>6.8471096572600336</v>
      </c>
      <c r="E239" t="s">
        <v>212</v>
      </c>
      <c r="G239">
        <v>45583</v>
      </c>
      <c r="H239" t="s">
        <v>168</v>
      </c>
      <c r="I239">
        <v>0</v>
      </c>
      <c r="J239">
        <v>0</v>
      </c>
      <c r="K239">
        <v>3.0343645592208182</v>
      </c>
      <c r="L239">
        <v>3.0343645592208182</v>
      </c>
      <c r="M239">
        <v>0.9627450980392156</v>
      </c>
      <c r="N239" t="s">
        <v>134</v>
      </c>
      <c r="Q239">
        <v>0</v>
      </c>
      <c r="R239">
        <v>0</v>
      </c>
      <c r="S239">
        <v>0</v>
      </c>
      <c r="T239">
        <v>0</v>
      </c>
    </row>
    <row r="240" spans="1:20" x14ac:dyDescent="0.25">
      <c r="A240" s="1">
        <v>45583</v>
      </c>
      <c r="B240" t="s">
        <v>13</v>
      </c>
      <c r="C240" t="s">
        <v>11</v>
      </c>
      <c r="D240">
        <v>0.84615384615384603</v>
      </c>
      <c r="E240" t="s">
        <v>212</v>
      </c>
      <c r="G240">
        <v>45583</v>
      </c>
      <c r="H240" t="s">
        <v>168</v>
      </c>
      <c r="I240">
        <v>1.3594231080862098</v>
      </c>
      <c r="J240">
        <v>1.3594231080862098</v>
      </c>
      <c r="K240">
        <v>0</v>
      </c>
      <c r="L240">
        <v>0</v>
      </c>
      <c r="M240">
        <v>0</v>
      </c>
      <c r="N240" t="s">
        <v>134</v>
      </c>
      <c r="Q240">
        <v>237.62715929346945</v>
      </c>
      <c r="R240">
        <v>0</v>
      </c>
      <c r="S240">
        <v>0</v>
      </c>
      <c r="T240">
        <v>237.62715929346945</v>
      </c>
    </row>
    <row r="241" spans="1:20" x14ac:dyDescent="0.25">
      <c r="A241" s="1">
        <v>45583</v>
      </c>
      <c r="B241" t="s">
        <v>13</v>
      </c>
      <c r="C241" t="s">
        <v>12</v>
      </c>
      <c r="D241">
        <v>2.5351191458269504</v>
      </c>
      <c r="E241" t="s">
        <v>212</v>
      </c>
      <c r="G241">
        <v>45583</v>
      </c>
      <c r="H241" t="s">
        <v>168</v>
      </c>
      <c r="I241">
        <v>0.57467100360819279</v>
      </c>
      <c r="J241">
        <v>0.57467100360819279</v>
      </c>
      <c r="K241">
        <v>0</v>
      </c>
      <c r="L241">
        <v>0</v>
      </c>
      <c r="M241">
        <v>0</v>
      </c>
      <c r="N241" t="s">
        <v>134</v>
      </c>
      <c r="Q241">
        <v>100.45249143071209</v>
      </c>
      <c r="R241">
        <v>0</v>
      </c>
      <c r="S241">
        <v>0</v>
      </c>
      <c r="T241">
        <v>100.45249143071209</v>
      </c>
    </row>
    <row r="242" spans="1:20" x14ac:dyDescent="0.25">
      <c r="A242" s="1">
        <v>45584</v>
      </c>
      <c r="B242" t="s">
        <v>13</v>
      </c>
      <c r="C242" t="s">
        <v>11</v>
      </c>
      <c r="D242">
        <v>1</v>
      </c>
      <c r="E242" t="s">
        <v>166</v>
      </c>
      <c r="F242">
        <v>1</v>
      </c>
      <c r="G242">
        <v>45584</v>
      </c>
      <c r="H242" t="s">
        <v>168</v>
      </c>
      <c r="I242">
        <v>0.14011272525204421</v>
      </c>
      <c r="J242">
        <v>0.14011272525204421</v>
      </c>
      <c r="K242">
        <v>0</v>
      </c>
      <c r="L242">
        <v>0</v>
      </c>
      <c r="M242">
        <v>5.0000000000000044E-2</v>
      </c>
      <c r="N242" t="s">
        <v>124</v>
      </c>
      <c r="Q242">
        <v>24.491704374057324</v>
      </c>
      <c r="R242">
        <v>0</v>
      </c>
      <c r="S242">
        <v>0</v>
      </c>
      <c r="T242">
        <v>24.491704374057324</v>
      </c>
    </row>
    <row r="243" spans="1:20" x14ac:dyDescent="0.25">
      <c r="A243" s="1">
        <v>45584</v>
      </c>
      <c r="B243" t="s">
        <v>13</v>
      </c>
      <c r="C243" t="s">
        <v>12</v>
      </c>
      <c r="D243">
        <v>2.8796992481203003</v>
      </c>
      <c r="E243" t="s">
        <v>166</v>
      </c>
      <c r="F243">
        <v>1</v>
      </c>
      <c r="G243">
        <v>45584</v>
      </c>
      <c r="H243" t="s">
        <v>168</v>
      </c>
      <c r="I243">
        <v>0</v>
      </c>
      <c r="J243">
        <v>0</v>
      </c>
      <c r="K243">
        <v>0.28335036373896172</v>
      </c>
      <c r="L243">
        <v>0.28335036373896172</v>
      </c>
      <c r="M243">
        <v>1.6463488843813388</v>
      </c>
      <c r="N243" t="s">
        <v>124</v>
      </c>
      <c r="Q243">
        <v>0</v>
      </c>
      <c r="R243">
        <v>0</v>
      </c>
      <c r="S243">
        <v>0</v>
      </c>
      <c r="T243">
        <v>0</v>
      </c>
    </row>
    <row r="244" spans="1:20" x14ac:dyDescent="0.25">
      <c r="A244" s="1">
        <v>45584</v>
      </c>
      <c r="B244" t="s">
        <v>13</v>
      </c>
      <c r="C244" t="s">
        <v>10</v>
      </c>
      <c r="D244">
        <v>5.7593984962406006</v>
      </c>
      <c r="E244" t="s">
        <v>166</v>
      </c>
      <c r="F244">
        <v>1</v>
      </c>
      <c r="G244">
        <v>45584</v>
      </c>
      <c r="H244" t="s">
        <v>168</v>
      </c>
      <c r="I244">
        <v>0</v>
      </c>
      <c r="J244">
        <v>0</v>
      </c>
      <c r="K244">
        <v>3.0363942945599276</v>
      </c>
      <c r="L244">
        <v>3.0363942945599276</v>
      </c>
      <c r="M244">
        <v>0</v>
      </c>
      <c r="N244" t="s">
        <v>124</v>
      </c>
      <c r="Q244">
        <v>0</v>
      </c>
      <c r="R244">
        <v>0</v>
      </c>
      <c r="S244">
        <v>0</v>
      </c>
      <c r="T244">
        <v>0</v>
      </c>
    </row>
    <row r="245" spans="1:20" x14ac:dyDescent="0.25">
      <c r="A245" s="1">
        <v>45584</v>
      </c>
      <c r="B245" t="s">
        <v>13</v>
      </c>
      <c r="C245" t="s">
        <v>11</v>
      </c>
      <c r="D245">
        <v>0.84615384615384603</v>
      </c>
      <c r="E245" t="s">
        <v>212</v>
      </c>
      <c r="G245">
        <v>45584</v>
      </c>
      <c r="H245" t="s">
        <v>168</v>
      </c>
      <c r="I245">
        <v>1.3594231080862098</v>
      </c>
      <c r="J245">
        <v>1.3594231080862098</v>
      </c>
      <c r="K245">
        <v>0</v>
      </c>
      <c r="L245">
        <v>0</v>
      </c>
      <c r="M245">
        <v>0</v>
      </c>
      <c r="N245" t="s">
        <v>124</v>
      </c>
      <c r="Q245">
        <v>237.62715929346945</v>
      </c>
      <c r="R245">
        <v>0</v>
      </c>
      <c r="S245">
        <v>0</v>
      </c>
      <c r="T245">
        <v>237.62715929346945</v>
      </c>
    </row>
    <row r="246" spans="1:20" x14ac:dyDescent="0.25">
      <c r="A246" s="1">
        <v>45584</v>
      </c>
      <c r="B246" t="s">
        <v>13</v>
      </c>
      <c r="C246" t="s">
        <v>12</v>
      </c>
      <c r="D246">
        <v>2.5351191458269504</v>
      </c>
      <c r="E246" t="s">
        <v>212</v>
      </c>
      <c r="G246">
        <v>45584</v>
      </c>
      <c r="H246" t="s">
        <v>168</v>
      </c>
      <c r="I246">
        <v>0.57467100360819279</v>
      </c>
      <c r="J246">
        <v>0.57467100360819279</v>
      </c>
      <c r="K246">
        <v>0</v>
      </c>
      <c r="L246">
        <v>0</v>
      </c>
      <c r="M246">
        <v>0</v>
      </c>
      <c r="N246" t="s">
        <v>124</v>
      </c>
      <c r="Q246">
        <v>100.45249143071209</v>
      </c>
      <c r="R246">
        <v>0</v>
      </c>
      <c r="S246">
        <v>0</v>
      </c>
      <c r="T246">
        <v>100.45249143071209</v>
      </c>
    </row>
    <row r="247" spans="1:20" x14ac:dyDescent="0.25">
      <c r="A247" s="1">
        <v>45584</v>
      </c>
      <c r="B247" t="s">
        <v>13</v>
      </c>
      <c r="C247" t="s">
        <v>10</v>
      </c>
      <c r="D247">
        <v>6.8471096572600327</v>
      </c>
      <c r="E247" t="s">
        <v>212</v>
      </c>
      <c r="G247">
        <v>45584</v>
      </c>
      <c r="H247" t="s">
        <v>168</v>
      </c>
      <c r="I247">
        <v>0</v>
      </c>
      <c r="J247">
        <v>0</v>
      </c>
      <c r="K247">
        <v>3.0343645592208177</v>
      </c>
      <c r="L247">
        <v>3.0343645592208177</v>
      </c>
      <c r="M247">
        <v>1.2745098039215207E-2</v>
      </c>
      <c r="N247" t="s">
        <v>124</v>
      </c>
      <c r="Q247">
        <v>0</v>
      </c>
      <c r="R247">
        <v>0</v>
      </c>
      <c r="S247">
        <v>0</v>
      </c>
      <c r="T247">
        <v>0</v>
      </c>
    </row>
    <row r="248" spans="1:20" x14ac:dyDescent="0.25">
      <c r="A248" s="1">
        <v>45585</v>
      </c>
      <c r="B248" t="s">
        <v>13</v>
      </c>
      <c r="C248" t="s">
        <v>11</v>
      </c>
      <c r="D248">
        <v>1</v>
      </c>
      <c r="E248" t="s">
        <v>166</v>
      </c>
      <c r="F248">
        <v>1</v>
      </c>
      <c r="G248">
        <v>45585</v>
      </c>
      <c r="H248" t="s">
        <v>168</v>
      </c>
      <c r="I248">
        <v>0</v>
      </c>
      <c r="J248">
        <v>0</v>
      </c>
      <c r="K248">
        <v>0.75867269984917041</v>
      </c>
      <c r="L248">
        <v>0.75867269984917041</v>
      </c>
      <c r="M248">
        <v>0.24132730015082957</v>
      </c>
      <c r="N248" t="s">
        <v>125</v>
      </c>
      <c r="Q248">
        <v>0</v>
      </c>
      <c r="R248">
        <v>0</v>
      </c>
      <c r="S248">
        <v>0</v>
      </c>
      <c r="T248">
        <v>0</v>
      </c>
    </row>
    <row r="249" spans="1:20" x14ac:dyDescent="0.25">
      <c r="A249" s="1">
        <v>45585</v>
      </c>
      <c r="B249" t="s">
        <v>13</v>
      </c>
      <c r="C249" t="s">
        <v>12</v>
      </c>
      <c r="D249">
        <v>2.8796992481203003</v>
      </c>
      <c r="E249" t="s">
        <v>166</v>
      </c>
      <c r="F249">
        <v>1</v>
      </c>
      <c r="G249">
        <v>45585</v>
      </c>
      <c r="H249" t="s">
        <v>168</v>
      </c>
      <c r="I249">
        <v>0</v>
      </c>
      <c r="J249">
        <v>0</v>
      </c>
      <c r="K249">
        <v>0.34876618523997599</v>
      </c>
      <c r="L249">
        <v>0.34876618523997599</v>
      </c>
      <c r="M249">
        <v>0.63093306288032447</v>
      </c>
      <c r="N249" t="s">
        <v>125</v>
      </c>
      <c r="Q249">
        <v>0</v>
      </c>
      <c r="R249">
        <v>0</v>
      </c>
      <c r="S249">
        <v>0</v>
      </c>
      <c r="T249">
        <v>0</v>
      </c>
    </row>
    <row r="250" spans="1:20" x14ac:dyDescent="0.25">
      <c r="A250" s="1">
        <v>45585</v>
      </c>
      <c r="B250" t="s">
        <v>13</v>
      </c>
      <c r="C250" t="s">
        <v>10</v>
      </c>
      <c r="D250">
        <v>5.7593984962406006</v>
      </c>
      <c r="E250" t="s">
        <v>166</v>
      </c>
      <c r="F250">
        <v>1</v>
      </c>
      <c r="G250">
        <v>45585</v>
      </c>
      <c r="H250" t="s">
        <v>168</v>
      </c>
      <c r="I250">
        <v>0</v>
      </c>
      <c r="J250">
        <v>0</v>
      </c>
      <c r="K250">
        <v>3.0401647501105695</v>
      </c>
      <c r="L250">
        <v>3.0401647501105695</v>
      </c>
      <c r="M250">
        <v>0</v>
      </c>
      <c r="N250" t="s">
        <v>125</v>
      </c>
      <c r="Q250">
        <v>0</v>
      </c>
      <c r="R250">
        <v>0</v>
      </c>
      <c r="S250">
        <v>0</v>
      </c>
      <c r="T250">
        <v>0</v>
      </c>
    </row>
    <row r="251" spans="1:20" x14ac:dyDescent="0.25">
      <c r="A251" s="1">
        <v>45585</v>
      </c>
      <c r="B251" t="s">
        <v>13</v>
      </c>
      <c r="C251" t="s">
        <v>11</v>
      </c>
      <c r="D251">
        <v>0.84615384615384603</v>
      </c>
      <c r="E251" t="s">
        <v>212</v>
      </c>
      <c r="G251">
        <v>45585</v>
      </c>
      <c r="H251" t="s">
        <v>168</v>
      </c>
      <c r="I251">
        <v>1.3594231080862098</v>
      </c>
      <c r="J251">
        <v>1.3594231080862098</v>
      </c>
      <c r="K251">
        <v>0</v>
      </c>
      <c r="L251">
        <v>0</v>
      </c>
      <c r="M251">
        <v>0</v>
      </c>
      <c r="N251" t="s">
        <v>125</v>
      </c>
      <c r="Q251">
        <v>237.62715929346945</v>
      </c>
      <c r="R251">
        <v>0</v>
      </c>
      <c r="S251">
        <v>0</v>
      </c>
      <c r="T251">
        <v>237.62715929346945</v>
      </c>
    </row>
    <row r="252" spans="1:20" x14ac:dyDescent="0.25">
      <c r="A252" s="1">
        <v>45585</v>
      </c>
      <c r="B252" t="s">
        <v>13</v>
      </c>
      <c r="C252" t="s">
        <v>12</v>
      </c>
      <c r="D252">
        <v>2.5351191458269504</v>
      </c>
      <c r="E252" t="s">
        <v>212</v>
      </c>
      <c r="G252">
        <v>45585</v>
      </c>
      <c r="H252" t="s">
        <v>168</v>
      </c>
      <c r="I252">
        <v>0.57467100360819279</v>
      </c>
      <c r="J252">
        <v>0.57467100360819279</v>
      </c>
      <c r="K252">
        <v>0</v>
      </c>
      <c r="L252">
        <v>0</v>
      </c>
      <c r="M252">
        <v>0</v>
      </c>
      <c r="N252" t="s">
        <v>125</v>
      </c>
      <c r="Q252">
        <v>100.45249143071209</v>
      </c>
      <c r="R252">
        <v>0</v>
      </c>
      <c r="S252">
        <v>0</v>
      </c>
      <c r="T252">
        <v>100.45249143071209</v>
      </c>
    </row>
    <row r="253" spans="1:20" x14ac:dyDescent="0.25">
      <c r="A253" s="1">
        <v>45585</v>
      </c>
      <c r="B253" t="s">
        <v>13</v>
      </c>
      <c r="C253" t="s">
        <v>10</v>
      </c>
      <c r="D253">
        <v>6.8471096572600327</v>
      </c>
      <c r="E253" t="s">
        <v>212</v>
      </c>
      <c r="G253">
        <v>45585</v>
      </c>
      <c r="H253" t="s">
        <v>168</v>
      </c>
      <c r="I253">
        <v>0</v>
      </c>
      <c r="J253">
        <v>0</v>
      </c>
      <c r="K253">
        <v>3.0343645592208177</v>
      </c>
      <c r="L253">
        <v>3.0343645592208177</v>
      </c>
      <c r="M253">
        <v>1.2745098039215207E-2</v>
      </c>
      <c r="N253" t="s">
        <v>125</v>
      </c>
      <c r="Q253">
        <v>0</v>
      </c>
      <c r="R253">
        <v>0</v>
      </c>
      <c r="S253">
        <v>0</v>
      </c>
      <c r="T253">
        <v>0</v>
      </c>
    </row>
  </sheetData>
  <phoneticPr fontId="2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EB5D-AEED-4544-A212-AE83FDC8F042}">
  <dimension ref="A1:D3"/>
  <sheetViews>
    <sheetView tabSelected="1" workbookViewId="0">
      <selection activeCell="B2" sqref="B2:B3"/>
    </sheetView>
  </sheetViews>
  <sheetFormatPr defaultRowHeight="15" x14ac:dyDescent="0.25"/>
  <cols>
    <col min="1" max="1" width="9.5703125" bestFit="1" customWidth="1"/>
    <col min="2" max="2" width="12" bestFit="1" customWidth="1"/>
    <col min="3" max="3" width="9.5703125" bestFit="1" customWidth="1"/>
    <col min="4" max="4" width="21.5703125" customWidth="1"/>
    <col min="5" max="5" width="9.5703125" bestFit="1" customWidth="1"/>
    <col min="6" max="6" width="10.140625" bestFit="1" customWidth="1"/>
    <col min="7" max="7" width="21.5703125" bestFit="1" customWidth="1"/>
  </cols>
  <sheetData>
    <row r="1" spans="1:4" x14ac:dyDescent="0.25">
      <c r="A1" t="s">
        <v>140</v>
      </c>
      <c r="B1" t="s">
        <v>211</v>
      </c>
      <c r="D1" t="s">
        <v>213</v>
      </c>
    </row>
    <row r="2" spans="1:4" x14ac:dyDescent="0.25">
      <c r="A2" t="s">
        <v>166</v>
      </c>
      <c r="B2">
        <v>21335.841135333681</v>
      </c>
      <c r="D2">
        <f>Table_CostPerDay[[#This Row],[Count]]/99/14</f>
        <v>15.393824772968022</v>
      </c>
    </row>
    <row r="3" spans="1:4" x14ac:dyDescent="0.25">
      <c r="A3" t="s">
        <v>212</v>
      </c>
      <c r="B3">
        <v>23068.10195777833</v>
      </c>
      <c r="D3">
        <f>Table_CostPerDay[[#This Row],[Count]]/114/14</f>
        <v>14.453697968532788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0A27-B098-4B47-8455-8780C9FCCCB6}">
  <dimension ref="A1:B15"/>
  <sheetViews>
    <sheetView workbookViewId="0">
      <selection activeCell="A7" sqref="A7"/>
    </sheetView>
  </sheetViews>
  <sheetFormatPr defaultRowHeight="15" x14ac:dyDescent="0.25"/>
  <cols>
    <col min="1" max="1" width="10.7109375" bestFit="1" customWidth="1"/>
    <col min="2" max="2" width="12.85546875" bestFit="1" customWidth="1"/>
    <col min="3" max="3" width="12.140625" bestFit="1" customWidth="1"/>
  </cols>
  <sheetData>
    <row r="1" spans="1:2" x14ac:dyDescent="0.25">
      <c r="A1" t="s">
        <v>0</v>
      </c>
      <c r="B1" t="s">
        <v>161</v>
      </c>
    </row>
    <row r="2" spans="1:2" x14ac:dyDescent="0.25">
      <c r="A2" s="1">
        <v>45600</v>
      </c>
      <c r="B2">
        <v>5</v>
      </c>
    </row>
    <row r="3" spans="1:2" x14ac:dyDescent="0.25">
      <c r="A3" s="1">
        <v>45601</v>
      </c>
      <c r="B3">
        <v>5</v>
      </c>
    </row>
    <row r="4" spans="1:2" x14ac:dyDescent="0.25">
      <c r="A4" s="1">
        <v>45602</v>
      </c>
      <c r="B4">
        <v>5</v>
      </c>
    </row>
    <row r="5" spans="1:2" x14ac:dyDescent="0.25">
      <c r="A5" s="1">
        <v>45603</v>
      </c>
      <c r="B5">
        <v>5</v>
      </c>
    </row>
    <row r="6" spans="1:2" x14ac:dyDescent="0.25">
      <c r="A6" s="1">
        <v>45604</v>
      </c>
      <c r="B6">
        <v>5</v>
      </c>
    </row>
    <row r="7" spans="1:2" x14ac:dyDescent="0.25">
      <c r="A7" s="1">
        <v>45605</v>
      </c>
      <c r="B7">
        <v>5</v>
      </c>
    </row>
    <row r="8" spans="1:2" x14ac:dyDescent="0.25">
      <c r="A8" s="1">
        <v>45606</v>
      </c>
      <c r="B8">
        <v>5</v>
      </c>
    </row>
    <row r="9" spans="1:2" x14ac:dyDescent="0.25">
      <c r="A9" s="1">
        <v>45607</v>
      </c>
      <c r="B9">
        <v>5</v>
      </c>
    </row>
    <row r="10" spans="1:2" x14ac:dyDescent="0.25">
      <c r="A10" s="1">
        <v>45608</v>
      </c>
      <c r="B10">
        <v>5</v>
      </c>
    </row>
    <row r="11" spans="1:2" x14ac:dyDescent="0.25">
      <c r="A11" s="1">
        <v>45609</v>
      </c>
      <c r="B11">
        <v>5</v>
      </c>
    </row>
    <row r="12" spans="1:2" x14ac:dyDescent="0.25">
      <c r="A12" s="1">
        <v>45610</v>
      </c>
      <c r="B12">
        <v>5</v>
      </c>
    </row>
    <row r="13" spans="1:2" x14ac:dyDescent="0.25">
      <c r="A13" s="1">
        <v>45611</v>
      </c>
      <c r="B13">
        <v>5</v>
      </c>
    </row>
    <row r="14" spans="1:2" x14ac:dyDescent="0.25">
      <c r="A14" s="1">
        <v>45612</v>
      </c>
      <c r="B14">
        <v>5</v>
      </c>
    </row>
    <row r="15" spans="1:2" x14ac:dyDescent="0.25">
      <c r="A15" s="1">
        <v>45613</v>
      </c>
      <c r="B15">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22B4-E148-444C-8DD7-D5F7FB73CC82}">
  <dimension ref="A1:C29"/>
  <sheetViews>
    <sheetView workbookViewId="0"/>
  </sheetViews>
  <sheetFormatPr defaultRowHeight="15" x14ac:dyDescent="0.25"/>
  <cols>
    <col min="1" max="1" width="10.7109375" bestFit="1" customWidth="1"/>
    <col min="2" max="2" width="9.5703125" bestFit="1" customWidth="1"/>
    <col min="3" max="3" width="12" bestFit="1" customWidth="1"/>
  </cols>
  <sheetData>
    <row r="1" spans="1:3" x14ac:dyDescent="0.25">
      <c r="A1" t="s">
        <v>0</v>
      </c>
      <c r="B1" t="s">
        <v>140</v>
      </c>
      <c r="C1" t="s">
        <v>162</v>
      </c>
    </row>
    <row r="2" spans="1:3" x14ac:dyDescent="0.25">
      <c r="A2" s="1">
        <v>45096</v>
      </c>
      <c r="B2" t="s">
        <v>141</v>
      </c>
      <c r="C2">
        <v>0</v>
      </c>
    </row>
    <row r="3" spans="1:3" x14ac:dyDescent="0.25">
      <c r="A3" s="1">
        <v>45096</v>
      </c>
      <c r="B3" t="s">
        <v>142</v>
      </c>
      <c r="C3">
        <v>88.586105045399108</v>
      </c>
    </row>
    <row r="4" spans="1:3" x14ac:dyDescent="0.25">
      <c r="A4" s="1">
        <v>45097</v>
      </c>
      <c r="B4" t="s">
        <v>141</v>
      </c>
      <c r="C4">
        <v>0</v>
      </c>
    </row>
    <row r="5" spans="1:3" x14ac:dyDescent="0.25">
      <c r="A5" s="1">
        <v>45097</v>
      </c>
      <c r="B5" t="s">
        <v>142</v>
      </c>
      <c r="C5">
        <v>0</v>
      </c>
    </row>
    <row r="6" spans="1:3" x14ac:dyDescent="0.25">
      <c r="A6" s="1">
        <v>45098</v>
      </c>
      <c r="B6" t="s">
        <v>141</v>
      </c>
      <c r="C6">
        <v>0</v>
      </c>
    </row>
    <row r="7" spans="1:3" x14ac:dyDescent="0.25">
      <c r="A7" s="1">
        <v>45098</v>
      </c>
      <c r="B7" t="s">
        <v>142</v>
      </c>
      <c r="C7">
        <v>429.95321369665459</v>
      </c>
    </row>
    <row r="8" spans="1:3" x14ac:dyDescent="0.25">
      <c r="A8" s="1">
        <v>45099</v>
      </c>
      <c r="B8" t="s">
        <v>141</v>
      </c>
      <c r="C8">
        <v>0</v>
      </c>
    </row>
    <row r="9" spans="1:3" x14ac:dyDescent="0.25">
      <c r="A9" s="1">
        <v>45099</v>
      </c>
      <c r="B9" t="s">
        <v>142</v>
      </c>
      <c r="C9">
        <v>406.20338811630847</v>
      </c>
    </row>
    <row r="10" spans="1:3" x14ac:dyDescent="0.25">
      <c r="A10" s="1">
        <v>45100</v>
      </c>
      <c r="B10" t="s">
        <v>141</v>
      </c>
      <c r="C10">
        <v>0</v>
      </c>
    </row>
    <row r="11" spans="1:3" x14ac:dyDescent="0.25">
      <c r="A11" s="1">
        <v>45100</v>
      </c>
      <c r="B11" t="s">
        <v>142</v>
      </c>
      <c r="C11">
        <v>1415.7949893818518</v>
      </c>
    </row>
    <row r="12" spans="1:3" x14ac:dyDescent="0.25">
      <c r="A12" s="1">
        <v>45101</v>
      </c>
      <c r="B12" t="s">
        <v>141</v>
      </c>
      <c r="C12">
        <v>0</v>
      </c>
    </row>
    <row r="13" spans="1:3" x14ac:dyDescent="0.25">
      <c r="A13" s="1">
        <v>45101</v>
      </c>
      <c r="B13" t="s">
        <v>142</v>
      </c>
      <c r="C13">
        <v>821.02389247983501</v>
      </c>
    </row>
    <row r="14" spans="1:3" x14ac:dyDescent="0.25">
      <c r="A14" s="1">
        <v>45102</v>
      </c>
      <c r="B14" t="s">
        <v>141</v>
      </c>
      <c r="C14">
        <v>0</v>
      </c>
    </row>
    <row r="15" spans="1:3" x14ac:dyDescent="0.25">
      <c r="A15" s="1">
        <v>45102</v>
      </c>
      <c r="B15" t="s">
        <v>142</v>
      </c>
      <c r="C15">
        <v>725.36754010695176</v>
      </c>
    </row>
    <row r="16" spans="1:3" x14ac:dyDescent="0.25">
      <c r="A16" s="1">
        <v>45103</v>
      </c>
      <c r="B16" t="s">
        <v>141</v>
      </c>
      <c r="C16">
        <v>0</v>
      </c>
    </row>
    <row r="17" spans="1:3" x14ac:dyDescent="0.25">
      <c r="A17" s="1">
        <v>45103</v>
      </c>
      <c r="B17" t="s">
        <v>142</v>
      </c>
      <c r="C17">
        <v>141.90148171376634</v>
      </c>
    </row>
    <row r="18" spans="1:3" x14ac:dyDescent="0.25">
      <c r="A18" s="1">
        <v>45104</v>
      </c>
      <c r="B18" t="s">
        <v>141</v>
      </c>
      <c r="C18">
        <v>0</v>
      </c>
    </row>
    <row r="19" spans="1:3" x14ac:dyDescent="0.25">
      <c r="A19" s="1">
        <v>45104</v>
      </c>
      <c r="B19" t="s">
        <v>142</v>
      </c>
      <c r="C19">
        <v>5.117572692793928</v>
      </c>
    </row>
    <row r="20" spans="1:3" x14ac:dyDescent="0.25">
      <c r="A20" s="1">
        <v>45105</v>
      </c>
      <c r="B20" t="s">
        <v>141</v>
      </c>
      <c r="C20">
        <v>0</v>
      </c>
    </row>
    <row r="21" spans="1:3" x14ac:dyDescent="0.25">
      <c r="A21" s="1">
        <v>45105</v>
      </c>
      <c r="B21" t="s">
        <v>142</v>
      </c>
      <c r="C21">
        <v>471.53478805907145</v>
      </c>
    </row>
    <row r="22" spans="1:3" x14ac:dyDescent="0.25">
      <c r="A22" s="1">
        <v>45106</v>
      </c>
      <c r="B22" t="s">
        <v>141</v>
      </c>
      <c r="C22">
        <v>0</v>
      </c>
    </row>
    <row r="23" spans="1:3" x14ac:dyDescent="0.25">
      <c r="A23" s="1">
        <v>45106</v>
      </c>
      <c r="B23" t="s">
        <v>142</v>
      </c>
      <c r="C23">
        <v>232.99999999999997</v>
      </c>
    </row>
    <row r="24" spans="1:3" x14ac:dyDescent="0.25">
      <c r="A24" s="1">
        <v>45107</v>
      </c>
      <c r="B24" t="s">
        <v>141</v>
      </c>
      <c r="C24">
        <v>0</v>
      </c>
    </row>
    <row r="25" spans="1:3" x14ac:dyDescent="0.25">
      <c r="A25" s="1">
        <v>45107</v>
      </c>
      <c r="B25" t="s">
        <v>142</v>
      </c>
      <c r="C25">
        <v>821.62731210987533</v>
      </c>
    </row>
    <row r="26" spans="1:3" x14ac:dyDescent="0.25">
      <c r="A26" s="1">
        <v>45108</v>
      </c>
      <c r="B26" t="s">
        <v>141</v>
      </c>
      <c r="C26">
        <v>0</v>
      </c>
    </row>
    <row r="27" spans="1:3" x14ac:dyDescent="0.25">
      <c r="A27" s="1">
        <v>45108</v>
      </c>
      <c r="B27" t="s">
        <v>142</v>
      </c>
      <c r="C27">
        <v>1278.0835687107306</v>
      </c>
    </row>
    <row r="28" spans="1:3" x14ac:dyDescent="0.25">
      <c r="A28" s="1">
        <v>45109</v>
      </c>
      <c r="B28" t="s">
        <v>141</v>
      </c>
      <c r="C28">
        <v>0</v>
      </c>
    </row>
    <row r="29" spans="1:3" x14ac:dyDescent="0.25">
      <c r="A29" s="1">
        <v>45109</v>
      </c>
      <c r="B29" t="s">
        <v>142</v>
      </c>
      <c r="C29">
        <v>2199.0133623296997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63BE-6821-4BA2-BB44-90B2C4F0927B}">
  <dimension ref="A1:C29"/>
  <sheetViews>
    <sheetView workbookViewId="0">
      <selection activeCell="C2" sqref="C2:C29"/>
    </sheetView>
  </sheetViews>
  <sheetFormatPr defaultRowHeight="15" x14ac:dyDescent="0.25"/>
  <cols>
    <col min="1" max="1" width="10.7109375" bestFit="1" customWidth="1"/>
    <col min="2" max="2" width="9.5703125" bestFit="1" customWidth="1"/>
    <col min="3" max="3" width="12" bestFit="1" customWidth="1"/>
    <col min="4" max="4" width="6.7109375" bestFit="1" customWidth="1"/>
    <col min="5" max="6" width="12.7109375" bestFit="1" customWidth="1"/>
  </cols>
  <sheetData>
    <row r="1" spans="1:3" x14ac:dyDescent="0.25">
      <c r="A1" t="s">
        <v>0</v>
      </c>
      <c r="B1" t="s">
        <v>140</v>
      </c>
      <c r="C1" t="s">
        <v>162</v>
      </c>
    </row>
    <row r="2" spans="1:3" x14ac:dyDescent="0.25">
      <c r="A2" s="1">
        <v>45096</v>
      </c>
      <c r="B2" t="s">
        <v>141</v>
      </c>
      <c r="C2">
        <v>0</v>
      </c>
    </row>
    <row r="3" spans="1:3" x14ac:dyDescent="0.25">
      <c r="A3" s="1">
        <v>45096</v>
      </c>
      <c r="B3" t="s">
        <v>142</v>
      </c>
      <c r="C3">
        <v>88.586105045399108</v>
      </c>
    </row>
    <row r="4" spans="1:3" x14ac:dyDescent="0.25">
      <c r="A4" s="1">
        <v>45097</v>
      </c>
      <c r="B4" t="s">
        <v>141</v>
      </c>
      <c r="C4">
        <v>0</v>
      </c>
    </row>
    <row r="5" spans="1:3" x14ac:dyDescent="0.25">
      <c r="A5" s="1">
        <v>45097</v>
      </c>
      <c r="B5" t="s">
        <v>142</v>
      </c>
      <c r="C5">
        <v>0</v>
      </c>
    </row>
    <row r="6" spans="1:3" x14ac:dyDescent="0.25">
      <c r="A6" s="1">
        <v>45098</v>
      </c>
      <c r="B6" t="s">
        <v>141</v>
      </c>
      <c r="C6">
        <v>0</v>
      </c>
    </row>
    <row r="7" spans="1:3" x14ac:dyDescent="0.25">
      <c r="A7" s="1">
        <v>45098</v>
      </c>
      <c r="B7" t="s">
        <v>142</v>
      </c>
      <c r="C7">
        <v>429.95321369665459</v>
      </c>
    </row>
    <row r="8" spans="1:3" x14ac:dyDescent="0.25">
      <c r="A8" s="1">
        <v>45099</v>
      </c>
      <c r="B8" t="s">
        <v>141</v>
      </c>
      <c r="C8">
        <v>0</v>
      </c>
    </row>
    <row r="9" spans="1:3" x14ac:dyDescent="0.25">
      <c r="A9" s="1">
        <v>45099</v>
      </c>
      <c r="B9" t="s">
        <v>142</v>
      </c>
      <c r="C9">
        <v>406.20338811630847</v>
      </c>
    </row>
    <row r="10" spans="1:3" x14ac:dyDescent="0.25">
      <c r="A10" s="1">
        <v>45100</v>
      </c>
      <c r="B10" t="s">
        <v>141</v>
      </c>
      <c r="C10">
        <v>0</v>
      </c>
    </row>
    <row r="11" spans="1:3" x14ac:dyDescent="0.25">
      <c r="A11" s="1">
        <v>45100</v>
      </c>
      <c r="B11" t="s">
        <v>142</v>
      </c>
      <c r="C11">
        <v>1415.7949893818518</v>
      </c>
    </row>
    <row r="12" spans="1:3" x14ac:dyDescent="0.25">
      <c r="A12" s="1">
        <v>45101</v>
      </c>
      <c r="B12" t="s">
        <v>141</v>
      </c>
      <c r="C12">
        <v>0</v>
      </c>
    </row>
    <row r="13" spans="1:3" x14ac:dyDescent="0.25">
      <c r="A13" s="1">
        <v>45101</v>
      </c>
      <c r="B13" t="s">
        <v>142</v>
      </c>
      <c r="C13">
        <v>821.02389247983501</v>
      </c>
    </row>
    <row r="14" spans="1:3" x14ac:dyDescent="0.25">
      <c r="A14" s="1">
        <v>45102</v>
      </c>
      <c r="B14" t="s">
        <v>141</v>
      </c>
      <c r="C14">
        <v>0</v>
      </c>
    </row>
    <row r="15" spans="1:3" x14ac:dyDescent="0.25">
      <c r="A15" s="1">
        <v>45102</v>
      </c>
      <c r="B15" t="s">
        <v>142</v>
      </c>
      <c r="C15">
        <v>725.36754010695176</v>
      </c>
    </row>
    <row r="16" spans="1:3" x14ac:dyDescent="0.25">
      <c r="A16" s="1">
        <v>45103</v>
      </c>
      <c r="B16" t="s">
        <v>141</v>
      </c>
      <c r="C16">
        <v>0</v>
      </c>
    </row>
    <row r="17" spans="1:3" x14ac:dyDescent="0.25">
      <c r="A17" s="1">
        <v>45103</v>
      </c>
      <c r="B17" t="s">
        <v>142</v>
      </c>
      <c r="C17">
        <v>141.90148171376634</v>
      </c>
    </row>
    <row r="18" spans="1:3" x14ac:dyDescent="0.25">
      <c r="A18" s="1">
        <v>45104</v>
      </c>
      <c r="B18" t="s">
        <v>141</v>
      </c>
      <c r="C18">
        <v>0</v>
      </c>
    </row>
    <row r="19" spans="1:3" x14ac:dyDescent="0.25">
      <c r="A19" s="1">
        <v>45104</v>
      </c>
      <c r="B19" t="s">
        <v>142</v>
      </c>
      <c r="C19">
        <v>5.117572692793928</v>
      </c>
    </row>
    <row r="20" spans="1:3" x14ac:dyDescent="0.25">
      <c r="A20" s="1">
        <v>45105</v>
      </c>
      <c r="B20" t="s">
        <v>141</v>
      </c>
      <c r="C20">
        <v>0</v>
      </c>
    </row>
    <row r="21" spans="1:3" x14ac:dyDescent="0.25">
      <c r="A21" s="1">
        <v>45105</v>
      </c>
      <c r="B21" t="s">
        <v>142</v>
      </c>
      <c r="C21">
        <v>471.53478805907145</v>
      </c>
    </row>
    <row r="22" spans="1:3" x14ac:dyDescent="0.25">
      <c r="A22" s="1">
        <v>45106</v>
      </c>
      <c r="B22" t="s">
        <v>141</v>
      </c>
      <c r="C22">
        <v>0</v>
      </c>
    </row>
    <row r="23" spans="1:3" x14ac:dyDescent="0.25">
      <c r="A23" s="1">
        <v>45106</v>
      </c>
      <c r="B23" t="s">
        <v>142</v>
      </c>
      <c r="C23">
        <v>232.99999999999997</v>
      </c>
    </row>
    <row r="24" spans="1:3" x14ac:dyDescent="0.25">
      <c r="A24" s="1">
        <v>45107</v>
      </c>
      <c r="B24" t="s">
        <v>141</v>
      </c>
      <c r="C24">
        <v>0</v>
      </c>
    </row>
    <row r="25" spans="1:3" x14ac:dyDescent="0.25">
      <c r="A25" s="1">
        <v>45107</v>
      </c>
      <c r="B25" t="s">
        <v>142</v>
      </c>
      <c r="C25">
        <v>821.62731210987533</v>
      </c>
    </row>
    <row r="26" spans="1:3" x14ac:dyDescent="0.25">
      <c r="A26" s="1">
        <v>45108</v>
      </c>
      <c r="B26" t="s">
        <v>141</v>
      </c>
      <c r="C26">
        <v>0</v>
      </c>
    </row>
    <row r="27" spans="1:3" x14ac:dyDescent="0.25">
      <c r="A27" s="1">
        <v>45108</v>
      </c>
      <c r="B27" t="s">
        <v>142</v>
      </c>
      <c r="C27">
        <v>1278.0835687107306</v>
      </c>
    </row>
    <row r="28" spans="1:3" x14ac:dyDescent="0.25">
      <c r="A28" s="1">
        <v>45109</v>
      </c>
      <c r="B28" t="s">
        <v>141</v>
      </c>
      <c r="C28">
        <v>0</v>
      </c>
    </row>
    <row r="29" spans="1:3" x14ac:dyDescent="0.25">
      <c r="A29" s="1">
        <v>45109</v>
      </c>
      <c r="B29" t="s">
        <v>142</v>
      </c>
      <c r="C29">
        <v>2199.0133623296997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BF65-0E0F-47BC-B0FC-20C0125E4221}">
  <dimension ref="A1:G19"/>
  <sheetViews>
    <sheetView workbookViewId="0">
      <selection sqref="A1:G5"/>
    </sheetView>
  </sheetViews>
  <sheetFormatPr defaultRowHeight="15" x14ac:dyDescent="0.25"/>
  <cols>
    <col min="1" max="1" width="10.140625" bestFit="1" customWidth="1"/>
    <col min="2" max="2" width="9.5703125" bestFit="1" customWidth="1"/>
    <col min="3" max="3" width="6.7109375" bestFit="1" customWidth="1"/>
    <col min="4" max="4" width="12" bestFit="1" customWidth="1"/>
    <col min="5" max="5" width="24" bestFit="1" customWidth="1"/>
    <col min="6" max="6" width="23.7109375" bestFit="1" customWidth="1"/>
    <col min="7" max="7" width="5.7109375" customWidth="1"/>
  </cols>
  <sheetData>
    <row r="1" spans="1:7" x14ac:dyDescent="0.25">
      <c r="A1" t="s">
        <v>160</v>
      </c>
      <c r="B1" t="s">
        <v>140</v>
      </c>
      <c r="C1" t="s">
        <v>14</v>
      </c>
      <c r="D1" t="s">
        <v>139</v>
      </c>
      <c r="E1" t="s">
        <v>145</v>
      </c>
      <c r="F1" t="s">
        <v>146</v>
      </c>
      <c r="G1" t="s">
        <v>147</v>
      </c>
    </row>
    <row r="2" spans="1:7" hidden="1" x14ac:dyDescent="0.25">
      <c r="A2" t="s">
        <v>168</v>
      </c>
      <c r="B2" t="s">
        <v>166</v>
      </c>
      <c r="C2" t="s">
        <v>165</v>
      </c>
      <c r="D2">
        <v>12077.922151678986</v>
      </c>
      <c r="E2">
        <v>164.90222013826147</v>
      </c>
      <c r="F2">
        <v>11913.019931540721</v>
      </c>
      <c r="G2">
        <v>0</v>
      </c>
    </row>
    <row r="3" spans="1:7" hidden="1" x14ac:dyDescent="0.25">
      <c r="A3" t="s">
        <v>168</v>
      </c>
      <c r="B3" t="s">
        <v>166</v>
      </c>
      <c r="C3" t="s">
        <v>210</v>
      </c>
      <c r="D3">
        <v>8746.9745763249739</v>
      </c>
      <c r="E3">
        <v>16.950823100346206</v>
      </c>
      <c r="F3">
        <v>8730.0237532246265</v>
      </c>
      <c r="G3">
        <v>0</v>
      </c>
    </row>
    <row r="4" spans="1:7" hidden="1" x14ac:dyDescent="0.25">
      <c r="A4" t="s">
        <v>168</v>
      </c>
      <c r="B4" t="s">
        <v>166</v>
      </c>
      <c r="C4" t="s">
        <v>13</v>
      </c>
      <c r="D4">
        <v>510.94440732972657</v>
      </c>
      <c r="E4">
        <v>510.94440732972657</v>
      </c>
      <c r="F4">
        <v>0</v>
      </c>
      <c r="G4">
        <v>0</v>
      </c>
    </row>
    <row r="5" spans="1:7" hidden="1" x14ac:dyDescent="0.25">
      <c r="A5" t="s">
        <v>168</v>
      </c>
      <c r="B5" t="s">
        <v>212</v>
      </c>
      <c r="C5" t="s">
        <v>165</v>
      </c>
      <c r="D5">
        <v>11828.70959902178</v>
      </c>
      <c r="E5">
        <v>2435.7243165714758</v>
      </c>
      <c r="F5">
        <v>9392.985282450305</v>
      </c>
      <c r="G5">
        <v>0</v>
      </c>
    </row>
    <row r="6" spans="1:7" hidden="1" x14ac:dyDescent="0.25">
      <c r="A6" t="s">
        <v>168</v>
      </c>
      <c r="B6" t="s">
        <v>212</v>
      </c>
      <c r="C6" t="s">
        <v>210</v>
      </c>
      <c r="D6">
        <v>6863.4427922634213</v>
      </c>
      <c r="E6">
        <v>21.976159999606516</v>
      </c>
      <c r="F6">
        <v>6841.4666322638159</v>
      </c>
      <c r="G6">
        <v>0</v>
      </c>
    </row>
    <row r="7" spans="1:7" hidden="1" x14ac:dyDescent="0.25">
      <c r="A7" t="s">
        <v>168</v>
      </c>
      <c r="B7" t="s">
        <v>212</v>
      </c>
      <c r="C7" t="s">
        <v>13</v>
      </c>
      <c r="D7">
        <v>4375.9495664931201</v>
      </c>
      <c r="E7">
        <v>4375.9495664931201</v>
      </c>
      <c r="F7">
        <v>0</v>
      </c>
      <c r="G7">
        <v>0</v>
      </c>
    </row>
    <row r="8" spans="1:7" x14ac:dyDescent="0.25">
      <c r="D8">
        <f>SUBTOTAL(109,Table_CostAG1_1DayShiftABSummary[RoleCost])</f>
        <v>0</v>
      </c>
    </row>
    <row r="14" spans="1:7" x14ac:dyDescent="0.25">
      <c r="A14" t="s">
        <v>14</v>
      </c>
      <c r="B14" t="s">
        <v>140</v>
      </c>
      <c r="C14" t="s">
        <v>139</v>
      </c>
      <c r="D14" t="s">
        <v>145</v>
      </c>
      <c r="E14" t="s">
        <v>146</v>
      </c>
      <c r="F14" t="s">
        <v>147</v>
      </c>
    </row>
    <row r="15" spans="1:7" x14ac:dyDescent="0.25">
      <c r="A15" t="s">
        <v>53</v>
      </c>
      <c r="B15" t="s">
        <v>141</v>
      </c>
      <c r="C15">
        <v>1847.0049558082053</v>
      </c>
      <c r="D15">
        <v>1005.099999999999</v>
      </c>
      <c r="E15">
        <v>841.90495580820641</v>
      </c>
      <c r="F15">
        <v>0</v>
      </c>
    </row>
    <row r="16" spans="1:7" x14ac:dyDescent="0.25">
      <c r="A16" t="s">
        <v>52</v>
      </c>
      <c r="B16" t="s">
        <v>141</v>
      </c>
      <c r="C16">
        <v>1392.4133411369519</v>
      </c>
      <c r="D16">
        <v>341.92885763108092</v>
      </c>
      <c r="E16">
        <v>1050.4844835058711</v>
      </c>
      <c r="F16">
        <v>0</v>
      </c>
    </row>
    <row r="17" spans="1:6" x14ac:dyDescent="0.25">
      <c r="A17" t="s">
        <v>53</v>
      </c>
      <c r="B17" t="s">
        <v>142</v>
      </c>
      <c r="C17">
        <v>5385.0384614619325</v>
      </c>
      <c r="D17">
        <v>367.6247215785163</v>
      </c>
      <c r="E17">
        <v>5017.4137398834155</v>
      </c>
      <c r="F17">
        <v>0</v>
      </c>
    </row>
    <row r="18" spans="1:6" x14ac:dyDescent="0.25">
      <c r="A18" t="s">
        <v>52</v>
      </c>
      <c r="B18" t="s">
        <v>142</v>
      </c>
      <c r="C18">
        <v>8768.0197043160479</v>
      </c>
      <c r="D18">
        <v>39.967608432665642</v>
      </c>
      <c r="E18">
        <v>8728.0520958833822</v>
      </c>
      <c r="F18">
        <v>0</v>
      </c>
    </row>
    <row r="19" spans="1:6" x14ac:dyDescent="0.25">
      <c r="C19">
        <v>17392.476462723138</v>
      </c>
    </row>
  </sheetData>
  <phoneticPr fontId="25"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1FF9-C632-428B-9906-AAC0EFCBF2D4}">
  <dimension ref="C1:AF71"/>
  <sheetViews>
    <sheetView workbookViewId="0">
      <selection activeCell="N40" sqref="N40"/>
    </sheetView>
  </sheetViews>
  <sheetFormatPr defaultRowHeight="15" outlineLevelCol="1" x14ac:dyDescent="0.25"/>
  <cols>
    <col min="3" max="3" width="23.7109375" customWidth="1"/>
    <col min="4" max="4" width="22.5703125" bestFit="1" customWidth="1"/>
    <col min="5" max="5" width="13.5703125" customWidth="1"/>
    <col min="6" max="6" width="6.5703125" bestFit="1" customWidth="1"/>
    <col min="7" max="7" width="11.42578125" customWidth="1"/>
    <col min="8" max="21" width="8.85546875" customWidth="1"/>
    <col min="23" max="23" width="13.85546875" customWidth="1"/>
    <col min="24" max="24" width="15.42578125" style="12" hidden="1" customWidth="1" outlineLevel="1"/>
    <col min="25" max="25" width="15.140625" style="12" hidden="1" customWidth="1" outlineLevel="1"/>
    <col min="26" max="26" width="23.7109375" style="12" hidden="1" customWidth="1" outlineLevel="1"/>
    <col min="27" max="27" width="44.5703125" style="12" hidden="1" customWidth="1" outlineLevel="1"/>
    <col min="28" max="28" width="21.42578125" style="12" hidden="1" customWidth="1" outlineLevel="1"/>
    <col min="29" max="30" width="9.140625" hidden="1" customWidth="1" outlineLevel="1"/>
    <col min="31" max="31" width="9.140625" collapsed="1"/>
  </cols>
  <sheetData>
    <row r="1" spans="3:31" x14ac:dyDescent="0.25">
      <c r="C1" s="12"/>
      <c r="D1" s="12"/>
      <c r="E1" s="12"/>
      <c r="F1" s="12"/>
      <c r="G1" s="12"/>
      <c r="H1" s="12"/>
      <c r="I1" s="12"/>
      <c r="J1" s="12"/>
      <c r="K1" s="12"/>
      <c r="L1" s="12"/>
      <c r="M1" s="12"/>
      <c r="N1" s="12"/>
      <c r="O1" s="12"/>
      <c r="P1" s="12"/>
      <c r="Q1" s="12"/>
      <c r="R1" s="12"/>
      <c r="S1" s="12"/>
      <c r="T1" s="12"/>
      <c r="U1" s="12"/>
      <c r="V1" s="12"/>
      <c r="W1" s="12"/>
      <c r="AC1" s="12"/>
      <c r="AD1" s="12"/>
      <c r="AE1" s="12"/>
    </row>
    <row r="2" spans="3:31" x14ac:dyDescent="0.25">
      <c r="C2" s="12"/>
      <c r="D2" s="12"/>
      <c r="E2" s="12"/>
      <c r="F2" s="12"/>
      <c r="G2" s="12"/>
      <c r="H2" s="12"/>
      <c r="I2" s="12"/>
      <c r="J2" s="12"/>
      <c r="K2" s="12"/>
      <c r="L2" s="12"/>
      <c r="M2" s="12"/>
      <c r="N2" s="12"/>
      <c r="O2" s="12"/>
      <c r="P2" s="12"/>
      <c r="Q2" s="12"/>
      <c r="R2" s="12"/>
      <c r="S2" s="12"/>
      <c r="T2" s="12"/>
      <c r="U2" s="12"/>
      <c r="V2" s="12"/>
      <c r="W2" s="12"/>
      <c r="AC2" s="12"/>
      <c r="AD2" s="12"/>
      <c r="AE2" s="12"/>
    </row>
    <row r="3" spans="3:31" x14ac:dyDescent="0.25">
      <c r="C3" s="12"/>
      <c r="D3" s="12"/>
      <c r="E3" s="12"/>
      <c r="F3" s="12"/>
      <c r="G3" s="12"/>
      <c r="H3" s="12"/>
      <c r="I3" s="12"/>
      <c r="J3" s="12"/>
      <c r="K3" s="12"/>
      <c r="L3" s="12"/>
      <c r="M3" s="12"/>
      <c r="N3" s="12"/>
      <c r="O3" s="12"/>
      <c r="P3" s="12"/>
      <c r="Q3" s="12"/>
      <c r="R3" s="12"/>
      <c r="S3" s="12"/>
      <c r="T3" s="12"/>
      <c r="U3" s="12"/>
      <c r="V3" s="12"/>
      <c r="W3" s="12"/>
      <c r="AC3" s="12"/>
      <c r="AD3" s="12"/>
      <c r="AE3" s="12"/>
    </row>
    <row r="4" spans="3:31" ht="23.25" x14ac:dyDescent="0.35">
      <c r="C4" s="143" t="s">
        <v>54</v>
      </c>
      <c r="D4" s="143"/>
      <c r="E4" s="143"/>
      <c r="F4" s="143"/>
      <c r="G4" s="143"/>
      <c r="H4" s="143"/>
      <c r="I4" s="143"/>
      <c r="J4" s="143"/>
      <c r="K4" s="143"/>
      <c r="L4" s="143"/>
      <c r="M4" s="143"/>
      <c r="N4" s="143"/>
      <c r="O4" s="143"/>
      <c r="P4" s="143"/>
      <c r="Q4" s="143"/>
      <c r="R4" s="143"/>
      <c r="S4" s="143"/>
      <c r="T4" s="143"/>
      <c r="U4" s="143"/>
      <c r="V4" s="12"/>
      <c r="W4" s="12"/>
      <c r="AC4" s="12"/>
      <c r="AD4" s="12"/>
      <c r="AE4" s="12"/>
    </row>
    <row r="5" spans="3:31" x14ac:dyDescent="0.25">
      <c r="C5" s="12"/>
      <c r="D5" s="12"/>
      <c r="E5" s="12"/>
      <c r="F5" s="12"/>
      <c r="G5" s="12"/>
      <c r="H5" s="12"/>
      <c r="I5" s="12"/>
      <c r="J5" s="12"/>
      <c r="K5" s="12"/>
      <c r="L5" s="12"/>
      <c r="M5" s="12"/>
      <c r="N5" s="12"/>
      <c r="O5" s="12"/>
      <c r="P5" s="12"/>
      <c r="Q5" s="12"/>
      <c r="R5" s="12"/>
      <c r="S5" s="12"/>
      <c r="T5" s="12"/>
      <c r="U5" s="12"/>
      <c r="V5" s="12"/>
      <c r="W5" s="12"/>
      <c r="AC5" s="12"/>
      <c r="AD5" s="12"/>
      <c r="AE5" s="12"/>
    </row>
    <row r="6" spans="3:31" ht="18.75" x14ac:dyDescent="0.3">
      <c r="C6" s="13" t="s">
        <v>55</v>
      </c>
      <c r="D6" s="14" t="s">
        <v>56</v>
      </c>
      <c r="E6" s="15"/>
      <c r="F6" s="16"/>
      <c r="G6" s="16"/>
      <c r="H6" s="12"/>
      <c r="I6" s="12"/>
      <c r="J6" s="12"/>
      <c r="K6" s="12"/>
      <c r="L6" s="12"/>
      <c r="M6" s="12"/>
      <c r="N6" s="12"/>
      <c r="O6" s="12"/>
      <c r="P6" s="12"/>
      <c r="Q6" s="12"/>
      <c r="R6" s="12"/>
      <c r="S6" s="12"/>
      <c r="T6" s="12"/>
      <c r="U6" s="12"/>
      <c r="V6" s="12"/>
      <c r="W6" s="16"/>
      <c r="Z6" s="17" t="s">
        <v>57</v>
      </c>
      <c r="AC6" s="12"/>
      <c r="AD6" s="12"/>
      <c r="AE6" s="12"/>
    </row>
    <row r="7" spans="3:31" ht="21" x14ac:dyDescent="0.35">
      <c r="C7" s="18" t="s">
        <v>58</v>
      </c>
      <c r="D7" s="19" t="s">
        <v>59</v>
      </c>
      <c r="E7" s="20" t="s">
        <v>60</v>
      </c>
      <c r="F7" s="21"/>
      <c r="G7" s="21"/>
      <c r="H7" s="12"/>
      <c r="I7" s="12"/>
      <c r="J7" s="12"/>
      <c r="K7" s="12"/>
      <c r="L7" s="12"/>
      <c r="M7" s="12"/>
      <c r="N7" s="12"/>
      <c r="O7" s="12"/>
      <c r="P7" s="12"/>
      <c r="Q7" s="12"/>
      <c r="R7" s="12"/>
      <c r="S7" s="12"/>
      <c r="T7" s="12"/>
      <c r="U7" s="12"/>
      <c r="V7" s="12"/>
      <c r="W7" s="21"/>
      <c r="Z7" s="17" t="s">
        <v>61</v>
      </c>
      <c r="AC7" s="12"/>
      <c r="AD7" s="12"/>
      <c r="AE7" s="12"/>
    </row>
    <row r="8" spans="3:31" ht="15.75" x14ac:dyDescent="0.25">
      <c r="C8" s="22"/>
      <c r="D8" s="12"/>
      <c r="E8" s="12"/>
      <c r="F8" s="12"/>
      <c r="G8" s="12"/>
      <c r="H8" t="s">
        <v>62</v>
      </c>
      <c r="I8" t="s">
        <v>63</v>
      </c>
      <c r="J8" t="s">
        <v>64</v>
      </c>
      <c r="K8" t="s">
        <v>65</v>
      </c>
      <c r="L8" t="s">
        <v>66</v>
      </c>
      <c r="M8" t="s">
        <v>67</v>
      </c>
      <c r="N8" t="s">
        <v>68</v>
      </c>
      <c r="O8" t="s">
        <v>69</v>
      </c>
      <c r="P8" t="s">
        <v>70</v>
      </c>
      <c r="Q8" t="s">
        <v>71</v>
      </c>
      <c r="R8" t="s">
        <v>72</v>
      </c>
      <c r="S8" t="s">
        <v>73</v>
      </c>
      <c r="T8" t="s">
        <v>74</v>
      </c>
      <c r="U8" t="s">
        <v>75</v>
      </c>
      <c r="V8" s="12"/>
      <c r="W8" s="12"/>
      <c r="Z8" s="23" t="s">
        <v>76</v>
      </c>
    </row>
    <row r="9" spans="3:31" ht="47.25" x14ac:dyDescent="0.25">
      <c r="C9" s="24" t="s">
        <v>77</v>
      </c>
      <c r="D9" s="24" t="s">
        <v>78</v>
      </c>
      <c r="E9" s="24" t="s">
        <v>79</v>
      </c>
      <c r="F9" s="24" t="s">
        <v>80</v>
      </c>
      <c r="G9" s="25" t="s">
        <v>81</v>
      </c>
      <c r="H9" s="26" t="s">
        <v>82</v>
      </c>
      <c r="I9" s="27" t="s">
        <v>83</v>
      </c>
      <c r="J9" s="27" t="s">
        <v>84</v>
      </c>
      <c r="K9" s="27" t="s">
        <v>85</v>
      </c>
      <c r="L9" s="27" t="s">
        <v>86</v>
      </c>
      <c r="M9" s="27" t="s">
        <v>87</v>
      </c>
      <c r="N9" s="27" t="s">
        <v>88</v>
      </c>
      <c r="O9" s="27" t="s">
        <v>82</v>
      </c>
      <c r="P9" s="27" t="s">
        <v>83</v>
      </c>
      <c r="Q9" s="27" t="s">
        <v>84</v>
      </c>
      <c r="R9" s="27" t="s">
        <v>85</v>
      </c>
      <c r="S9" s="27" t="s">
        <v>86</v>
      </c>
      <c r="T9" s="27" t="s">
        <v>87</v>
      </c>
      <c r="U9" s="28" t="s">
        <v>88</v>
      </c>
      <c r="V9" s="29" t="s">
        <v>89</v>
      </c>
      <c r="W9" s="24" t="s">
        <v>90</v>
      </c>
      <c r="X9" s="24" t="s">
        <v>91</v>
      </c>
      <c r="Y9" s="24" t="s">
        <v>92</v>
      </c>
      <c r="Z9" s="24" t="s">
        <v>93</v>
      </c>
      <c r="AA9" s="24" t="s">
        <v>94</v>
      </c>
      <c r="AB9" s="30"/>
      <c r="AC9" s="31"/>
      <c r="AD9" s="31"/>
      <c r="AE9" s="31"/>
    </row>
    <row r="10" spans="3:31" ht="15.75" x14ac:dyDescent="0.25">
      <c r="C10" s="32" t="s">
        <v>95</v>
      </c>
      <c r="D10" s="33" t="s">
        <v>96</v>
      </c>
      <c r="E10" s="32" t="s">
        <v>52</v>
      </c>
      <c r="F10" s="32" t="s">
        <v>12</v>
      </c>
      <c r="G10" s="34">
        <v>55.75</v>
      </c>
      <c r="H10" s="35"/>
      <c r="I10" s="35"/>
      <c r="J10" s="35">
        <v>8</v>
      </c>
      <c r="K10" s="35"/>
      <c r="L10" s="35"/>
      <c r="M10" s="35"/>
      <c r="N10" s="35"/>
      <c r="O10" s="35"/>
      <c r="P10" s="35"/>
      <c r="Q10" s="35"/>
      <c r="R10" s="35"/>
      <c r="S10" s="35"/>
      <c r="T10" s="35"/>
      <c r="U10" s="36"/>
      <c r="V10" s="37">
        <f>SUM(H10:U10)</f>
        <v>8</v>
      </c>
      <c r="W10" s="38">
        <f>ROUND(V10*G10,2)</f>
        <v>446</v>
      </c>
      <c r="X10" s="38">
        <f>W10*1.1</f>
        <v>490.6</v>
      </c>
      <c r="Y10" s="39">
        <v>3360</v>
      </c>
      <c r="Z10" s="40">
        <f>IF($Z$8="Variance to GST Excl. Inv",W10,X10)-Y10</f>
        <v>-2914</v>
      </c>
      <c r="AA10" s="41" t="s">
        <v>97</v>
      </c>
      <c r="AC10" t="s">
        <v>10</v>
      </c>
      <c r="AD10" t="s">
        <v>13</v>
      </c>
      <c r="AE10" t="s">
        <v>98</v>
      </c>
    </row>
    <row r="11" spans="3:31" ht="15.75" x14ac:dyDescent="0.25">
      <c r="C11" s="32" t="s">
        <v>99</v>
      </c>
      <c r="D11" s="33" t="s">
        <v>100</v>
      </c>
      <c r="E11" s="32" t="s">
        <v>13</v>
      </c>
      <c r="F11" s="32" t="s">
        <v>101</v>
      </c>
      <c r="G11" s="34">
        <v>95.02</v>
      </c>
      <c r="H11" s="35"/>
      <c r="I11" s="35"/>
      <c r="J11" s="35">
        <v>7.75</v>
      </c>
      <c r="K11" s="35"/>
      <c r="L11" s="35"/>
      <c r="M11" s="35"/>
      <c r="N11" s="35"/>
      <c r="O11" s="35"/>
      <c r="P11" s="35"/>
      <c r="Q11" s="35"/>
      <c r="R11" s="35"/>
      <c r="S11" s="35"/>
      <c r="T11" s="35"/>
      <c r="U11" s="36"/>
      <c r="V11" s="42">
        <f>SUM(H11:U11)</f>
        <v>7.75</v>
      </c>
      <c r="W11" s="38">
        <f t="shared" ref="W11:W29" si="0">ROUND(V11*G11,2)</f>
        <v>736.41</v>
      </c>
      <c r="X11" s="38">
        <f t="shared" ref="X11:Y29" si="1">W11*1.1</f>
        <v>810.05100000000004</v>
      </c>
      <c r="Y11" s="43">
        <v>2520</v>
      </c>
      <c r="Z11" s="40">
        <f t="shared" ref="Z11:Z29" si="2">IF($Z$8="Variance to GST Excl. Inv",W11,X11)-Y11</f>
        <v>-1783.5900000000001</v>
      </c>
      <c r="AA11" s="44"/>
      <c r="AC11" t="s">
        <v>12</v>
      </c>
      <c r="AD11" t="s">
        <v>52</v>
      </c>
      <c r="AE11" t="s">
        <v>98</v>
      </c>
    </row>
    <row r="12" spans="3:31" ht="15.75" x14ac:dyDescent="0.25">
      <c r="C12" s="32" t="s">
        <v>99</v>
      </c>
      <c r="D12" s="33" t="s">
        <v>100</v>
      </c>
      <c r="E12" s="32" t="s">
        <v>13</v>
      </c>
      <c r="F12" s="32" t="s">
        <v>101</v>
      </c>
      <c r="G12" s="34">
        <v>95.02</v>
      </c>
      <c r="H12" s="35"/>
      <c r="I12" s="35"/>
      <c r="J12" s="35"/>
      <c r="K12" s="35">
        <v>7.75</v>
      </c>
      <c r="L12" s="35"/>
      <c r="M12" s="35"/>
      <c r="N12" s="35"/>
      <c r="O12" s="35"/>
      <c r="P12" s="35"/>
      <c r="Q12" s="35"/>
      <c r="R12" s="35"/>
      <c r="S12" s="35"/>
      <c r="T12" s="35"/>
      <c r="U12" s="36"/>
      <c r="V12" s="42">
        <f t="shared" ref="V12:V29" si="3">SUM(H12:U12)</f>
        <v>7.75</v>
      </c>
      <c r="W12" s="38">
        <f t="shared" si="0"/>
        <v>736.41</v>
      </c>
      <c r="X12" s="38">
        <f t="shared" si="1"/>
        <v>810.05100000000004</v>
      </c>
      <c r="Y12" s="43">
        <v>420</v>
      </c>
      <c r="Z12" s="40">
        <f t="shared" si="2"/>
        <v>316.40999999999997</v>
      </c>
      <c r="AA12" s="44"/>
      <c r="AC12" t="s">
        <v>101</v>
      </c>
      <c r="AD12" t="s">
        <v>102</v>
      </c>
      <c r="AE12" t="s">
        <v>98</v>
      </c>
    </row>
    <row r="13" spans="3:31" ht="15.75" x14ac:dyDescent="0.25">
      <c r="C13" s="32" t="s">
        <v>95</v>
      </c>
      <c r="D13" s="33" t="s">
        <v>103</v>
      </c>
      <c r="E13" s="32" t="s">
        <v>52</v>
      </c>
      <c r="F13" s="45" t="s">
        <v>87</v>
      </c>
      <c r="G13" s="46">
        <v>73.12</v>
      </c>
      <c r="H13" s="47"/>
      <c r="I13" s="48"/>
      <c r="J13" s="48"/>
      <c r="K13" s="48"/>
      <c r="L13" s="48"/>
      <c r="M13" s="48">
        <v>7.5</v>
      </c>
      <c r="N13" s="48"/>
      <c r="O13" s="48"/>
      <c r="P13" s="48"/>
      <c r="Q13" s="48"/>
      <c r="R13" s="48"/>
      <c r="S13" s="48"/>
      <c r="T13" s="48"/>
      <c r="U13" s="49"/>
      <c r="V13" s="42">
        <f t="shared" si="3"/>
        <v>7.5</v>
      </c>
      <c r="W13" s="38">
        <f t="shared" si="0"/>
        <v>548.4</v>
      </c>
      <c r="X13" s="38">
        <f t="shared" si="1"/>
        <v>603.24</v>
      </c>
      <c r="Y13" s="43">
        <v>550</v>
      </c>
      <c r="Z13" s="40">
        <f t="shared" si="2"/>
        <v>-1.6000000000000227</v>
      </c>
      <c r="AA13" s="44" t="s">
        <v>104</v>
      </c>
      <c r="AC13" t="s">
        <v>87</v>
      </c>
      <c r="AD13" t="s">
        <v>105</v>
      </c>
      <c r="AE13" t="s">
        <v>98</v>
      </c>
    </row>
    <row r="14" spans="3:31" ht="15.75" x14ac:dyDescent="0.25">
      <c r="C14" s="32" t="s">
        <v>95</v>
      </c>
      <c r="D14" s="33" t="s">
        <v>106</v>
      </c>
      <c r="E14" s="32" t="s">
        <v>52</v>
      </c>
      <c r="F14" s="32" t="s">
        <v>10</v>
      </c>
      <c r="G14" s="46">
        <v>51.25</v>
      </c>
      <c r="H14" s="47"/>
      <c r="I14" s="48"/>
      <c r="J14" s="48"/>
      <c r="K14" s="48"/>
      <c r="L14" s="48"/>
      <c r="M14" s="48"/>
      <c r="N14" s="48"/>
      <c r="O14" s="48">
        <v>7.5</v>
      </c>
      <c r="P14" s="48"/>
      <c r="Q14" s="48"/>
      <c r="R14" s="48"/>
      <c r="S14" s="48"/>
      <c r="T14" s="48"/>
      <c r="U14" s="49"/>
      <c r="V14" s="50">
        <f t="shared" si="3"/>
        <v>7.5</v>
      </c>
      <c r="W14" s="51">
        <f t="shared" si="0"/>
        <v>384.38</v>
      </c>
      <c r="X14" s="51">
        <f t="shared" si="1"/>
        <v>422.81800000000004</v>
      </c>
      <c r="Y14" s="52">
        <f t="shared" si="1"/>
        <v>465.09980000000007</v>
      </c>
      <c r="Z14" s="53">
        <f t="shared" si="2"/>
        <v>-80.719800000000077</v>
      </c>
      <c r="AA14" s="54"/>
      <c r="AC14" t="s">
        <v>88</v>
      </c>
      <c r="AE14" t="s">
        <v>98</v>
      </c>
    </row>
    <row r="15" spans="3:31" ht="15.75" x14ac:dyDescent="0.25">
      <c r="C15" s="32" t="s">
        <v>99</v>
      </c>
      <c r="D15" s="33" t="s">
        <v>107</v>
      </c>
      <c r="E15" s="32" t="s">
        <v>13</v>
      </c>
      <c r="F15" s="32" t="s">
        <v>12</v>
      </c>
      <c r="G15" s="46">
        <v>66.48</v>
      </c>
      <c r="H15" s="47"/>
      <c r="I15" s="48"/>
      <c r="J15" s="48"/>
      <c r="K15" s="48"/>
      <c r="L15" s="48"/>
      <c r="M15" s="48"/>
      <c r="N15" s="48"/>
      <c r="O15" s="48"/>
      <c r="P15" s="48"/>
      <c r="Q15" s="48">
        <v>8</v>
      </c>
      <c r="R15" s="48"/>
      <c r="S15" s="48"/>
      <c r="T15" s="48"/>
      <c r="U15" s="49"/>
      <c r="V15" s="42">
        <f t="shared" si="3"/>
        <v>8</v>
      </c>
      <c r="W15" s="38">
        <f t="shared" si="0"/>
        <v>531.84</v>
      </c>
      <c r="X15" s="38">
        <f t="shared" si="1"/>
        <v>585.02400000000011</v>
      </c>
      <c r="Y15" s="43">
        <f t="shared" si="1"/>
        <v>643.52640000000019</v>
      </c>
      <c r="Z15" s="40">
        <f t="shared" si="2"/>
        <v>-111.68640000000016</v>
      </c>
      <c r="AA15" s="44"/>
      <c r="AC15" t="s">
        <v>108</v>
      </c>
      <c r="AE15" t="s">
        <v>98</v>
      </c>
    </row>
    <row r="16" spans="3:31" ht="15.75" x14ac:dyDescent="0.25">
      <c r="C16" s="32" t="s">
        <v>99</v>
      </c>
      <c r="D16" s="33" t="s">
        <v>109</v>
      </c>
      <c r="E16" s="32" t="s">
        <v>13</v>
      </c>
      <c r="F16" s="32" t="s">
        <v>101</v>
      </c>
      <c r="G16" s="46">
        <v>95.02</v>
      </c>
      <c r="H16" s="47"/>
      <c r="I16" s="48"/>
      <c r="J16" s="48"/>
      <c r="K16" s="48"/>
      <c r="L16" s="48"/>
      <c r="M16" s="48"/>
      <c r="N16" s="48"/>
      <c r="O16" s="48"/>
      <c r="P16" s="48"/>
      <c r="Q16" s="48">
        <v>7.75</v>
      </c>
      <c r="R16" s="48"/>
      <c r="S16" s="48"/>
      <c r="T16" s="48"/>
      <c r="U16" s="49"/>
      <c r="V16" s="42">
        <f t="shared" si="3"/>
        <v>7.75</v>
      </c>
      <c r="W16" s="38">
        <f t="shared" si="0"/>
        <v>736.41</v>
      </c>
      <c r="X16" s="38">
        <f t="shared" si="1"/>
        <v>810.05100000000004</v>
      </c>
      <c r="Y16" s="43">
        <f t="shared" si="1"/>
        <v>891.05610000000013</v>
      </c>
      <c r="Z16" s="40">
        <f t="shared" si="2"/>
        <v>-154.64610000000016</v>
      </c>
      <c r="AA16" s="44"/>
      <c r="AE16" t="s">
        <v>98</v>
      </c>
    </row>
    <row r="17" spans="3:31" ht="15.75" x14ac:dyDescent="0.25">
      <c r="C17" s="32" t="s">
        <v>99</v>
      </c>
      <c r="D17" s="33" t="s">
        <v>109</v>
      </c>
      <c r="E17" s="32" t="s">
        <v>13</v>
      </c>
      <c r="F17" s="32" t="s">
        <v>12</v>
      </c>
      <c r="G17" s="46">
        <v>93.32</v>
      </c>
      <c r="H17" s="47"/>
      <c r="I17" s="48"/>
      <c r="J17" s="48"/>
      <c r="K17" s="48"/>
      <c r="L17" s="48"/>
      <c r="M17" s="48"/>
      <c r="N17" s="48"/>
      <c r="O17" s="48"/>
      <c r="P17" s="48"/>
      <c r="Q17" s="48"/>
      <c r="R17" s="48">
        <v>8</v>
      </c>
      <c r="S17" s="48"/>
      <c r="T17" s="48"/>
      <c r="U17" s="49"/>
      <c r="V17" s="42">
        <f t="shared" si="3"/>
        <v>8</v>
      </c>
      <c r="W17" s="38">
        <f t="shared" si="0"/>
        <v>746.56</v>
      </c>
      <c r="X17" s="38">
        <f t="shared" si="1"/>
        <v>821.21600000000001</v>
      </c>
      <c r="Y17" s="43">
        <f t="shared" si="1"/>
        <v>903.33760000000007</v>
      </c>
      <c r="Z17" s="40">
        <f t="shared" si="2"/>
        <v>-156.77760000000012</v>
      </c>
      <c r="AA17" s="44"/>
      <c r="AE17" t="s">
        <v>98</v>
      </c>
    </row>
    <row r="18" spans="3:31" ht="15.75" x14ac:dyDescent="0.25">
      <c r="C18" s="32" t="s">
        <v>95</v>
      </c>
      <c r="D18" s="33" t="s">
        <v>110</v>
      </c>
      <c r="E18" s="32" t="s">
        <v>52</v>
      </c>
      <c r="F18" s="32" t="s">
        <v>101</v>
      </c>
      <c r="G18" s="46">
        <v>56.65</v>
      </c>
      <c r="H18" s="47"/>
      <c r="I18" s="48"/>
      <c r="J18" s="48"/>
      <c r="K18" s="48"/>
      <c r="L18" s="48"/>
      <c r="M18" s="48"/>
      <c r="N18" s="48"/>
      <c r="O18" s="48"/>
      <c r="P18" s="48"/>
      <c r="Q18" s="48"/>
      <c r="R18" s="48"/>
      <c r="S18" s="48">
        <v>7.5</v>
      </c>
      <c r="T18" s="48"/>
      <c r="U18" s="49"/>
      <c r="V18" s="42">
        <v>7.5</v>
      </c>
      <c r="W18" s="38">
        <f t="shared" si="0"/>
        <v>424.88</v>
      </c>
      <c r="X18" s="38"/>
      <c r="Y18" s="43"/>
      <c r="Z18" s="40"/>
      <c r="AA18" s="44"/>
      <c r="AE18" t="s">
        <v>98</v>
      </c>
    </row>
    <row r="19" spans="3:31" ht="15.75" x14ac:dyDescent="0.25">
      <c r="C19" s="32" t="s">
        <v>95</v>
      </c>
      <c r="D19" s="33" t="s">
        <v>111</v>
      </c>
      <c r="E19" s="32" t="s">
        <v>52</v>
      </c>
      <c r="F19" s="32" t="s">
        <v>101</v>
      </c>
      <c r="G19" s="46">
        <v>56.65</v>
      </c>
      <c r="H19" s="47"/>
      <c r="I19" s="48"/>
      <c r="J19" s="48"/>
      <c r="K19" s="48"/>
      <c r="L19" s="48"/>
      <c r="M19" s="48"/>
      <c r="N19" s="48"/>
      <c r="O19" s="48"/>
      <c r="P19" s="48"/>
      <c r="Q19" s="48"/>
      <c r="R19" s="48"/>
      <c r="S19" s="48">
        <v>7.5</v>
      </c>
      <c r="T19" s="48"/>
      <c r="U19" s="49"/>
      <c r="V19" s="42">
        <f t="shared" si="3"/>
        <v>7.5</v>
      </c>
      <c r="W19" s="38">
        <f t="shared" si="0"/>
        <v>424.88</v>
      </c>
      <c r="X19" s="38">
        <f t="shared" si="1"/>
        <v>467.36800000000005</v>
      </c>
      <c r="Y19" s="43">
        <f t="shared" si="1"/>
        <v>514.10480000000007</v>
      </c>
      <c r="Z19" s="40">
        <f t="shared" si="2"/>
        <v>-89.224800000000073</v>
      </c>
      <c r="AA19" s="44"/>
      <c r="AE19" t="s">
        <v>98</v>
      </c>
    </row>
    <row r="20" spans="3:31" ht="15.75" x14ac:dyDescent="0.25">
      <c r="C20" s="32" t="s">
        <v>99</v>
      </c>
      <c r="D20" s="33" t="s">
        <v>112</v>
      </c>
      <c r="E20" s="32" t="s">
        <v>13</v>
      </c>
      <c r="F20" s="32" t="s">
        <v>101</v>
      </c>
      <c r="G20" s="46">
        <v>95.02</v>
      </c>
      <c r="H20" s="47"/>
      <c r="I20" s="48"/>
      <c r="J20" s="48"/>
      <c r="K20" s="48"/>
      <c r="L20" s="48"/>
      <c r="M20" s="48"/>
      <c r="N20" s="48"/>
      <c r="O20" s="48"/>
      <c r="P20" s="48"/>
      <c r="Q20" s="48"/>
      <c r="R20" s="48"/>
      <c r="S20" s="48">
        <v>7.75</v>
      </c>
      <c r="T20" s="48"/>
      <c r="U20" s="49"/>
      <c r="V20" s="42">
        <f t="shared" si="3"/>
        <v>7.75</v>
      </c>
      <c r="W20" s="38">
        <f t="shared" si="0"/>
        <v>736.41</v>
      </c>
      <c r="X20" s="38">
        <f t="shared" si="1"/>
        <v>810.05100000000004</v>
      </c>
      <c r="Y20" s="43">
        <f t="shared" si="1"/>
        <v>891.05610000000013</v>
      </c>
      <c r="Z20" s="40">
        <f t="shared" si="2"/>
        <v>-154.64610000000016</v>
      </c>
      <c r="AA20" s="44"/>
      <c r="AE20" t="s">
        <v>98</v>
      </c>
    </row>
    <row r="21" spans="3:31" ht="15.75" x14ac:dyDescent="0.25">
      <c r="C21" s="32" t="s">
        <v>99</v>
      </c>
      <c r="D21" s="33" t="s">
        <v>109</v>
      </c>
      <c r="E21" s="32" t="s">
        <v>13</v>
      </c>
      <c r="F21" s="32" t="s">
        <v>87</v>
      </c>
      <c r="G21" s="46">
        <v>122.16</v>
      </c>
      <c r="H21" s="47"/>
      <c r="I21" s="48"/>
      <c r="J21" s="48"/>
      <c r="K21" s="48"/>
      <c r="L21" s="48"/>
      <c r="M21" s="48"/>
      <c r="N21" s="48"/>
      <c r="O21" s="48"/>
      <c r="P21" s="48"/>
      <c r="Q21" s="48"/>
      <c r="R21" s="48"/>
      <c r="S21" s="48"/>
      <c r="T21" s="48">
        <v>8</v>
      </c>
      <c r="U21" s="49"/>
      <c r="V21" s="42">
        <f t="shared" si="3"/>
        <v>8</v>
      </c>
      <c r="W21" s="38">
        <f t="shared" si="0"/>
        <v>977.28</v>
      </c>
      <c r="X21" s="38">
        <f t="shared" si="1"/>
        <v>1075.008</v>
      </c>
      <c r="Y21" s="43">
        <f t="shared" si="1"/>
        <v>1182.5088000000001</v>
      </c>
      <c r="Z21" s="40">
        <f t="shared" si="2"/>
        <v>-205.22880000000009</v>
      </c>
      <c r="AA21" s="44"/>
      <c r="AE21" t="s">
        <v>98</v>
      </c>
    </row>
    <row r="22" spans="3:31" ht="15.75" x14ac:dyDescent="0.25">
      <c r="C22" s="32" t="s">
        <v>95</v>
      </c>
      <c r="D22" s="33" t="s">
        <v>113</v>
      </c>
      <c r="E22" s="32" t="s">
        <v>52</v>
      </c>
      <c r="F22" s="32" t="s">
        <v>87</v>
      </c>
      <c r="G22" s="46">
        <v>73.12</v>
      </c>
      <c r="H22" s="47"/>
      <c r="I22" s="48"/>
      <c r="J22" s="48"/>
      <c r="K22" s="48"/>
      <c r="L22" s="48"/>
      <c r="M22" s="48"/>
      <c r="N22" s="48"/>
      <c r="O22" s="48"/>
      <c r="P22" s="48"/>
      <c r="Q22" s="48"/>
      <c r="R22" s="48"/>
      <c r="S22" s="48"/>
      <c r="T22" s="48">
        <v>7.5</v>
      </c>
      <c r="U22" s="49"/>
      <c r="V22" s="42">
        <f t="shared" si="3"/>
        <v>7.5</v>
      </c>
      <c r="W22" s="38">
        <f t="shared" si="0"/>
        <v>548.4</v>
      </c>
      <c r="X22" s="38">
        <f t="shared" si="1"/>
        <v>603.24</v>
      </c>
      <c r="Y22" s="43">
        <f t="shared" si="1"/>
        <v>663.56400000000008</v>
      </c>
      <c r="Z22" s="40">
        <f t="shared" si="2"/>
        <v>-115.1640000000001</v>
      </c>
      <c r="AA22" s="44"/>
      <c r="AE22" t="s">
        <v>98</v>
      </c>
    </row>
    <row r="23" spans="3:31" ht="15.75" x14ac:dyDescent="0.25">
      <c r="C23" s="32" t="s">
        <v>99</v>
      </c>
      <c r="D23" s="33" t="s">
        <v>100</v>
      </c>
      <c r="E23" s="32" t="s">
        <v>13</v>
      </c>
      <c r="F23" s="32" t="s">
        <v>87</v>
      </c>
      <c r="G23" s="46">
        <v>122.16</v>
      </c>
      <c r="H23" s="47"/>
      <c r="I23" s="48"/>
      <c r="J23" s="48"/>
      <c r="K23" s="48"/>
      <c r="L23" s="48"/>
      <c r="M23" s="48"/>
      <c r="N23" s="48"/>
      <c r="O23" s="48"/>
      <c r="P23" s="48"/>
      <c r="Q23" s="48"/>
      <c r="R23" s="48"/>
      <c r="S23" s="48"/>
      <c r="T23" s="48">
        <v>7.75</v>
      </c>
      <c r="U23" s="49"/>
      <c r="V23" s="42">
        <f t="shared" si="3"/>
        <v>7.75</v>
      </c>
      <c r="W23" s="38">
        <f t="shared" si="0"/>
        <v>946.74</v>
      </c>
      <c r="X23" s="38">
        <f t="shared" si="1"/>
        <v>1041.414</v>
      </c>
      <c r="Y23" s="43">
        <f t="shared" si="1"/>
        <v>1145.5554000000002</v>
      </c>
      <c r="Z23" s="40">
        <f t="shared" si="2"/>
        <v>-198.81540000000018</v>
      </c>
      <c r="AA23" s="44"/>
      <c r="AE23" t="s">
        <v>98</v>
      </c>
    </row>
    <row r="24" spans="3:31" ht="15.75" x14ac:dyDescent="0.25">
      <c r="C24" s="32" t="s">
        <v>99</v>
      </c>
      <c r="D24" s="33" t="s">
        <v>109</v>
      </c>
      <c r="E24" s="32" t="s">
        <v>13</v>
      </c>
      <c r="F24" s="32" t="s">
        <v>88</v>
      </c>
      <c r="G24" s="46">
        <v>142.53</v>
      </c>
      <c r="H24" s="47"/>
      <c r="I24" s="48"/>
      <c r="J24" s="48"/>
      <c r="K24" s="48"/>
      <c r="L24" s="48"/>
      <c r="M24" s="48"/>
      <c r="N24" s="48"/>
      <c r="O24" s="48"/>
      <c r="P24" s="48"/>
      <c r="Q24" s="48"/>
      <c r="R24" s="48"/>
      <c r="S24" s="48"/>
      <c r="T24" s="48"/>
      <c r="U24" s="49">
        <v>8</v>
      </c>
      <c r="V24" s="42">
        <f t="shared" si="3"/>
        <v>8</v>
      </c>
      <c r="W24" s="38">
        <f t="shared" si="0"/>
        <v>1140.24</v>
      </c>
      <c r="X24" s="38">
        <f t="shared" si="1"/>
        <v>1254.2640000000001</v>
      </c>
      <c r="Y24" s="43">
        <f t="shared" si="1"/>
        <v>1379.6904000000002</v>
      </c>
      <c r="Z24" s="40">
        <f t="shared" si="2"/>
        <v>-239.45040000000017</v>
      </c>
      <c r="AA24" s="44"/>
      <c r="AE24" t="s">
        <v>98</v>
      </c>
    </row>
    <row r="25" spans="3:31" ht="15.75" x14ac:dyDescent="0.25">
      <c r="C25" s="32" t="s">
        <v>95</v>
      </c>
      <c r="D25" s="33" t="s">
        <v>114</v>
      </c>
      <c r="E25" s="32" t="s">
        <v>52</v>
      </c>
      <c r="F25" s="32" t="s">
        <v>88</v>
      </c>
      <c r="G25" s="55">
        <v>84.23</v>
      </c>
      <c r="H25" s="47"/>
      <c r="I25" s="48"/>
      <c r="J25" s="48"/>
      <c r="K25" s="48"/>
      <c r="L25" s="48"/>
      <c r="M25" s="48"/>
      <c r="N25" s="48"/>
      <c r="O25" s="48"/>
      <c r="P25" s="48"/>
      <c r="Q25" s="48"/>
      <c r="R25" s="48"/>
      <c r="S25" s="48"/>
      <c r="T25" s="48"/>
      <c r="U25" s="49">
        <v>7.5</v>
      </c>
      <c r="V25" s="42">
        <f t="shared" si="3"/>
        <v>7.5</v>
      </c>
      <c r="W25" s="38">
        <f t="shared" si="0"/>
        <v>631.73</v>
      </c>
      <c r="X25" s="38">
        <f t="shared" si="1"/>
        <v>694.90300000000002</v>
      </c>
      <c r="Y25" s="43">
        <f t="shared" si="1"/>
        <v>764.39330000000007</v>
      </c>
      <c r="Z25" s="40">
        <f t="shared" si="2"/>
        <v>-132.66330000000005</v>
      </c>
      <c r="AA25" s="44"/>
      <c r="AE25" t="s">
        <v>98</v>
      </c>
    </row>
    <row r="26" spans="3:31" ht="15.75" x14ac:dyDescent="0.25">
      <c r="C26" s="32" t="s">
        <v>99</v>
      </c>
      <c r="D26" s="33" t="s">
        <v>112</v>
      </c>
      <c r="E26" s="56" t="s">
        <v>13</v>
      </c>
      <c r="F26" s="56" t="s">
        <v>88</v>
      </c>
      <c r="G26" s="34">
        <v>142.53</v>
      </c>
      <c r="H26" s="57"/>
      <c r="I26" s="35"/>
      <c r="J26" s="35"/>
      <c r="K26" s="35"/>
      <c r="L26" s="35"/>
      <c r="M26" s="35"/>
      <c r="N26" s="35"/>
      <c r="O26" s="35"/>
      <c r="P26" s="35"/>
      <c r="Q26" s="35"/>
      <c r="R26" s="35"/>
      <c r="S26" s="35"/>
      <c r="T26" s="35"/>
      <c r="U26" s="36">
        <v>7.75</v>
      </c>
      <c r="V26" s="42">
        <f t="shared" ref="V26:V28" si="4">SUM(H26:U26)</f>
        <v>7.75</v>
      </c>
      <c r="W26" s="38">
        <f t="shared" si="0"/>
        <v>1104.6099999999999</v>
      </c>
      <c r="X26" s="58"/>
      <c r="Y26" s="59"/>
      <c r="Z26" s="60"/>
      <c r="AA26" s="61"/>
    </row>
    <row r="27" spans="3:31" ht="15.75" x14ac:dyDescent="0.25">
      <c r="C27" s="32"/>
      <c r="D27" s="33"/>
      <c r="E27" s="56"/>
      <c r="F27" s="56"/>
      <c r="G27" s="34"/>
      <c r="H27" s="57"/>
      <c r="I27" s="35"/>
      <c r="J27" s="35"/>
      <c r="K27" s="35"/>
      <c r="L27" s="35"/>
      <c r="M27" s="35"/>
      <c r="N27" s="35"/>
      <c r="O27" s="35"/>
      <c r="P27" s="35"/>
      <c r="Q27" s="35"/>
      <c r="R27" s="35"/>
      <c r="S27" s="35"/>
      <c r="T27" s="35"/>
      <c r="U27" s="36"/>
      <c r="V27" s="42">
        <f t="shared" si="4"/>
        <v>0</v>
      </c>
      <c r="W27" s="38">
        <f t="shared" si="0"/>
        <v>0</v>
      </c>
      <c r="X27" s="58"/>
      <c r="Y27" s="59"/>
      <c r="Z27" s="60"/>
      <c r="AA27" s="61"/>
    </row>
    <row r="28" spans="3:31" ht="15.75" x14ac:dyDescent="0.25">
      <c r="C28" s="32"/>
      <c r="D28" s="33"/>
      <c r="E28" s="56"/>
      <c r="F28" s="56"/>
      <c r="G28" s="34"/>
      <c r="H28" s="57"/>
      <c r="I28" s="35"/>
      <c r="J28" s="35"/>
      <c r="K28" s="35"/>
      <c r="L28" s="35"/>
      <c r="M28" s="35"/>
      <c r="N28" s="35"/>
      <c r="O28" s="35"/>
      <c r="P28" s="35"/>
      <c r="Q28" s="35"/>
      <c r="R28" s="35"/>
      <c r="S28" s="35"/>
      <c r="T28" s="35"/>
      <c r="U28" s="36"/>
      <c r="V28" s="42">
        <f t="shared" si="4"/>
        <v>0</v>
      </c>
      <c r="W28" s="38">
        <f t="shared" si="0"/>
        <v>0</v>
      </c>
      <c r="X28" s="58"/>
      <c r="Y28" s="59"/>
      <c r="Z28" s="60"/>
      <c r="AA28" s="61"/>
    </row>
    <row r="29" spans="3:31" ht="15.75" x14ac:dyDescent="0.25">
      <c r="C29" s="32"/>
      <c r="D29" s="33"/>
      <c r="E29" s="62"/>
      <c r="F29" s="62"/>
      <c r="G29" s="63"/>
      <c r="H29" s="64"/>
      <c r="I29" s="65"/>
      <c r="J29" s="65"/>
      <c r="K29" s="65"/>
      <c r="L29" s="65"/>
      <c r="M29" s="65"/>
      <c r="N29" s="65"/>
      <c r="O29" s="65"/>
      <c r="P29" s="65"/>
      <c r="Q29" s="65"/>
      <c r="R29" s="65"/>
      <c r="S29" s="65"/>
      <c r="T29" s="65"/>
      <c r="U29" s="66"/>
      <c r="V29" s="67">
        <f t="shared" si="3"/>
        <v>0</v>
      </c>
      <c r="W29" s="68">
        <f t="shared" si="0"/>
        <v>0</v>
      </c>
      <c r="X29" s="68">
        <f t="shared" si="1"/>
        <v>0</v>
      </c>
      <c r="Y29" s="69">
        <f t="shared" si="1"/>
        <v>0</v>
      </c>
      <c r="Z29" s="70">
        <f t="shared" si="2"/>
        <v>0</v>
      </c>
      <c r="AA29" s="71"/>
    </row>
    <row r="30" spans="3:31" ht="16.5" thickBot="1" x14ac:dyDescent="0.3">
      <c r="C30" s="72"/>
      <c r="D30" s="73"/>
      <c r="E30" s="72"/>
      <c r="F30" s="72"/>
      <c r="G30" s="74"/>
      <c r="H30" s="75">
        <f t="shared" ref="H30:U30" si="5">SUM(H10:H29)</f>
        <v>0</v>
      </c>
      <c r="I30" s="76">
        <f t="shared" si="5"/>
        <v>0</v>
      </c>
      <c r="J30" s="76">
        <f t="shared" si="5"/>
        <v>15.75</v>
      </c>
      <c r="K30" s="76">
        <f t="shared" si="5"/>
        <v>7.75</v>
      </c>
      <c r="L30" s="76">
        <f t="shared" si="5"/>
        <v>0</v>
      </c>
      <c r="M30" s="76">
        <f t="shared" si="5"/>
        <v>7.5</v>
      </c>
      <c r="N30" s="76">
        <f t="shared" si="5"/>
        <v>0</v>
      </c>
      <c r="O30" s="76">
        <f t="shared" si="5"/>
        <v>7.5</v>
      </c>
      <c r="P30" s="76">
        <f t="shared" si="5"/>
        <v>0</v>
      </c>
      <c r="Q30" s="76">
        <f t="shared" si="5"/>
        <v>15.75</v>
      </c>
      <c r="R30" s="76">
        <f t="shared" si="5"/>
        <v>8</v>
      </c>
      <c r="S30" s="76">
        <f t="shared" si="5"/>
        <v>22.75</v>
      </c>
      <c r="T30" s="76">
        <f t="shared" si="5"/>
        <v>23.25</v>
      </c>
      <c r="U30" s="77">
        <f t="shared" si="5"/>
        <v>23.25</v>
      </c>
      <c r="V30" s="78">
        <f t="shared" ref="V30" si="6">SUM(H30:U30)</f>
        <v>131.5</v>
      </c>
      <c r="W30" s="79">
        <f>SUM(W10:W29)</f>
        <v>11801.58</v>
      </c>
      <c r="X30" s="79">
        <f>SUM(X10:X29)</f>
        <v>11299.299000000005</v>
      </c>
      <c r="Y30" s="79">
        <f>SUM(Y10:Y29)</f>
        <v>16293.8927</v>
      </c>
      <c r="Z30" s="80">
        <f>SUM(Z10:Z29)</f>
        <v>-6021.802700000002</v>
      </c>
    </row>
    <row r="31" spans="3:31" ht="16.5" thickTop="1" x14ac:dyDescent="0.25">
      <c r="C31" s="81"/>
      <c r="D31" s="82"/>
      <c r="E31" s="83"/>
      <c r="F31" s="81"/>
      <c r="G31" s="84"/>
      <c r="H31" s="85">
        <f t="shared" ref="H31:W34" si="7">SUMIFS(H$10:H$29,$E$10:$E$29,$E31)</f>
        <v>0</v>
      </c>
      <c r="I31" s="86">
        <f t="shared" si="7"/>
        <v>0</v>
      </c>
      <c r="J31" s="86">
        <f t="shared" si="7"/>
        <v>0</v>
      </c>
      <c r="K31" s="86">
        <f t="shared" si="7"/>
        <v>0</v>
      </c>
      <c r="L31" s="86">
        <f t="shared" si="7"/>
        <v>0</v>
      </c>
      <c r="M31" s="86">
        <f t="shared" si="7"/>
        <v>0</v>
      </c>
      <c r="N31" s="86">
        <f t="shared" si="7"/>
        <v>0</v>
      </c>
      <c r="O31" s="86">
        <f t="shared" si="7"/>
        <v>0</v>
      </c>
      <c r="P31" s="86">
        <f t="shared" si="7"/>
        <v>0</v>
      </c>
      <c r="Q31" s="86">
        <f t="shared" si="7"/>
        <v>0</v>
      </c>
      <c r="R31" s="86">
        <f t="shared" si="7"/>
        <v>0</v>
      </c>
      <c r="S31" s="86">
        <f t="shared" si="7"/>
        <v>0</v>
      </c>
      <c r="T31" s="86">
        <f t="shared" si="7"/>
        <v>0</v>
      </c>
      <c r="U31" s="87">
        <f t="shared" si="7"/>
        <v>0</v>
      </c>
      <c r="V31" s="88">
        <f t="shared" si="7"/>
        <v>0</v>
      </c>
      <c r="W31" s="89">
        <f t="shared" si="7"/>
        <v>0</v>
      </c>
      <c r="X31" s="89">
        <f t="shared" ref="R31:Z34" si="8">SUMIFS(X$10:X$29,$E$10:$E$29,$E31)</f>
        <v>0</v>
      </c>
      <c r="Y31" s="89">
        <f t="shared" si="8"/>
        <v>0</v>
      </c>
      <c r="Z31" s="90">
        <f t="shared" si="8"/>
        <v>0</v>
      </c>
    </row>
    <row r="32" spans="3:31" ht="15.75" x14ac:dyDescent="0.25">
      <c r="C32" s="91"/>
      <c r="D32" s="92" t="s">
        <v>115</v>
      </c>
      <c r="E32" s="93" t="s">
        <v>102</v>
      </c>
      <c r="F32" s="91"/>
      <c r="G32" s="94" t="e">
        <f t="shared" ref="G32:G34" si="9">W32/V32</f>
        <v>#DIV/0!</v>
      </c>
      <c r="H32" s="95">
        <f t="shared" si="7"/>
        <v>0</v>
      </c>
      <c r="I32" s="96">
        <f t="shared" si="7"/>
        <v>0</v>
      </c>
      <c r="J32" s="96">
        <f t="shared" si="7"/>
        <v>0</v>
      </c>
      <c r="K32" s="96">
        <f t="shared" si="7"/>
        <v>0</v>
      </c>
      <c r="L32" s="96">
        <f t="shared" si="7"/>
        <v>0</v>
      </c>
      <c r="M32" s="96">
        <f t="shared" si="7"/>
        <v>0</v>
      </c>
      <c r="N32" s="96">
        <f t="shared" si="7"/>
        <v>0</v>
      </c>
      <c r="O32" s="96">
        <f t="shared" si="7"/>
        <v>0</v>
      </c>
      <c r="P32" s="96">
        <f t="shared" si="7"/>
        <v>0</v>
      </c>
      <c r="Q32" s="96">
        <f t="shared" si="7"/>
        <v>0</v>
      </c>
      <c r="R32" s="96">
        <f t="shared" si="8"/>
        <v>0</v>
      </c>
      <c r="S32" s="96">
        <f t="shared" si="8"/>
        <v>0</v>
      </c>
      <c r="T32" s="96">
        <f t="shared" si="8"/>
        <v>0</v>
      </c>
      <c r="U32" s="97">
        <f t="shared" si="8"/>
        <v>0</v>
      </c>
      <c r="V32" s="98">
        <f t="shared" si="8"/>
        <v>0</v>
      </c>
      <c r="W32" s="99">
        <f t="shared" si="8"/>
        <v>0</v>
      </c>
      <c r="X32" s="99">
        <f t="shared" si="8"/>
        <v>0</v>
      </c>
      <c r="Y32" s="99">
        <f t="shared" si="8"/>
        <v>0</v>
      </c>
      <c r="Z32" s="100">
        <f t="shared" si="8"/>
        <v>0</v>
      </c>
    </row>
    <row r="33" spans="3:32" ht="15.75" x14ac:dyDescent="0.25">
      <c r="C33" s="91"/>
      <c r="D33" s="92" t="s">
        <v>115</v>
      </c>
      <c r="E33" s="93" t="s">
        <v>52</v>
      </c>
      <c r="F33" s="91"/>
      <c r="G33" s="94">
        <f t="shared" si="9"/>
        <v>64.314528301886796</v>
      </c>
      <c r="H33" s="95">
        <f t="shared" si="7"/>
        <v>0</v>
      </c>
      <c r="I33" s="96">
        <f t="shared" si="7"/>
        <v>0</v>
      </c>
      <c r="J33" s="96">
        <f t="shared" si="7"/>
        <v>8</v>
      </c>
      <c r="K33" s="96">
        <f t="shared" si="7"/>
        <v>0</v>
      </c>
      <c r="L33" s="96">
        <f t="shared" si="7"/>
        <v>0</v>
      </c>
      <c r="M33" s="96">
        <f t="shared" si="7"/>
        <v>7.5</v>
      </c>
      <c r="N33" s="96">
        <f t="shared" si="7"/>
        <v>0</v>
      </c>
      <c r="O33" s="96">
        <f t="shared" si="7"/>
        <v>7.5</v>
      </c>
      <c r="P33" s="96">
        <f t="shared" si="7"/>
        <v>0</v>
      </c>
      <c r="Q33" s="96">
        <f t="shared" si="7"/>
        <v>0</v>
      </c>
      <c r="R33" s="96">
        <f t="shared" si="8"/>
        <v>0</v>
      </c>
      <c r="S33" s="96">
        <f t="shared" si="8"/>
        <v>15</v>
      </c>
      <c r="T33" s="96">
        <f t="shared" si="8"/>
        <v>7.5</v>
      </c>
      <c r="U33" s="97">
        <f t="shared" si="8"/>
        <v>7.5</v>
      </c>
      <c r="V33" s="98">
        <f t="shared" si="8"/>
        <v>53</v>
      </c>
      <c r="W33" s="99">
        <f t="shared" si="8"/>
        <v>3408.67</v>
      </c>
      <c r="X33" s="99">
        <f t="shared" si="8"/>
        <v>3282.1690000000008</v>
      </c>
      <c r="Y33" s="99">
        <f t="shared" si="8"/>
        <v>6317.1619000000001</v>
      </c>
      <c r="Z33" s="100">
        <f t="shared" si="8"/>
        <v>-3333.3719000000006</v>
      </c>
    </row>
    <row r="34" spans="3:32" ht="15.75" x14ac:dyDescent="0.25">
      <c r="C34" s="101"/>
      <c r="D34" s="102" t="s">
        <v>115</v>
      </c>
      <c r="E34" s="103" t="s">
        <v>105</v>
      </c>
      <c r="F34" s="101"/>
      <c r="G34" s="104" t="e">
        <f t="shared" si="9"/>
        <v>#DIV/0!</v>
      </c>
      <c r="H34" s="105">
        <f t="shared" si="7"/>
        <v>0</v>
      </c>
      <c r="I34" s="106">
        <f t="shared" si="7"/>
        <v>0</v>
      </c>
      <c r="J34" s="106">
        <f t="shared" si="7"/>
        <v>0</v>
      </c>
      <c r="K34" s="106">
        <f t="shared" si="7"/>
        <v>0</v>
      </c>
      <c r="L34" s="106">
        <f t="shared" si="7"/>
        <v>0</v>
      </c>
      <c r="M34" s="106">
        <f t="shared" si="7"/>
        <v>0</v>
      </c>
      <c r="N34" s="106">
        <f t="shared" si="7"/>
        <v>0</v>
      </c>
      <c r="O34" s="106">
        <f t="shared" si="7"/>
        <v>0</v>
      </c>
      <c r="P34" s="106">
        <f t="shared" si="7"/>
        <v>0</v>
      </c>
      <c r="Q34" s="106">
        <f t="shared" si="7"/>
        <v>0</v>
      </c>
      <c r="R34" s="106">
        <f t="shared" si="8"/>
        <v>0</v>
      </c>
      <c r="S34" s="106">
        <f t="shared" si="8"/>
        <v>0</v>
      </c>
      <c r="T34" s="106">
        <f t="shared" si="8"/>
        <v>0</v>
      </c>
      <c r="U34" s="107">
        <f t="shared" si="8"/>
        <v>0</v>
      </c>
      <c r="V34" s="108">
        <f t="shared" si="8"/>
        <v>0</v>
      </c>
      <c r="W34" s="109">
        <f t="shared" si="8"/>
        <v>0</v>
      </c>
      <c r="X34" s="109">
        <f t="shared" si="8"/>
        <v>0</v>
      </c>
      <c r="Y34" s="109">
        <f t="shared" si="8"/>
        <v>0</v>
      </c>
      <c r="Z34" s="110">
        <f t="shared" si="8"/>
        <v>0</v>
      </c>
    </row>
    <row r="35" spans="3:32" ht="16.5" thickBot="1" x14ac:dyDescent="0.3">
      <c r="C35" s="111"/>
      <c r="D35" s="112" t="s">
        <v>115</v>
      </c>
      <c r="E35" s="111"/>
      <c r="F35" s="111"/>
      <c r="G35" s="113"/>
      <c r="H35" s="114">
        <f>SUM(H31:H34)</f>
        <v>0</v>
      </c>
      <c r="I35" s="115">
        <f t="shared" ref="I35:Z35" si="10">SUM(I31:I34)</f>
        <v>0</v>
      </c>
      <c r="J35" s="115">
        <f t="shared" si="10"/>
        <v>8</v>
      </c>
      <c r="K35" s="115">
        <f t="shared" si="10"/>
        <v>0</v>
      </c>
      <c r="L35" s="115">
        <f t="shared" si="10"/>
        <v>0</v>
      </c>
      <c r="M35" s="115">
        <f t="shared" si="10"/>
        <v>7.5</v>
      </c>
      <c r="N35" s="115">
        <f t="shared" si="10"/>
        <v>0</v>
      </c>
      <c r="O35" s="115">
        <f t="shared" si="10"/>
        <v>7.5</v>
      </c>
      <c r="P35" s="115">
        <f t="shared" si="10"/>
        <v>0</v>
      </c>
      <c r="Q35" s="115">
        <f t="shared" si="10"/>
        <v>0</v>
      </c>
      <c r="R35" s="115">
        <f t="shared" si="10"/>
        <v>0</v>
      </c>
      <c r="S35" s="115">
        <f t="shared" si="10"/>
        <v>15</v>
      </c>
      <c r="T35" s="115">
        <f t="shared" si="10"/>
        <v>7.5</v>
      </c>
      <c r="U35" s="116">
        <f t="shared" si="10"/>
        <v>7.5</v>
      </c>
      <c r="V35" s="117">
        <f t="shared" si="10"/>
        <v>53</v>
      </c>
      <c r="W35" s="118">
        <f t="shared" si="10"/>
        <v>3408.67</v>
      </c>
      <c r="X35" s="118">
        <f t="shared" si="10"/>
        <v>3282.1690000000008</v>
      </c>
      <c r="Y35" s="118">
        <f t="shared" si="10"/>
        <v>6317.1619000000001</v>
      </c>
      <c r="Z35" s="119">
        <f t="shared" si="10"/>
        <v>-3333.3719000000006</v>
      </c>
      <c r="AA35" s="120"/>
      <c r="AB35" s="120"/>
      <c r="AC35" s="121"/>
      <c r="AD35" s="121"/>
      <c r="AE35" s="121"/>
      <c r="AF35" s="121"/>
    </row>
    <row r="36" spans="3:32" ht="15.75" thickTop="1" x14ac:dyDescent="0.25">
      <c r="C36" s="12"/>
      <c r="D36" s="12"/>
      <c r="E36" s="12"/>
      <c r="F36" s="12"/>
      <c r="G36" s="12"/>
      <c r="H36" s="12"/>
      <c r="I36" s="12"/>
      <c r="J36" s="12"/>
      <c r="K36" s="12"/>
      <c r="L36" s="12"/>
      <c r="M36" s="12"/>
      <c r="N36" s="12"/>
      <c r="O36" s="12"/>
      <c r="P36" s="12"/>
      <c r="Q36" s="12"/>
      <c r="R36" s="12"/>
      <c r="S36" s="12"/>
      <c r="T36" s="12"/>
      <c r="U36" s="12"/>
      <c r="V36" s="12"/>
      <c r="W36" s="12"/>
      <c r="AC36" s="12"/>
      <c r="AD36" s="12"/>
      <c r="AE36" s="12"/>
      <c r="AF36" s="12"/>
    </row>
    <row r="37" spans="3:32" ht="15.75" x14ac:dyDescent="0.25">
      <c r="C37" s="122" t="s">
        <v>116</v>
      </c>
      <c r="D37" s="123" t="s">
        <v>117</v>
      </c>
      <c r="E37" s="124" t="s">
        <v>118</v>
      </c>
      <c r="F37" s="125" t="s">
        <v>119</v>
      </c>
      <c r="G37" s="126"/>
      <c r="H37" s="12"/>
      <c r="I37" s="12"/>
      <c r="J37" s="12"/>
      <c r="K37" s="12"/>
      <c r="L37" s="12"/>
      <c r="M37" s="12"/>
      <c r="N37" s="12"/>
      <c r="O37" s="12"/>
      <c r="P37" s="12"/>
      <c r="Q37" s="12"/>
      <c r="R37" s="12"/>
      <c r="S37" s="12"/>
      <c r="T37" s="12"/>
      <c r="U37" s="12"/>
      <c r="V37" s="12"/>
      <c r="W37" s="12"/>
      <c r="AC37" s="12"/>
      <c r="AD37" s="12"/>
      <c r="AE37" s="12"/>
      <c r="AF37" s="12"/>
    </row>
    <row r="38" spans="3:32" ht="15.75" x14ac:dyDescent="0.25">
      <c r="C38" s="127" t="s">
        <v>120</v>
      </c>
      <c r="D38" s="128"/>
      <c r="E38" s="129"/>
      <c r="F38" s="130"/>
      <c r="G38" s="131"/>
      <c r="H38" s="12"/>
      <c r="I38" s="12"/>
      <c r="J38" s="12"/>
      <c r="K38" s="12"/>
      <c r="L38" s="12"/>
      <c r="M38" s="12"/>
      <c r="N38" s="12"/>
      <c r="O38" s="12"/>
      <c r="P38" s="12"/>
      <c r="Q38" s="12"/>
      <c r="R38" s="12"/>
      <c r="S38" s="12"/>
      <c r="T38" s="12"/>
      <c r="U38" s="12"/>
      <c r="V38" s="12"/>
      <c r="W38" s="12"/>
      <c r="AC38" s="12"/>
      <c r="AD38" s="12"/>
      <c r="AE38" s="12"/>
      <c r="AF38" s="12"/>
    </row>
    <row r="39" spans="3:32" ht="15.75" x14ac:dyDescent="0.25">
      <c r="C39" s="132" t="s">
        <v>121</v>
      </c>
      <c r="D39" s="133"/>
      <c r="E39" s="134" t="s">
        <v>118</v>
      </c>
      <c r="F39" s="12"/>
      <c r="G39" s="135"/>
      <c r="H39" s="12"/>
      <c r="I39" s="12"/>
      <c r="J39" s="12"/>
      <c r="K39" s="12"/>
      <c r="L39" s="12"/>
      <c r="M39" s="12"/>
      <c r="N39" s="12"/>
      <c r="O39" s="12"/>
      <c r="P39" s="12"/>
      <c r="Q39" s="12"/>
      <c r="R39" s="12"/>
      <c r="S39" s="12"/>
      <c r="T39" s="12"/>
      <c r="U39" s="12"/>
      <c r="V39" s="12"/>
      <c r="W39" s="12"/>
      <c r="AC39" s="12"/>
      <c r="AD39" s="12"/>
      <c r="AE39" s="12"/>
      <c r="AF39" s="12"/>
    </row>
    <row r="40" spans="3:32" ht="15.75" x14ac:dyDescent="0.25">
      <c r="C40" s="136" t="s">
        <v>122</v>
      </c>
      <c r="D40" s="12"/>
      <c r="E40" s="12"/>
      <c r="F40" s="12"/>
      <c r="G40" s="135"/>
      <c r="H40" s="12"/>
      <c r="I40" s="12"/>
      <c r="J40" s="12"/>
      <c r="K40" s="12"/>
      <c r="L40" s="12"/>
      <c r="M40" s="12"/>
      <c r="N40" s="12"/>
      <c r="O40" s="12"/>
      <c r="P40" s="12"/>
      <c r="Q40" s="12"/>
      <c r="R40" s="12"/>
      <c r="S40" s="12"/>
      <c r="T40" s="12"/>
      <c r="U40" s="12"/>
      <c r="V40" s="12"/>
      <c r="W40" s="12"/>
      <c r="AC40" s="12"/>
      <c r="AD40" s="12"/>
      <c r="AE40" s="12"/>
      <c r="AF40" s="12"/>
    </row>
    <row r="41" spans="3:32" x14ac:dyDescent="0.25">
      <c r="C41" s="12"/>
      <c r="D41" s="12"/>
      <c r="E41" s="12"/>
      <c r="F41" s="12"/>
      <c r="G41" s="12"/>
      <c r="H41" s="12"/>
      <c r="I41" s="12"/>
      <c r="J41" s="12"/>
      <c r="K41" s="12"/>
      <c r="L41" s="12"/>
      <c r="M41" s="12"/>
      <c r="N41" s="12"/>
      <c r="O41" s="12"/>
      <c r="P41" s="12"/>
      <c r="Q41" s="12"/>
      <c r="R41" s="12"/>
      <c r="S41" s="12"/>
      <c r="T41" s="12"/>
      <c r="U41" s="12"/>
      <c r="V41" s="12"/>
      <c r="W41" s="12"/>
      <c r="AC41" s="12"/>
      <c r="AD41" s="12"/>
      <c r="AE41" s="12"/>
    </row>
    <row r="42" spans="3:32" x14ac:dyDescent="0.25">
      <c r="C42" s="12"/>
      <c r="D42" s="12"/>
      <c r="E42" s="12"/>
      <c r="F42" s="12"/>
      <c r="G42" s="12"/>
      <c r="H42" s="12"/>
      <c r="I42" s="12"/>
      <c r="J42" s="12"/>
      <c r="K42" s="12"/>
      <c r="L42" s="12"/>
      <c r="M42" s="12"/>
      <c r="N42" s="12"/>
      <c r="O42" s="12"/>
      <c r="P42" s="12"/>
      <c r="Q42" s="12"/>
      <c r="R42" s="12"/>
      <c r="S42" s="12"/>
      <c r="T42" s="12"/>
      <c r="U42" s="12"/>
      <c r="V42" s="12"/>
      <c r="W42" s="12"/>
      <c r="AC42" s="12"/>
      <c r="AD42" s="12"/>
      <c r="AE42" s="12"/>
    </row>
    <row r="43" spans="3:32" x14ac:dyDescent="0.25">
      <c r="C43" s="12"/>
      <c r="D43" s="12"/>
      <c r="E43" s="12"/>
      <c r="F43" s="12"/>
      <c r="G43" s="12"/>
      <c r="H43" s="12"/>
      <c r="I43" s="12"/>
      <c r="J43" s="12"/>
      <c r="K43" s="12"/>
      <c r="L43" s="12"/>
      <c r="M43" s="12"/>
      <c r="N43" s="12"/>
      <c r="O43" s="12"/>
      <c r="P43" s="12"/>
      <c r="Q43" s="12"/>
      <c r="R43" s="12"/>
      <c r="S43" s="12"/>
      <c r="T43" s="12"/>
      <c r="U43" s="12"/>
      <c r="V43" s="12"/>
      <c r="W43" s="12"/>
      <c r="AC43" s="12"/>
      <c r="AD43" s="12"/>
      <c r="AE43" s="12"/>
    </row>
    <row r="44" spans="3:32" x14ac:dyDescent="0.25">
      <c r="C44" s="12"/>
      <c r="D44" s="12"/>
      <c r="E44" s="12"/>
      <c r="F44" s="12"/>
      <c r="G44" s="12"/>
      <c r="H44" s="12"/>
      <c r="I44" s="12"/>
      <c r="J44" s="12"/>
      <c r="K44" s="12"/>
      <c r="L44" s="12"/>
      <c r="M44" s="12"/>
      <c r="N44" s="12"/>
      <c r="O44" s="12"/>
      <c r="P44" s="12"/>
      <c r="Q44" s="12"/>
      <c r="R44" s="12"/>
      <c r="S44" s="12"/>
      <c r="T44" s="12"/>
      <c r="U44" s="12"/>
      <c r="V44" s="12"/>
      <c r="W44" s="12"/>
      <c r="AC44" s="12"/>
      <c r="AD44" s="12"/>
      <c r="AE44" s="12"/>
    </row>
    <row r="45" spans="3:32" x14ac:dyDescent="0.25">
      <c r="C45" s="12"/>
      <c r="D45" s="12"/>
      <c r="E45" s="12"/>
      <c r="F45" s="12"/>
      <c r="G45" s="12"/>
      <c r="H45" s="12"/>
      <c r="I45" s="12"/>
      <c r="J45" s="12"/>
      <c r="K45" s="12"/>
      <c r="L45" s="12"/>
      <c r="M45" s="12"/>
      <c r="N45" s="12"/>
      <c r="O45" s="12"/>
      <c r="P45" s="12"/>
      <c r="Q45" s="12"/>
      <c r="R45" s="12"/>
      <c r="S45" s="12"/>
      <c r="T45" s="12"/>
      <c r="U45" s="12"/>
      <c r="V45" s="12"/>
      <c r="W45" s="12"/>
      <c r="AC45" s="12"/>
      <c r="AD45" s="12"/>
      <c r="AE45" s="12"/>
    </row>
    <row r="46" spans="3:32" x14ac:dyDescent="0.25">
      <c r="C46" s="12"/>
      <c r="D46" s="12"/>
      <c r="E46" s="12"/>
      <c r="F46" s="12"/>
      <c r="G46" s="12"/>
      <c r="H46" s="12"/>
      <c r="I46" s="12"/>
      <c r="J46" s="12"/>
      <c r="K46" s="12"/>
      <c r="L46" s="12"/>
      <c r="M46" s="12"/>
      <c r="N46" s="12"/>
      <c r="O46" s="12"/>
      <c r="P46" s="12"/>
      <c r="Q46" s="12"/>
      <c r="R46" s="12"/>
      <c r="S46" s="12"/>
      <c r="T46" s="12"/>
      <c r="U46" s="12"/>
      <c r="V46" s="12"/>
      <c r="W46" s="12"/>
      <c r="AC46" s="12"/>
      <c r="AD46" s="12"/>
      <c r="AE46" s="12"/>
    </row>
    <row r="47" spans="3:32" x14ac:dyDescent="0.25">
      <c r="C47" s="12"/>
      <c r="D47" s="12"/>
      <c r="E47" s="12"/>
      <c r="F47" s="12"/>
      <c r="G47" s="12"/>
      <c r="H47" s="12"/>
      <c r="I47" s="12"/>
      <c r="J47" s="12"/>
      <c r="K47" s="12"/>
      <c r="L47" s="12"/>
      <c r="M47" s="12"/>
      <c r="N47" s="12"/>
      <c r="O47" s="12"/>
      <c r="P47" s="12"/>
      <c r="Q47" s="12"/>
      <c r="R47" s="12"/>
      <c r="S47" s="12"/>
      <c r="T47" s="12"/>
      <c r="U47" s="12"/>
      <c r="V47" s="12"/>
      <c r="W47" s="12"/>
      <c r="AC47" s="12"/>
      <c r="AD47" s="12"/>
      <c r="AE47" s="12"/>
    </row>
    <row r="48" spans="3:32" x14ac:dyDescent="0.25">
      <c r="C48" s="12"/>
      <c r="D48" s="12"/>
      <c r="E48" s="12"/>
      <c r="F48" s="12"/>
      <c r="G48" s="12"/>
      <c r="H48" s="12"/>
      <c r="I48" s="12"/>
      <c r="J48" s="12"/>
      <c r="K48" s="12"/>
      <c r="L48" s="12"/>
      <c r="M48" s="12"/>
      <c r="N48" s="12"/>
      <c r="O48" s="12"/>
      <c r="P48" s="12"/>
      <c r="Q48" s="12"/>
      <c r="R48" s="12"/>
      <c r="S48" s="12"/>
      <c r="T48" s="12"/>
      <c r="U48" s="12"/>
      <c r="V48" s="12"/>
      <c r="W48" s="12"/>
      <c r="AC48" s="12"/>
      <c r="AD48" s="12"/>
      <c r="AE48" s="12"/>
    </row>
    <row r="49" spans="3:31" x14ac:dyDescent="0.25">
      <c r="C49" s="12"/>
      <c r="D49" s="12"/>
      <c r="E49" s="12"/>
      <c r="F49" s="12"/>
      <c r="G49" s="12"/>
      <c r="H49" s="12"/>
      <c r="I49" s="12"/>
      <c r="J49" s="12"/>
      <c r="K49" s="12"/>
      <c r="L49" s="12"/>
      <c r="M49" s="12"/>
      <c r="N49" s="12"/>
      <c r="O49" s="12"/>
      <c r="P49" s="12"/>
      <c r="Q49" s="12"/>
      <c r="R49" s="12"/>
      <c r="S49" s="12"/>
      <c r="T49" s="12"/>
      <c r="U49" s="12"/>
      <c r="V49" s="12"/>
      <c r="W49" s="12"/>
      <c r="AC49" s="12"/>
      <c r="AD49" s="12"/>
      <c r="AE49" s="12"/>
    </row>
    <row r="50" spans="3:31" x14ac:dyDescent="0.25">
      <c r="C50" s="12"/>
      <c r="D50" s="12"/>
      <c r="E50" s="12"/>
      <c r="F50" s="12"/>
      <c r="G50" s="12"/>
      <c r="H50" s="12"/>
      <c r="I50" s="12"/>
      <c r="J50" s="12"/>
      <c r="K50" s="12"/>
      <c r="L50" s="12"/>
      <c r="M50" s="12"/>
      <c r="N50" s="12"/>
      <c r="O50" s="12"/>
      <c r="P50" s="12"/>
      <c r="Q50" s="12"/>
      <c r="R50" s="12"/>
      <c r="S50" s="12"/>
      <c r="T50" s="12"/>
      <c r="U50" s="12"/>
      <c r="V50" s="12"/>
      <c r="W50" s="12"/>
      <c r="AC50" s="12"/>
      <c r="AD50" s="12"/>
      <c r="AE50" s="12"/>
    </row>
    <row r="51" spans="3:31" x14ac:dyDescent="0.25">
      <c r="C51" s="12"/>
      <c r="D51" s="12"/>
      <c r="E51" s="12"/>
      <c r="F51" s="12"/>
      <c r="G51" s="12"/>
      <c r="H51" s="12"/>
      <c r="I51" s="12"/>
      <c r="J51" s="12"/>
      <c r="K51" s="12"/>
      <c r="L51" s="12"/>
      <c r="M51" s="12"/>
      <c r="N51" s="12"/>
      <c r="O51" s="12"/>
      <c r="P51" s="12"/>
      <c r="Q51" s="12"/>
      <c r="R51" s="12"/>
      <c r="S51" s="12"/>
      <c r="T51" s="12"/>
      <c r="U51" s="12"/>
      <c r="V51" s="12"/>
      <c r="W51" s="12"/>
      <c r="AC51" s="12"/>
      <c r="AD51" s="12"/>
      <c r="AE51" s="12"/>
    </row>
    <row r="52" spans="3:31" x14ac:dyDescent="0.25">
      <c r="C52" s="12"/>
      <c r="D52" s="12"/>
      <c r="E52" s="12"/>
      <c r="F52" s="12"/>
      <c r="G52" s="12"/>
      <c r="H52" s="12"/>
      <c r="I52" s="12"/>
      <c r="J52" s="12"/>
      <c r="K52" s="12"/>
      <c r="L52" s="12"/>
      <c r="M52" s="12"/>
      <c r="N52" s="12"/>
      <c r="O52" s="12"/>
      <c r="P52" s="12"/>
      <c r="Q52" s="12"/>
      <c r="R52" s="12"/>
      <c r="S52" s="12"/>
      <c r="T52" s="12"/>
      <c r="U52" s="12"/>
      <c r="V52" s="12"/>
      <c r="W52" s="12"/>
      <c r="AC52" s="12"/>
      <c r="AD52" s="12"/>
      <c r="AE52" s="12"/>
    </row>
    <row r="53" spans="3:31" x14ac:dyDescent="0.25">
      <c r="C53" s="12"/>
      <c r="D53" s="12"/>
      <c r="E53" s="12"/>
      <c r="F53" s="12"/>
      <c r="G53" s="12"/>
      <c r="H53" s="12"/>
      <c r="I53" s="12"/>
      <c r="J53" s="12"/>
      <c r="K53" s="12"/>
      <c r="L53" s="12"/>
      <c r="M53" s="12"/>
      <c r="N53" s="12"/>
      <c r="O53" s="12"/>
      <c r="P53" s="12"/>
      <c r="Q53" s="12"/>
      <c r="R53" s="12"/>
      <c r="S53" s="12"/>
      <c r="T53" s="12"/>
      <c r="U53" s="12"/>
      <c r="V53" s="12"/>
      <c r="W53" s="12"/>
      <c r="AC53" s="12"/>
      <c r="AD53" s="12"/>
      <c r="AE53" s="12"/>
    </row>
    <row r="54" spans="3:31" x14ac:dyDescent="0.25">
      <c r="C54" s="12"/>
      <c r="D54" s="12"/>
      <c r="E54" s="12"/>
      <c r="F54" s="12"/>
      <c r="G54" s="12"/>
      <c r="H54" s="12"/>
      <c r="I54" s="12"/>
      <c r="J54" s="12"/>
      <c r="K54" s="12"/>
      <c r="L54" s="12"/>
      <c r="M54" s="12"/>
      <c r="N54" s="12"/>
      <c r="O54" s="12"/>
      <c r="P54" s="12"/>
      <c r="Q54" s="12"/>
      <c r="R54" s="12"/>
      <c r="S54" s="12"/>
      <c r="T54" s="12"/>
      <c r="U54" s="12"/>
      <c r="V54" s="12"/>
      <c r="W54" s="12"/>
      <c r="AC54" s="12"/>
      <c r="AD54" s="12"/>
      <c r="AE54" s="12"/>
    </row>
    <row r="55" spans="3:31" x14ac:dyDescent="0.25">
      <c r="C55" s="12"/>
      <c r="D55" s="12"/>
      <c r="E55" s="12"/>
      <c r="F55" s="12"/>
      <c r="G55" s="12"/>
      <c r="H55" s="12"/>
      <c r="I55" s="12"/>
      <c r="J55" s="12"/>
      <c r="K55" s="12"/>
      <c r="L55" s="12"/>
      <c r="M55" s="12"/>
      <c r="N55" s="12"/>
      <c r="O55" s="12"/>
      <c r="P55" s="12"/>
      <c r="Q55" s="12"/>
      <c r="R55" s="12"/>
      <c r="S55" s="12"/>
      <c r="T55" s="12"/>
      <c r="U55" s="12"/>
      <c r="V55" s="12"/>
      <c r="W55" s="12"/>
      <c r="AC55" s="12"/>
      <c r="AD55" s="12"/>
      <c r="AE55" s="12"/>
    </row>
    <row r="56" spans="3:31" x14ac:dyDescent="0.25">
      <c r="C56" s="12"/>
      <c r="D56" s="12"/>
      <c r="E56" s="12"/>
      <c r="F56" s="12"/>
      <c r="G56" s="12"/>
      <c r="H56" s="12"/>
      <c r="I56" s="12"/>
      <c r="J56" s="12"/>
      <c r="K56" s="12"/>
      <c r="L56" s="12"/>
      <c r="M56" s="12"/>
      <c r="N56" s="12"/>
      <c r="O56" s="12"/>
      <c r="P56" s="12"/>
      <c r="Q56" s="12"/>
      <c r="R56" s="12"/>
      <c r="S56" s="12"/>
      <c r="T56" s="12"/>
      <c r="U56" s="12"/>
      <c r="V56" s="12"/>
      <c r="W56" s="12"/>
      <c r="AC56" s="12"/>
      <c r="AD56" s="12"/>
      <c r="AE56" s="12"/>
    </row>
    <row r="57" spans="3:31" x14ac:dyDescent="0.25">
      <c r="C57" s="12"/>
      <c r="D57" s="12"/>
      <c r="E57" s="12"/>
      <c r="F57" s="12"/>
      <c r="G57" s="12"/>
      <c r="H57" s="12"/>
      <c r="I57" s="12"/>
      <c r="J57" s="12"/>
      <c r="K57" s="12"/>
      <c r="L57" s="12"/>
      <c r="M57" s="12"/>
      <c r="N57" s="12"/>
      <c r="O57" s="12"/>
      <c r="P57" s="12"/>
      <c r="Q57" s="12"/>
      <c r="R57" s="12"/>
      <c r="S57" s="12"/>
      <c r="T57" s="12"/>
      <c r="U57" s="12"/>
      <c r="V57" s="12"/>
      <c r="W57" s="12"/>
      <c r="AC57" s="12"/>
      <c r="AD57" s="12"/>
      <c r="AE57" s="12"/>
    </row>
    <row r="58" spans="3:31" x14ac:dyDescent="0.25">
      <c r="C58" s="12"/>
      <c r="D58" s="12"/>
      <c r="E58" s="12"/>
      <c r="F58" s="12"/>
      <c r="G58" s="12"/>
      <c r="H58" s="12"/>
      <c r="I58" s="12"/>
      <c r="J58" s="12"/>
      <c r="K58" s="12"/>
      <c r="L58" s="12"/>
      <c r="M58" s="12"/>
      <c r="N58" s="12"/>
      <c r="O58" s="12"/>
      <c r="P58" s="12"/>
      <c r="Q58" s="12"/>
      <c r="R58" s="12"/>
      <c r="S58" s="12"/>
      <c r="T58" s="12"/>
      <c r="U58" s="12"/>
      <c r="V58" s="12"/>
      <c r="W58" s="12"/>
      <c r="AC58" s="12"/>
      <c r="AD58" s="12"/>
      <c r="AE58" s="12"/>
    </row>
    <row r="59" spans="3:31" x14ac:dyDescent="0.25">
      <c r="C59" s="12"/>
      <c r="D59" s="12"/>
      <c r="E59" s="12"/>
      <c r="F59" s="12"/>
      <c r="G59" s="12"/>
      <c r="H59" s="12"/>
      <c r="I59" s="12"/>
      <c r="J59" s="12"/>
      <c r="K59" s="12"/>
      <c r="L59" s="12"/>
      <c r="M59" s="12"/>
      <c r="N59" s="12"/>
      <c r="O59" s="12"/>
      <c r="P59" s="12"/>
      <c r="Q59" s="12"/>
      <c r="R59" s="12"/>
      <c r="S59" s="12"/>
      <c r="T59" s="12"/>
      <c r="U59" s="12"/>
      <c r="V59" s="12"/>
      <c r="W59" s="12"/>
      <c r="AC59" s="12"/>
      <c r="AD59" s="12"/>
      <c r="AE59" s="12"/>
    </row>
    <row r="60" spans="3:31" x14ac:dyDescent="0.25">
      <c r="C60" s="12"/>
      <c r="D60" s="12"/>
      <c r="E60" s="12"/>
      <c r="F60" s="12"/>
      <c r="G60" s="12"/>
      <c r="H60" s="12"/>
      <c r="I60" s="12"/>
      <c r="J60" s="12"/>
      <c r="K60" s="12"/>
      <c r="L60" s="12"/>
      <c r="M60" s="12"/>
      <c r="N60" s="12"/>
      <c r="O60" s="12"/>
      <c r="P60" s="12"/>
      <c r="Q60" s="12"/>
      <c r="R60" s="12"/>
      <c r="S60" s="12"/>
      <c r="T60" s="12"/>
      <c r="U60" s="12"/>
      <c r="V60" s="12"/>
      <c r="W60" s="12"/>
      <c r="AC60" s="12"/>
      <c r="AD60" s="12"/>
      <c r="AE60" s="12"/>
    </row>
    <row r="61" spans="3:31" x14ac:dyDescent="0.25">
      <c r="C61" s="12"/>
      <c r="D61" s="12"/>
      <c r="E61" s="12"/>
      <c r="F61" s="12"/>
      <c r="G61" s="12"/>
      <c r="H61" s="12"/>
      <c r="I61" s="12"/>
      <c r="J61" s="12"/>
      <c r="K61" s="12"/>
      <c r="L61" s="12"/>
      <c r="M61" s="12"/>
      <c r="N61" s="12"/>
      <c r="O61" s="12"/>
      <c r="P61" s="12"/>
      <c r="Q61" s="12"/>
      <c r="R61" s="12"/>
      <c r="S61" s="12"/>
      <c r="T61" s="12"/>
      <c r="U61" s="12"/>
      <c r="V61" s="12"/>
      <c r="W61" s="12"/>
      <c r="AC61" s="12"/>
      <c r="AD61" s="12"/>
      <c r="AE61" s="12"/>
    </row>
    <row r="62" spans="3:31" x14ac:dyDescent="0.25">
      <c r="C62" s="12"/>
      <c r="D62" s="12"/>
      <c r="E62" s="12"/>
      <c r="F62" s="12"/>
      <c r="G62" s="12"/>
      <c r="H62" s="12"/>
      <c r="I62" s="12"/>
      <c r="J62" s="12"/>
      <c r="K62" s="12"/>
      <c r="L62" s="12"/>
      <c r="M62" s="12"/>
      <c r="N62" s="12"/>
      <c r="O62" s="12"/>
      <c r="P62" s="12"/>
      <c r="Q62" s="12"/>
      <c r="R62" s="12"/>
      <c r="S62" s="12"/>
      <c r="T62" s="12"/>
      <c r="U62" s="12"/>
      <c r="V62" s="12"/>
      <c r="W62" s="12"/>
      <c r="AC62" s="12"/>
      <c r="AD62" s="12"/>
      <c r="AE62" s="12"/>
    </row>
    <row r="63" spans="3:31" x14ac:dyDescent="0.25">
      <c r="C63" s="12"/>
      <c r="D63" s="12"/>
      <c r="E63" s="12"/>
      <c r="F63" s="12"/>
      <c r="G63" s="12"/>
      <c r="H63" s="12"/>
      <c r="I63" s="12"/>
      <c r="J63" s="12"/>
      <c r="K63" s="12"/>
      <c r="L63" s="12"/>
      <c r="M63" s="12"/>
      <c r="N63" s="12"/>
      <c r="O63" s="12"/>
      <c r="P63" s="12"/>
      <c r="Q63" s="12"/>
      <c r="R63" s="12"/>
      <c r="S63" s="12"/>
      <c r="T63" s="12"/>
      <c r="U63" s="12"/>
      <c r="V63" s="12"/>
      <c r="W63" s="12"/>
      <c r="AC63" s="12"/>
      <c r="AD63" s="12"/>
      <c r="AE63" s="12"/>
    </row>
    <row r="64" spans="3:31" x14ac:dyDescent="0.25">
      <c r="C64" s="12"/>
      <c r="D64" s="12"/>
      <c r="E64" s="12"/>
      <c r="F64" s="12"/>
      <c r="G64" s="12"/>
      <c r="H64" s="12"/>
      <c r="I64" s="12"/>
      <c r="J64" s="12"/>
      <c r="K64" s="12"/>
      <c r="L64" s="12"/>
      <c r="M64" s="12"/>
      <c r="N64" s="12"/>
      <c r="O64" s="12"/>
      <c r="P64" s="12"/>
      <c r="Q64" s="12"/>
      <c r="R64" s="12"/>
      <c r="S64" s="12"/>
      <c r="T64" s="12"/>
      <c r="U64" s="12"/>
      <c r="V64" s="12"/>
      <c r="W64" s="12"/>
      <c r="AC64" s="12"/>
      <c r="AD64" s="12"/>
      <c r="AE64" s="12"/>
    </row>
    <row r="65" spans="3:31" x14ac:dyDescent="0.25">
      <c r="C65" s="12"/>
      <c r="D65" s="12"/>
      <c r="E65" s="12"/>
      <c r="F65" s="12"/>
      <c r="G65" s="12"/>
      <c r="H65" s="12"/>
      <c r="I65" s="12"/>
      <c r="J65" s="12"/>
      <c r="K65" s="12"/>
      <c r="L65" s="12"/>
      <c r="M65" s="12"/>
      <c r="N65" s="12"/>
      <c r="O65" s="12"/>
      <c r="P65" s="12"/>
      <c r="Q65" s="12"/>
      <c r="R65" s="12"/>
      <c r="S65" s="12"/>
      <c r="T65" s="12"/>
      <c r="U65" s="12"/>
      <c r="V65" s="12"/>
      <c r="W65" s="12"/>
      <c r="AC65" s="12"/>
      <c r="AD65" s="12"/>
      <c r="AE65" s="12"/>
    </row>
    <row r="66" spans="3:31" x14ac:dyDescent="0.25">
      <c r="C66" s="12"/>
      <c r="D66" s="12"/>
      <c r="E66" s="12"/>
      <c r="F66" s="12"/>
      <c r="G66" s="12"/>
      <c r="H66" s="12"/>
      <c r="I66" s="12"/>
      <c r="J66" s="12"/>
      <c r="K66" s="12"/>
      <c r="L66" s="12"/>
      <c r="M66" s="12"/>
      <c r="N66" s="12"/>
      <c r="O66" s="12"/>
      <c r="P66" s="12"/>
      <c r="Q66" s="12"/>
      <c r="R66" s="12"/>
      <c r="S66" s="12"/>
      <c r="T66" s="12"/>
      <c r="U66" s="12"/>
      <c r="V66" s="12"/>
      <c r="W66" s="12"/>
      <c r="AC66" s="12"/>
      <c r="AD66" s="12"/>
      <c r="AE66" s="12"/>
    </row>
    <row r="67" spans="3:31" x14ac:dyDescent="0.25">
      <c r="C67" s="12"/>
      <c r="D67" s="12"/>
      <c r="E67" s="12"/>
      <c r="F67" s="12"/>
      <c r="G67" s="12"/>
      <c r="H67" s="12"/>
      <c r="I67" s="12"/>
      <c r="J67" s="12"/>
      <c r="K67" s="12"/>
      <c r="L67" s="12"/>
      <c r="M67" s="12"/>
      <c r="N67" s="12"/>
      <c r="O67" s="12"/>
      <c r="P67" s="12"/>
      <c r="Q67" s="12"/>
      <c r="R67" s="12"/>
      <c r="S67" s="12"/>
      <c r="T67" s="12"/>
      <c r="U67" s="12"/>
      <c r="V67" s="12"/>
      <c r="W67" s="12"/>
      <c r="AC67" s="12"/>
      <c r="AD67" s="12"/>
      <c r="AE67" s="12"/>
    </row>
    <row r="68" spans="3:31" x14ac:dyDescent="0.25">
      <c r="C68" s="12"/>
      <c r="D68" s="12"/>
      <c r="E68" s="12"/>
      <c r="F68" s="12"/>
      <c r="G68" s="12"/>
      <c r="H68" s="12"/>
      <c r="I68" s="12"/>
      <c r="J68" s="12"/>
      <c r="K68" s="12"/>
      <c r="L68" s="12"/>
      <c r="M68" s="12"/>
      <c r="N68" s="12"/>
      <c r="O68" s="12"/>
      <c r="P68" s="12"/>
      <c r="Q68" s="12"/>
      <c r="R68" s="12"/>
      <c r="S68" s="12"/>
      <c r="T68" s="12"/>
      <c r="U68" s="12"/>
      <c r="V68" s="12"/>
      <c r="W68" s="12"/>
      <c r="AC68" s="12"/>
      <c r="AD68" s="12"/>
      <c r="AE68" s="12"/>
    </row>
    <row r="69" spans="3:31" x14ac:dyDescent="0.25">
      <c r="C69" s="12"/>
      <c r="D69" s="12"/>
      <c r="E69" s="12"/>
      <c r="F69" s="12"/>
      <c r="G69" s="12"/>
      <c r="H69" s="12"/>
      <c r="I69" s="12"/>
      <c r="J69" s="12"/>
      <c r="K69" s="12"/>
      <c r="L69" s="12"/>
      <c r="M69" s="12"/>
      <c r="N69" s="12"/>
      <c r="O69" s="12"/>
      <c r="P69" s="12"/>
      <c r="Q69" s="12"/>
      <c r="R69" s="12"/>
      <c r="S69" s="12"/>
      <c r="T69" s="12"/>
      <c r="U69" s="12"/>
      <c r="V69" s="12"/>
      <c r="W69" s="12"/>
      <c r="AC69" s="12"/>
      <c r="AD69" s="12"/>
      <c r="AE69" s="12"/>
    </row>
    <row r="70" spans="3:31" x14ac:dyDescent="0.25">
      <c r="C70" s="12"/>
      <c r="D70" s="12"/>
      <c r="E70" s="12"/>
      <c r="F70" s="12"/>
      <c r="G70" s="12"/>
      <c r="H70" s="12"/>
      <c r="I70" s="12"/>
      <c r="J70" s="12"/>
      <c r="K70" s="12"/>
      <c r="L70" s="12"/>
      <c r="M70" s="12"/>
      <c r="N70" s="12"/>
      <c r="O70" s="12"/>
      <c r="P70" s="12"/>
      <c r="Q70" s="12"/>
      <c r="R70" s="12"/>
      <c r="S70" s="12"/>
      <c r="T70" s="12"/>
      <c r="U70" s="12"/>
      <c r="V70" s="12"/>
      <c r="W70" s="12"/>
      <c r="AC70" s="12"/>
      <c r="AD70" s="12"/>
      <c r="AE70" s="12"/>
    </row>
    <row r="71" spans="3:31" x14ac:dyDescent="0.25">
      <c r="C71" s="12"/>
      <c r="D71" s="12"/>
      <c r="E71" s="12"/>
      <c r="F71" s="12"/>
      <c r="G71" s="12"/>
      <c r="H71" s="12"/>
      <c r="I71" s="12"/>
      <c r="J71" s="12"/>
      <c r="K71" s="12"/>
      <c r="L71" s="12"/>
      <c r="M71" s="12"/>
      <c r="N71" s="12"/>
      <c r="O71" s="12"/>
      <c r="P71" s="12"/>
      <c r="Q71" s="12"/>
      <c r="R71" s="12"/>
      <c r="S71" s="12"/>
      <c r="T71" s="12"/>
      <c r="U71" s="12"/>
      <c r="V71" s="12"/>
      <c r="W71" s="12"/>
      <c r="AC71" s="12"/>
      <c r="AD71" s="12"/>
      <c r="AE71" s="12"/>
    </row>
  </sheetData>
  <mergeCells count="1">
    <mergeCell ref="C4:U4"/>
  </mergeCells>
  <dataValidations count="3">
    <dataValidation type="list" allowBlank="1" showInputMessage="1" showErrorMessage="1" sqref="E10:E35" xr:uid="{E69867B2-50EB-443F-ABF7-72F4B25FF5D3}">
      <formula1>$AD$10:$AD$13</formula1>
    </dataValidation>
    <dataValidation type="list" allowBlank="1" showInputMessage="1" showErrorMessage="1" sqref="F10:F35" xr:uid="{87FECA7C-7D76-4B66-B482-9EECF02B5133}">
      <formula1>$AC$10:$AC$15</formula1>
    </dataValidation>
    <dataValidation type="list" allowBlank="1" showInputMessage="1" showErrorMessage="1" sqref="Z8" xr:uid="{1B1CE6EE-98E0-4503-8A9E-75F240485656}">
      <formula1>"Variance to GST Excl. Inv,Variance to GST Incl. Inv"</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be0b85a-8471-4f10-b038-505fde09e598" xsi:nil="true"/>
    <lcf76f155ced4ddcb4097134ff3c332f xmlns="f82d1b6b-c0e6-44b0-99a2-d357b2d508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BE42521EE0684FB91080D193FD289B" ma:contentTypeVersion="12" ma:contentTypeDescription="Create a new document." ma:contentTypeScope="" ma:versionID="47cccb59cbe8c704ee7bf746635a25e0">
  <xsd:schema xmlns:xsd="http://www.w3.org/2001/XMLSchema" xmlns:xs="http://www.w3.org/2001/XMLSchema" xmlns:p="http://schemas.microsoft.com/office/2006/metadata/properties" xmlns:ns2="f82d1b6b-c0e6-44b0-99a2-d357b2d50896" xmlns:ns3="3be0b85a-8471-4f10-b038-505fde09e598" targetNamespace="http://schemas.microsoft.com/office/2006/metadata/properties" ma:root="true" ma:fieldsID="5bc806a59855b1e4bcc59406b6445b2a" ns2:_="" ns3:_="">
    <xsd:import namespace="f82d1b6b-c0e6-44b0-99a2-d357b2d50896"/>
    <xsd:import namespace="3be0b85a-8471-4f10-b038-505fde09e59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2d1b6b-c0e6-44b0-99a2-d357b2d508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f4192a9-ce52-406f-9dc9-4d585e014db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e0b85a-8471-4f10-b038-505fde09e59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f462d04-e98a-404c-8b3f-11055a86a13c}" ma:internalName="TaxCatchAll" ma:showField="CatchAllData" ma:web="3be0b85a-8471-4f10-b038-505fde09e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FD1A020-9F24-443A-B62B-7DCC75682929}">
  <ds:schemaRefs>
    <ds:schemaRef ds:uri="http://schemas.microsoft.com/sharepoint/v3/contenttype/forms"/>
  </ds:schemaRefs>
</ds:datastoreItem>
</file>

<file path=customXml/itemProps2.xml><?xml version="1.0" encoding="utf-8"?>
<ds:datastoreItem xmlns:ds="http://schemas.openxmlformats.org/officeDocument/2006/customXml" ds:itemID="{A47E6FDA-CE96-45DC-8DF8-10A01794B5D5}">
  <ds:schemaRefs>
    <ds:schemaRef ds:uri="http://schemas.openxmlformats.org/package/2006/metadata/core-properties"/>
    <ds:schemaRef ds:uri="http://purl.org/dc/elements/1.1/"/>
    <ds:schemaRef ds:uri="http://www.w3.org/XML/1998/namespace"/>
    <ds:schemaRef ds:uri="cb0fa578-f870-47d6-b0d9-5a423e2a9cfb"/>
    <ds:schemaRef ds:uri="http://schemas.microsoft.com/office/2006/documentManagement/types"/>
    <ds:schemaRef ds:uri="http://purl.org/dc/terms/"/>
    <ds:schemaRef ds:uri="http://schemas.microsoft.com/office/2006/metadata/properties"/>
    <ds:schemaRef ds:uri="http://purl.org/dc/dcmitype/"/>
    <ds:schemaRef ds:uri="b568fc2f-4d2a-4f1a-a92d-be6ea9d479bf"/>
    <ds:schemaRef ds:uri="http://schemas.microsoft.com/office/infopath/2007/PartnerControls"/>
    <ds:schemaRef ds:uri="a6ef9c2c-1ad1-4c09-9d1c-8c71a768c11f"/>
    <ds:schemaRef ds:uri="f574b478-68e4-495d-9b17-0f93d51a8ef7"/>
    <ds:schemaRef ds:uri="3be0b85a-8471-4f10-b038-505fde09e598"/>
    <ds:schemaRef ds:uri="f82d1b6b-c0e6-44b0-99a2-d357b2d50896"/>
  </ds:schemaRefs>
</ds:datastoreItem>
</file>

<file path=customXml/itemProps3.xml><?xml version="1.0" encoding="utf-8"?>
<ds:datastoreItem xmlns:ds="http://schemas.openxmlformats.org/officeDocument/2006/customXml" ds:itemID="{FBB114AD-B8C5-41C1-B9DF-2A3F9384243F}"/>
</file>

<file path=customXml/itemProps4.xml><?xml version="1.0" encoding="utf-8"?>
<ds:datastoreItem xmlns:ds="http://schemas.openxmlformats.org/officeDocument/2006/customXml" ds:itemID="{7BE49EB0-7765-42B8-91E0-F7F791B557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FILEPATH</vt:lpstr>
      <vt:lpstr>Rates</vt:lpstr>
      <vt:lpstr>EffortOutcomesAG1_1DayShiftAB</vt:lpstr>
      <vt:lpstr>CostAG1_1DayShiftAB</vt:lpstr>
      <vt:lpstr>CostPerDay</vt:lpstr>
      <vt:lpstr>TargetRatebyDate</vt:lpstr>
      <vt:lpstr>SavingFacilityDay</vt:lpstr>
      <vt:lpstr>Saving</vt:lpstr>
      <vt:lpstr>Summary</vt:lpstr>
      <vt:lpstr>Benhome Actuals Last fn</vt:lpstr>
      <vt:lpstr>FILEPATH!Client</vt:lpstr>
      <vt:lpstr>FILEPATH!Date</vt:lpstr>
      <vt:lpstr>FILEPATH!Type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 James</cp:lastModifiedBy>
  <dcterms:created xsi:type="dcterms:W3CDTF">2023-01-08T20:26:19Z</dcterms:created>
  <dcterms:modified xsi:type="dcterms:W3CDTF">2025-01-11T23:06:33Z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0x0101008BBE42521EE0684FB91080D193FD289B</vt:lpwstr>
  </property>
  <property fmtid="{D5CDD505-2E9C-101B-9397-08002B2CF9AE}" pid="3" name="MediaServiceImageTags">
    <vt:lpwstr/>
  </property>
</Properties>
</file>