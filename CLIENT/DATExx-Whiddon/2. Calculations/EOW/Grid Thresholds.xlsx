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OW\"/>
    </mc:Choice>
  </mc:AlternateContent>
  <xr:revisionPtr revIDLastSave="0" documentId="13_ncr:1_{D4AEF4C4-07B7-4F42-B3A0-F8D8905601C2}" xr6:coauthVersionLast="47" xr6:coauthVersionMax="47" xr10:uidLastSave="{00000000-0000-0000-0000-000000000000}"/>
  <bookViews>
    <workbookView xWindow="-120" yWindow="-120" windowWidth="38640" windowHeight="21120" xr2:uid="{1A6D2DB0-E7C1-4601-8836-610F057FFD94}"/>
  </bookViews>
  <sheets>
    <sheet name="Thresholds" sheetId="1" r:id="rId1"/>
    <sheet name="Intersections" sheetId="2" r:id="rId2"/>
  </sheets>
  <definedNames>
    <definedName name="_c1">Intersections!$H$3</definedName>
    <definedName name="_c2">Intersections!$K$3</definedName>
    <definedName name="a1_">Intersections!$F$3</definedName>
    <definedName name="a2_">Intersections!$I$3</definedName>
    <definedName name="Ax">Intersections!$R$3</definedName>
    <definedName name="b1_">Intersections!$G$3</definedName>
    <definedName name="b2_">Intersections!$J$3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5" i="1" l="1"/>
  <c r="N84" i="1"/>
  <c r="N83" i="1"/>
  <c r="N82" i="1"/>
  <c r="N81" i="1"/>
  <c r="N80" i="1"/>
  <c r="N79" i="1"/>
  <c r="N78" i="1"/>
  <c r="N77" i="1"/>
  <c r="N76" i="1"/>
  <c r="L65" i="1"/>
  <c r="L64" i="1"/>
  <c r="L63" i="1"/>
  <c r="L62" i="1"/>
  <c r="L61" i="1"/>
  <c r="L60" i="1"/>
  <c r="L59" i="1"/>
  <c r="L58" i="1"/>
  <c r="L57" i="1"/>
  <c r="L56" i="1"/>
  <c r="J37" i="1"/>
  <c r="J38" i="1"/>
  <c r="J39" i="1"/>
  <c r="J40" i="1"/>
  <c r="J41" i="1"/>
  <c r="J42" i="1"/>
  <c r="J43" i="1"/>
  <c r="J44" i="1"/>
  <c r="J45" i="1"/>
  <c r="J36" i="1"/>
  <c r="U13" i="2"/>
  <c r="S13" i="2" s="1"/>
  <c r="T10" i="2"/>
  <c r="P10" i="2" s="1"/>
  <c r="T13" i="2"/>
  <c r="P13" i="2"/>
  <c r="J11" i="2" l="1"/>
  <c r="J16" i="2"/>
  <c r="I16" i="2"/>
  <c r="F16" i="2"/>
  <c r="I15" i="2"/>
  <c r="F15" i="2"/>
  <c r="U12" i="2"/>
  <c r="T12" i="2"/>
  <c r="P12" i="2" s="1"/>
  <c r="G16" i="2" s="1"/>
  <c r="I14" i="2"/>
  <c r="F14" i="2"/>
  <c r="I13" i="2"/>
  <c r="F13" i="2"/>
  <c r="C23" i="2"/>
  <c r="U11" i="2"/>
  <c r="S11" i="2" s="1"/>
  <c r="Q11" i="2" s="1"/>
  <c r="H15" i="2" s="1"/>
  <c r="U10" i="2"/>
  <c r="S10" i="2" s="1"/>
  <c r="Q10" i="2" s="1"/>
  <c r="U14" i="2"/>
  <c r="S14" i="2" s="1"/>
  <c r="Q14" i="2" s="1"/>
  <c r="H9" i="2" s="1"/>
  <c r="J23" i="2"/>
  <c r="K12" i="2" l="1"/>
  <c r="K13" i="2"/>
  <c r="H14" i="2"/>
  <c r="S12" i="2"/>
  <c r="Q12" i="2" s="1"/>
  <c r="K11" i="2"/>
  <c r="H13" i="2"/>
  <c r="K10" i="2"/>
  <c r="H16" i="2"/>
  <c r="J15" i="2"/>
  <c r="J10" i="2"/>
  <c r="G13" i="2"/>
  <c r="K14" i="2"/>
  <c r="K15" i="2"/>
  <c r="I9" i="2"/>
  <c r="H12" i="2" l="1"/>
  <c r="G12" i="2"/>
  <c r="I11" i="2"/>
  <c r="D12" i="2" l="1"/>
  <c r="E12" i="2"/>
  <c r="P11" i="2"/>
  <c r="P14" i="2"/>
  <c r="J14" i="2"/>
  <c r="T9" i="2"/>
  <c r="U9" i="2"/>
  <c r="S9" i="2" l="1"/>
  <c r="P9" i="2"/>
  <c r="G15" i="2"/>
  <c r="J13" i="2"/>
  <c r="G14" i="2"/>
  <c r="Q13" i="2"/>
  <c r="K16" i="2" s="1"/>
  <c r="Q9" i="2"/>
  <c r="K9" i="2" s="1"/>
  <c r="D13" i="2" l="1"/>
  <c r="E13" i="2"/>
  <c r="E15" i="2"/>
  <c r="D15" i="2"/>
  <c r="J9" i="2"/>
  <c r="G10" i="2"/>
  <c r="G11" i="2"/>
  <c r="D16" i="2"/>
  <c r="E16" i="2"/>
  <c r="D14" i="2"/>
  <c r="E14" i="2"/>
  <c r="H10" i="2"/>
  <c r="H11" i="2"/>
  <c r="D11" i="2" l="1"/>
  <c r="D10" i="2"/>
  <c r="E11" i="2"/>
  <c r="E10" i="2"/>
  <c r="D9" i="2"/>
  <c r="E9" i="2"/>
  <c r="U3" i="2"/>
  <c r="T3" i="2"/>
  <c r="J3" i="2" s="1"/>
  <c r="S3" i="2" l="1"/>
  <c r="K3" i="2" s="1"/>
  <c r="E3" i="2" l="1"/>
  <c r="D3" i="2"/>
</calcChain>
</file>

<file path=xl/sharedStrings.xml><?xml version="1.0" encoding="utf-8"?>
<sst xmlns="http://schemas.openxmlformats.org/spreadsheetml/2006/main" count="424" uniqueCount="150">
  <si>
    <t>Position</t>
  </si>
  <si>
    <t>Abn</t>
  </si>
  <si>
    <t>Abx</t>
  </si>
  <si>
    <t>Efn</t>
  </si>
  <si>
    <t>Efx</t>
  </si>
  <si>
    <t>Inn</t>
  </si>
  <si>
    <t>Inx</t>
  </si>
  <si>
    <t>Type</t>
  </si>
  <si>
    <t>Threshold</t>
  </si>
  <si>
    <t>Start</t>
  </si>
  <si>
    <t>Finish</t>
  </si>
  <si>
    <t>Point</t>
  </si>
  <si>
    <t>D</t>
  </si>
  <si>
    <t>C</t>
  </si>
  <si>
    <t>A</t>
  </si>
  <si>
    <t>Ap</t>
  </si>
  <si>
    <t>Ei</t>
  </si>
  <si>
    <t>Ii</t>
  </si>
  <si>
    <t>Ai</t>
  </si>
  <si>
    <t>Ep</t>
  </si>
  <si>
    <t>Ip</t>
  </si>
  <si>
    <t>X'</t>
  </si>
  <si>
    <t>Y'</t>
  </si>
  <si>
    <t>Line</t>
  </si>
  <si>
    <t>L1</t>
  </si>
  <si>
    <t>L3</t>
  </si>
  <si>
    <t>L4</t>
  </si>
  <si>
    <t>L6</t>
  </si>
  <si>
    <t>L7</t>
  </si>
  <si>
    <t>L9</t>
  </si>
  <si>
    <t>L10</t>
  </si>
  <si>
    <t>L12</t>
  </si>
  <si>
    <t>L13</t>
  </si>
  <si>
    <t>L15</t>
  </si>
  <si>
    <t>L16</t>
  </si>
  <si>
    <t>L18</t>
  </si>
  <si>
    <t>Boundary</t>
  </si>
  <si>
    <t>B1</t>
  </si>
  <si>
    <t>a1</t>
  </si>
  <si>
    <t>b1</t>
  </si>
  <si>
    <t>c2</t>
  </si>
  <si>
    <t>c1</t>
  </si>
  <si>
    <t>a2</t>
  </si>
  <si>
    <t>b2</t>
  </si>
  <si>
    <t>x</t>
  </si>
  <si>
    <t>y</t>
  </si>
  <si>
    <t>Ax</t>
  </si>
  <si>
    <t>Del In</t>
  </si>
  <si>
    <t>B3</t>
  </si>
  <si>
    <t>B4</t>
  </si>
  <si>
    <t>B6</t>
  </si>
  <si>
    <t>B7</t>
  </si>
  <si>
    <t>B9</t>
  </si>
  <si>
    <t>B10</t>
  </si>
  <si>
    <t>B12</t>
  </si>
  <si>
    <t>B13</t>
  </si>
  <si>
    <t>B15</t>
  </si>
  <si>
    <t>B16</t>
  </si>
  <si>
    <t>B18</t>
  </si>
  <si>
    <t>AbnB</t>
  </si>
  <si>
    <t>AbxB</t>
  </si>
  <si>
    <t>EfnB</t>
  </si>
  <si>
    <t>EfxB</t>
  </si>
  <si>
    <t>InnB</t>
  </si>
  <si>
    <t>InxB</t>
  </si>
  <si>
    <t>AbX</t>
  </si>
  <si>
    <t>X0</t>
  </si>
  <si>
    <t>Outcome</t>
  </si>
  <si>
    <t>Innx</t>
  </si>
  <si>
    <t xml:space="preserve">Del </t>
  </si>
  <si>
    <t>Xorigin</t>
  </si>
  <si>
    <t>X</t>
  </si>
  <si>
    <t>Y</t>
  </si>
  <si>
    <t>a</t>
  </si>
  <si>
    <t>b</t>
  </si>
  <si>
    <t>c</t>
  </si>
  <si>
    <t>Abx-Inn</t>
  </si>
  <si>
    <t>Inn-Efx</t>
  </si>
  <si>
    <t>Efx-Abn</t>
  </si>
  <si>
    <t>Abn-Inx</t>
  </si>
  <si>
    <t>Inx-Efn</t>
  </si>
  <si>
    <t>Efn-Abx</t>
  </si>
  <si>
    <t>GA01</t>
  </si>
  <si>
    <t>GA02</t>
  </si>
  <si>
    <t>GA03</t>
  </si>
  <si>
    <t>GA04</t>
  </si>
  <si>
    <t>GA05</t>
  </si>
  <si>
    <t>GA06</t>
  </si>
  <si>
    <t>GA07</t>
  </si>
  <si>
    <t>GA08</t>
  </si>
  <si>
    <t>GA09</t>
  </si>
  <si>
    <t>GA10</t>
  </si>
  <si>
    <t>GA11</t>
  </si>
  <si>
    <t>GA12</t>
  </si>
  <si>
    <t>GA13</t>
  </si>
  <si>
    <t>GA14</t>
  </si>
  <si>
    <t>GA15</t>
  </si>
  <si>
    <t>GA16</t>
  </si>
  <si>
    <t>GA17</t>
  </si>
  <si>
    <t>GA18</t>
  </si>
  <si>
    <t>GA19</t>
  </si>
  <si>
    <t>GA20</t>
  </si>
  <si>
    <t>Grid</t>
  </si>
  <si>
    <t>GE01</t>
  </si>
  <si>
    <t>GE02</t>
  </si>
  <si>
    <t>GE03</t>
  </si>
  <si>
    <t>GE04</t>
  </si>
  <si>
    <t>GE05</t>
  </si>
  <si>
    <t>GE06</t>
  </si>
  <si>
    <t>GE07</t>
  </si>
  <si>
    <t>GE08</t>
  </si>
  <si>
    <t>GE09</t>
  </si>
  <si>
    <t>GE10</t>
  </si>
  <si>
    <t>GE11</t>
  </si>
  <si>
    <t>GE12</t>
  </si>
  <si>
    <t>GE13</t>
  </si>
  <si>
    <t>GE14</t>
  </si>
  <si>
    <t>GE15</t>
  </si>
  <si>
    <t>GE16</t>
  </si>
  <si>
    <t>GE17</t>
  </si>
  <si>
    <t>GE18</t>
  </si>
  <si>
    <t>GE19</t>
  </si>
  <si>
    <t>GE20</t>
  </si>
  <si>
    <t>GI01</t>
  </si>
  <si>
    <t>GI02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</si>
  <si>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</si>
  <si>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</si>
  <si>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</si>
  <si>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</si>
  <si>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</si>
  <si>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</si>
  <si>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</si>
  <si>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</si>
  <si>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</si>
  <si>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</si>
  <si>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</si>
  <si>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</si>
  <si>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</si>
  <si>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</si>
  <si>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</si>
  <si>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</si>
  <si>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</si>
  <si>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</si>
  <si>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AbxG</t>
  </si>
  <si>
    <t>AbnG</t>
  </si>
  <si>
    <t>EfxG</t>
  </si>
  <si>
    <t>EfnG</t>
  </si>
  <si>
    <t>InxG</t>
  </si>
  <si>
    <t>InnG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</si>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</sst>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0" xfId="0" applyFill="1"/>
    <xf numFmtId="0" fontId="0" fillId="0" borderId="4" xfId="0" applyBorder="1"/>
    <xf numFmtId="0" fontId="0" fillId="4" borderId="4" xfId="0" applyFill="1" applyBorder="1"/>
    <xf numFmtId="49" fontId="0" fillId="0" borderId="0" xfId="0" applyNumberFormat="1"/>
    <xf numFmtId="0" fontId="0" fillId="5" borderId="0" xfId="0" applyFill="1"/>
    <xf numFmtId="0" fontId="0" fillId="0" borderId="0" xfId="0" applyAlignment="1">
      <alignment horizontal="left" indent="1"/>
    </xf>
    <xf numFmtId="14" fontId="0" fillId="0" borderId="1" xfId="0" applyNumberFormat="1" applyBorder="1"/>
    <xf numFmtId="14" fontId="0" fillId="3" borderId="1" xfId="0" applyNumberFormat="1" applyFill="1" applyBorder="1"/>
    <xf numFmtId="14" fontId="0" fillId="3" borderId="3" xfId="0" applyNumberFormat="1" applyFill="1" applyBorder="1"/>
  </cellXfs>
  <cellStyles count="1">
    <cellStyle name="Normal" xfId="0" builtinId="0"/>
  </cellStyles>
  <dxfs count="21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d/mm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151572</xdr:colOff>
      <xdr:row>2</xdr:row>
      <xdr:rowOff>188429</xdr:rowOff>
    </xdr:from>
    <xdr:to>
      <xdr:col>30</xdr:col>
      <xdr:colOff>449848</xdr:colOff>
      <xdr:row>18</xdr:row>
      <xdr:rowOff>169380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BE9DD52-23BD-45F5-8F2A-5DC510C56616}"/>
            </a:ext>
          </a:extLst>
        </xdr:cNvPr>
        <xdr:cNvGrpSpPr/>
      </xdr:nvGrpSpPr>
      <xdr:grpSpPr>
        <a:xfrm>
          <a:off x="16294376" y="569429"/>
          <a:ext cx="3271733" cy="3028951"/>
          <a:chOff x="8177420" y="3286125"/>
          <a:chExt cx="3271732" cy="3028951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1F5104C1-5014-48FB-9FFA-FD8E3F08C377}"/>
              </a:ext>
            </a:extLst>
          </xdr:cNvPr>
          <xdr:cNvCxnSpPr/>
        </xdr:nvCxnSpPr>
        <xdr:spPr>
          <a:xfrm>
            <a:off x="8666508" y="3981450"/>
            <a:ext cx="1886364" cy="12477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230B6BC9-8E2F-4980-B922-73302436ED68}"/>
              </a:ext>
            </a:extLst>
          </xdr:cNvPr>
          <xdr:cNvCxnSpPr/>
        </xdr:nvCxnSpPr>
        <xdr:spPr>
          <a:xfrm flipH="1" flipV="1">
            <a:off x="9901859" y="3286125"/>
            <a:ext cx="9526" cy="273367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A5F4B1CF-2B1B-4B73-ABC6-615DBA5F52BD}"/>
              </a:ext>
            </a:extLst>
          </xdr:cNvPr>
          <xdr:cNvCxnSpPr/>
        </xdr:nvCxnSpPr>
        <xdr:spPr>
          <a:xfrm flipV="1">
            <a:off x="8177420" y="3743739"/>
            <a:ext cx="2275232" cy="102828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E94ED5B8-80AC-4DBC-9A66-6F651F3DAC43}"/>
              </a:ext>
            </a:extLst>
          </xdr:cNvPr>
          <xdr:cNvCxnSpPr/>
        </xdr:nvCxnSpPr>
        <xdr:spPr>
          <a:xfrm>
            <a:off x="8225045" y="4648200"/>
            <a:ext cx="1886364" cy="12477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C3C90288-1D25-48EF-94A2-91D612BB8BB2}"/>
              </a:ext>
            </a:extLst>
          </xdr:cNvPr>
          <xdr:cNvCxnSpPr/>
        </xdr:nvCxnSpPr>
        <xdr:spPr>
          <a:xfrm flipV="1">
            <a:off x="8253620" y="4695825"/>
            <a:ext cx="2432602" cy="12192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581E2CCA-4B16-44CB-8E53-BE13D73E846B}"/>
              </a:ext>
            </a:extLst>
          </xdr:cNvPr>
          <xdr:cNvCxnSpPr/>
        </xdr:nvCxnSpPr>
        <xdr:spPr>
          <a:xfrm flipH="1" flipV="1">
            <a:off x="8765329" y="3863578"/>
            <a:ext cx="25004" cy="245149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0A65B10F-FA62-4827-A972-26C3D77ABE90}"/>
              </a:ext>
            </a:extLst>
          </xdr:cNvPr>
          <xdr:cNvSpPr/>
        </xdr:nvSpPr>
        <xdr:spPr>
          <a:xfrm>
            <a:off x="8778767" y="4314825"/>
            <a:ext cx="1133977" cy="1076325"/>
          </a:xfrm>
          <a:custGeom>
            <a:avLst/>
            <a:gdLst>
              <a:gd name="connsiteX0" fmla="*/ 476250 w 1228725"/>
              <a:gd name="connsiteY0" fmla="*/ 0 h 1076325"/>
              <a:gd name="connsiteX1" fmla="*/ 0 w 1228725"/>
              <a:gd name="connsiteY1" fmla="*/ 123825 h 1076325"/>
              <a:gd name="connsiteX2" fmla="*/ 95250 w 1228725"/>
              <a:gd name="connsiteY2" fmla="*/ 723900 h 1076325"/>
              <a:gd name="connsiteX3" fmla="*/ 628650 w 1228725"/>
              <a:gd name="connsiteY3" fmla="*/ 1076325 h 1076325"/>
              <a:gd name="connsiteX4" fmla="*/ 1228725 w 1228725"/>
              <a:gd name="connsiteY4" fmla="*/ 752475 h 1076325"/>
              <a:gd name="connsiteX5" fmla="*/ 1190625 w 1228725"/>
              <a:gd name="connsiteY5" fmla="*/ 457200 h 1076325"/>
              <a:gd name="connsiteX6" fmla="*/ 476250 w 1228725"/>
              <a:gd name="connsiteY6" fmla="*/ 0 h 1076325"/>
              <a:gd name="connsiteX0" fmla="*/ 419100 w 1171575"/>
              <a:gd name="connsiteY0" fmla="*/ 0 h 1076325"/>
              <a:gd name="connsiteX1" fmla="*/ 0 w 1171575"/>
              <a:gd name="connsiteY1" fmla="*/ 171450 h 1076325"/>
              <a:gd name="connsiteX2" fmla="*/ 38100 w 1171575"/>
              <a:gd name="connsiteY2" fmla="*/ 723900 h 1076325"/>
              <a:gd name="connsiteX3" fmla="*/ 571500 w 1171575"/>
              <a:gd name="connsiteY3" fmla="*/ 1076325 h 1076325"/>
              <a:gd name="connsiteX4" fmla="*/ 1171575 w 1171575"/>
              <a:gd name="connsiteY4" fmla="*/ 752475 h 1076325"/>
              <a:gd name="connsiteX5" fmla="*/ 1133475 w 1171575"/>
              <a:gd name="connsiteY5" fmla="*/ 457200 h 1076325"/>
              <a:gd name="connsiteX6" fmla="*/ 419100 w 1171575"/>
              <a:gd name="connsiteY6" fmla="*/ 0 h 1076325"/>
              <a:gd name="connsiteX0" fmla="*/ 419100 w 1144328"/>
              <a:gd name="connsiteY0" fmla="*/ 0 h 1076325"/>
              <a:gd name="connsiteX1" fmla="*/ 0 w 1144328"/>
              <a:gd name="connsiteY1" fmla="*/ 171450 h 1076325"/>
              <a:gd name="connsiteX2" fmla="*/ 38100 w 1144328"/>
              <a:gd name="connsiteY2" fmla="*/ 723900 h 1076325"/>
              <a:gd name="connsiteX3" fmla="*/ 571500 w 1144328"/>
              <a:gd name="connsiteY3" fmla="*/ 1076325 h 1076325"/>
              <a:gd name="connsiteX4" fmla="*/ 1144328 w 1144328"/>
              <a:gd name="connsiteY4" fmla="*/ 762680 h 1076325"/>
              <a:gd name="connsiteX5" fmla="*/ 1133475 w 1144328"/>
              <a:gd name="connsiteY5" fmla="*/ 457200 h 1076325"/>
              <a:gd name="connsiteX6" fmla="*/ 419100 w 1144328"/>
              <a:gd name="connsiteY6" fmla="*/ 0 h 1076325"/>
              <a:gd name="connsiteX0" fmla="*/ 419100 w 1144328"/>
              <a:gd name="connsiteY0" fmla="*/ 0 h 1076325"/>
              <a:gd name="connsiteX1" fmla="*/ 0 w 1144328"/>
              <a:gd name="connsiteY1" fmla="*/ 171450 h 1076325"/>
              <a:gd name="connsiteX2" fmla="*/ 34694 w 1144328"/>
              <a:gd name="connsiteY2" fmla="*/ 713694 h 1076325"/>
              <a:gd name="connsiteX3" fmla="*/ 571500 w 1144328"/>
              <a:gd name="connsiteY3" fmla="*/ 1076325 h 1076325"/>
              <a:gd name="connsiteX4" fmla="*/ 1144328 w 1144328"/>
              <a:gd name="connsiteY4" fmla="*/ 762680 h 1076325"/>
              <a:gd name="connsiteX5" fmla="*/ 1133475 w 1144328"/>
              <a:gd name="connsiteY5" fmla="*/ 457200 h 1076325"/>
              <a:gd name="connsiteX6" fmla="*/ 419100 w 1144328"/>
              <a:gd name="connsiteY6" fmla="*/ 0 h 1076325"/>
              <a:gd name="connsiteX0" fmla="*/ 402071 w 1127299"/>
              <a:gd name="connsiteY0" fmla="*/ 0 h 1076325"/>
              <a:gd name="connsiteX1" fmla="*/ 0 w 1127299"/>
              <a:gd name="connsiteY1" fmla="*/ 174852 h 1076325"/>
              <a:gd name="connsiteX2" fmla="*/ 17665 w 1127299"/>
              <a:gd name="connsiteY2" fmla="*/ 713694 h 1076325"/>
              <a:gd name="connsiteX3" fmla="*/ 554471 w 1127299"/>
              <a:gd name="connsiteY3" fmla="*/ 1076325 h 1076325"/>
              <a:gd name="connsiteX4" fmla="*/ 1127299 w 1127299"/>
              <a:gd name="connsiteY4" fmla="*/ 762680 h 1076325"/>
              <a:gd name="connsiteX5" fmla="*/ 1116446 w 1127299"/>
              <a:gd name="connsiteY5" fmla="*/ 457200 h 1076325"/>
              <a:gd name="connsiteX6" fmla="*/ 402071 w 1127299"/>
              <a:gd name="connsiteY6" fmla="*/ 0 h 1076325"/>
              <a:gd name="connsiteX0" fmla="*/ 404840 w 1130068"/>
              <a:gd name="connsiteY0" fmla="*/ 0 h 1076325"/>
              <a:gd name="connsiteX1" fmla="*/ 2769 w 1130068"/>
              <a:gd name="connsiteY1" fmla="*/ 174852 h 1076325"/>
              <a:gd name="connsiteX2" fmla="*/ 0 w 1130068"/>
              <a:gd name="connsiteY2" fmla="*/ 696685 h 1076325"/>
              <a:gd name="connsiteX3" fmla="*/ 557240 w 1130068"/>
              <a:gd name="connsiteY3" fmla="*/ 1076325 h 1076325"/>
              <a:gd name="connsiteX4" fmla="*/ 1130068 w 1130068"/>
              <a:gd name="connsiteY4" fmla="*/ 762680 h 1076325"/>
              <a:gd name="connsiteX5" fmla="*/ 1119215 w 1130068"/>
              <a:gd name="connsiteY5" fmla="*/ 457200 h 1076325"/>
              <a:gd name="connsiteX6" fmla="*/ 404840 w 1130068"/>
              <a:gd name="connsiteY6" fmla="*/ 0 h 1076325"/>
              <a:gd name="connsiteX0" fmla="*/ 402071 w 1127299"/>
              <a:gd name="connsiteY0" fmla="*/ 0 h 1076325"/>
              <a:gd name="connsiteX1" fmla="*/ 0 w 1127299"/>
              <a:gd name="connsiteY1" fmla="*/ 174852 h 1076325"/>
              <a:gd name="connsiteX2" fmla="*/ 7448 w 1127299"/>
              <a:gd name="connsiteY2" fmla="*/ 710292 h 1076325"/>
              <a:gd name="connsiteX3" fmla="*/ 554471 w 1127299"/>
              <a:gd name="connsiteY3" fmla="*/ 1076325 h 1076325"/>
              <a:gd name="connsiteX4" fmla="*/ 1127299 w 1127299"/>
              <a:gd name="connsiteY4" fmla="*/ 762680 h 1076325"/>
              <a:gd name="connsiteX5" fmla="*/ 1116446 w 1127299"/>
              <a:gd name="connsiteY5" fmla="*/ 457200 h 1076325"/>
              <a:gd name="connsiteX6" fmla="*/ 402071 w 1127299"/>
              <a:gd name="connsiteY6" fmla="*/ 0 h 10763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127299" h="1076325">
                <a:moveTo>
                  <a:pt x="402071" y="0"/>
                </a:moveTo>
                <a:lnTo>
                  <a:pt x="0" y="174852"/>
                </a:lnTo>
                <a:lnTo>
                  <a:pt x="7448" y="710292"/>
                </a:lnTo>
                <a:lnTo>
                  <a:pt x="554471" y="1076325"/>
                </a:lnTo>
                <a:lnTo>
                  <a:pt x="1127299" y="762680"/>
                </a:lnTo>
                <a:lnTo>
                  <a:pt x="1116446" y="457200"/>
                </a:lnTo>
                <a:lnTo>
                  <a:pt x="402071" y="0"/>
                </a:lnTo>
                <a:close/>
              </a:path>
            </a:pathLst>
          </a:cu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39AA954D-1D27-42C5-BFC3-02DE69F00946}"/>
              </a:ext>
            </a:extLst>
          </xdr:cNvPr>
          <xdr:cNvCxnSpPr/>
        </xdr:nvCxnSpPr>
        <xdr:spPr>
          <a:xfrm>
            <a:off x="9200942" y="3375266"/>
            <a:ext cx="2248210" cy="12477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41E2F-5754-41A4-81B3-94E3CFFB8B6C}" name="Boundaries" displayName="Boundaries" ref="A1:P85" totalsRowShown="0" headerRowDxfId="20" dataDxfId="18" headerRowBorderDxfId="19" tableBorderDxfId="17" totalsRowBorderDxfId="16">
  <autoFilter ref="A1:P85" xr:uid="{57441E2F-5754-41A4-81B3-94E3CFFB8B6C}"/>
  <tableColumns count="16">
    <tableColumn id="1" xr3:uid="{47ECECC8-37DC-4B47-AC1B-0F51069BDAEA}" name="Point" dataDxfId="15"/>
    <tableColumn id="2" xr3:uid="{096EA0A4-7FE5-4FEA-B771-A2821B46B18E}" name="Type" dataDxfId="14"/>
    <tableColumn id="3" xr3:uid="{B48FDB96-CF7A-491C-9995-297D75F914B6}" name="Threshold" dataDxfId="13"/>
    <tableColumn id="16" xr3:uid="{84427775-C519-454A-A2B8-5D3E13FCEE09}" name="Date" dataDxfId="12"/>
    <tableColumn id="4" xr3:uid="{1EA17C33-3054-4D8D-A96F-74411DD010F9}" name="Position" dataDxfId="11"/>
    <tableColumn id="5" xr3:uid="{58435CA5-582A-47C5-B726-537F9E9032EB}" name="D" dataDxfId="10"/>
    <tableColumn id="6" xr3:uid="{FBB23E2E-893E-4B69-8436-70D400E38CA2}" name="C" dataDxfId="9"/>
    <tableColumn id="7" xr3:uid="{48CB5B79-4B74-4992-B41F-43ED9155B58A}" name="A" dataDxfId="8"/>
    <tableColumn id="8" xr3:uid="{E1C205F7-1D30-4C7C-9240-E84EF6A5567C}" name="Ap" dataDxfId="7"/>
    <tableColumn id="9" xr3:uid="{2FD6BD74-6D5A-4756-B4F4-89E89F6E60EC}" name="Ei" dataDxfId="6"/>
    <tableColumn id="10" xr3:uid="{6A8AEA83-5BAF-45C4-B286-09F1DE237DA1}" name="Ii" dataDxfId="5"/>
    <tableColumn id="11" xr3:uid="{C7F20865-BD25-4AA0-AECF-A86121DDF736}" name="Ai" dataDxfId="4"/>
    <tableColumn id="12" xr3:uid="{567D81FF-87E5-4A2D-AA43-F8DC5C70E04C}" name="Ep" dataDxfId="3"/>
    <tableColumn id="13" xr3:uid="{6E391C70-5677-4725-AAC3-78F7A001364E}" name="Ip" dataDxfId="2"/>
    <tableColumn id="14" xr3:uid="{16CDBC69-049F-4993-90E2-0A667FDF132C}" name="X'" dataDxfId="1"/>
    <tableColumn id="15" xr3:uid="{D817AAA6-D604-47EB-945F-8FE1383C51B6}" name="Y'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74E6-BE02-4357-8464-735906BEAEE3}">
  <dimension ref="A1:P85"/>
  <sheetViews>
    <sheetView tabSelected="1" workbookViewId="0">
      <selection activeCell="Y10" sqref="Y6:Z10"/>
    </sheetView>
  </sheetViews>
  <sheetFormatPr defaultRowHeight="15" x14ac:dyDescent="0.25"/>
  <cols>
    <col min="1" max="1" width="12.85546875" customWidth="1"/>
    <col min="2" max="2" width="9.28515625" customWidth="1"/>
    <col min="3" max="5" width="12" customWidth="1"/>
  </cols>
  <sheetData>
    <row r="1" spans="1:16" x14ac:dyDescent="0.25">
      <c r="A1" s="3" t="s">
        <v>11</v>
      </c>
      <c r="B1" s="3" t="s">
        <v>7</v>
      </c>
      <c r="C1" s="3" t="s">
        <v>8</v>
      </c>
      <c r="D1" s="3" t="s">
        <v>149</v>
      </c>
      <c r="E1" s="3" t="s">
        <v>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x14ac:dyDescent="0.25">
      <c r="A2" s="2" t="s">
        <v>24</v>
      </c>
      <c r="B2" s="2" t="s">
        <v>23</v>
      </c>
      <c r="C2" s="2" t="s">
        <v>1</v>
      </c>
      <c r="D2" s="11"/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25</v>
      </c>
      <c r="B3" s="2" t="s">
        <v>23</v>
      </c>
      <c r="C3" s="2" t="s">
        <v>2</v>
      </c>
      <c r="D3" s="11"/>
      <c r="E3" s="2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 t="s">
        <v>26</v>
      </c>
      <c r="B4" s="2" t="s">
        <v>23</v>
      </c>
      <c r="C4" s="1" t="s">
        <v>3</v>
      </c>
      <c r="D4" s="12"/>
      <c r="E4" s="1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2" t="s">
        <v>27</v>
      </c>
      <c r="B5" s="2" t="s">
        <v>23</v>
      </c>
      <c r="C5" s="1" t="s">
        <v>4</v>
      </c>
      <c r="D5" s="12"/>
      <c r="E5" s="1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2" t="s">
        <v>28</v>
      </c>
      <c r="B6" s="2" t="s">
        <v>23</v>
      </c>
      <c r="C6" s="2" t="s">
        <v>5</v>
      </c>
      <c r="D6" s="11"/>
      <c r="E6" s="2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 t="s">
        <v>29</v>
      </c>
      <c r="B7" s="2" t="s">
        <v>23</v>
      </c>
      <c r="C7" s="2" t="s">
        <v>6</v>
      </c>
      <c r="D7" s="11"/>
      <c r="E7" s="2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 t="s">
        <v>30</v>
      </c>
      <c r="B8" s="2" t="s">
        <v>23</v>
      </c>
      <c r="C8" s="1" t="s">
        <v>1</v>
      </c>
      <c r="D8" s="12"/>
      <c r="E8" s="1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2" t="s">
        <v>31</v>
      </c>
      <c r="B9" s="2" t="s">
        <v>23</v>
      </c>
      <c r="C9" s="1" t="s">
        <v>2</v>
      </c>
      <c r="D9" s="12"/>
      <c r="E9" s="1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2" t="s">
        <v>32</v>
      </c>
      <c r="B10" s="2" t="s">
        <v>23</v>
      </c>
      <c r="C10" s="2" t="s">
        <v>3</v>
      </c>
      <c r="D10" s="11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 t="s">
        <v>33</v>
      </c>
      <c r="B11" s="2" t="s">
        <v>23</v>
      </c>
      <c r="C11" s="2" t="s">
        <v>4</v>
      </c>
      <c r="D11" s="11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 t="s">
        <v>34</v>
      </c>
      <c r="B12" s="2" t="s">
        <v>23</v>
      </c>
      <c r="C12" s="1" t="s">
        <v>5</v>
      </c>
      <c r="D12" s="12"/>
      <c r="E12" s="1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2" t="s">
        <v>35</v>
      </c>
      <c r="B13" s="2" t="s">
        <v>23</v>
      </c>
      <c r="C13" s="4" t="s">
        <v>6</v>
      </c>
      <c r="D13" s="13"/>
      <c r="E13" s="4" t="s">
        <v>10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4" t="s">
        <v>37</v>
      </c>
      <c r="B14" s="4" t="s">
        <v>36</v>
      </c>
      <c r="C14" s="2" t="s">
        <v>59</v>
      </c>
      <c r="D14" s="11"/>
      <c r="E14" s="2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4" t="s">
        <v>48</v>
      </c>
      <c r="B15" s="4" t="s">
        <v>36</v>
      </c>
      <c r="C15" s="2" t="s">
        <v>60</v>
      </c>
      <c r="D15" s="11"/>
      <c r="E15" s="2" t="s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4" t="s">
        <v>49</v>
      </c>
      <c r="B16" s="4" t="s">
        <v>36</v>
      </c>
      <c r="C16" s="1" t="s">
        <v>61</v>
      </c>
      <c r="D16" s="12"/>
      <c r="E16" s="1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4" t="s">
        <v>50</v>
      </c>
      <c r="B17" s="4" t="s">
        <v>36</v>
      </c>
      <c r="C17" s="1" t="s">
        <v>62</v>
      </c>
      <c r="D17" s="12"/>
      <c r="E17" s="1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4" t="s">
        <v>51</v>
      </c>
      <c r="B18" s="4" t="s">
        <v>36</v>
      </c>
      <c r="C18" s="2" t="s">
        <v>63</v>
      </c>
      <c r="D18" s="11"/>
      <c r="E18" s="2" t="s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4" t="s">
        <v>52</v>
      </c>
      <c r="B19" s="4" t="s">
        <v>36</v>
      </c>
      <c r="C19" s="2" t="s">
        <v>64</v>
      </c>
      <c r="D19" s="11"/>
      <c r="E19" s="2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4" t="s">
        <v>53</v>
      </c>
      <c r="B20" s="4" t="s">
        <v>36</v>
      </c>
      <c r="C20" s="1" t="s">
        <v>59</v>
      </c>
      <c r="D20" s="12"/>
      <c r="E20" s="1" t="s">
        <v>10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4" t="s">
        <v>54</v>
      </c>
      <c r="B21" s="4" t="s">
        <v>36</v>
      </c>
      <c r="C21" s="1" t="s">
        <v>60</v>
      </c>
      <c r="D21" s="12"/>
      <c r="E21" s="1" t="s">
        <v>10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4" t="s">
        <v>55</v>
      </c>
      <c r="B22" s="4" t="s">
        <v>36</v>
      </c>
      <c r="C22" s="2" t="s">
        <v>61</v>
      </c>
      <c r="D22" s="11"/>
      <c r="E22" s="2" t="s">
        <v>10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4" t="s">
        <v>56</v>
      </c>
      <c r="B23" s="4" t="s">
        <v>36</v>
      </c>
      <c r="C23" s="2" t="s">
        <v>62</v>
      </c>
      <c r="D23" s="11"/>
      <c r="E23" s="2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" t="s">
        <v>57</v>
      </c>
      <c r="B24" s="4" t="s">
        <v>36</v>
      </c>
      <c r="C24" s="1" t="s">
        <v>63</v>
      </c>
      <c r="D24" s="12"/>
      <c r="E24" s="1" t="s">
        <v>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4" t="s">
        <v>58</v>
      </c>
      <c r="B25" s="4" t="s">
        <v>36</v>
      </c>
      <c r="C25" s="4" t="s">
        <v>64</v>
      </c>
      <c r="D25" s="13"/>
      <c r="E25" s="4" t="s">
        <v>10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82</v>
      </c>
      <c r="B26" s="1" t="s">
        <v>102</v>
      </c>
      <c r="C26" s="1" t="s">
        <v>143</v>
      </c>
      <c r="D26" s="12"/>
      <c r="E26" s="1" t="s">
        <v>9</v>
      </c>
      <c r="F26" s="1"/>
      <c r="G26" s="1"/>
      <c r="H26" s="1"/>
      <c r="I26" s="1">
        <v>2</v>
      </c>
      <c r="J26" s="1"/>
      <c r="K26" s="1"/>
      <c r="L26" s="1"/>
      <c r="M26" s="1"/>
      <c r="N26" s="1"/>
      <c r="O26" s="1"/>
      <c r="P26" s="1"/>
    </row>
    <row r="27" spans="1:16" x14ac:dyDescent="0.25">
      <c r="A27" s="1" t="s">
        <v>83</v>
      </c>
      <c r="B27" s="1" t="s">
        <v>102</v>
      </c>
      <c r="C27" s="1" t="s">
        <v>143</v>
      </c>
      <c r="D27" s="12"/>
      <c r="E27" s="1" t="s">
        <v>9</v>
      </c>
      <c r="F27" s="1"/>
      <c r="G27" s="1"/>
      <c r="H27" s="1"/>
      <c r="I27" s="1">
        <v>1.9</v>
      </c>
      <c r="J27" s="1"/>
      <c r="K27" s="1"/>
      <c r="L27" s="1"/>
      <c r="M27" s="1"/>
      <c r="N27" s="1"/>
      <c r="O27" s="1"/>
      <c r="P27" s="1"/>
    </row>
    <row r="28" spans="1:16" x14ac:dyDescent="0.25">
      <c r="A28" s="1" t="s">
        <v>84</v>
      </c>
      <c r="B28" s="1" t="s">
        <v>102</v>
      </c>
      <c r="C28" s="1" t="s">
        <v>143</v>
      </c>
      <c r="D28" s="12"/>
      <c r="E28" s="1" t="s">
        <v>9</v>
      </c>
      <c r="F28" s="1"/>
      <c r="G28" s="1"/>
      <c r="H28" s="1"/>
      <c r="I28" s="1">
        <v>1.8</v>
      </c>
      <c r="J28" s="1"/>
      <c r="K28" s="1"/>
      <c r="L28" s="1"/>
      <c r="M28" s="1"/>
      <c r="N28" s="1"/>
      <c r="O28" s="1"/>
      <c r="P28" s="1"/>
    </row>
    <row r="29" spans="1:16" x14ac:dyDescent="0.25">
      <c r="A29" s="1" t="s">
        <v>85</v>
      </c>
      <c r="B29" s="1" t="s">
        <v>102</v>
      </c>
      <c r="C29" s="1" t="s">
        <v>143</v>
      </c>
      <c r="D29" s="12"/>
      <c r="E29" s="1" t="s">
        <v>9</v>
      </c>
      <c r="F29" s="1"/>
      <c r="G29" s="1"/>
      <c r="H29" s="1"/>
      <c r="I29" s="1">
        <v>1.7</v>
      </c>
      <c r="J29" s="1"/>
      <c r="K29" s="1"/>
      <c r="L29" s="1"/>
      <c r="M29" s="1"/>
      <c r="N29" s="1"/>
      <c r="O29" s="1"/>
      <c r="P29" s="1"/>
    </row>
    <row r="30" spans="1:16" x14ac:dyDescent="0.25">
      <c r="A30" s="1" t="s">
        <v>86</v>
      </c>
      <c r="B30" s="1" t="s">
        <v>102</v>
      </c>
      <c r="C30" s="1" t="s">
        <v>143</v>
      </c>
      <c r="D30" s="12"/>
      <c r="E30" s="1" t="s">
        <v>9</v>
      </c>
      <c r="F30" s="1"/>
      <c r="G30" s="1"/>
      <c r="H30" s="1"/>
      <c r="I30" s="1">
        <v>1.6</v>
      </c>
      <c r="J30" s="1"/>
      <c r="K30" s="1"/>
      <c r="L30" s="1"/>
      <c r="M30" s="1"/>
      <c r="N30" s="1"/>
      <c r="O30" s="1"/>
      <c r="P30" s="1"/>
    </row>
    <row r="31" spans="1:16" x14ac:dyDescent="0.25">
      <c r="A31" s="1" t="s">
        <v>87</v>
      </c>
      <c r="B31" s="1" t="s">
        <v>102</v>
      </c>
      <c r="C31" s="1" t="s">
        <v>143</v>
      </c>
      <c r="D31" s="12"/>
      <c r="E31" s="1" t="s">
        <v>9</v>
      </c>
      <c r="F31" s="1"/>
      <c r="G31" s="1"/>
      <c r="H31" s="1"/>
      <c r="I31" s="1">
        <v>1.5</v>
      </c>
      <c r="J31" s="1"/>
      <c r="K31" s="1"/>
      <c r="L31" s="1"/>
      <c r="M31" s="1"/>
      <c r="N31" s="1"/>
      <c r="O31" s="1"/>
      <c r="P31" s="1"/>
    </row>
    <row r="32" spans="1:16" x14ac:dyDescent="0.25">
      <c r="A32" s="1" t="s">
        <v>88</v>
      </c>
      <c r="B32" s="1" t="s">
        <v>102</v>
      </c>
      <c r="C32" s="1" t="s">
        <v>143</v>
      </c>
      <c r="D32" s="12"/>
      <c r="E32" s="1" t="s">
        <v>9</v>
      </c>
      <c r="F32" s="1"/>
      <c r="G32" s="1"/>
      <c r="H32" s="1"/>
      <c r="I32" s="1">
        <v>1.4</v>
      </c>
      <c r="J32" s="1"/>
      <c r="K32" s="1"/>
      <c r="L32" s="1"/>
      <c r="M32" s="1"/>
      <c r="N32" s="1"/>
      <c r="O32" s="1"/>
      <c r="P32" s="1"/>
    </row>
    <row r="33" spans="1:16" x14ac:dyDescent="0.25">
      <c r="A33" s="1" t="s">
        <v>89</v>
      </c>
      <c r="B33" s="1" t="s">
        <v>102</v>
      </c>
      <c r="C33" s="1" t="s">
        <v>143</v>
      </c>
      <c r="D33" s="12"/>
      <c r="E33" s="1" t="s">
        <v>9</v>
      </c>
      <c r="F33" s="1"/>
      <c r="G33" s="1"/>
      <c r="H33" s="1"/>
      <c r="I33" s="1">
        <v>1.3</v>
      </c>
      <c r="J33" s="1"/>
      <c r="K33" s="1"/>
      <c r="L33" s="1"/>
      <c r="M33" s="1"/>
      <c r="N33" s="1"/>
      <c r="O33" s="1"/>
      <c r="P33" s="1"/>
    </row>
    <row r="34" spans="1:16" x14ac:dyDescent="0.25">
      <c r="A34" s="1" t="s">
        <v>90</v>
      </c>
      <c r="B34" s="1" t="s">
        <v>102</v>
      </c>
      <c r="C34" s="1" t="s">
        <v>143</v>
      </c>
      <c r="D34" s="12"/>
      <c r="E34" s="1" t="s">
        <v>9</v>
      </c>
      <c r="F34" s="1"/>
      <c r="G34" s="1"/>
      <c r="H34" s="1"/>
      <c r="I34" s="1">
        <v>1.2</v>
      </c>
      <c r="J34" s="1"/>
      <c r="K34" s="1"/>
      <c r="L34" s="1"/>
      <c r="M34" s="1"/>
      <c r="N34" s="1"/>
      <c r="O34" s="1"/>
      <c r="P34" s="1"/>
    </row>
    <row r="35" spans="1:16" x14ac:dyDescent="0.25">
      <c r="A35" s="1" t="s">
        <v>91</v>
      </c>
      <c r="B35" s="1" t="s">
        <v>102</v>
      </c>
      <c r="C35" s="1" t="s">
        <v>143</v>
      </c>
      <c r="D35" s="12"/>
      <c r="E35" s="1" t="s">
        <v>9</v>
      </c>
      <c r="F35" s="1"/>
      <c r="G35" s="1"/>
      <c r="H35" s="1"/>
      <c r="I35" s="1"/>
      <c r="J35" s="1">
        <v>1.1000000000000001</v>
      </c>
      <c r="K35" s="1"/>
      <c r="L35" s="1"/>
      <c r="M35" s="1"/>
      <c r="N35" s="1"/>
      <c r="O35" s="1"/>
      <c r="P35" s="1"/>
    </row>
    <row r="36" spans="1:16" x14ac:dyDescent="0.25">
      <c r="A36" s="1" t="s">
        <v>92</v>
      </c>
      <c r="B36" s="1" t="s">
        <v>102</v>
      </c>
      <c r="C36" s="1" t="s">
        <v>144</v>
      </c>
      <c r="D36" s="12"/>
      <c r="E36" s="1" t="s">
        <v>9</v>
      </c>
      <c r="F36" s="1"/>
      <c r="G36" s="1"/>
      <c r="H36" s="1"/>
      <c r="I36" s="1"/>
      <c r="J36" s="1">
        <f t="shared" ref="J36:J44" si="0">1/I26</f>
        <v>0.5</v>
      </c>
      <c r="K36" s="1"/>
      <c r="L36" s="1"/>
      <c r="M36" s="1"/>
      <c r="N36" s="1"/>
      <c r="O36" s="1"/>
      <c r="P36" s="1"/>
    </row>
    <row r="37" spans="1:16" x14ac:dyDescent="0.25">
      <c r="A37" s="1" t="s">
        <v>93</v>
      </c>
      <c r="B37" s="1" t="s">
        <v>102</v>
      </c>
      <c r="C37" s="1" t="s">
        <v>144</v>
      </c>
      <c r="D37" s="12"/>
      <c r="E37" s="1" t="s">
        <v>9</v>
      </c>
      <c r="F37" s="1"/>
      <c r="G37" s="1"/>
      <c r="H37" s="1"/>
      <c r="I37" s="1"/>
      <c r="J37" s="1">
        <f t="shared" si="0"/>
        <v>0.52631578947368418</v>
      </c>
      <c r="K37" s="1"/>
      <c r="L37" s="1"/>
      <c r="M37" s="1"/>
      <c r="N37" s="1"/>
      <c r="O37" s="1"/>
      <c r="P37" s="1"/>
    </row>
    <row r="38" spans="1:16" x14ac:dyDescent="0.25">
      <c r="A38" s="1" t="s">
        <v>94</v>
      </c>
      <c r="B38" s="1" t="s">
        <v>102</v>
      </c>
      <c r="C38" s="1" t="s">
        <v>144</v>
      </c>
      <c r="D38" s="12"/>
      <c r="E38" s="1" t="s">
        <v>9</v>
      </c>
      <c r="F38" s="1"/>
      <c r="G38" s="1"/>
      <c r="H38" s="1"/>
      <c r="I38" s="1"/>
      <c r="J38" s="1">
        <f t="shared" si="0"/>
        <v>0.55555555555555558</v>
      </c>
      <c r="K38" s="1"/>
      <c r="L38" s="1"/>
      <c r="M38" s="1"/>
      <c r="N38" s="1"/>
      <c r="O38" s="1"/>
      <c r="P38" s="1"/>
    </row>
    <row r="39" spans="1:16" x14ac:dyDescent="0.25">
      <c r="A39" s="1" t="s">
        <v>95</v>
      </c>
      <c r="B39" s="1" t="s">
        <v>102</v>
      </c>
      <c r="C39" s="1" t="s">
        <v>144</v>
      </c>
      <c r="D39" s="12"/>
      <c r="E39" s="1" t="s">
        <v>9</v>
      </c>
      <c r="F39" s="1"/>
      <c r="G39" s="1"/>
      <c r="H39" s="1"/>
      <c r="I39" s="1"/>
      <c r="J39" s="1">
        <f t="shared" si="0"/>
        <v>0.58823529411764708</v>
      </c>
      <c r="K39" s="1"/>
      <c r="L39" s="1"/>
      <c r="M39" s="1"/>
      <c r="N39" s="1"/>
      <c r="O39" s="1"/>
      <c r="P39" s="1"/>
    </row>
    <row r="40" spans="1:16" x14ac:dyDescent="0.25">
      <c r="A40" s="1" t="s">
        <v>96</v>
      </c>
      <c r="B40" s="1" t="s">
        <v>102</v>
      </c>
      <c r="C40" s="1" t="s">
        <v>144</v>
      </c>
      <c r="D40" s="12"/>
      <c r="E40" s="1" t="s">
        <v>9</v>
      </c>
      <c r="F40" s="1"/>
      <c r="G40" s="1"/>
      <c r="H40" s="1"/>
      <c r="I40" s="1"/>
      <c r="J40" s="1">
        <f t="shared" si="0"/>
        <v>0.625</v>
      </c>
      <c r="K40" s="1"/>
      <c r="L40" s="1"/>
      <c r="M40" s="1"/>
      <c r="N40" s="1"/>
      <c r="O40" s="1"/>
      <c r="P40" s="1"/>
    </row>
    <row r="41" spans="1:16" x14ac:dyDescent="0.25">
      <c r="A41" s="1" t="s">
        <v>97</v>
      </c>
      <c r="B41" s="1" t="s">
        <v>102</v>
      </c>
      <c r="C41" s="1" t="s">
        <v>144</v>
      </c>
      <c r="D41" s="12"/>
      <c r="E41" s="1" t="s">
        <v>9</v>
      </c>
      <c r="F41" s="1"/>
      <c r="G41" s="1"/>
      <c r="H41" s="1"/>
      <c r="I41" s="1"/>
      <c r="J41" s="1">
        <f t="shared" si="0"/>
        <v>0.66666666666666663</v>
      </c>
      <c r="K41" s="1"/>
      <c r="L41" s="1"/>
      <c r="M41" s="1"/>
      <c r="N41" s="1"/>
      <c r="O41" s="1"/>
      <c r="P41" s="1"/>
    </row>
    <row r="42" spans="1:16" x14ac:dyDescent="0.25">
      <c r="A42" s="1" t="s">
        <v>98</v>
      </c>
      <c r="B42" s="1" t="s">
        <v>102</v>
      </c>
      <c r="C42" s="1" t="s">
        <v>144</v>
      </c>
      <c r="D42" s="12"/>
      <c r="E42" s="1" t="s">
        <v>9</v>
      </c>
      <c r="F42" s="1"/>
      <c r="G42" s="1"/>
      <c r="H42" s="1"/>
      <c r="I42" s="1"/>
      <c r="J42" s="1">
        <f t="shared" si="0"/>
        <v>0.7142857142857143</v>
      </c>
      <c r="K42" s="1"/>
      <c r="L42" s="1"/>
      <c r="M42" s="1"/>
      <c r="N42" s="1"/>
      <c r="O42" s="1"/>
      <c r="P42" s="1"/>
    </row>
    <row r="43" spans="1:16" x14ac:dyDescent="0.25">
      <c r="A43" s="1" t="s">
        <v>99</v>
      </c>
      <c r="B43" s="1" t="s">
        <v>102</v>
      </c>
      <c r="C43" s="1" t="s">
        <v>144</v>
      </c>
      <c r="D43" s="12"/>
      <c r="E43" s="1" t="s">
        <v>9</v>
      </c>
      <c r="F43" s="1"/>
      <c r="G43" s="1"/>
      <c r="H43" s="1"/>
      <c r="I43" s="1"/>
      <c r="J43" s="1">
        <f t="shared" si="0"/>
        <v>0.76923076923076916</v>
      </c>
      <c r="K43" s="1"/>
      <c r="L43" s="1"/>
      <c r="M43" s="1"/>
      <c r="N43" s="1"/>
      <c r="O43" s="1"/>
      <c r="P43" s="1"/>
    </row>
    <row r="44" spans="1:16" x14ac:dyDescent="0.25">
      <c r="A44" s="1" t="s">
        <v>100</v>
      </c>
      <c r="B44" s="1" t="s">
        <v>102</v>
      </c>
      <c r="C44" s="1" t="s">
        <v>144</v>
      </c>
      <c r="D44" s="12"/>
      <c r="E44" s="1" t="s">
        <v>9</v>
      </c>
      <c r="F44" s="1"/>
      <c r="G44" s="1"/>
      <c r="H44" s="1"/>
      <c r="I44" s="1"/>
      <c r="J44" s="1">
        <f t="shared" si="0"/>
        <v>0.83333333333333337</v>
      </c>
      <c r="K44" s="1"/>
      <c r="L44" s="1"/>
      <c r="M44" s="1"/>
      <c r="N44" s="1"/>
      <c r="O44" s="1"/>
      <c r="P44" s="1"/>
    </row>
    <row r="45" spans="1:16" x14ac:dyDescent="0.25">
      <c r="A45" s="4" t="s">
        <v>101</v>
      </c>
      <c r="B45" s="1" t="s">
        <v>102</v>
      </c>
      <c r="C45" s="1" t="s">
        <v>144</v>
      </c>
      <c r="D45" s="12"/>
      <c r="E45" s="1" t="s">
        <v>9</v>
      </c>
      <c r="F45" s="4"/>
      <c r="G45" s="4"/>
      <c r="H45" s="4"/>
      <c r="I45" s="1"/>
      <c r="J45" s="1">
        <f>1/J35</f>
        <v>0.90909090909090906</v>
      </c>
      <c r="K45" s="4"/>
      <c r="L45" s="4"/>
      <c r="M45" s="4"/>
      <c r="N45" s="4"/>
      <c r="O45" s="4"/>
      <c r="P45" s="4"/>
    </row>
    <row r="46" spans="1:16" x14ac:dyDescent="0.25">
      <c r="A46" s="1" t="s">
        <v>103</v>
      </c>
      <c r="B46" s="1" t="s">
        <v>102</v>
      </c>
      <c r="C46" s="1" t="s">
        <v>145</v>
      </c>
      <c r="D46" s="12"/>
      <c r="E46" s="1" t="s">
        <v>9</v>
      </c>
      <c r="F46" s="1"/>
      <c r="G46" s="1"/>
      <c r="H46" s="1"/>
      <c r="I46" s="1"/>
      <c r="J46" s="1"/>
      <c r="K46" s="1">
        <v>2</v>
      </c>
      <c r="L46" s="1"/>
      <c r="M46" s="1"/>
      <c r="N46" s="1"/>
      <c r="O46" s="1"/>
      <c r="P46" s="1"/>
    </row>
    <row r="47" spans="1:16" x14ac:dyDescent="0.25">
      <c r="A47" s="1" t="s">
        <v>104</v>
      </c>
      <c r="B47" s="1" t="s">
        <v>102</v>
      </c>
      <c r="C47" s="1" t="s">
        <v>145</v>
      </c>
      <c r="D47" s="12"/>
      <c r="E47" s="1" t="s">
        <v>9</v>
      </c>
      <c r="F47" s="1"/>
      <c r="G47" s="1"/>
      <c r="H47" s="1"/>
      <c r="I47" s="1"/>
      <c r="J47" s="1"/>
      <c r="K47" s="1">
        <v>1.9</v>
      </c>
      <c r="L47" s="1"/>
      <c r="M47" s="1"/>
      <c r="N47" s="1"/>
      <c r="O47" s="1"/>
      <c r="P47" s="1"/>
    </row>
    <row r="48" spans="1:16" x14ac:dyDescent="0.25">
      <c r="A48" s="1" t="s">
        <v>105</v>
      </c>
      <c r="B48" s="1" t="s">
        <v>102</v>
      </c>
      <c r="C48" s="1" t="s">
        <v>145</v>
      </c>
      <c r="D48" s="12"/>
      <c r="E48" s="1" t="s">
        <v>9</v>
      </c>
      <c r="F48" s="1"/>
      <c r="G48" s="1"/>
      <c r="H48" s="1"/>
      <c r="I48" s="1"/>
      <c r="J48" s="1"/>
      <c r="K48" s="1">
        <v>1.8</v>
      </c>
      <c r="L48" s="1"/>
      <c r="M48" s="1"/>
      <c r="N48" s="1"/>
      <c r="O48" s="1"/>
      <c r="P48" s="1"/>
    </row>
    <row r="49" spans="1:16" x14ac:dyDescent="0.25">
      <c r="A49" s="1" t="s">
        <v>106</v>
      </c>
      <c r="B49" s="1" t="s">
        <v>102</v>
      </c>
      <c r="C49" s="1" t="s">
        <v>145</v>
      </c>
      <c r="D49" s="12"/>
      <c r="E49" s="1" t="s">
        <v>9</v>
      </c>
      <c r="F49" s="1"/>
      <c r="G49" s="1"/>
      <c r="H49" s="1"/>
      <c r="I49" s="1"/>
      <c r="J49" s="1"/>
      <c r="K49" s="1">
        <v>1.7</v>
      </c>
      <c r="L49" s="1"/>
      <c r="M49" s="1"/>
      <c r="N49" s="1"/>
      <c r="O49" s="1"/>
      <c r="P49" s="1"/>
    </row>
    <row r="50" spans="1:16" x14ac:dyDescent="0.25">
      <c r="A50" s="1" t="s">
        <v>107</v>
      </c>
      <c r="B50" s="1" t="s">
        <v>102</v>
      </c>
      <c r="C50" s="1" t="s">
        <v>145</v>
      </c>
      <c r="D50" s="12"/>
      <c r="E50" s="1" t="s">
        <v>9</v>
      </c>
      <c r="F50" s="1"/>
      <c r="G50" s="1"/>
      <c r="H50" s="1"/>
      <c r="I50" s="1"/>
      <c r="J50" s="1"/>
      <c r="K50" s="1">
        <v>1.6</v>
      </c>
      <c r="L50" s="1"/>
      <c r="M50" s="1"/>
      <c r="N50" s="1"/>
      <c r="O50" s="1"/>
      <c r="P50" s="1"/>
    </row>
    <row r="51" spans="1:16" x14ac:dyDescent="0.25">
      <c r="A51" s="1" t="s">
        <v>108</v>
      </c>
      <c r="B51" s="1" t="s">
        <v>102</v>
      </c>
      <c r="C51" s="1" t="s">
        <v>145</v>
      </c>
      <c r="D51" s="12"/>
      <c r="E51" s="1" t="s">
        <v>9</v>
      </c>
      <c r="F51" s="1"/>
      <c r="G51" s="1"/>
      <c r="H51" s="1"/>
      <c r="I51" s="1"/>
      <c r="J51" s="1"/>
      <c r="K51" s="1">
        <v>1.5</v>
      </c>
      <c r="L51" s="1"/>
      <c r="M51" s="1"/>
      <c r="N51" s="1"/>
      <c r="O51" s="1"/>
      <c r="P51" s="1"/>
    </row>
    <row r="52" spans="1:16" x14ac:dyDescent="0.25">
      <c r="A52" s="1" t="s">
        <v>109</v>
      </c>
      <c r="B52" s="1" t="s">
        <v>102</v>
      </c>
      <c r="C52" s="1" t="s">
        <v>145</v>
      </c>
      <c r="D52" s="12"/>
      <c r="E52" s="1" t="s">
        <v>9</v>
      </c>
      <c r="F52" s="1"/>
      <c r="G52" s="1"/>
      <c r="H52" s="1"/>
      <c r="I52" s="1"/>
      <c r="J52" s="1"/>
      <c r="K52" s="1">
        <v>1.4</v>
      </c>
      <c r="L52" s="1"/>
      <c r="M52" s="1"/>
      <c r="N52" s="1"/>
      <c r="O52" s="1"/>
      <c r="P52" s="1"/>
    </row>
    <row r="53" spans="1:16" x14ac:dyDescent="0.25">
      <c r="A53" s="1" t="s">
        <v>110</v>
      </c>
      <c r="B53" s="1" t="s">
        <v>102</v>
      </c>
      <c r="C53" s="1" t="s">
        <v>145</v>
      </c>
      <c r="D53" s="12"/>
      <c r="E53" s="1" t="s">
        <v>9</v>
      </c>
      <c r="F53" s="1"/>
      <c r="G53" s="1"/>
      <c r="H53" s="1"/>
      <c r="I53" s="1"/>
      <c r="J53" s="1"/>
      <c r="K53" s="1">
        <v>1.3</v>
      </c>
      <c r="L53" s="1"/>
      <c r="M53" s="1"/>
      <c r="N53" s="1"/>
      <c r="O53" s="1"/>
      <c r="P53" s="1"/>
    </row>
    <row r="54" spans="1:16" x14ac:dyDescent="0.25">
      <c r="A54" s="1" t="s">
        <v>111</v>
      </c>
      <c r="B54" s="1" t="s">
        <v>102</v>
      </c>
      <c r="C54" s="1" t="s">
        <v>145</v>
      </c>
      <c r="D54" s="12"/>
      <c r="E54" s="1" t="s">
        <v>9</v>
      </c>
      <c r="F54" s="1"/>
      <c r="G54" s="1"/>
      <c r="H54" s="1"/>
      <c r="I54" s="1"/>
      <c r="J54" s="1"/>
      <c r="K54" s="1">
        <v>1.2</v>
      </c>
      <c r="L54" s="1"/>
      <c r="M54" s="1"/>
      <c r="N54" s="1"/>
      <c r="O54" s="1"/>
      <c r="P54" s="1"/>
    </row>
    <row r="55" spans="1:16" x14ac:dyDescent="0.25">
      <c r="A55" s="1" t="s">
        <v>112</v>
      </c>
      <c r="B55" s="1" t="s">
        <v>102</v>
      </c>
      <c r="C55" s="1" t="s">
        <v>145</v>
      </c>
      <c r="D55" s="12"/>
      <c r="E55" s="1" t="s">
        <v>9</v>
      </c>
      <c r="F55" s="1"/>
      <c r="G55" s="1"/>
      <c r="H55" s="1"/>
      <c r="I55" s="1"/>
      <c r="J55" s="1"/>
      <c r="K55" s="1">
        <v>1.1000000000000001</v>
      </c>
      <c r="L55" s="1"/>
      <c r="M55" s="1"/>
      <c r="N55" s="1"/>
      <c r="O55" s="1"/>
      <c r="P55" s="1"/>
    </row>
    <row r="56" spans="1:16" x14ac:dyDescent="0.25">
      <c r="A56" s="1" t="s">
        <v>113</v>
      </c>
      <c r="B56" s="1" t="s">
        <v>102</v>
      </c>
      <c r="C56" s="1" t="s">
        <v>146</v>
      </c>
      <c r="D56" s="12"/>
      <c r="E56" s="1" t="s">
        <v>9</v>
      </c>
      <c r="F56" s="1"/>
      <c r="G56" s="1"/>
      <c r="H56" s="1"/>
      <c r="I56" s="1"/>
      <c r="J56" s="1"/>
      <c r="K56" s="1"/>
      <c r="L56" s="1">
        <f t="shared" ref="L56:L65" si="1">1/K46</f>
        <v>0.5</v>
      </c>
      <c r="M56" s="1"/>
      <c r="N56" s="1"/>
      <c r="O56" s="1"/>
      <c r="P56" s="1"/>
    </row>
    <row r="57" spans="1:16" x14ac:dyDescent="0.25">
      <c r="A57" s="1" t="s">
        <v>114</v>
      </c>
      <c r="B57" s="1" t="s">
        <v>102</v>
      </c>
      <c r="C57" s="1" t="s">
        <v>146</v>
      </c>
      <c r="D57" s="12"/>
      <c r="E57" s="1" t="s">
        <v>9</v>
      </c>
      <c r="F57" s="1"/>
      <c r="G57" s="1"/>
      <c r="H57" s="1"/>
      <c r="I57" s="1"/>
      <c r="J57" s="1"/>
      <c r="K57" s="1"/>
      <c r="L57" s="1">
        <f t="shared" si="1"/>
        <v>0.52631578947368418</v>
      </c>
      <c r="M57" s="1"/>
      <c r="N57" s="1"/>
      <c r="O57" s="1"/>
      <c r="P57" s="1"/>
    </row>
    <row r="58" spans="1:16" x14ac:dyDescent="0.25">
      <c r="A58" s="1" t="s">
        <v>115</v>
      </c>
      <c r="B58" s="1" t="s">
        <v>102</v>
      </c>
      <c r="C58" s="1" t="s">
        <v>146</v>
      </c>
      <c r="D58" s="12"/>
      <c r="E58" s="1" t="s">
        <v>9</v>
      </c>
      <c r="F58" s="1"/>
      <c r="G58" s="1"/>
      <c r="H58" s="1"/>
      <c r="I58" s="1"/>
      <c r="J58" s="1"/>
      <c r="K58" s="1"/>
      <c r="L58" s="1">
        <f t="shared" si="1"/>
        <v>0.55555555555555558</v>
      </c>
      <c r="M58" s="1"/>
      <c r="N58" s="1"/>
      <c r="O58" s="1"/>
      <c r="P58" s="1"/>
    </row>
    <row r="59" spans="1:16" x14ac:dyDescent="0.25">
      <c r="A59" s="1" t="s">
        <v>116</v>
      </c>
      <c r="B59" s="1" t="s">
        <v>102</v>
      </c>
      <c r="C59" s="1" t="s">
        <v>146</v>
      </c>
      <c r="D59" s="12"/>
      <c r="E59" s="1" t="s">
        <v>9</v>
      </c>
      <c r="F59" s="1"/>
      <c r="G59" s="1"/>
      <c r="H59" s="1"/>
      <c r="I59" s="1"/>
      <c r="J59" s="1"/>
      <c r="K59" s="1"/>
      <c r="L59" s="1">
        <f t="shared" si="1"/>
        <v>0.58823529411764708</v>
      </c>
      <c r="M59" s="1"/>
      <c r="N59" s="1"/>
      <c r="O59" s="1"/>
      <c r="P59" s="1"/>
    </row>
    <row r="60" spans="1:16" x14ac:dyDescent="0.25">
      <c r="A60" s="1" t="s">
        <v>117</v>
      </c>
      <c r="B60" s="1" t="s">
        <v>102</v>
      </c>
      <c r="C60" s="1" t="s">
        <v>146</v>
      </c>
      <c r="D60" s="12"/>
      <c r="E60" s="1" t="s">
        <v>9</v>
      </c>
      <c r="F60" s="1"/>
      <c r="G60" s="1"/>
      <c r="H60" s="1"/>
      <c r="I60" s="1"/>
      <c r="J60" s="1"/>
      <c r="K60" s="1"/>
      <c r="L60" s="1">
        <f t="shared" si="1"/>
        <v>0.625</v>
      </c>
      <c r="M60" s="1"/>
      <c r="N60" s="1"/>
      <c r="O60" s="1"/>
      <c r="P60" s="1"/>
    </row>
    <row r="61" spans="1:16" x14ac:dyDescent="0.25">
      <c r="A61" s="1" t="s">
        <v>118</v>
      </c>
      <c r="B61" s="1" t="s">
        <v>102</v>
      </c>
      <c r="C61" s="1" t="s">
        <v>146</v>
      </c>
      <c r="D61" s="12"/>
      <c r="E61" s="1" t="s">
        <v>9</v>
      </c>
      <c r="F61" s="1"/>
      <c r="G61" s="1"/>
      <c r="H61" s="1"/>
      <c r="I61" s="1"/>
      <c r="J61" s="1"/>
      <c r="K61" s="1"/>
      <c r="L61" s="1">
        <f t="shared" si="1"/>
        <v>0.66666666666666663</v>
      </c>
      <c r="M61" s="1"/>
      <c r="N61" s="1"/>
      <c r="O61" s="1"/>
      <c r="P61" s="1"/>
    </row>
    <row r="62" spans="1:16" x14ac:dyDescent="0.25">
      <c r="A62" s="1" t="s">
        <v>119</v>
      </c>
      <c r="B62" s="1" t="s">
        <v>102</v>
      </c>
      <c r="C62" s="1" t="s">
        <v>146</v>
      </c>
      <c r="D62" s="12"/>
      <c r="E62" s="1" t="s">
        <v>9</v>
      </c>
      <c r="F62" s="1"/>
      <c r="G62" s="1"/>
      <c r="H62" s="1"/>
      <c r="I62" s="1"/>
      <c r="J62" s="1"/>
      <c r="K62" s="1"/>
      <c r="L62" s="1">
        <f t="shared" si="1"/>
        <v>0.7142857142857143</v>
      </c>
      <c r="M62" s="1"/>
      <c r="N62" s="1"/>
      <c r="O62" s="1"/>
      <c r="P62" s="1"/>
    </row>
    <row r="63" spans="1:16" x14ac:dyDescent="0.25">
      <c r="A63" s="1" t="s">
        <v>120</v>
      </c>
      <c r="B63" s="1" t="s">
        <v>102</v>
      </c>
      <c r="C63" s="1" t="s">
        <v>146</v>
      </c>
      <c r="D63" s="12"/>
      <c r="E63" s="1" t="s">
        <v>9</v>
      </c>
      <c r="F63" s="1"/>
      <c r="G63" s="1"/>
      <c r="H63" s="1"/>
      <c r="I63" s="1"/>
      <c r="J63" s="1"/>
      <c r="K63" s="1"/>
      <c r="L63" s="1">
        <f t="shared" si="1"/>
        <v>0.76923076923076916</v>
      </c>
      <c r="M63" s="1"/>
      <c r="N63" s="1"/>
      <c r="O63" s="1"/>
      <c r="P63" s="1"/>
    </row>
    <row r="64" spans="1:16" x14ac:dyDescent="0.25">
      <c r="A64" s="1" t="s">
        <v>121</v>
      </c>
      <c r="B64" s="1" t="s">
        <v>102</v>
      </c>
      <c r="C64" s="1" t="s">
        <v>146</v>
      </c>
      <c r="D64" s="12"/>
      <c r="E64" s="1" t="s">
        <v>9</v>
      </c>
      <c r="F64" s="1"/>
      <c r="G64" s="1"/>
      <c r="H64" s="1"/>
      <c r="I64" s="1"/>
      <c r="J64" s="1"/>
      <c r="K64" s="1"/>
      <c r="L64" s="1">
        <f t="shared" si="1"/>
        <v>0.83333333333333337</v>
      </c>
      <c r="M64" s="1"/>
      <c r="N64" s="1"/>
      <c r="O64" s="1"/>
      <c r="P64" s="1"/>
    </row>
    <row r="65" spans="1:16" x14ac:dyDescent="0.25">
      <c r="A65" s="1" t="s">
        <v>122</v>
      </c>
      <c r="B65" s="4" t="s">
        <v>102</v>
      </c>
      <c r="C65" s="1" t="s">
        <v>146</v>
      </c>
      <c r="D65" s="13"/>
      <c r="E65" s="4" t="s">
        <v>9</v>
      </c>
      <c r="F65" s="4"/>
      <c r="G65" s="4"/>
      <c r="H65" s="4"/>
      <c r="I65" s="1"/>
      <c r="J65" s="4"/>
      <c r="K65" s="4"/>
      <c r="L65" s="4">
        <f t="shared" si="1"/>
        <v>0.90909090909090906</v>
      </c>
      <c r="M65" s="4"/>
      <c r="N65" s="4"/>
      <c r="O65" s="4"/>
      <c r="P65" s="4"/>
    </row>
    <row r="66" spans="1:16" x14ac:dyDescent="0.25">
      <c r="A66" s="1" t="s">
        <v>123</v>
      </c>
      <c r="B66" s="1" t="s">
        <v>102</v>
      </c>
      <c r="C66" s="1" t="s">
        <v>147</v>
      </c>
      <c r="D66" s="12"/>
      <c r="E66" s="1" t="s">
        <v>9</v>
      </c>
      <c r="F66" s="1"/>
      <c r="G66" s="1"/>
      <c r="H66" s="1"/>
      <c r="I66" s="1"/>
      <c r="J66" s="1"/>
      <c r="K66" s="1"/>
      <c r="L66" s="1"/>
      <c r="M66" s="1">
        <v>2</v>
      </c>
      <c r="N66" s="1"/>
      <c r="O66" s="1"/>
      <c r="P66" s="1"/>
    </row>
    <row r="67" spans="1:16" x14ac:dyDescent="0.25">
      <c r="A67" s="1" t="s">
        <v>124</v>
      </c>
      <c r="B67" s="1" t="s">
        <v>102</v>
      </c>
      <c r="C67" s="1" t="s">
        <v>147</v>
      </c>
      <c r="D67" s="12"/>
      <c r="E67" s="1" t="s">
        <v>9</v>
      </c>
      <c r="F67" s="1"/>
      <c r="G67" s="1"/>
      <c r="H67" s="1"/>
      <c r="I67" s="1"/>
      <c r="J67" s="1"/>
      <c r="K67" s="1"/>
      <c r="L67" s="1"/>
      <c r="M67" s="1">
        <v>1.9</v>
      </c>
      <c r="N67" s="1"/>
      <c r="O67" s="1"/>
      <c r="P67" s="1"/>
    </row>
    <row r="68" spans="1:16" x14ac:dyDescent="0.25">
      <c r="A68" s="1" t="s">
        <v>125</v>
      </c>
      <c r="B68" s="1" t="s">
        <v>102</v>
      </c>
      <c r="C68" s="1" t="s">
        <v>147</v>
      </c>
      <c r="D68" s="12"/>
      <c r="E68" s="1" t="s">
        <v>9</v>
      </c>
      <c r="F68" s="1"/>
      <c r="G68" s="1"/>
      <c r="H68" s="1"/>
      <c r="I68" s="1"/>
      <c r="J68" s="1"/>
      <c r="K68" s="1"/>
      <c r="L68" s="1"/>
      <c r="M68" s="1">
        <v>1.8</v>
      </c>
      <c r="N68" s="1"/>
      <c r="O68" s="1"/>
      <c r="P68" s="1"/>
    </row>
    <row r="69" spans="1:16" x14ac:dyDescent="0.25">
      <c r="A69" s="1" t="s">
        <v>126</v>
      </c>
      <c r="B69" s="1" t="s">
        <v>102</v>
      </c>
      <c r="C69" s="1" t="s">
        <v>147</v>
      </c>
      <c r="D69" s="12"/>
      <c r="E69" s="1" t="s">
        <v>9</v>
      </c>
      <c r="F69" s="1"/>
      <c r="G69" s="1"/>
      <c r="H69" s="1"/>
      <c r="I69" s="1"/>
      <c r="J69" s="1"/>
      <c r="K69" s="1"/>
      <c r="L69" s="1"/>
      <c r="M69" s="1">
        <v>1.7</v>
      </c>
      <c r="N69" s="1"/>
      <c r="O69" s="1"/>
      <c r="P69" s="1"/>
    </row>
    <row r="70" spans="1:16" x14ac:dyDescent="0.25">
      <c r="A70" s="1" t="s">
        <v>127</v>
      </c>
      <c r="B70" s="1" t="s">
        <v>102</v>
      </c>
      <c r="C70" s="1" t="s">
        <v>147</v>
      </c>
      <c r="D70" s="12"/>
      <c r="E70" s="1" t="s">
        <v>9</v>
      </c>
      <c r="F70" s="1"/>
      <c r="G70" s="1"/>
      <c r="H70" s="1"/>
      <c r="I70" s="1"/>
      <c r="J70" s="1"/>
      <c r="K70" s="1"/>
      <c r="L70" s="1"/>
      <c r="M70" s="1">
        <v>1.6</v>
      </c>
      <c r="N70" s="1"/>
      <c r="O70" s="1"/>
      <c r="P70" s="1"/>
    </row>
    <row r="71" spans="1:16" x14ac:dyDescent="0.25">
      <c r="A71" s="1" t="s">
        <v>128</v>
      </c>
      <c r="B71" s="1" t="s">
        <v>102</v>
      </c>
      <c r="C71" s="1" t="s">
        <v>147</v>
      </c>
      <c r="D71" s="12"/>
      <c r="E71" s="1" t="s">
        <v>9</v>
      </c>
      <c r="F71" s="1"/>
      <c r="G71" s="1"/>
      <c r="H71" s="1"/>
      <c r="I71" s="1"/>
      <c r="J71" s="1"/>
      <c r="K71" s="1"/>
      <c r="L71" s="1"/>
      <c r="M71" s="1">
        <v>1.5</v>
      </c>
      <c r="N71" s="1"/>
      <c r="O71" s="1"/>
      <c r="P71" s="1"/>
    </row>
    <row r="72" spans="1:16" x14ac:dyDescent="0.25">
      <c r="A72" s="1" t="s">
        <v>129</v>
      </c>
      <c r="B72" s="1" t="s">
        <v>102</v>
      </c>
      <c r="C72" s="1" t="s">
        <v>147</v>
      </c>
      <c r="D72" s="12"/>
      <c r="E72" s="1" t="s">
        <v>9</v>
      </c>
      <c r="F72" s="1"/>
      <c r="G72" s="1"/>
      <c r="H72" s="1"/>
      <c r="I72" s="1"/>
      <c r="J72" s="1"/>
      <c r="K72" s="1"/>
      <c r="L72" s="1"/>
      <c r="M72" s="1">
        <v>1.4</v>
      </c>
      <c r="N72" s="1"/>
      <c r="O72" s="1"/>
      <c r="P72" s="1"/>
    </row>
    <row r="73" spans="1:16" x14ac:dyDescent="0.25">
      <c r="A73" s="1" t="s">
        <v>130</v>
      </c>
      <c r="B73" s="1" t="s">
        <v>102</v>
      </c>
      <c r="C73" s="1" t="s">
        <v>147</v>
      </c>
      <c r="D73" s="12"/>
      <c r="E73" s="1" t="s">
        <v>9</v>
      </c>
      <c r="F73" s="1"/>
      <c r="G73" s="1"/>
      <c r="H73" s="1"/>
      <c r="I73" s="1"/>
      <c r="J73" s="1"/>
      <c r="K73" s="1"/>
      <c r="L73" s="1"/>
      <c r="M73" s="1">
        <v>1.3</v>
      </c>
      <c r="N73" s="1"/>
      <c r="O73" s="1"/>
      <c r="P73" s="1"/>
    </row>
    <row r="74" spans="1:16" x14ac:dyDescent="0.25">
      <c r="A74" s="1" t="s">
        <v>131</v>
      </c>
      <c r="B74" s="1" t="s">
        <v>102</v>
      </c>
      <c r="C74" s="1" t="s">
        <v>147</v>
      </c>
      <c r="D74" s="12"/>
      <c r="E74" s="1" t="s">
        <v>9</v>
      </c>
      <c r="F74" s="1"/>
      <c r="G74" s="1"/>
      <c r="H74" s="1"/>
      <c r="I74" s="1"/>
      <c r="J74" s="1"/>
      <c r="K74" s="1"/>
      <c r="L74" s="1"/>
      <c r="M74" s="1">
        <v>1.2</v>
      </c>
      <c r="N74" s="1"/>
      <c r="O74" s="1"/>
      <c r="P74" s="1"/>
    </row>
    <row r="75" spans="1:16" x14ac:dyDescent="0.25">
      <c r="A75" s="1" t="s">
        <v>132</v>
      </c>
      <c r="B75" s="1" t="s">
        <v>102</v>
      </c>
      <c r="C75" s="1" t="s">
        <v>147</v>
      </c>
      <c r="D75" s="12"/>
      <c r="E75" s="1" t="s">
        <v>9</v>
      </c>
      <c r="F75" s="1"/>
      <c r="G75" s="1"/>
      <c r="H75" s="1"/>
      <c r="I75" s="1"/>
      <c r="J75" s="1"/>
      <c r="K75" s="1"/>
      <c r="L75" s="1"/>
      <c r="M75" s="1">
        <v>1.1000000000000001</v>
      </c>
      <c r="N75" s="1"/>
      <c r="O75" s="1"/>
      <c r="P75" s="1"/>
    </row>
    <row r="76" spans="1:16" x14ac:dyDescent="0.25">
      <c r="A76" s="1" t="s">
        <v>133</v>
      </c>
      <c r="B76" s="1" t="s">
        <v>102</v>
      </c>
      <c r="C76" s="1" t="s">
        <v>148</v>
      </c>
      <c r="D76" s="12"/>
      <c r="E76" s="1" t="s">
        <v>9</v>
      </c>
      <c r="F76" s="1"/>
      <c r="G76" s="1"/>
      <c r="H76" s="1"/>
      <c r="I76" s="1"/>
      <c r="J76" s="1"/>
      <c r="K76" s="1"/>
      <c r="L76" s="1"/>
      <c r="M76" s="1"/>
      <c r="N76" s="1">
        <f t="shared" ref="N76:N85" si="2">1/M66</f>
        <v>0.5</v>
      </c>
      <c r="O76" s="1"/>
      <c r="P76" s="1"/>
    </row>
    <row r="77" spans="1:16" x14ac:dyDescent="0.25">
      <c r="A77" s="1" t="s">
        <v>134</v>
      </c>
      <c r="B77" s="1" t="s">
        <v>102</v>
      </c>
      <c r="C77" s="1" t="s">
        <v>148</v>
      </c>
      <c r="D77" s="12"/>
      <c r="E77" s="1" t="s">
        <v>9</v>
      </c>
      <c r="F77" s="1"/>
      <c r="G77" s="1"/>
      <c r="H77" s="1"/>
      <c r="I77" s="1"/>
      <c r="J77" s="1"/>
      <c r="K77" s="1"/>
      <c r="L77" s="1"/>
      <c r="M77" s="1"/>
      <c r="N77" s="1">
        <f t="shared" si="2"/>
        <v>0.52631578947368418</v>
      </c>
      <c r="O77" s="1"/>
      <c r="P77" s="1"/>
    </row>
    <row r="78" spans="1:16" x14ac:dyDescent="0.25">
      <c r="A78" s="1" t="s">
        <v>135</v>
      </c>
      <c r="B78" s="1" t="s">
        <v>102</v>
      </c>
      <c r="C78" s="1" t="s">
        <v>148</v>
      </c>
      <c r="D78" s="12"/>
      <c r="E78" s="1" t="s">
        <v>9</v>
      </c>
      <c r="F78" s="1"/>
      <c r="G78" s="1"/>
      <c r="H78" s="1"/>
      <c r="I78" s="1"/>
      <c r="J78" s="1"/>
      <c r="K78" s="1"/>
      <c r="L78" s="1"/>
      <c r="M78" s="1"/>
      <c r="N78" s="1">
        <f t="shared" si="2"/>
        <v>0.55555555555555558</v>
      </c>
      <c r="O78" s="1"/>
      <c r="P78" s="1"/>
    </row>
    <row r="79" spans="1:16" x14ac:dyDescent="0.25">
      <c r="A79" s="1" t="s">
        <v>136</v>
      </c>
      <c r="B79" s="1" t="s">
        <v>102</v>
      </c>
      <c r="C79" s="1" t="s">
        <v>148</v>
      </c>
      <c r="D79" s="12"/>
      <c r="E79" s="1" t="s">
        <v>9</v>
      </c>
      <c r="F79" s="1"/>
      <c r="G79" s="1"/>
      <c r="H79" s="1"/>
      <c r="I79" s="1"/>
      <c r="J79" s="1"/>
      <c r="K79" s="1"/>
      <c r="L79" s="1"/>
      <c r="M79" s="1"/>
      <c r="N79" s="1">
        <f t="shared" si="2"/>
        <v>0.58823529411764708</v>
      </c>
      <c r="O79" s="1"/>
      <c r="P79" s="1"/>
    </row>
    <row r="80" spans="1:16" x14ac:dyDescent="0.25">
      <c r="A80" s="1" t="s">
        <v>137</v>
      </c>
      <c r="B80" s="1" t="s">
        <v>102</v>
      </c>
      <c r="C80" s="1" t="s">
        <v>148</v>
      </c>
      <c r="D80" s="12"/>
      <c r="E80" s="1" t="s">
        <v>9</v>
      </c>
      <c r="F80" s="1"/>
      <c r="G80" s="1"/>
      <c r="H80" s="1"/>
      <c r="I80" s="1"/>
      <c r="J80" s="1"/>
      <c r="K80" s="1"/>
      <c r="L80" s="1"/>
      <c r="M80" s="1"/>
      <c r="N80" s="1">
        <f t="shared" si="2"/>
        <v>0.625</v>
      </c>
      <c r="O80" s="1"/>
      <c r="P80" s="1"/>
    </row>
    <row r="81" spans="1:16" x14ac:dyDescent="0.25">
      <c r="A81" s="1" t="s">
        <v>138</v>
      </c>
      <c r="B81" s="1" t="s">
        <v>102</v>
      </c>
      <c r="C81" s="1" t="s">
        <v>148</v>
      </c>
      <c r="D81" s="12"/>
      <c r="E81" s="1" t="s">
        <v>9</v>
      </c>
      <c r="F81" s="1"/>
      <c r="G81" s="1"/>
      <c r="H81" s="1"/>
      <c r="I81" s="1"/>
      <c r="J81" s="1"/>
      <c r="K81" s="1"/>
      <c r="L81" s="1"/>
      <c r="M81" s="1"/>
      <c r="N81" s="1">
        <f t="shared" si="2"/>
        <v>0.66666666666666663</v>
      </c>
      <c r="O81" s="1"/>
      <c r="P81" s="1"/>
    </row>
    <row r="82" spans="1:16" x14ac:dyDescent="0.25">
      <c r="A82" s="1" t="s">
        <v>139</v>
      </c>
      <c r="B82" s="1" t="s">
        <v>102</v>
      </c>
      <c r="C82" s="1" t="s">
        <v>148</v>
      </c>
      <c r="D82" s="12"/>
      <c r="E82" s="1" t="s">
        <v>9</v>
      </c>
      <c r="F82" s="1"/>
      <c r="G82" s="1"/>
      <c r="H82" s="1"/>
      <c r="I82" s="1"/>
      <c r="J82" s="1"/>
      <c r="K82" s="1"/>
      <c r="L82" s="1"/>
      <c r="M82" s="1"/>
      <c r="N82" s="1">
        <f t="shared" si="2"/>
        <v>0.7142857142857143</v>
      </c>
      <c r="O82" s="1"/>
      <c r="P82" s="1"/>
    </row>
    <row r="83" spans="1:16" x14ac:dyDescent="0.25">
      <c r="A83" s="1" t="s">
        <v>140</v>
      </c>
      <c r="B83" s="1" t="s">
        <v>102</v>
      </c>
      <c r="C83" s="1" t="s">
        <v>148</v>
      </c>
      <c r="D83" s="12"/>
      <c r="E83" s="1" t="s">
        <v>9</v>
      </c>
      <c r="F83" s="1"/>
      <c r="G83" s="1"/>
      <c r="H83" s="1"/>
      <c r="I83" s="1"/>
      <c r="J83" s="1"/>
      <c r="K83" s="1"/>
      <c r="L83" s="1"/>
      <c r="M83" s="1"/>
      <c r="N83" s="1">
        <f t="shared" si="2"/>
        <v>0.76923076923076916</v>
      </c>
      <c r="O83" s="1"/>
      <c r="P83" s="1"/>
    </row>
    <row r="84" spans="1:16" x14ac:dyDescent="0.25">
      <c r="A84" s="1" t="s">
        <v>141</v>
      </c>
      <c r="B84" s="1" t="s">
        <v>102</v>
      </c>
      <c r="C84" s="1" t="s">
        <v>148</v>
      </c>
      <c r="D84" s="12"/>
      <c r="E84" s="1" t="s">
        <v>9</v>
      </c>
      <c r="F84" s="1"/>
      <c r="G84" s="1"/>
      <c r="H84" s="1"/>
      <c r="I84" s="1"/>
      <c r="J84" s="1"/>
      <c r="K84" s="1"/>
      <c r="L84" s="1"/>
      <c r="M84" s="1"/>
      <c r="N84" s="1">
        <f t="shared" si="2"/>
        <v>0.83333333333333337</v>
      </c>
      <c r="O84" s="1"/>
      <c r="P84" s="1"/>
    </row>
    <row r="85" spans="1:16" x14ac:dyDescent="0.25">
      <c r="A85" s="1" t="s">
        <v>142</v>
      </c>
      <c r="B85" s="4" t="s">
        <v>102</v>
      </c>
      <c r="C85" s="1" t="s">
        <v>148</v>
      </c>
      <c r="D85" s="13"/>
      <c r="E85" s="4" t="s">
        <v>9</v>
      </c>
      <c r="F85" s="4"/>
      <c r="G85" s="4"/>
      <c r="H85" s="4"/>
      <c r="I85" s="4"/>
      <c r="J85" s="4"/>
      <c r="K85" s="4"/>
      <c r="L85" s="4"/>
      <c r="M85" s="4"/>
      <c r="N85" s="4">
        <f t="shared" si="2"/>
        <v>0.90909090909090906</v>
      </c>
      <c r="O85" s="4"/>
      <c r="P85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45BD-2A55-4F37-ACA9-646901A40846}">
  <dimension ref="A1:Z23"/>
  <sheetViews>
    <sheetView topLeftCell="A4" zoomScale="115" zoomScaleNormal="115" workbookViewId="0">
      <selection activeCell="S14" sqref="S14"/>
    </sheetView>
  </sheetViews>
  <sheetFormatPr defaultRowHeight="15" x14ac:dyDescent="0.25"/>
  <cols>
    <col min="4" max="4" width="15.42578125" bestFit="1" customWidth="1"/>
    <col min="6" max="6" width="9.140625" style="6"/>
    <col min="9" max="9" width="9.140625" style="6"/>
    <col min="19" max="19" width="14.5703125" bestFit="1" customWidth="1"/>
    <col min="20" max="22" width="9.140625" customWidth="1"/>
    <col min="23" max="23" width="11.140625" bestFit="1" customWidth="1"/>
    <col min="24" max="24" width="8.28515625" customWidth="1"/>
    <col min="25" max="25" width="8.85546875" customWidth="1"/>
    <col min="26" max="26" width="7.85546875" bestFit="1" customWidth="1"/>
  </cols>
  <sheetData>
    <row r="1" spans="1:22" x14ac:dyDescent="0.25">
      <c r="F1" s="6" t="s">
        <v>65</v>
      </c>
      <c r="I1" s="6" t="s">
        <v>5</v>
      </c>
      <c r="V1" t="s">
        <v>36</v>
      </c>
    </row>
    <row r="2" spans="1:22" x14ac:dyDescent="0.25">
      <c r="D2" t="s">
        <v>44</v>
      </c>
      <c r="E2" t="s">
        <v>45</v>
      </c>
      <c r="F2" s="6" t="s">
        <v>38</v>
      </c>
      <c r="G2" t="s">
        <v>39</v>
      </c>
      <c r="H2" t="s">
        <v>41</v>
      </c>
      <c r="I2" s="6" t="s">
        <v>42</v>
      </c>
      <c r="J2" t="s">
        <v>43</v>
      </c>
      <c r="K2" t="s">
        <v>40</v>
      </c>
      <c r="R2" t="s">
        <v>46</v>
      </c>
      <c r="S2" t="s">
        <v>66</v>
      </c>
      <c r="U2" t="s">
        <v>47</v>
      </c>
      <c r="V2" t="s">
        <v>67</v>
      </c>
    </row>
    <row r="3" spans="1:22" x14ac:dyDescent="0.25">
      <c r="B3" s="5" t="s">
        <v>9</v>
      </c>
      <c r="C3" s="5"/>
      <c r="D3" s="5">
        <f>(b1_*_c2-b2_*_c1)/(a1_*b2_-b1_*a2_)</f>
        <v>0</v>
      </c>
      <c r="E3" s="5">
        <f>(_c1*a2_-_c2*a1_)/(a1_*b2_-b1_*a2_)</f>
        <v>1.6208698122721987</v>
      </c>
      <c r="F3" s="7">
        <v>1</v>
      </c>
      <c r="G3" s="5">
        <v>0</v>
      </c>
      <c r="H3" s="5">
        <v>0</v>
      </c>
      <c r="I3" s="7">
        <v>1</v>
      </c>
      <c r="J3" s="5">
        <f>T3/SQRT(2)</f>
        <v>1.7320508075688767</v>
      </c>
      <c r="K3" s="5">
        <f>-S3</f>
        <v>-2.8074288673100756</v>
      </c>
      <c r="L3" s="5"/>
      <c r="M3" s="5"/>
      <c r="N3" s="5"/>
      <c r="O3" s="5"/>
      <c r="R3">
        <v>2</v>
      </c>
      <c r="S3">
        <f>T3-U3</f>
        <v>2.8074288673100756</v>
      </c>
      <c r="T3">
        <f>SQRT(2)*TAN(PI()/3)</f>
        <v>2.4494897427831774</v>
      </c>
      <c r="U3">
        <f>- 1.5*SQRT(2/3)*(LOG(V3))/COS(PI()/3)</f>
        <v>-0.35793912452689819</v>
      </c>
      <c r="V3">
        <v>1.4</v>
      </c>
    </row>
    <row r="7" spans="1:22" x14ac:dyDescent="0.25">
      <c r="O7" t="s">
        <v>73</v>
      </c>
      <c r="P7" t="s">
        <v>74</v>
      </c>
      <c r="Q7" t="s">
        <v>75</v>
      </c>
      <c r="T7" t="s">
        <v>70</v>
      </c>
      <c r="U7" t="s">
        <v>69</v>
      </c>
      <c r="V7" t="s">
        <v>36</v>
      </c>
    </row>
    <row r="8" spans="1:22" x14ac:dyDescent="0.25">
      <c r="D8" t="s">
        <v>44</v>
      </c>
      <c r="E8" t="s">
        <v>45</v>
      </c>
      <c r="J8" s="6"/>
      <c r="K8" s="6"/>
    </row>
    <row r="9" spans="1:22" x14ac:dyDescent="0.25">
      <c r="A9" t="s">
        <v>63</v>
      </c>
      <c r="B9" t="s">
        <v>9</v>
      </c>
      <c r="C9" t="s">
        <v>76</v>
      </c>
      <c r="D9">
        <f>(G9*K9-J9*H9)/(F9*J9-G9*I9)</f>
        <v>0.21566686642533328</v>
      </c>
      <c r="E9">
        <f>(H9*I9-K9*F9)/(F9*J9-G9*I9)</f>
        <v>1.5087626916371584</v>
      </c>
      <c r="F9" s="6">
        <v>1</v>
      </c>
      <c r="G9">
        <v>0</v>
      </c>
      <c r="H9">
        <f>Q14</f>
        <v>-0.21566686642533328</v>
      </c>
      <c r="I9" s="6">
        <f>O9</f>
        <v>1</v>
      </c>
      <c r="J9">
        <f>P9</f>
        <v>1.7320508075688767</v>
      </c>
      <c r="K9">
        <f>Q9</f>
        <v>-2.8289205049052657</v>
      </c>
      <c r="M9">
        <v>1</v>
      </c>
      <c r="N9" t="s">
        <v>5</v>
      </c>
      <c r="O9" s="6">
        <v>1</v>
      </c>
      <c r="P9">
        <f>T9/SQRT(2)</f>
        <v>1.7320508075688767</v>
      </c>
      <c r="Q9">
        <f>-S9</f>
        <v>-2.8289205049052657</v>
      </c>
      <c r="R9">
        <v>1</v>
      </c>
      <c r="S9">
        <f>T9+U9</f>
        <v>2.8289205049052657</v>
      </c>
      <c r="T9">
        <f>SQRT(2)*TAN(PI()/3)</f>
        <v>2.4494897427831774</v>
      </c>
      <c r="U9" s="9">
        <f>- 1.5*SQRT(2/3)*(LOG(V9))/COS(PI()/3)</f>
        <v>0.37943076212208809</v>
      </c>
      <c r="V9">
        <v>0.7</v>
      </c>
    </row>
    <row r="10" spans="1:22" x14ac:dyDescent="0.25">
      <c r="B10" t="s">
        <v>10</v>
      </c>
      <c r="C10" t="s">
        <v>77</v>
      </c>
      <c r="D10" s="10" t="e">
        <f>(G10*K10-J10*H10)/(F10*J10-G10*I10)</f>
        <v>#DIV/0!</v>
      </c>
      <c r="E10" t="e">
        <f t="shared" ref="E10:E12" si="0">(H10*I10-K10*F10)/(F10*J10-G10*I10)</f>
        <v>#DIV/0!</v>
      </c>
      <c r="F10" s="6">
        <v>1</v>
      </c>
      <c r="G10">
        <f>P9</f>
        <v>1.7320508075688767</v>
      </c>
      <c r="H10">
        <f>Q9</f>
        <v>-2.8289205049052657</v>
      </c>
      <c r="I10" s="6">
        <v>1</v>
      </c>
      <c r="J10">
        <f>P10</f>
        <v>1.7320508075688767</v>
      </c>
      <c r="K10">
        <f>Q10</f>
        <v>-2.0181560099325111</v>
      </c>
      <c r="M10">
        <v>2</v>
      </c>
      <c r="N10" t="s">
        <v>4</v>
      </c>
      <c r="O10" s="6">
        <v>1</v>
      </c>
      <c r="P10">
        <f>-T10/SQRT(2)</f>
        <v>1.7320508075688767</v>
      </c>
      <c r="Q10">
        <f>S10</f>
        <v>-2.0181560099325111</v>
      </c>
      <c r="R10">
        <v>2</v>
      </c>
      <c r="S10">
        <f t="shared" ref="S10:S14" si="1">T10+U10</f>
        <v>-2.0181560099325111</v>
      </c>
      <c r="T10">
        <f>-SQRT(2)*TAN(PI()/3)</f>
        <v>-2.4494897427831774</v>
      </c>
      <c r="U10">
        <f>1.5*SQRT(2/3)*(LOG(V10))/COS(PI()/3)</f>
        <v>0.43133373285066645</v>
      </c>
      <c r="V10">
        <v>1.5</v>
      </c>
    </row>
    <row r="11" spans="1:22" x14ac:dyDescent="0.25">
      <c r="A11" t="s">
        <v>4</v>
      </c>
      <c r="B11" t="s">
        <v>9</v>
      </c>
      <c r="C11" t="s">
        <v>77</v>
      </c>
      <c r="D11" s="10" t="e">
        <f>(G11*K11-J11*H11)/(F11*J11-G11*I11)</f>
        <v>#DIV/0!</v>
      </c>
      <c r="E11" t="e">
        <f t="shared" si="0"/>
        <v>#DIV/0!</v>
      </c>
      <c r="F11" s="6">
        <v>1</v>
      </c>
      <c r="G11">
        <f>P9</f>
        <v>1.7320508075688767</v>
      </c>
      <c r="H11">
        <f>Q9</f>
        <v>-2.8289205049052657</v>
      </c>
      <c r="I11" s="6">
        <f>O10</f>
        <v>1</v>
      </c>
      <c r="J11" s="6">
        <f>P10</f>
        <v>1.7320508075688767</v>
      </c>
      <c r="K11">
        <f>Q10</f>
        <v>-2.0181560099325111</v>
      </c>
      <c r="M11">
        <v>3</v>
      </c>
      <c r="N11" t="s">
        <v>1</v>
      </c>
      <c r="O11" s="6">
        <v>1</v>
      </c>
      <c r="P11">
        <f t="shared" ref="P11:P14" si="2">T11/SQRT(2)</f>
        <v>0</v>
      </c>
      <c r="Q11" s="5">
        <f>S11</f>
        <v>0.1897153810610441</v>
      </c>
      <c r="R11">
        <v>0</v>
      </c>
      <c r="S11">
        <f t="shared" si="1"/>
        <v>0.1897153810610441</v>
      </c>
      <c r="T11">
        <v>0</v>
      </c>
      <c r="U11" s="5">
        <f>-1.5*SQRT(2/3)*(LOG(V11))</f>
        <v>0.1897153810610441</v>
      </c>
      <c r="V11">
        <v>0.7</v>
      </c>
    </row>
    <row r="12" spans="1:22" x14ac:dyDescent="0.25">
      <c r="A12" t="s">
        <v>4</v>
      </c>
      <c r="B12" t="s">
        <v>10</v>
      </c>
      <c r="C12" t="s">
        <v>78</v>
      </c>
      <c r="D12">
        <f t="shared" ref="D12" si="3">(G12*K12-J12*H12)/(F12*J12-G12*I12)</f>
        <v>-0.18971538106104407</v>
      </c>
      <c r="E12">
        <f t="shared" si="0"/>
        <v>1.2747151419262031</v>
      </c>
      <c r="F12" s="6">
        <v>1</v>
      </c>
      <c r="G12">
        <f>P10</f>
        <v>1.7320508075688767</v>
      </c>
      <c r="H12">
        <f>Q10</f>
        <v>-2.0181560099325111</v>
      </c>
      <c r="I12" s="6">
        <v>1</v>
      </c>
      <c r="J12">
        <v>0</v>
      </c>
      <c r="K12">
        <f>Q11</f>
        <v>0.1897153810610441</v>
      </c>
      <c r="M12">
        <v>4</v>
      </c>
      <c r="N12" t="s">
        <v>68</v>
      </c>
      <c r="O12" s="6">
        <v>1</v>
      </c>
      <c r="P12">
        <f>T12/SQRT(2)</f>
        <v>1.7320508075688767</v>
      </c>
      <c r="Q12">
        <f>-S12</f>
        <v>-2.0181560099325111</v>
      </c>
      <c r="R12">
        <v>1</v>
      </c>
      <c r="S12">
        <f>T12-U12</f>
        <v>2.0181560099325111</v>
      </c>
      <c r="T12">
        <f>SQRT(2)*TAN(PI()/3)</f>
        <v>2.4494897427831774</v>
      </c>
      <c r="U12">
        <f>1.5*SQRT(2/3)*(LOG(V12))/COS(PI()/3)</f>
        <v>0.43133373285066645</v>
      </c>
      <c r="V12">
        <v>1.5</v>
      </c>
    </row>
    <row r="13" spans="1:22" x14ac:dyDescent="0.25">
      <c r="A13" t="s">
        <v>1</v>
      </c>
      <c r="B13" t="s">
        <v>9</v>
      </c>
      <c r="C13" t="s">
        <v>78</v>
      </c>
      <c r="D13">
        <f t="shared" ref="D13:D14" si="4">(G13*K13-J13*H13)/(F13*J13-G13*I13)</f>
        <v>-0.18971538106104407</v>
      </c>
      <c r="E13">
        <f t="shared" ref="E13:E14" si="5">(H13*I13-K13*F13)/(F13*J13-G13*I13)</f>
        <v>1.2747151419262031</v>
      </c>
      <c r="F13" s="6">
        <f>O10</f>
        <v>1</v>
      </c>
      <c r="G13" s="6">
        <f t="shared" ref="G13:H13" si="6">P10</f>
        <v>1.7320508075688767</v>
      </c>
      <c r="H13" s="6">
        <f t="shared" si="6"/>
        <v>-2.0181560099325111</v>
      </c>
      <c r="I13" s="6">
        <f>O11</f>
        <v>1</v>
      </c>
      <c r="J13" s="6">
        <f t="shared" ref="J13:K13" si="7">P11</f>
        <v>0</v>
      </c>
      <c r="K13" s="6">
        <f t="shared" si="7"/>
        <v>0.1897153810610441</v>
      </c>
      <c r="M13">
        <v>5</v>
      </c>
      <c r="N13" t="s">
        <v>3</v>
      </c>
      <c r="O13" s="6">
        <v>1</v>
      </c>
      <c r="P13">
        <f>-T13/SQRT(2)</f>
        <v>1.7320508075688767</v>
      </c>
      <c r="Q13">
        <f t="shared" ref="Q13" si="8">-S13</f>
        <v>2.0700589806610892</v>
      </c>
      <c r="R13">
        <v>2</v>
      </c>
      <c r="S13">
        <f>T13-U13</f>
        <v>-2.0700589806610892</v>
      </c>
      <c r="T13">
        <f>-SQRT(2)*TAN(PI()/3)</f>
        <v>-2.4494897427831774</v>
      </c>
      <c r="U13">
        <f>1.5*SQRT(2/3)*(LOG(V13))/COS(PI()/3)</f>
        <v>-0.37943076212208809</v>
      </c>
      <c r="V13">
        <v>0.7</v>
      </c>
    </row>
    <row r="14" spans="1:22" x14ac:dyDescent="0.25">
      <c r="A14" t="s">
        <v>1</v>
      </c>
      <c r="B14" t="s">
        <v>10</v>
      </c>
      <c r="C14" t="s">
        <v>79</v>
      </c>
      <c r="D14">
        <f t="shared" si="4"/>
        <v>-0.18971538106104407</v>
      </c>
      <c r="E14">
        <f t="shared" si="5"/>
        <v>1.2747151419262031</v>
      </c>
      <c r="F14" s="6">
        <f>O11</f>
        <v>1</v>
      </c>
      <c r="G14" s="6">
        <f t="shared" ref="G14:H14" si="9">P11</f>
        <v>0</v>
      </c>
      <c r="H14" s="6">
        <f t="shared" si="9"/>
        <v>0.1897153810610441</v>
      </c>
      <c r="I14" s="6">
        <f>O12</f>
        <v>1</v>
      </c>
      <c r="J14" s="6">
        <f>P12</f>
        <v>1.7320508075688767</v>
      </c>
      <c r="K14" s="6">
        <f>Q12</f>
        <v>-2.0181560099325111</v>
      </c>
      <c r="M14">
        <v>6</v>
      </c>
      <c r="N14" t="s">
        <v>2</v>
      </c>
      <c r="O14" s="6">
        <v>1</v>
      </c>
      <c r="P14">
        <f t="shared" si="2"/>
        <v>0</v>
      </c>
      <c r="Q14" s="5">
        <f>S14</f>
        <v>-0.21566686642533328</v>
      </c>
      <c r="R14">
        <v>0</v>
      </c>
      <c r="S14">
        <f t="shared" si="1"/>
        <v>-0.21566686642533328</v>
      </c>
      <c r="T14">
        <v>0</v>
      </c>
      <c r="U14" s="5">
        <f>-1.5*SQRT(2/3)*(LOG(V14))</f>
        <v>-0.21566686642533328</v>
      </c>
      <c r="V14">
        <v>1.5</v>
      </c>
    </row>
    <row r="15" spans="1:22" x14ac:dyDescent="0.25">
      <c r="A15" t="s">
        <v>6</v>
      </c>
      <c r="B15" t="s">
        <v>9</v>
      </c>
      <c r="C15" t="s">
        <v>79</v>
      </c>
      <c r="D15">
        <f t="shared" ref="D15" si="10">(G15*K15-J15*H15)/(F15*J15-G15*I15)</f>
        <v>-0.18971538106104407</v>
      </c>
      <c r="E15">
        <f t="shared" ref="E15" si="11">(H15*I15-K15*F15)/(F15*J15-G15*I15)</f>
        <v>1.2747151419262031</v>
      </c>
      <c r="F15" s="6">
        <f>O11</f>
        <v>1</v>
      </c>
      <c r="G15" s="6">
        <f t="shared" ref="G15:H15" si="12">P11</f>
        <v>0</v>
      </c>
      <c r="H15" s="6">
        <f t="shared" si="12"/>
        <v>0.1897153810610441</v>
      </c>
      <c r="I15" s="6">
        <f>O12</f>
        <v>1</v>
      </c>
      <c r="J15" s="6">
        <f t="shared" ref="J15:K15" si="13">P12</f>
        <v>1.7320508075688767</v>
      </c>
      <c r="K15" s="6">
        <f t="shared" si="13"/>
        <v>-2.0181560099325111</v>
      </c>
    </row>
    <row r="16" spans="1:22" x14ac:dyDescent="0.25">
      <c r="A16" t="s">
        <v>6</v>
      </c>
      <c r="B16" t="s">
        <v>10</v>
      </c>
      <c r="C16" t="s">
        <v>80</v>
      </c>
      <c r="D16" t="e">
        <f t="shared" ref="D16" si="14">(G16*K16-J16*H16)/(F16*J16-G16*I16)</f>
        <v>#DIV/0!</v>
      </c>
      <c r="E16" t="e">
        <f t="shared" ref="E16" si="15">(H16*I16-K16*F16)/(F16*J16-G16*I16)</f>
        <v>#DIV/0!</v>
      </c>
      <c r="F16" s="6">
        <f>O12</f>
        <v>1</v>
      </c>
      <c r="G16" s="6">
        <f t="shared" ref="G16:H16" si="16">P12</f>
        <v>1.7320508075688767</v>
      </c>
      <c r="H16" s="6">
        <f t="shared" si="16"/>
        <v>-2.0181560099325111</v>
      </c>
      <c r="I16" s="6">
        <f>O13</f>
        <v>1</v>
      </c>
      <c r="J16" s="6">
        <f t="shared" ref="J16:K16" si="17">P13</f>
        <v>1.7320508075688767</v>
      </c>
      <c r="K16" s="6">
        <f t="shared" si="17"/>
        <v>2.0700589806610892</v>
      </c>
    </row>
    <row r="17" spans="1:26" x14ac:dyDescent="0.25">
      <c r="A17" t="s">
        <v>80</v>
      </c>
      <c r="B17" t="s">
        <v>9</v>
      </c>
      <c r="C17" t="s">
        <v>80</v>
      </c>
    </row>
    <row r="18" spans="1:26" x14ac:dyDescent="0.25">
      <c r="A18" t="s">
        <v>80</v>
      </c>
      <c r="B18" t="s">
        <v>10</v>
      </c>
      <c r="C18" t="s">
        <v>81</v>
      </c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t="s">
        <v>65</v>
      </c>
      <c r="B19" t="s">
        <v>9</v>
      </c>
      <c r="C19" t="s">
        <v>81</v>
      </c>
      <c r="S19" s="8"/>
      <c r="T19" s="8"/>
      <c r="U19" s="8"/>
      <c r="V19" s="8" t="s">
        <v>71</v>
      </c>
      <c r="W19" s="8" t="s">
        <v>72</v>
      </c>
      <c r="X19" s="8"/>
      <c r="Y19" s="8"/>
      <c r="Z19" s="8"/>
    </row>
    <row r="20" spans="1:26" x14ac:dyDescent="0.25">
      <c r="A20" t="s">
        <v>65</v>
      </c>
      <c r="B20" t="s">
        <v>10</v>
      </c>
      <c r="C20" t="s">
        <v>76</v>
      </c>
      <c r="S20" s="8"/>
      <c r="T20" t="s">
        <v>63</v>
      </c>
      <c r="U20" t="s">
        <v>9</v>
      </c>
      <c r="V20" s="8"/>
      <c r="W20" s="8"/>
      <c r="X20" s="8" t="s">
        <v>65</v>
      </c>
      <c r="Y20" s="8" t="s">
        <v>5</v>
      </c>
      <c r="Z20" s="8"/>
    </row>
    <row r="21" spans="1:26" x14ac:dyDescent="0.25">
      <c r="S21" s="8"/>
      <c r="U21" t="s">
        <v>10</v>
      </c>
      <c r="V21" s="8"/>
      <c r="W21" s="8"/>
      <c r="X21" s="8"/>
      <c r="Y21" s="8"/>
      <c r="Z21" s="8"/>
    </row>
    <row r="22" spans="1:26" x14ac:dyDescent="0.25">
      <c r="S22" s="8"/>
      <c r="T22" s="8"/>
      <c r="U22" s="8"/>
      <c r="V22" s="8"/>
      <c r="W22" s="8"/>
      <c r="X22" s="8"/>
      <c r="Y22" s="8"/>
      <c r="Z22" s="8"/>
    </row>
    <row r="23" spans="1:26" x14ac:dyDescent="0.25">
      <c r="C23">
        <f>TAN(PI()/3)</f>
        <v>1.7320508075688767</v>
      </c>
      <c r="J23">
        <f>-(TAN(PI()/3)*SQRT(2) - 1.5*SQRT(2/3)*(LOG(V9))/COS(PI()/3))</f>
        <v>-2.8289205049052657</v>
      </c>
    </row>
  </sheetData>
  <dataValidations count="9">
    <dataValidation type="list" allowBlank="1" showInputMessage="1" sqref="W19:W22" xr:uid="{0729E763-2059-4AAF-A797-9A23E54FF8AA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S18" xr:uid="{FB200E3E-BF90-4F61-8AF1-D2C5778C28F6}"/>
    <dataValidation allowBlank="1" showInputMessage="1" showErrorMessage="1" promptTitle="Process Step Description" prompt="Enter text for the process step that will appear in the shape." sqref="T18" xr:uid="{51CAA08D-EDDD-4ECD-90B0-88D1EC27B3B4}"/>
    <dataValidation allowBlank="1" showInputMessage="1" showErrorMessage="1" promptTitle="Next Step ID" prompt="Enter the process step ID for the next step. Use commas to separate multiple next steps, such as &quot;P600,P700&quot;." sqref="U18" xr:uid="{C211E483-90AE-4F95-92F3-909B19E5185D}"/>
    <dataValidation allowBlank="1" showInputMessage="1" showErrorMessage="1" promptTitle="Connector Label" prompt="If desired, label the connector to the next step. Use commas to separate multiple next steps, such as &quot;Yes,No&quot;." sqref="V18" xr:uid="{3D900D29-2517-4248-8BD8-777703F9B074}"/>
    <dataValidation allowBlank="1" showInputMessage="1" showErrorMessage="1" promptTitle="Shape Type" prompt="Enter the type of shape you'd like each process step to use." sqref="W18" xr:uid="{885B01FA-4570-41F6-8D9C-C4DA65E7EAF7}"/>
    <dataValidation allowBlank="1" showInputMessage="1" showErrorMessage="1" promptTitle="Function" prompt="Enter the name of the function that the process step applies to. This creates swimlanes." sqref="X18" xr:uid="{3BFC7AD2-0DA8-4769-9515-A4C0D68E0798}"/>
    <dataValidation allowBlank="1" showInputMessage="1" showErrorMessage="1" promptTitle="Phase" prompt="Enter the name of the phase that the process step applies to." sqref="Y18" xr:uid="{B36E1B9D-5773-4B27-9C43-76B9746553EB}"/>
    <dataValidation allowBlank="1" showInputMessage="1" showErrorMessage="1" promptTitle="Alt Text" prompt="Alt Text helps people with visual impairments understand your diagram. Describe each process step." sqref="Z18" xr:uid="{C8700515-ADF8-4A02-8EC3-35D7B62543D7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8CD96-7474-41CB-91EE-9DD5041D618A}">
  <ds:schemaRefs>
    <ds:schemaRef ds:uri="http://schemas.microsoft.com/office/2006/metadata/properties"/>
    <ds:schemaRef ds:uri="http://schemas.microsoft.com/office/infopath/2007/PartnerControls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3CDBA317-EF8F-44DF-B124-1925E147E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C51A4C-A427-44D2-BA54-54C1D656FE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Thresholds</vt:lpstr>
      <vt:lpstr>Intersections</vt:lpstr>
      <vt:lpstr>_c1</vt:lpstr>
      <vt:lpstr>_c2</vt:lpstr>
      <vt:lpstr>a1_</vt:lpstr>
      <vt:lpstr>a2_</vt:lpstr>
      <vt:lpstr>Ax</vt:lpstr>
      <vt:lpstr>b1_</vt:lpstr>
      <vt:lpstr>b2_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2021-08-01T02:52:45Z</dcterms:created>
  <dcterms:modified xsi:type="dcterms:W3CDTF">2026-09-25T02:26:28Z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</Properties>
</file>