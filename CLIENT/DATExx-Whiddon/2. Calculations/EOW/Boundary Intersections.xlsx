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OW\"/>
    </mc:Choice>
  </mc:AlternateContent>
  <xr:revisionPtr revIDLastSave="0" documentId="13_ncr:1_{1A9E677D-F3C3-477D-A0EE-9CB90AAFF68A}" xr6:coauthVersionLast="47" xr6:coauthVersionMax="47" xr10:uidLastSave="{00000000-0000-0000-0000-000000000000}"/>
  <bookViews>
    <workbookView xWindow="-120" yWindow="-120" windowWidth="38640" windowHeight="21120" activeTab="1" xr2:uid="{1A6D2DB0-E7C1-4601-8836-610F057FFD94}"/>
  </bookViews>
  <sheets>
    <sheet name="Thresholds" sheetId="1" r:id="rId1"/>
    <sheet name="Intersections" sheetId="2" r:id="rId2"/>
  </sheets>
  <definedNames>
    <definedName name="_c1">Intersections!$G$3</definedName>
    <definedName name="_c2">Intersections!$J$3</definedName>
    <definedName name="a1_">Intersections!$E$3</definedName>
    <definedName name="a2_">Intersections!$H$3</definedName>
    <definedName name="Ax">Intersections!$M$3</definedName>
    <definedName name="b1_">Intersections!$F$3</definedName>
    <definedName name="b2_">Intersections!$I$3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J8" i="2" s="1"/>
  <c r="P3" i="2"/>
  <c r="D7" i="2"/>
  <c r="C7" i="2"/>
  <c r="I8" i="2"/>
  <c r="O9" i="2"/>
  <c r="I9" i="2" s="1"/>
  <c r="P9" i="2"/>
  <c r="O10" i="2"/>
  <c r="I10" i="2" s="1"/>
  <c r="P10" i="2"/>
  <c r="N9" i="2" l="1"/>
  <c r="N8" i="2"/>
  <c r="N10" i="2"/>
  <c r="J10" i="2" s="1"/>
  <c r="J9" i="2" l="1"/>
  <c r="G10" i="2"/>
  <c r="C10" i="2" s="1"/>
  <c r="G9" i="2"/>
  <c r="C9" i="2" l="1"/>
  <c r="D9" i="2"/>
  <c r="D10" i="2"/>
  <c r="D8" i="2"/>
  <c r="C8" i="2"/>
  <c r="O3" i="2" l="1"/>
  <c r="I3" i="2" s="1"/>
  <c r="N3" i="2" l="1"/>
  <c r="J3" i="2" s="1"/>
  <c r="D3" i="2" l="1"/>
  <c r="C3" i="2"/>
</calcChain>
</file>

<file path=xl/sharedStrings.xml><?xml version="1.0" encoding="utf-8"?>
<sst xmlns="http://schemas.openxmlformats.org/spreadsheetml/2006/main" count="142" uniqueCount="68">
  <si>
    <t>Position</t>
  </si>
  <si>
    <t>Abn</t>
  </si>
  <si>
    <t>Abx</t>
  </si>
  <si>
    <t>Efn</t>
  </si>
  <si>
    <t>Efx</t>
  </si>
  <si>
    <t>Inn</t>
  </si>
  <si>
    <t>Inx</t>
  </si>
  <si>
    <t>Type</t>
  </si>
  <si>
    <t>Threshold</t>
  </si>
  <si>
    <t>Start</t>
  </si>
  <si>
    <t>Finish</t>
  </si>
  <si>
    <t>Point</t>
  </si>
  <si>
    <t>D</t>
  </si>
  <si>
    <t>C</t>
  </si>
  <si>
    <t>A</t>
  </si>
  <si>
    <t>Ap</t>
  </si>
  <si>
    <t>Ei</t>
  </si>
  <si>
    <t>Ii</t>
  </si>
  <si>
    <t>Ai</t>
  </si>
  <si>
    <t>Ep</t>
  </si>
  <si>
    <t>Ip</t>
  </si>
  <si>
    <t>X'</t>
  </si>
  <si>
    <t>Y'</t>
  </si>
  <si>
    <t>Line</t>
  </si>
  <si>
    <t>L1</t>
  </si>
  <si>
    <t>L3</t>
  </si>
  <si>
    <t>L4</t>
  </si>
  <si>
    <t>L6</t>
  </si>
  <si>
    <t>L7</t>
  </si>
  <si>
    <t>L9</t>
  </si>
  <si>
    <t>L10</t>
  </si>
  <si>
    <t>L12</t>
  </si>
  <si>
    <t>L13</t>
  </si>
  <si>
    <t>L15</t>
  </si>
  <si>
    <t>L16</t>
  </si>
  <si>
    <t>L18</t>
  </si>
  <si>
    <t>Boundary</t>
  </si>
  <si>
    <t>B1</t>
  </si>
  <si>
    <t>a1</t>
  </si>
  <si>
    <t>b1</t>
  </si>
  <si>
    <t>c2</t>
  </si>
  <si>
    <t>c1</t>
  </si>
  <si>
    <t>a2</t>
  </si>
  <si>
    <t>b2</t>
  </si>
  <si>
    <t>x</t>
  </si>
  <si>
    <t>y</t>
  </si>
  <si>
    <t>Ax</t>
  </si>
  <si>
    <t>Del In</t>
  </si>
  <si>
    <t>B3</t>
  </si>
  <si>
    <t>B4</t>
  </si>
  <si>
    <t>B6</t>
  </si>
  <si>
    <t>B7</t>
  </si>
  <si>
    <t>B9</t>
  </si>
  <si>
    <t>B10</t>
  </si>
  <si>
    <t>B12</t>
  </si>
  <si>
    <t>B13</t>
  </si>
  <si>
    <t>B15</t>
  </si>
  <si>
    <t>B16</t>
  </si>
  <si>
    <t>B18</t>
  </si>
  <si>
    <t>AbnB</t>
  </si>
  <si>
    <t>AbxB</t>
  </si>
  <si>
    <t>EfnB</t>
  </si>
  <si>
    <t>EfxB</t>
  </si>
  <si>
    <t>InnB</t>
  </si>
  <si>
    <t>InxB</t>
  </si>
  <si>
    <t>AbX</t>
  </si>
  <si>
    <t>X0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</si>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</sst>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0" xfId="0" applyFill="1"/>
    <xf numFmtId="0" fontId="0" fillId="0" borderId="4" xfId="0" applyBorder="1"/>
    <xf numFmtId="0" fontId="0" fillId="4" borderId="4" xfId="0" applyFill="1" applyBorder="1"/>
  </cellXfs>
  <cellStyles count="1">
    <cellStyle name="Normal" xfId="0" builtinId="0"/>
  </cellStyles>
  <dxfs count="20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41E2F-5754-41A4-81B3-94E3CFFB8B6C}" name="Boundaries" displayName="Boundaries" ref="A1:O25" totalsRowShown="0" headerRowDxfId="19" dataDxfId="17" headerRowBorderDxfId="18" tableBorderDxfId="16" totalsRowBorderDxfId="15">
  <autoFilter ref="A1:O25" xr:uid="{57441E2F-5754-41A4-81B3-94E3CFFB8B6C}"/>
  <tableColumns count="15">
    <tableColumn id="1" xr3:uid="{47ECECC8-37DC-4B47-AC1B-0F51069BDAEA}" name="Point" dataDxfId="14"/>
    <tableColumn id="2" xr3:uid="{096EA0A4-7FE5-4FEA-B771-A2821B46B18E}" name="Type" dataDxfId="13"/>
    <tableColumn id="3" xr3:uid="{B48FDB96-CF7A-491C-9995-297D75F914B6}" name="Threshold" dataDxfId="12"/>
    <tableColumn id="4" xr3:uid="{1EA17C33-3054-4D8D-A96F-74411DD010F9}" name="Position" dataDxfId="11"/>
    <tableColumn id="5" xr3:uid="{58435CA5-582A-47C5-B726-537F9E9032EB}" name="D" dataDxfId="10"/>
    <tableColumn id="6" xr3:uid="{FBB23E2E-893E-4B69-8436-70D400E38CA2}" name="C" dataDxfId="9"/>
    <tableColumn id="7" xr3:uid="{48CB5B79-4B74-4992-B41F-43ED9155B58A}" name="A" dataDxfId="8"/>
    <tableColumn id="8" xr3:uid="{E1C205F7-1D30-4C7C-9240-E84EF6A5567C}" name="Ap" dataDxfId="7"/>
    <tableColumn id="9" xr3:uid="{2FD6BD74-6D5A-4756-B4F4-89E89F6E60EC}" name="Ei" dataDxfId="6"/>
    <tableColumn id="10" xr3:uid="{6A8AEA83-5BAF-45C4-B286-09F1DE237DA1}" name="Ii" dataDxfId="5"/>
    <tableColumn id="11" xr3:uid="{C7F20865-BD25-4AA0-AECF-A86121DDF736}" name="Ai" dataDxfId="4"/>
    <tableColumn id="12" xr3:uid="{567D81FF-87E5-4A2D-AA43-F8DC5C70E04C}" name="Ep" dataDxfId="3"/>
    <tableColumn id="13" xr3:uid="{6E391C70-5677-4725-AAC3-78F7A001364E}" name="Ip" dataDxfId="2"/>
    <tableColumn id="14" xr3:uid="{16CDBC69-049F-4993-90E2-0A667FDF132C}" name="X'" dataDxfId="1"/>
    <tableColumn id="15" xr3:uid="{D817AAA6-D604-47EB-945F-8FE1383C51B6}" name="Y'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74E6-BE02-4357-8464-735906BEAEE3}">
  <dimension ref="A1:O25"/>
  <sheetViews>
    <sheetView workbookViewId="0">
      <selection activeCell="E29" sqref="E29"/>
    </sheetView>
  </sheetViews>
  <sheetFormatPr defaultRowHeight="15" x14ac:dyDescent="0.25"/>
  <cols>
    <col min="1" max="1" width="12.85546875" customWidth="1"/>
    <col min="2" max="2" width="9.28515625" customWidth="1"/>
    <col min="3" max="4" width="12" customWidth="1"/>
  </cols>
  <sheetData>
    <row r="1" spans="1:15" x14ac:dyDescent="0.25">
      <c r="A1" s="3" t="s">
        <v>11</v>
      </c>
      <c r="B1" s="3" t="s">
        <v>7</v>
      </c>
      <c r="C1" s="3" t="s">
        <v>8</v>
      </c>
      <c r="D1" s="3" t="s">
        <v>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  <row r="2" spans="1:15" x14ac:dyDescent="0.25">
      <c r="A2" s="2" t="s">
        <v>24</v>
      </c>
      <c r="B2" s="2" t="s">
        <v>23</v>
      </c>
      <c r="C2" s="2" t="s">
        <v>1</v>
      </c>
      <c r="D2" s="2" t="s">
        <v>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25</v>
      </c>
      <c r="B3" s="2" t="s">
        <v>23</v>
      </c>
      <c r="C3" s="2" t="s">
        <v>2</v>
      </c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26</v>
      </c>
      <c r="B4" s="2" t="s">
        <v>23</v>
      </c>
      <c r="C4" s="1" t="s">
        <v>3</v>
      </c>
      <c r="D4" s="1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 t="s">
        <v>27</v>
      </c>
      <c r="B5" s="2" t="s">
        <v>23</v>
      </c>
      <c r="C5" s="1" t="s">
        <v>4</v>
      </c>
      <c r="D5" s="1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2" t="s">
        <v>28</v>
      </c>
      <c r="B6" s="2" t="s">
        <v>23</v>
      </c>
      <c r="C6" s="2" t="s">
        <v>5</v>
      </c>
      <c r="D6" s="2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29</v>
      </c>
      <c r="B7" s="2" t="s">
        <v>23</v>
      </c>
      <c r="C7" s="2" t="s">
        <v>6</v>
      </c>
      <c r="D7" s="2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30</v>
      </c>
      <c r="B8" s="2" t="s">
        <v>23</v>
      </c>
      <c r="C8" s="1" t="s">
        <v>1</v>
      </c>
      <c r="D8" s="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2" t="s">
        <v>31</v>
      </c>
      <c r="B9" s="2" t="s">
        <v>23</v>
      </c>
      <c r="C9" s="1" t="s">
        <v>2</v>
      </c>
      <c r="D9" s="1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2" t="s">
        <v>32</v>
      </c>
      <c r="B10" s="2" t="s">
        <v>23</v>
      </c>
      <c r="C10" s="2" t="s">
        <v>3</v>
      </c>
      <c r="D10" s="2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 t="s">
        <v>33</v>
      </c>
      <c r="B11" s="2" t="s">
        <v>23</v>
      </c>
      <c r="C11" s="2" t="s">
        <v>4</v>
      </c>
      <c r="D11" s="2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 t="s">
        <v>34</v>
      </c>
      <c r="B12" s="2" t="s">
        <v>23</v>
      </c>
      <c r="C12" s="1" t="s">
        <v>5</v>
      </c>
      <c r="D12" s="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2" t="s">
        <v>35</v>
      </c>
      <c r="B13" s="2" t="s">
        <v>23</v>
      </c>
      <c r="C13" s="4" t="s">
        <v>6</v>
      </c>
      <c r="D13" s="4" t="s">
        <v>10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 t="s">
        <v>37</v>
      </c>
      <c r="B14" s="4" t="s">
        <v>36</v>
      </c>
      <c r="C14" s="2" t="s">
        <v>59</v>
      </c>
      <c r="D14" s="2" t="s">
        <v>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 t="s">
        <v>48</v>
      </c>
      <c r="B15" s="4" t="s">
        <v>36</v>
      </c>
      <c r="C15" s="2" t="s">
        <v>60</v>
      </c>
      <c r="D15" s="2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4" t="s">
        <v>49</v>
      </c>
      <c r="B16" s="4" t="s">
        <v>36</v>
      </c>
      <c r="C16" s="1" t="s">
        <v>61</v>
      </c>
      <c r="D16" s="1" t="s">
        <v>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4" t="s">
        <v>50</v>
      </c>
      <c r="B17" s="4" t="s">
        <v>36</v>
      </c>
      <c r="C17" s="1" t="s">
        <v>62</v>
      </c>
      <c r="D17" s="1" t="s"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4" t="s">
        <v>51</v>
      </c>
      <c r="B18" s="4" t="s">
        <v>36</v>
      </c>
      <c r="C18" s="2" t="s">
        <v>63</v>
      </c>
      <c r="D18" s="2" t="s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4" t="s">
        <v>52</v>
      </c>
      <c r="B19" s="4" t="s">
        <v>36</v>
      </c>
      <c r="C19" s="2" t="s">
        <v>64</v>
      </c>
      <c r="D19" s="2" t="s">
        <v>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4" t="s">
        <v>53</v>
      </c>
      <c r="B20" s="4" t="s">
        <v>36</v>
      </c>
      <c r="C20" s="1" t="s">
        <v>59</v>
      </c>
      <c r="D20" s="1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4" t="s">
        <v>54</v>
      </c>
      <c r="B21" s="4" t="s">
        <v>36</v>
      </c>
      <c r="C21" s="1" t="s">
        <v>60</v>
      </c>
      <c r="D21" s="1" t="s">
        <v>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4" t="s">
        <v>55</v>
      </c>
      <c r="B22" s="4" t="s">
        <v>36</v>
      </c>
      <c r="C22" s="2" t="s">
        <v>61</v>
      </c>
      <c r="D22" s="2" t="s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4" t="s">
        <v>56</v>
      </c>
      <c r="B23" s="4" t="s">
        <v>36</v>
      </c>
      <c r="C23" s="2" t="s">
        <v>62</v>
      </c>
      <c r="D23" s="2" t="s">
        <v>10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4" t="s">
        <v>57</v>
      </c>
      <c r="B24" s="4" t="s">
        <v>36</v>
      </c>
      <c r="C24" s="1" t="s">
        <v>63</v>
      </c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4" t="s">
        <v>58</v>
      </c>
      <c r="B25" s="4" t="s">
        <v>36</v>
      </c>
      <c r="C25" s="4" t="s">
        <v>64</v>
      </c>
      <c r="D25" s="4" t="s">
        <v>10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45BD-2A55-4F37-ACA9-646901A40846}">
  <dimension ref="A1:Z17"/>
  <sheetViews>
    <sheetView tabSelected="1" workbookViewId="0">
      <selection activeCell="J9" sqref="J9"/>
    </sheetView>
  </sheetViews>
  <sheetFormatPr defaultRowHeight="15" x14ac:dyDescent="0.25"/>
  <cols>
    <col min="5" max="5" width="9.140625" style="6"/>
    <col min="8" max="8" width="9.140625" style="6"/>
  </cols>
  <sheetData>
    <row r="1" spans="1:26" x14ac:dyDescent="0.25">
      <c r="E1" s="6" t="s">
        <v>65</v>
      </c>
      <c r="H1" s="6" t="s">
        <v>5</v>
      </c>
      <c r="Q1" t="s">
        <v>36</v>
      </c>
    </row>
    <row r="2" spans="1:26" x14ac:dyDescent="0.25">
      <c r="C2" t="s">
        <v>44</v>
      </c>
      <c r="D2" t="s">
        <v>45</v>
      </c>
      <c r="E2" s="6" t="s">
        <v>38</v>
      </c>
      <c r="F2" t="s">
        <v>39</v>
      </c>
      <c r="G2" t="s">
        <v>41</v>
      </c>
      <c r="H2" s="6" t="s">
        <v>42</v>
      </c>
      <c r="I2" t="s">
        <v>43</v>
      </c>
      <c r="J2" t="s">
        <v>40</v>
      </c>
      <c r="M2" t="s">
        <v>46</v>
      </c>
      <c r="N2" t="s">
        <v>66</v>
      </c>
      <c r="P2" t="s">
        <v>47</v>
      </c>
      <c r="Q2" t="s">
        <v>67</v>
      </c>
    </row>
    <row r="3" spans="1:26" x14ac:dyDescent="0.25">
      <c r="B3" s="5" t="s">
        <v>9</v>
      </c>
      <c r="C3" s="5">
        <f>(b1_*_c2-b2_*_c1)/(a1_*b2_-b1_*a2_)</f>
        <v>0</v>
      </c>
      <c r="D3" s="5">
        <f>(_c1*a2_-_c2*a1_)/(a1_*b2_-b1_*a2_)</f>
        <v>1.6632442091449935</v>
      </c>
      <c r="E3" s="7">
        <v>1</v>
      </c>
      <c r="F3" s="5">
        <v>0</v>
      </c>
      <c r="G3" s="5">
        <v>0</v>
      </c>
      <c r="H3" s="7">
        <v>1</v>
      </c>
      <c r="I3" s="5">
        <f>O3/SQRT(2)</f>
        <v>1.7320508075688767</v>
      </c>
      <c r="J3" s="5">
        <f>-N3</f>
        <v>-2.8808234756338438</v>
      </c>
      <c r="M3">
        <v>2</v>
      </c>
      <c r="N3">
        <f>O3-P3</f>
        <v>2.8808234756338438</v>
      </c>
      <c r="O3">
        <f>SQRT(2)*TAN(PI()/3)</f>
        <v>2.4494897427831774</v>
      </c>
      <c r="P3">
        <f>- 1.5*SQRT(2/3)*(LOG(Q3))/COS(PI()/3)</f>
        <v>-0.43133373285066645</v>
      </c>
      <c r="Q3">
        <v>1.5</v>
      </c>
    </row>
    <row r="7" spans="1:26" x14ac:dyDescent="0.25">
      <c r="A7" t="s">
        <v>60</v>
      </c>
      <c r="B7" t="s">
        <v>9</v>
      </c>
      <c r="C7" t="e">
        <f>(F7*J7-I7*G7)/(E7*I7-F7*H7)</f>
        <v>#DIV/0!</v>
      </c>
      <c r="D7" t="e">
        <f>(G7*H7-J7*E7)/(E7*I7-F7*H7)</f>
        <v>#DIV/0!</v>
      </c>
    </row>
    <row r="8" spans="1:26" x14ac:dyDescent="0.25">
      <c r="B8" t="s">
        <v>10</v>
      </c>
      <c r="C8" t="e">
        <f>(F8*J8-I8*G8)/(E8*I8-F8*H8)</f>
        <v>#DIV/0!</v>
      </c>
      <c r="D8" t="e">
        <f>(G8*H8-J8*E8)/(E8*I8-F8*H8)</f>
        <v>#DIV/0!</v>
      </c>
      <c r="H8" s="6">
        <v>1</v>
      </c>
      <c r="I8" s="6">
        <f t="shared" ref="I8" si="0">O8</f>
        <v>0</v>
      </c>
      <c r="J8" s="6">
        <f>-P8</f>
        <v>0.21566686642533328</v>
      </c>
      <c r="L8" t="s">
        <v>2</v>
      </c>
      <c r="N8">
        <f>O8-P8</f>
        <v>0.21566686642533328</v>
      </c>
      <c r="O8">
        <v>0</v>
      </c>
      <c r="P8">
        <f>- 1.5*SQRT(2/3)*LOG(Q8)</f>
        <v>-0.21566686642533328</v>
      </c>
      <c r="Q8">
        <v>1.5</v>
      </c>
    </row>
    <row r="9" spans="1:26" x14ac:dyDescent="0.25">
      <c r="A9" t="s">
        <v>63</v>
      </c>
      <c r="B9" t="s">
        <v>9</v>
      </c>
      <c r="C9">
        <f>(F9*J9-I9*G9)/(E9*I9-F9*H9)</f>
        <v>0.21566686642533328</v>
      </c>
      <c r="D9">
        <f>(G9*H9-J9*E9)/(E9*I9-F9*H9)</f>
        <v>1.715418941536262</v>
      </c>
      <c r="E9" s="6">
        <v>1</v>
      </c>
      <c r="F9">
        <v>0</v>
      </c>
      <c r="G9">
        <f>-N8</f>
        <v>-0.21566686642533328</v>
      </c>
      <c r="H9" s="6">
        <v>1</v>
      </c>
      <c r="I9">
        <f>O9/SQRT(2)</f>
        <v>1.7320508075688767</v>
      </c>
      <c r="J9">
        <f>-N9</f>
        <v>-3.1868596294321638</v>
      </c>
      <c r="L9" t="s">
        <v>5</v>
      </c>
      <c r="M9">
        <v>1</v>
      </c>
      <c r="N9">
        <f>O9+P9</f>
        <v>3.1868596294321638</v>
      </c>
      <c r="O9">
        <f>SQRT(2)*TAN(PI()/3)</f>
        <v>2.4494897427831774</v>
      </c>
      <c r="P9">
        <f>- 1.5*SQRT(2/3)*(LOG(Q9))/COS(PI()/3)</f>
        <v>0.73736988664898639</v>
      </c>
      <c r="Q9">
        <v>0.5</v>
      </c>
      <c r="U9" t="s">
        <v>38</v>
      </c>
      <c r="V9" t="s">
        <v>39</v>
      </c>
      <c r="W9" t="s">
        <v>41</v>
      </c>
      <c r="X9" t="s">
        <v>42</v>
      </c>
      <c r="Y9" t="s">
        <v>43</v>
      </c>
      <c r="Z9" t="s">
        <v>40</v>
      </c>
    </row>
    <row r="10" spans="1:26" x14ac:dyDescent="0.25">
      <c r="B10" t="s">
        <v>10</v>
      </c>
      <c r="C10">
        <f>(F10*J10-I10*G10)/(E10*I10-F10*H10)</f>
        <v>0.1530180768991572</v>
      </c>
      <c r="D10">
        <f>(G10*H10-J10*E10)/(E10*I10-F10*H10)</f>
        <v>1.7515892370336008</v>
      </c>
      <c r="E10" s="6">
        <v>1</v>
      </c>
      <c r="F10">
        <v>1.7320508075688801</v>
      </c>
      <c r="G10">
        <f>-N9</f>
        <v>-3.1868596294321638</v>
      </c>
      <c r="H10" s="6">
        <v>1</v>
      </c>
      <c r="I10">
        <f>-O10/SQRT(2)</f>
        <v>-1.7320508075688767</v>
      </c>
      <c r="J10">
        <f>N10</f>
        <v>2.8808234756338438</v>
      </c>
      <c r="L10" t="s">
        <v>4</v>
      </c>
      <c r="M10">
        <v>2</v>
      </c>
      <c r="N10">
        <f>O10-P10</f>
        <v>2.8808234756338438</v>
      </c>
      <c r="O10">
        <f>SQRT(2)*TAN(PI()/3)</f>
        <v>2.4494897427831774</v>
      </c>
      <c r="P10">
        <f>- 1.5*SQRT(2/3)*(LOG(Q10))/COS(PI()/3)</f>
        <v>-0.43133373285066645</v>
      </c>
      <c r="Q10">
        <v>1.5</v>
      </c>
      <c r="U10">
        <v>1</v>
      </c>
      <c r="V10">
        <v>0</v>
      </c>
      <c r="W10">
        <v>-1</v>
      </c>
      <c r="X10">
        <v>1</v>
      </c>
      <c r="Y10">
        <v>1</v>
      </c>
      <c r="Z10">
        <v>0</v>
      </c>
    </row>
    <row r="12" spans="1:26" x14ac:dyDescent="0.25">
      <c r="U12">
        <v>1</v>
      </c>
      <c r="V12">
        <v>0</v>
      </c>
      <c r="W12">
        <v>-1.5</v>
      </c>
      <c r="X12">
        <v>0</v>
      </c>
      <c r="Y12">
        <v>1</v>
      </c>
      <c r="Z12">
        <v>-1.5</v>
      </c>
    </row>
    <row r="14" spans="1:26" x14ac:dyDescent="0.25">
      <c r="U14">
        <v>1</v>
      </c>
      <c r="V14">
        <v>-1</v>
      </c>
      <c r="W14">
        <v>0</v>
      </c>
      <c r="X14">
        <v>0</v>
      </c>
      <c r="Y14">
        <v>1</v>
      </c>
      <c r="Z14">
        <v>-4</v>
      </c>
    </row>
    <row r="16" spans="1:26" x14ac:dyDescent="0.25">
      <c r="U16">
        <v>1</v>
      </c>
      <c r="V16">
        <v>0</v>
      </c>
      <c r="W16">
        <v>0</v>
      </c>
      <c r="X16">
        <v>1</v>
      </c>
      <c r="Y16">
        <v>1.7320508075688767</v>
      </c>
      <c r="Z16">
        <v>-2.8074288673100756</v>
      </c>
    </row>
    <row r="17" spans="21:26" x14ac:dyDescent="0.25">
      <c r="U17">
        <v>1</v>
      </c>
      <c r="V17">
        <v>1.7320508075688767</v>
      </c>
      <c r="W17">
        <v>-2.8074288673100756</v>
      </c>
      <c r="X17">
        <v>1</v>
      </c>
      <c r="Y17">
        <v>0</v>
      </c>
      <c r="Z17">
        <v>-0.5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E510C-DAFC-499D-8861-67F938824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E86E99-E03C-4C87-82BA-42F178247D02}">
  <ds:schemaRefs>
    <ds:schemaRef ds:uri="http://schemas.microsoft.com/office/2006/metadata/properties"/>
    <ds:schemaRef ds:uri="http://schemas.microsoft.com/office/infopath/2007/PartnerControls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EBCABA90-1AD3-4D5B-B87D-776F554631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Thresholds</vt:lpstr>
      <vt:lpstr>Intersections</vt:lpstr>
      <vt:lpstr>_c1</vt:lpstr>
      <vt:lpstr>_c2</vt:lpstr>
      <vt:lpstr>a1_</vt:lpstr>
      <vt:lpstr>a2_</vt:lpstr>
      <vt:lpstr>Ax</vt:lpstr>
      <vt:lpstr>b1_</vt:lpstr>
      <vt:lpstr>b2_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2021-08-01T02:52:45Z</dcterms:created>
  <dcterms:modified xsi:type="dcterms:W3CDTF">2026-09-25T02:26:27Z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