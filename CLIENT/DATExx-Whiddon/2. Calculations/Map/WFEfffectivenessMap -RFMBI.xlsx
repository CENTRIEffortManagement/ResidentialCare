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Map\"/>
    </mc:Choice>
  </mc:AlternateContent>
  <xr:revisionPtr revIDLastSave="0" documentId="13_ncr:1_{4E3FEEE3-0876-4890-BC3A-CE72E9896277}" xr6:coauthVersionLast="47" xr6:coauthVersionMax="47" xr10:uidLastSave="{00000000-0000-0000-0000-000000000000}"/>
  <bookViews>
    <workbookView xWindow="-120" yWindow="-120" windowWidth="38640" windowHeight="21120" tabRatio="809" activeTab="1" xr2:uid="{2045136D-D5F2-47A0-AE70-7DAE36168D01}"/>
  </bookViews>
  <sheets>
    <sheet name="FacilityEffectivenessMatrix" sheetId="1" r:id="rId1"/>
    <sheet name="FaciltiyEffectivenessSummary" sheetId="6" r:id="rId2"/>
    <sheet name="FacilityEffectivenessMatrix (2)" sheetId="5" r:id="rId3"/>
    <sheet name="ALLEffectivness" sheetId="7" r:id="rId4"/>
    <sheet name="FaciltiyEffectivenessList" sheetId="4" r:id="rId5"/>
    <sheet name="LocationsPNE" sheetId="2" r:id="rId6"/>
    <sheet name="LocationInput" sheetId="3" r:id="rId7"/>
    <sheet name="Master Data" sheetId="8" r:id="rId8"/>
  </sheets>
  <definedNames>
    <definedName name="_xlnm._FilterDatabase" localSheetId="7" hidden="1">'Master Data'!$A$1:$C$1</definedName>
    <definedName name="ExternalData_1" localSheetId="4" hidden="1">FaciltiyEffectivenessList!$A$1:$C$111</definedName>
    <definedName name="ExternalData_1" localSheetId="5" hidden="1">LocationsPNE!$A$1:$E$23</definedName>
    <definedName name="ExternalData_2" localSheetId="2" hidden="1">'FacilityEffectivenessMatrix (2)'!$A$1:$F$23</definedName>
    <definedName name="ExternalData_3" localSheetId="1" hidden="1">FaciltiyEffectivenessSummary!$A$1:$J$23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H29" i="6"/>
  <c r="J29" i="6"/>
  <c r="J30" i="6" s="1"/>
  <c r="C3" i="1"/>
  <c r="C4" i="1"/>
  <c r="C5" i="1"/>
  <c r="C6" i="1"/>
  <c r="C9" i="1"/>
  <c r="C10" i="1"/>
  <c r="C11" i="1"/>
  <c r="C12" i="1"/>
  <c r="C14" i="1"/>
  <c r="C15" i="1"/>
  <c r="C16" i="1"/>
  <c r="C17" i="1"/>
  <c r="C18" i="1"/>
  <c r="C19" i="1"/>
  <c r="C20" i="1"/>
  <c r="C21" i="1"/>
  <c r="C22" i="1"/>
  <c r="C23" i="1"/>
  <c r="C13" i="1"/>
  <c r="C24" i="1"/>
  <c r="H4" i="1"/>
  <c r="G4" i="1" s="1"/>
  <c r="H5" i="1"/>
  <c r="G5" i="1" s="1"/>
  <c r="H6" i="1"/>
  <c r="G6" i="1" s="1"/>
  <c r="H9" i="1"/>
  <c r="G9" i="1" s="1"/>
  <c r="H10" i="1"/>
  <c r="G10" i="1" s="1"/>
  <c r="H11" i="1"/>
  <c r="I11" i="1" s="1"/>
  <c r="E11" i="1" s="1"/>
  <c r="H12" i="1"/>
  <c r="G12" i="1" s="1"/>
  <c r="H13" i="1"/>
  <c r="G13" i="1" s="1"/>
  <c r="H14" i="1"/>
  <c r="G14" i="1" s="1"/>
  <c r="H15" i="1"/>
  <c r="G15" i="1" s="1"/>
  <c r="H16" i="1"/>
  <c r="I16" i="1" s="1"/>
  <c r="E16" i="1" s="1"/>
  <c r="H17" i="1"/>
  <c r="G17" i="1" s="1"/>
  <c r="H18" i="1"/>
  <c r="I18" i="1" s="1"/>
  <c r="E18" i="1" s="1"/>
  <c r="H19" i="1"/>
  <c r="G19" i="1" s="1"/>
  <c r="H20" i="1"/>
  <c r="G20" i="1" s="1"/>
  <c r="H21" i="1"/>
  <c r="G21" i="1" s="1"/>
  <c r="H22" i="1"/>
  <c r="G22" i="1" s="1"/>
  <c r="H23" i="1"/>
  <c r="I23" i="1" s="1"/>
  <c r="E23" i="1" s="1"/>
  <c r="H24" i="1"/>
  <c r="G24" i="1" s="1"/>
  <c r="H3" i="1"/>
  <c r="I3" i="1" s="1"/>
  <c r="E3" i="1" s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  <c r="D4" i="1"/>
  <c r="D5" i="1"/>
  <c r="D6" i="1"/>
  <c r="D9" i="1"/>
  <c r="L29" i="6" l="1"/>
  <c r="I15" i="1"/>
  <c r="E15" i="1" s="1"/>
  <c r="F15" i="1" s="1"/>
  <c r="I21" i="1"/>
  <c r="E21" i="1" s="1"/>
  <c r="F21" i="1" s="1"/>
  <c r="I12" i="1"/>
  <c r="E12" i="1" s="1"/>
  <c r="F12" i="1" s="1"/>
  <c r="I17" i="1"/>
  <c r="E17" i="1" s="1"/>
  <c r="F17" i="1" s="1"/>
  <c r="I14" i="1"/>
  <c r="E14" i="1" s="1"/>
  <c r="F14" i="1" s="1"/>
  <c r="I20" i="1"/>
  <c r="E20" i="1" s="1"/>
  <c r="F20" i="1" s="1"/>
  <c r="G23" i="1"/>
  <c r="F23" i="1" s="1"/>
  <c r="G11" i="1"/>
  <c r="F11" i="1" s="1"/>
  <c r="G18" i="1"/>
  <c r="F18" i="1" s="1"/>
  <c r="I19" i="1"/>
  <c r="E19" i="1" s="1"/>
  <c r="F19" i="1" s="1"/>
  <c r="I24" i="1"/>
  <c r="E24" i="1" s="1"/>
  <c r="F24" i="1" s="1"/>
  <c r="G16" i="1"/>
  <c r="F16" i="1" s="1"/>
  <c r="I22" i="1"/>
  <c r="E22" i="1" s="1"/>
  <c r="F22" i="1" s="1"/>
  <c r="I10" i="1"/>
  <c r="E10" i="1" s="1"/>
  <c r="F10" i="1" s="1"/>
  <c r="I13" i="1"/>
  <c r="E13" i="1" s="1"/>
  <c r="F13" i="1" s="1"/>
  <c r="G3" i="1"/>
  <c r="F3" i="1" s="1"/>
  <c r="I9" i="1"/>
  <c r="E9" i="1" s="1"/>
  <c r="F9" i="1" s="1"/>
  <c r="F8" i="1"/>
  <c r="I6" i="1"/>
  <c r="E6" i="1" s="1"/>
  <c r="F6" i="1" s="1"/>
  <c r="I5" i="1"/>
  <c r="E5" i="1" s="1"/>
  <c r="F5" i="1" s="1"/>
  <c r="I4" i="1"/>
  <c r="E4" i="1" s="1"/>
  <c r="F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963B02-0BE3-455A-A9B4-754CABCCCFBF}" keepAlive="1" name="Query - FacilityEffectivenessMatrix" description="Connection to the 'FacilityEffectivenessMatrix' query in the workbook." type="5" refreshedVersion="8" background="1" saveData="1">
    <dbPr connection="Provider=Microsoft.Mashup.OleDb.1;Data Source=$Workbook$;Location=FacilityEffectivenessMatrix;Extended Properties=&quot;&quot;" command="SELECT * FROM [FacilityEffectivenessMatrix]"/>
  </connection>
  <connection id="2" xr16:uid="{A148FFB2-61E0-4819-8346-17CEC4A33884}" keepAlive="1" name="Query - FaciltiyEffectivenessList" description="Connection to the 'FaciltiyEffectivenessList' query in the workbook." type="5" refreshedVersion="8" background="1" saveData="1">
    <dbPr connection="Provider=Microsoft.Mashup.OleDb.1;Data Source=$Workbook$;Location=FaciltiyEffectivenessList;Extended Properties=&quot;&quot;" command="SELECT * FROM [FaciltiyEffectivenessList]"/>
  </connection>
  <connection id="3" xr16:uid="{01C9F0DC-5A3C-469D-AFFE-B26A72575D90}" keepAlive="1" name="Query - FaciltiyEffectivenessSummary" description="Connection to the 'FaciltiyEffectivenessSummary' query in the workbook." type="5" refreshedVersion="8" background="1" saveData="1">
    <dbPr connection="Provider=Microsoft.Mashup.OleDb.1;Data Source=$Workbook$;Location=FaciltiyEffectivenessSummary;Extended Properties=&quot;&quot;" command="SELECT * FROM [FaciltiyEffectivenessSummary]"/>
  </connection>
  <connection id="4" xr16:uid="{5F4142B2-C180-4E1A-96F6-565A2372BA60}" keepAlive="1" name="Query - LocationsPNE" description="Connection to the 'LocationsPNE' query in the workbook." type="5" refreshedVersion="8" background="1" saveData="1">
    <dbPr connection="Provider=Microsoft.Mashup.OleDb.1;Data Source=$Workbook$;Location=LocationsPNE;Extended Properties=&quot;&quot;" command="SELECT * FROM [LocationsPNE]"/>
  </connection>
  <connection id="5" xr16:uid="{888A07DE-25EC-4EDC-B398-0DCF2BF93E32}" keepAlive="1" name="Query - SumPopulation" description="Connection to the 'SumPopulation' query in the workbook." type="5" refreshedVersion="0" background="1">
    <dbPr connection="Provider=Microsoft.Mashup.OleDb.1;Data Source=$Workbook$;Location=SumPopulation;Extended Properties=&quot;&quot;" command="SELECT * FROM [SumPopulation]"/>
  </connection>
</connections>
</file>

<file path=xl/sharedStrings.xml><?xml version="1.0" encoding="utf-8"?>
<sst xmlns="http://schemas.openxmlformats.org/spreadsheetml/2006/main" count="601" uniqueCount="186">
  <si>
    <t>Column1</t>
  </si>
  <si>
    <t>Excess Potential</t>
  </si>
  <si>
    <t>Excess Rostered</t>
  </si>
  <si>
    <t>Shortfall</t>
  </si>
  <si>
    <t>Unallocated Potential</t>
  </si>
  <si>
    <t>Ability to deliver</t>
  </si>
  <si>
    <t>Rand1</t>
  </si>
  <si>
    <t>Rand2</t>
  </si>
  <si>
    <t>Armidale</t>
  </si>
  <si>
    <t>Basin View</t>
  </si>
  <si>
    <t>Bathurst</t>
  </si>
  <si>
    <t>Bellingen</t>
  </si>
  <si>
    <t>Maitland</t>
  </si>
  <si>
    <t>Berry</t>
  </si>
  <si>
    <t>Holt</t>
  </si>
  <si>
    <t>Cessnock</t>
  </si>
  <si>
    <t>Coffs Harbour</t>
  </si>
  <si>
    <t>Concord</t>
  </si>
  <si>
    <t>Dubbo</t>
  </si>
  <si>
    <t>Glen Innes</t>
  </si>
  <si>
    <t>Goulburn</t>
  </si>
  <si>
    <t>Hawkins Edgeworth</t>
  </si>
  <si>
    <t>Kurri Kurri</t>
  </si>
  <si>
    <t>Lake Haven</t>
  </si>
  <si>
    <t>Lakemba</t>
  </si>
  <si>
    <t>Leeton</t>
  </si>
  <si>
    <t>Moonbi</t>
  </si>
  <si>
    <t>Raleigh Urunga</t>
  </si>
  <si>
    <t>Tamworth</t>
  </si>
  <si>
    <t>West Wyalong</t>
  </si>
  <si>
    <t>Population</t>
  </si>
  <si>
    <t>Beds</t>
  </si>
  <si>
    <t>$Ineff.Day.Resident</t>
  </si>
  <si>
    <t>$Ineff.Day.Facility</t>
  </si>
  <si>
    <t>30026</t>
  </si>
  <si>
    <t>2643</t>
  </si>
  <si>
    <t>40865</t>
  </si>
  <si>
    <t>4663</t>
  </si>
  <si>
    <t>79340</t>
  </si>
  <si>
    <t>4546</t>
  </si>
  <si>
    <t>27082</t>
  </si>
  <si>
    <t>26322</t>
  </si>
  <si>
    <t>73295</t>
  </si>
  <si>
    <t>36778</t>
  </si>
  <si>
    <t>38392</t>
  </si>
  <si>
    <t>4006</t>
  </si>
  <si>
    <t>23835</t>
  </si>
  <si>
    <t>42011</t>
  </si>
  <si>
    <t>10652</t>
  </si>
  <si>
    <t>40055</t>
  </si>
  <si>
    <t>18799</t>
  </si>
  <si>
    <t>13125</t>
  </si>
  <si>
    <t>1003</t>
  </si>
  <si>
    <t>4279</t>
  </si>
  <si>
    <t>48604</t>
  </si>
  <si>
    <t>2797</t>
  </si>
  <si>
    <t>MetricType</t>
  </si>
  <si>
    <t>ALLMetricValue</t>
  </si>
  <si>
    <t>Facility</t>
  </si>
  <si>
    <t>MetricValue</t>
  </si>
  <si>
    <t>South</t>
  </si>
  <si>
    <t>East</t>
  </si>
  <si>
    <t xml:space="preserve"> -30.5128</t>
  </si>
  <si>
    <t xml:space="preserve"> 151.6660</t>
  </si>
  <si>
    <t xml:space="preserve"> -35.1009</t>
  </si>
  <si>
    <t xml:space="preserve"> 150.5347</t>
  </si>
  <si>
    <t xml:space="preserve"> -33.4193</t>
  </si>
  <si>
    <t xml:space="preserve"> 149.5774</t>
  </si>
  <si>
    <t xml:space="preserve"> -30.4524</t>
  </si>
  <si>
    <t xml:space="preserve"> 152.8986</t>
  </si>
  <si>
    <t xml:space="preserve"> -34.7825</t>
  </si>
  <si>
    <t xml:space="preserve"> 150.6945</t>
  </si>
  <si>
    <t xml:space="preserve"> -32.8393</t>
  </si>
  <si>
    <t xml:space="preserve"> 151.3552</t>
  </si>
  <si>
    <t xml:space="preserve"> -30.2963</t>
  </si>
  <si>
    <t xml:space="preserve"> 153.1157</t>
  </si>
  <si>
    <t xml:space="preserve"> -33.8677</t>
  </si>
  <si>
    <t xml:space="preserve"> 151.0983</t>
  </si>
  <si>
    <t xml:space="preserve"> -32.2405</t>
  </si>
  <si>
    <t xml:space="preserve"> 148.6071</t>
  </si>
  <si>
    <t xml:space="preserve"> -29.7365</t>
  </si>
  <si>
    <t xml:space="preserve"> 151.7435</t>
  </si>
  <si>
    <t xml:space="preserve"> -34.7571</t>
  </si>
  <si>
    <t xml:space="preserve"> 149.7170</t>
  </si>
  <si>
    <t xml:space="preserve"> -32.9381</t>
  </si>
  <si>
    <t xml:space="preserve"> 151.6594</t>
  </si>
  <si>
    <t xml:space="preserve"> -35.2180</t>
  </si>
  <si>
    <t xml:space="preserve"> 149.0193</t>
  </si>
  <si>
    <t xml:space="preserve"> -32.8153</t>
  </si>
  <si>
    <t xml:space="preserve"> 151.4823</t>
  </si>
  <si>
    <t xml:space="preserve"> -33.2397</t>
  </si>
  <si>
    <t xml:space="preserve"> 151.5185</t>
  </si>
  <si>
    <t xml:space="preserve"> -33.9229</t>
  </si>
  <si>
    <t xml:space="preserve"> 151.0866</t>
  </si>
  <si>
    <t xml:space="preserve"> -34.5573</t>
  </si>
  <si>
    <t xml:space="preserve"> 146.4106</t>
  </si>
  <si>
    <t xml:space="preserve"> -32.6957</t>
  </si>
  <si>
    <t xml:space="preserve"> 151.5961</t>
  </si>
  <si>
    <t xml:space="preserve"> -30.9249</t>
  </si>
  <si>
    <t xml:space="preserve"> 151.0786</t>
  </si>
  <si>
    <t xml:space="preserve"> -30.4375</t>
  </si>
  <si>
    <t xml:space="preserve"> 153.0024</t>
  </si>
  <si>
    <t xml:space="preserve"> -31.0920</t>
  </si>
  <si>
    <t xml:space="preserve"> 150.9318</t>
  </si>
  <si>
    <t xml:space="preserve"> -33.9211</t>
  </si>
  <si>
    <t xml:space="preserve"> 147.2023</t>
  </si>
  <si>
    <t>Town,Population,Northing,Easting</t>
  </si>
  <si>
    <t>New SE</t>
  </si>
  <si>
    <t>Place</t>
  </si>
  <si>
    <t>Address</t>
  </si>
  <si>
    <t>Home</t>
  </si>
  <si>
    <t>Armidale,30026,6736275,453994</t>
  </si>
  <si>
    <t>Armidale: -30.5128, 151.6660</t>
  </si>
  <si>
    <t>86 Box Hill Drive</t>
  </si>
  <si>
    <t>Basin View,2643,6167984,241835</t>
  </si>
  <si>
    <t>Basin View: -35.1009, 150.5347</t>
  </si>
  <si>
    <t>130 The Wool Road</t>
  </si>
  <si>
    <t>Bathurst,40865,6461608,331638</t>
  </si>
  <si>
    <t>Bathurst: -33.4193, 149.5774</t>
  </si>
  <si>
    <t>200 Stewart Street</t>
  </si>
  <si>
    <t>Bellingen,4663,6709125,219491</t>
  </si>
  <si>
    <t>Bellingen: -30.4524, 152.8986</t>
  </si>
  <si>
    <t>38 Watson Street</t>
  </si>
  <si>
    <t>Berry,4546,6183437,222025</t>
  </si>
  <si>
    <t>Berry: -34.7825, 150.6945</t>
  </si>
  <si>
    <t>41 Albany Street</t>
  </si>
  <si>
    <t>Cessnock,27082,6550400,256947</t>
  </si>
  <si>
    <t>Cessnock: -32.8393, 151.3552</t>
  </si>
  <si>
    <t>30A West Street</t>
  </si>
  <si>
    <t>Coffs Harbour,73295,6711362,244508</t>
  </si>
  <si>
    <t>Coffs Harbour: -30.2963, 153.1157</t>
  </si>
  <si>
    <t>33 Mackays Road</t>
  </si>
  <si>
    <t>Concord,36778,6247478,292847</t>
  </si>
  <si>
    <t>Concord: -33.8677, 151.0983</t>
  </si>
  <si>
    <t>4A Cavell Avenue</t>
  </si>
  <si>
    <t>Dubbo,38392,6511363,324960</t>
  </si>
  <si>
    <t>Dubbo: -32.2405, 148.6071</t>
  </si>
  <si>
    <t>2A Capstan Drive</t>
  </si>
  <si>
    <t>Glen Innes,4006,6787656,428842</t>
  </si>
  <si>
    <t>Glen Innes: -29.7365, 151.7435</t>
  </si>
  <si>
    <t>175 Lambeth Street</t>
  </si>
  <si>
    <t>Goulburn,23835,6349922,305526</t>
  </si>
  <si>
    <t>Goulburn: -34.7571, 149.7170</t>
  </si>
  <si>
    <t>10 Long Street</t>
  </si>
  <si>
    <t>Hawkins Edgeworth,42011,6487484,160070</t>
  </si>
  <si>
    <t>Hawkins, Edgeworth: -32.9381, 151.6594</t>
  </si>
  <si>
    <t>3 Northville Drive</t>
  </si>
  <si>
    <t>Holt,26322,6090146,373811</t>
  </si>
  <si>
    <t>Holt, Canberra: -35.2180, 149.0193</t>
  </si>
  <si>
    <t>Holt, Canberra</t>
  </si>
  <si>
    <t>138 Hardwick Crescent</t>
  </si>
  <si>
    <t>Kurri Kurri,10652,6535065,241498</t>
  </si>
  <si>
    <t>Kurri Kurri: -32.8153, 151.4823</t>
  </si>
  <si>
    <t>412 Lang Street</t>
  </si>
  <si>
    <t>Lake Haven,40055,6317939,172755</t>
  </si>
  <si>
    <t>Lake Haven: -33.2397, 151.5185</t>
  </si>
  <si>
    <t>12-16 Christopher Crescent</t>
  </si>
  <si>
    <t>Lakemba,18799,6266282,155541</t>
  </si>
  <si>
    <t>Lakemba: -33.9229, 151.0866</t>
  </si>
  <si>
    <t>2-16 Christopher Crescent</t>
  </si>
  <si>
    <t>Leeton,13125,6513584,327082</t>
  </si>
  <si>
    <t>Leeton: -34.5573, 146.4106</t>
  </si>
  <si>
    <t>71-91 Karri Road</t>
  </si>
  <si>
    <t>Maitland,79340,6574550,342107</t>
  </si>
  <si>
    <t>Benhome, Maitland: -32.6957, 151.5961</t>
  </si>
  <si>
    <t xml:space="preserve">Maitland </t>
  </si>
  <si>
    <t>30 Regent Street</t>
  </si>
  <si>
    <t>Moonbi,1003,6771602,407116</t>
  </si>
  <si>
    <t>Moonbi: -30.9249, 151.0786</t>
  </si>
  <si>
    <t>52 Churchill Drive</t>
  </si>
  <si>
    <t>Raleigh Urunga,4279,6717844,202466</t>
  </si>
  <si>
    <t>Raleigh Urunga: -30.4375, 153.0024</t>
  </si>
  <si>
    <t>91 Old Pacific Highway</t>
  </si>
  <si>
    <t>Tamworth,48604,6653617,364166</t>
  </si>
  <si>
    <t>Tamworth: -31.0920, 150.9318</t>
  </si>
  <si>
    <t>14-16 Kitchener Street</t>
  </si>
  <si>
    <t>West Wyalong,2797,6695747,360337</t>
  </si>
  <si>
    <t>West Wyalong: -33.9211, 147.2023</t>
  </si>
  <si>
    <t>64 Ungarie Road</t>
  </si>
  <si>
    <t>Region</t>
  </si>
  <si>
    <t>CENTRAL WEST &amp; RIVERINA</t>
  </si>
  <si>
    <t>HUNTER, CENTRAL &amp; MID NORTH COAST</t>
  </si>
  <si>
    <t>MID NORTH COAST</t>
  </si>
  <si>
    <t>NEW ENGLAND</t>
  </si>
  <si>
    <t>SOUTHERN HIGHLANDS &amp; CANBERRA</t>
  </si>
  <si>
    <t>SYDNEY &amp; SOUTH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</si>
</sst>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7415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 textRotation="30"/>
    </xf>
    <xf numFmtId="0" fontId="0" fillId="0" borderId="0" xfId="0" applyAlignment="1">
      <alignment textRotation="90"/>
    </xf>
    <xf numFmtId="0" fontId="0" fillId="0" borderId="0" xfId="0" applyAlignment="1">
      <alignment horizontal="right" textRotation="90"/>
    </xf>
    <xf numFmtId="0" fontId="0" fillId="0" borderId="1" xfId="0" applyBorder="1"/>
    <xf numFmtId="164" fontId="0" fillId="0" borderId="0" xfId="0" applyNumberFormat="1"/>
    <xf numFmtId="0" fontId="0" fillId="2" borderId="2" xfId="0" applyFill="1" applyBorder="1"/>
    <xf numFmtId="0" fontId="0" fillId="0" borderId="2" xfId="0" applyBorder="1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3" borderId="0" xfId="0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74151"/>
        <name val="Segoe UI"/>
        <family val="2"/>
        <scheme val="none"/>
      </font>
      <alignment horizontal="left" vertical="center" textRotation="0" wrapText="0" indent="1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right" vertical="bottom" textRotation="9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A76DF97-03A2-448C-A737-DE915C09D86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Excess Potential" tableColumnId="2"/>
      <queryTableField id="3" name="Excess Rostered" tableColumnId="3"/>
      <queryTableField id="4" name="Shortfall" tableColumnId="4"/>
      <queryTableField id="5" name="Unallocated Potential" tableColumnId="5"/>
      <queryTableField id="6" name="Ability to deliver" tableColumnId="6"/>
      <queryTableField id="7" name="Population" tableColumnId="7"/>
      <queryTableField id="8" name="Beds" tableColumnId="8"/>
      <queryTableField id="9" name="$Ineff.Day.Resident" tableColumnId="9"/>
      <queryTableField id="10" name="$Ineff.Day.Facility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C4DDABF-9F16-4D89-B85A-B6FC7DBBEB8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Excess Potential" tableColumnId="2"/>
      <queryTableField id="3" name="Excess Rostered" tableColumnId="3"/>
      <queryTableField id="4" name="Shortfall" tableColumnId="4"/>
      <queryTableField id="5" name="Unallocated Potential" tableColumnId="5"/>
      <queryTableField id="6" name="Ability to delive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0747C3-1050-427C-85F9-6B39D50DDE25}" autoFormatId="16" applyNumberFormats="0" applyBorderFormats="0" applyFontFormats="0" applyPatternFormats="0" applyAlignmentFormats="0" applyWidthHeightFormats="0">
  <queryTableRefresh nextId="7">
    <queryTableFields count="3">
      <queryTableField id="4" name="Facility" tableColumnId="1"/>
      <queryTableField id="5" name="MetricType" tableColumnId="2"/>
      <queryTableField id="6" name="MetricVal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2B169AF-7178-4A8E-BDD1-61F6ACA57782}" autoFormatId="16" applyNumberFormats="0" applyBorderFormats="0" applyFontFormats="0" applyPatternFormats="0" applyAlignmentFormats="0" applyWidthHeightFormats="0">
  <queryTableRefresh nextId="16">
    <queryTableFields count="5">
      <queryTableField id="13" name="Facility" tableColumnId="1"/>
      <queryTableField id="6" name="Population" tableColumnId="6"/>
      <queryTableField id="11" name="South" tableColumnId="4"/>
      <queryTableField id="12" name="East" tableColumnId="5"/>
      <queryTableField id="15" name="Bed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48EB33-3C99-46F9-A00D-805D5B470759}" name="Table3" displayName="Table3" ref="B2:G24" totalsRowShown="0" headerRowDxfId="12">
  <autoFilter ref="B2:G24" xr:uid="{E648EB33-3C99-46F9-A00D-805D5B470759}"/>
  <tableColumns count="6">
    <tableColumn id="1" xr3:uid="{41A37297-6B16-4835-85F9-E17E9927195D}" name="Column1" dataDxfId="11"/>
    <tableColumn id="2" xr3:uid="{057ABE00-00BA-4649-9ABD-B1C533B84CC4}" name="Excess Potential" dataDxfId="10">
      <calculatedColumnFormula>RANDBETWEEN(0,450)/1000</calculatedColumnFormula>
    </tableColumn>
    <tableColumn id="3" xr3:uid="{B5B2991D-4C91-4351-9531-856D94B18916}" name="Excess Rostered">
      <calculatedColumnFormula>RANDBETWEEN(0,50)/1000</calculatedColumnFormula>
    </tableColumn>
    <tableColumn id="4" xr3:uid="{A3921C6A-D178-4E74-BDE9-DE00807BC4C5}" name="Shortfall" dataDxfId="9">
      <calculatedColumnFormula>1-I3-H3/1000</calculatedColumnFormula>
    </tableColumn>
    <tableColumn id="5" xr3:uid="{63B54DF0-00DE-4EED-A868-374C735E43B9}" name="Unallocated Potential" dataDxfId="8">
      <calculatedColumnFormula>1-E3-G3</calculatedColumnFormula>
    </tableColumn>
    <tableColumn id="6" xr3:uid="{9E86E872-25BF-45F6-846F-4EA663FD5E1F}" name="Ability to deliver">
      <calculatedColumnFormula>H3/1000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F7EC16-FFA7-4298-BC1B-8DDA1BE0C372}" name="FaciltiyEffectivenessSummary" displayName="FaciltiyEffectivenessSummary" ref="A1:J24" tableType="queryTable" totalsRowCount="1">
  <autoFilter ref="A1:J23" xr:uid="{89F7EC16-FFA7-4298-BC1B-8DDA1BE0C372}"/>
  <tableColumns count="10">
    <tableColumn id="1" xr3:uid="{0504A06D-98EC-4342-B989-CCAB059A3315}" uniqueName="1" name="Column1" queryTableFieldId="1" dataDxfId="14"/>
    <tableColumn id="2" xr3:uid="{C5435925-834F-4FD1-8CB2-94CE37C90564}" uniqueName="2" name="Excess Potential" queryTableFieldId="2"/>
    <tableColumn id="3" xr3:uid="{3D59BFA7-E239-404F-9D4D-447AC327AFBD}" uniqueName="3" name="Excess Rostered" queryTableFieldId="3"/>
    <tableColumn id="4" xr3:uid="{8138B189-70A1-4E27-A8C7-AE39F467B74A}" uniqueName="4" name="Shortfall" queryTableFieldId="4"/>
    <tableColumn id="5" xr3:uid="{8CB97CE7-17C6-4CF8-9CE7-5428EB1F6961}" uniqueName="5" name="Unallocated Potential" queryTableFieldId="5"/>
    <tableColumn id="6" xr3:uid="{A97B9234-5393-40BC-A7D9-35223CC9B790}" uniqueName="6" name="Ability to deliver" queryTableFieldId="6"/>
    <tableColumn id="7" xr3:uid="{97837E6A-46D7-4892-9AE0-C02A7826A03C}" uniqueName="7" name="Population" queryTableFieldId="7" dataDxfId="13"/>
    <tableColumn id="8" xr3:uid="{F49DF4F7-62BC-4BEA-A7D5-2F3B44D32657}" uniqueName="8" name="Beds" queryTableFieldId="8"/>
    <tableColumn id="9" xr3:uid="{DE89064A-6D66-42A4-B828-9808BF1BEB6A}" uniqueName="9" name="$Ineff.Day.Resident" queryTableFieldId="9"/>
    <tableColumn id="10" xr3:uid="{F36ACF24-F6B1-428A-914B-DBBA9AC5B851}" uniqueName="10" name="$Ineff.Day.Facility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7471C7-0A98-4B8C-A129-019B5ADCAED1}" name="FaciltiyEffectivenessList" displayName="FaciltiyEffectivenessList_1" ref="A1:F23" tableType="queryTable" totalsRowShown="0">
  <autoFilter ref="A1:F23" xr:uid="{777471C7-0A98-4B8C-A129-019B5ADCAED1}"/>
  <tableColumns count="6">
    <tableColumn id="1" xr3:uid="{2A683984-0B42-4E11-9943-AA15D901CED9}" uniqueName="1" name="Column1" queryTableFieldId="1"/>
    <tableColumn id="2" xr3:uid="{33885547-DB45-4DD3-8494-C94F2BADC6E8}" uniqueName="2" name="Excess Potential" queryTableFieldId="2"/>
    <tableColumn id="3" xr3:uid="{CB597646-BA15-449F-9E8C-538F8BCBB082}" uniqueName="3" name="Excess Rostered" queryTableFieldId="3"/>
    <tableColumn id="4" xr3:uid="{3AF45B92-8C9B-4452-AD94-B6A1E53E36C9}" uniqueName="4" name="Shortfall" queryTableFieldId="4"/>
    <tableColumn id="5" xr3:uid="{A904D05B-772F-4BA7-BC24-CA21D513EC25}" uniqueName="5" name="Unallocated Potential" queryTableFieldId="5"/>
    <tableColumn id="6" xr3:uid="{1189461B-BE25-4A96-97D3-5603641CA7AE}" uniqueName="6" name="Ability to deliver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4F6899-17AB-429F-ABDE-7F6FBDE77983}" name="ALLEffectivness" displayName="ALLEffectivness" ref="A1:B6" totalsRowShown="0">
  <autoFilter ref="A1:B6" xr:uid="{D24F6899-17AB-429F-ABDE-7F6FBDE77983}"/>
  <tableColumns count="2">
    <tableColumn id="1" xr3:uid="{065D1EDF-FC80-454C-A613-B8717F7CBC95}" name="MetricType" dataDxfId="7"/>
    <tableColumn id="2" xr3:uid="{784EF5DC-44F7-413A-B7FD-EE2E95E05F08}" name="ALLMetricValue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8B1B0-E69D-4BF7-A4D3-E257360E141A}" name="FaciltiyEffectivenessList" displayName="FaciltiyEffectivenessList" ref="A1:C111" tableType="queryTable" totalsRowShown="0">
  <autoFilter ref="A1:C111" xr:uid="{5178B1B0-E69D-4BF7-A4D3-E257360E141A}"/>
  <tableColumns count="3">
    <tableColumn id="1" xr3:uid="{1A157CF5-C779-4480-8F17-C49C20B76110}" uniqueName="1" name="Facility" queryTableFieldId="4" dataDxfId="6"/>
    <tableColumn id="2" xr3:uid="{FE2B4A99-1FAA-4618-A097-BE5B386EC9DC}" uniqueName="2" name="MetricType" queryTableFieldId="5" dataDxfId="5"/>
    <tableColumn id="3" xr3:uid="{9EFB5746-CE72-4018-A1EC-BC76A3E98E57}" uniqueName="3" name="MetricValue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90D88E-238A-4B12-9C8F-271740C8F3E8}" name="LocationsPNE" displayName="LocationsPNE" ref="A1:E23" tableType="queryTable" totalsRowShown="0">
  <autoFilter ref="A1:E23" xr:uid="{8B90D88E-238A-4B12-9C8F-271740C8F3E8}"/>
  <tableColumns count="5">
    <tableColumn id="1" xr3:uid="{A3EE7C94-B773-4246-B185-64A30130AD7A}" uniqueName="1" name="Facility" queryTableFieldId="13" dataDxfId="4"/>
    <tableColumn id="6" xr3:uid="{6656A9E6-DF78-45D2-97A8-411422511E14}" uniqueName="6" name="Population" queryTableFieldId="6" dataDxfId="3"/>
    <tableColumn id="4" xr3:uid="{E995A525-C77A-477B-B732-BB95C5B29DEA}" uniqueName="4" name="South" queryTableFieldId="11" dataDxfId="2"/>
    <tableColumn id="5" xr3:uid="{2C33B6CD-0EAB-456E-A6A3-6F7C59380DE5}" uniqueName="5" name="East" queryTableFieldId="12" dataDxfId="1"/>
    <tableColumn id="2" xr3:uid="{ED46C059-2BE4-4223-A6D9-4DA1243F5B65}" uniqueName="2" name="Beds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2F313-686B-4108-8A17-83EF0E524B08}" name="Locations" displayName="Locations" ref="E6:I28" totalsRowShown="0">
  <autoFilter ref="E6:I28" xr:uid="{0ED2F313-686B-4108-8A17-83EF0E524B08}"/>
  <sortState xmlns:xlrd2="http://schemas.microsoft.com/office/spreadsheetml/2017/richdata2" ref="E7:I28">
    <sortCondition ref="E6:E28"/>
  </sortState>
  <tableColumns count="5">
    <tableColumn id="1" xr3:uid="{B5F4CF33-18C0-4DAC-AF7F-C902907A303E}" name="Town,Population,Northing,Easting"/>
    <tableColumn id="2" xr3:uid="{6339E915-5E89-4155-B85D-9A5598971BF8}" name="New SE" dataDxfId="0"/>
    <tableColumn id="3" xr3:uid="{3C6F476A-8A4E-4497-B92A-FE5CB573D393}" name="Place"/>
    <tableColumn id="4" xr3:uid="{905E3901-2CB4-474E-A12B-C480FF2F4C64}" name="Address"/>
    <tableColumn id="5" xr3:uid="{6103E7FA-7AE3-4A07-81C9-B0D954C8DF7D}" name="Be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992C-015E-4154-9033-258C33273174}">
  <dimension ref="B1:W27"/>
  <sheetViews>
    <sheetView workbookViewId="0">
      <selection activeCell="L13" sqref="L13"/>
    </sheetView>
  </sheetViews>
  <sheetFormatPr defaultRowHeight="15" x14ac:dyDescent="0.25"/>
  <cols>
    <col min="2" max="2" width="20.28515625" customWidth="1"/>
    <col min="5" max="5" width="8.42578125" customWidth="1"/>
    <col min="14" max="14" width="24.7109375" customWidth="1"/>
    <col min="16" max="16" width="33.5703125" customWidth="1"/>
  </cols>
  <sheetData>
    <row r="1" spans="2:9" x14ac:dyDescent="0.25">
      <c r="C1">
        <v>0.2</v>
      </c>
      <c r="D1">
        <v>0.1</v>
      </c>
      <c r="E1">
        <v>0.1</v>
      </c>
      <c r="F1">
        <v>0.1</v>
      </c>
      <c r="G1">
        <v>0.8</v>
      </c>
    </row>
    <row r="2" spans="2:9" ht="107.25" x14ac:dyDescent="0.25">
      <c r="B2" s="2" t="s">
        <v>0</v>
      </c>
      <c r="C2" s="3" t="s">
        <v>1</v>
      </c>
      <c r="D2" s="3" t="s">
        <v>2</v>
      </c>
      <c r="E2" s="3" t="s">
        <v>3</v>
      </c>
      <c r="F2" s="2" t="s">
        <v>4</v>
      </c>
      <c r="G2" s="2" t="s">
        <v>5</v>
      </c>
      <c r="H2" s="1" t="s">
        <v>6</v>
      </c>
      <c r="I2" s="1" t="s">
        <v>7</v>
      </c>
    </row>
    <row r="3" spans="2:9" x14ac:dyDescent="0.25">
      <c r="B3" s="6" t="s">
        <v>8</v>
      </c>
      <c r="C3">
        <f t="shared" ref="C3:C24" ca="1" si="0">RANDBETWEEN(0,450)/1000</f>
        <v>7.6999999999999999E-2</v>
      </c>
      <c r="D3">
        <f t="shared" ref="D3:D24" ca="1" si="1">RANDBETWEEN(0,50)/1000</f>
        <v>4.2999999999999997E-2</v>
      </c>
      <c r="E3" s="5">
        <f ca="1">1-I3-H3/1000</f>
        <v>0.11199999999999999</v>
      </c>
      <c r="F3" s="5">
        <f ca="1">1-E3-G3</f>
        <v>3.0000000000000027E-2</v>
      </c>
      <c r="G3">
        <f ca="1">H3/1000</f>
        <v>0.85799999999999998</v>
      </c>
      <c r="H3" s="5">
        <f ca="1">RANDBETWEEN(700,1000)</f>
        <v>858</v>
      </c>
      <c r="I3" s="5">
        <f ca="1">RANDBETWEEN(0,1000-H3)/1000</f>
        <v>0.03</v>
      </c>
    </row>
    <row r="4" spans="2:9" x14ac:dyDescent="0.25">
      <c r="B4" s="7" t="s">
        <v>9</v>
      </c>
      <c r="C4">
        <f t="shared" ca="1" si="0"/>
        <v>0.152</v>
      </c>
      <c r="D4">
        <f t="shared" ca="1" si="1"/>
        <v>0.05</v>
      </c>
      <c r="E4" s="5">
        <f t="shared" ref="E4:E10" ca="1" si="2">1-I4-H4/1000</f>
        <v>6.6000000000000059E-2</v>
      </c>
      <c r="F4" s="5">
        <f t="shared" ref="F4:F24" ca="1" si="3">1-E4-G4</f>
        <v>7.7999999999999958E-2</v>
      </c>
      <c r="G4">
        <f t="shared" ref="G4:G24" ca="1" si="4">H4/1000</f>
        <v>0.85599999999999998</v>
      </c>
      <c r="H4" s="5">
        <f t="shared" ref="H4:H24" ca="1" si="5">RANDBETWEEN(700,1000)</f>
        <v>856</v>
      </c>
      <c r="I4" s="5">
        <f t="shared" ref="I4:I24" ca="1" si="6">RANDBETWEEN(0,1000-H4)/1000</f>
        <v>7.8E-2</v>
      </c>
    </row>
    <row r="5" spans="2:9" x14ac:dyDescent="0.25">
      <c r="B5" s="6" t="s">
        <v>10</v>
      </c>
      <c r="C5">
        <f t="shared" ca="1" si="0"/>
        <v>0.432</v>
      </c>
      <c r="D5">
        <f t="shared" ca="1" si="1"/>
        <v>8.0000000000000002E-3</v>
      </c>
      <c r="E5" s="5">
        <f t="shared" ca="1" si="2"/>
        <v>4.7000000000000042E-2</v>
      </c>
      <c r="F5" s="5">
        <f t="shared" ca="1" si="3"/>
        <v>0.23899999999999999</v>
      </c>
      <c r="G5">
        <f t="shared" ca="1" si="4"/>
        <v>0.71399999999999997</v>
      </c>
      <c r="H5" s="5">
        <f t="shared" ca="1" si="5"/>
        <v>714</v>
      </c>
      <c r="I5" s="5">
        <f t="shared" ca="1" si="6"/>
        <v>0.23899999999999999</v>
      </c>
    </row>
    <row r="6" spans="2:9" x14ac:dyDescent="0.25">
      <c r="B6" s="7" t="s">
        <v>11</v>
      </c>
      <c r="C6">
        <f t="shared" ca="1" si="0"/>
        <v>2.5999999999999999E-2</v>
      </c>
      <c r="D6">
        <f t="shared" ca="1" si="1"/>
        <v>0.01</v>
      </c>
      <c r="E6" s="5">
        <f t="shared" ca="1" si="2"/>
        <v>2.6000000000000023E-2</v>
      </c>
      <c r="F6" s="5">
        <f t="shared" ca="1" si="3"/>
        <v>0.16100000000000003</v>
      </c>
      <c r="G6">
        <f t="shared" ca="1" si="4"/>
        <v>0.81299999999999994</v>
      </c>
      <c r="H6" s="5">
        <f t="shared" ca="1" si="5"/>
        <v>813</v>
      </c>
      <c r="I6" s="5">
        <f t="shared" ca="1" si="6"/>
        <v>0.161</v>
      </c>
    </row>
    <row r="7" spans="2:9" x14ac:dyDescent="0.25">
      <c r="B7" s="6" t="s">
        <v>12</v>
      </c>
      <c r="C7" s="15">
        <v>0.36</v>
      </c>
      <c r="D7" s="15">
        <v>0.01</v>
      </c>
      <c r="E7" s="16">
        <v>0.05</v>
      </c>
      <c r="F7" s="16">
        <f t="shared" si="3"/>
        <v>8.9999999999999969E-2</v>
      </c>
      <c r="G7" s="15">
        <v>0.86</v>
      </c>
      <c r="H7" s="5"/>
      <c r="I7" s="5"/>
    </row>
    <row r="8" spans="2:9" x14ac:dyDescent="0.25">
      <c r="B8" s="7" t="s">
        <v>13</v>
      </c>
      <c r="C8" s="15">
        <v>0.46</v>
      </c>
      <c r="D8" s="15">
        <v>0.13</v>
      </c>
      <c r="E8" s="16">
        <v>0.11</v>
      </c>
      <c r="F8" s="16">
        <f t="shared" si="3"/>
        <v>3.0000000000000027E-2</v>
      </c>
      <c r="G8" s="15">
        <v>0.86</v>
      </c>
      <c r="H8" s="5"/>
      <c r="I8" s="5"/>
    </row>
    <row r="9" spans="2:9" x14ac:dyDescent="0.25">
      <c r="B9" s="6" t="s">
        <v>14</v>
      </c>
      <c r="C9">
        <f t="shared" ca="1" si="0"/>
        <v>4.9000000000000002E-2</v>
      </c>
      <c r="D9">
        <f t="shared" ca="1" si="1"/>
        <v>5.0000000000000001E-3</v>
      </c>
      <c r="E9" s="5">
        <f t="shared" ca="1" si="2"/>
        <v>0.20599999999999996</v>
      </c>
      <c r="F9" s="5">
        <f t="shared" ca="1" si="3"/>
        <v>4.7000000000000042E-2</v>
      </c>
      <c r="G9">
        <f t="shared" ca="1" si="4"/>
        <v>0.747</v>
      </c>
      <c r="H9" s="5">
        <f t="shared" ca="1" si="5"/>
        <v>747</v>
      </c>
      <c r="I9" s="5">
        <f t="shared" ca="1" si="6"/>
        <v>4.7E-2</v>
      </c>
    </row>
    <row r="10" spans="2:9" x14ac:dyDescent="0.25">
      <c r="B10" s="7" t="s">
        <v>15</v>
      </c>
      <c r="C10">
        <f t="shared" ca="1" si="0"/>
        <v>0.34899999999999998</v>
      </c>
      <c r="D10">
        <f t="shared" ca="1" si="1"/>
        <v>2.8000000000000001E-2</v>
      </c>
      <c r="E10" s="5">
        <f t="shared" ca="1" si="2"/>
        <v>9.2999999999999972E-2</v>
      </c>
      <c r="F10" s="5">
        <f t="shared" ca="1" si="3"/>
        <v>6.0000000000000053E-2</v>
      </c>
      <c r="G10">
        <f t="shared" ca="1" si="4"/>
        <v>0.84699999999999998</v>
      </c>
      <c r="H10" s="5">
        <f t="shared" ca="1" si="5"/>
        <v>847</v>
      </c>
      <c r="I10" s="5">
        <f t="shared" ca="1" si="6"/>
        <v>0.06</v>
      </c>
    </row>
    <row r="11" spans="2:9" x14ac:dyDescent="0.25">
      <c r="B11" s="6" t="s">
        <v>16</v>
      </c>
      <c r="C11">
        <f t="shared" ca="1" si="0"/>
        <v>1.2999999999999999E-2</v>
      </c>
      <c r="D11">
        <f t="shared" ca="1" si="1"/>
        <v>4.7E-2</v>
      </c>
      <c r="E11" s="5">
        <f t="shared" ref="E11:E24" ca="1" si="7">1-I11-H11/1000</f>
        <v>2.9000000000000026E-2</v>
      </c>
      <c r="F11" s="5">
        <f t="shared" ca="1" si="3"/>
        <v>7.4999999999999956E-2</v>
      </c>
      <c r="G11">
        <f t="shared" ca="1" si="4"/>
        <v>0.89600000000000002</v>
      </c>
      <c r="H11" s="5">
        <f t="shared" ca="1" si="5"/>
        <v>896</v>
      </c>
      <c r="I11" s="5">
        <f t="shared" ca="1" si="6"/>
        <v>7.4999999999999997E-2</v>
      </c>
    </row>
    <row r="12" spans="2:9" x14ac:dyDescent="0.25">
      <c r="B12" s="7" t="s">
        <v>17</v>
      </c>
      <c r="C12">
        <f t="shared" ca="1" si="0"/>
        <v>0.26100000000000001</v>
      </c>
      <c r="D12">
        <f t="shared" ca="1" si="1"/>
        <v>7.0000000000000001E-3</v>
      </c>
      <c r="E12" s="5">
        <f t="shared" ca="1" si="7"/>
        <v>0.14400000000000002</v>
      </c>
      <c r="F12" s="5">
        <f t="shared" ca="1" si="3"/>
        <v>0.15200000000000002</v>
      </c>
      <c r="G12">
        <f t="shared" ca="1" si="4"/>
        <v>0.70399999999999996</v>
      </c>
      <c r="H12" s="5">
        <f t="shared" ca="1" si="5"/>
        <v>704</v>
      </c>
      <c r="I12" s="5">
        <f t="shared" ca="1" si="6"/>
        <v>0.152</v>
      </c>
    </row>
    <row r="13" spans="2:9" x14ac:dyDescent="0.25">
      <c r="B13" s="6" t="s">
        <v>18</v>
      </c>
      <c r="C13">
        <f t="shared" ca="1" si="0"/>
        <v>0.40400000000000003</v>
      </c>
      <c r="D13">
        <f t="shared" ca="1" si="1"/>
        <v>2.5000000000000001E-2</v>
      </c>
      <c r="E13" s="5">
        <f t="shared" ca="1" si="7"/>
        <v>5.4000000000000048E-2</v>
      </c>
      <c r="F13" s="5">
        <f t="shared" ca="1" si="3"/>
        <v>0.11799999999999999</v>
      </c>
      <c r="G13">
        <f t="shared" ca="1" si="4"/>
        <v>0.82799999999999996</v>
      </c>
      <c r="H13" s="5">
        <f t="shared" ca="1" si="5"/>
        <v>828</v>
      </c>
      <c r="I13" s="5">
        <f t="shared" ca="1" si="6"/>
        <v>0.11799999999999999</v>
      </c>
    </row>
    <row r="14" spans="2:9" x14ac:dyDescent="0.25">
      <c r="B14" s="7" t="s">
        <v>19</v>
      </c>
      <c r="C14">
        <f t="shared" ca="1" si="0"/>
        <v>0.15</v>
      </c>
      <c r="D14">
        <f t="shared" ca="1" si="1"/>
        <v>0.01</v>
      </c>
      <c r="E14" s="5">
        <f t="shared" ca="1" si="7"/>
        <v>8.9999999999999969E-2</v>
      </c>
      <c r="F14" s="5">
        <f t="shared" ca="1" si="3"/>
        <v>3.6000000000000032E-2</v>
      </c>
      <c r="G14">
        <f t="shared" ca="1" si="4"/>
        <v>0.874</v>
      </c>
      <c r="H14" s="5">
        <f t="shared" ca="1" si="5"/>
        <v>874</v>
      </c>
      <c r="I14" s="5">
        <f t="shared" ca="1" si="6"/>
        <v>3.5999999999999997E-2</v>
      </c>
    </row>
    <row r="15" spans="2:9" x14ac:dyDescent="0.25">
      <c r="B15" s="6" t="s">
        <v>20</v>
      </c>
      <c r="C15">
        <f t="shared" ca="1" si="0"/>
        <v>0.11</v>
      </c>
      <c r="D15">
        <f t="shared" ca="1" si="1"/>
        <v>2.5999999999999999E-2</v>
      </c>
      <c r="E15" s="5">
        <f t="shared" ca="1" si="7"/>
        <v>2.0000000000000018E-2</v>
      </c>
      <c r="F15" s="5">
        <f t="shared" ca="1" si="3"/>
        <v>2.0000000000000018E-2</v>
      </c>
      <c r="G15">
        <f t="shared" ca="1" si="4"/>
        <v>0.96</v>
      </c>
      <c r="H15" s="5">
        <f t="shared" ca="1" si="5"/>
        <v>960</v>
      </c>
      <c r="I15" s="5">
        <f t="shared" ca="1" si="6"/>
        <v>0.02</v>
      </c>
    </row>
    <row r="16" spans="2:9" x14ac:dyDescent="0.25">
      <c r="B16" s="7" t="s">
        <v>21</v>
      </c>
      <c r="C16">
        <f t="shared" ca="1" si="0"/>
        <v>0.22500000000000001</v>
      </c>
      <c r="D16">
        <f t="shared" ca="1" si="1"/>
        <v>3.9E-2</v>
      </c>
      <c r="E16" s="5">
        <f t="shared" ca="1" si="7"/>
        <v>2.5000000000000022E-2</v>
      </c>
      <c r="F16" s="5">
        <f t="shared" ca="1" si="3"/>
        <v>1.4000000000000012E-2</v>
      </c>
      <c r="G16">
        <f t="shared" ca="1" si="4"/>
        <v>0.96099999999999997</v>
      </c>
      <c r="H16" s="5">
        <f t="shared" ca="1" si="5"/>
        <v>961</v>
      </c>
      <c r="I16" s="5">
        <f t="shared" ca="1" si="6"/>
        <v>1.4E-2</v>
      </c>
    </row>
    <row r="17" spans="2:23" x14ac:dyDescent="0.25">
      <c r="B17" s="6" t="s">
        <v>22</v>
      </c>
      <c r="C17">
        <f t="shared" ca="1" si="0"/>
        <v>0.36399999999999999</v>
      </c>
      <c r="D17">
        <f t="shared" ca="1" si="1"/>
        <v>4.4999999999999998E-2</v>
      </c>
      <c r="E17" s="5">
        <f t="shared" ca="1" si="7"/>
        <v>6.0000000000000053E-2</v>
      </c>
      <c r="F17" s="5">
        <f t="shared" ca="1" si="3"/>
        <v>9.5999999999999974E-2</v>
      </c>
      <c r="G17">
        <f t="shared" ca="1" si="4"/>
        <v>0.84399999999999997</v>
      </c>
      <c r="H17" s="5">
        <f t="shared" ca="1" si="5"/>
        <v>844</v>
      </c>
      <c r="I17" s="5">
        <f t="shared" ca="1" si="6"/>
        <v>9.6000000000000002E-2</v>
      </c>
    </row>
    <row r="18" spans="2:23" x14ac:dyDescent="0.25">
      <c r="B18" s="7" t="s">
        <v>23</v>
      </c>
      <c r="C18">
        <f t="shared" ca="1" si="0"/>
        <v>0.248</v>
      </c>
      <c r="D18">
        <f t="shared" ca="1" si="1"/>
        <v>5.0000000000000001E-3</v>
      </c>
      <c r="E18" s="5">
        <f t="shared" ca="1" si="7"/>
        <v>7.6000000000000068E-2</v>
      </c>
      <c r="F18" s="5">
        <f t="shared" ca="1" si="3"/>
        <v>7.3999999999999955E-2</v>
      </c>
      <c r="G18">
        <f t="shared" ca="1" si="4"/>
        <v>0.85</v>
      </c>
      <c r="H18" s="5">
        <f t="shared" ca="1" si="5"/>
        <v>850</v>
      </c>
      <c r="I18" s="5">
        <f t="shared" ca="1" si="6"/>
        <v>7.3999999999999996E-2</v>
      </c>
    </row>
    <row r="19" spans="2:23" x14ac:dyDescent="0.25">
      <c r="B19" s="6" t="s">
        <v>24</v>
      </c>
      <c r="C19">
        <f t="shared" ca="1" si="0"/>
        <v>0.31900000000000001</v>
      </c>
      <c r="D19">
        <f t="shared" ca="1" si="1"/>
        <v>0.05</v>
      </c>
      <c r="E19" s="5">
        <f t="shared" ca="1" si="7"/>
        <v>2.6999999999999913E-2</v>
      </c>
      <c r="F19" s="5">
        <f t="shared" ca="1" si="3"/>
        <v>0.16900000000000004</v>
      </c>
      <c r="G19">
        <f t="shared" ca="1" si="4"/>
        <v>0.80400000000000005</v>
      </c>
      <c r="H19" s="5">
        <f t="shared" ca="1" si="5"/>
        <v>804</v>
      </c>
      <c r="I19" s="5">
        <f t="shared" ca="1" si="6"/>
        <v>0.16900000000000001</v>
      </c>
    </row>
    <row r="20" spans="2:23" x14ac:dyDescent="0.25">
      <c r="B20" s="7" t="s">
        <v>25</v>
      </c>
      <c r="C20">
        <f t="shared" ca="1" si="0"/>
        <v>4.0000000000000001E-3</v>
      </c>
      <c r="D20">
        <f t="shared" ca="1" si="1"/>
        <v>3.5999999999999997E-2</v>
      </c>
      <c r="E20" s="5">
        <f t="shared" ca="1" si="7"/>
        <v>7.3999999999999955E-2</v>
      </c>
      <c r="F20" s="5">
        <f t="shared" ca="1" si="3"/>
        <v>0.16800000000000004</v>
      </c>
      <c r="G20">
        <f t="shared" ca="1" si="4"/>
        <v>0.75800000000000001</v>
      </c>
      <c r="H20" s="5">
        <f t="shared" ca="1" si="5"/>
        <v>758</v>
      </c>
      <c r="I20" s="5">
        <f t="shared" ca="1" si="6"/>
        <v>0.16800000000000001</v>
      </c>
    </row>
    <row r="21" spans="2:23" x14ac:dyDescent="0.25">
      <c r="B21" s="6" t="s">
        <v>26</v>
      </c>
      <c r="C21">
        <f t="shared" ca="1" si="0"/>
        <v>0.246</v>
      </c>
      <c r="D21">
        <f t="shared" ca="1" si="1"/>
        <v>1.2999999999999999E-2</v>
      </c>
      <c r="E21" s="5">
        <f t="shared" ca="1" si="7"/>
        <v>4.500000000000004E-2</v>
      </c>
      <c r="F21" s="5">
        <f t="shared" ca="1" si="3"/>
        <v>0.247</v>
      </c>
      <c r="G21">
        <f t="shared" ca="1" si="4"/>
        <v>0.70799999999999996</v>
      </c>
      <c r="H21" s="5">
        <f t="shared" ca="1" si="5"/>
        <v>708</v>
      </c>
      <c r="I21" s="5">
        <f t="shared" ca="1" si="6"/>
        <v>0.247</v>
      </c>
    </row>
    <row r="22" spans="2:23" x14ac:dyDescent="0.25">
      <c r="B22" s="7" t="s">
        <v>27</v>
      </c>
      <c r="C22">
        <f t="shared" ca="1" si="0"/>
        <v>0.34200000000000003</v>
      </c>
      <c r="D22">
        <f t="shared" ca="1" si="1"/>
        <v>4.7E-2</v>
      </c>
      <c r="E22" s="5">
        <f t="shared" ca="1" si="7"/>
        <v>6.3999999999999946E-2</v>
      </c>
      <c r="F22" s="5">
        <f t="shared" ca="1" si="3"/>
        <v>3.6000000000000032E-2</v>
      </c>
      <c r="G22">
        <f t="shared" ca="1" si="4"/>
        <v>0.9</v>
      </c>
      <c r="H22" s="5">
        <f t="shared" ca="1" si="5"/>
        <v>900</v>
      </c>
      <c r="I22" s="5">
        <f t="shared" ca="1" si="6"/>
        <v>3.5999999999999997E-2</v>
      </c>
    </row>
    <row r="23" spans="2:23" x14ac:dyDescent="0.25">
      <c r="B23" s="6" t="s">
        <v>28</v>
      </c>
      <c r="C23">
        <f t="shared" ca="1" si="0"/>
        <v>0.21199999999999999</v>
      </c>
      <c r="D23">
        <f t="shared" ca="1" si="1"/>
        <v>3.7999999999999999E-2</v>
      </c>
      <c r="E23" s="5">
        <f t="shared" ca="1" si="7"/>
        <v>1.8000000000000016E-2</v>
      </c>
      <c r="F23" s="5">
        <f t="shared" ca="1" si="3"/>
        <v>7.4999999999999956E-2</v>
      </c>
      <c r="G23">
        <f t="shared" ca="1" si="4"/>
        <v>0.90700000000000003</v>
      </c>
      <c r="H23" s="5">
        <f t="shared" ca="1" si="5"/>
        <v>907</v>
      </c>
      <c r="I23" s="5">
        <f t="shared" ca="1" si="6"/>
        <v>7.4999999999999997E-2</v>
      </c>
    </row>
    <row r="24" spans="2:23" x14ac:dyDescent="0.25">
      <c r="B24" s="7" t="s">
        <v>29</v>
      </c>
      <c r="C24">
        <f t="shared" ca="1" si="0"/>
        <v>0.121</v>
      </c>
      <c r="D24">
        <f t="shared" ca="1" si="1"/>
        <v>4.9000000000000002E-2</v>
      </c>
      <c r="E24" s="5">
        <f t="shared" ca="1" si="7"/>
        <v>1.9999999999999907E-2</v>
      </c>
      <c r="F24" s="5">
        <f t="shared" ca="1" si="3"/>
        <v>0.16900000000000004</v>
      </c>
      <c r="G24">
        <f t="shared" ca="1" si="4"/>
        <v>0.81100000000000005</v>
      </c>
      <c r="H24" s="5">
        <f t="shared" ca="1" si="5"/>
        <v>811</v>
      </c>
      <c r="I24" s="5">
        <f t="shared" ca="1" si="6"/>
        <v>0.16900000000000001</v>
      </c>
    </row>
    <row r="27" spans="2:23" x14ac:dyDescent="0.25">
      <c r="W27" s="4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8F46-D4CE-4E83-ADB7-ED619849A421}">
  <dimension ref="A1:L30"/>
  <sheetViews>
    <sheetView tabSelected="1" workbookViewId="0">
      <selection activeCell="F7" sqref="F7"/>
    </sheetView>
  </sheetViews>
  <sheetFormatPr defaultRowHeight="15" x14ac:dyDescent="0.25"/>
  <cols>
    <col min="1" max="1" width="18.7109375" bestFit="1" customWidth="1"/>
    <col min="2" max="2" width="17.7109375" bestFit="1" customWidth="1"/>
    <col min="3" max="3" width="17.5703125" bestFit="1" customWidth="1"/>
    <col min="4" max="4" width="10.85546875" bestFit="1" customWidth="1"/>
    <col min="5" max="5" width="22.85546875" bestFit="1" customWidth="1"/>
    <col min="6" max="6" width="18.28515625" bestFit="1" customWidth="1"/>
    <col min="7" max="7" width="13" bestFit="1" customWidth="1"/>
    <col min="8" max="8" width="7.5703125" bestFit="1" customWidth="1"/>
    <col min="9" max="9" width="21.140625" bestFit="1" customWidth="1"/>
    <col min="10" max="10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25">
      <c r="A2" t="s">
        <v>8</v>
      </c>
      <c r="B2">
        <v>0.309</v>
      </c>
      <c r="C2">
        <v>1.9E-2</v>
      </c>
      <c r="D2">
        <v>1.4000000000000012E-2</v>
      </c>
      <c r="E2">
        <v>3.400000000000003E-2</v>
      </c>
      <c r="F2">
        <v>0.95199999999999996</v>
      </c>
      <c r="G2" t="s">
        <v>34</v>
      </c>
      <c r="H2">
        <v>62</v>
      </c>
      <c r="I2">
        <v>2.8650000000000011</v>
      </c>
      <c r="J2">
        <v>177.63000000000008</v>
      </c>
    </row>
    <row r="3" spans="1:10" x14ac:dyDescent="0.25">
      <c r="A3" t="s">
        <v>9</v>
      </c>
      <c r="B3">
        <v>0.186</v>
      </c>
      <c r="C3">
        <v>3.5000000000000003E-2</v>
      </c>
      <c r="D3">
        <v>0.26</v>
      </c>
      <c r="E3">
        <v>2.7000000000000024E-2</v>
      </c>
      <c r="F3">
        <v>0.71299999999999997</v>
      </c>
      <c r="G3" t="s">
        <v>35</v>
      </c>
      <c r="H3">
        <v>50</v>
      </c>
      <c r="I3">
        <v>11.235000000000001</v>
      </c>
      <c r="J3">
        <v>561.75000000000011</v>
      </c>
    </row>
    <row r="4" spans="1:10" x14ac:dyDescent="0.25">
      <c r="A4" t="s">
        <v>10</v>
      </c>
      <c r="B4">
        <v>0.27600000000000002</v>
      </c>
      <c r="C4">
        <v>3.5000000000000003E-2</v>
      </c>
      <c r="D4">
        <v>6.6000000000000059E-2</v>
      </c>
      <c r="E4">
        <v>0.21399999999999997</v>
      </c>
      <c r="F4">
        <v>0.72</v>
      </c>
      <c r="G4" t="s">
        <v>36</v>
      </c>
      <c r="H4">
        <v>45</v>
      </c>
      <c r="I4">
        <v>11.025</v>
      </c>
      <c r="J4">
        <v>496.125</v>
      </c>
    </row>
    <row r="5" spans="1:10" x14ac:dyDescent="0.25">
      <c r="A5" t="s">
        <v>11</v>
      </c>
      <c r="B5">
        <v>0.27600000000000002</v>
      </c>
      <c r="C5">
        <v>2.8000000000000001E-2</v>
      </c>
      <c r="D5">
        <v>6.899999999999995E-2</v>
      </c>
      <c r="E5">
        <v>0.15600000000000003</v>
      </c>
      <c r="F5">
        <v>0.77500000000000002</v>
      </c>
      <c r="G5" t="s">
        <v>37</v>
      </c>
      <c r="H5">
        <v>54</v>
      </c>
      <c r="I5">
        <v>8.85</v>
      </c>
      <c r="J5">
        <v>477.9</v>
      </c>
    </row>
    <row r="6" spans="1:10" x14ac:dyDescent="0.25">
      <c r="A6" t="s">
        <v>12</v>
      </c>
      <c r="B6" s="14">
        <v>0.36</v>
      </c>
      <c r="C6" s="14">
        <v>0.01</v>
      </c>
      <c r="D6" s="14">
        <v>0.05</v>
      </c>
      <c r="E6" s="14">
        <v>8.9999999999999969E-2</v>
      </c>
      <c r="F6" s="14">
        <v>0.86</v>
      </c>
      <c r="G6" t="s">
        <v>38</v>
      </c>
      <c r="H6">
        <v>124</v>
      </c>
      <c r="I6">
        <v>4.95</v>
      </c>
      <c r="J6">
        <v>613.80000000000007</v>
      </c>
    </row>
    <row r="7" spans="1:10" x14ac:dyDescent="0.25">
      <c r="A7" t="s">
        <v>13</v>
      </c>
      <c r="B7" s="14">
        <v>0.46</v>
      </c>
      <c r="C7" s="14">
        <v>0.13</v>
      </c>
      <c r="D7" s="14">
        <v>0.11</v>
      </c>
      <c r="E7" s="14">
        <v>3.0000000000000027E-2</v>
      </c>
      <c r="F7" s="14">
        <v>0.86</v>
      </c>
      <c r="G7" t="s">
        <v>39</v>
      </c>
      <c r="H7">
        <v>40</v>
      </c>
      <c r="I7">
        <v>13.95</v>
      </c>
      <c r="J7">
        <v>558</v>
      </c>
    </row>
    <row r="8" spans="1:10" x14ac:dyDescent="0.25">
      <c r="A8" t="s">
        <v>15</v>
      </c>
      <c r="B8">
        <v>0.28599999999999998</v>
      </c>
      <c r="C8">
        <v>1.6E-2</v>
      </c>
      <c r="D8">
        <v>7.6999999999999957E-2</v>
      </c>
      <c r="E8">
        <v>0.13</v>
      </c>
      <c r="F8">
        <v>0.79300000000000004</v>
      </c>
      <c r="G8" t="s">
        <v>40</v>
      </c>
      <c r="H8">
        <v>49</v>
      </c>
      <c r="I8">
        <v>7.4099999999999993</v>
      </c>
      <c r="J8">
        <v>363.09</v>
      </c>
    </row>
    <row r="9" spans="1:10" x14ac:dyDescent="0.25">
      <c r="A9" t="s">
        <v>14</v>
      </c>
      <c r="B9">
        <v>0.4</v>
      </c>
      <c r="C9">
        <v>3.5000000000000003E-2</v>
      </c>
      <c r="D9">
        <v>7.5999999999999956E-2</v>
      </c>
      <c r="E9">
        <v>8.0000000000000071E-3</v>
      </c>
      <c r="F9">
        <v>0.91600000000000004</v>
      </c>
      <c r="G9" t="s">
        <v>41</v>
      </c>
      <c r="H9">
        <v>53</v>
      </c>
      <c r="I9">
        <v>5.1449999999999996</v>
      </c>
      <c r="J9">
        <v>272.685</v>
      </c>
    </row>
    <row r="10" spans="1:10" x14ac:dyDescent="0.25">
      <c r="A10" t="s">
        <v>16</v>
      </c>
      <c r="B10">
        <v>0.308</v>
      </c>
      <c r="C10">
        <v>3.2000000000000001E-2</v>
      </c>
      <c r="D10">
        <v>0.16199999999999992</v>
      </c>
      <c r="E10">
        <v>2.7000000000000024E-2</v>
      </c>
      <c r="F10">
        <v>0.81100000000000005</v>
      </c>
      <c r="G10" t="s">
        <v>42</v>
      </c>
      <c r="H10">
        <v>61</v>
      </c>
      <c r="I10">
        <v>8.0699999999999985</v>
      </c>
      <c r="J10">
        <v>492.26999999999992</v>
      </c>
    </row>
    <row r="11" spans="1:10" x14ac:dyDescent="0.25">
      <c r="A11" t="s">
        <v>17</v>
      </c>
      <c r="B11">
        <v>0.107</v>
      </c>
      <c r="C11">
        <v>3.5999999999999997E-2</v>
      </c>
      <c r="D11">
        <v>0.10799999999999998</v>
      </c>
      <c r="E11">
        <v>0.13600000000000001</v>
      </c>
      <c r="F11">
        <v>0.75600000000000001</v>
      </c>
      <c r="G11" t="s">
        <v>43</v>
      </c>
      <c r="H11">
        <v>62</v>
      </c>
      <c r="I11">
        <v>10.02</v>
      </c>
      <c r="J11">
        <v>621.24</v>
      </c>
    </row>
    <row r="12" spans="1:10" x14ac:dyDescent="0.25">
      <c r="A12" t="s">
        <v>18</v>
      </c>
      <c r="B12">
        <v>0.40100000000000002</v>
      </c>
      <c r="C12">
        <v>1.0999999999999999E-2</v>
      </c>
      <c r="D12">
        <v>9.000000000000008E-3</v>
      </c>
      <c r="E12">
        <v>2.1000000000000019E-2</v>
      </c>
      <c r="F12">
        <v>0.97</v>
      </c>
      <c r="G12" t="s">
        <v>44</v>
      </c>
      <c r="H12">
        <v>70</v>
      </c>
      <c r="I12">
        <v>1.7250000000000008</v>
      </c>
      <c r="J12">
        <v>120.75000000000006</v>
      </c>
    </row>
    <row r="13" spans="1:10" x14ac:dyDescent="0.25">
      <c r="A13" t="s">
        <v>19</v>
      </c>
      <c r="B13">
        <v>0.11700000000000001</v>
      </c>
      <c r="C13">
        <v>4.8000000000000001E-2</v>
      </c>
      <c r="D13">
        <v>2.5000000000000022E-2</v>
      </c>
      <c r="E13">
        <v>0.13600000000000001</v>
      </c>
      <c r="F13">
        <v>0.83899999999999997</v>
      </c>
      <c r="G13" t="s">
        <v>45</v>
      </c>
      <c r="H13">
        <v>62</v>
      </c>
      <c r="I13">
        <v>8.4300000000000015</v>
      </c>
      <c r="J13">
        <v>522.66000000000008</v>
      </c>
    </row>
    <row r="14" spans="1:10" x14ac:dyDescent="0.25">
      <c r="A14" t="s">
        <v>20</v>
      </c>
      <c r="B14">
        <v>0.309</v>
      </c>
      <c r="C14">
        <v>0.03</v>
      </c>
      <c r="D14">
        <v>3.0000000000000027E-3</v>
      </c>
      <c r="E14">
        <v>0.129</v>
      </c>
      <c r="F14">
        <v>0.86799999999999999</v>
      </c>
      <c r="G14" t="s">
        <v>46</v>
      </c>
      <c r="H14">
        <v>43</v>
      </c>
      <c r="I14">
        <v>6.21</v>
      </c>
      <c r="J14">
        <v>267.02999999999997</v>
      </c>
    </row>
    <row r="15" spans="1:10" x14ac:dyDescent="0.25">
      <c r="A15" t="s">
        <v>21</v>
      </c>
      <c r="B15">
        <v>0.115</v>
      </c>
      <c r="C15">
        <v>2.9000000000000001E-2</v>
      </c>
      <c r="D15">
        <v>7.3999999999999955E-2</v>
      </c>
      <c r="E15">
        <v>0.11699999999999999</v>
      </c>
      <c r="F15">
        <v>0.80900000000000005</v>
      </c>
      <c r="G15" t="s">
        <v>47</v>
      </c>
      <c r="H15">
        <v>71</v>
      </c>
      <c r="I15">
        <v>7.9049999999999994</v>
      </c>
      <c r="J15">
        <v>561.255</v>
      </c>
    </row>
    <row r="16" spans="1:10" x14ac:dyDescent="0.25">
      <c r="A16" t="s">
        <v>22</v>
      </c>
      <c r="B16">
        <v>5.1999999999999998E-2</v>
      </c>
      <c r="C16">
        <v>2.5999999999999999E-2</v>
      </c>
      <c r="D16">
        <v>9.7999999999999976E-2</v>
      </c>
      <c r="E16">
        <v>8.0000000000000071E-3</v>
      </c>
      <c r="F16">
        <v>0.89400000000000002</v>
      </c>
      <c r="G16" t="s">
        <v>48</v>
      </c>
      <c r="H16">
        <v>91</v>
      </c>
      <c r="I16">
        <v>5.13</v>
      </c>
      <c r="J16">
        <v>466.83</v>
      </c>
    </row>
    <row r="17" spans="1:12" x14ac:dyDescent="0.25">
      <c r="A17" t="s">
        <v>23</v>
      </c>
      <c r="B17">
        <v>3.5000000000000003E-2</v>
      </c>
      <c r="C17">
        <v>0.05</v>
      </c>
      <c r="D17">
        <v>2.200000000000002E-2</v>
      </c>
      <c r="E17">
        <v>1.4000000000000012E-2</v>
      </c>
      <c r="F17">
        <v>0.96399999999999997</v>
      </c>
      <c r="G17" t="s">
        <v>49</v>
      </c>
      <c r="H17">
        <v>65</v>
      </c>
      <c r="I17">
        <v>4.830000000000001</v>
      </c>
      <c r="J17">
        <v>313.95000000000005</v>
      </c>
    </row>
    <row r="18" spans="1:12" x14ac:dyDescent="0.25">
      <c r="A18" t="s">
        <v>24</v>
      </c>
      <c r="B18">
        <v>0.29299999999999998</v>
      </c>
      <c r="C18">
        <v>5.0000000000000001E-3</v>
      </c>
      <c r="D18">
        <v>0.13300000000000001</v>
      </c>
      <c r="E18">
        <v>3.1000000000000028E-2</v>
      </c>
      <c r="F18">
        <v>0.83599999999999997</v>
      </c>
      <c r="G18" t="s">
        <v>50</v>
      </c>
      <c r="H18">
        <v>50</v>
      </c>
      <c r="I18">
        <v>5.2950000000000008</v>
      </c>
      <c r="J18">
        <v>264.75000000000006</v>
      </c>
    </row>
    <row r="19" spans="1:12" x14ac:dyDescent="0.25">
      <c r="A19" t="s">
        <v>25</v>
      </c>
      <c r="B19">
        <v>7.0000000000000001E-3</v>
      </c>
      <c r="C19">
        <v>1.4E-2</v>
      </c>
      <c r="D19">
        <v>0.15700000000000003</v>
      </c>
      <c r="E19">
        <v>1.8000000000000016E-2</v>
      </c>
      <c r="F19">
        <v>0.82499999999999996</v>
      </c>
      <c r="G19" t="s">
        <v>51</v>
      </c>
      <c r="H19">
        <v>46</v>
      </c>
      <c r="I19">
        <v>6.3000000000000016</v>
      </c>
      <c r="J19">
        <v>289.80000000000007</v>
      </c>
    </row>
    <row r="20" spans="1:12" x14ac:dyDescent="0.25">
      <c r="A20" t="s">
        <v>26</v>
      </c>
      <c r="B20">
        <v>0.42499999999999999</v>
      </c>
      <c r="C20">
        <v>1.4999999999999999E-2</v>
      </c>
      <c r="D20">
        <v>5.699999999999994E-2</v>
      </c>
      <c r="E20">
        <v>6.6000000000000059E-2</v>
      </c>
      <c r="F20">
        <v>0.877</v>
      </c>
      <c r="G20" t="s">
        <v>52</v>
      </c>
      <c r="H20">
        <v>87</v>
      </c>
      <c r="I20">
        <v>4.8149999999999995</v>
      </c>
      <c r="J20">
        <v>418.90499999999997</v>
      </c>
    </row>
    <row r="21" spans="1:12" x14ac:dyDescent="0.25">
      <c r="A21" t="s">
        <v>27</v>
      </c>
      <c r="B21">
        <v>5.6000000000000001E-2</v>
      </c>
      <c r="C21">
        <v>2.7E-2</v>
      </c>
      <c r="D21">
        <v>6.899999999999995E-2</v>
      </c>
      <c r="E21">
        <v>3.0000000000000027E-3</v>
      </c>
      <c r="F21">
        <v>0.92800000000000005</v>
      </c>
      <c r="G21" t="s">
        <v>53</v>
      </c>
      <c r="H21">
        <v>58</v>
      </c>
      <c r="I21">
        <v>4.1849999999999987</v>
      </c>
      <c r="J21">
        <v>242.72999999999993</v>
      </c>
    </row>
    <row r="22" spans="1:12" x14ac:dyDescent="0.25">
      <c r="A22" t="s">
        <v>28</v>
      </c>
      <c r="B22">
        <v>0.14799999999999999</v>
      </c>
      <c r="C22">
        <v>3.6999999999999998E-2</v>
      </c>
      <c r="D22">
        <v>0.14200000000000002</v>
      </c>
      <c r="E22">
        <v>4.2000000000000037E-2</v>
      </c>
      <c r="F22">
        <v>0.81599999999999995</v>
      </c>
      <c r="G22" t="s">
        <v>54</v>
      </c>
      <c r="H22">
        <v>62</v>
      </c>
      <c r="I22">
        <v>8.2950000000000017</v>
      </c>
      <c r="J22">
        <v>514.29000000000008</v>
      </c>
    </row>
    <row r="23" spans="1:12" x14ac:dyDescent="0.25">
      <c r="A23" t="s">
        <v>29</v>
      </c>
      <c r="B23">
        <v>0.105</v>
      </c>
      <c r="C23">
        <v>1.4999999999999999E-2</v>
      </c>
      <c r="D23">
        <v>3.0000000000000027E-3</v>
      </c>
      <c r="E23">
        <v>3.2000000000000028E-2</v>
      </c>
      <c r="F23">
        <v>0.96499999999999997</v>
      </c>
      <c r="G23" t="s">
        <v>55</v>
      </c>
      <c r="H23">
        <v>63</v>
      </c>
      <c r="I23">
        <v>2.1750000000000007</v>
      </c>
      <c r="J23">
        <v>137.02500000000003</v>
      </c>
    </row>
    <row r="28" spans="1:12" ht="15.75" thickBot="1" x14ac:dyDescent="0.3"/>
    <row r="29" spans="1:12" ht="15.75" thickTop="1" x14ac:dyDescent="0.25">
      <c r="H29" s="12">
        <f>SUBTOTAL(109,FaciltiyEffectivenessSummary[Beds])</f>
        <v>1368</v>
      </c>
      <c r="J29" s="13">
        <f>SUBTOTAL(109,FaciltiyEffectivenessSummary[$Ineff.Day.Facility])</f>
        <v>8754.4650000000001</v>
      </c>
      <c r="L29">
        <f>J29/H29</f>
        <v>6.3994627192982456</v>
      </c>
    </row>
    <row r="30" spans="1:12" x14ac:dyDescent="0.25">
      <c r="J30">
        <f>7*J29</f>
        <v>61281.255000000005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877E-5BA5-4EBE-B8B6-6CE2E140344B}">
  <dimension ref="A1:F23"/>
  <sheetViews>
    <sheetView workbookViewId="0"/>
  </sheetViews>
  <sheetFormatPr defaultRowHeight="15" x14ac:dyDescent="0.25"/>
  <cols>
    <col min="1" max="1" width="18.7109375" bestFit="1" customWidth="1"/>
    <col min="2" max="2" width="17.7109375" bestFit="1" customWidth="1"/>
    <col min="3" max="3" width="17.5703125" bestFit="1" customWidth="1"/>
    <col min="4" max="4" width="10.85546875" bestFit="1" customWidth="1"/>
    <col min="5" max="5" width="22.85546875" bestFit="1" customWidth="1"/>
    <col min="6" max="6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7.5999999999999998E-2</v>
      </c>
      <c r="C2">
        <v>1.6E-2</v>
      </c>
      <c r="D2">
        <v>1.5000000000000013E-2</v>
      </c>
      <c r="E2">
        <v>8.0999999999999961E-2</v>
      </c>
      <c r="F2">
        <v>0.90400000000000003</v>
      </c>
    </row>
    <row r="3" spans="1:6" x14ac:dyDescent="0.25">
      <c r="A3" t="s">
        <v>9</v>
      </c>
      <c r="B3">
        <v>0.315</v>
      </c>
      <c r="C3">
        <v>7.0000000000000001E-3</v>
      </c>
      <c r="D3">
        <v>5.0000000000000044E-3</v>
      </c>
      <c r="E3">
        <v>1.5000000000000013E-2</v>
      </c>
      <c r="F3">
        <v>0.98</v>
      </c>
    </row>
    <row r="4" spans="1:6" x14ac:dyDescent="0.25">
      <c r="A4" t="s">
        <v>10</v>
      </c>
      <c r="B4">
        <v>0.40799999999999997</v>
      </c>
      <c r="C4">
        <v>3.2000000000000001E-2</v>
      </c>
      <c r="D4">
        <v>6.0000000000000053E-3</v>
      </c>
      <c r="E4">
        <v>2.200000000000002E-2</v>
      </c>
      <c r="F4">
        <v>0.97199999999999998</v>
      </c>
    </row>
    <row r="5" spans="1:6" x14ac:dyDescent="0.25">
      <c r="A5" t="s">
        <v>11</v>
      </c>
      <c r="B5">
        <v>0.39200000000000002</v>
      </c>
      <c r="C5">
        <v>4.1000000000000002E-2</v>
      </c>
      <c r="D5">
        <v>7.2000000000000064E-2</v>
      </c>
      <c r="E5">
        <v>0.20999999999999996</v>
      </c>
      <c r="F5">
        <v>0.71799999999999997</v>
      </c>
    </row>
    <row r="6" spans="1:6" x14ac:dyDescent="0.25">
      <c r="A6" t="s">
        <v>12</v>
      </c>
      <c r="B6">
        <v>0.36</v>
      </c>
      <c r="C6">
        <v>0.01</v>
      </c>
      <c r="D6">
        <v>0.05</v>
      </c>
      <c r="E6">
        <v>8.9999999999999969E-2</v>
      </c>
      <c r="F6">
        <v>0.86</v>
      </c>
    </row>
    <row r="7" spans="1:6" x14ac:dyDescent="0.25">
      <c r="A7" t="s">
        <v>13</v>
      </c>
      <c r="B7">
        <v>0.46</v>
      </c>
      <c r="C7">
        <v>0.13</v>
      </c>
      <c r="D7">
        <v>0.11</v>
      </c>
      <c r="E7">
        <v>3.0000000000000027E-2</v>
      </c>
      <c r="F7">
        <v>0.86</v>
      </c>
    </row>
    <row r="8" spans="1:6" x14ac:dyDescent="0.25">
      <c r="A8" t="s">
        <v>14</v>
      </c>
      <c r="B8">
        <v>4.2000000000000003E-2</v>
      </c>
      <c r="C8">
        <v>2.8000000000000001E-2</v>
      </c>
      <c r="D8">
        <v>2.1000000000000019E-2</v>
      </c>
      <c r="E8">
        <v>0.26200000000000001</v>
      </c>
      <c r="F8">
        <v>0.71699999999999997</v>
      </c>
    </row>
    <row r="9" spans="1:6" x14ac:dyDescent="0.25">
      <c r="A9" t="s">
        <v>15</v>
      </c>
      <c r="B9">
        <v>0.22</v>
      </c>
      <c r="C9">
        <v>2E-3</v>
      </c>
      <c r="D9">
        <v>2.7000000000000024E-2</v>
      </c>
      <c r="E9">
        <v>7.8999999999999959E-2</v>
      </c>
      <c r="F9">
        <v>0.89400000000000002</v>
      </c>
    </row>
    <row r="10" spans="1:6" x14ac:dyDescent="0.25">
      <c r="A10" t="s">
        <v>16</v>
      </c>
      <c r="B10">
        <v>9.6000000000000002E-2</v>
      </c>
      <c r="C10">
        <v>3.4000000000000002E-2</v>
      </c>
      <c r="D10">
        <v>1.8000000000000016E-2</v>
      </c>
      <c r="E10">
        <v>1.3000000000000012E-2</v>
      </c>
      <c r="F10">
        <v>0.96899999999999997</v>
      </c>
    </row>
    <row r="11" spans="1:6" x14ac:dyDescent="0.25">
      <c r="A11" t="s">
        <v>17</v>
      </c>
      <c r="B11">
        <v>0.36</v>
      </c>
      <c r="C11">
        <v>1.7000000000000001E-2</v>
      </c>
      <c r="D11">
        <v>1.6000000000000014E-2</v>
      </c>
      <c r="E11">
        <v>7.2999999999999954E-2</v>
      </c>
      <c r="F11">
        <v>0.91100000000000003</v>
      </c>
    </row>
    <row r="12" spans="1:6" x14ac:dyDescent="0.25">
      <c r="A12" t="s">
        <v>18</v>
      </c>
      <c r="B12">
        <v>0</v>
      </c>
      <c r="C12">
        <v>1.2999999999999999E-2</v>
      </c>
      <c r="D12">
        <v>0.125</v>
      </c>
      <c r="E12">
        <v>5.3000000000000047E-2</v>
      </c>
      <c r="F12">
        <v>0.82199999999999995</v>
      </c>
    </row>
    <row r="13" spans="1:6" x14ac:dyDescent="0.25">
      <c r="A13" t="s">
        <v>19</v>
      </c>
      <c r="B13">
        <v>0.14299999999999999</v>
      </c>
      <c r="C13">
        <v>2.7E-2</v>
      </c>
      <c r="D13">
        <v>0.129</v>
      </c>
      <c r="E13">
        <v>6.4999999999999947E-2</v>
      </c>
      <c r="F13">
        <v>0.80600000000000005</v>
      </c>
    </row>
    <row r="14" spans="1:6" x14ac:dyDescent="0.25">
      <c r="A14" t="s">
        <v>20</v>
      </c>
      <c r="B14">
        <v>0.29499999999999998</v>
      </c>
      <c r="C14">
        <v>0.03</v>
      </c>
      <c r="D14">
        <v>0.21299999999999997</v>
      </c>
      <c r="E14">
        <v>6.800000000000006E-2</v>
      </c>
      <c r="F14">
        <v>0.71899999999999997</v>
      </c>
    </row>
    <row r="15" spans="1:6" x14ac:dyDescent="0.25">
      <c r="A15" t="s">
        <v>21</v>
      </c>
      <c r="B15">
        <v>0.114</v>
      </c>
      <c r="C15">
        <v>1.7000000000000001E-2</v>
      </c>
      <c r="D15">
        <v>7.0000000000000062E-3</v>
      </c>
      <c r="E15">
        <v>9.2999999999999972E-2</v>
      </c>
      <c r="F15">
        <v>0.9</v>
      </c>
    </row>
    <row r="16" spans="1:6" x14ac:dyDescent="0.25">
      <c r="A16" t="s">
        <v>22</v>
      </c>
      <c r="B16">
        <v>5.8999999999999997E-2</v>
      </c>
      <c r="C16">
        <v>1.6E-2</v>
      </c>
      <c r="D16">
        <v>7.7000000000000068E-2</v>
      </c>
      <c r="E16">
        <v>0.18599999999999994</v>
      </c>
      <c r="F16">
        <v>0.73699999999999999</v>
      </c>
    </row>
    <row r="17" spans="1:6" x14ac:dyDescent="0.25">
      <c r="A17" t="s">
        <v>23</v>
      </c>
      <c r="B17">
        <v>0.32200000000000001</v>
      </c>
      <c r="C17">
        <v>2.3E-2</v>
      </c>
      <c r="D17">
        <v>3.8999999999999924E-2</v>
      </c>
      <c r="E17">
        <v>0.18700000000000006</v>
      </c>
      <c r="F17">
        <v>0.77400000000000002</v>
      </c>
    </row>
    <row r="18" spans="1:6" x14ac:dyDescent="0.25">
      <c r="A18" t="s">
        <v>24</v>
      </c>
      <c r="B18">
        <v>0.18</v>
      </c>
      <c r="C18">
        <v>0.05</v>
      </c>
      <c r="D18">
        <v>7.3999999999999955E-2</v>
      </c>
      <c r="E18">
        <v>5.2000000000000046E-2</v>
      </c>
      <c r="F18">
        <v>0.874</v>
      </c>
    </row>
    <row r="19" spans="1:6" x14ac:dyDescent="0.25">
      <c r="A19" t="s">
        <v>25</v>
      </c>
      <c r="B19">
        <v>0.27200000000000002</v>
      </c>
      <c r="C19">
        <v>4.2000000000000003E-2</v>
      </c>
      <c r="D19">
        <v>0.18900000000000006</v>
      </c>
      <c r="E19">
        <v>8.9999999999999969E-2</v>
      </c>
      <c r="F19">
        <v>0.72099999999999997</v>
      </c>
    </row>
    <row r="20" spans="1:6" x14ac:dyDescent="0.25">
      <c r="A20" t="s">
        <v>26</v>
      </c>
      <c r="B20">
        <v>0.127</v>
      </c>
      <c r="C20">
        <v>3.1E-2</v>
      </c>
      <c r="D20">
        <v>3.400000000000003E-2</v>
      </c>
      <c r="E20">
        <v>7.8999999999999959E-2</v>
      </c>
      <c r="F20">
        <v>0.88700000000000001</v>
      </c>
    </row>
    <row r="21" spans="1:6" x14ac:dyDescent="0.25">
      <c r="A21" t="s">
        <v>27</v>
      </c>
      <c r="B21">
        <v>0.23200000000000001</v>
      </c>
      <c r="C21">
        <v>4.5999999999999999E-2</v>
      </c>
      <c r="D21">
        <v>0.13100000000000001</v>
      </c>
      <c r="E21">
        <v>0.10999999999999999</v>
      </c>
      <c r="F21">
        <v>0.75900000000000001</v>
      </c>
    </row>
    <row r="22" spans="1:6" x14ac:dyDescent="0.25">
      <c r="A22" t="s">
        <v>28</v>
      </c>
      <c r="B22">
        <v>0.3</v>
      </c>
      <c r="C22">
        <v>6.0000000000000001E-3</v>
      </c>
      <c r="D22">
        <v>0.10999999999999999</v>
      </c>
      <c r="E22">
        <v>5.3000000000000047E-2</v>
      </c>
      <c r="F22">
        <v>0.83699999999999997</v>
      </c>
    </row>
    <row r="23" spans="1:6" x14ac:dyDescent="0.25">
      <c r="A23" t="s">
        <v>29</v>
      </c>
      <c r="B23">
        <v>0.23300000000000001</v>
      </c>
      <c r="C23">
        <v>2.4E-2</v>
      </c>
      <c r="D23">
        <v>6.7999999999999949E-2</v>
      </c>
      <c r="E23">
        <v>2.7000000000000024E-2</v>
      </c>
      <c r="F23">
        <v>0.90500000000000003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2746-90D9-4303-AE98-A79E536A5108}">
  <dimension ref="A1:B6"/>
  <sheetViews>
    <sheetView workbookViewId="0">
      <selection activeCell="E13" sqref="E13"/>
    </sheetView>
  </sheetViews>
  <sheetFormatPr defaultRowHeight="15" x14ac:dyDescent="0.25"/>
  <cols>
    <col min="1" max="1" width="20.42578125" bestFit="1" customWidth="1"/>
    <col min="2" max="2" width="17.4257812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1</v>
      </c>
      <c r="B2">
        <v>0.64</v>
      </c>
    </row>
    <row r="3" spans="1:2" x14ac:dyDescent="0.25">
      <c r="A3" t="s">
        <v>2</v>
      </c>
      <c r="B3">
        <v>0.04</v>
      </c>
    </row>
    <row r="4" spans="1:2" x14ac:dyDescent="0.25">
      <c r="A4" t="s">
        <v>3</v>
      </c>
      <c r="B4">
        <v>0.04</v>
      </c>
    </row>
    <row r="5" spans="1:2" x14ac:dyDescent="0.25">
      <c r="A5" t="s">
        <v>4</v>
      </c>
      <c r="B5">
        <v>0.08</v>
      </c>
    </row>
    <row r="6" spans="1:2" x14ac:dyDescent="0.25">
      <c r="A6" t="s">
        <v>5</v>
      </c>
      <c r="B6">
        <v>0.88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48F-AC3C-4E18-AF7E-94B32CC2B728}">
  <dimension ref="A1:C111"/>
  <sheetViews>
    <sheetView workbookViewId="0">
      <selection activeCell="P31" sqref="P31"/>
    </sheetView>
  </sheetViews>
  <sheetFormatPr defaultRowHeight="15" x14ac:dyDescent="0.25"/>
  <cols>
    <col min="1" max="1" width="18.7109375" bestFit="1" customWidth="1"/>
    <col min="2" max="2" width="20.42578125" bestFit="1" customWidth="1"/>
    <col min="3" max="3" width="14.28515625" bestFit="1" customWidth="1"/>
    <col min="4" max="4" width="18.7109375" bestFit="1" customWidth="1"/>
    <col min="5" max="5" width="20.42578125" bestFit="1" customWidth="1"/>
    <col min="6" max="6" width="8.42578125" bestFit="1" customWidth="1"/>
  </cols>
  <sheetData>
    <row r="1" spans="1:3" x14ac:dyDescent="0.25">
      <c r="A1" t="s">
        <v>58</v>
      </c>
      <c r="B1" t="s">
        <v>56</v>
      </c>
      <c r="C1" t="s">
        <v>59</v>
      </c>
    </row>
    <row r="2" spans="1:3" x14ac:dyDescent="0.25">
      <c r="A2" t="s">
        <v>8</v>
      </c>
      <c r="B2" t="s">
        <v>1</v>
      </c>
      <c r="C2">
        <v>0.309</v>
      </c>
    </row>
    <row r="3" spans="1:3" x14ac:dyDescent="0.25">
      <c r="A3" t="s">
        <v>8</v>
      </c>
      <c r="B3" t="s">
        <v>2</v>
      </c>
      <c r="C3">
        <v>1.9E-2</v>
      </c>
    </row>
    <row r="4" spans="1:3" x14ac:dyDescent="0.25">
      <c r="A4" t="s">
        <v>8</v>
      </c>
      <c r="B4" t="s">
        <v>3</v>
      </c>
      <c r="C4">
        <v>1.4000000000000012E-2</v>
      </c>
    </row>
    <row r="5" spans="1:3" x14ac:dyDescent="0.25">
      <c r="A5" t="s">
        <v>8</v>
      </c>
      <c r="B5" t="s">
        <v>4</v>
      </c>
      <c r="C5">
        <v>3.400000000000003E-2</v>
      </c>
    </row>
    <row r="6" spans="1:3" x14ac:dyDescent="0.25">
      <c r="A6" t="s">
        <v>8</v>
      </c>
      <c r="B6" t="s">
        <v>5</v>
      </c>
      <c r="C6">
        <v>0.95199999999999996</v>
      </c>
    </row>
    <row r="7" spans="1:3" x14ac:dyDescent="0.25">
      <c r="A7" t="s">
        <v>9</v>
      </c>
      <c r="B7" t="s">
        <v>1</v>
      </c>
      <c r="C7">
        <v>0.186</v>
      </c>
    </row>
    <row r="8" spans="1:3" x14ac:dyDescent="0.25">
      <c r="A8" t="s">
        <v>9</v>
      </c>
      <c r="B8" t="s">
        <v>2</v>
      </c>
      <c r="C8">
        <v>3.5000000000000003E-2</v>
      </c>
    </row>
    <row r="9" spans="1:3" x14ac:dyDescent="0.25">
      <c r="A9" t="s">
        <v>9</v>
      </c>
      <c r="B9" t="s">
        <v>3</v>
      </c>
      <c r="C9">
        <v>0.26</v>
      </c>
    </row>
    <row r="10" spans="1:3" x14ac:dyDescent="0.25">
      <c r="A10" t="s">
        <v>9</v>
      </c>
      <c r="B10" t="s">
        <v>4</v>
      </c>
      <c r="C10">
        <v>2.7000000000000024E-2</v>
      </c>
    </row>
    <row r="11" spans="1:3" x14ac:dyDescent="0.25">
      <c r="A11" t="s">
        <v>9</v>
      </c>
      <c r="B11" t="s">
        <v>5</v>
      </c>
      <c r="C11">
        <v>0.71299999999999997</v>
      </c>
    </row>
    <row r="12" spans="1:3" x14ac:dyDescent="0.25">
      <c r="A12" t="s">
        <v>10</v>
      </c>
      <c r="B12" t="s">
        <v>1</v>
      </c>
      <c r="C12">
        <v>0.27600000000000002</v>
      </c>
    </row>
    <row r="13" spans="1:3" x14ac:dyDescent="0.25">
      <c r="A13" t="s">
        <v>10</v>
      </c>
      <c r="B13" t="s">
        <v>2</v>
      </c>
      <c r="C13">
        <v>3.5000000000000003E-2</v>
      </c>
    </row>
    <row r="14" spans="1:3" x14ac:dyDescent="0.25">
      <c r="A14" t="s">
        <v>10</v>
      </c>
      <c r="B14" t="s">
        <v>3</v>
      </c>
      <c r="C14">
        <v>6.6000000000000059E-2</v>
      </c>
    </row>
    <row r="15" spans="1:3" x14ac:dyDescent="0.25">
      <c r="A15" t="s">
        <v>10</v>
      </c>
      <c r="B15" t="s">
        <v>4</v>
      </c>
      <c r="C15">
        <v>0.21399999999999997</v>
      </c>
    </row>
    <row r="16" spans="1:3" x14ac:dyDescent="0.25">
      <c r="A16" t="s">
        <v>10</v>
      </c>
      <c r="B16" t="s">
        <v>5</v>
      </c>
      <c r="C16">
        <v>0.72</v>
      </c>
    </row>
    <row r="17" spans="1:3" x14ac:dyDescent="0.25">
      <c r="A17" t="s">
        <v>11</v>
      </c>
      <c r="B17" t="s">
        <v>1</v>
      </c>
      <c r="C17">
        <v>0.27600000000000002</v>
      </c>
    </row>
    <row r="18" spans="1:3" x14ac:dyDescent="0.25">
      <c r="A18" t="s">
        <v>11</v>
      </c>
      <c r="B18" t="s">
        <v>2</v>
      </c>
      <c r="C18">
        <v>2.8000000000000001E-2</v>
      </c>
    </row>
    <row r="19" spans="1:3" x14ac:dyDescent="0.25">
      <c r="A19" t="s">
        <v>11</v>
      </c>
      <c r="B19" t="s">
        <v>3</v>
      </c>
      <c r="C19">
        <v>6.899999999999995E-2</v>
      </c>
    </row>
    <row r="20" spans="1:3" x14ac:dyDescent="0.25">
      <c r="A20" t="s">
        <v>11</v>
      </c>
      <c r="B20" t="s">
        <v>4</v>
      </c>
      <c r="C20">
        <v>0.15600000000000003</v>
      </c>
    </row>
    <row r="21" spans="1:3" x14ac:dyDescent="0.25">
      <c r="A21" t="s">
        <v>11</v>
      </c>
      <c r="B21" t="s">
        <v>5</v>
      </c>
      <c r="C21">
        <v>0.77500000000000002</v>
      </c>
    </row>
    <row r="22" spans="1:3" x14ac:dyDescent="0.25">
      <c r="A22" t="s">
        <v>12</v>
      </c>
      <c r="B22" t="s">
        <v>1</v>
      </c>
      <c r="C22">
        <v>0.36</v>
      </c>
    </row>
    <row r="23" spans="1:3" x14ac:dyDescent="0.25">
      <c r="A23" t="s">
        <v>12</v>
      </c>
      <c r="B23" t="s">
        <v>2</v>
      </c>
      <c r="C23">
        <v>0.01</v>
      </c>
    </row>
    <row r="24" spans="1:3" x14ac:dyDescent="0.25">
      <c r="A24" t="s">
        <v>12</v>
      </c>
      <c r="B24" t="s">
        <v>3</v>
      </c>
      <c r="C24">
        <v>0.05</v>
      </c>
    </row>
    <row r="25" spans="1:3" x14ac:dyDescent="0.25">
      <c r="A25" t="s">
        <v>12</v>
      </c>
      <c r="B25" t="s">
        <v>4</v>
      </c>
      <c r="C25">
        <v>8.9999999999999969E-2</v>
      </c>
    </row>
    <row r="26" spans="1:3" x14ac:dyDescent="0.25">
      <c r="A26" t="s">
        <v>12</v>
      </c>
      <c r="B26" t="s">
        <v>5</v>
      </c>
      <c r="C26">
        <v>0.86</v>
      </c>
    </row>
    <row r="27" spans="1:3" x14ac:dyDescent="0.25">
      <c r="A27" t="s">
        <v>13</v>
      </c>
      <c r="B27" t="s">
        <v>1</v>
      </c>
      <c r="C27">
        <v>0.46</v>
      </c>
    </row>
    <row r="28" spans="1:3" x14ac:dyDescent="0.25">
      <c r="A28" t="s">
        <v>13</v>
      </c>
      <c r="B28" t="s">
        <v>2</v>
      </c>
      <c r="C28">
        <v>0.13</v>
      </c>
    </row>
    <row r="29" spans="1:3" x14ac:dyDescent="0.25">
      <c r="A29" t="s">
        <v>13</v>
      </c>
      <c r="B29" t="s">
        <v>3</v>
      </c>
      <c r="C29">
        <v>0.11</v>
      </c>
    </row>
    <row r="30" spans="1:3" x14ac:dyDescent="0.25">
      <c r="A30" t="s">
        <v>13</v>
      </c>
      <c r="B30" t="s">
        <v>4</v>
      </c>
      <c r="C30">
        <v>3.0000000000000027E-2</v>
      </c>
    </row>
    <row r="31" spans="1:3" x14ac:dyDescent="0.25">
      <c r="A31" t="s">
        <v>13</v>
      </c>
      <c r="B31" t="s">
        <v>5</v>
      </c>
      <c r="C31">
        <v>0.86</v>
      </c>
    </row>
    <row r="32" spans="1:3" x14ac:dyDescent="0.25">
      <c r="A32" t="s">
        <v>14</v>
      </c>
      <c r="B32" t="s">
        <v>1</v>
      </c>
      <c r="C32">
        <v>0.4</v>
      </c>
    </row>
    <row r="33" spans="1:3" x14ac:dyDescent="0.25">
      <c r="A33" t="s">
        <v>14</v>
      </c>
      <c r="B33" t="s">
        <v>2</v>
      </c>
      <c r="C33">
        <v>3.5000000000000003E-2</v>
      </c>
    </row>
    <row r="34" spans="1:3" x14ac:dyDescent="0.25">
      <c r="A34" t="s">
        <v>14</v>
      </c>
      <c r="B34" t="s">
        <v>3</v>
      </c>
      <c r="C34">
        <v>7.5999999999999956E-2</v>
      </c>
    </row>
    <row r="35" spans="1:3" x14ac:dyDescent="0.25">
      <c r="A35" t="s">
        <v>14</v>
      </c>
      <c r="B35" t="s">
        <v>4</v>
      </c>
      <c r="C35">
        <v>8.0000000000000071E-3</v>
      </c>
    </row>
    <row r="36" spans="1:3" x14ac:dyDescent="0.25">
      <c r="A36" t="s">
        <v>14</v>
      </c>
      <c r="B36" t="s">
        <v>5</v>
      </c>
      <c r="C36">
        <v>0.91600000000000004</v>
      </c>
    </row>
    <row r="37" spans="1:3" x14ac:dyDescent="0.25">
      <c r="A37" t="s">
        <v>15</v>
      </c>
      <c r="B37" t="s">
        <v>1</v>
      </c>
      <c r="C37">
        <v>0.28599999999999998</v>
      </c>
    </row>
    <row r="38" spans="1:3" x14ac:dyDescent="0.25">
      <c r="A38" t="s">
        <v>15</v>
      </c>
      <c r="B38" t="s">
        <v>2</v>
      </c>
      <c r="C38">
        <v>1.6E-2</v>
      </c>
    </row>
    <row r="39" spans="1:3" x14ac:dyDescent="0.25">
      <c r="A39" t="s">
        <v>15</v>
      </c>
      <c r="B39" t="s">
        <v>3</v>
      </c>
      <c r="C39">
        <v>7.6999999999999957E-2</v>
      </c>
    </row>
    <row r="40" spans="1:3" x14ac:dyDescent="0.25">
      <c r="A40" t="s">
        <v>15</v>
      </c>
      <c r="B40" t="s">
        <v>4</v>
      </c>
      <c r="C40">
        <v>0.13</v>
      </c>
    </row>
    <row r="41" spans="1:3" x14ac:dyDescent="0.25">
      <c r="A41" t="s">
        <v>15</v>
      </c>
      <c r="B41" t="s">
        <v>5</v>
      </c>
      <c r="C41">
        <v>0.79300000000000004</v>
      </c>
    </row>
    <row r="42" spans="1:3" x14ac:dyDescent="0.25">
      <c r="A42" t="s">
        <v>16</v>
      </c>
      <c r="B42" t="s">
        <v>1</v>
      </c>
      <c r="C42">
        <v>0.308</v>
      </c>
    </row>
    <row r="43" spans="1:3" x14ac:dyDescent="0.25">
      <c r="A43" t="s">
        <v>16</v>
      </c>
      <c r="B43" t="s">
        <v>2</v>
      </c>
      <c r="C43">
        <v>3.2000000000000001E-2</v>
      </c>
    </row>
    <row r="44" spans="1:3" x14ac:dyDescent="0.25">
      <c r="A44" t="s">
        <v>16</v>
      </c>
      <c r="B44" t="s">
        <v>3</v>
      </c>
      <c r="C44">
        <v>0.16199999999999992</v>
      </c>
    </row>
    <row r="45" spans="1:3" x14ac:dyDescent="0.25">
      <c r="A45" t="s">
        <v>16</v>
      </c>
      <c r="B45" t="s">
        <v>4</v>
      </c>
      <c r="C45">
        <v>2.7000000000000024E-2</v>
      </c>
    </row>
    <row r="46" spans="1:3" x14ac:dyDescent="0.25">
      <c r="A46" t="s">
        <v>16</v>
      </c>
      <c r="B46" t="s">
        <v>5</v>
      </c>
      <c r="C46">
        <v>0.81100000000000005</v>
      </c>
    </row>
    <row r="47" spans="1:3" x14ac:dyDescent="0.25">
      <c r="A47" t="s">
        <v>17</v>
      </c>
      <c r="B47" t="s">
        <v>1</v>
      </c>
      <c r="C47">
        <v>0.107</v>
      </c>
    </row>
    <row r="48" spans="1:3" x14ac:dyDescent="0.25">
      <c r="A48" t="s">
        <v>17</v>
      </c>
      <c r="B48" t="s">
        <v>2</v>
      </c>
      <c r="C48">
        <v>3.5999999999999997E-2</v>
      </c>
    </row>
    <row r="49" spans="1:3" x14ac:dyDescent="0.25">
      <c r="A49" t="s">
        <v>17</v>
      </c>
      <c r="B49" t="s">
        <v>3</v>
      </c>
      <c r="C49">
        <v>0.10799999999999998</v>
      </c>
    </row>
    <row r="50" spans="1:3" x14ac:dyDescent="0.25">
      <c r="A50" t="s">
        <v>17</v>
      </c>
      <c r="B50" t="s">
        <v>4</v>
      </c>
      <c r="C50">
        <v>0.13600000000000001</v>
      </c>
    </row>
    <row r="51" spans="1:3" x14ac:dyDescent="0.25">
      <c r="A51" t="s">
        <v>17</v>
      </c>
      <c r="B51" t="s">
        <v>5</v>
      </c>
      <c r="C51">
        <v>0.75600000000000001</v>
      </c>
    </row>
    <row r="52" spans="1:3" x14ac:dyDescent="0.25">
      <c r="A52" t="s">
        <v>18</v>
      </c>
      <c r="B52" t="s">
        <v>1</v>
      </c>
      <c r="C52">
        <v>0.40100000000000002</v>
      </c>
    </row>
    <row r="53" spans="1:3" x14ac:dyDescent="0.25">
      <c r="A53" t="s">
        <v>18</v>
      </c>
      <c r="B53" t="s">
        <v>2</v>
      </c>
      <c r="C53">
        <v>1.0999999999999999E-2</v>
      </c>
    </row>
    <row r="54" spans="1:3" x14ac:dyDescent="0.25">
      <c r="A54" t="s">
        <v>18</v>
      </c>
      <c r="B54" t="s">
        <v>3</v>
      </c>
      <c r="C54">
        <v>9.000000000000008E-3</v>
      </c>
    </row>
    <row r="55" spans="1:3" x14ac:dyDescent="0.25">
      <c r="A55" t="s">
        <v>18</v>
      </c>
      <c r="B55" t="s">
        <v>4</v>
      </c>
      <c r="C55">
        <v>2.1000000000000019E-2</v>
      </c>
    </row>
    <row r="56" spans="1:3" x14ac:dyDescent="0.25">
      <c r="A56" t="s">
        <v>18</v>
      </c>
      <c r="B56" t="s">
        <v>5</v>
      </c>
      <c r="C56">
        <v>0.97</v>
      </c>
    </row>
    <row r="57" spans="1:3" x14ac:dyDescent="0.25">
      <c r="A57" t="s">
        <v>19</v>
      </c>
      <c r="B57" t="s">
        <v>1</v>
      </c>
      <c r="C57">
        <v>0.11700000000000001</v>
      </c>
    </row>
    <row r="58" spans="1:3" x14ac:dyDescent="0.25">
      <c r="A58" t="s">
        <v>19</v>
      </c>
      <c r="B58" t="s">
        <v>2</v>
      </c>
      <c r="C58">
        <v>4.8000000000000001E-2</v>
      </c>
    </row>
    <row r="59" spans="1:3" x14ac:dyDescent="0.25">
      <c r="A59" t="s">
        <v>19</v>
      </c>
      <c r="B59" t="s">
        <v>3</v>
      </c>
      <c r="C59">
        <v>2.5000000000000022E-2</v>
      </c>
    </row>
    <row r="60" spans="1:3" x14ac:dyDescent="0.25">
      <c r="A60" t="s">
        <v>19</v>
      </c>
      <c r="B60" t="s">
        <v>4</v>
      </c>
      <c r="C60">
        <v>0.13600000000000001</v>
      </c>
    </row>
    <row r="61" spans="1:3" x14ac:dyDescent="0.25">
      <c r="A61" t="s">
        <v>19</v>
      </c>
      <c r="B61" t="s">
        <v>5</v>
      </c>
      <c r="C61">
        <v>0.83899999999999997</v>
      </c>
    </row>
    <row r="62" spans="1:3" x14ac:dyDescent="0.25">
      <c r="A62" t="s">
        <v>20</v>
      </c>
      <c r="B62" t="s">
        <v>1</v>
      </c>
      <c r="C62">
        <v>0.309</v>
      </c>
    </row>
    <row r="63" spans="1:3" x14ac:dyDescent="0.25">
      <c r="A63" t="s">
        <v>20</v>
      </c>
      <c r="B63" t="s">
        <v>2</v>
      </c>
      <c r="C63">
        <v>0.03</v>
      </c>
    </row>
    <row r="64" spans="1:3" x14ac:dyDescent="0.25">
      <c r="A64" t="s">
        <v>20</v>
      </c>
      <c r="B64" t="s">
        <v>3</v>
      </c>
      <c r="C64">
        <v>3.0000000000000027E-3</v>
      </c>
    </row>
    <row r="65" spans="1:3" x14ac:dyDescent="0.25">
      <c r="A65" t="s">
        <v>20</v>
      </c>
      <c r="B65" t="s">
        <v>4</v>
      </c>
      <c r="C65">
        <v>0.129</v>
      </c>
    </row>
    <row r="66" spans="1:3" x14ac:dyDescent="0.25">
      <c r="A66" t="s">
        <v>20</v>
      </c>
      <c r="B66" t="s">
        <v>5</v>
      </c>
      <c r="C66">
        <v>0.86799999999999999</v>
      </c>
    </row>
    <row r="67" spans="1:3" x14ac:dyDescent="0.25">
      <c r="A67" t="s">
        <v>21</v>
      </c>
      <c r="B67" t="s">
        <v>1</v>
      </c>
      <c r="C67">
        <v>0.115</v>
      </c>
    </row>
    <row r="68" spans="1:3" x14ac:dyDescent="0.25">
      <c r="A68" t="s">
        <v>21</v>
      </c>
      <c r="B68" t="s">
        <v>2</v>
      </c>
      <c r="C68">
        <v>2.9000000000000001E-2</v>
      </c>
    </row>
    <row r="69" spans="1:3" x14ac:dyDescent="0.25">
      <c r="A69" t="s">
        <v>21</v>
      </c>
      <c r="B69" t="s">
        <v>3</v>
      </c>
      <c r="C69">
        <v>7.3999999999999955E-2</v>
      </c>
    </row>
    <row r="70" spans="1:3" x14ac:dyDescent="0.25">
      <c r="A70" t="s">
        <v>21</v>
      </c>
      <c r="B70" t="s">
        <v>4</v>
      </c>
      <c r="C70">
        <v>0.11699999999999999</v>
      </c>
    </row>
    <row r="71" spans="1:3" x14ac:dyDescent="0.25">
      <c r="A71" t="s">
        <v>21</v>
      </c>
      <c r="B71" t="s">
        <v>5</v>
      </c>
      <c r="C71">
        <v>0.80900000000000005</v>
      </c>
    </row>
    <row r="72" spans="1:3" x14ac:dyDescent="0.25">
      <c r="A72" t="s">
        <v>22</v>
      </c>
      <c r="B72" t="s">
        <v>1</v>
      </c>
      <c r="C72">
        <v>5.1999999999999998E-2</v>
      </c>
    </row>
    <row r="73" spans="1:3" x14ac:dyDescent="0.25">
      <c r="A73" t="s">
        <v>22</v>
      </c>
      <c r="B73" t="s">
        <v>2</v>
      </c>
      <c r="C73">
        <v>2.5999999999999999E-2</v>
      </c>
    </row>
    <row r="74" spans="1:3" x14ac:dyDescent="0.25">
      <c r="A74" t="s">
        <v>22</v>
      </c>
      <c r="B74" t="s">
        <v>3</v>
      </c>
      <c r="C74">
        <v>9.7999999999999976E-2</v>
      </c>
    </row>
    <row r="75" spans="1:3" x14ac:dyDescent="0.25">
      <c r="A75" t="s">
        <v>22</v>
      </c>
      <c r="B75" t="s">
        <v>4</v>
      </c>
      <c r="C75">
        <v>8.0000000000000071E-3</v>
      </c>
    </row>
    <row r="76" spans="1:3" x14ac:dyDescent="0.25">
      <c r="A76" t="s">
        <v>22</v>
      </c>
      <c r="B76" t="s">
        <v>5</v>
      </c>
      <c r="C76">
        <v>0.89400000000000002</v>
      </c>
    </row>
    <row r="77" spans="1:3" x14ac:dyDescent="0.25">
      <c r="A77" t="s">
        <v>23</v>
      </c>
      <c r="B77" t="s">
        <v>1</v>
      </c>
      <c r="C77">
        <v>3.5000000000000003E-2</v>
      </c>
    </row>
    <row r="78" spans="1:3" x14ac:dyDescent="0.25">
      <c r="A78" t="s">
        <v>23</v>
      </c>
      <c r="B78" t="s">
        <v>2</v>
      </c>
      <c r="C78">
        <v>0.05</v>
      </c>
    </row>
    <row r="79" spans="1:3" x14ac:dyDescent="0.25">
      <c r="A79" t="s">
        <v>23</v>
      </c>
      <c r="B79" t="s">
        <v>3</v>
      </c>
      <c r="C79">
        <v>2.200000000000002E-2</v>
      </c>
    </row>
    <row r="80" spans="1:3" x14ac:dyDescent="0.25">
      <c r="A80" t="s">
        <v>23</v>
      </c>
      <c r="B80" t="s">
        <v>4</v>
      </c>
      <c r="C80">
        <v>1.4000000000000012E-2</v>
      </c>
    </row>
    <row r="81" spans="1:3" x14ac:dyDescent="0.25">
      <c r="A81" t="s">
        <v>23</v>
      </c>
      <c r="B81" t="s">
        <v>5</v>
      </c>
      <c r="C81">
        <v>0.96399999999999997</v>
      </c>
    </row>
    <row r="82" spans="1:3" x14ac:dyDescent="0.25">
      <c r="A82" t="s">
        <v>24</v>
      </c>
      <c r="B82" t="s">
        <v>1</v>
      </c>
      <c r="C82">
        <v>0.29299999999999998</v>
      </c>
    </row>
    <row r="83" spans="1:3" x14ac:dyDescent="0.25">
      <c r="A83" t="s">
        <v>24</v>
      </c>
      <c r="B83" t="s">
        <v>2</v>
      </c>
      <c r="C83">
        <v>5.0000000000000001E-3</v>
      </c>
    </row>
    <row r="84" spans="1:3" x14ac:dyDescent="0.25">
      <c r="A84" t="s">
        <v>24</v>
      </c>
      <c r="B84" t="s">
        <v>3</v>
      </c>
      <c r="C84">
        <v>0.13300000000000001</v>
      </c>
    </row>
    <row r="85" spans="1:3" x14ac:dyDescent="0.25">
      <c r="A85" t="s">
        <v>24</v>
      </c>
      <c r="B85" t="s">
        <v>4</v>
      </c>
      <c r="C85">
        <v>3.1000000000000028E-2</v>
      </c>
    </row>
    <row r="86" spans="1:3" x14ac:dyDescent="0.25">
      <c r="A86" t="s">
        <v>24</v>
      </c>
      <c r="B86" t="s">
        <v>5</v>
      </c>
      <c r="C86">
        <v>0.83599999999999997</v>
      </c>
    </row>
    <row r="87" spans="1:3" x14ac:dyDescent="0.25">
      <c r="A87" t="s">
        <v>25</v>
      </c>
      <c r="B87" t="s">
        <v>1</v>
      </c>
      <c r="C87">
        <v>7.0000000000000001E-3</v>
      </c>
    </row>
    <row r="88" spans="1:3" x14ac:dyDescent="0.25">
      <c r="A88" t="s">
        <v>25</v>
      </c>
      <c r="B88" t="s">
        <v>2</v>
      </c>
      <c r="C88">
        <v>1.4E-2</v>
      </c>
    </row>
    <row r="89" spans="1:3" x14ac:dyDescent="0.25">
      <c r="A89" t="s">
        <v>25</v>
      </c>
      <c r="B89" t="s">
        <v>3</v>
      </c>
      <c r="C89">
        <v>0.15700000000000003</v>
      </c>
    </row>
    <row r="90" spans="1:3" x14ac:dyDescent="0.25">
      <c r="A90" t="s">
        <v>25</v>
      </c>
      <c r="B90" t="s">
        <v>4</v>
      </c>
      <c r="C90">
        <v>1.8000000000000016E-2</v>
      </c>
    </row>
    <row r="91" spans="1:3" x14ac:dyDescent="0.25">
      <c r="A91" t="s">
        <v>25</v>
      </c>
      <c r="B91" t="s">
        <v>5</v>
      </c>
      <c r="C91">
        <v>0.82499999999999996</v>
      </c>
    </row>
    <row r="92" spans="1:3" x14ac:dyDescent="0.25">
      <c r="A92" t="s">
        <v>26</v>
      </c>
      <c r="B92" t="s">
        <v>1</v>
      </c>
      <c r="C92">
        <v>0.42499999999999999</v>
      </c>
    </row>
    <row r="93" spans="1:3" x14ac:dyDescent="0.25">
      <c r="A93" t="s">
        <v>26</v>
      </c>
      <c r="B93" t="s">
        <v>2</v>
      </c>
      <c r="C93">
        <v>1.4999999999999999E-2</v>
      </c>
    </row>
    <row r="94" spans="1:3" x14ac:dyDescent="0.25">
      <c r="A94" t="s">
        <v>26</v>
      </c>
      <c r="B94" t="s">
        <v>3</v>
      </c>
      <c r="C94">
        <v>5.699999999999994E-2</v>
      </c>
    </row>
    <row r="95" spans="1:3" x14ac:dyDescent="0.25">
      <c r="A95" t="s">
        <v>26</v>
      </c>
      <c r="B95" t="s">
        <v>4</v>
      </c>
      <c r="C95">
        <v>6.6000000000000059E-2</v>
      </c>
    </row>
    <row r="96" spans="1:3" x14ac:dyDescent="0.25">
      <c r="A96" t="s">
        <v>26</v>
      </c>
      <c r="B96" t="s">
        <v>5</v>
      </c>
      <c r="C96">
        <v>0.877</v>
      </c>
    </row>
    <row r="97" spans="1:3" x14ac:dyDescent="0.25">
      <c r="A97" t="s">
        <v>27</v>
      </c>
      <c r="B97" t="s">
        <v>1</v>
      </c>
      <c r="C97">
        <v>5.6000000000000001E-2</v>
      </c>
    </row>
    <row r="98" spans="1:3" x14ac:dyDescent="0.25">
      <c r="A98" t="s">
        <v>27</v>
      </c>
      <c r="B98" t="s">
        <v>2</v>
      </c>
      <c r="C98">
        <v>2.7E-2</v>
      </c>
    </row>
    <row r="99" spans="1:3" x14ac:dyDescent="0.25">
      <c r="A99" t="s">
        <v>27</v>
      </c>
      <c r="B99" t="s">
        <v>3</v>
      </c>
      <c r="C99">
        <v>6.899999999999995E-2</v>
      </c>
    </row>
    <row r="100" spans="1:3" x14ac:dyDescent="0.25">
      <c r="A100" t="s">
        <v>27</v>
      </c>
      <c r="B100" t="s">
        <v>4</v>
      </c>
      <c r="C100">
        <v>3.0000000000000027E-3</v>
      </c>
    </row>
    <row r="101" spans="1:3" x14ac:dyDescent="0.25">
      <c r="A101" t="s">
        <v>27</v>
      </c>
      <c r="B101" t="s">
        <v>5</v>
      </c>
      <c r="C101">
        <v>0.92800000000000005</v>
      </c>
    </row>
    <row r="102" spans="1:3" x14ac:dyDescent="0.25">
      <c r="A102" t="s">
        <v>28</v>
      </c>
      <c r="B102" t="s">
        <v>1</v>
      </c>
      <c r="C102">
        <v>0.14799999999999999</v>
      </c>
    </row>
    <row r="103" spans="1:3" x14ac:dyDescent="0.25">
      <c r="A103" t="s">
        <v>28</v>
      </c>
      <c r="B103" t="s">
        <v>2</v>
      </c>
      <c r="C103">
        <v>3.6999999999999998E-2</v>
      </c>
    </row>
    <row r="104" spans="1:3" x14ac:dyDescent="0.25">
      <c r="A104" t="s">
        <v>28</v>
      </c>
      <c r="B104" t="s">
        <v>3</v>
      </c>
      <c r="C104">
        <v>0.14200000000000002</v>
      </c>
    </row>
    <row r="105" spans="1:3" x14ac:dyDescent="0.25">
      <c r="A105" t="s">
        <v>28</v>
      </c>
      <c r="B105" t="s">
        <v>4</v>
      </c>
      <c r="C105">
        <v>4.2000000000000037E-2</v>
      </c>
    </row>
    <row r="106" spans="1:3" x14ac:dyDescent="0.25">
      <c r="A106" t="s">
        <v>28</v>
      </c>
      <c r="B106" t="s">
        <v>5</v>
      </c>
      <c r="C106">
        <v>0.81599999999999995</v>
      </c>
    </row>
    <row r="107" spans="1:3" x14ac:dyDescent="0.25">
      <c r="A107" t="s">
        <v>29</v>
      </c>
      <c r="B107" t="s">
        <v>1</v>
      </c>
      <c r="C107">
        <v>0.105</v>
      </c>
    </row>
    <row r="108" spans="1:3" x14ac:dyDescent="0.25">
      <c r="A108" t="s">
        <v>29</v>
      </c>
      <c r="B108" t="s">
        <v>2</v>
      </c>
      <c r="C108">
        <v>1.4999999999999999E-2</v>
      </c>
    </row>
    <row r="109" spans="1:3" x14ac:dyDescent="0.25">
      <c r="A109" t="s">
        <v>29</v>
      </c>
      <c r="B109" t="s">
        <v>3</v>
      </c>
      <c r="C109">
        <v>3.0000000000000027E-3</v>
      </c>
    </row>
    <row r="110" spans="1:3" x14ac:dyDescent="0.25">
      <c r="A110" t="s">
        <v>29</v>
      </c>
      <c r="B110" t="s">
        <v>4</v>
      </c>
      <c r="C110">
        <v>3.2000000000000028E-2</v>
      </c>
    </row>
    <row r="111" spans="1:3" x14ac:dyDescent="0.25">
      <c r="A111" t="s">
        <v>29</v>
      </c>
      <c r="B111" t="s">
        <v>5</v>
      </c>
      <c r="C111">
        <v>0.96499999999999997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F50C-33CC-48F7-957F-120ACD9E7178}">
  <dimension ref="A1:E23"/>
  <sheetViews>
    <sheetView workbookViewId="0">
      <selection activeCell="B11" sqref="B11"/>
    </sheetView>
  </sheetViews>
  <sheetFormatPr defaultRowHeight="15" x14ac:dyDescent="0.25"/>
  <cols>
    <col min="1" max="1" width="18.7109375" bestFit="1" customWidth="1"/>
    <col min="2" max="2" width="13" bestFit="1" customWidth="1"/>
    <col min="3" max="3" width="8.7109375" bestFit="1" customWidth="1"/>
    <col min="4" max="4" width="9" bestFit="1" customWidth="1"/>
    <col min="5" max="5" width="7.5703125" bestFit="1" customWidth="1"/>
    <col min="6" max="6" width="9" bestFit="1" customWidth="1"/>
    <col min="7" max="8" width="13" customWidth="1"/>
    <col min="9" max="9" width="11.140625" bestFit="1" customWidth="1"/>
    <col min="10" max="10" width="9.5703125" bestFit="1" customWidth="1"/>
    <col min="11" max="14" width="36.140625" bestFit="1" customWidth="1"/>
  </cols>
  <sheetData>
    <row r="1" spans="1:5" x14ac:dyDescent="0.25">
      <c r="A1" t="s">
        <v>58</v>
      </c>
      <c r="B1" t="s">
        <v>30</v>
      </c>
      <c r="C1" t="s">
        <v>60</v>
      </c>
      <c r="D1" t="s">
        <v>61</v>
      </c>
      <c r="E1" t="s">
        <v>31</v>
      </c>
    </row>
    <row r="2" spans="1:5" x14ac:dyDescent="0.25">
      <c r="A2" t="s">
        <v>8</v>
      </c>
      <c r="B2" t="s">
        <v>34</v>
      </c>
      <c r="C2" t="s">
        <v>62</v>
      </c>
      <c r="D2" t="s">
        <v>63</v>
      </c>
      <c r="E2">
        <v>62</v>
      </c>
    </row>
    <row r="3" spans="1:5" x14ac:dyDescent="0.25">
      <c r="A3" t="s">
        <v>9</v>
      </c>
      <c r="B3" t="s">
        <v>35</v>
      </c>
      <c r="C3" t="s">
        <v>64</v>
      </c>
      <c r="D3" t="s">
        <v>65</v>
      </c>
      <c r="E3">
        <v>50</v>
      </c>
    </row>
    <row r="4" spans="1:5" x14ac:dyDescent="0.25">
      <c r="A4" t="s">
        <v>10</v>
      </c>
      <c r="B4" t="s">
        <v>36</v>
      </c>
      <c r="C4" t="s">
        <v>66</v>
      </c>
      <c r="D4" t="s">
        <v>67</v>
      </c>
      <c r="E4">
        <v>45</v>
      </c>
    </row>
    <row r="5" spans="1:5" x14ac:dyDescent="0.25">
      <c r="A5" t="s">
        <v>11</v>
      </c>
      <c r="B5" t="s">
        <v>37</v>
      </c>
      <c r="C5" t="s">
        <v>68</v>
      </c>
      <c r="D5" t="s">
        <v>69</v>
      </c>
      <c r="E5">
        <v>54</v>
      </c>
    </row>
    <row r="6" spans="1:5" x14ac:dyDescent="0.25">
      <c r="A6" t="s">
        <v>13</v>
      </c>
      <c r="B6" t="s">
        <v>39</v>
      </c>
      <c r="C6" t="s">
        <v>70</v>
      </c>
      <c r="D6" t="s">
        <v>71</v>
      </c>
      <c r="E6">
        <v>40</v>
      </c>
    </row>
    <row r="7" spans="1:5" x14ac:dyDescent="0.25">
      <c r="A7" t="s">
        <v>15</v>
      </c>
      <c r="B7" t="s">
        <v>40</v>
      </c>
      <c r="C7" t="s">
        <v>72</v>
      </c>
      <c r="D7" t="s">
        <v>73</v>
      </c>
      <c r="E7">
        <v>49</v>
      </c>
    </row>
    <row r="8" spans="1:5" x14ac:dyDescent="0.25">
      <c r="A8" t="s">
        <v>16</v>
      </c>
      <c r="B8" t="s">
        <v>42</v>
      </c>
      <c r="C8" t="s">
        <v>74</v>
      </c>
      <c r="D8" t="s">
        <v>75</v>
      </c>
      <c r="E8">
        <v>61</v>
      </c>
    </row>
    <row r="9" spans="1:5" x14ac:dyDescent="0.25">
      <c r="A9" t="s">
        <v>17</v>
      </c>
      <c r="B9" t="s">
        <v>43</v>
      </c>
      <c r="C9" t="s">
        <v>76</v>
      </c>
      <c r="D9" t="s">
        <v>77</v>
      </c>
      <c r="E9">
        <v>62</v>
      </c>
    </row>
    <row r="10" spans="1:5" x14ac:dyDescent="0.25">
      <c r="A10" t="s">
        <v>18</v>
      </c>
      <c r="B10" t="s">
        <v>44</v>
      </c>
      <c r="C10" t="s">
        <v>78</v>
      </c>
      <c r="D10" t="s">
        <v>79</v>
      </c>
      <c r="E10">
        <v>70</v>
      </c>
    </row>
    <row r="11" spans="1:5" x14ac:dyDescent="0.25">
      <c r="A11" t="s">
        <v>19</v>
      </c>
      <c r="B11" t="s">
        <v>45</v>
      </c>
      <c r="C11" t="s">
        <v>80</v>
      </c>
      <c r="D11" t="s">
        <v>81</v>
      </c>
      <c r="E11">
        <v>62</v>
      </c>
    </row>
    <row r="12" spans="1:5" x14ac:dyDescent="0.25">
      <c r="A12" t="s">
        <v>20</v>
      </c>
      <c r="B12" t="s">
        <v>46</v>
      </c>
      <c r="C12" t="s">
        <v>82</v>
      </c>
      <c r="D12" t="s">
        <v>83</v>
      </c>
      <c r="E12">
        <v>43</v>
      </c>
    </row>
    <row r="13" spans="1:5" x14ac:dyDescent="0.25">
      <c r="A13" t="s">
        <v>21</v>
      </c>
      <c r="B13" t="s">
        <v>47</v>
      </c>
      <c r="C13" t="s">
        <v>84</v>
      </c>
      <c r="D13" t="s">
        <v>85</v>
      </c>
      <c r="E13">
        <v>71</v>
      </c>
    </row>
    <row r="14" spans="1:5" x14ac:dyDescent="0.25">
      <c r="A14" t="s">
        <v>14</v>
      </c>
      <c r="B14" t="s">
        <v>41</v>
      </c>
      <c r="C14" t="s">
        <v>86</v>
      </c>
      <c r="D14" t="s">
        <v>87</v>
      </c>
      <c r="E14">
        <v>53</v>
      </c>
    </row>
    <row r="15" spans="1:5" x14ac:dyDescent="0.25">
      <c r="A15" t="s">
        <v>22</v>
      </c>
      <c r="B15" t="s">
        <v>48</v>
      </c>
      <c r="C15" t="s">
        <v>88</v>
      </c>
      <c r="D15" t="s">
        <v>89</v>
      </c>
      <c r="E15">
        <v>91</v>
      </c>
    </row>
    <row r="16" spans="1:5" x14ac:dyDescent="0.25">
      <c r="A16" t="s">
        <v>23</v>
      </c>
      <c r="B16" t="s">
        <v>49</v>
      </c>
      <c r="C16" t="s">
        <v>90</v>
      </c>
      <c r="D16" t="s">
        <v>91</v>
      </c>
      <c r="E16">
        <v>65</v>
      </c>
    </row>
    <row r="17" spans="1:5" x14ac:dyDescent="0.25">
      <c r="A17" t="s">
        <v>24</v>
      </c>
      <c r="B17" t="s">
        <v>50</v>
      </c>
      <c r="C17" t="s">
        <v>92</v>
      </c>
      <c r="D17" t="s">
        <v>93</v>
      </c>
      <c r="E17">
        <v>50</v>
      </c>
    </row>
    <row r="18" spans="1:5" x14ac:dyDescent="0.25">
      <c r="A18" t="s">
        <v>25</v>
      </c>
      <c r="B18" t="s">
        <v>51</v>
      </c>
      <c r="C18" t="s">
        <v>94</v>
      </c>
      <c r="D18" t="s">
        <v>95</v>
      </c>
      <c r="E18">
        <v>46</v>
      </c>
    </row>
    <row r="19" spans="1:5" x14ac:dyDescent="0.25">
      <c r="A19" t="s">
        <v>12</v>
      </c>
      <c r="B19" t="s">
        <v>38</v>
      </c>
      <c r="C19" t="s">
        <v>96</v>
      </c>
      <c r="D19" t="s">
        <v>97</v>
      </c>
      <c r="E19">
        <v>124</v>
      </c>
    </row>
    <row r="20" spans="1:5" x14ac:dyDescent="0.25">
      <c r="A20" t="s">
        <v>26</v>
      </c>
      <c r="B20" t="s">
        <v>52</v>
      </c>
      <c r="C20" t="s">
        <v>98</v>
      </c>
      <c r="D20" t="s">
        <v>99</v>
      </c>
      <c r="E20">
        <v>87</v>
      </c>
    </row>
    <row r="21" spans="1:5" x14ac:dyDescent="0.25">
      <c r="A21" t="s">
        <v>27</v>
      </c>
      <c r="B21" t="s">
        <v>53</v>
      </c>
      <c r="C21" t="s">
        <v>100</v>
      </c>
      <c r="D21" t="s">
        <v>101</v>
      </c>
      <c r="E21">
        <v>58</v>
      </c>
    </row>
    <row r="22" spans="1:5" x14ac:dyDescent="0.25">
      <c r="A22" t="s">
        <v>28</v>
      </c>
      <c r="B22" t="s">
        <v>54</v>
      </c>
      <c r="C22" t="s">
        <v>102</v>
      </c>
      <c r="D22" t="s">
        <v>103</v>
      </c>
      <c r="E22">
        <v>62</v>
      </c>
    </row>
    <row r="23" spans="1:5" x14ac:dyDescent="0.25">
      <c r="A23" t="s">
        <v>29</v>
      </c>
      <c r="B23" t="s">
        <v>55</v>
      </c>
      <c r="C23" t="s">
        <v>104</v>
      </c>
      <c r="D23" t="s">
        <v>105</v>
      </c>
      <c r="E23">
        <v>63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84A2-D087-436A-BECC-D401FCF782D0}">
  <dimension ref="E6:M28"/>
  <sheetViews>
    <sheetView workbookViewId="0">
      <selection activeCell="E16" sqref="E16"/>
    </sheetView>
  </sheetViews>
  <sheetFormatPr defaultRowHeight="15" x14ac:dyDescent="0.25"/>
  <cols>
    <col min="5" max="5" width="40.5703125" bestFit="1" customWidth="1"/>
    <col min="6" max="6" width="44.140625" bestFit="1" customWidth="1"/>
    <col min="12" max="12" width="13" customWidth="1"/>
  </cols>
  <sheetData>
    <row r="6" spans="5:13" x14ac:dyDescent="0.25">
      <c r="E6" t="s">
        <v>106</v>
      </c>
      <c r="F6" t="s">
        <v>107</v>
      </c>
      <c r="G6" t="s">
        <v>108</v>
      </c>
      <c r="H6" t="s">
        <v>109</v>
      </c>
      <c r="I6" t="s">
        <v>31</v>
      </c>
      <c r="K6" s="9" t="s">
        <v>110</v>
      </c>
      <c r="L6" s="9" t="s">
        <v>109</v>
      </c>
      <c r="M6" s="9" t="s">
        <v>31</v>
      </c>
    </row>
    <row r="7" spans="5:13" ht="17.25" x14ac:dyDescent="0.25">
      <c r="E7" t="s">
        <v>111</v>
      </c>
      <c r="F7" s="8" t="s">
        <v>112</v>
      </c>
      <c r="G7" s="10" t="s">
        <v>8</v>
      </c>
      <c r="H7" s="10" t="s">
        <v>113</v>
      </c>
      <c r="I7" s="11">
        <v>62</v>
      </c>
    </row>
    <row r="8" spans="5:13" ht="17.25" x14ac:dyDescent="0.25">
      <c r="E8" t="s">
        <v>114</v>
      </c>
      <c r="F8" s="8" t="s">
        <v>115</v>
      </c>
      <c r="G8" s="10" t="s">
        <v>9</v>
      </c>
      <c r="H8" s="10" t="s">
        <v>116</v>
      </c>
      <c r="I8" s="11">
        <v>50</v>
      </c>
    </row>
    <row r="9" spans="5:13" ht="17.25" x14ac:dyDescent="0.25">
      <c r="E9" t="s">
        <v>117</v>
      </c>
      <c r="F9" s="8" t="s">
        <v>118</v>
      </c>
      <c r="G9" s="10" t="s">
        <v>10</v>
      </c>
      <c r="H9" s="10" t="s">
        <v>119</v>
      </c>
      <c r="I9" s="11">
        <v>45</v>
      </c>
    </row>
    <row r="10" spans="5:13" ht="17.25" x14ac:dyDescent="0.25">
      <c r="E10" t="s">
        <v>120</v>
      </c>
      <c r="F10" s="8" t="s">
        <v>121</v>
      </c>
      <c r="G10" s="10" t="s">
        <v>11</v>
      </c>
      <c r="H10" s="10" t="s">
        <v>122</v>
      </c>
      <c r="I10" s="11">
        <v>54</v>
      </c>
    </row>
    <row r="11" spans="5:13" ht="17.25" x14ac:dyDescent="0.25">
      <c r="E11" t="s">
        <v>123</v>
      </c>
      <c r="F11" s="8" t="s">
        <v>124</v>
      </c>
      <c r="G11" s="10" t="s">
        <v>13</v>
      </c>
      <c r="H11" s="10" t="s">
        <v>125</v>
      </c>
      <c r="I11" s="11">
        <v>40</v>
      </c>
    </row>
    <row r="12" spans="5:13" ht="17.25" x14ac:dyDescent="0.25">
      <c r="E12" t="s">
        <v>126</v>
      </c>
      <c r="F12" s="8" t="s">
        <v>127</v>
      </c>
      <c r="G12" s="10" t="s">
        <v>15</v>
      </c>
      <c r="H12" s="10" t="s">
        <v>128</v>
      </c>
      <c r="I12" s="11">
        <v>49</v>
      </c>
    </row>
    <row r="13" spans="5:13" ht="17.25" x14ac:dyDescent="0.25">
      <c r="E13" t="s">
        <v>129</v>
      </c>
      <c r="F13" s="8" t="s">
        <v>130</v>
      </c>
      <c r="G13" s="10" t="s">
        <v>16</v>
      </c>
      <c r="H13" s="10" t="s">
        <v>131</v>
      </c>
      <c r="I13" s="11">
        <v>61</v>
      </c>
    </row>
    <row r="14" spans="5:13" ht="17.25" x14ac:dyDescent="0.25">
      <c r="E14" t="s">
        <v>132</v>
      </c>
      <c r="F14" s="8" t="s">
        <v>133</v>
      </c>
      <c r="G14" s="10" t="s">
        <v>17</v>
      </c>
      <c r="H14" s="10" t="s">
        <v>134</v>
      </c>
      <c r="I14" s="11">
        <v>62</v>
      </c>
    </row>
    <row r="15" spans="5:13" ht="17.25" x14ac:dyDescent="0.25">
      <c r="E15" t="s">
        <v>135</v>
      </c>
      <c r="F15" s="8" t="s">
        <v>136</v>
      </c>
      <c r="G15" s="10" t="s">
        <v>18</v>
      </c>
      <c r="H15" s="10" t="s">
        <v>137</v>
      </c>
      <c r="I15" s="11">
        <v>70</v>
      </c>
    </row>
    <row r="16" spans="5:13" ht="17.25" x14ac:dyDescent="0.25">
      <c r="E16" t="s">
        <v>138</v>
      </c>
      <c r="F16" s="8" t="s">
        <v>139</v>
      </c>
      <c r="G16" s="10" t="s">
        <v>19</v>
      </c>
      <c r="H16" s="10" t="s">
        <v>140</v>
      </c>
      <c r="I16" s="11">
        <v>62</v>
      </c>
    </row>
    <row r="17" spans="5:9" ht="17.25" x14ac:dyDescent="0.25">
      <c r="E17" t="s">
        <v>141</v>
      </c>
      <c r="F17" s="8" t="s">
        <v>142</v>
      </c>
      <c r="G17" s="10" t="s">
        <v>20</v>
      </c>
      <c r="H17" s="10" t="s">
        <v>143</v>
      </c>
      <c r="I17" s="11">
        <v>43</v>
      </c>
    </row>
    <row r="18" spans="5:9" ht="17.25" x14ac:dyDescent="0.25">
      <c r="E18" t="s">
        <v>144</v>
      </c>
      <c r="F18" s="8" t="s">
        <v>145</v>
      </c>
      <c r="G18" s="10" t="s">
        <v>21</v>
      </c>
      <c r="H18" s="10" t="s">
        <v>146</v>
      </c>
      <c r="I18" s="11">
        <v>71</v>
      </c>
    </row>
    <row r="19" spans="5:9" ht="17.25" x14ac:dyDescent="0.25">
      <c r="E19" t="s">
        <v>147</v>
      </c>
      <c r="F19" s="8" t="s">
        <v>148</v>
      </c>
      <c r="G19" s="10" t="s">
        <v>149</v>
      </c>
      <c r="H19" s="10" t="s">
        <v>150</v>
      </c>
      <c r="I19" s="11">
        <v>53</v>
      </c>
    </row>
    <row r="20" spans="5:9" ht="17.25" x14ac:dyDescent="0.25">
      <c r="E20" t="s">
        <v>151</v>
      </c>
      <c r="F20" s="8" t="s">
        <v>152</v>
      </c>
      <c r="G20" s="10" t="s">
        <v>22</v>
      </c>
      <c r="H20" s="10" t="s">
        <v>153</v>
      </c>
      <c r="I20" s="11">
        <v>91</v>
      </c>
    </row>
    <row r="21" spans="5:9" ht="17.25" x14ac:dyDescent="0.25">
      <c r="E21" t="s">
        <v>154</v>
      </c>
      <c r="F21" s="8" t="s">
        <v>155</v>
      </c>
      <c r="G21" s="10" t="s">
        <v>23</v>
      </c>
      <c r="H21" s="10" t="s">
        <v>156</v>
      </c>
      <c r="I21" s="11">
        <v>65</v>
      </c>
    </row>
    <row r="22" spans="5:9" ht="17.25" x14ac:dyDescent="0.25">
      <c r="E22" t="s">
        <v>157</v>
      </c>
      <c r="F22" s="8" t="s">
        <v>158</v>
      </c>
      <c r="G22" s="10" t="s">
        <v>24</v>
      </c>
      <c r="H22" s="10" t="s">
        <v>159</v>
      </c>
      <c r="I22" s="11">
        <v>50</v>
      </c>
    </row>
    <row r="23" spans="5:9" ht="17.25" x14ac:dyDescent="0.25">
      <c r="E23" t="s">
        <v>160</v>
      </c>
      <c r="F23" s="8" t="s">
        <v>161</v>
      </c>
      <c r="G23" s="10" t="s">
        <v>25</v>
      </c>
      <c r="H23" s="10" t="s">
        <v>162</v>
      </c>
      <c r="I23" s="11">
        <v>46</v>
      </c>
    </row>
    <row r="24" spans="5:9" ht="17.25" x14ac:dyDescent="0.25">
      <c r="E24" t="s">
        <v>163</v>
      </c>
      <c r="F24" s="8" t="s">
        <v>164</v>
      </c>
      <c r="G24" s="10" t="s">
        <v>165</v>
      </c>
      <c r="H24" s="10" t="s">
        <v>166</v>
      </c>
      <c r="I24" s="11">
        <v>124</v>
      </c>
    </row>
    <row r="25" spans="5:9" ht="17.25" x14ac:dyDescent="0.25">
      <c r="E25" t="s">
        <v>167</v>
      </c>
      <c r="F25" s="8" t="s">
        <v>168</v>
      </c>
      <c r="G25" s="10" t="s">
        <v>26</v>
      </c>
      <c r="H25" s="10" t="s">
        <v>169</v>
      </c>
      <c r="I25" s="11">
        <v>87</v>
      </c>
    </row>
    <row r="26" spans="5:9" ht="17.25" x14ac:dyDescent="0.25">
      <c r="E26" t="s">
        <v>170</v>
      </c>
      <c r="F26" s="8" t="s">
        <v>171</v>
      </c>
      <c r="G26" s="10" t="s">
        <v>27</v>
      </c>
      <c r="H26" s="10" t="s">
        <v>172</v>
      </c>
      <c r="I26" s="11">
        <v>58</v>
      </c>
    </row>
    <row r="27" spans="5:9" ht="17.25" x14ac:dyDescent="0.25">
      <c r="E27" t="s">
        <v>173</v>
      </c>
      <c r="F27" s="8" t="s">
        <v>174</v>
      </c>
      <c r="G27" s="10" t="s">
        <v>28</v>
      </c>
      <c r="H27" s="10" t="s">
        <v>175</v>
      </c>
      <c r="I27" s="11">
        <v>62</v>
      </c>
    </row>
    <row r="28" spans="5:9" ht="17.25" x14ac:dyDescent="0.25">
      <c r="E28" t="s">
        <v>176</v>
      </c>
      <c r="F28" s="8" t="s">
        <v>177</v>
      </c>
      <c r="G28" s="10" t="s">
        <v>29</v>
      </c>
      <c r="H28" s="10" t="s">
        <v>178</v>
      </c>
      <c r="I28" s="11">
        <v>63</v>
      </c>
    </row>
  </sheetData>
  <sortState xmlns:xlrd2="http://schemas.microsoft.com/office/spreadsheetml/2017/richdata2" ref="K8:M28">
    <sortCondition ref="K8:K28"/>
  </sortState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4A6E-E8DC-43A6-8F8A-259A0FD67658}">
  <dimension ref="A1:D23"/>
  <sheetViews>
    <sheetView workbookViewId="0">
      <selection activeCell="D23" sqref="B1:D23"/>
    </sheetView>
  </sheetViews>
  <sheetFormatPr defaultRowHeight="15" x14ac:dyDescent="0.25"/>
  <cols>
    <col min="1" max="1" width="37.5703125" bestFit="1" customWidth="1"/>
    <col min="2" max="2" width="18.7109375" bestFit="1" customWidth="1"/>
    <col min="3" max="3" width="24.28515625" bestFit="1" customWidth="1"/>
  </cols>
  <sheetData>
    <row r="1" spans="1:4" x14ac:dyDescent="0.25">
      <c r="A1" s="9" t="s">
        <v>179</v>
      </c>
      <c r="B1" s="9" t="s">
        <v>110</v>
      </c>
      <c r="C1" s="9" t="s">
        <v>109</v>
      </c>
      <c r="D1" s="9" t="s">
        <v>31</v>
      </c>
    </row>
    <row r="2" spans="1:4" x14ac:dyDescent="0.25">
      <c r="A2" s="10" t="s">
        <v>180</v>
      </c>
      <c r="B2" s="10" t="s">
        <v>10</v>
      </c>
      <c r="C2" s="10" t="s">
        <v>119</v>
      </c>
      <c r="D2" s="11">
        <v>45</v>
      </c>
    </row>
    <row r="3" spans="1:4" x14ac:dyDescent="0.25">
      <c r="A3" s="10" t="s">
        <v>180</v>
      </c>
      <c r="B3" s="10" t="s">
        <v>18</v>
      </c>
      <c r="C3" s="10" t="s">
        <v>137</v>
      </c>
      <c r="D3" s="11">
        <v>70</v>
      </c>
    </row>
    <row r="4" spans="1:4" x14ac:dyDescent="0.25">
      <c r="A4" s="10" t="s">
        <v>180</v>
      </c>
      <c r="B4" s="10" t="s">
        <v>25</v>
      </c>
      <c r="C4" s="10" t="s">
        <v>162</v>
      </c>
      <c r="D4" s="11">
        <v>46</v>
      </c>
    </row>
    <row r="5" spans="1:4" x14ac:dyDescent="0.25">
      <c r="A5" s="10" t="s">
        <v>180</v>
      </c>
      <c r="B5" s="10" t="s">
        <v>29</v>
      </c>
      <c r="C5" s="10" t="s">
        <v>178</v>
      </c>
      <c r="D5" s="11">
        <v>63</v>
      </c>
    </row>
    <row r="6" spans="1:4" x14ac:dyDescent="0.25">
      <c r="A6" s="10" t="s">
        <v>181</v>
      </c>
      <c r="B6" s="10" t="s">
        <v>165</v>
      </c>
      <c r="C6" s="10" t="s">
        <v>166</v>
      </c>
      <c r="D6" s="11">
        <v>124</v>
      </c>
    </row>
    <row r="7" spans="1:4" x14ac:dyDescent="0.25">
      <c r="A7" s="10" t="s">
        <v>181</v>
      </c>
      <c r="B7" s="10" t="s">
        <v>15</v>
      </c>
      <c r="C7" s="10" t="s">
        <v>128</v>
      </c>
      <c r="D7" s="11">
        <v>49</v>
      </c>
    </row>
    <row r="8" spans="1:4" x14ac:dyDescent="0.25">
      <c r="A8" s="10" t="s">
        <v>181</v>
      </c>
      <c r="B8" s="10" t="s">
        <v>21</v>
      </c>
      <c r="C8" s="10" t="s">
        <v>146</v>
      </c>
      <c r="D8" s="11">
        <v>71</v>
      </c>
    </row>
    <row r="9" spans="1:4" x14ac:dyDescent="0.25">
      <c r="A9" s="10" t="s">
        <v>181</v>
      </c>
      <c r="B9" s="10" t="s">
        <v>22</v>
      </c>
      <c r="C9" s="10" t="s">
        <v>153</v>
      </c>
      <c r="D9" s="11">
        <v>91</v>
      </c>
    </row>
    <row r="10" spans="1:4" x14ac:dyDescent="0.25">
      <c r="A10" s="10" t="s">
        <v>181</v>
      </c>
      <c r="B10" s="10" t="s">
        <v>23</v>
      </c>
      <c r="C10" s="10" t="s">
        <v>156</v>
      </c>
      <c r="D10" s="11">
        <v>65</v>
      </c>
    </row>
    <row r="11" spans="1:4" x14ac:dyDescent="0.25">
      <c r="A11" s="10" t="s">
        <v>182</v>
      </c>
      <c r="B11" s="10" t="s">
        <v>11</v>
      </c>
      <c r="C11" s="10" t="s">
        <v>122</v>
      </c>
      <c r="D11" s="11">
        <v>54</v>
      </c>
    </row>
    <row r="12" spans="1:4" x14ac:dyDescent="0.25">
      <c r="A12" s="10" t="s">
        <v>182</v>
      </c>
      <c r="B12" s="10" t="s">
        <v>16</v>
      </c>
      <c r="C12" s="10" t="s">
        <v>131</v>
      </c>
      <c r="D12" s="11">
        <v>61</v>
      </c>
    </row>
    <row r="13" spans="1:4" x14ac:dyDescent="0.25">
      <c r="A13" s="10" t="s">
        <v>182</v>
      </c>
      <c r="B13" s="10" t="s">
        <v>27</v>
      </c>
      <c r="C13" s="10" t="s">
        <v>172</v>
      </c>
      <c r="D13" s="11">
        <v>58</v>
      </c>
    </row>
    <row r="14" spans="1:4" x14ac:dyDescent="0.25">
      <c r="A14" s="10" t="s">
        <v>183</v>
      </c>
      <c r="B14" s="10" t="s">
        <v>8</v>
      </c>
      <c r="C14" s="10" t="s">
        <v>113</v>
      </c>
      <c r="D14" s="11">
        <v>62</v>
      </c>
    </row>
    <row r="15" spans="1:4" x14ac:dyDescent="0.25">
      <c r="A15" s="10" t="s">
        <v>183</v>
      </c>
      <c r="B15" s="10" t="s">
        <v>19</v>
      </c>
      <c r="C15" s="10" t="s">
        <v>140</v>
      </c>
      <c r="D15" s="11">
        <v>62</v>
      </c>
    </row>
    <row r="16" spans="1:4" x14ac:dyDescent="0.25">
      <c r="A16" s="10" t="s">
        <v>183</v>
      </c>
      <c r="B16" s="10" t="s">
        <v>26</v>
      </c>
      <c r="C16" s="10" t="s">
        <v>169</v>
      </c>
      <c r="D16" s="11">
        <v>87</v>
      </c>
    </row>
    <row r="17" spans="1:4" x14ac:dyDescent="0.25">
      <c r="A17" s="10" t="s">
        <v>183</v>
      </c>
      <c r="B17" s="10" t="s">
        <v>28</v>
      </c>
      <c r="C17" s="10" t="s">
        <v>175</v>
      </c>
      <c r="D17" s="11">
        <v>62</v>
      </c>
    </row>
    <row r="18" spans="1:4" x14ac:dyDescent="0.25">
      <c r="A18" s="10" t="s">
        <v>184</v>
      </c>
      <c r="B18" s="10" t="s">
        <v>149</v>
      </c>
      <c r="C18" s="10" t="s">
        <v>150</v>
      </c>
      <c r="D18" s="11">
        <v>53</v>
      </c>
    </row>
    <row r="19" spans="1:4" x14ac:dyDescent="0.25">
      <c r="A19" s="10" t="s">
        <v>184</v>
      </c>
      <c r="B19" s="10" t="s">
        <v>20</v>
      </c>
      <c r="C19" s="10" t="s">
        <v>143</v>
      </c>
      <c r="D19" s="11">
        <v>43</v>
      </c>
    </row>
    <row r="20" spans="1:4" x14ac:dyDescent="0.25">
      <c r="A20" s="10" t="s">
        <v>185</v>
      </c>
      <c r="B20" s="10" t="s">
        <v>9</v>
      </c>
      <c r="C20" s="10" t="s">
        <v>116</v>
      </c>
      <c r="D20" s="11">
        <v>50</v>
      </c>
    </row>
    <row r="21" spans="1:4" x14ac:dyDescent="0.25">
      <c r="A21" s="10" t="s">
        <v>185</v>
      </c>
      <c r="B21" s="10" t="s">
        <v>13</v>
      </c>
      <c r="C21" s="10" t="s">
        <v>125</v>
      </c>
      <c r="D21" s="11">
        <v>40</v>
      </c>
    </row>
    <row r="22" spans="1:4" x14ac:dyDescent="0.25">
      <c r="A22" s="10" t="s">
        <v>185</v>
      </c>
      <c r="B22" s="10" t="s">
        <v>17</v>
      </c>
      <c r="C22" s="10" t="s">
        <v>134</v>
      </c>
      <c r="D22" s="11">
        <v>62</v>
      </c>
    </row>
    <row r="23" spans="1:4" x14ac:dyDescent="0.25">
      <c r="A23" s="10" t="s">
        <v>185</v>
      </c>
      <c r="B23" s="10" t="s">
        <v>24</v>
      </c>
      <c r="C23" s="10" t="s">
        <v>159</v>
      </c>
      <c r="D23" s="11">
        <v>50</v>
      </c>
    </row>
  </sheetData>
  <autoFilter ref="A1:C1" xr:uid="{256B4A6E-E8DC-43A6-8F8A-259A0FD67658}">
    <sortState xmlns:xlrd2="http://schemas.microsoft.com/office/spreadsheetml/2017/richdata2" ref="A2:C23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87C95A-DB95-4CA1-84B8-5BF43286087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27688A4-2C62-43AA-BA91-FFF1A80A0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54260D-795A-434A-9058-80772482E852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28294DF2-33E7-47B0-B74F-B14AD2547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FacilityEffectivenessMatrix</vt:lpstr>
      <vt:lpstr>FaciltiyEffectivenessSummary</vt:lpstr>
      <vt:lpstr>FacilityEffectivenessMatrix (2)</vt:lpstr>
      <vt:lpstr>ALLEffectivness</vt:lpstr>
      <vt:lpstr>FaciltiyEffectivenessList</vt:lpstr>
      <vt:lpstr>LocationsPNE</vt:lpstr>
      <vt:lpstr>LocationInput</vt:lpstr>
      <vt:lpstr>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2023-04-29T03:27:31Z</dcterms:created>
  <dcterms:modified xsi:type="dcterms:W3CDTF">2026-09-25T02:26:28Z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