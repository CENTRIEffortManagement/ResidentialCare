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"/>
    </mc:Choice>
  </mc:AlternateContent>
  <xr:revisionPtr revIDLastSave="0" documentId="13_ncr:1_{2FA142F5-9AB3-4422-B6CD-810A292A1D1C}" xr6:coauthVersionLast="47" xr6:coauthVersionMax="47" xr10:uidLastSave="{00000000-0000-0000-0000-000000000000}"/>
  <bookViews>
    <workbookView xWindow="-120" yWindow="-120" windowWidth="38640" windowHeight="21120" firstSheet="1" activeTab="6" xr2:uid="{16B7FE64-7578-4206-945C-2BD2DFE73CF2}"/>
  </bookViews>
  <sheets>
    <sheet name="_mcode_path" sheetId="10" state="veryHidden" r:id="rId1"/>
    <sheet name="Unit1Path" sheetId="11" r:id="rId2"/>
    <sheet name="FILEPATH" sheetId="7" r:id="rId3"/>
    <sheet name="DateAlignment!!" sheetId="8" r:id="rId4"/>
    <sheet name="Masterlist" sheetId="13" r:id="rId5"/>
    <sheet name="IMPORT Table_Masterlist" sheetId="12" r:id="rId6"/>
    <sheet name="InefficienciesAGL2Day32" sheetId="3" r:id="rId7"/>
    <sheet name="IMPORT InefficienciesAGL2Day321" sheetId="9" r:id="rId8"/>
  </sheets>
  <externalReferences>
    <externalReference r:id="rId9"/>
    <externalReference r:id="rId10"/>
    <externalReference r:id="rId11"/>
    <externalReference r:id="rId12"/>
  </externalReferences>
  <definedNames>
    <definedName name="ABCap" localSheetId="2">#REF!</definedName>
    <definedName name="ABCap" localSheetId="1">#REF!</definedName>
    <definedName name="ABCap">[1]Factors!$B$6</definedName>
    <definedName name="ABGoal" localSheetId="2">#REF!</definedName>
    <definedName name="ABGoal" localSheetId="1">#REF!</definedName>
    <definedName name="ABGoal">[1]Factors!$B$10</definedName>
    <definedName name="Client" localSheetId="2">FILEPATH!$B$14</definedName>
    <definedName name="Client" localSheetId="1">Unit1Path!$B$18</definedName>
    <definedName name="Client">#REF!</definedName>
    <definedName name="Contractor_Margin" localSheetId="2">#REF!</definedName>
    <definedName name="Contractor_Margin" localSheetId="1">#REF!</definedName>
    <definedName name="Contractor_Margin">[1]Factors!$B$35</definedName>
    <definedName name="Date" localSheetId="2">#REF!</definedName>
    <definedName name="Date" localSheetId="1">#REF!</definedName>
    <definedName name="Date">#REF!</definedName>
    <definedName name="Directory" localSheetId="2">#REF!</definedName>
    <definedName name="Directory" localSheetId="1">#REF!</definedName>
    <definedName name="Directory">#REF!</definedName>
    <definedName name="EFCap" localSheetId="2">#REF!</definedName>
    <definedName name="EFCap" localSheetId="1">#REF!</definedName>
    <definedName name="EFCap">[1]Factors!$B$7</definedName>
    <definedName name="EFGoal" localSheetId="2">#REF!</definedName>
    <definedName name="EFGoal" localSheetId="1">#REF!</definedName>
    <definedName name="EFGoal">[1]Factors!$B$11</definedName>
    <definedName name="ExternalData_1" localSheetId="3" hidden="1">'DateAlignment!!'!$A$1:$A$2</definedName>
    <definedName name="ExternalData_1" localSheetId="1" hidden="1">Unit1Path!$A$3:$B$12</definedName>
    <definedName name="ExternalData_2" localSheetId="7" hidden="1">'IMPORT InefficienciesAGL2Day321'!$A$1:$CD$1125</definedName>
    <definedName name="ExternalData_2" localSheetId="6" hidden="1">InefficienciesAGL2Day32!$A$1:$CF$1125</definedName>
    <definedName name="ExternalData_3" localSheetId="5" hidden="1">'IMPORT Table_Masterlist'!$A$1:$U$116</definedName>
    <definedName name="ExternalData_4" localSheetId="4" hidden="1">Masterlist!$A$1:$U$116</definedName>
    <definedName name="Facility">#REF!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2">#REF!</definedName>
    <definedName name="INCap" localSheetId="1">#REF!</definedName>
    <definedName name="INCap">[1]Factors!$B$8</definedName>
    <definedName name="INGoal" localSheetId="2">#REF!</definedName>
    <definedName name="INGoal" localSheetId="1">#REF!</definedName>
    <definedName name="INGoal">[1]Factors!$B$12</definedName>
    <definedName name="LabourCost" localSheetId="2">#REF!</definedName>
    <definedName name="LabourCost" localSheetId="1">#REF!</definedName>
    <definedName name="LabourCost">[1]Factors!$B$21</definedName>
    <definedName name="LabourStretchCost" localSheetId="2">#REF!</definedName>
    <definedName name="LabourStretchCost" localSheetId="1">#REF!</definedName>
    <definedName name="LabourStretchCost">[1]Factors!$B$22</definedName>
    <definedName name="Location" localSheetId="2">FILEPATH!$B$18</definedName>
    <definedName name="Location" localSheetId="1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MaxCapacityFactor">[2]MaxCapacity!$A$2</definedName>
    <definedName name="Overtime" localSheetId="2">#REF!</definedName>
    <definedName name="Overtime" localSheetId="1">#REF!</definedName>
    <definedName name="Overtime">[1]Factors!$B$4</definedName>
    <definedName name="Revenue_per_labour_factor" localSheetId="2">#REF!</definedName>
    <definedName name="Revenue_per_labour_factor" localSheetId="1">#REF!</definedName>
    <definedName name="Revenue_per_labour_factor">[1]Factors!$B$19</definedName>
    <definedName name="RevenueRate" localSheetId="2">#REF!</definedName>
    <definedName name="RevenueRate" localSheetId="1">#REF!</definedName>
    <definedName name="RevenueRate">[1]Factors!$B$23</definedName>
    <definedName name="RevPerWorker" localSheetId="2">#REF!</definedName>
    <definedName name="RevPerWorker" localSheetId="1">#REF!</definedName>
    <definedName name="RevPerWorker">[1]Factors!$E$23</definedName>
    <definedName name="Role" localSheetId="1">Unit1Path!$B$39</definedName>
    <definedName name="Role">#REF!</definedName>
    <definedName name="ROLE_TITLE" localSheetId="2">#REF!</definedName>
    <definedName name="ROLE_TITLE" localSheetId="1">#REF!</definedName>
    <definedName name="ROLE_TITLE">#REF!</definedName>
    <definedName name="Type" localSheetId="2">#REF!</definedName>
    <definedName name="Type" localSheetId="1">#REF!</definedName>
    <definedName name="Type">#REF!</definedName>
    <definedName name="UNIT" localSheetId="1">#REF!</definedName>
    <definedName name="UNIT">[3]RN!$M$2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  <c r="A2" i="10" l="1"/>
  <c r="B14" i="7"/>
  <c r="B18" i="7" s="1"/>
  <c r="B26" i="7" s="1"/>
  <c r="B40" i="7"/>
  <c r="C19" i="7"/>
  <c r="B9" i="7" a="1"/>
  <c r="B9" i="7" s="1"/>
  <c r="C18" i="7" l="1"/>
  <c r="B15" i="7" a="1"/>
  <c r="B15" i="7" s="1"/>
  <c r="C15" i="7" s="1"/>
  <c r="C2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E4F41-0ECA-4834-A623-288FF75C5B6A}" keepAlive="1" name="Query - DateAlignment" description="Connection to the 'DateAlignment' query in the workbook." type="5" refreshedVersion="8" background="1" saveData="1">
    <dbPr connection="Provider=Microsoft.Mashup.OleDb.1;Data Source=$Workbook$;Location=DateAlignment;Extended Properties=&quot;&quot;" command="SELECT * FROM [DateAlignment]"/>
  </connection>
  <connection id="2" xr16:uid="{8AF808F8-A380-4791-A641-11180D63418A}" keepAlive="1" name="Query - DateLevelPathRecord" description="Connection to the 'DateLevelPathRecord' query in the workbook." type="5" refreshedVersion="8" background="1" saveData="1">
    <dbPr connection="Provider=Microsoft.Mashup.OleDb.1;Data Source=$Workbook$;Location=DateLevelPathRecord;Extended Properties=&quot;&quot;" command="SELECT * FROM [DateLevelPathRecord]"/>
  </connection>
  <connection id="3" xr16:uid="{D0D309EC-EBD9-4F70-86E2-30DCFD9F7DDB}" keepAlive="1" name="Query - Errors in IMPORT InefficienciesAGL2Day3210" description="Connection to the 'Errors in IMPORT InefficienciesAGL2Day3210' query in the workbook." type="5" refreshedVersion="0" background="1">
    <dbPr connection="Provider=Microsoft.Mashup.OleDb.1;Data Source=$Workbook$;Location=&quot;Errors in IMPORT InefficienciesAGL2Day3210&quot;;Extended Properties=&quot;&quot;" command="SELECT * FROM [Errors in IMPORT InefficienciesAGL2Day3210]"/>
  </connection>
  <connection id="4" xr16:uid="{CFE265C2-2C0C-4570-A44D-0BF226DB4377}" keepAlive="1" name="Query - IMPORT InefficienciesAGL2Day3210" description="Connection to the 'IMPORT InefficienciesAGL2Day3210' query in the workbook." type="5" refreshedVersion="8" background="1" saveData="1">
    <dbPr connection="Provider=Microsoft.Mashup.OleDb.1;Data Source=$Workbook$;Location=&quot;IMPORT InefficienciesAGL2Day3210&quot;;Extended Properties=&quot;&quot;" command="SELECT * FROM [IMPORT InefficienciesAGL2Day3210]"/>
  </connection>
  <connection id="5" xr16:uid="{E2D7267D-1656-417C-8DC7-E724D3A41236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6" xr16:uid="{4A7BF6AE-12DB-4FF8-8902-CC2088078247}" keepAlive="1" name="Query - InefficienciesAGL2Day3210" description="Connection to the 'InefficienciesAGL2Day3210' query in the workbook." type="5" refreshedVersion="8" background="1" saveData="1">
    <dbPr connection="Provider=Microsoft.Mashup.OleDb.1;Data Source=$Workbook$;Location=InefficienciesAGL2Day3210;Extended Properties=&quot;&quot;" command="SELECT * FROM [InefficienciesAGL2Day3210]"/>
  </connection>
  <connection id="7" xr16:uid="{DD59C958-5290-4880-86DB-2AC34AF32824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<sst xmlns="http://schemas.openxmlformats.org/spreadsheetml/2006/main" count="15973" uniqueCount="504">
  <si>
    <t>Level</t>
  </si>
  <si>
    <t>Date</t>
  </si>
  <si>
    <t>D</t>
  </si>
  <si>
    <t>Cs</t>
  </si>
  <si>
    <t>CX</t>
  </si>
  <si>
    <t>A</t>
  </si>
  <si>
    <t>AB EXCESS OVER-ALLOCATION</t>
  </si>
  <si>
    <t>AB SPARE STRETCH</t>
  </si>
  <si>
    <t>AB SPARE SLACK</t>
  </si>
  <si>
    <t>AB SPARE STRETCH ALLOCATED</t>
  </si>
  <si>
    <t>AB SPARE SLACK ALLOCATED</t>
  </si>
  <si>
    <t>AB EXCESS STRETCH (ALLOCATED)</t>
  </si>
  <si>
    <t>AB EXCESS ALLOCATED SLACK</t>
  </si>
  <si>
    <t>AB EXCESS STRETCH</t>
  </si>
  <si>
    <t>AB EXCESS SLACK</t>
  </si>
  <si>
    <t>AB POTENTIAL SHORTFALL (OVER-ALLOCATED)</t>
  </si>
  <si>
    <t>AB POTENTIAL SHORTFALL</t>
  </si>
  <si>
    <t>AB WASTED STRETCH</t>
  </si>
  <si>
    <t>AB WASTED SLACK</t>
  </si>
  <si>
    <t>AB ALLOCATED STRETCH</t>
  </si>
  <si>
    <t>AB ALLOCATED SLACK</t>
  </si>
  <si>
    <t>AB UNALLOCATED SLACK</t>
  </si>
  <si>
    <t>AB LATENT</t>
  </si>
  <si>
    <t>AB LATENT.ALLOCATED</t>
  </si>
  <si>
    <t>AB  LATENT.OVERALLOCATED</t>
  </si>
  <si>
    <t>AB Potential</t>
  </si>
  <si>
    <t>Epn</t>
  </si>
  <si>
    <t>EpX</t>
  </si>
  <si>
    <t>Ein</t>
  </si>
  <si>
    <t>EF EXCESS OVER-ALLOCATION</t>
  </si>
  <si>
    <t>EF SPARE STRETCH</t>
  </si>
  <si>
    <t>EF SPARE SLACK</t>
  </si>
  <si>
    <t>EF SPARE STRETCH ALLOCATED</t>
  </si>
  <si>
    <t>EF SPARE SLACK ALLOCATED</t>
  </si>
  <si>
    <t>EF EXCESS STRETCH (ALLOCATED)</t>
  </si>
  <si>
    <t>EF EXCESS ALLOCATED SLACK</t>
  </si>
  <si>
    <t>EF EXCESS STRETCH</t>
  </si>
  <si>
    <t>EF EXCESS SLACK</t>
  </si>
  <si>
    <t>EF POTENTIAL SHORTFALL (OVER-ALLOCATED)</t>
  </si>
  <si>
    <t>EF POTENTIAL SHORTFALL</t>
  </si>
  <si>
    <t>EF WASTED STRETCH</t>
  </si>
  <si>
    <t>EF WASTED SLACK</t>
  </si>
  <si>
    <t>EF ALLOCATED STRETCH</t>
  </si>
  <si>
    <t>EF ALLOCATED SLACK</t>
  </si>
  <si>
    <t>EF UNALLOCATED SLACK</t>
  </si>
  <si>
    <t>EF LATENT</t>
  </si>
  <si>
    <t>EF LATENT.ALLOCATED</t>
  </si>
  <si>
    <t>EF LATENT.OVERALLOCATED</t>
  </si>
  <si>
    <t>EF Potential</t>
  </si>
  <si>
    <t>Ipn</t>
  </si>
  <si>
    <t>Ipx</t>
  </si>
  <si>
    <t>Iin</t>
  </si>
  <si>
    <t>IN EXCESS OVER-ALLOCATION</t>
  </si>
  <si>
    <t>IN SPARE STRETCH</t>
  </si>
  <si>
    <t>IN SPARE SLACK</t>
  </si>
  <si>
    <t>IN SPARE STRETCH ALLOCATED</t>
  </si>
  <si>
    <t>IN SPARE SLACK ALLOCATED</t>
  </si>
  <si>
    <t>IN EXCESS STRETCH (ALLOCATED)</t>
  </si>
  <si>
    <t>IN EXCESS ALLOCATED SLACK</t>
  </si>
  <si>
    <t>IN EXCESS STRETCH</t>
  </si>
  <si>
    <t>IN EXCESS SLACK</t>
  </si>
  <si>
    <t>IN POTENTIAL SHORTFALL (OVER-ALLOCATED)</t>
  </si>
  <si>
    <t>IN POTENTIAL SHORTFALL</t>
  </si>
  <si>
    <t>IN WASTED STRETCH</t>
  </si>
  <si>
    <t>IN WASTED SLACK</t>
  </si>
  <si>
    <t>IN ALLOCATED STRETCH</t>
  </si>
  <si>
    <t>IN ALLOCATED SLACK</t>
  </si>
  <si>
    <t>IN UNALLOCATED SLACK</t>
  </si>
  <si>
    <t>IN LATENT</t>
  </si>
  <si>
    <t>IN LATENT.ALLOCATED</t>
  </si>
  <si>
    <t>IN LATENT.OVERALLOCATED</t>
  </si>
  <si>
    <t>IN Potential</t>
  </si>
  <si>
    <t>3-Pool</t>
  </si>
  <si>
    <t>AM</t>
  </si>
  <si>
    <t>NIGHT</t>
  </si>
  <si>
    <t>PM</t>
  </si>
  <si>
    <t>Ability PoN AG</t>
  </si>
  <si>
    <t>Ability PoX AG</t>
  </si>
  <si>
    <t>Ability Pl AG</t>
  </si>
  <si>
    <t>Role</t>
  </si>
  <si>
    <t>Role ID</t>
  </si>
  <si>
    <t>WL EXCESS OVER-ALLOCATION</t>
  </si>
  <si>
    <t>WL SPARE STRETCH</t>
  </si>
  <si>
    <t>WL SPARE SLACK</t>
  </si>
  <si>
    <t>WL SPARE STRETCH ALLOCATED</t>
  </si>
  <si>
    <t>WL SPARE SLACK ALLOCATED</t>
  </si>
  <si>
    <t>WL EXCESS STRETCH (ALLOCATED)</t>
  </si>
  <si>
    <t>WL EXCESS ALLOCATED SLACK</t>
  </si>
  <si>
    <t>WL EXCESS STRETCH</t>
  </si>
  <si>
    <t>WL EXCESS SLACK</t>
  </si>
  <si>
    <t>WL POTENTIAL SHORTFALL (OVER-ALLOCATED)</t>
  </si>
  <si>
    <t>WL POTENTIAL SHORTFALL</t>
  </si>
  <si>
    <t>WL WASTED STRETCH</t>
  </si>
  <si>
    <t>WL WASTED SLACK</t>
  </si>
  <si>
    <t>WL ALLOCATED STRETCH</t>
  </si>
  <si>
    <t>WL ALLOCATED SLACK</t>
  </si>
  <si>
    <t>WL UNALLOCATED SLACK</t>
  </si>
  <si>
    <t>WL LATENT.ALLOCATED</t>
  </si>
  <si>
    <t>WL LATENT.OVERALLOCATED</t>
  </si>
  <si>
    <t>WL Potential</t>
  </si>
  <si>
    <t>Role Abvrev</t>
  </si>
  <si>
    <t>Shift</t>
  </si>
  <si>
    <t>WL  LATENT</t>
  </si>
  <si>
    <t>Efficiency PoN  AG</t>
  </si>
  <si>
    <t>Efficiency PoX  AG</t>
  </si>
  <si>
    <t>Efficiency Pl AG</t>
  </si>
  <si>
    <t>Workload PoN  AG</t>
  </si>
  <si>
    <t>Workload PoX AG</t>
  </si>
  <si>
    <t>Workload Pl AG</t>
  </si>
  <si>
    <t>2-Pond</t>
  </si>
  <si>
    <t>1-Lake</t>
  </si>
  <si>
    <t>Folder</t>
  </si>
  <si>
    <t>CapacityMaxHC</t>
  </si>
  <si>
    <t>DATESHIFT</t>
  </si>
  <si>
    <t>Facility</t>
  </si>
  <si>
    <t>0.1-Org</t>
  </si>
  <si>
    <t>1.1-Pond(Facility)</t>
  </si>
  <si>
    <t>3.1-Pond FacilityDay</t>
  </si>
  <si>
    <t>SharedPath</t>
  </si>
  <si>
    <t>Client</t>
  </si>
  <si>
    <t>Type</t>
  </si>
  <si>
    <t>04 Analysis</t>
  </si>
  <si>
    <t>Location</t>
  </si>
  <si>
    <t>From Computerpath</t>
  </si>
  <si>
    <t>CommonSharedPath</t>
  </si>
  <si>
    <t>Manual Entry</t>
  </si>
  <si>
    <t>Calcualted</t>
  </si>
  <si>
    <t>Version</t>
  </si>
  <si>
    <t>X</t>
  </si>
  <si>
    <t>DateAlignment</t>
  </si>
  <si>
    <t>Apn</t>
  </si>
  <si>
    <t>Apx</t>
  </si>
  <si>
    <t>Ai</t>
  </si>
  <si>
    <t>AIN</t>
  </si>
  <si>
    <t>RN</t>
  </si>
  <si>
    <t>AINC4</t>
  </si>
  <si>
    <t>DateX</t>
  </si>
  <si>
    <t>FilePath</t>
  </si>
  <si>
    <t>Value</t>
  </si>
  <si>
    <t>Username</t>
  </si>
  <si>
    <t>FilePathUrl</t>
  </si>
  <si>
    <t>CLIENT</t>
  </si>
  <si>
    <t>Alex</t>
  </si>
  <si>
    <t>Tableau Connection.xlsx</t>
  </si>
  <si>
    <t>Name</t>
  </si>
  <si>
    <t>CurrentWorkbookFolder</t>
  </si>
  <si>
    <t>C:\Users\Alex\CentriNOTSYNC\ResidentialCare\CLIENT\DATExx-Whiddon\2. Calculations</t>
  </si>
  <si>
    <t>DateRootPath</t>
  </si>
  <si>
    <t>C:\Users\Alex\CentriNOTSYNC\ResidentialCare\CLIENT\DATExx-Whiddon</t>
  </si>
  <si>
    <t>UnitsRootPath</t>
  </si>
  <si>
    <t>C:\Users\Alex\CentriNOTSYNC\ResidentialCare\CLIENT\DATExx-Whiddon\UNITS</t>
  </si>
  <si>
    <t>OrgCalculationsPath</t>
  </si>
  <si>
    <t>C:\Users\Alex\CentriNOTSYNC\ResidentialCare\CLIENT\DATExx-Whiddon\2. Calculations\[Tableau Connection.xlsx]_mcode_path</t>
  </si>
  <si>
    <t>DATExx-Whiddon</t>
  </si>
  <si>
    <t>CurrentWorkbookFileName</t>
  </si>
  <si>
    <t>15/08/2026AM</t>
  </si>
  <si>
    <t>14/08/2026PM</t>
  </si>
  <si>
    <t>20/07/2026NIGHT</t>
  </si>
  <si>
    <t>14/08/2026NIGHT</t>
  </si>
  <si>
    <t>14/08/2026AM</t>
  </si>
  <si>
    <t>22/07/2026NIGHT</t>
  </si>
  <si>
    <t>13/08/2026PM</t>
  </si>
  <si>
    <t>13/08/2026NIGHT</t>
  </si>
  <si>
    <t>22/07/2026AM</t>
  </si>
  <si>
    <t>15/08/2026NIGHT</t>
  </si>
  <si>
    <t>20/07/2026PM</t>
  </si>
  <si>
    <t>21/07/2026PM</t>
  </si>
  <si>
    <t>15/08/2026PM</t>
  </si>
  <si>
    <t>16/08/2026AM</t>
  </si>
  <si>
    <t>21/07/2026NIGHT</t>
  </si>
  <si>
    <t>16/08/2026NIGHT</t>
  </si>
  <si>
    <t>16/08/2026PM</t>
  </si>
  <si>
    <t>21/07/2026AM</t>
  </si>
  <si>
    <t>20/07/2026AM</t>
  </si>
  <si>
    <t>13/08/2026AM</t>
  </si>
  <si>
    <t>5/08/2026PM</t>
  </si>
  <si>
    <t>5/08/2026NIGHT</t>
  </si>
  <si>
    <t>5/08/2026AM</t>
  </si>
  <si>
    <t>4/08/2026PM</t>
  </si>
  <si>
    <t>4/08/2026NIGHT</t>
  </si>
  <si>
    <t>4/08/2026AM</t>
  </si>
  <si>
    <t>3/08/2026PM</t>
  </si>
  <si>
    <t>3/08/2026NIGHT</t>
  </si>
  <si>
    <t>2/08/2026PM</t>
  </si>
  <si>
    <t>2/08/2026NIGHT</t>
  </si>
  <si>
    <t>2/08/2026AM</t>
  </si>
  <si>
    <t>1/08/2026PM</t>
  </si>
  <si>
    <t>1/08/2026NIGHT</t>
  </si>
  <si>
    <t>1/08/2026AM</t>
  </si>
  <si>
    <t>31/07/2026PM</t>
  </si>
  <si>
    <t>31/07/2026NIGHT</t>
  </si>
  <si>
    <t>6/08/2026AM</t>
  </si>
  <si>
    <t>6/08/2026NIGHT</t>
  </si>
  <si>
    <t>12/08/2026NIGHT</t>
  </si>
  <si>
    <t>12/08/2026AM</t>
  </si>
  <si>
    <t>11/08/2026PM</t>
  </si>
  <si>
    <t>11/08/2026NIGHT</t>
  </si>
  <si>
    <t>11/08/2026AM</t>
  </si>
  <si>
    <t>10/08/2026PM</t>
  </si>
  <si>
    <t>10/08/2026NIGHT</t>
  </si>
  <si>
    <t>10/08/2026AM</t>
  </si>
  <si>
    <t>12/08/2026PM</t>
  </si>
  <si>
    <t>9/08/2026PM</t>
  </si>
  <si>
    <t>9/08/2026AM</t>
  </si>
  <si>
    <t>8/08/2026PM</t>
  </si>
  <si>
    <t>8/08/2026NIGHT</t>
  </si>
  <si>
    <t>8/08/2026AM</t>
  </si>
  <si>
    <t>7/08/2026PM</t>
  </si>
  <si>
    <t>7/08/2026NIGHT</t>
  </si>
  <si>
    <t>7/08/2026AM</t>
  </si>
  <si>
    <t>6/08/2026PM</t>
  </si>
  <si>
    <t>9/08/2026NIGHT</t>
  </si>
  <si>
    <t>22/07/2026PM</t>
  </si>
  <si>
    <t>31/07/2026AM</t>
  </si>
  <si>
    <t>28/07/2026AM</t>
  </si>
  <si>
    <t>27/07/2026PM</t>
  </si>
  <si>
    <t>27/07/2026NIGHT</t>
  </si>
  <si>
    <t>27/07/2026AM</t>
  </si>
  <si>
    <t>26/07/2026PM</t>
  </si>
  <si>
    <t>26/07/2026NIGHT</t>
  </si>
  <si>
    <t>26/07/2026AM</t>
  </si>
  <si>
    <t>25/07/2026PM</t>
  </si>
  <si>
    <t>25/07/2026NIGHT</t>
  </si>
  <si>
    <t>25/07/2026AM</t>
  </si>
  <si>
    <t>24/07/2026PM</t>
  </si>
  <si>
    <t>24/07/2026NIGHT</t>
  </si>
  <si>
    <t>24/07/2026AM</t>
  </si>
  <si>
    <t>23/07/2026PM</t>
  </si>
  <si>
    <t>23/07/2026NIGHT</t>
  </si>
  <si>
    <t>23/07/2026AM</t>
  </si>
  <si>
    <t>28/07/2026NIGHT</t>
  </si>
  <si>
    <t>28/07/2026PM</t>
  </si>
  <si>
    <t>3/08/2026AM</t>
  </si>
  <si>
    <t>30/07/2026PM</t>
  </si>
  <si>
    <t>30/07/2026NIGHT</t>
  </si>
  <si>
    <t>30/07/2026AM</t>
  </si>
  <si>
    <t>29/07/2026PM</t>
  </si>
  <si>
    <t>29/07/2026NIGHT</t>
  </si>
  <si>
    <t>29/07/2026AM</t>
  </si>
  <si>
    <t>Resource</t>
  </si>
  <si>
    <t>Misalignment</t>
  </si>
  <si>
    <t>Lilly Olive</t>
  </si>
  <si>
    <t>Majal Dias</t>
  </si>
  <si>
    <t>Madi Slade</t>
  </si>
  <si>
    <t>Trevor Fisher</t>
  </si>
  <si>
    <t>MIZUE Tanaka</t>
  </si>
  <si>
    <t>Wendy Robertson</t>
  </si>
  <si>
    <t>Liane Tebbutt</t>
  </si>
  <si>
    <t>Leeanne Annis</t>
  </si>
  <si>
    <t>Tracey Leanne S</t>
  </si>
  <si>
    <t>Lee Speirs</t>
  </si>
  <si>
    <t>Korazona Joseph</t>
  </si>
  <si>
    <t>Katrina Atkinso</t>
  </si>
  <si>
    <t>Kaitlyn Bowden</t>
  </si>
  <si>
    <t>Julie Roots</t>
  </si>
  <si>
    <t>Judith Stark</t>
  </si>
  <si>
    <t>Joseph Murcia</t>
  </si>
  <si>
    <t>Jonas Blewett</t>
  </si>
  <si>
    <t>Kristy Deshon</t>
  </si>
  <si>
    <t>Mariah Swan</t>
  </si>
  <si>
    <t>Mel Greenway</t>
  </si>
  <si>
    <t>Tracey Lagerstr</t>
  </si>
  <si>
    <t>Simone White</t>
  </si>
  <si>
    <t>Sheryl Macalint</t>
  </si>
  <si>
    <t>Sharonah-Leah S</t>
  </si>
  <si>
    <t>Savannah Navin</t>
  </si>
  <si>
    <t>Sandra Spragg</t>
  </si>
  <si>
    <t>Samara Billiau</t>
  </si>
  <si>
    <t>Ross Morden</t>
  </si>
  <si>
    <t>Rosi Gaunavou</t>
  </si>
  <si>
    <t>Rosemary Yates</t>
  </si>
  <si>
    <t>Rajneet Chand</t>
  </si>
  <si>
    <t>Preet Kaur</t>
  </si>
  <si>
    <t>Piper Chamberla</t>
  </si>
  <si>
    <t>Paris Garton</t>
  </si>
  <si>
    <t>Mylyn Thomson</t>
  </si>
  <si>
    <t>Todd Bullivant</t>
  </si>
  <si>
    <t>Michael Chandle</t>
  </si>
  <si>
    <t>Mia Banks</t>
  </si>
  <si>
    <t>Jody English</t>
  </si>
  <si>
    <t>Sirjana Rai</t>
  </si>
  <si>
    <t>Joanne Bromley</t>
  </si>
  <si>
    <t>Jennifer Lumby</t>
  </si>
  <si>
    <t>Christine Felto</t>
  </si>
  <si>
    <t>Chinonso Ogu</t>
  </si>
  <si>
    <t>Charlize Lewis</t>
  </si>
  <si>
    <t>Catherine Bell</t>
  </si>
  <si>
    <t>Caitlyn Dreier</t>
  </si>
  <si>
    <t>Cait Philp</t>
  </si>
  <si>
    <t>Bweaymoosaw Mur</t>
  </si>
  <si>
    <t>Bronwyn Halsey</t>
  </si>
  <si>
    <t>Basil Vilayanik</t>
  </si>
  <si>
    <t>Ashleigh Linn</t>
  </si>
  <si>
    <t>Ashlee Gilpin</t>
  </si>
  <si>
    <t>Annette Lang</t>
  </si>
  <si>
    <t>Anju Jose</t>
  </si>
  <si>
    <t>Angela Gregg</t>
  </si>
  <si>
    <t>Amber Beutel</t>
  </si>
  <si>
    <t>Alyssa Curd</t>
  </si>
  <si>
    <t>Ally-mei Prestt</t>
  </si>
  <si>
    <t>Dale Armytage</t>
  </si>
  <si>
    <t>Jessica-Carmela</t>
  </si>
  <si>
    <t>David Reid</t>
  </si>
  <si>
    <t>Desiree Mamet</t>
  </si>
  <si>
    <t>Jayvee Jade Cos</t>
  </si>
  <si>
    <t>Jayakumar Vanda</t>
  </si>
  <si>
    <t>Janelle  Sander</t>
  </si>
  <si>
    <t>Jaidan Dennewal</t>
  </si>
  <si>
    <t>Zac Lesslie</t>
  </si>
  <si>
    <t>Jacob Barnes</t>
  </si>
  <si>
    <t>Imani Gereadi</t>
  </si>
  <si>
    <t>Isidra De Asis</t>
  </si>
  <si>
    <t>Grace Bostock</t>
  </si>
  <si>
    <t>Goma Bastiaanse</t>
  </si>
  <si>
    <t>George Smith Sm</t>
  </si>
  <si>
    <t>Gentille Nambon</t>
  </si>
  <si>
    <t>Donna Bestmann</t>
  </si>
  <si>
    <t>Diane Bewick</t>
  </si>
  <si>
    <t>Hermenegildo De</t>
  </si>
  <si>
    <t>Sofia Nabi</t>
  </si>
  <si>
    <t>Ian Perry</t>
  </si>
  <si>
    <t>Allocated Only</t>
  </si>
  <si>
    <t>Joana Marie Dri</t>
  </si>
  <si>
    <t>Juanita Kinsell</t>
  </si>
  <si>
    <t>Lisa Swagerman</t>
  </si>
  <si>
    <t>Ma Iris Angela</t>
  </si>
  <si>
    <t>Malawika Muthut</t>
  </si>
  <si>
    <t>Linda Sturges</t>
  </si>
  <si>
    <t>Yogi Yogi</t>
  </si>
  <si>
    <t>Astrid Elvera G</t>
  </si>
  <si>
    <t>Amandeep Kaur K</t>
  </si>
  <si>
    <t>Amanda Jones</t>
  </si>
  <si>
    <t>Alla Illarionov</t>
  </si>
  <si>
    <t>Princy Merlin M</t>
  </si>
  <si>
    <t>Rahna Jose</t>
  </si>
  <si>
    <t>Victoria Thomps</t>
  </si>
  <si>
    <t>Rustambir Singh</t>
  </si>
  <si>
    <t>Sreena Ranjith</t>
  </si>
  <si>
    <t>Sue Jones</t>
  </si>
  <si>
    <t>Ujjwal Sharma</t>
  </si>
  <si>
    <t>Cara Anne Balme</t>
  </si>
  <si>
    <t>Pia Vallejo</t>
  </si>
  <si>
    <t>Manpreet Kaur</t>
  </si>
  <si>
    <t>Available Only</t>
  </si>
  <si>
    <t>Mikayla Nicole Geshwend</t>
  </si>
  <si>
    <t>Mellania Ruvimbo Munyuki</t>
  </si>
  <si>
    <t>Mackenzie Niesler</t>
  </si>
  <si>
    <t>Kaela Anne Hyland</t>
  </si>
  <si>
    <t>Jacqueline Koelmeyer</t>
  </si>
  <si>
    <t>Jackie Jowa</t>
  </si>
  <si>
    <t>Deeanne Donna Tracey</t>
  </si>
  <si>
    <t>Yvonne Cheptoo Limo</t>
  </si>
  <si>
    <t>Aileen Heard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</si>
  <si>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</si>
  <si>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</si>
  <si>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</si>
  <si>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</si>
  <si>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</si>
  <si>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</si>
  <si>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</si>
  <si>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</si>
  <si>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</si>
  <si>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</si>
  <si>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</si>
  <si>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</si>
  <si>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</si>
  <si>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</si>
  <si>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</si>
  <si>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</si>
  <si>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</si>
  <si>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Availability</t>
  </si>
  <si>
    <t>20962</t>
  </si>
  <si>
    <t>BD</t>
  </si>
  <si>
    <t>Part-Time</t>
  </si>
  <si>
    <t>Found</t>
  </si>
  <si>
    <t>Contracted shifts</t>
  </si>
  <si>
    <t>25989</t>
  </si>
  <si>
    <t>Casual</t>
  </si>
  <si>
    <t>Casual fallback - Settings maximum</t>
  </si>
  <si>
    <t>23673</t>
  </si>
  <si>
    <t>22913</t>
  </si>
  <si>
    <t>22116</t>
  </si>
  <si>
    <t>25109</t>
  </si>
  <si>
    <t>Full-Time</t>
  </si>
  <si>
    <t>Settings maximum</t>
  </si>
  <si>
    <t>25003</t>
  </si>
  <si>
    <t>26243</t>
  </si>
  <si>
    <t>26384</t>
  </si>
  <si>
    <t>25376</t>
  </si>
  <si>
    <t>22035</t>
  </si>
  <si>
    <t>24562</t>
  </si>
  <si>
    <t>23964</t>
  </si>
  <si>
    <t>26319</t>
  </si>
  <si>
    <t>23522</t>
  </si>
  <si>
    <t>25239</t>
  </si>
  <si>
    <t>26014</t>
  </si>
  <si>
    <t>20950</t>
  </si>
  <si>
    <t>23520</t>
  </si>
  <si>
    <t>23204</t>
  </si>
  <si>
    <t>25161</t>
  </si>
  <si>
    <t>22263</t>
  </si>
  <si>
    <t>22769</t>
  </si>
  <si>
    <t>19440</t>
  </si>
  <si>
    <t>23282</t>
  </si>
  <si>
    <t>19822</t>
  </si>
  <si>
    <t>19835</t>
  </si>
  <si>
    <t>23266</t>
  </si>
  <si>
    <t>24627</t>
  </si>
  <si>
    <t>26401</t>
  </si>
  <si>
    <t>21589</t>
  </si>
  <si>
    <t>24830</t>
  </si>
  <si>
    <t>23973</t>
  </si>
  <si>
    <t>21327</t>
  </si>
  <si>
    <t>20784</t>
  </si>
  <si>
    <t>20863</t>
  </si>
  <si>
    <t>24059</t>
  </si>
  <si>
    <t>24060</t>
  </si>
  <si>
    <t>26340</t>
  </si>
  <si>
    <t>23898</t>
  </si>
  <si>
    <t>19458</t>
  </si>
  <si>
    <t>19136</t>
  </si>
  <si>
    <t>25988</t>
  </si>
  <si>
    <t>25209</t>
  </si>
  <si>
    <t>19843</t>
  </si>
  <si>
    <t>24217</t>
  </si>
  <si>
    <t>22914</t>
  </si>
  <si>
    <t>20862</t>
  </si>
  <si>
    <t>24900</t>
  </si>
  <si>
    <t>24479</t>
  </si>
  <si>
    <t>22301</t>
  </si>
  <si>
    <t>19442</t>
  </si>
  <si>
    <t>19255</t>
  </si>
  <si>
    <t>23484</t>
  </si>
  <si>
    <t>26372</t>
  </si>
  <si>
    <t>24241</t>
  </si>
  <si>
    <t>21439</t>
  </si>
  <si>
    <t>24635</t>
  </si>
  <si>
    <t>23245</t>
  </si>
  <si>
    <t>24105</t>
  </si>
  <si>
    <t>24136</t>
  </si>
  <si>
    <t>23091</t>
  </si>
  <si>
    <t>15957</t>
  </si>
  <si>
    <t>23249</t>
  </si>
  <si>
    <t>25167</t>
  </si>
  <si>
    <t>24049</t>
  </si>
  <si>
    <t>26072</t>
  </si>
  <si>
    <t>25859</t>
  </si>
  <si>
    <t>24880</t>
  </si>
  <si>
    <t>26407</t>
  </si>
  <si>
    <t>25302</t>
  </si>
  <si>
    <t>22350</t>
  </si>
  <si>
    <t>26320</t>
  </si>
  <si>
    <t>22612</t>
  </si>
  <si>
    <t>19242</t>
  </si>
  <si>
    <t>22772</t>
  </si>
  <si>
    <t>23975</t>
  </si>
  <si>
    <t>23242</t>
  </si>
  <si>
    <t>21381</t>
  </si>
  <si>
    <t>26448</t>
  </si>
  <si>
    <t>24819</t>
  </si>
  <si>
    <t>26358</t>
  </si>
  <si>
    <t>18462</t>
  </si>
  <si>
    <t>19161</t>
  </si>
  <si>
    <t>21916</t>
  </si>
  <si>
    <t>23179</t>
  </si>
  <si>
    <t>22690</t>
  </si>
  <si>
    <t>25930</t>
  </si>
  <si>
    <t>25911</t>
  </si>
  <si>
    <t>Allocation</t>
  </si>
  <si>
    <t>21100</t>
  </si>
  <si>
    <t>Allocation-only resource</t>
  </si>
  <si>
    <t>23679</t>
  </si>
  <si>
    <t>26539</t>
  </si>
  <si>
    <t>19802</t>
  </si>
  <si>
    <t>20321</t>
  </si>
  <si>
    <t>20088</t>
  </si>
  <si>
    <t>24353</t>
  </si>
  <si>
    <t>17989</t>
  </si>
  <si>
    <t>19381</t>
  </si>
  <si>
    <t>24531</t>
  </si>
  <si>
    <t>23839</t>
  </si>
  <si>
    <t>25182</t>
  </si>
  <si>
    <t>24504</t>
  </si>
  <si>
    <t>24336</t>
  </si>
  <si>
    <t>25175</t>
  </si>
  <si>
    <t>24192</t>
  </si>
  <si>
    <t>24780</t>
  </si>
  <si>
    <t>24984</t>
  </si>
  <si>
    <t>24983</t>
  </si>
  <si>
    <t>22121</t>
  </si>
  <si>
    <t>21895</t>
  </si>
  <si>
    <t>23461</t>
  </si>
  <si>
    <t>19423</t>
  </si>
  <si>
    <t>23174</t>
  </si>
  <si>
    <t>24208</t>
  </si>
  <si>
    <t>20696</t>
  </si>
  <si>
    <t>Damien Stewart</t>
  </si>
  <si>
    <t>Mana Tuikilakil</t>
  </si>
  <si>
    <t>Mandy Manpreet</t>
  </si>
  <si>
    <t>Mani Kaur</t>
  </si>
  <si>
    <t>Robert Steven R</t>
  </si>
  <si>
    <t>EN</t>
  </si>
  <si>
    <t>JH-RY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</si>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</sst>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1" fillId="2" borderId="0" xfId="1" applyFill="1" applyAlignment="1">
      <alignment horizontal="left" vertical="top"/>
    </xf>
    <xf numFmtId="164" fontId="0" fillId="3" borderId="1" xfId="0" applyNumberFormat="1" applyFill="1" applyBorder="1"/>
    <xf numFmtId="164" fontId="0" fillId="3" borderId="3" xfId="0" applyNumberFormat="1" applyFill="1" applyBorder="1"/>
    <xf numFmtId="164" fontId="0" fillId="0" borderId="0" xfId="0" applyNumberFormat="1"/>
    <xf numFmtId="0" fontId="7" fillId="0" borderId="4" xfId="0" applyFont="1" applyBorder="1"/>
  </cellXfs>
  <cellStyles count="2">
    <cellStyle name="Normal" xfId="0" builtinId="0"/>
    <cellStyle name="Normal 2" xfId="1" xr:uid="{83C5B7E5-09E6-4BFC-9C44-EB85DD0E2394}"/>
  </cellStyles>
  <dxfs count="24">
    <dxf>
      <numFmt numFmtId="164" formatCode="m/d/yyyy"/>
    </dxf>
    <dxf>
      <numFmt numFmtId="164" formatCode="m/d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9" tint="0.39997558519241921"/>
        </bottom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2.0Accounts/Shared%20Documents/IndoChinese%20Aged%20Care/4.%20Analysis/221223/2.%20Calculations/P6%20AEM-Inefficiency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NSITY"/>
      <sheetName val="Months Days"/>
      <sheetName val="Input"/>
      <sheetName val="Factors"/>
      <sheetName val="Role Consol"/>
      <sheetName val="Names"/>
      <sheetName val="Transpose"/>
      <sheetName val="Demand"/>
      <sheetName val="NamesXPeriod"/>
      <sheetName val="NamesByDate+Leave"/>
      <sheetName val="Capacity"/>
      <sheetName val="Allocation"/>
      <sheetName val="Effort+Outcomes"/>
      <sheetName val="Pivot Check"/>
      <sheetName val="1Pool-AB-Op"/>
      <sheetName val="1Pool-EF-Op"/>
      <sheetName val="1Pool-IN-Op"/>
      <sheetName val="2Pond-Unit-AB"/>
      <sheetName val="2Pond-Unit-EF"/>
      <sheetName val="2Pond-Unit-IN"/>
      <sheetName val="2Pond-Role-AB"/>
      <sheetName val="2Pond-Role-EF"/>
      <sheetName val="2Pond-Role-IN"/>
      <sheetName val="3LakeAB"/>
      <sheetName val="3LakeEF"/>
      <sheetName val="3LakeIN"/>
      <sheetName val="SDTX PoolREG.ROLE"/>
      <sheetName val="SD PondROLE+IMP"/>
      <sheetName val="SD PondROLEBase"/>
      <sheetName val="SD PondROLES1"/>
      <sheetName val="IMP PondROLE"/>
      <sheetName val="WGT PondROLESBaseLake"/>
      <sheetName val="WGT PondROLES1Lake"/>
      <sheetName val="SD LakeBase"/>
      <sheetName val="SD LakeS1"/>
      <sheetName val="IMP Lake"/>
      <sheetName val="INTERVENTIONS"/>
      <sheetName val="Value"/>
      <sheetName val="$PoolMPACT"/>
      <sheetName val="$PoolIMPACTTranspose"/>
      <sheetName val="Sheet1"/>
      <sheetName val="Check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1.25</v>
          </cell>
        </row>
        <row r="6">
          <cell r="B6">
            <v>1.25</v>
          </cell>
        </row>
        <row r="7">
          <cell r="B7">
            <v>1.5</v>
          </cell>
        </row>
        <row r="8">
          <cell r="B8">
            <v>1.5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9">
          <cell r="B19">
            <v>2.5</v>
          </cell>
        </row>
        <row r="21">
          <cell r="B21">
            <v>12500</v>
          </cell>
        </row>
        <row r="22">
          <cell r="B22">
            <v>18750</v>
          </cell>
        </row>
        <row r="23">
          <cell r="B23">
            <v>31250</v>
          </cell>
          <cell r="E23">
            <v>3000000</v>
          </cell>
        </row>
        <row r="35">
          <cell r="B35">
            <v>0.02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  <sheetName val="FILEPATH"/>
      <sheetName val="ShiftHours"/>
      <sheetName val="Metadata"/>
      <sheetName val="Query3"/>
      <sheetName val="AllocationExtracted"/>
    </sheetNames>
    <sheetDataSet>
      <sheetData sheetId="0">
        <row r="20">
          <cell r="B20" t="str">
            <v>C:\Users\Alex\Centri\4. Production - Documents\WFEffectiveness\4.1.1 AGED CARE\01 Christadelphian Aged Care\240715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1C1C57-2D34-49E7-B8FC-A89BBCDAF77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9300F8-297B-4BCB-B6B3-844C385F2B6C}" autoFormatId="16" applyNumberFormats="0" applyBorderFormats="0" applyFontFormats="0" applyPatternFormats="0" applyAlignmentFormats="0" applyWidthHeightFormats="0">
  <queryTableRefresh nextId="2">
    <queryTableFields count="1">
      <queryTableField id="1" name="DateAlignmen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79F65F95-4913-4B18-9F87-275109E39C80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C41DA12-2D3C-4762-AEA0-12C7AE97135F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5BC247A-79FC-4DB0-82F9-112F895E3E20}" autoFormatId="16" applyNumberFormats="0" applyBorderFormats="0" applyFontFormats="0" applyPatternFormats="0" applyAlignmentFormats="0" applyWidthHeightFormats="0">
  <queryTableRefresh nextId="113">
    <queryTableFields count="84">
      <queryTableField id="96" name="Version" tableColumnId="83"/>
      <queryTableField id="91" name="Facility" tableColumnId="78"/>
      <queryTableField id="1" name="Level" tableColumnId="1"/>
      <queryTableField id="2" name="Date" tableColumnId="2"/>
      <queryTableField id="3" name="Role" tableColumnId="3"/>
      <queryTableField id="4" name="Role ID" tableColumnId="4"/>
      <queryTableField id="5" name="Role Abvrev" tableColumnId="5"/>
      <queryTableField id="6" name="Shift" tableColumnId="6"/>
      <queryTableField id="86" name="CapacityMaxHC" tableColumnId="79"/>
      <queryTableField id="7" name="D" tableColumnId="7"/>
      <queryTableField id="107" name="DateX" tableColumnId="85"/>
      <queryTableField id="89" name="DATESHIFT" tableColumnId="82"/>
      <queryTableField id="8" name="Cs" tableColumnId="8"/>
      <queryTableField id="9" name="CX" tableColumnId="9"/>
      <queryTableField id="10" name="A" tableColumnId="10"/>
      <queryTableField id="11" name="Ability PoN AG" tableColumnId="11"/>
      <queryTableField id="12" name="Ability PoX AG" tableColumnId="12"/>
      <queryTableField id="13" name="Ability Pl AG" tableColumnId="13"/>
      <queryTableField id="14" name="AB EXCESS OVER-ALLOCATION" tableColumnId="14"/>
      <queryTableField id="15" name="AB SPARE STRETCH" tableColumnId="15"/>
      <queryTableField id="16" name="AB SPARE SLACK" tableColumnId="16"/>
      <queryTableField id="17" name="AB SPARE STRETCH ALLOCATED" tableColumnId="17"/>
      <queryTableField id="18" name="AB SPARE SLACK ALLOCATED" tableColumnId="18"/>
      <queryTableField id="19" name="AB EXCESS STRETCH (ALLOCATED)" tableColumnId="19"/>
      <queryTableField id="20" name="AB EXCESS ALLOCATED SLACK" tableColumnId="20"/>
      <queryTableField id="21" name="AB EXCESS STRETCH" tableColumnId="21"/>
      <queryTableField id="22" name="AB EXCESS SLACK" tableColumnId="22"/>
      <queryTableField id="23" name="AB POTENTIAL SHORTFALL (OVER-ALLOCATED)" tableColumnId="23"/>
      <queryTableField id="24" name="AB POTENTIAL SHORTFALL" tableColumnId="24"/>
      <queryTableField id="25" name="AB WASTED STRETCH" tableColumnId="25"/>
      <queryTableField id="26" name="AB WASTED SLACK" tableColumnId="26"/>
      <queryTableField id="27" name="AB ALLOCATED STRETCH" tableColumnId="27"/>
      <queryTableField id="28" name="AB ALLOCATED SLACK" tableColumnId="28"/>
      <queryTableField id="29" name="AB UNALLOCATED SLACK" tableColumnId="29"/>
      <queryTableField id="30" name="AB LATENT" tableColumnId="30"/>
      <queryTableField id="31" name="AB LATENT.ALLOCATED" tableColumnId="31"/>
      <queryTableField id="32" name="AB  LATENT.OVERALLOCATED" tableColumnId="32"/>
      <queryTableField id="33" name="AB Potential" tableColumnId="33"/>
      <queryTableField id="34" name="Efficiency PoN  AG" tableColumnId="34"/>
      <queryTableField id="35" name="Efficiency PoX  AG" tableColumnId="35"/>
      <queryTableField id="36" name="Efficiency Pl AG" tableColumnId="36"/>
      <queryTableField id="37" name="EF EXCESS OVER-ALLOCATION" tableColumnId="37"/>
      <queryTableField id="38" name="EF SPARE STRETCH" tableColumnId="38"/>
      <queryTableField id="39" name="EF SPARE SLACK" tableColumnId="39"/>
      <queryTableField id="40" name="EF SPARE STRETCH ALLOCATED" tableColumnId="40"/>
      <queryTableField id="41" name="EF SPARE SLACK ALLOCATED" tableColumnId="41"/>
      <queryTableField id="42" name="EF EXCESS STRETCH (ALLOCATED)" tableColumnId="42"/>
      <queryTableField id="43" name="EF EXCESS ALLOCATED SLACK" tableColumnId="43"/>
      <queryTableField id="44" name="EF EXCESS STRETCH" tableColumnId="44"/>
      <queryTableField id="45" name="EF EXCESS SLACK" tableColumnId="45"/>
      <queryTableField id="46" name="EF POTENTIAL SHORTFALL (OVER-ALLOCATED)" tableColumnId="46"/>
      <queryTableField id="47" name="EF POTENTIAL SHORTFALL" tableColumnId="47"/>
      <queryTableField id="48" name="EF WASTED STRETCH" tableColumnId="48"/>
      <queryTableField id="49" name="EF WASTED SLACK" tableColumnId="49"/>
      <queryTableField id="50" name="EF ALLOCATED STRETCH" tableColumnId="50"/>
      <queryTableField id="51" name="EF ALLOCATED SLACK" tableColumnId="51"/>
      <queryTableField id="52" name="EF UNALLOCATED SLACK" tableColumnId="52"/>
      <queryTableField id="53" name="EF LATENT" tableColumnId="53"/>
      <queryTableField id="54" name="EF LATENT.ALLOCATED" tableColumnId="54"/>
      <queryTableField id="55" name="EF LATENT.OVERALLOCATED" tableColumnId="55"/>
      <queryTableField id="56" name="EF Potential" tableColumnId="56"/>
      <queryTableField id="57" name="Workload PoN  AG" tableColumnId="57"/>
      <queryTableField id="58" name="Workload PoX AG" tableColumnId="58"/>
      <queryTableField id="59" name="Workload Pl AG" tableColumnId="59"/>
      <queryTableField id="60" name="WL EXCESS OVER-ALLOCATION" tableColumnId="60"/>
      <queryTableField id="61" name="WL SPARE STRETCH" tableColumnId="61"/>
      <queryTableField id="62" name="WL SPARE SLACK" tableColumnId="62"/>
      <queryTableField id="63" name="WL SPARE STRETCH ALLOCATED" tableColumnId="63"/>
      <queryTableField id="64" name="WL SPARE SLACK ALLOCATED" tableColumnId="64"/>
      <queryTableField id="65" name="WL EXCESS STRETCH (ALLOCATED)" tableColumnId="65"/>
      <queryTableField id="66" name="WL EXCESS ALLOCATED SLACK" tableColumnId="66"/>
      <queryTableField id="67" name="WL EXCESS STRETCH" tableColumnId="67"/>
      <queryTableField id="68" name="WL EXCESS SLACK" tableColumnId="68"/>
      <queryTableField id="69" name="WL POTENTIAL SHORTFALL (OVER-ALLOCATED)" tableColumnId="69"/>
      <queryTableField id="70" name="WL POTENTIAL SHORTFALL" tableColumnId="70"/>
      <queryTableField id="71" name="WL WASTED STRETCH" tableColumnId="71"/>
      <queryTableField id="72" name="WL WASTED SLACK" tableColumnId="72"/>
      <queryTableField id="73" name="WL ALLOCATED STRETCH" tableColumnId="73"/>
      <queryTableField id="74" name="WL ALLOCATED SLACK" tableColumnId="74"/>
      <queryTableField id="75" name="WL UNALLOCATED SLACK" tableColumnId="75"/>
      <queryTableField id="76" name="WL  LATENT" tableColumnId="76"/>
      <queryTableField id="77" name="WL LATENT.ALLOCATED" tableColumnId="77"/>
      <queryTableField id="80" name="WL LATENT.OVERALLOCATED" tableColumnId="80"/>
      <queryTableField id="81" name="WL Potential" tableColumnId="8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3C29C30-634A-4548-88F6-4438B4AD8EAF}" autoFormatId="16" applyNumberFormats="0" applyBorderFormats="0" applyFontFormats="0" applyPatternFormats="0" applyAlignmentFormats="0" applyWidthHeightFormats="0">
  <queryTableRefresh nextId="89">
    <queryTableFields count="82">
      <queryTableField id="1" name="Version" tableColumnId="1"/>
      <queryTableField id="2" name="Facility" tableColumnId="2"/>
      <queryTableField id="3" name="Level" tableColumnId="3"/>
      <queryTableField id="4" name="Date" tableColumnId="4"/>
      <queryTableField id="5" name="Role" tableColumnId="5"/>
      <queryTableField id="6" name="Shift" tableColumnId="6"/>
      <queryTableField id="7" name="D" tableColumnId="7"/>
      <queryTableField id="8" name="Cs" tableColumnId="8"/>
      <queryTableField id="9" name="CapacityMaxHC" tableColumnId="9"/>
      <queryTableField id="10" name="CX" tableColumnId="10"/>
      <queryTableField id="87" name="DateX" tableColumnId="83"/>
      <queryTableField id="12" name="DATESHIFT" tableColumnId="12"/>
      <queryTableField id="13" name="A" tableColumnId="13"/>
      <queryTableField id="14" name="Apn" tableColumnId="14"/>
      <queryTableField id="15" name="Apx" tableColumnId="15"/>
      <queryTableField id="16" name="Ai" tableColumnId="16"/>
      <queryTableField id="17" name="AB EXCESS OVER-ALLOCATION" tableColumnId="17"/>
      <queryTableField id="18" name="AB SPARE STRETCH" tableColumnId="18"/>
      <queryTableField id="19" name="AB SPARE SLACK" tableColumnId="19"/>
      <queryTableField id="20" name="AB SPARE STRETCH ALLOCATED" tableColumnId="20"/>
      <queryTableField id="21" name="AB SPARE SLACK ALLOCATED" tableColumnId="21"/>
      <queryTableField id="22" name="AB EXCESS STRETCH (ALLOCATED)" tableColumnId="22"/>
      <queryTableField id="23" name="AB EXCESS ALLOCATED SLACK" tableColumnId="23"/>
      <queryTableField id="24" name="AB EXCESS STRETCH" tableColumnId="24"/>
      <queryTableField id="25" name="AB EXCESS SLACK" tableColumnId="25"/>
      <queryTableField id="26" name="AB POTENTIAL SHORTFALL (OVER-ALLOCATED)" tableColumnId="26"/>
      <queryTableField id="27" name="AB POTENTIAL SHORTFALL" tableColumnId="27"/>
      <queryTableField id="28" name="AB WASTED STRETCH" tableColumnId="28"/>
      <queryTableField id="29" name="AB WASTED SLACK" tableColumnId="29"/>
      <queryTableField id="30" name="AB ALLOCATED STRETCH" tableColumnId="30"/>
      <queryTableField id="31" name="AB ALLOCATED SLACK" tableColumnId="31"/>
      <queryTableField id="32" name="AB UNALLOCATED SLACK" tableColumnId="32"/>
      <queryTableField id="33" name="AB LATENT" tableColumnId="33"/>
      <queryTableField id="34" name="AB LATENT.ALLOCATED" tableColumnId="34"/>
      <queryTableField id="35" name="AB  LATENT.OVERALLOCATED" tableColumnId="35"/>
      <queryTableField id="36" name="AB Potential" tableColumnId="36"/>
      <queryTableField id="37" name="Epn" tableColumnId="37"/>
      <queryTableField id="38" name="EpX" tableColumnId="38"/>
      <queryTableField id="39" name="Ein" tableColumnId="39"/>
      <queryTableField id="40" name="EF EXCESS OVER-ALLOCATION" tableColumnId="40"/>
      <queryTableField id="41" name="EF SPARE STRETCH" tableColumnId="41"/>
      <queryTableField id="42" name="EF SPARE SLACK" tableColumnId="42"/>
      <queryTableField id="43" name="EF SPARE STRETCH ALLOCATED" tableColumnId="43"/>
      <queryTableField id="44" name="EF SPARE SLACK ALLOCATED" tableColumnId="44"/>
      <queryTableField id="45" name="EF EXCESS STRETCH (ALLOCATED)" tableColumnId="45"/>
      <queryTableField id="46" name="EF EXCESS ALLOCATED SLACK" tableColumnId="46"/>
      <queryTableField id="47" name="EF EXCESS STRETCH" tableColumnId="47"/>
      <queryTableField id="48" name="EF EXCESS SLACK" tableColumnId="48"/>
      <queryTableField id="49" name="EF POTENTIAL SHORTFALL (OVER-ALLOCATED)" tableColumnId="49"/>
      <queryTableField id="50" name="EF POTENTIAL SHORTFALL" tableColumnId="50"/>
      <queryTableField id="51" name="EF WASTED STRETCH" tableColumnId="51"/>
      <queryTableField id="52" name="EF WASTED SLACK" tableColumnId="52"/>
      <queryTableField id="53" name="EF ALLOCATED STRETCH" tableColumnId="53"/>
      <queryTableField id="54" name="EF ALLOCATED SLACK" tableColumnId="54"/>
      <queryTableField id="55" name="EF UNALLOCATED SLACK" tableColumnId="55"/>
      <queryTableField id="56" name="EF LATENT" tableColumnId="56"/>
      <queryTableField id="57" name="EF LATENT.ALLOCATED" tableColumnId="57"/>
      <queryTableField id="58" name="EF LATENT.OVERALLOCATED" tableColumnId="58"/>
      <queryTableField id="59" name="EF Potential" tableColumnId="59"/>
      <queryTableField id="60" name="Ipn" tableColumnId="60"/>
      <queryTableField id="61" name="Ipx" tableColumnId="61"/>
      <queryTableField id="62" name="Iin" tableColumnId="62"/>
      <queryTableField id="63" name="IN EXCESS OVER-ALLOCATION" tableColumnId="63"/>
      <queryTableField id="64" name="IN SPARE STRETCH" tableColumnId="64"/>
      <queryTableField id="65" name="IN SPARE SLACK" tableColumnId="65"/>
      <queryTableField id="66" name="IN SPARE STRETCH ALLOCATED" tableColumnId="66"/>
      <queryTableField id="67" name="IN SPARE SLACK ALLOCATED" tableColumnId="67"/>
      <queryTableField id="68" name="IN EXCESS STRETCH (ALLOCATED)" tableColumnId="68"/>
      <queryTableField id="69" name="IN EXCESS ALLOCATED SLACK" tableColumnId="69"/>
      <queryTableField id="70" name="IN EXCESS STRETCH" tableColumnId="70"/>
      <queryTableField id="71" name="IN EXCESS SLACK" tableColumnId="71"/>
      <queryTableField id="72" name="IN POTENTIAL SHORTFALL (OVER-ALLOCATED)" tableColumnId="72"/>
      <queryTableField id="73" name="IN POTENTIAL SHORTFALL" tableColumnId="73"/>
      <queryTableField id="74" name="IN WASTED STRETCH" tableColumnId="74"/>
      <queryTableField id="75" name="IN WASTED SLACK" tableColumnId="75"/>
      <queryTableField id="76" name="IN ALLOCATED STRETCH" tableColumnId="76"/>
      <queryTableField id="77" name="IN ALLOCATED SLACK" tableColumnId="77"/>
      <queryTableField id="78" name="IN UNALLOCATED SLACK" tableColumnId="78"/>
      <queryTableField id="79" name="IN LATENT" tableColumnId="79"/>
      <queryTableField id="80" name="IN LATENT.ALLOCATED" tableColumnId="80"/>
      <queryTableField id="81" name="IN LATENT.OVERALLOCATED" tableColumnId="81"/>
      <queryTableField id="82" name="IN Potential" tableColumnId="8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063F1B-E502-4F4D-9715-51BD4B0CAC45}" name="FilePathUrl" displayName="FilePathUrl" ref="A1:A2" totalsRowShown="0">
  <autoFilter ref="A1:A2" xr:uid="{A5063F1B-E502-4F4D-9715-51BD4B0CAC45}"/>
  <tableColumns count="1">
    <tableColumn id="1" xr3:uid="{0FF65D8D-224D-4F51-AC60-FCDF015CA161}" name="FilePath">
      <calculatedColumnFormula>CELL("filename",A1)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8CEAB3-E46E-4354-8D00-8393ED9E592D}" name="DateLevelPathRecord" displayName="DateLevelPathRecord" ref="A3:B12" tableType="queryTable" totalsRowShown="0" headerRowDxfId="18" dataDxfId="17" headerRowCellStyle="Normal 2" dataCellStyle="Normal 2">
  <autoFilter ref="A3:B12" xr:uid="{138CEAB3-E46E-4354-8D00-8393ED9E592D}"/>
  <tableColumns count="2">
    <tableColumn id="1" xr3:uid="{A5E69D19-4AF4-451D-8058-7338C091EF25}" uniqueName="1" name="Name" queryTableFieldId="1" dataDxfId="3" dataCellStyle="Normal 2"/>
    <tableColumn id="2" xr3:uid="{23049015-6355-4C57-B785-18CED17ACE8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7FDCB-9122-462D-BCEE-ACAF4D8AC1CA}" name="Folder" displayName="Folder" ref="B25:B26" totalsRowShown="0" dataDxfId="16">
  <autoFilter ref="B25:B26" xr:uid="{336E7093-3530-42C5-AF8A-E29B36BB2C09}"/>
  <tableColumns count="1">
    <tableColumn id="1" xr3:uid="{75F30B5E-891B-42C3-9DC3-539A214C413A}" name="Folder" dataDxfId="15">
      <calculatedColumnFormula>$B$18&amp;"\"&amp;B21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E1E0D-191E-4395-B952-3E4B78792422}" name="Table1" displayName="Table1" ref="B39:B42" totalsRowShown="0" headerRowDxfId="14" tableBorderDxfId="13" headerRowCellStyle="Normal 2">
  <autoFilter ref="B39:B42" xr:uid="{A44E1E0D-191E-4395-B952-3E4B78792422}"/>
  <tableColumns count="1">
    <tableColumn id="1" xr3:uid="{082B569F-D13D-469E-8CDA-4EA267864220}" name="DateAlign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952E80-328A-40C8-AA3F-1D0E1237DE32}" name="DateAlignment" displayName="DateAlignment" ref="A1:A2" tableType="queryTable" totalsRowShown="0">
  <autoFilter ref="A1:A2" xr:uid="{D0952E80-328A-40C8-AA3F-1D0E1237DE32}"/>
  <tableColumns count="1">
    <tableColumn id="1" xr3:uid="{8846D437-78CF-46B8-A134-2E5E96C35701}" uniqueName="1" name="DateAlignment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1209AD-8983-4F37-B72D-F80DFBF4ED37}" name="Masterlist" displayName="Masterlist" ref="A1:U116" tableType="queryTable" totalsRowShown="0">
  <autoFilter ref="A1:U116" xr:uid="{3B1209AD-8983-4F37-B72D-F80DFBF4ED37}"/>
  <tableColumns count="21">
    <tableColumn id="2" xr3:uid="{21D4F8F3-CE94-48B6-842A-24E270300EC8}" uniqueName="2" name="Name" queryTableFieldId="2" dataDxfId="12"/>
    <tableColumn id="1" xr3:uid="{9BB29320-EF28-4C01-81DC-B5F2EDA4FFC1}" uniqueName="1" name="Role" queryTableFieldId="1" dataDxfId="11"/>
    <tableColumn id="3" xr3:uid="{375B606E-30CA-4E19-A7EC-F99D866E9E95}" uniqueName="3" name="Resource" queryTableFieldId="3"/>
    <tableColumn id="4" xr3:uid="{F2FB0EAE-1E03-4135-83FC-48DC8AA9E00D}" uniqueName="4" name="Misalignment" queryTableFieldId="4" dataDxfId="10"/>
    <tableColumn id="5" xr3:uid="{0EF5133C-DCA9-420B-A1EB-8DCBF4D49B60}" uniqueName="5" name="Source" queryTableFieldId="5"/>
    <tableColumn id="6" xr3:uid="{F31C8B2F-8882-47E2-8A2F-0F7228E19B2D}" uniqueName="6" name="EmployeeID" queryTableFieldId="6"/>
    <tableColumn id="7" xr3:uid="{B77EC2A2-7F1E-4135-B4FE-78F98441DA46}" uniqueName="7" name="Facility-Abbrev" queryTableFieldId="7"/>
    <tableColumn id="8" xr3:uid="{997777EA-32E9-44AC-9AA4-D44801576B93}" uniqueName="8" name="EmploymentType" queryTableFieldId="8"/>
    <tableColumn id="9" xr3:uid="{BED53493-FF69-4AB5-B80C-C5D92E30B13F}" uniqueName="9" name="PreferredRole" queryTableFieldId="9"/>
    <tableColumn id="10" xr3:uid="{E9A6FF08-9C27-498F-A76F-7453F2C4B9DE}" uniqueName="10" name="Worker Record Status" queryTableFieldId="10"/>
    <tableColumn id="11" xr3:uid="{1D40E3BA-D63A-4556-92A9-4D0C39F793BE}" uniqueName="11" name="Worker Contract Issue" queryTableFieldId="11"/>
    <tableColumn id="12" xr3:uid="{95B40C7F-D2F7-448B-AEE4-5E52F9D645A8}" uniqueName="12" name="Contracted FN Hours" queryTableFieldId="12"/>
    <tableColumn id="13" xr3:uid="{C6A99C07-B36F-4885-85A8-522E25E2B5BD}" uniqueName="13" name="Roster Start" queryTableFieldId="13"/>
    <tableColumn id="14" xr3:uid="{0B83CCB0-D8F7-42F4-8599-09E8574CEADA}" uniqueName="14" name="Roster End" queryTableFieldId="14"/>
    <tableColumn id="15" xr3:uid="{26291827-8A8E-424A-8F60-E790CF1A661F}" uniqueName="15" name="Roster Fortnights" queryTableFieldId="15"/>
    <tableColumn id="16" xr3:uid="{4A7358AA-B928-45FF-AA85-015EF76E1F1D}" uniqueName="16" name="Contracted Roster Hours" queryTableFieldId="16"/>
    <tableColumn id="17" xr3:uid="{FF2B079F-D418-4DD9-8F46-978EF0942BD0}" uniqueName="17" name="Contracted Shift Equivalent" queryTableFieldId="17"/>
    <tableColumn id="18" xr3:uid="{197EB7EB-5EA2-4B12-ABCA-33179DCF5472}" uniqueName="18" name="Contracted Shifts" queryTableFieldId="18"/>
    <tableColumn id="19" xr3:uid="{F23E6E90-441F-4A66-85A3-61D1AE36D9FC}" uniqueName="19" name="Settings Max Availability" queryTableFieldId="19"/>
    <tableColumn id="20" xr3:uid="{C66FF3FA-6278-4EC4-BF4C-0C9832063C34}" uniqueName="20" name="Effective Shift Cap" queryTableFieldId="20"/>
    <tableColumn id="21" xr3:uid="{62FFCEF1-7D6F-46CC-91E0-997CC8A7FECF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577824-87D5-479F-B1FB-4A6C0777B684}" name="IMPORT_Table_Masterlist" displayName="IMPORT_Table_Masterlist" ref="A1:U116" tableType="queryTable" totalsRowShown="0">
  <autoFilter ref="A1:U116" xr:uid="{63577824-87D5-479F-B1FB-4A6C0777B684}"/>
  <tableColumns count="21">
    <tableColumn id="2" xr3:uid="{F79DCDFD-D2D1-4BD2-BA64-AA3F43036487}" uniqueName="2" name="Name" queryTableFieldId="2" dataDxfId="9"/>
    <tableColumn id="1" xr3:uid="{A0C70810-E456-4CC8-8F2E-69D2A799B3C8}" uniqueName="1" name="Role" queryTableFieldId="1" dataDxfId="8"/>
    <tableColumn id="3" xr3:uid="{C44C26E2-0D69-43DE-9383-A8F0C6006C05}" uniqueName="3" name="Resource" queryTableFieldId="3"/>
    <tableColumn id="4" xr3:uid="{E70EF5F0-D976-469E-9810-3FB1B84718B8}" uniqueName="4" name="Misalignment" queryTableFieldId="4" dataDxfId="7"/>
    <tableColumn id="5" xr3:uid="{C783E163-C98B-454D-A731-0811DC2C739B}" uniqueName="5" name="Source" queryTableFieldId="5"/>
    <tableColumn id="6" xr3:uid="{54001F6D-AD07-4CF2-9462-C95EDB178AE2}" uniqueName="6" name="EmployeeID" queryTableFieldId="6"/>
    <tableColumn id="7" xr3:uid="{1B8B5C2E-1B9B-49BD-8A9B-E60EE6884891}" uniqueName="7" name="Facility-Abbrev" queryTableFieldId="7"/>
    <tableColumn id="8" xr3:uid="{08F42409-1F6A-418B-ABD0-07CD60D3C849}" uniqueName="8" name="EmploymentType" queryTableFieldId="8"/>
    <tableColumn id="9" xr3:uid="{BFC4B20D-50C8-408A-AA5C-E666DC383163}" uniqueName="9" name="PreferredRole" queryTableFieldId="9"/>
    <tableColumn id="10" xr3:uid="{BD02EDB3-7B66-4876-BCA8-EF2604134A72}" uniqueName="10" name="Worker Record Status" queryTableFieldId="10"/>
    <tableColumn id="11" xr3:uid="{E2D25F98-C59B-4A2E-8E12-690E4B8C1EE3}" uniqueName="11" name="Worker Contract Issue" queryTableFieldId="11"/>
    <tableColumn id="12" xr3:uid="{8BE82F5E-B0DA-49B0-BA01-99C4E8B7AF83}" uniqueName="12" name="Contracted FN Hours" queryTableFieldId="12"/>
    <tableColumn id="13" xr3:uid="{FA33E23E-15FE-48E4-B804-14D357D83A78}" uniqueName="13" name="Roster Start" queryTableFieldId="13"/>
    <tableColumn id="14" xr3:uid="{7C0BC3C0-8B6D-4005-AA84-60B31B41A0B6}" uniqueName="14" name="Roster End" queryTableFieldId="14"/>
    <tableColumn id="15" xr3:uid="{EC2D405A-A517-4071-B537-4759B8B4C437}" uniqueName="15" name="Roster Fortnights" queryTableFieldId="15"/>
    <tableColumn id="16" xr3:uid="{D74587B3-74DA-41CB-BF6B-B9E5B66E5529}" uniqueName="16" name="Contracted Roster Hours" queryTableFieldId="16"/>
    <tableColumn id="17" xr3:uid="{0F5194DD-A836-472B-BF13-8DDEAA5F2CBD}" uniqueName="17" name="Contracted Shift Equivalent" queryTableFieldId="17"/>
    <tableColumn id="18" xr3:uid="{E4F10AAC-17C2-4B7B-A858-40FE4F11D5E0}" uniqueName="18" name="Contracted Shifts" queryTableFieldId="18"/>
    <tableColumn id="19" xr3:uid="{398ED370-6BCE-4F69-AB8A-10DF7875F320}" uniqueName="19" name="Settings Max Availability" queryTableFieldId="19"/>
    <tableColumn id="20" xr3:uid="{122189DB-8356-49AE-9B99-DFCBE5768148}" uniqueName="20" name="Effective Shift Cap" queryTableFieldId="20"/>
    <tableColumn id="21" xr3:uid="{7282E283-B3EC-46A0-8707-E6E8A7A4774A}" uniqueName="21" name="Limit Basis" queryTableField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0BBA9-3FD7-4B48-A21D-9C1A7A742037}" name="InefficienciesAGL2Day3210" displayName="InefficienciesAGL2Day3210" ref="A1:CF1125" tableType="queryTable" totalsRowShown="0">
  <autoFilter ref="A1:CF1125" xr:uid="{F920BBA9-3FD7-4B48-A21D-9C1A7A742037}">
    <filterColumn colId="2">
      <filters>
        <filter val="3-Pool"/>
      </filters>
    </filterColumn>
    <filterColumn colId="3">
      <filters>
        <dateGroupItem year="2026" month="7" day="24" dateTimeGrouping="day"/>
      </filters>
    </filterColumn>
    <filterColumn colId="5">
      <filters>
        <filter val="AIN"/>
      </filters>
    </filterColumn>
    <filterColumn colId="7">
      <filters>
        <filter val="AM"/>
      </filters>
    </filterColumn>
  </autoFilter>
  <tableColumns count="84">
    <tableColumn id="83" xr3:uid="{54310CFA-1854-4943-8BFA-EEB4C69B2872}" uniqueName="83" name="Version" queryTableFieldId="96"/>
    <tableColumn id="78" xr3:uid="{CB928C26-C9B9-43C8-955C-08BB78648114}" uniqueName="78" name="Facility" queryTableFieldId="91"/>
    <tableColumn id="1" xr3:uid="{049645FA-D809-4AE6-B47A-AEF820BB9073}" uniqueName="1" name="Level" queryTableFieldId="1" dataDxfId="23"/>
    <tableColumn id="2" xr3:uid="{10A68B55-0964-428C-AF8A-B46CE57C592B}" uniqueName="2" name="Date" queryTableFieldId="2" dataDxfId="1"/>
    <tableColumn id="3" xr3:uid="{DA455563-069B-4788-8F36-1A15C6E941EA}" uniqueName="3" name="Role" queryTableFieldId="3" dataDxfId="22"/>
    <tableColumn id="4" xr3:uid="{C7A5102E-30B2-4843-B59C-C935311B8C60}" uniqueName="4" name="Role ID" queryTableFieldId="4" dataDxfId="21"/>
    <tableColumn id="5" xr3:uid="{DD2A1E21-54F0-4DED-9682-2A0BA8705790}" uniqueName="5" name="Role Abvrev" queryTableFieldId="5" dataDxfId="20"/>
    <tableColumn id="6" xr3:uid="{ED67227D-FE65-4A40-B04E-1C6DCC8E65A4}" uniqueName="6" name="Shift" queryTableFieldId="6" dataDxfId="19"/>
    <tableColumn id="79" xr3:uid="{1205560D-6B9C-4DC8-BD46-8C1E20039EFA}" uniqueName="79" name="CapacityMaxHC" queryTableFieldId="86"/>
    <tableColumn id="7" xr3:uid="{D9E3B1D5-F3CE-4DE4-942F-714BCC8332F4}" uniqueName="7" name="D" queryTableFieldId="7"/>
    <tableColumn id="85" xr3:uid="{5D799388-9837-4094-8A5D-886E2EC95801}" uniqueName="85" name="DateX" queryTableFieldId="107"/>
    <tableColumn id="82" xr3:uid="{53F2EB7D-0F67-464C-9287-67D241447E3F}" uniqueName="82" name="DATESHIFT" queryTableFieldId="89"/>
    <tableColumn id="8" xr3:uid="{A306FFDA-6233-4F9C-B034-1D9849B637C0}" uniqueName="8" name="Cs" queryTableFieldId="8"/>
    <tableColumn id="9" xr3:uid="{52224AC6-90D6-4CE0-99C3-D4EF45C1F31E}" uniqueName="9" name="CX" queryTableFieldId="9"/>
    <tableColumn id="10" xr3:uid="{7681CE8D-A36C-414D-B276-8B36AE4C7632}" uniqueName="10" name="A" queryTableFieldId="10"/>
    <tableColumn id="11" xr3:uid="{972D776A-404A-4F13-BF69-5B3461464ACF}" uniqueName="11" name="Ability PoN AG" queryTableFieldId="11"/>
    <tableColumn id="12" xr3:uid="{04325ACF-E594-44C5-AC61-1A09286A177E}" uniqueName="12" name="Ability PoX AG" queryTableFieldId="12"/>
    <tableColumn id="13" xr3:uid="{34F142C4-A439-4F24-9587-648FEA51D9F6}" uniqueName="13" name="Ability Pl AG" queryTableFieldId="13"/>
    <tableColumn id="14" xr3:uid="{78D41C17-8545-4812-9980-BD96DB2F6E10}" uniqueName="14" name="AB EXCESS OVER-ALLOCATION" queryTableFieldId="14"/>
    <tableColumn id="15" xr3:uid="{56E12FA5-E0F7-418A-B960-3A89DD9186CA}" uniqueName="15" name="AB SPARE STRETCH" queryTableFieldId="15"/>
    <tableColumn id="16" xr3:uid="{181DDAFA-982E-4A03-BB1D-405916373C89}" uniqueName="16" name="AB SPARE SLACK" queryTableFieldId="16"/>
    <tableColumn id="17" xr3:uid="{3A3E5FB7-4F59-4FA1-BBF8-4C092816171A}" uniqueName="17" name="AB SPARE STRETCH ALLOCATED" queryTableFieldId="17"/>
    <tableColumn id="18" xr3:uid="{BD2C67A9-A677-45C8-A827-AF5DF1E7AA63}" uniqueName="18" name="AB SPARE SLACK ALLOCATED" queryTableFieldId="18"/>
    <tableColumn id="19" xr3:uid="{CB331616-7909-467A-A3B3-1B67C5EB0D54}" uniqueName="19" name="AB EXCESS STRETCH (ALLOCATED)" queryTableFieldId="19"/>
    <tableColumn id="20" xr3:uid="{5EEAC05D-9301-49F1-9985-112F1A46EFED}" uniqueName="20" name="AB EXCESS ALLOCATED SLACK" queryTableFieldId="20"/>
    <tableColumn id="21" xr3:uid="{A485733F-9DB3-4DBE-B017-8033D770F7FD}" uniqueName="21" name="AB EXCESS STRETCH" queryTableFieldId="21"/>
    <tableColumn id="22" xr3:uid="{DD0FA0BE-97D0-4A60-9E7D-E80BAF0A59BD}" uniqueName="22" name="AB EXCESS SLACK" queryTableFieldId="22"/>
    <tableColumn id="23" xr3:uid="{8695A2E7-FCF7-43AA-942A-5FA3A021458B}" uniqueName="23" name="AB POTENTIAL SHORTFALL (OVER-ALLOCATED)" queryTableFieldId="23"/>
    <tableColumn id="24" xr3:uid="{9DAFAE42-924B-4289-9286-F06B36C7EEA1}" uniqueName="24" name="AB POTENTIAL SHORTFALL" queryTableFieldId="24"/>
    <tableColumn id="25" xr3:uid="{A7C497F8-80B7-43F3-8BC8-2938D0C9F9F1}" uniqueName="25" name="AB WASTED STRETCH" queryTableFieldId="25"/>
    <tableColumn id="26" xr3:uid="{509762EE-107B-4C92-A9F7-4EB1BFCB898E}" uniqueName="26" name="AB WASTED SLACK" queryTableFieldId="26"/>
    <tableColumn id="27" xr3:uid="{68497E17-03EB-4D5D-87AF-ECB4CB5358AE}" uniqueName="27" name="AB ALLOCATED STRETCH" queryTableFieldId="27"/>
    <tableColumn id="28" xr3:uid="{F6FDEBC0-16B2-43F3-B194-B11ED438F8FA}" uniqueName="28" name="AB ALLOCATED SLACK" queryTableFieldId="28"/>
    <tableColumn id="29" xr3:uid="{717C2AB6-C3F2-4064-83D4-1E8E872F2C5A}" uniqueName="29" name="AB UNALLOCATED SLACK" queryTableFieldId="29"/>
    <tableColumn id="30" xr3:uid="{432DD3EE-62B4-47DB-9434-F5A93CFE5941}" uniqueName="30" name="AB LATENT" queryTableFieldId="30"/>
    <tableColumn id="31" xr3:uid="{CAC6E41A-94DF-4DF6-AC43-E8FBB1AC826A}" uniqueName="31" name="AB LATENT.ALLOCATED" queryTableFieldId="31"/>
    <tableColumn id="32" xr3:uid="{73E8E3C0-4FA3-4179-8219-CD677BBBF748}" uniqueName="32" name="AB  LATENT.OVERALLOCATED" queryTableFieldId="32"/>
    <tableColumn id="33" xr3:uid="{89BD200C-68D3-420A-85B1-F530B38C6E8D}" uniqueName="33" name="AB Potential" queryTableFieldId="33"/>
    <tableColumn id="34" xr3:uid="{CF0372A9-6406-45E5-8174-A0245FA1F8B0}" uniqueName="34" name="Efficiency PoN  AG" queryTableFieldId="34"/>
    <tableColumn id="35" xr3:uid="{26F403D1-AC80-4D02-A504-A37351A59026}" uniqueName="35" name="Efficiency PoX  AG" queryTableFieldId="35"/>
    <tableColumn id="36" xr3:uid="{CE526E1C-CA71-48C0-BCB2-6B206994A62B}" uniqueName="36" name="Efficiency Pl AG" queryTableFieldId="36"/>
    <tableColumn id="37" xr3:uid="{428F1239-1A5C-419C-AEB5-29BBD8F4C867}" uniqueName="37" name="EF EXCESS OVER-ALLOCATION" queryTableFieldId="37"/>
    <tableColumn id="38" xr3:uid="{FB7AEF3A-3101-457C-A65F-92096320C379}" uniqueName="38" name="EF SPARE STRETCH" queryTableFieldId="38"/>
    <tableColumn id="39" xr3:uid="{BC3188DA-42BB-4EF8-9594-DD8A21EBA110}" uniqueName="39" name="EF SPARE SLACK" queryTableFieldId="39"/>
    <tableColumn id="40" xr3:uid="{FCAB23A0-1984-4020-AC11-F5EC2A3747EB}" uniqueName="40" name="EF SPARE STRETCH ALLOCATED" queryTableFieldId="40"/>
    <tableColumn id="41" xr3:uid="{2F555755-7AD8-4AE3-A5E7-D374C8AA2912}" uniqueName="41" name="EF SPARE SLACK ALLOCATED" queryTableFieldId="41"/>
    <tableColumn id="42" xr3:uid="{62E05BCB-D2DA-4CC2-BF7A-2BCF4C9681BD}" uniqueName="42" name="EF EXCESS STRETCH (ALLOCATED)" queryTableFieldId="42"/>
    <tableColumn id="43" xr3:uid="{1A292E61-9694-4C46-9636-8EEEABC2C541}" uniqueName="43" name="EF EXCESS ALLOCATED SLACK" queryTableFieldId="43"/>
    <tableColumn id="44" xr3:uid="{172E2B9A-EAB5-41CD-831C-C7AA239AD1EE}" uniqueName="44" name="EF EXCESS STRETCH" queryTableFieldId="44"/>
    <tableColumn id="45" xr3:uid="{148987C5-A3CA-4A38-80C6-29F9CC7635E5}" uniqueName="45" name="EF EXCESS SLACK" queryTableFieldId="45"/>
    <tableColumn id="46" xr3:uid="{82E726C3-819D-415B-972C-B1C6B2E7DBFE}" uniqueName="46" name="EF POTENTIAL SHORTFALL (OVER-ALLOCATED)" queryTableFieldId="46"/>
    <tableColumn id="47" xr3:uid="{B8C072E0-B1B4-4261-ADC8-81C93B89D213}" uniqueName="47" name="EF POTENTIAL SHORTFALL" queryTableFieldId="47"/>
    <tableColumn id="48" xr3:uid="{D87E5A3C-6FF0-4E15-92F4-B7D808E27214}" uniqueName="48" name="EF WASTED STRETCH" queryTableFieldId="48"/>
    <tableColumn id="49" xr3:uid="{18F2F47C-1347-49DF-8580-F43A96055EB1}" uniqueName="49" name="EF WASTED SLACK" queryTableFieldId="49"/>
    <tableColumn id="50" xr3:uid="{E03ADD95-2B3F-4E47-A875-A1A956E0D0CE}" uniqueName="50" name="EF ALLOCATED STRETCH" queryTableFieldId="50"/>
    <tableColumn id="51" xr3:uid="{704F58D5-6914-483D-886F-06E4655D0654}" uniqueName="51" name="EF ALLOCATED SLACK" queryTableFieldId="51"/>
    <tableColumn id="52" xr3:uid="{4C6E6405-9B7C-48F8-889F-3FBCFC8C006F}" uniqueName="52" name="EF UNALLOCATED SLACK" queryTableFieldId="52"/>
    <tableColumn id="53" xr3:uid="{DB30C10E-4673-40E3-9088-B724564419FB}" uniqueName="53" name="EF LATENT" queryTableFieldId="53"/>
    <tableColumn id="54" xr3:uid="{1AC02DA3-8A28-44EC-8A4A-29AF5E79B315}" uniqueName="54" name="EF LATENT.ALLOCATED" queryTableFieldId="54"/>
    <tableColumn id="55" xr3:uid="{D81BDF5A-9039-4911-BAC0-203792DF575C}" uniqueName="55" name="EF LATENT.OVERALLOCATED" queryTableFieldId="55"/>
    <tableColumn id="56" xr3:uid="{E5381729-BD37-42C2-9184-E4DB4619F576}" uniqueName="56" name="EF Potential" queryTableFieldId="56"/>
    <tableColumn id="57" xr3:uid="{51F722AB-83EE-47F9-93B6-56DE27FE485C}" uniqueName="57" name="Workload PoN  AG" queryTableFieldId="57"/>
    <tableColumn id="58" xr3:uid="{53E4E011-C58B-47ED-A559-94B64C9B470E}" uniqueName="58" name="Workload PoX AG" queryTableFieldId="58"/>
    <tableColumn id="59" xr3:uid="{9320B868-66B7-42BB-8135-59095DADF38B}" uniqueName="59" name="Workload Pl AG" queryTableFieldId="59"/>
    <tableColumn id="60" xr3:uid="{63E4AA46-E147-487B-95D3-8B725949A6BE}" uniqueName="60" name="WL EXCESS OVER-ALLOCATION" queryTableFieldId="60"/>
    <tableColumn id="61" xr3:uid="{EF3F515C-B2A1-4736-926D-7E8B0C0DAAA9}" uniqueName="61" name="WL SPARE STRETCH" queryTableFieldId="61"/>
    <tableColumn id="62" xr3:uid="{4C8EF0BE-4944-4415-B1EE-8FA252E0CABE}" uniqueName="62" name="WL SPARE SLACK" queryTableFieldId="62"/>
    <tableColumn id="63" xr3:uid="{725A57D1-9767-4506-BE6E-FDEF25B5C542}" uniqueName="63" name="WL SPARE STRETCH ALLOCATED" queryTableFieldId="63"/>
    <tableColumn id="64" xr3:uid="{9E9E0EF1-4DD0-43DE-B5C2-F47425AE1F80}" uniqueName="64" name="WL SPARE SLACK ALLOCATED" queryTableFieldId="64"/>
    <tableColumn id="65" xr3:uid="{B80842EB-4223-4ECD-B818-0DE46DD813D4}" uniqueName="65" name="WL EXCESS STRETCH (ALLOCATED)" queryTableFieldId="65"/>
    <tableColumn id="66" xr3:uid="{64E3AE9D-1F8F-4E34-9158-3C590106AC3F}" uniqueName="66" name="WL EXCESS ALLOCATED SLACK" queryTableFieldId="66"/>
    <tableColumn id="67" xr3:uid="{AF98C6CD-506E-43C6-B394-F20349FBDC11}" uniqueName="67" name="WL EXCESS STRETCH" queryTableFieldId="67"/>
    <tableColumn id="68" xr3:uid="{513CAF0E-E380-4494-9BAC-D08E26B2E09F}" uniqueName="68" name="WL EXCESS SLACK" queryTableFieldId="68"/>
    <tableColumn id="69" xr3:uid="{FA921A5F-A554-4529-81F4-377BE28D0C8E}" uniqueName="69" name="WL POTENTIAL SHORTFALL (OVER-ALLOCATED)" queryTableFieldId="69"/>
    <tableColumn id="70" xr3:uid="{557A88FE-0077-42A0-9C74-9F5BE83FB09D}" uniqueName="70" name="WL POTENTIAL SHORTFALL" queryTableFieldId="70"/>
    <tableColumn id="71" xr3:uid="{3C48FB70-EC2A-4E43-8720-B4A9D002D966}" uniqueName="71" name="WL WASTED STRETCH" queryTableFieldId="71"/>
    <tableColumn id="72" xr3:uid="{01A204B4-AF46-404F-9E82-8C29014957DF}" uniqueName="72" name="WL WASTED SLACK" queryTableFieldId="72"/>
    <tableColumn id="73" xr3:uid="{FBFA3448-ADB0-4A4F-BBF8-247189DE2E2B}" uniqueName="73" name="WL ALLOCATED STRETCH" queryTableFieldId="73"/>
    <tableColumn id="74" xr3:uid="{0D51CD15-23FF-408F-B7AB-5A30DA8B21C0}" uniqueName="74" name="WL ALLOCATED SLACK" queryTableFieldId="74"/>
    <tableColumn id="75" xr3:uid="{859A20DF-0684-4952-BE47-2702D16DF3F6}" uniqueName="75" name="WL UNALLOCATED SLACK" queryTableFieldId="75"/>
    <tableColumn id="76" xr3:uid="{BB72C4D6-B9AA-4A06-B46F-78FC2EB94925}" uniqueName="76" name="WL  LATENT" queryTableFieldId="76"/>
    <tableColumn id="77" xr3:uid="{3FB03E1F-D82A-4D24-AD41-894D0FB9D410}" uniqueName="77" name="WL LATENT.ALLOCATED" queryTableFieldId="77"/>
    <tableColumn id="80" xr3:uid="{88300AE4-C6FA-4327-A452-185E9E77A079}" uniqueName="80" name="WL LATENT.OVERALLOCATED" queryTableFieldId="80"/>
    <tableColumn id="81" xr3:uid="{C89F5DCC-95FA-4B35-BABC-5DAA5B90FDAE}" uniqueName="81" name="WL Potential" queryTableFieldId="8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DF3B8-B15E-49EB-9C3C-A129936E86AE}" name="IMPORT_InefficienciesAGL2Day3210" displayName="IMPORT_InefficienciesAGL2Day3210" ref="A1:CD1125" tableType="queryTable" totalsRowShown="0">
  <autoFilter ref="A1:CD1125" xr:uid="{A9BDF3B8-B15E-49EB-9C3C-A129936E86AE}">
    <filterColumn colId="19">
      <filters blank="1"/>
    </filterColumn>
  </autoFilter>
  <tableColumns count="82">
    <tableColumn id="1" xr3:uid="{D19464A7-AEDA-4444-9CFA-24791C18AD28}" uniqueName="1" name="Version" queryTableFieldId="1"/>
    <tableColumn id="2" xr3:uid="{83A4FAA0-10AE-4306-A66C-0D583B753912}" uniqueName="2" name="Facility" queryTableFieldId="2"/>
    <tableColumn id="3" xr3:uid="{28D23393-26BC-4464-A29E-575F31B48AAF}" uniqueName="3" name="Level" queryTableFieldId="3" dataDxfId="6"/>
    <tableColumn id="4" xr3:uid="{82F15C90-4A6C-45A6-A89B-CE17CEFBFF0B}" uniqueName="4" name="Date" queryTableFieldId="4" dataDxfId="0"/>
    <tableColumn id="5" xr3:uid="{1AE32F02-99C2-474B-A773-FA7E57105791}" uniqueName="5" name="Role" queryTableFieldId="5" dataDxfId="5"/>
    <tableColumn id="6" xr3:uid="{F88A35DC-CF93-4CC6-972F-B785F7DC87A7}" uniqueName="6" name="Shift" queryTableFieldId="6" dataDxfId="4"/>
    <tableColumn id="7" xr3:uid="{B32B3313-D9FA-468C-824F-373CB80F1D96}" uniqueName="7" name="D" queryTableFieldId="7"/>
    <tableColumn id="8" xr3:uid="{3498C20C-1E03-425B-9E93-0ABBE89F8F4A}" uniqueName="8" name="Cs" queryTableFieldId="8"/>
    <tableColumn id="9" xr3:uid="{5367F9F7-E68F-4218-9334-03052B1F9E65}" uniqueName="9" name="CapacityMaxHC" queryTableFieldId="9"/>
    <tableColumn id="10" xr3:uid="{7575DD2B-02A8-4033-A8B2-3C9C717F4F8D}" uniqueName="10" name="CX" queryTableFieldId="10"/>
    <tableColumn id="83" xr3:uid="{B27EBF3F-8260-4F19-A072-AA0695CF3CBA}" uniqueName="83" name="DateX" queryTableFieldId="87"/>
    <tableColumn id="12" xr3:uid="{DAAE081B-D4A5-462E-B307-E57FB2E45FA9}" uniqueName="12" name="DATESHIFT" queryTableFieldId="12"/>
    <tableColumn id="13" xr3:uid="{AEE0BA10-51CA-45F7-B8B4-CD66971B691E}" uniqueName="13" name="A" queryTableFieldId="13"/>
    <tableColumn id="14" xr3:uid="{A070BE14-4654-478E-BB19-13AEA3754873}" uniqueName="14" name="Apn" queryTableFieldId="14"/>
    <tableColumn id="15" xr3:uid="{CEC56192-7D85-4C90-BC1A-5B36D9EF021B}" uniqueName="15" name="Apx" queryTableFieldId="15"/>
    <tableColumn id="16" xr3:uid="{047366BF-4FD6-4130-90D8-BFE00A1DBE9D}" uniqueName="16" name="Ai" queryTableFieldId="16"/>
    <tableColumn id="17" xr3:uid="{DBDA5360-1ECF-40EC-91FA-E56C77205F37}" uniqueName="17" name="AB EXCESS OVER-ALLOCATION" queryTableFieldId="17"/>
    <tableColumn id="18" xr3:uid="{33A10272-44DA-4F6A-BAB2-A9F737ACA50F}" uniqueName="18" name="AB SPARE STRETCH" queryTableFieldId="18"/>
    <tableColumn id="19" xr3:uid="{ED1C37E1-5F15-422D-994C-5F021AFA15CC}" uniqueName="19" name="AB SPARE SLACK" queryTableFieldId="19"/>
    <tableColumn id="20" xr3:uid="{FCEE4271-678A-46D6-A127-3FCC3682C9B0}" uniqueName="20" name="AB SPARE STRETCH ALLOCATED" queryTableFieldId="20"/>
    <tableColumn id="21" xr3:uid="{B24ACDD6-EB9F-4FB5-8A9B-D33CB97581B7}" uniqueName="21" name="AB SPARE SLACK ALLOCATED" queryTableFieldId="21"/>
    <tableColumn id="22" xr3:uid="{69E6BE32-83C6-4EE5-AF5C-F7B6E2EC361B}" uniqueName="22" name="AB EXCESS STRETCH (ALLOCATED)" queryTableFieldId="22"/>
    <tableColumn id="23" xr3:uid="{748AF03A-A57D-4433-9CEA-EF952FABD906}" uniqueName="23" name="AB EXCESS ALLOCATED SLACK" queryTableFieldId="23"/>
    <tableColumn id="24" xr3:uid="{3C065404-1DB4-4892-99F6-6E2DD9D7727E}" uniqueName="24" name="AB EXCESS STRETCH" queryTableFieldId="24"/>
    <tableColumn id="25" xr3:uid="{EAE4BFC1-55C7-459F-AC74-E7BD3CB18F20}" uniqueName="25" name="AB EXCESS SLACK" queryTableFieldId="25"/>
    <tableColumn id="26" xr3:uid="{3C53AF78-26F7-48BC-8572-DBCBE19DEF33}" uniqueName="26" name="AB POTENTIAL SHORTFALL (OVER-ALLOCATED)" queryTableFieldId="26"/>
    <tableColumn id="27" xr3:uid="{2621335D-57D8-4680-97C7-DB0135987D3A}" uniqueName="27" name="AB POTENTIAL SHORTFALL" queryTableFieldId="27"/>
    <tableColumn id="28" xr3:uid="{5E963A65-E6EA-4356-B07A-28ACB8B1127F}" uniqueName="28" name="AB WASTED STRETCH" queryTableFieldId="28"/>
    <tableColumn id="29" xr3:uid="{5CD6EDFC-9865-45C5-9DC7-7CA4F2A11EFA}" uniqueName="29" name="AB WASTED SLACK" queryTableFieldId="29"/>
    <tableColumn id="30" xr3:uid="{934A603E-D476-497B-AE2A-4B2E5C5E812D}" uniqueName="30" name="AB ALLOCATED STRETCH" queryTableFieldId="30"/>
    <tableColumn id="31" xr3:uid="{547171A0-333D-4D5E-BDF7-380AB89D28CE}" uniqueName="31" name="AB ALLOCATED SLACK" queryTableFieldId="31"/>
    <tableColumn id="32" xr3:uid="{5CE63C77-2BCA-4AA1-BF2C-29F6DE01F5CF}" uniqueName="32" name="AB UNALLOCATED SLACK" queryTableFieldId="32"/>
    <tableColumn id="33" xr3:uid="{49277E72-2ABA-4AA5-82F1-ECD8D7C3474C}" uniqueName="33" name="AB LATENT" queryTableFieldId="33"/>
    <tableColumn id="34" xr3:uid="{1B956CB4-95D7-4EF0-89D3-4533BDCCC536}" uniqueName="34" name="AB LATENT.ALLOCATED" queryTableFieldId="34"/>
    <tableColumn id="35" xr3:uid="{22F92320-45DF-484E-A4C6-5DA0E21EC3BB}" uniqueName="35" name="AB  LATENT.OVERALLOCATED" queryTableFieldId="35"/>
    <tableColumn id="36" xr3:uid="{6BC23BFF-AA01-466D-8E41-EBC6CC03FF97}" uniqueName="36" name="AB Potential" queryTableFieldId="36"/>
    <tableColumn id="37" xr3:uid="{9DDF8AAA-E40D-4C4E-B14F-A7F61C9A79C6}" uniqueName="37" name="Epn" queryTableFieldId="37"/>
    <tableColumn id="38" xr3:uid="{D92F6933-762E-4E61-A663-D9729E3A2087}" uniqueName="38" name="EpX" queryTableFieldId="38"/>
    <tableColumn id="39" xr3:uid="{B383A118-78AD-4D12-ACE0-98AE4C0C50E6}" uniqueName="39" name="Ein" queryTableFieldId="39"/>
    <tableColumn id="40" xr3:uid="{F63E0A2F-E4C0-43B8-B41B-D331E4A0A2D8}" uniqueName="40" name="EF EXCESS OVER-ALLOCATION" queryTableFieldId="40"/>
    <tableColumn id="41" xr3:uid="{7B5A3A1E-E239-4E7F-989B-B51CDA2C2667}" uniqueName="41" name="EF SPARE STRETCH" queryTableFieldId="41"/>
    <tableColumn id="42" xr3:uid="{1BA0B331-0705-410B-B7A2-77F34A059C3F}" uniqueName="42" name="EF SPARE SLACK" queryTableFieldId="42"/>
    <tableColumn id="43" xr3:uid="{BAFE5A08-ECC2-4F6B-80CB-497593BB9BB4}" uniqueName="43" name="EF SPARE STRETCH ALLOCATED" queryTableFieldId="43"/>
    <tableColumn id="44" xr3:uid="{9A5262E8-D251-4B32-A84B-0F2E297E3D2A}" uniqueName="44" name="EF SPARE SLACK ALLOCATED" queryTableFieldId="44"/>
    <tableColumn id="45" xr3:uid="{C50860CF-0267-4F4F-A896-873DD8ABD9D3}" uniqueName="45" name="EF EXCESS STRETCH (ALLOCATED)" queryTableFieldId="45"/>
    <tableColumn id="46" xr3:uid="{DAD69095-CEF5-40E4-AAA6-2B6F337A8212}" uniqueName="46" name="EF EXCESS ALLOCATED SLACK" queryTableFieldId="46"/>
    <tableColumn id="47" xr3:uid="{A16536EA-4DC5-47B6-B02E-0963CE65931F}" uniqueName="47" name="EF EXCESS STRETCH" queryTableFieldId="47"/>
    <tableColumn id="48" xr3:uid="{296252C5-9764-4CA3-8780-950322D2B5C3}" uniqueName="48" name="EF EXCESS SLACK" queryTableFieldId="48"/>
    <tableColumn id="49" xr3:uid="{BA36F8B7-99E7-48AD-825F-1C5FD7F6C6B6}" uniqueName="49" name="EF POTENTIAL SHORTFALL (OVER-ALLOCATED)" queryTableFieldId="49"/>
    <tableColumn id="50" xr3:uid="{DBE20F44-1846-42E1-9888-9DF3923EE819}" uniqueName="50" name="EF POTENTIAL SHORTFALL" queryTableFieldId="50"/>
    <tableColumn id="51" xr3:uid="{2814D582-0BC8-4A1D-B9E7-F565DB3856EB}" uniqueName="51" name="EF WASTED STRETCH" queryTableFieldId="51"/>
    <tableColumn id="52" xr3:uid="{F94A9029-59F1-4359-8828-EC484AD2B797}" uniqueName="52" name="EF WASTED SLACK" queryTableFieldId="52"/>
    <tableColumn id="53" xr3:uid="{A263EA35-2A05-4F4C-AFC7-904C28112DE3}" uniqueName="53" name="EF ALLOCATED STRETCH" queryTableFieldId="53"/>
    <tableColumn id="54" xr3:uid="{CD7F1DFA-42F7-4118-BF41-F3948FCF43A2}" uniqueName="54" name="EF ALLOCATED SLACK" queryTableFieldId="54"/>
    <tableColumn id="55" xr3:uid="{EB11B797-BCE8-4A22-B144-08A0CC98767B}" uniqueName="55" name="EF UNALLOCATED SLACK" queryTableFieldId="55"/>
    <tableColumn id="56" xr3:uid="{7A16EB7C-53B3-4B0E-8D33-10AE424BF06C}" uniqueName="56" name="EF LATENT" queryTableFieldId="56"/>
    <tableColumn id="57" xr3:uid="{E73F6347-B1AC-4503-A429-3ACE5959E89F}" uniqueName="57" name="EF LATENT.ALLOCATED" queryTableFieldId="57"/>
    <tableColumn id="58" xr3:uid="{5A279DB7-7435-462F-A8ED-5C5F390A85CD}" uniqueName="58" name="EF LATENT.OVERALLOCATED" queryTableFieldId="58"/>
    <tableColumn id="59" xr3:uid="{2B8492B9-1869-4B93-9701-034FDE96091E}" uniqueName="59" name="EF Potential" queryTableFieldId="59"/>
    <tableColumn id="60" xr3:uid="{C4C47431-2E55-4D6F-85A9-519AA1426957}" uniqueName="60" name="Ipn" queryTableFieldId="60"/>
    <tableColumn id="61" xr3:uid="{220F05E2-2B74-4BF0-83E3-E2260337BEAD}" uniqueName="61" name="Ipx" queryTableFieldId="61"/>
    <tableColumn id="62" xr3:uid="{271E1474-003E-4659-B4D6-DF8B25D6E885}" uniqueName="62" name="Iin" queryTableFieldId="62"/>
    <tableColumn id="63" xr3:uid="{50D0DB3A-F22D-4C86-AF49-6FAB4422FF90}" uniqueName="63" name="IN EXCESS OVER-ALLOCATION" queryTableFieldId="63"/>
    <tableColumn id="64" xr3:uid="{E428E516-2B56-4E05-B528-434AB2C427C3}" uniqueName="64" name="IN SPARE STRETCH" queryTableFieldId="64"/>
    <tableColumn id="65" xr3:uid="{F0376208-F892-4D23-BBB3-699746FF6875}" uniqueName="65" name="IN SPARE SLACK" queryTableFieldId="65"/>
    <tableColumn id="66" xr3:uid="{D67D7A43-961B-48E2-B05C-7AF6AF376512}" uniqueName="66" name="IN SPARE STRETCH ALLOCATED" queryTableFieldId="66"/>
    <tableColumn id="67" xr3:uid="{5CC4EAFF-F908-4478-9A8D-4C41469DA494}" uniqueName="67" name="IN SPARE SLACK ALLOCATED" queryTableFieldId="67"/>
    <tableColumn id="68" xr3:uid="{81E0DAB2-3D88-43D0-9E2F-2AAFC7C84367}" uniqueName="68" name="IN EXCESS STRETCH (ALLOCATED)" queryTableFieldId="68"/>
    <tableColumn id="69" xr3:uid="{86D71F9D-3608-4D3C-A864-42B5F0560169}" uniqueName="69" name="IN EXCESS ALLOCATED SLACK" queryTableFieldId="69"/>
    <tableColumn id="70" xr3:uid="{DFB2D968-B641-4C6C-9307-82A1D5D0B5F6}" uniqueName="70" name="IN EXCESS STRETCH" queryTableFieldId="70"/>
    <tableColumn id="71" xr3:uid="{7253B572-874F-47A7-A8BD-29DBC56E846D}" uniqueName="71" name="IN EXCESS SLACK" queryTableFieldId="71"/>
    <tableColumn id="72" xr3:uid="{A9A1DFA9-6FA3-4107-92DC-FC5AF635C904}" uniqueName="72" name="IN POTENTIAL SHORTFALL (OVER-ALLOCATED)" queryTableFieldId="72"/>
    <tableColumn id="73" xr3:uid="{FC1CA099-6664-4011-AC5F-AF7812D5C6F4}" uniqueName="73" name="IN POTENTIAL SHORTFALL" queryTableFieldId="73"/>
    <tableColumn id="74" xr3:uid="{9BB1AAB2-C39E-4A85-9680-95B3B89ED497}" uniqueName="74" name="IN WASTED STRETCH" queryTableFieldId="74"/>
    <tableColumn id="75" xr3:uid="{E726BB19-ACAD-4B5D-AAF1-BB2715C7C6D5}" uniqueName="75" name="IN WASTED SLACK" queryTableFieldId="75"/>
    <tableColumn id="76" xr3:uid="{CB023A27-4521-42AA-83C2-89E8A8EBF9ED}" uniqueName="76" name="IN ALLOCATED STRETCH" queryTableFieldId="76"/>
    <tableColumn id="77" xr3:uid="{B310E5FD-3F0B-4E00-B822-BE45B5B7693D}" uniqueName="77" name="IN ALLOCATED SLACK" queryTableFieldId="77"/>
    <tableColumn id="78" xr3:uid="{CF9D96CE-C2B2-4360-92FC-7AC95152A5AC}" uniqueName="78" name="IN UNALLOCATED SLACK" queryTableFieldId="78"/>
    <tableColumn id="79" xr3:uid="{0641B3F0-0B18-4C5B-AD41-310D49AB597F}" uniqueName="79" name="IN LATENT" queryTableFieldId="79"/>
    <tableColumn id="80" xr3:uid="{2DAB38D8-E538-492A-83B1-92872D559224}" uniqueName="80" name="IN LATENT.ALLOCATED" queryTableFieldId="80"/>
    <tableColumn id="81" xr3:uid="{DD081863-3067-4A52-A275-5D6277C1F77B}" uniqueName="81" name="IN LATENT.OVERALLOCATED" queryTableFieldId="81"/>
    <tableColumn id="82" xr3:uid="{626EC8BA-3A2D-4A83-AF52-E33B566E740B}" uniqueName="82" name="IN Potential" queryTableFieldId="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10F5-92B1-4E1B-8BEC-0DC6A06BC0D0}">
  <dimension ref="A1:A2"/>
  <sheetViews>
    <sheetView workbookViewId="0"/>
  </sheetViews>
  <sheetFormatPr defaultRowHeight="15" x14ac:dyDescent="0.25"/>
  <cols>
    <col min="1" max="1" width="10.42578125" customWidth="1"/>
  </cols>
  <sheetData>
    <row r="1" spans="1:1" x14ac:dyDescent="0.25">
      <c r="A1" t="s">
        <v>137</v>
      </c>
    </row>
    <row r="2" spans="1:1" x14ac:dyDescent="0.25">
      <c r="A2" t="str">
        <f ca="1">CELL("filename",A1)</f>
        <v>C:\Users\Alex\CentriNOTSYNC\ResidentialCare\CLIENT\DATExx-Whiddon\2. Calculations\[Tableau Connection.xlsx]_mcode_path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476D-3764-416E-923D-4DC3EAEA5377}">
  <sheetPr>
    <tabColor rgb="FFFFFF00"/>
  </sheetPr>
  <dimension ref="A1:D30"/>
  <sheetViews>
    <sheetView workbookViewId="0">
      <selection activeCell="M30" sqref="M30"/>
    </sheetView>
  </sheetViews>
  <sheetFormatPr defaultColWidth="8" defaultRowHeight="12.75" x14ac:dyDescent="0.25"/>
  <cols>
    <col min="1" max="1" width="22.28515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3" t="s">
        <v>118</v>
      </c>
      <c r="B1" s="13" t="str" cm="1">
        <f t="array" aca="1" ref="B1" ca="1">CELL("filename")</f>
        <v>C:\Users\Alex\CentriNOTSYNC\ResidentialCare\CLIENT\DATExx-Whiddon\2. Calculations\[Tableau Connection.xlsx]InefficienciesAGL2Day32</v>
      </c>
    </row>
    <row r="2" spans="1:4" x14ac:dyDescent="0.25">
      <c r="A2" s="3"/>
      <c r="B2" s="3"/>
    </row>
    <row r="3" spans="1:4" x14ac:dyDescent="0.25">
      <c r="A3" s="2" t="s">
        <v>144</v>
      </c>
      <c r="B3" s="2" t="s">
        <v>138</v>
      </c>
    </row>
    <row r="4" spans="1:4" x14ac:dyDescent="0.25">
      <c r="A4" s="2" t="s">
        <v>139</v>
      </c>
      <c r="B4" s="2" t="s">
        <v>142</v>
      </c>
    </row>
    <row r="5" spans="1:4" x14ac:dyDescent="0.25">
      <c r="A5" s="2" t="s">
        <v>145</v>
      </c>
      <c r="B5" s="2" t="s">
        <v>146</v>
      </c>
    </row>
    <row r="6" spans="1:4" x14ac:dyDescent="0.25">
      <c r="A6" s="2" t="s">
        <v>147</v>
      </c>
      <c r="B6" s="2" t="s">
        <v>148</v>
      </c>
    </row>
    <row r="7" spans="1:4" x14ac:dyDescent="0.25">
      <c r="A7" s="2" t="s">
        <v>149</v>
      </c>
      <c r="B7" s="2" t="s">
        <v>150</v>
      </c>
    </row>
    <row r="8" spans="1:4" x14ac:dyDescent="0.25">
      <c r="A8" s="2" t="s">
        <v>151</v>
      </c>
      <c r="B8" s="2" t="s">
        <v>146</v>
      </c>
    </row>
    <row r="9" spans="1:4" x14ac:dyDescent="0.25">
      <c r="A9" s="2" t="s">
        <v>140</v>
      </c>
      <c r="B9" s="2" t="s">
        <v>152</v>
      </c>
    </row>
    <row r="10" spans="1:4" x14ac:dyDescent="0.25">
      <c r="A10" s="2" t="s">
        <v>119</v>
      </c>
      <c r="B10" s="2" t="s">
        <v>141</v>
      </c>
    </row>
    <row r="11" spans="1:4" x14ac:dyDescent="0.25">
      <c r="A11" s="2" t="s">
        <v>1</v>
      </c>
      <c r="B11" s="2" t="s">
        <v>153</v>
      </c>
    </row>
    <row r="12" spans="1:4" x14ac:dyDescent="0.25">
      <c r="A12" s="2" t="s">
        <v>154</v>
      </c>
      <c r="B12" s="2" t="s">
        <v>143</v>
      </c>
      <c r="D12" s="1"/>
    </row>
    <row r="14" spans="1:4" x14ac:dyDescent="0.25">
      <c r="A14" s="3"/>
      <c r="B14" s="3"/>
    </row>
    <row r="15" spans="1:4" x14ac:dyDescent="0.25">
      <c r="A15" s="6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1"/>
      <c r="B23" s="1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5E76-4232-416E-A92B-276F741697A3}">
  <dimension ref="A7:D42"/>
  <sheetViews>
    <sheetView workbookViewId="0">
      <selection activeCell="B9" sqref="B9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118</v>
      </c>
      <c r="B9" s="3" t="str" cm="1">
        <f t="array" aca="1" ref="B9" ca="1">CELL("filename",E16)</f>
        <v>C:\Users\Alex\CentriNOTSYNC\ResidentialCare\CLIENT\DATExx-Whiddon\2. Calculations\[Tableau Connection.xlsx]FILEPATH</v>
      </c>
    </row>
    <row r="10" spans="1:4" x14ac:dyDescent="0.25">
      <c r="A10" s="3"/>
      <c r="B10" s="3"/>
    </row>
    <row r="11" spans="1:4" x14ac:dyDescent="0.25">
      <c r="A11" s="6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4" t="s">
        <v>119</v>
      </c>
      <c r="B14" s="4" t="str">
        <f>[4]Computerpath!$B$20</f>
        <v>C:\Users\Alex\Centri\4. Production - Documents\WFEffectiveness\4.1.1 AGED CARE\01 Christadelphian Aged Care\240715</v>
      </c>
      <c r="D14" s="2" t="s">
        <v>123</v>
      </c>
    </row>
    <row r="15" spans="1:4" x14ac:dyDescent="0.25">
      <c r="A15" s="3" t="s">
        <v>124</v>
      </c>
      <c r="B15" s="3" t="e" cm="1">
        <f t="array" aca="1" ref="B15" ca="1">LEFT(CELL("filename",B9),FIND(Client,CELL("filename",B9),1)-1)</f>
        <v>#VALUE!</v>
      </c>
      <c r="C15" s="7" t="e">
        <f ca="1">LEN(B15)</f>
        <v>#VALUE!</v>
      </c>
    </row>
    <row r="16" spans="1:4" x14ac:dyDescent="0.25">
      <c r="C16" s="7"/>
    </row>
    <row r="17" spans="1:4" x14ac:dyDescent="0.25">
      <c r="C17" s="7"/>
    </row>
    <row r="18" spans="1:4" x14ac:dyDescent="0.25">
      <c r="A18" s="4" t="s">
        <v>122</v>
      </c>
      <c r="B18" s="4" t="str">
        <f>Client</f>
        <v>C:\Users\Alex\Centri\4. Production - Documents\WFEffectiveness\4.1.1 AGED CARE\01 Christadelphian Aged Care\240715</v>
      </c>
      <c r="C18" s="7">
        <f>LEN(B14)</f>
        <v>114</v>
      </c>
      <c r="D18" s="2" t="s">
        <v>123</v>
      </c>
    </row>
    <row r="19" spans="1:4" x14ac:dyDescent="0.25">
      <c r="A19" s="1" t="s">
        <v>120</v>
      </c>
      <c r="B19" s="1" t="s">
        <v>121</v>
      </c>
      <c r="C19" s="8">
        <f>LEN(B19)</f>
        <v>11</v>
      </c>
      <c r="D19" s="2" t="s">
        <v>125</v>
      </c>
    </row>
    <row r="20" spans="1:4" x14ac:dyDescent="0.25">
      <c r="C20" s="7" t="e">
        <f ca="1">SUM(C15:C19)</f>
        <v>#VALUE!</v>
      </c>
    </row>
    <row r="21" spans="1:4" x14ac:dyDescent="0.25">
      <c r="A21" s="2" t="s">
        <v>114</v>
      </c>
      <c r="C21" s="7"/>
    </row>
    <row r="22" spans="1:4" x14ac:dyDescent="0.25">
      <c r="A22" s="2" t="s">
        <v>1</v>
      </c>
      <c r="B22" s="5"/>
      <c r="C22" s="7"/>
    </row>
    <row r="23" spans="1:4" x14ac:dyDescent="0.25">
      <c r="D23" s="2" t="s">
        <v>126</v>
      </c>
    </row>
    <row r="25" spans="1:4" x14ac:dyDescent="0.25">
      <c r="B25" s="2" t="s">
        <v>111</v>
      </c>
    </row>
    <row r="26" spans="1:4" x14ac:dyDescent="0.25">
      <c r="B26" s="5" t="str">
        <f>$B$18&amp;"\"&amp;B21</f>
        <v>C:\Users\Alex\Centri\4. Production - Documents\WFEffectiveness\4.1.1 AGED CARE\01 Christadelphian Aged Care\240715\</v>
      </c>
    </row>
    <row r="28" spans="1:4" x14ac:dyDescent="0.25">
      <c r="B28" s="9"/>
    </row>
    <row r="39" spans="2:2" x14ac:dyDescent="0.25">
      <c r="B39" s="2" t="s">
        <v>129</v>
      </c>
    </row>
    <row r="40" spans="2:2" x14ac:dyDescent="0.25">
      <c r="B40" s="2">
        <f>B42-B41</f>
        <v>27</v>
      </c>
    </row>
    <row r="41" spans="2:2" ht="15" x14ac:dyDescent="0.25">
      <c r="B41" s="10">
        <v>45096</v>
      </c>
    </row>
    <row r="42" spans="2:2" ht="15" x14ac:dyDescent="0.25">
      <c r="B42" s="11">
        <v>45123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45C9-80F4-46CD-B6AA-8FDE3F47F68F}">
  <dimension ref="A1:A2"/>
  <sheetViews>
    <sheetView workbookViewId="0">
      <selection sqref="A1:A2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129</v>
      </c>
    </row>
    <row r="2" spans="1:1" x14ac:dyDescent="0.25">
      <c r="A2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48CC-FE8D-4D5F-B7C9-2F681BA344E1}">
  <dimension ref="A1:U116"/>
  <sheetViews>
    <sheetView workbookViewId="0">
      <selection activeCell="AC8" sqref="AC8"/>
    </sheetView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239</v>
      </c>
      <c r="D1" t="s">
        <v>240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  <c r="O1" t="s">
        <v>363</v>
      </c>
      <c r="P1" t="s">
        <v>364</v>
      </c>
      <c r="Q1" t="s">
        <v>365</v>
      </c>
      <c r="R1" t="s">
        <v>366</v>
      </c>
      <c r="S1" t="s">
        <v>367</v>
      </c>
      <c r="T1" t="s">
        <v>368</v>
      </c>
      <c r="U1" t="s">
        <v>369</v>
      </c>
    </row>
    <row r="2" spans="1:21" x14ac:dyDescent="0.25">
      <c r="A2" t="s">
        <v>352</v>
      </c>
      <c r="B2" t="s">
        <v>133</v>
      </c>
      <c r="C2">
        <v>1</v>
      </c>
      <c r="D2" t="s">
        <v>343</v>
      </c>
      <c r="E2" t="s">
        <v>370</v>
      </c>
      <c r="F2" t="s">
        <v>371</v>
      </c>
      <c r="G2" t="s">
        <v>372</v>
      </c>
      <c r="H2" t="s">
        <v>373</v>
      </c>
      <c r="I2" t="s">
        <v>133</v>
      </c>
      <c r="J2" t="s">
        <v>374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375</v>
      </c>
    </row>
    <row r="3" spans="1:21" x14ac:dyDescent="0.25">
      <c r="A3" t="s">
        <v>299</v>
      </c>
      <c r="B3" t="s">
        <v>133</v>
      </c>
      <c r="C3">
        <v>2</v>
      </c>
      <c r="E3" t="s">
        <v>370</v>
      </c>
      <c r="F3" t="s">
        <v>376</v>
      </c>
      <c r="G3" t="s">
        <v>372</v>
      </c>
      <c r="H3" t="s">
        <v>377</v>
      </c>
      <c r="I3" t="s">
        <v>133</v>
      </c>
      <c r="J3" t="s">
        <v>374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378</v>
      </c>
    </row>
    <row r="4" spans="1:21" x14ac:dyDescent="0.25">
      <c r="A4" t="s">
        <v>298</v>
      </c>
      <c r="B4" t="s">
        <v>135</v>
      </c>
      <c r="C4">
        <v>3</v>
      </c>
      <c r="E4" t="s">
        <v>370</v>
      </c>
      <c r="F4" t="s">
        <v>379</v>
      </c>
      <c r="G4" t="s">
        <v>372</v>
      </c>
      <c r="H4" t="s">
        <v>373</v>
      </c>
      <c r="I4" t="s">
        <v>135</v>
      </c>
      <c r="J4" t="s">
        <v>374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375</v>
      </c>
    </row>
    <row r="5" spans="1:21" x14ac:dyDescent="0.25">
      <c r="A5" t="s">
        <v>297</v>
      </c>
      <c r="B5" t="s">
        <v>133</v>
      </c>
      <c r="C5">
        <v>4</v>
      </c>
      <c r="E5" t="s">
        <v>370</v>
      </c>
      <c r="F5" t="s">
        <v>380</v>
      </c>
      <c r="G5" t="s">
        <v>372</v>
      </c>
      <c r="H5" t="s">
        <v>373</v>
      </c>
      <c r="I5" t="s">
        <v>133</v>
      </c>
      <c r="J5" t="s">
        <v>374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375</v>
      </c>
    </row>
    <row r="6" spans="1:21" x14ac:dyDescent="0.25">
      <c r="A6" t="s">
        <v>296</v>
      </c>
      <c r="B6" t="s">
        <v>133</v>
      </c>
      <c r="C6">
        <v>5</v>
      </c>
      <c r="E6" t="s">
        <v>370</v>
      </c>
      <c r="F6" t="s">
        <v>381</v>
      </c>
      <c r="G6" t="s">
        <v>372</v>
      </c>
      <c r="H6" t="s">
        <v>373</v>
      </c>
      <c r="I6" t="s">
        <v>133</v>
      </c>
      <c r="J6" t="s">
        <v>374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375</v>
      </c>
    </row>
    <row r="7" spans="1:21" x14ac:dyDescent="0.25">
      <c r="A7" t="s">
        <v>295</v>
      </c>
      <c r="B7" t="s">
        <v>133</v>
      </c>
      <c r="C7">
        <v>6</v>
      </c>
      <c r="E7" t="s">
        <v>370</v>
      </c>
      <c r="F7" t="s">
        <v>382</v>
      </c>
      <c r="G7" t="s">
        <v>372</v>
      </c>
      <c r="H7" t="s">
        <v>383</v>
      </c>
      <c r="I7" t="s">
        <v>133</v>
      </c>
      <c r="J7" t="s">
        <v>374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384</v>
      </c>
    </row>
    <row r="8" spans="1:21" x14ac:dyDescent="0.25">
      <c r="A8" t="s">
        <v>294</v>
      </c>
      <c r="B8" t="s">
        <v>135</v>
      </c>
      <c r="C8">
        <v>7</v>
      </c>
      <c r="E8" t="s">
        <v>370</v>
      </c>
      <c r="F8" t="s">
        <v>385</v>
      </c>
      <c r="G8" t="s">
        <v>372</v>
      </c>
      <c r="H8" t="s">
        <v>373</v>
      </c>
      <c r="I8" t="s">
        <v>135</v>
      </c>
      <c r="J8" t="s">
        <v>374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375</v>
      </c>
    </row>
    <row r="9" spans="1:21" x14ac:dyDescent="0.25">
      <c r="A9" t="s">
        <v>293</v>
      </c>
      <c r="B9" t="s">
        <v>135</v>
      </c>
      <c r="C9">
        <v>8</v>
      </c>
      <c r="E9" t="s">
        <v>370</v>
      </c>
      <c r="F9" t="s">
        <v>386</v>
      </c>
      <c r="G9" t="s">
        <v>372</v>
      </c>
      <c r="H9" t="s">
        <v>373</v>
      </c>
      <c r="I9" t="s">
        <v>135</v>
      </c>
      <c r="J9" t="s">
        <v>374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375</v>
      </c>
    </row>
    <row r="10" spans="1:21" x14ac:dyDescent="0.25">
      <c r="A10" t="s">
        <v>292</v>
      </c>
      <c r="B10" t="s">
        <v>133</v>
      </c>
      <c r="C10">
        <v>9</v>
      </c>
      <c r="E10" t="s">
        <v>370</v>
      </c>
      <c r="F10" t="s">
        <v>387</v>
      </c>
      <c r="G10" t="s">
        <v>372</v>
      </c>
      <c r="H10" t="s">
        <v>377</v>
      </c>
      <c r="I10" t="s">
        <v>133</v>
      </c>
      <c r="J10" t="s">
        <v>374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378</v>
      </c>
    </row>
    <row r="11" spans="1:21" x14ac:dyDescent="0.25">
      <c r="A11" t="s">
        <v>291</v>
      </c>
      <c r="B11" t="s">
        <v>133</v>
      </c>
      <c r="C11">
        <v>10</v>
      </c>
      <c r="E11" t="s">
        <v>370</v>
      </c>
      <c r="F11" t="s">
        <v>388</v>
      </c>
      <c r="G11" t="s">
        <v>372</v>
      </c>
      <c r="H11" t="s">
        <v>373</v>
      </c>
      <c r="I11" t="s">
        <v>133</v>
      </c>
      <c r="J11" t="s">
        <v>374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375</v>
      </c>
    </row>
    <row r="12" spans="1:21" x14ac:dyDescent="0.25">
      <c r="A12" t="s">
        <v>290</v>
      </c>
      <c r="B12" t="s">
        <v>135</v>
      </c>
      <c r="C12">
        <v>11</v>
      </c>
      <c r="E12" t="s">
        <v>370</v>
      </c>
      <c r="F12" t="s">
        <v>389</v>
      </c>
      <c r="G12" t="s">
        <v>372</v>
      </c>
      <c r="H12" t="s">
        <v>373</v>
      </c>
      <c r="I12" t="s">
        <v>135</v>
      </c>
      <c r="J12" t="s">
        <v>374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375</v>
      </c>
    </row>
    <row r="13" spans="1:21" x14ac:dyDescent="0.25">
      <c r="A13" t="s">
        <v>289</v>
      </c>
      <c r="B13" t="s">
        <v>133</v>
      </c>
      <c r="C13">
        <v>12</v>
      </c>
      <c r="E13" t="s">
        <v>370</v>
      </c>
      <c r="F13" t="s">
        <v>390</v>
      </c>
      <c r="G13" t="s">
        <v>372</v>
      </c>
      <c r="H13" t="s">
        <v>373</v>
      </c>
      <c r="I13" t="s">
        <v>133</v>
      </c>
      <c r="J13" t="s">
        <v>374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375</v>
      </c>
    </row>
    <row r="14" spans="1:21" x14ac:dyDescent="0.25">
      <c r="A14" t="s">
        <v>288</v>
      </c>
      <c r="B14" t="s">
        <v>133</v>
      </c>
      <c r="C14">
        <v>13</v>
      </c>
      <c r="E14" t="s">
        <v>370</v>
      </c>
      <c r="F14" t="s">
        <v>391</v>
      </c>
      <c r="G14" t="s">
        <v>372</v>
      </c>
      <c r="H14" t="s">
        <v>373</v>
      </c>
      <c r="I14" t="s">
        <v>133</v>
      </c>
      <c r="J14" t="s">
        <v>374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375</v>
      </c>
    </row>
    <row r="15" spans="1:21" x14ac:dyDescent="0.25">
      <c r="A15" t="s">
        <v>287</v>
      </c>
      <c r="B15" t="s">
        <v>135</v>
      </c>
      <c r="C15">
        <v>14</v>
      </c>
      <c r="E15" t="s">
        <v>370</v>
      </c>
      <c r="F15" t="s">
        <v>392</v>
      </c>
      <c r="G15" t="s">
        <v>372</v>
      </c>
      <c r="H15" t="s">
        <v>373</v>
      </c>
      <c r="I15" t="s">
        <v>135</v>
      </c>
      <c r="J15" t="s">
        <v>374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375</v>
      </c>
    </row>
    <row r="16" spans="1:21" x14ac:dyDescent="0.25">
      <c r="A16" t="s">
        <v>286</v>
      </c>
      <c r="B16" t="s">
        <v>133</v>
      </c>
      <c r="C16">
        <v>15</v>
      </c>
      <c r="E16" t="s">
        <v>370</v>
      </c>
      <c r="F16" t="s">
        <v>393</v>
      </c>
      <c r="G16" t="s">
        <v>372</v>
      </c>
      <c r="H16" t="s">
        <v>373</v>
      </c>
      <c r="I16" t="s">
        <v>133</v>
      </c>
      <c r="J16" t="s">
        <v>374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375</v>
      </c>
    </row>
    <row r="17" spans="1:21" x14ac:dyDescent="0.25">
      <c r="A17" t="s">
        <v>285</v>
      </c>
      <c r="B17" t="s">
        <v>133</v>
      </c>
      <c r="C17">
        <v>16</v>
      </c>
      <c r="E17" t="s">
        <v>370</v>
      </c>
      <c r="F17" t="s">
        <v>394</v>
      </c>
      <c r="G17" t="s">
        <v>372</v>
      </c>
      <c r="H17" t="s">
        <v>377</v>
      </c>
      <c r="I17" t="s">
        <v>133</v>
      </c>
      <c r="J17" t="s">
        <v>374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378</v>
      </c>
    </row>
    <row r="18" spans="1:21" x14ac:dyDescent="0.25">
      <c r="A18" t="s">
        <v>284</v>
      </c>
      <c r="B18" t="s">
        <v>133</v>
      </c>
      <c r="C18">
        <v>17</v>
      </c>
      <c r="E18" t="s">
        <v>370</v>
      </c>
      <c r="F18" t="s">
        <v>395</v>
      </c>
      <c r="G18" t="s">
        <v>372</v>
      </c>
      <c r="H18" t="s">
        <v>373</v>
      </c>
      <c r="I18" t="s">
        <v>133</v>
      </c>
      <c r="J18" t="s">
        <v>374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375</v>
      </c>
    </row>
    <row r="19" spans="1:21" x14ac:dyDescent="0.25">
      <c r="A19" t="s">
        <v>283</v>
      </c>
      <c r="B19" t="s">
        <v>135</v>
      </c>
      <c r="C19">
        <v>18</v>
      </c>
      <c r="E19" t="s">
        <v>370</v>
      </c>
      <c r="F19" t="s">
        <v>396</v>
      </c>
      <c r="G19" t="s">
        <v>372</v>
      </c>
      <c r="H19" t="s">
        <v>373</v>
      </c>
      <c r="I19" t="s">
        <v>135</v>
      </c>
      <c r="J19" t="s">
        <v>374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375</v>
      </c>
    </row>
    <row r="20" spans="1:21" x14ac:dyDescent="0.25">
      <c r="A20" t="s">
        <v>300</v>
      </c>
      <c r="B20" t="s">
        <v>133</v>
      </c>
      <c r="C20">
        <v>19</v>
      </c>
      <c r="E20" t="s">
        <v>370</v>
      </c>
      <c r="F20" t="s">
        <v>397</v>
      </c>
      <c r="G20" t="s">
        <v>372</v>
      </c>
      <c r="H20" t="s">
        <v>373</v>
      </c>
      <c r="I20" t="s">
        <v>133</v>
      </c>
      <c r="J20" t="s">
        <v>374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375</v>
      </c>
    </row>
    <row r="21" spans="1:21" x14ac:dyDescent="0.25">
      <c r="A21" t="s">
        <v>302</v>
      </c>
      <c r="B21" t="s">
        <v>133</v>
      </c>
      <c r="C21">
        <v>20</v>
      </c>
      <c r="E21" t="s">
        <v>370</v>
      </c>
      <c r="F21" t="s">
        <v>398</v>
      </c>
      <c r="G21" t="s">
        <v>372</v>
      </c>
      <c r="H21" t="s">
        <v>373</v>
      </c>
      <c r="I21" t="s">
        <v>133</v>
      </c>
      <c r="J21" t="s">
        <v>374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375</v>
      </c>
    </row>
    <row r="22" spans="1:21" x14ac:dyDescent="0.25">
      <c r="A22" t="s">
        <v>350</v>
      </c>
      <c r="B22" t="s">
        <v>133</v>
      </c>
      <c r="C22">
        <v>21</v>
      </c>
      <c r="D22" t="s">
        <v>343</v>
      </c>
      <c r="E22" t="s">
        <v>370</v>
      </c>
      <c r="F22" t="s">
        <v>399</v>
      </c>
      <c r="G22" t="s">
        <v>372</v>
      </c>
      <c r="H22" t="s">
        <v>373</v>
      </c>
      <c r="I22" t="s">
        <v>133</v>
      </c>
      <c r="J22" t="s">
        <v>374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375</v>
      </c>
    </row>
    <row r="23" spans="1:21" x14ac:dyDescent="0.25">
      <c r="A23" t="s">
        <v>303</v>
      </c>
      <c r="B23" t="s">
        <v>133</v>
      </c>
      <c r="C23">
        <v>22</v>
      </c>
      <c r="E23" t="s">
        <v>370</v>
      </c>
      <c r="F23" t="s">
        <v>400</v>
      </c>
      <c r="G23" t="s">
        <v>372</v>
      </c>
      <c r="H23" t="s">
        <v>373</v>
      </c>
      <c r="I23" t="s">
        <v>133</v>
      </c>
      <c r="J23" t="s">
        <v>374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375</v>
      </c>
    </row>
    <row r="24" spans="1:21" x14ac:dyDescent="0.25">
      <c r="A24" t="s">
        <v>317</v>
      </c>
      <c r="B24" t="s">
        <v>135</v>
      </c>
      <c r="C24">
        <v>23</v>
      </c>
      <c r="E24" t="s">
        <v>370</v>
      </c>
      <c r="F24" t="s">
        <v>401</v>
      </c>
      <c r="G24" t="s">
        <v>372</v>
      </c>
      <c r="H24" t="s">
        <v>373</v>
      </c>
      <c r="I24" t="s">
        <v>135</v>
      </c>
      <c r="J24" t="s">
        <v>374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375</v>
      </c>
    </row>
    <row r="25" spans="1:21" x14ac:dyDescent="0.25">
      <c r="A25" t="s">
        <v>316</v>
      </c>
      <c r="B25" t="s">
        <v>133</v>
      </c>
      <c r="C25">
        <v>24</v>
      </c>
      <c r="E25" t="s">
        <v>370</v>
      </c>
      <c r="F25" t="s">
        <v>402</v>
      </c>
      <c r="G25" t="s">
        <v>372</v>
      </c>
      <c r="H25" t="s">
        <v>373</v>
      </c>
      <c r="I25" t="s">
        <v>133</v>
      </c>
      <c r="J25" t="s">
        <v>374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375</v>
      </c>
    </row>
    <row r="26" spans="1:21" x14ac:dyDescent="0.25">
      <c r="A26" t="s">
        <v>315</v>
      </c>
      <c r="B26" t="s">
        <v>133</v>
      </c>
      <c r="C26">
        <v>25</v>
      </c>
      <c r="E26" t="s">
        <v>370</v>
      </c>
      <c r="F26" t="s">
        <v>403</v>
      </c>
      <c r="G26" t="s">
        <v>372</v>
      </c>
      <c r="H26" t="s">
        <v>373</v>
      </c>
      <c r="I26" t="s">
        <v>133</v>
      </c>
      <c r="J26" t="s">
        <v>374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375</v>
      </c>
    </row>
    <row r="27" spans="1:21" x14ac:dyDescent="0.25">
      <c r="A27" t="s">
        <v>314</v>
      </c>
      <c r="B27" t="s">
        <v>133</v>
      </c>
      <c r="C27">
        <v>26</v>
      </c>
      <c r="E27" t="s">
        <v>370</v>
      </c>
      <c r="F27" t="s">
        <v>404</v>
      </c>
      <c r="G27" t="s">
        <v>372</v>
      </c>
      <c r="H27" t="s">
        <v>373</v>
      </c>
      <c r="I27" t="s">
        <v>133</v>
      </c>
      <c r="J27" t="s">
        <v>374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375</v>
      </c>
    </row>
    <row r="28" spans="1:21" x14ac:dyDescent="0.25">
      <c r="A28" t="s">
        <v>313</v>
      </c>
      <c r="B28" t="s">
        <v>133</v>
      </c>
      <c r="C28">
        <v>27</v>
      </c>
      <c r="E28" t="s">
        <v>370</v>
      </c>
      <c r="F28" t="s">
        <v>405</v>
      </c>
      <c r="G28" t="s">
        <v>372</v>
      </c>
      <c r="H28" t="s">
        <v>373</v>
      </c>
      <c r="I28" t="s">
        <v>133</v>
      </c>
      <c r="J28" t="s">
        <v>374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375</v>
      </c>
    </row>
    <row r="29" spans="1:21" x14ac:dyDescent="0.25">
      <c r="A29" t="s">
        <v>312</v>
      </c>
      <c r="B29" t="s">
        <v>133</v>
      </c>
      <c r="C29">
        <v>28</v>
      </c>
      <c r="E29" t="s">
        <v>370</v>
      </c>
      <c r="F29" t="s">
        <v>406</v>
      </c>
      <c r="G29" t="s">
        <v>372</v>
      </c>
      <c r="H29" t="s">
        <v>373</v>
      </c>
      <c r="I29" t="s">
        <v>133</v>
      </c>
      <c r="J29" t="s">
        <v>374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375</v>
      </c>
    </row>
    <row r="30" spans="1:21" x14ac:dyDescent="0.25">
      <c r="A30" t="s">
        <v>318</v>
      </c>
      <c r="B30" t="s">
        <v>133</v>
      </c>
      <c r="C30">
        <v>29</v>
      </c>
      <c r="E30" t="s">
        <v>370</v>
      </c>
      <c r="F30" t="s">
        <v>407</v>
      </c>
      <c r="G30" t="s">
        <v>372</v>
      </c>
      <c r="H30" t="s">
        <v>373</v>
      </c>
      <c r="I30" t="s">
        <v>133</v>
      </c>
      <c r="J30" t="s">
        <v>374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375</v>
      </c>
    </row>
    <row r="31" spans="1:21" x14ac:dyDescent="0.25">
      <c r="A31" t="s">
        <v>310</v>
      </c>
      <c r="B31" t="s">
        <v>133</v>
      </c>
      <c r="C31">
        <v>30</v>
      </c>
      <c r="E31" t="s">
        <v>370</v>
      </c>
      <c r="F31" t="s">
        <v>408</v>
      </c>
      <c r="G31" t="s">
        <v>372</v>
      </c>
      <c r="H31" t="s">
        <v>373</v>
      </c>
      <c r="I31" t="s">
        <v>133</v>
      </c>
      <c r="J31" t="s">
        <v>374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375</v>
      </c>
    </row>
    <row r="32" spans="1:21" x14ac:dyDescent="0.25">
      <c r="A32" t="s">
        <v>311</v>
      </c>
      <c r="B32" t="s">
        <v>133</v>
      </c>
      <c r="C32">
        <v>31</v>
      </c>
      <c r="E32" t="s">
        <v>370</v>
      </c>
      <c r="F32" t="s">
        <v>409</v>
      </c>
      <c r="G32" t="s">
        <v>372</v>
      </c>
      <c r="H32" t="s">
        <v>373</v>
      </c>
      <c r="I32" t="s">
        <v>133</v>
      </c>
      <c r="J32" t="s">
        <v>374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375</v>
      </c>
    </row>
    <row r="33" spans="1:21" x14ac:dyDescent="0.25">
      <c r="A33" t="s">
        <v>349</v>
      </c>
      <c r="B33" t="s">
        <v>133</v>
      </c>
      <c r="C33">
        <v>32</v>
      </c>
      <c r="D33" t="s">
        <v>343</v>
      </c>
      <c r="E33" t="s">
        <v>370</v>
      </c>
      <c r="F33" t="s">
        <v>410</v>
      </c>
      <c r="G33" t="s">
        <v>372</v>
      </c>
      <c r="H33" t="s">
        <v>373</v>
      </c>
      <c r="I33" t="s">
        <v>133</v>
      </c>
      <c r="J33" t="s">
        <v>374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375</v>
      </c>
    </row>
    <row r="34" spans="1:21" x14ac:dyDescent="0.25">
      <c r="A34" t="s">
        <v>309</v>
      </c>
      <c r="B34" t="s">
        <v>135</v>
      </c>
      <c r="C34">
        <v>33</v>
      </c>
      <c r="E34" t="s">
        <v>370</v>
      </c>
      <c r="F34" t="s">
        <v>411</v>
      </c>
      <c r="G34" t="s">
        <v>372</v>
      </c>
      <c r="H34" t="s">
        <v>373</v>
      </c>
      <c r="I34" t="s">
        <v>135</v>
      </c>
      <c r="J34" t="s">
        <v>374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375</v>
      </c>
    </row>
    <row r="35" spans="1:21" x14ac:dyDescent="0.25">
      <c r="A35" t="s">
        <v>348</v>
      </c>
      <c r="B35" t="s">
        <v>135</v>
      </c>
      <c r="C35">
        <v>34</v>
      </c>
      <c r="D35" t="s">
        <v>343</v>
      </c>
      <c r="E35" t="s">
        <v>370</v>
      </c>
      <c r="F35" t="s">
        <v>412</v>
      </c>
      <c r="G35" t="s">
        <v>372</v>
      </c>
      <c r="H35" t="s">
        <v>373</v>
      </c>
      <c r="I35" t="s">
        <v>135</v>
      </c>
      <c r="J35" t="s">
        <v>374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375</v>
      </c>
    </row>
    <row r="36" spans="1:21" x14ac:dyDescent="0.25">
      <c r="A36" t="s">
        <v>307</v>
      </c>
      <c r="B36" t="s">
        <v>135</v>
      </c>
      <c r="C36">
        <v>35</v>
      </c>
      <c r="E36" t="s">
        <v>370</v>
      </c>
      <c r="F36" t="s">
        <v>413</v>
      </c>
      <c r="G36" t="s">
        <v>372</v>
      </c>
      <c r="H36" t="s">
        <v>373</v>
      </c>
      <c r="I36" t="s">
        <v>135</v>
      </c>
      <c r="J36" t="s">
        <v>374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375</v>
      </c>
    </row>
    <row r="37" spans="1:21" x14ac:dyDescent="0.25">
      <c r="A37" t="s">
        <v>306</v>
      </c>
      <c r="B37" t="s">
        <v>133</v>
      </c>
      <c r="C37">
        <v>36</v>
      </c>
      <c r="E37" t="s">
        <v>370</v>
      </c>
      <c r="F37" t="s">
        <v>414</v>
      </c>
      <c r="G37" t="s">
        <v>372</v>
      </c>
      <c r="H37" t="s">
        <v>373</v>
      </c>
      <c r="I37" t="s">
        <v>133</v>
      </c>
      <c r="J37" t="s">
        <v>374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375</v>
      </c>
    </row>
    <row r="38" spans="1:21" x14ac:dyDescent="0.25">
      <c r="A38" t="s">
        <v>305</v>
      </c>
      <c r="B38" t="s">
        <v>133</v>
      </c>
      <c r="C38">
        <v>37</v>
      </c>
      <c r="E38" t="s">
        <v>370</v>
      </c>
      <c r="F38" t="s">
        <v>415</v>
      </c>
      <c r="G38" t="s">
        <v>372</v>
      </c>
      <c r="H38" t="s">
        <v>377</v>
      </c>
      <c r="I38" t="s">
        <v>133</v>
      </c>
      <c r="J38" t="s">
        <v>374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378</v>
      </c>
    </row>
    <row r="39" spans="1:21" x14ac:dyDescent="0.25">
      <c r="A39" t="s">
        <v>304</v>
      </c>
      <c r="B39" t="s">
        <v>133</v>
      </c>
      <c r="C39">
        <v>38</v>
      </c>
      <c r="E39" t="s">
        <v>370</v>
      </c>
      <c r="F39" t="s">
        <v>416</v>
      </c>
      <c r="G39" t="s">
        <v>372</v>
      </c>
      <c r="H39" t="s">
        <v>373</v>
      </c>
      <c r="I39" t="s">
        <v>133</v>
      </c>
      <c r="J39" t="s">
        <v>374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375</v>
      </c>
    </row>
    <row r="40" spans="1:21" x14ac:dyDescent="0.25">
      <c r="A40" t="s">
        <v>282</v>
      </c>
      <c r="B40" t="s">
        <v>135</v>
      </c>
      <c r="C40">
        <v>39</v>
      </c>
      <c r="E40" t="s">
        <v>370</v>
      </c>
      <c r="F40" t="s">
        <v>417</v>
      </c>
      <c r="G40" t="s">
        <v>372</v>
      </c>
      <c r="H40" t="s">
        <v>377</v>
      </c>
      <c r="I40" t="s">
        <v>135</v>
      </c>
      <c r="J40" t="s">
        <v>374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378</v>
      </c>
    </row>
    <row r="41" spans="1:21" x14ac:dyDescent="0.25">
      <c r="A41" t="s">
        <v>301</v>
      </c>
      <c r="B41" t="s">
        <v>133</v>
      </c>
      <c r="C41">
        <v>40</v>
      </c>
      <c r="E41" t="s">
        <v>370</v>
      </c>
      <c r="F41" t="s">
        <v>418</v>
      </c>
      <c r="G41" t="s">
        <v>372</v>
      </c>
      <c r="H41" t="s">
        <v>373</v>
      </c>
      <c r="I41" t="s">
        <v>133</v>
      </c>
      <c r="J41" t="s">
        <v>374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375</v>
      </c>
    </row>
    <row r="42" spans="1:21" x14ac:dyDescent="0.25">
      <c r="A42" t="s">
        <v>281</v>
      </c>
      <c r="B42" t="s">
        <v>133</v>
      </c>
      <c r="C42">
        <v>41</v>
      </c>
      <c r="E42" t="s">
        <v>370</v>
      </c>
      <c r="F42" t="s">
        <v>419</v>
      </c>
      <c r="G42" t="s">
        <v>372</v>
      </c>
      <c r="H42" t="s">
        <v>373</v>
      </c>
      <c r="I42" t="s">
        <v>133</v>
      </c>
      <c r="J42" t="s">
        <v>374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375</v>
      </c>
    </row>
    <row r="43" spans="1:21" x14ac:dyDescent="0.25">
      <c r="A43" t="s">
        <v>279</v>
      </c>
      <c r="B43" t="s">
        <v>133</v>
      </c>
      <c r="C43">
        <v>42</v>
      </c>
      <c r="E43" t="s">
        <v>370</v>
      </c>
      <c r="F43" t="s">
        <v>420</v>
      </c>
      <c r="G43" t="s">
        <v>372</v>
      </c>
      <c r="H43" t="s">
        <v>373</v>
      </c>
      <c r="I43" t="s">
        <v>133</v>
      </c>
      <c r="J43" t="s">
        <v>374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375</v>
      </c>
    </row>
    <row r="44" spans="1:21" x14ac:dyDescent="0.25">
      <c r="A44" t="s">
        <v>257</v>
      </c>
      <c r="B44" t="s">
        <v>133</v>
      </c>
      <c r="C44">
        <v>43</v>
      </c>
      <c r="E44" t="s">
        <v>370</v>
      </c>
      <c r="F44" t="s">
        <v>421</v>
      </c>
      <c r="G44" t="s">
        <v>372</v>
      </c>
      <c r="H44" t="s">
        <v>377</v>
      </c>
      <c r="I44" t="s">
        <v>133</v>
      </c>
      <c r="J44" t="s">
        <v>374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378</v>
      </c>
    </row>
    <row r="45" spans="1:21" x14ac:dyDescent="0.25">
      <c r="A45" t="s">
        <v>256</v>
      </c>
      <c r="B45" t="s">
        <v>133</v>
      </c>
      <c r="C45">
        <v>44</v>
      </c>
      <c r="E45" t="s">
        <v>370</v>
      </c>
      <c r="F45" t="s">
        <v>422</v>
      </c>
      <c r="G45" t="s">
        <v>372</v>
      </c>
      <c r="H45" t="s">
        <v>373</v>
      </c>
      <c r="I45" t="s">
        <v>133</v>
      </c>
      <c r="J45" t="s">
        <v>374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375</v>
      </c>
    </row>
    <row r="46" spans="1:21" x14ac:dyDescent="0.25">
      <c r="A46" t="s">
        <v>255</v>
      </c>
      <c r="B46" t="s">
        <v>135</v>
      </c>
      <c r="C46">
        <v>45</v>
      </c>
      <c r="E46" t="s">
        <v>370</v>
      </c>
      <c r="F46" t="s">
        <v>423</v>
      </c>
      <c r="G46" t="s">
        <v>372</v>
      </c>
      <c r="H46" t="s">
        <v>373</v>
      </c>
      <c r="I46" t="s">
        <v>135</v>
      </c>
      <c r="J46" t="s">
        <v>374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375</v>
      </c>
    </row>
    <row r="47" spans="1:21" x14ac:dyDescent="0.25">
      <c r="A47" t="s">
        <v>254</v>
      </c>
      <c r="B47" t="s">
        <v>133</v>
      </c>
      <c r="C47">
        <v>46</v>
      </c>
      <c r="E47" t="s">
        <v>370</v>
      </c>
      <c r="F47" t="s">
        <v>424</v>
      </c>
      <c r="G47" t="s">
        <v>372</v>
      </c>
      <c r="H47" t="s">
        <v>373</v>
      </c>
      <c r="I47" t="s">
        <v>133</v>
      </c>
      <c r="J47" t="s">
        <v>374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375</v>
      </c>
    </row>
    <row r="48" spans="1:21" x14ac:dyDescent="0.25">
      <c r="A48" t="s">
        <v>347</v>
      </c>
      <c r="B48" t="s">
        <v>134</v>
      </c>
      <c r="C48">
        <v>47</v>
      </c>
      <c r="D48" t="s">
        <v>343</v>
      </c>
      <c r="E48" t="s">
        <v>370</v>
      </c>
      <c r="F48" t="s">
        <v>425</v>
      </c>
      <c r="G48" t="s">
        <v>372</v>
      </c>
      <c r="H48" t="s">
        <v>373</v>
      </c>
      <c r="I48" t="s">
        <v>134</v>
      </c>
      <c r="J48" t="s">
        <v>374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375</v>
      </c>
    </row>
    <row r="49" spans="1:21" x14ac:dyDescent="0.25">
      <c r="A49" t="s">
        <v>253</v>
      </c>
      <c r="B49" t="s">
        <v>135</v>
      </c>
      <c r="C49">
        <v>48</v>
      </c>
      <c r="E49" t="s">
        <v>370</v>
      </c>
      <c r="F49" t="s">
        <v>426</v>
      </c>
      <c r="G49" t="s">
        <v>372</v>
      </c>
      <c r="H49" t="s">
        <v>373</v>
      </c>
      <c r="I49" t="s">
        <v>135</v>
      </c>
      <c r="J49" t="s">
        <v>374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375</v>
      </c>
    </row>
    <row r="50" spans="1:21" x14ac:dyDescent="0.25">
      <c r="A50" t="s">
        <v>252</v>
      </c>
      <c r="B50" t="s">
        <v>133</v>
      </c>
      <c r="C50">
        <v>49</v>
      </c>
      <c r="E50" t="s">
        <v>370</v>
      </c>
      <c r="F50" t="s">
        <v>427</v>
      </c>
      <c r="G50" t="s">
        <v>372</v>
      </c>
      <c r="H50" t="s">
        <v>373</v>
      </c>
      <c r="I50" t="s">
        <v>133</v>
      </c>
      <c r="J50" t="s">
        <v>374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375</v>
      </c>
    </row>
    <row r="51" spans="1:21" x14ac:dyDescent="0.25">
      <c r="A51" t="s">
        <v>251</v>
      </c>
      <c r="B51" t="s">
        <v>135</v>
      </c>
      <c r="C51">
        <v>50</v>
      </c>
      <c r="E51" t="s">
        <v>370</v>
      </c>
      <c r="F51" t="s">
        <v>428</v>
      </c>
      <c r="G51" t="s">
        <v>372</v>
      </c>
      <c r="H51" t="s">
        <v>373</v>
      </c>
      <c r="I51" t="s">
        <v>135</v>
      </c>
      <c r="J51" t="s">
        <v>374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375</v>
      </c>
    </row>
    <row r="52" spans="1:21" x14ac:dyDescent="0.25">
      <c r="A52" t="s">
        <v>258</v>
      </c>
      <c r="B52" t="s">
        <v>133</v>
      </c>
      <c r="C52">
        <v>51</v>
      </c>
      <c r="E52" t="s">
        <v>370</v>
      </c>
      <c r="F52" t="s">
        <v>429</v>
      </c>
      <c r="G52" t="s">
        <v>372</v>
      </c>
      <c r="H52" t="s">
        <v>373</v>
      </c>
      <c r="I52" t="s">
        <v>133</v>
      </c>
      <c r="J52" t="s">
        <v>374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375</v>
      </c>
    </row>
    <row r="53" spans="1:21" x14ac:dyDescent="0.25">
      <c r="A53" t="s">
        <v>250</v>
      </c>
      <c r="B53" t="s">
        <v>133</v>
      </c>
      <c r="C53">
        <v>52</v>
      </c>
      <c r="E53" t="s">
        <v>370</v>
      </c>
      <c r="F53" t="s">
        <v>430</v>
      </c>
      <c r="G53" t="s">
        <v>372</v>
      </c>
      <c r="H53" t="s">
        <v>373</v>
      </c>
      <c r="I53" t="s">
        <v>133</v>
      </c>
      <c r="J53" t="s">
        <v>374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375</v>
      </c>
    </row>
    <row r="54" spans="1:21" x14ac:dyDescent="0.25">
      <c r="A54" t="s">
        <v>248</v>
      </c>
      <c r="B54" t="s">
        <v>135</v>
      </c>
      <c r="C54">
        <v>53</v>
      </c>
      <c r="E54" t="s">
        <v>370</v>
      </c>
      <c r="F54" t="s">
        <v>431</v>
      </c>
      <c r="G54" t="s">
        <v>372</v>
      </c>
      <c r="H54" t="s">
        <v>373</v>
      </c>
      <c r="I54" t="s">
        <v>135</v>
      </c>
      <c r="J54" t="s">
        <v>374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375</v>
      </c>
    </row>
    <row r="55" spans="1:21" x14ac:dyDescent="0.25">
      <c r="A55" t="s">
        <v>247</v>
      </c>
      <c r="B55" t="s">
        <v>133</v>
      </c>
      <c r="C55">
        <v>54</v>
      </c>
      <c r="E55" t="s">
        <v>370</v>
      </c>
      <c r="F55" t="s">
        <v>432</v>
      </c>
      <c r="G55" t="s">
        <v>372</v>
      </c>
      <c r="H55" t="s">
        <v>373</v>
      </c>
      <c r="I55" t="s">
        <v>133</v>
      </c>
      <c r="J55" t="s">
        <v>374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375</v>
      </c>
    </row>
    <row r="56" spans="1:21" x14ac:dyDescent="0.25">
      <c r="A56" t="s">
        <v>241</v>
      </c>
      <c r="B56" t="s">
        <v>135</v>
      </c>
      <c r="C56">
        <v>55</v>
      </c>
      <c r="E56" t="s">
        <v>370</v>
      </c>
      <c r="F56" t="s">
        <v>433</v>
      </c>
      <c r="G56" t="s">
        <v>372</v>
      </c>
      <c r="H56" t="s">
        <v>377</v>
      </c>
      <c r="I56" t="s">
        <v>135</v>
      </c>
      <c r="J56" t="s">
        <v>374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378</v>
      </c>
    </row>
    <row r="57" spans="1:21" x14ac:dyDescent="0.25">
      <c r="A57" t="s">
        <v>245</v>
      </c>
      <c r="B57" t="s">
        <v>133</v>
      </c>
      <c r="C57">
        <v>56</v>
      </c>
      <c r="E57" t="s">
        <v>370</v>
      </c>
      <c r="F57" t="s">
        <v>434</v>
      </c>
      <c r="G57" t="s">
        <v>372</v>
      </c>
      <c r="H57" t="s">
        <v>373</v>
      </c>
      <c r="I57" t="s">
        <v>133</v>
      </c>
      <c r="J57" t="s">
        <v>374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375</v>
      </c>
    </row>
    <row r="58" spans="1:21" x14ac:dyDescent="0.25">
      <c r="A58" t="s">
        <v>346</v>
      </c>
      <c r="B58" t="s">
        <v>134</v>
      </c>
      <c r="C58">
        <v>57</v>
      </c>
      <c r="D58" t="s">
        <v>343</v>
      </c>
      <c r="E58" t="s">
        <v>370</v>
      </c>
      <c r="F58" t="s">
        <v>435</v>
      </c>
      <c r="G58" t="s">
        <v>372</v>
      </c>
      <c r="H58" t="s">
        <v>373</v>
      </c>
      <c r="I58" t="s">
        <v>134</v>
      </c>
      <c r="J58" t="s">
        <v>374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375</v>
      </c>
    </row>
    <row r="59" spans="1:21" x14ac:dyDescent="0.25">
      <c r="A59" t="s">
        <v>243</v>
      </c>
      <c r="B59" t="s">
        <v>135</v>
      </c>
      <c r="C59">
        <v>58</v>
      </c>
      <c r="E59" t="s">
        <v>370</v>
      </c>
      <c r="F59" t="s">
        <v>436</v>
      </c>
      <c r="G59" t="s">
        <v>372</v>
      </c>
      <c r="H59" t="s">
        <v>373</v>
      </c>
      <c r="I59" t="s">
        <v>135</v>
      </c>
      <c r="J59" t="s">
        <v>374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375</v>
      </c>
    </row>
    <row r="60" spans="1:21" x14ac:dyDescent="0.25">
      <c r="A60" t="s">
        <v>242</v>
      </c>
      <c r="B60" t="s">
        <v>133</v>
      </c>
      <c r="C60">
        <v>59</v>
      </c>
      <c r="E60" t="s">
        <v>370</v>
      </c>
      <c r="F60" t="s">
        <v>437</v>
      </c>
      <c r="G60" t="s">
        <v>372</v>
      </c>
      <c r="H60" t="s">
        <v>373</v>
      </c>
      <c r="I60" t="s">
        <v>133</v>
      </c>
      <c r="J60" t="s">
        <v>374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375</v>
      </c>
    </row>
    <row r="61" spans="1:21" x14ac:dyDescent="0.25">
      <c r="A61" t="s">
        <v>342</v>
      </c>
      <c r="B61" t="s">
        <v>133</v>
      </c>
      <c r="C61">
        <v>60</v>
      </c>
      <c r="D61" t="s">
        <v>343</v>
      </c>
      <c r="E61" t="s">
        <v>370</v>
      </c>
      <c r="F61" t="s">
        <v>438</v>
      </c>
      <c r="G61" t="s">
        <v>372</v>
      </c>
      <c r="H61" t="s">
        <v>373</v>
      </c>
      <c r="I61" t="s">
        <v>133</v>
      </c>
      <c r="J61" t="s">
        <v>374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375</v>
      </c>
    </row>
    <row r="62" spans="1:21" x14ac:dyDescent="0.25">
      <c r="A62" t="s">
        <v>259</v>
      </c>
      <c r="B62" t="s">
        <v>135</v>
      </c>
      <c r="C62">
        <v>61</v>
      </c>
      <c r="E62" t="s">
        <v>370</v>
      </c>
      <c r="F62" t="s">
        <v>439</v>
      </c>
      <c r="G62" t="s">
        <v>372</v>
      </c>
      <c r="H62" t="s">
        <v>373</v>
      </c>
      <c r="I62" t="s">
        <v>135</v>
      </c>
      <c r="J62" t="s">
        <v>374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375</v>
      </c>
    </row>
    <row r="63" spans="1:21" x14ac:dyDescent="0.25">
      <c r="A63" t="s">
        <v>260</v>
      </c>
      <c r="B63" t="s">
        <v>135</v>
      </c>
      <c r="C63">
        <v>62</v>
      </c>
      <c r="E63" t="s">
        <v>370</v>
      </c>
      <c r="F63" t="s">
        <v>440</v>
      </c>
      <c r="G63" t="s">
        <v>372</v>
      </c>
      <c r="H63" t="s">
        <v>373</v>
      </c>
      <c r="I63" t="s">
        <v>135</v>
      </c>
      <c r="J63" t="s">
        <v>374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375</v>
      </c>
    </row>
    <row r="64" spans="1:21" x14ac:dyDescent="0.25">
      <c r="A64" t="s">
        <v>345</v>
      </c>
      <c r="B64" t="s">
        <v>133</v>
      </c>
      <c r="C64">
        <v>63</v>
      </c>
      <c r="D64" t="s">
        <v>343</v>
      </c>
      <c r="E64" t="s">
        <v>370</v>
      </c>
      <c r="F64" t="s">
        <v>441</v>
      </c>
      <c r="G64" t="s">
        <v>372</v>
      </c>
      <c r="H64" t="s">
        <v>377</v>
      </c>
      <c r="I64" t="s">
        <v>133</v>
      </c>
      <c r="J64" t="s">
        <v>374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378</v>
      </c>
    </row>
    <row r="65" spans="1:21" x14ac:dyDescent="0.25">
      <c r="A65" t="s">
        <v>278</v>
      </c>
      <c r="B65" t="s">
        <v>135</v>
      </c>
      <c r="C65">
        <v>64</v>
      </c>
      <c r="E65" t="s">
        <v>370</v>
      </c>
      <c r="F65" t="s">
        <v>442</v>
      </c>
      <c r="G65" t="s">
        <v>372</v>
      </c>
      <c r="H65" t="s">
        <v>373</v>
      </c>
      <c r="I65" t="s">
        <v>135</v>
      </c>
      <c r="J65" t="s">
        <v>374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375</v>
      </c>
    </row>
    <row r="66" spans="1:21" x14ac:dyDescent="0.25">
      <c r="A66" t="s">
        <v>277</v>
      </c>
      <c r="B66" t="s">
        <v>133</v>
      </c>
      <c r="C66">
        <v>65</v>
      </c>
      <c r="E66" t="s">
        <v>370</v>
      </c>
      <c r="F66" t="s">
        <v>443</v>
      </c>
      <c r="G66" t="s">
        <v>372</v>
      </c>
      <c r="H66" t="s">
        <v>373</v>
      </c>
      <c r="I66" t="s">
        <v>133</v>
      </c>
      <c r="J66" t="s">
        <v>374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375</v>
      </c>
    </row>
    <row r="67" spans="1:21" x14ac:dyDescent="0.25">
      <c r="A67" t="s">
        <v>344</v>
      </c>
      <c r="B67" t="s">
        <v>133</v>
      </c>
      <c r="C67">
        <v>66</v>
      </c>
      <c r="D67" t="s">
        <v>343</v>
      </c>
      <c r="E67" t="s">
        <v>370</v>
      </c>
      <c r="F67" t="s">
        <v>444</v>
      </c>
      <c r="G67" t="s">
        <v>372</v>
      </c>
      <c r="H67" t="s">
        <v>373</v>
      </c>
      <c r="I67" t="s">
        <v>133</v>
      </c>
      <c r="J67" t="s">
        <v>374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375</v>
      </c>
    </row>
    <row r="68" spans="1:21" x14ac:dyDescent="0.25">
      <c r="A68" t="s">
        <v>275</v>
      </c>
      <c r="B68" t="s">
        <v>133</v>
      </c>
      <c r="C68">
        <v>67</v>
      </c>
      <c r="E68" t="s">
        <v>370</v>
      </c>
      <c r="F68" t="s">
        <v>445</v>
      </c>
      <c r="G68" t="s">
        <v>372</v>
      </c>
      <c r="H68" t="s">
        <v>373</v>
      </c>
      <c r="I68" t="s">
        <v>133</v>
      </c>
      <c r="J68" t="s">
        <v>374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375</v>
      </c>
    </row>
    <row r="69" spans="1:21" x14ac:dyDescent="0.25">
      <c r="A69" t="s">
        <v>274</v>
      </c>
      <c r="B69" t="s">
        <v>133</v>
      </c>
      <c r="C69">
        <v>68</v>
      </c>
      <c r="E69" t="s">
        <v>370</v>
      </c>
      <c r="F69" t="s">
        <v>446</v>
      </c>
      <c r="G69" t="s">
        <v>372</v>
      </c>
      <c r="H69" t="s">
        <v>377</v>
      </c>
      <c r="I69" t="s">
        <v>133</v>
      </c>
      <c r="J69" t="s">
        <v>374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378</v>
      </c>
    </row>
    <row r="70" spans="1:21" x14ac:dyDescent="0.25">
      <c r="A70" t="s">
        <v>273</v>
      </c>
      <c r="B70" t="s">
        <v>133</v>
      </c>
      <c r="C70">
        <v>69</v>
      </c>
      <c r="E70" t="s">
        <v>370</v>
      </c>
      <c r="F70" t="s">
        <v>447</v>
      </c>
      <c r="G70" t="s">
        <v>372</v>
      </c>
      <c r="H70" t="s">
        <v>373</v>
      </c>
      <c r="I70" t="s">
        <v>133</v>
      </c>
      <c r="J70" t="s">
        <v>374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375</v>
      </c>
    </row>
    <row r="71" spans="1:21" x14ac:dyDescent="0.25">
      <c r="A71" t="s">
        <v>272</v>
      </c>
      <c r="B71" t="s">
        <v>133</v>
      </c>
      <c r="C71">
        <v>70</v>
      </c>
      <c r="E71" t="s">
        <v>370</v>
      </c>
      <c r="F71" t="s">
        <v>448</v>
      </c>
      <c r="G71" t="s">
        <v>372</v>
      </c>
      <c r="H71" t="s">
        <v>373</v>
      </c>
      <c r="I71" t="s">
        <v>133</v>
      </c>
      <c r="J71" t="s">
        <v>374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375</v>
      </c>
    </row>
    <row r="72" spans="1:21" x14ac:dyDescent="0.25">
      <c r="A72" t="s">
        <v>271</v>
      </c>
      <c r="B72" t="s">
        <v>133</v>
      </c>
      <c r="C72">
        <v>71</v>
      </c>
      <c r="E72" t="s">
        <v>370</v>
      </c>
      <c r="F72" t="s">
        <v>449</v>
      </c>
      <c r="G72" t="s">
        <v>372</v>
      </c>
      <c r="H72" t="s">
        <v>373</v>
      </c>
      <c r="I72" t="s">
        <v>133</v>
      </c>
      <c r="J72" t="s">
        <v>374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375</v>
      </c>
    </row>
    <row r="73" spans="1:21" x14ac:dyDescent="0.25">
      <c r="A73" t="s">
        <v>270</v>
      </c>
      <c r="B73" t="s">
        <v>133</v>
      </c>
      <c r="C73">
        <v>72</v>
      </c>
      <c r="E73" t="s">
        <v>370</v>
      </c>
      <c r="F73" t="s">
        <v>450</v>
      </c>
      <c r="G73" t="s">
        <v>372</v>
      </c>
      <c r="H73" t="s">
        <v>373</v>
      </c>
      <c r="I73" t="s">
        <v>133</v>
      </c>
      <c r="J73" t="s">
        <v>374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375</v>
      </c>
    </row>
    <row r="74" spans="1:21" x14ac:dyDescent="0.25">
      <c r="A74" t="s">
        <v>269</v>
      </c>
      <c r="B74" t="s">
        <v>133</v>
      </c>
      <c r="C74">
        <v>73</v>
      </c>
      <c r="E74" t="s">
        <v>370</v>
      </c>
      <c r="F74" t="s">
        <v>451</v>
      </c>
      <c r="G74" t="s">
        <v>372</v>
      </c>
      <c r="H74" t="s">
        <v>377</v>
      </c>
      <c r="I74" t="s">
        <v>133</v>
      </c>
      <c r="J74" t="s">
        <v>374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378</v>
      </c>
    </row>
    <row r="75" spans="1:21" x14ac:dyDescent="0.25">
      <c r="A75" t="s">
        <v>268</v>
      </c>
      <c r="B75" t="s">
        <v>133</v>
      </c>
      <c r="C75">
        <v>74</v>
      </c>
      <c r="E75" t="s">
        <v>370</v>
      </c>
      <c r="F75" t="s">
        <v>452</v>
      </c>
      <c r="G75" t="s">
        <v>372</v>
      </c>
      <c r="H75" t="s">
        <v>373</v>
      </c>
      <c r="I75" t="s">
        <v>133</v>
      </c>
      <c r="J75" t="s">
        <v>374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375</v>
      </c>
    </row>
    <row r="76" spans="1:21" x14ac:dyDescent="0.25">
      <c r="A76" t="s">
        <v>267</v>
      </c>
      <c r="B76" t="s">
        <v>133</v>
      </c>
      <c r="C76">
        <v>75</v>
      </c>
      <c r="E76" t="s">
        <v>370</v>
      </c>
      <c r="F76" t="s">
        <v>453</v>
      </c>
      <c r="G76" t="s">
        <v>372</v>
      </c>
      <c r="H76" t="s">
        <v>373</v>
      </c>
      <c r="I76" t="s">
        <v>133</v>
      </c>
      <c r="J76" t="s">
        <v>374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375</v>
      </c>
    </row>
    <row r="77" spans="1:21" x14ac:dyDescent="0.25">
      <c r="A77" t="s">
        <v>266</v>
      </c>
      <c r="B77" t="s">
        <v>133</v>
      </c>
      <c r="C77">
        <v>76</v>
      </c>
      <c r="E77" t="s">
        <v>370</v>
      </c>
      <c r="F77" t="s">
        <v>454</v>
      </c>
      <c r="G77" t="s">
        <v>372</v>
      </c>
      <c r="H77" t="s">
        <v>373</v>
      </c>
      <c r="I77" t="s">
        <v>133</v>
      </c>
      <c r="J77" t="s">
        <v>374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375</v>
      </c>
    </row>
    <row r="78" spans="1:21" x14ac:dyDescent="0.25">
      <c r="A78" t="s">
        <v>265</v>
      </c>
      <c r="B78" t="s">
        <v>135</v>
      </c>
      <c r="C78">
        <v>77</v>
      </c>
      <c r="E78" t="s">
        <v>370</v>
      </c>
      <c r="F78" t="s">
        <v>455</v>
      </c>
      <c r="G78" t="s">
        <v>372</v>
      </c>
      <c r="H78" t="s">
        <v>373</v>
      </c>
      <c r="I78" t="s">
        <v>135</v>
      </c>
      <c r="J78" t="s">
        <v>374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375</v>
      </c>
    </row>
    <row r="79" spans="1:21" x14ac:dyDescent="0.25">
      <c r="A79" t="s">
        <v>264</v>
      </c>
      <c r="B79" t="s">
        <v>133</v>
      </c>
      <c r="C79">
        <v>78</v>
      </c>
      <c r="E79" t="s">
        <v>370</v>
      </c>
      <c r="F79" t="s">
        <v>456</v>
      </c>
      <c r="G79" t="s">
        <v>372</v>
      </c>
      <c r="H79" t="s">
        <v>373</v>
      </c>
      <c r="I79" t="s">
        <v>133</v>
      </c>
      <c r="J79" t="s">
        <v>374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375</v>
      </c>
    </row>
    <row r="80" spans="1:21" x14ac:dyDescent="0.25">
      <c r="A80" t="s">
        <v>263</v>
      </c>
      <c r="B80" t="s">
        <v>133</v>
      </c>
      <c r="C80">
        <v>79</v>
      </c>
      <c r="E80" t="s">
        <v>370</v>
      </c>
      <c r="F80" t="s">
        <v>457</v>
      </c>
      <c r="G80" t="s">
        <v>372</v>
      </c>
      <c r="H80" t="s">
        <v>373</v>
      </c>
      <c r="I80" t="s">
        <v>133</v>
      </c>
      <c r="J80" t="s">
        <v>374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375</v>
      </c>
    </row>
    <row r="81" spans="1:21" x14ac:dyDescent="0.25">
      <c r="A81" t="s">
        <v>262</v>
      </c>
      <c r="B81" t="s">
        <v>135</v>
      </c>
      <c r="C81">
        <v>80</v>
      </c>
      <c r="E81" t="s">
        <v>370</v>
      </c>
      <c r="F81" t="s">
        <v>458</v>
      </c>
      <c r="G81" t="s">
        <v>372</v>
      </c>
      <c r="H81" t="s">
        <v>377</v>
      </c>
      <c r="I81" t="s">
        <v>135</v>
      </c>
      <c r="J81" t="s">
        <v>374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378</v>
      </c>
    </row>
    <row r="82" spans="1:21" x14ac:dyDescent="0.25">
      <c r="A82" t="s">
        <v>280</v>
      </c>
      <c r="B82" t="s">
        <v>133</v>
      </c>
      <c r="C82">
        <v>81</v>
      </c>
      <c r="E82" t="s">
        <v>370</v>
      </c>
      <c r="F82" t="s">
        <v>459</v>
      </c>
      <c r="G82" t="s">
        <v>372</v>
      </c>
      <c r="H82" t="s">
        <v>383</v>
      </c>
      <c r="I82" t="s">
        <v>133</v>
      </c>
      <c r="J82" t="s">
        <v>374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384</v>
      </c>
    </row>
    <row r="83" spans="1:21" x14ac:dyDescent="0.25">
      <c r="A83" t="s">
        <v>319</v>
      </c>
      <c r="B83" t="s">
        <v>133</v>
      </c>
      <c r="C83">
        <v>82</v>
      </c>
      <c r="E83" t="s">
        <v>370</v>
      </c>
      <c r="F83" t="s">
        <v>460</v>
      </c>
      <c r="G83" t="s">
        <v>372</v>
      </c>
      <c r="H83" t="s">
        <v>377</v>
      </c>
      <c r="I83" t="s">
        <v>133</v>
      </c>
      <c r="J83" t="s">
        <v>374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378</v>
      </c>
    </row>
    <row r="84" spans="1:21" x14ac:dyDescent="0.25">
      <c r="A84" t="s">
        <v>276</v>
      </c>
      <c r="B84" t="s">
        <v>133</v>
      </c>
      <c r="C84">
        <v>83</v>
      </c>
      <c r="E84" t="s">
        <v>370</v>
      </c>
      <c r="F84" t="s">
        <v>461</v>
      </c>
      <c r="G84" t="s">
        <v>372</v>
      </c>
      <c r="H84" t="s">
        <v>373</v>
      </c>
      <c r="I84" t="s">
        <v>133</v>
      </c>
      <c r="J84" t="s">
        <v>374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375</v>
      </c>
    </row>
    <row r="85" spans="1:21" x14ac:dyDescent="0.25">
      <c r="A85" t="s">
        <v>261</v>
      </c>
      <c r="B85" t="s">
        <v>133</v>
      </c>
      <c r="C85">
        <v>84</v>
      </c>
      <c r="E85" t="s">
        <v>370</v>
      </c>
      <c r="F85" t="s">
        <v>462</v>
      </c>
      <c r="G85" t="s">
        <v>372</v>
      </c>
      <c r="H85" t="s">
        <v>373</v>
      </c>
      <c r="I85" t="s">
        <v>133</v>
      </c>
      <c r="J85" t="s">
        <v>374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375</v>
      </c>
    </row>
    <row r="86" spans="1:21" x14ac:dyDescent="0.25">
      <c r="A86" t="s">
        <v>249</v>
      </c>
      <c r="B86" t="s">
        <v>135</v>
      </c>
      <c r="C86">
        <v>85</v>
      </c>
      <c r="E86" t="s">
        <v>370</v>
      </c>
      <c r="F86" t="s">
        <v>463</v>
      </c>
      <c r="G86" t="s">
        <v>372</v>
      </c>
      <c r="H86" t="s">
        <v>373</v>
      </c>
      <c r="I86" t="s">
        <v>135</v>
      </c>
      <c r="J86" t="s">
        <v>374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375</v>
      </c>
    </row>
    <row r="87" spans="1:21" x14ac:dyDescent="0.25">
      <c r="A87" t="s">
        <v>244</v>
      </c>
      <c r="B87" t="s">
        <v>133</v>
      </c>
      <c r="C87">
        <v>86</v>
      </c>
      <c r="E87" t="s">
        <v>370</v>
      </c>
      <c r="F87" t="s">
        <v>464</v>
      </c>
      <c r="G87" t="s">
        <v>372</v>
      </c>
      <c r="H87" t="s">
        <v>373</v>
      </c>
      <c r="I87" t="s">
        <v>133</v>
      </c>
      <c r="J87" t="s">
        <v>374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375</v>
      </c>
    </row>
    <row r="88" spans="1:21" x14ac:dyDescent="0.25">
      <c r="A88" t="s">
        <v>246</v>
      </c>
      <c r="B88" t="s">
        <v>133</v>
      </c>
      <c r="C88">
        <v>87</v>
      </c>
      <c r="E88" t="s">
        <v>370</v>
      </c>
      <c r="F88" t="s">
        <v>465</v>
      </c>
      <c r="G88" t="s">
        <v>372</v>
      </c>
      <c r="H88" t="s">
        <v>373</v>
      </c>
      <c r="I88" t="s">
        <v>133</v>
      </c>
      <c r="J88" t="s">
        <v>374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375</v>
      </c>
    </row>
    <row r="89" spans="1:21" x14ac:dyDescent="0.25">
      <c r="A89" t="s">
        <v>351</v>
      </c>
      <c r="B89" t="s">
        <v>133</v>
      </c>
      <c r="C89">
        <v>88</v>
      </c>
      <c r="D89" t="s">
        <v>343</v>
      </c>
      <c r="E89" t="s">
        <v>370</v>
      </c>
      <c r="F89" t="s">
        <v>466</v>
      </c>
      <c r="G89" t="s">
        <v>372</v>
      </c>
      <c r="H89" t="s">
        <v>377</v>
      </c>
      <c r="I89" t="s">
        <v>133</v>
      </c>
      <c r="J89" t="s">
        <v>374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378</v>
      </c>
    </row>
    <row r="90" spans="1:21" x14ac:dyDescent="0.25">
      <c r="A90" t="s">
        <v>308</v>
      </c>
      <c r="B90" t="s">
        <v>133</v>
      </c>
      <c r="C90">
        <v>89</v>
      </c>
      <c r="E90" t="s">
        <v>370</v>
      </c>
      <c r="F90" t="s">
        <v>467</v>
      </c>
      <c r="G90" t="s">
        <v>372</v>
      </c>
      <c r="H90" t="s">
        <v>377</v>
      </c>
      <c r="I90" t="s">
        <v>133</v>
      </c>
      <c r="J90" t="s">
        <v>374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378</v>
      </c>
    </row>
    <row r="91" spans="1:21" x14ac:dyDescent="0.25">
      <c r="A91" t="s">
        <v>332</v>
      </c>
      <c r="B91" t="s">
        <v>134</v>
      </c>
      <c r="C91">
        <v>90</v>
      </c>
      <c r="D91" t="s">
        <v>321</v>
      </c>
      <c r="E91" t="s">
        <v>468</v>
      </c>
      <c r="F91" t="s">
        <v>469</v>
      </c>
      <c r="J91" t="s">
        <v>374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470</v>
      </c>
    </row>
    <row r="92" spans="1:21" x14ac:dyDescent="0.25">
      <c r="A92" t="s">
        <v>331</v>
      </c>
      <c r="B92" t="s">
        <v>134</v>
      </c>
      <c r="C92">
        <v>91</v>
      </c>
      <c r="D92" t="s">
        <v>321</v>
      </c>
      <c r="E92" t="s">
        <v>468</v>
      </c>
      <c r="F92" t="s">
        <v>471</v>
      </c>
      <c r="J92" t="s">
        <v>374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470</v>
      </c>
    </row>
    <row r="93" spans="1:21" x14ac:dyDescent="0.25">
      <c r="A93" t="s">
        <v>330</v>
      </c>
      <c r="B93" t="s">
        <v>134</v>
      </c>
      <c r="C93">
        <v>92</v>
      </c>
      <c r="D93" t="s">
        <v>321</v>
      </c>
      <c r="E93" t="s">
        <v>468</v>
      </c>
      <c r="F93" t="s">
        <v>472</v>
      </c>
      <c r="J93" t="s">
        <v>374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470</v>
      </c>
    </row>
    <row r="94" spans="1:21" x14ac:dyDescent="0.25">
      <c r="A94" t="s">
        <v>329</v>
      </c>
      <c r="B94" t="s">
        <v>133</v>
      </c>
      <c r="C94">
        <v>93</v>
      </c>
      <c r="D94" t="s">
        <v>321</v>
      </c>
      <c r="E94" t="s">
        <v>468</v>
      </c>
      <c r="F94" t="s">
        <v>473</v>
      </c>
      <c r="J94" t="s">
        <v>374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470</v>
      </c>
    </row>
    <row r="95" spans="1:21" x14ac:dyDescent="0.25">
      <c r="A95" t="s">
        <v>340</v>
      </c>
      <c r="B95" t="s">
        <v>134</v>
      </c>
      <c r="C95">
        <v>94</v>
      </c>
      <c r="D95" t="s">
        <v>321</v>
      </c>
      <c r="E95" t="s">
        <v>468</v>
      </c>
      <c r="F95" t="s">
        <v>474</v>
      </c>
      <c r="J95" t="s">
        <v>374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470</v>
      </c>
    </row>
    <row r="96" spans="1:21" x14ac:dyDescent="0.25">
      <c r="A96" t="s">
        <v>496</v>
      </c>
      <c r="B96" t="s">
        <v>133</v>
      </c>
      <c r="C96">
        <v>95</v>
      </c>
      <c r="D96" t="s">
        <v>321</v>
      </c>
      <c r="E96" t="s">
        <v>468</v>
      </c>
      <c r="F96" t="s">
        <v>475</v>
      </c>
      <c r="J96" t="s">
        <v>374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470</v>
      </c>
    </row>
    <row r="97" spans="1:21" x14ac:dyDescent="0.25">
      <c r="A97" t="s">
        <v>320</v>
      </c>
      <c r="B97" t="s">
        <v>134</v>
      </c>
      <c r="C97">
        <v>96</v>
      </c>
      <c r="D97" t="s">
        <v>321</v>
      </c>
      <c r="E97" t="s">
        <v>468</v>
      </c>
      <c r="F97" t="s">
        <v>476</v>
      </c>
      <c r="J97" t="s">
        <v>374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470</v>
      </c>
    </row>
    <row r="98" spans="1:21" x14ac:dyDescent="0.25">
      <c r="A98" t="s">
        <v>322</v>
      </c>
      <c r="B98" t="s">
        <v>134</v>
      </c>
      <c r="C98">
        <v>97</v>
      </c>
      <c r="D98" t="s">
        <v>321</v>
      </c>
      <c r="E98" t="s">
        <v>468</v>
      </c>
      <c r="F98" t="s">
        <v>477</v>
      </c>
      <c r="J98" t="s">
        <v>374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470</v>
      </c>
    </row>
    <row r="99" spans="1:21" x14ac:dyDescent="0.25">
      <c r="A99" t="s">
        <v>323</v>
      </c>
      <c r="B99" t="s">
        <v>133</v>
      </c>
      <c r="C99">
        <v>98</v>
      </c>
      <c r="D99" t="s">
        <v>321</v>
      </c>
      <c r="E99" t="s">
        <v>468</v>
      </c>
      <c r="F99" t="s">
        <v>478</v>
      </c>
      <c r="J99" t="s">
        <v>374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470</v>
      </c>
    </row>
    <row r="100" spans="1:21" x14ac:dyDescent="0.25">
      <c r="A100" t="s">
        <v>327</v>
      </c>
      <c r="B100" t="s">
        <v>134</v>
      </c>
      <c r="C100">
        <v>99</v>
      </c>
      <c r="D100" t="s">
        <v>321</v>
      </c>
      <c r="E100" t="s">
        <v>468</v>
      </c>
      <c r="F100" t="s">
        <v>479</v>
      </c>
      <c r="J100" t="s">
        <v>374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470</v>
      </c>
    </row>
    <row r="101" spans="1:21" x14ac:dyDescent="0.25">
      <c r="A101" t="s">
        <v>324</v>
      </c>
      <c r="B101" t="s">
        <v>134</v>
      </c>
      <c r="C101">
        <v>100</v>
      </c>
      <c r="D101" t="s">
        <v>321</v>
      </c>
      <c r="E101" t="s">
        <v>468</v>
      </c>
      <c r="F101" t="s">
        <v>480</v>
      </c>
      <c r="J101" t="s">
        <v>374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470</v>
      </c>
    </row>
    <row r="102" spans="1:21" x14ac:dyDescent="0.25">
      <c r="A102" t="s">
        <v>325</v>
      </c>
      <c r="B102" t="s">
        <v>134</v>
      </c>
      <c r="C102">
        <v>101</v>
      </c>
      <c r="D102" t="s">
        <v>321</v>
      </c>
      <c r="E102" t="s">
        <v>468</v>
      </c>
      <c r="F102" t="s">
        <v>481</v>
      </c>
      <c r="J102" t="s">
        <v>374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470</v>
      </c>
    </row>
    <row r="103" spans="1:21" x14ac:dyDescent="0.25">
      <c r="A103" t="s">
        <v>326</v>
      </c>
      <c r="B103" t="s">
        <v>134</v>
      </c>
      <c r="C103">
        <v>102</v>
      </c>
      <c r="D103" t="s">
        <v>321</v>
      </c>
      <c r="E103" t="s">
        <v>468</v>
      </c>
      <c r="F103" t="s">
        <v>482</v>
      </c>
      <c r="J103" t="s">
        <v>374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470</v>
      </c>
    </row>
    <row r="104" spans="1:21" x14ac:dyDescent="0.25">
      <c r="A104" t="s">
        <v>497</v>
      </c>
      <c r="B104" t="s">
        <v>133</v>
      </c>
      <c r="C104">
        <v>103</v>
      </c>
      <c r="D104" t="s">
        <v>321</v>
      </c>
      <c r="E104" t="s">
        <v>468</v>
      </c>
      <c r="F104" t="s">
        <v>483</v>
      </c>
      <c r="J104" t="s">
        <v>374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470</v>
      </c>
    </row>
    <row r="105" spans="1:21" x14ac:dyDescent="0.25">
      <c r="A105" t="s">
        <v>498</v>
      </c>
      <c r="B105" t="s">
        <v>133</v>
      </c>
      <c r="C105">
        <v>104</v>
      </c>
      <c r="D105" t="s">
        <v>321</v>
      </c>
      <c r="E105" t="s">
        <v>468</v>
      </c>
      <c r="F105" t="s">
        <v>484</v>
      </c>
      <c r="J105" t="s">
        <v>374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470</v>
      </c>
    </row>
    <row r="106" spans="1:21" x14ac:dyDescent="0.25">
      <c r="A106" t="s">
        <v>499</v>
      </c>
      <c r="B106" t="s">
        <v>133</v>
      </c>
      <c r="C106">
        <v>105</v>
      </c>
      <c r="D106" t="s">
        <v>321</v>
      </c>
      <c r="E106" t="s">
        <v>468</v>
      </c>
      <c r="F106" t="s">
        <v>485</v>
      </c>
      <c r="J106" t="s">
        <v>374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470</v>
      </c>
    </row>
    <row r="107" spans="1:21" x14ac:dyDescent="0.25">
      <c r="A107" t="s">
        <v>341</v>
      </c>
      <c r="B107" t="s">
        <v>134</v>
      </c>
      <c r="C107">
        <v>106</v>
      </c>
      <c r="D107" t="s">
        <v>321</v>
      </c>
      <c r="E107" t="s">
        <v>468</v>
      </c>
      <c r="F107" t="s">
        <v>486</v>
      </c>
      <c r="J107" t="s">
        <v>374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470</v>
      </c>
    </row>
    <row r="108" spans="1:21" x14ac:dyDescent="0.25">
      <c r="A108" t="s">
        <v>333</v>
      </c>
      <c r="B108" t="s">
        <v>134</v>
      </c>
      <c r="C108">
        <v>107</v>
      </c>
      <c r="D108" t="s">
        <v>321</v>
      </c>
      <c r="E108" t="s">
        <v>468</v>
      </c>
      <c r="F108" t="s">
        <v>487</v>
      </c>
      <c r="J108" t="s">
        <v>374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470</v>
      </c>
    </row>
    <row r="109" spans="1:21" x14ac:dyDescent="0.25">
      <c r="A109" t="s">
        <v>334</v>
      </c>
      <c r="B109" t="s">
        <v>134</v>
      </c>
      <c r="C109">
        <v>108</v>
      </c>
      <c r="D109" t="s">
        <v>321</v>
      </c>
      <c r="E109" t="s">
        <v>468</v>
      </c>
      <c r="F109" t="s">
        <v>488</v>
      </c>
      <c r="J109" t="s">
        <v>374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470</v>
      </c>
    </row>
    <row r="110" spans="1:21" x14ac:dyDescent="0.25">
      <c r="A110" t="s">
        <v>500</v>
      </c>
      <c r="B110" t="s">
        <v>133</v>
      </c>
      <c r="C110">
        <v>109</v>
      </c>
      <c r="D110" t="s">
        <v>321</v>
      </c>
      <c r="E110" t="s">
        <v>468</v>
      </c>
      <c r="F110" t="s">
        <v>489</v>
      </c>
      <c r="J110" t="s">
        <v>374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470</v>
      </c>
    </row>
    <row r="111" spans="1:21" x14ac:dyDescent="0.25">
      <c r="A111" t="s">
        <v>336</v>
      </c>
      <c r="B111" t="s">
        <v>134</v>
      </c>
      <c r="C111">
        <v>110</v>
      </c>
      <c r="D111" t="s">
        <v>321</v>
      </c>
      <c r="E111" t="s">
        <v>468</v>
      </c>
      <c r="F111" t="s">
        <v>490</v>
      </c>
      <c r="J111" t="s">
        <v>374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470</v>
      </c>
    </row>
    <row r="112" spans="1:21" x14ac:dyDescent="0.25">
      <c r="A112" t="s">
        <v>337</v>
      </c>
      <c r="B112" t="s">
        <v>134</v>
      </c>
      <c r="C112">
        <v>111</v>
      </c>
      <c r="D112" t="s">
        <v>321</v>
      </c>
      <c r="E112" t="s">
        <v>468</v>
      </c>
      <c r="F112" t="s">
        <v>491</v>
      </c>
      <c r="J112" t="s">
        <v>374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470</v>
      </c>
    </row>
    <row r="113" spans="1:21" x14ac:dyDescent="0.25">
      <c r="A113" t="s">
        <v>338</v>
      </c>
      <c r="B113" t="s">
        <v>134</v>
      </c>
      <c r="C113">
        <v>112</v>
      </c>
      <c r="D113" t="s">
        <v>321</v>
      </c>
      <c r="E113" t="s">
        <v>468</v>
      </c>
      <c r="F113" t="s">
        <v>492</v>
      </c>
      <c r="J113" t="s">
        <v>374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470</v>
      </c>
    </row>
    <row r="114" spans="1:21" x14ac:dyDescent="0.25">
      <c r="A114" t="s">
        <v>339</v>
      </c>
      <c r="B114" t="s">
        <v>134</v>
      </c>
      <c r="C114">
        <v>113</v>
      </c>
      <c r="D114" t="s">
        <v>321</v>
      </c>
      <c r="E114" t="s">
        <v>468</v>
      </c>
      <c r="F114" t="s">
        <v>493</v>
      </c>
      <c r="J114" t="s">
        <v>374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470</v>
      </c>
    </row>
    <row r="115" spans="1:21" x14ac:dyDescent="0.25">
      <c r="A115" t="s">
        <v>335</v>
      </c>
      <c r="B115" t="s">
        <v>134</v>
      </c>
      <c r="C115">
        <v>114</v>
      </c>
      <c r="D115" t="s">
        <v>321</v>
      </c>
      <c r="E115" t="s">
        <v>468</v>
      </c>
      <c r="F115" t="s">
        <v>494</v>
      </c>
      <c r="J115" t="s">
        <v>374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470</v>
      </c>
    </row>
    <row r="116" spans="1:21" x14ac:dyDescent="0.25">
      <c r="A116" t="s">
        <v>328</v>
      </c>
      <c r="B116" t="s">
        <v>134</v>
      </c>
      <c r="C116">
        <v>115</v>
      </c>
      <c r="D116" t="s">
        <v>321</v>
      </c>
      <c r="E116" t="s">
        <v>468</v>
      </c>
      <c r="F116" t="s">
        <v>495</v>
      </c>
      <c r="J116" t="s">
        <v>374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470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6632-5B15-4C73-A3F4-3E5A67AA56BB}">
  <dimension ref="A1:U116"/>
  <sheetViews>
    <sheetView workbookViewId="0"/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239</v>
      </c>
      <c r="D1" t="s">
        <v>240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  <c r="O1" t="s">
        <v>363</v>
      </c>
      <c r="P1" t="s">
        <v>364</v>
      </c>
      <c r="Q1" t="s">
        <v>365</v>
      </c>
      <c r="R1" t="s">
        <v>366</v>
      </c>
      <c r="S1" t="s">
        <v>367</v>
      </c>
      <c r="T1" t="s">
        <v>368</v>
      </c>
      <c r="U1" t="s">
        <v>369</v>
      </c>
    </row>
    <row r="2" spans="1:21" x14ac:dyDescent="0.25">
      <c r="A2" t="s">
        <v>352</v>
      </c>
      <c r="B2" t="s">
        <v>133</v>
      </c>
      <c r="C2">
        <v>1</v>
      </c>
      <c r="D2" t="s">
        <v>343</v>
      </c>
      <c r="E2" t="s">
        <v>370</v>
      </c>
      <c r="F2" t="s">
        <v>371</v>
      </c>
      <c r="G2" t="s">
        <v>372</v>
      </c>
      <c r="H2" t="s">
        <v>373</v>
      </c>
      <c r="I2" t="s">
        <v>133</v>
      </c>
      <c r="J2" t="s">
        <v>374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375</v>
      </c>
    </row>
    <row r="3" spans="1:21" x14ac:dyDescent="0.25">
      <c r="A3" t="s">
        <v>299</v>
      </c>
      <c r="B3" t="s">
        <v>133</v>
      </c>
      <c r="C3">
        <v>2</v>
      </c>
      <c r="E3" t="s">
        <v>370</v>
      </c>
      <c r="F3" t="s">
        <v>376</v>
      </c>
      <c r="G3" t="s">
        <v>372</v>
      </c>
      <c r="H3" t="s">
        <v>377</v>
      </c>
      <c r="I3" t="s">
        <v>133</v>
      </c>
      <c r="J3" t="s">
        <v>374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378</v>
      </c>
    </row>
    <row r="4" spans="1:21" x14ac:dyDescent="0.25">
      <c r="A4" t="s">
        <v>298</v>
      </c>
      <c r="B4" t="s">
        <v>135</v>
      </c>
      <c r="C4">
        <v>3</v>
      </c>
      <c r="E4" t="s">
        <v>370</v>
      </c>
      <c r="F4" t="s">
        <v>379</v>
      </c>
      <c r="G4" t="s">
        <v>372</v>
      </c>
      <c r="H4" t="s">
        <v>373</v>
      </c>
      <c r="I4" t="s">
        <v>135</v>
      </c>
      <c r="J4" t="s">
        <v>374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375</v>
      </c>
    </row>
    <row r="5" spans="1:21" x14ac:dyDescent="0.25">
      <c r="A5" t="s">
        <v>297</v>
      </c>
      <c r="B5" t="s">
        <v>133</v>
      </c>
      <c r="C5">
        <v>4</v>
      </c>
      <c r="E5" t="s">
        <v>370</v>
      </c>
      <c r="F5" t="s">
        <v>380</v>
      </c>
      <c r="G5" t="s">
        <v>372</v>
      </c>
      <c r="H5" t="s">
        <v>373</v>
      </c>
      <c r="I5" t="s">
        <v>133</v>
      </c>
      <c r="J5" t="s">
        <v>374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375</v>
      </c>
    </row>
    <row r="6" spans="1:21" x14ac:dyDescent="0.25">
      <c r="A6" t="s">
        <v>296</v>
      </c>
      <c r="B6" t="s">
        <v>133</v>
      </c>
      <c r="C6">
        <v>5</v>
      </c>
      <c r="E6" t="s">
        <v>370</v>
      </c>
      <c r="F6" t="s">
        <v>381</v>
      </c>
      <c r="G6" t="s">
        <v>372</v>
      </c>
      <c r="H6" t="s">
        <v>373</v>
      </c>
      <c r="I6" t="s">
        <v>133</v>
      </c>
      <c r="J6" t="s">
        <v>374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375</v>
      </c>
    </row>
    <row r="7" spans="1:21" x14ac:dyDescent="0.25">
      <c r="A7" t="s">
        <v>295</v>
      </c>
      <c r="B7" t="s">
        <v>133</v>
      </c>
      <c r="C7">
        <v>6</v>
      </c>
      <c r="E7" t="s">
        <v>370</v>
      </c>
      <c r="F7" t="s">
        <v>382</v>
      </c>
      <c r="G7" t="s">
        <v>372</v>
      </c>
      <c r="H7" t="s">
        <v>383</v>
      </c>
      <c r="I7" t="s">
        <v>133</v>
      </c>
      <c r="J7" t="s">
        <v>374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384</v>
      </c>
    </row>
    <row r="8" spans="1:21" x14ac:dyDescent="0.25">
      <c r="A8" t="s">
        <v>294</v>
      </c>
      <c r="B8" t="s">
        <v>135</v>
      </c>
      <c r="C8">
        <v>7</v>
      </c>
      <c r="E8" t="s">
        <v>370</v>
      </c>
      <c r="F8" t="s">
        <v>385</v>
      </c>
      <c r="G8" t="s">
        <v>372</v>
      </c>
      <c r="H8" t="s">
        <v>373</v>
      </c>
      <c r="I8" t="s">
        <v>135</v>
      </c>
      <c r="J8" t="s">
        <v>374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375</v>
      </c>
    </row>
    <row r="9" spans="1:21" x14ac:dyDescent="0.25">
      <c r="A9" t="s">
        <v>293</v>
      </c>
      <c r="B9" t="s">
        <v>135</v>
      </c>
      <c r="C9">
        <v>8</v>
      </c>
      <c r="E9" t="s">
        <v>370</v>
      </c>
      <c r="F9" t="s">
        <v>386</v>
      </c>
      <c r="G9" t="s">
        <v>372</v>
      </c>
      <c r="H9" t="s">
        <v>373</v>
      </c>
      <c r="I9" t="s">
        <v>135</v>
      </c>
      <c r="J9" t="s">
        <v>374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375</v>
      </c>
    </row>
    <row r="10" spans="1:21" x14ac:dyDescent="0.25">
      <c r="A10" t="s">
        <v>292</v>
      </c>
      <c r="B10" t="s">
        <v>133</v>
      </c>
      <c r="C10">
        <v>9</v>
      </c>
      <c r="E10" t="s">
        <v>370</v>
      </c>
      <c r="F10" t="s">
        <v>387</v>
      </c>
      <c r="G10" t="s">
        <v>372</v>
      </c>
      <c r="H10" t="s">
        <v>377</v>
      </c>
      <c r="I10" t="s">
        <v>133</v>
      </c>
      <c r="J10" t="s">
        <v>374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378</v>
      </c>
    </row>
    <row r="11" spans="1:21" x14ac:dyDescent="0.25">
      <c r="A11" t="s">
        <v>291</v>
      </c>
      <c r="B11" t="s">
        <v>133</v>
      </c>
      <c r="C11">
        <v>10</v>
      </c>
      <c r="E11" t="s">
        <v>370</v>
      </c>
      <c r="F11" t="s">
        <v>388</v>
      </c>
      <c r="G11" t="s">
        <v>372</v>
      </c>
      <c r="H11" t="s">
        <v>373</v>
      </c>
      <c r="I11" t="s">
        <v>133</v>
      </c>
      <c r="J11" t="s">
        <v>374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375</v>
      </c>
    </row>
    <row r="12" spans="1:21" x14ac:dyDescent="0.25">
      <c r="A12" t="s">
        <v>290</v>
      </c>
      <c r="B12" t="s">
        <v>135</v>
      </c>
      <c r="C12">
        <v>11</v>
      </c>
      <c r="E12" t="s">
        <v>370</v>
      </c>
      <c r="F12" t="s">
        <v>389</v>
      </c>
      <c r="G12" t="s">
        <v>372</v>
      </c>
      <c r="H12" t="s">
        <v>373</v>
      </c>
      <c r="I12" t="s">
        <v>135</v>
      </c>
      <c r="J12" t="s">
        <v>374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375</v>
      </c>
    </row>
    <row r="13" spans="1:21" x14ac:dyDescent="0.25">
      <c r="A13" t="s">
        <v>289</v>
      </c>
      <c r="B13" t="s">
        <v>133</v>
      </c>
      <c r="C13">
        <v>12</v>
      </c>
      <c r="E13" t="s">
        <v>370</v>
      </c>
      <c r="F13" t="s">
        <v>390</v>
      </c>
      <c r="G13" t="s">
        <v>372</v>
      </c>
      <c r="H13" t="s">
        <v>373</v>
      </c>
      <c r="I13" t="s">
        <v>133</v>
      </c>
      <c r="J13" t="s">
        <v>374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375</v>
      </c>
    </row>
    <row r="14" spans="1:21" x14ac:dyDescent="0.25">
      <c r="A14" t="s">
        <v>288</v>
      </c>
      <c r="B14" t="s">
        <v>133</v>
      </c>
      <c r="C14">
        <v>13</v>
      </c>
      <c r="E14" t="s">
        <v>370</v>
      </c>
      <c r="F14" t="s">
        <v>391</v>
      </c>
      <c r="G14" t="s">
        <v>372</v>
      </c>
      <c r="H14" t="s">
        <v>373</v>
      </c>
      <c r="I14" t="s">
        <v>133</v>
      </c>
      <c r="J14" t="s">
        <v>374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375</v>
      </c>
    </row>
    <row r="15" spans="1:21" x14ac:dyDescent="0.25">
      <c r="A15" t="s">
        <v>287</v>
      </c>
      <c r="B15" t="s">
        <v>135</v>
      </c>
      <c r="C15">
        <v>14</v>
      </c>
      <c r="E15" t="s">
        <v>370</v>
      </c>
      <c r="F15" t="s">
        <v>392</v>
      </c>
      <c r="G15" t="s">
        <v>372</v>
      </c>
      <c r="H15" t="s">
        <v>373</v>
      </c>
      <c r="I15" t="s">
        <v>135</v>
      </c>
      <c r="J15" t="s">
        <v>374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375</v>
      </c>
    </row>
    <row r="16" spans="1:21" x14ac:dyDescent="0.25">
      <c r="A16" t="s">
        <v>286</v>
      </c>
      <c r="B16" t="s">
        <v>133</v>
      </c>
      <c r="C16">
        <v>15</v>
      </c>
      <c r="E16" t="s">
        <v>370</v>
      </c>
      <c r="F16" t="s">
        <v>393</v>
      </c>
      <c r="G16" t="s">
        <v>372</v>
      </c>
      <c r="H16" t="s">
        <v>373</v>
      </c>
      <c r="I16" t="s">
        <v>133</v>
      </c>
      <c r="J16" t="s">
        <v>374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375</v>
      </c>
    </row>
    <row r="17" spans="1:21" x14ac:dyDescent="0.25">
      <c r="A17" t="s">
        <v>285</v>
      </c>
      <c r="B17" t="s">
        <v>133</v>
      </c>
      <c r="C17">
        <v>16</v>
      </c>
      <c r="E17" t="s">
        <v>370</v>
      </c>
      <c r="F17" t="s">
        <v>394</v>
      </c>
      <c r="G17" t="s">
        <v>372</v>
      </c>
      <c r="H17" t="s">
        <v>377</v>
      </c>
      <c r="I17" t="s">
        <v>133</v>
      </c>
      <c r="J17" t="s">
        <v>374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378</v>
      </c>
    </row>
    <row r="18" spans="1:21" x14ac:dyDescent="0.25">
      <c r="A18" t="s">
        <v>284</v>
      </c>
      <c r="B18" t="s">
        <v>133</v>
      </c>
      <c r="C18">
        <v>17</v>
      </c>
      <c r="E18" t="s">
        <v>370</v>
      </c>
      <c r="F18" t="s">
        <v>395</v>
      </c>
      <c r="G18" t="s">
        <v>372</v>
      </c>
      <c r="H18" t="s">
        <v>373</v>
      </c>
      <c r="I18" t="s">
        <v>133</v>
      </c>
      <c r="J18" t="s">
        <v>374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375</v>
      </c>
    </row>
    <row r="19" spans="1:21" x14ac:dyDescent="0.25">
      <c r="A19" t="s">
        <v>283</v>
      </c>
      <c r="B19" t="s">
        <v>135</v>
      </c>
      <c r="C19">
        <v>18</v>
      </c>
      <c r="E19" t="s">
        <v>370</v>
      </c>
      <c r="F19" t="s">
        <v>396</v>
      </c>
      <c r="G19" t="s">
        <v>372</v>
      </c>
      <c r="H19" t="s">
        <v>373</v>
      </c>
      <c r="I19" t="s">
        <v>135</v>
      </c>
      <c r="J19" t="s">
        <v>374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375</v>
      </c>
    </row>
    <row r="20" spans="1:21" x14ac:dyDescent="0.25">
      <c r="A20" t="s">
        <v>300</v>
      </c>
      <c r="B20" t="s">
        <v>133</v>
      </c>
      <c r="C20">
        <v>19</v>
      </c>
      <c r="E20" t="s">
        <v>370</v>
      </c>
      <c r="F20" t="s">
        <v>397</v>
      </c>
      <c r="G20" t="s">
        <v>372</v>
      </c>
      <c r="H20" t="s">
        <v>373</v>
      </c>
      <c r="I20" t="s">
        <v>133</v>
      </c>
      <c r="J20" t="s">
        <v>374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375</v>
      </c>
    </row>
    <row r="21" spans="1:21" x14ac:dyDescent="0.25">
      <c r="A21" t="s">
        <v>302</v>
      </c>
      <c r="B21" t="s">
        <v>133</v>
      </c>
      <c r="C21">
        <v>20</v>
      </c>
      <c r="E21" t="s">
        <v>370</v>
      </c>
      <c r="F21" t="s">
        <v>398</v>
      </c>
      <c r="G21" t="s">
        <v>372</v>
      </c>
      <c r="H21" t="s">
        <v>373</v>
      </c>
      <c r="I21" t="s">
        <v>133</v>
      </c>
      <c r="J21" t="s">
        <v>374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375</v>
      </c>
    </row>
    <row r="22" spans="1:21" x14ac:dyDescent="0.25">
      <c r="A22" t="s">
        <v>350</v>
      </c>
      <c r="B22" t="s">
        <v>133</v>
      </c>
      <c r="C22">
        <v>21</v>
      </c>
      <c r="D22" t="s">
        <v>343</v>
      </c>
      <c r="E22" t="s">
        <v>370</v>
      </c>
      <c r="F22" t="s">
        <v>399</v>
      </c>
      <c r="G22" t="s">
        <v>372</v>
      </c>
      <c r="H22" t="s">
        <v>373</v>
      </c>
      <c r="I22" t="s">
        <v>133</v>
      </c>
      <c r="J22" t="s">
        <v>374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375</v>
      </c>
    </row>
    <row r="23" spans="1:21" x14ac:dyDescent="0.25">
      <c r="A23" t="s">
        <v>303</v>
      </c>
      <c r="B23" t="s">
        <v>133</v>
      </c>
      <c r="C23">
        <v>22</v>
      </c>
      <c r="E23" t="s">
        <v>370</v>
      </c>
      <c r="F23" t="s">
        <v>400</v>
      </c>
      <c r="G23" t="s">
        <v>372</v>
      </c>
      <c r="H23" t="s">
        <v>373</v>
      </c>
      <c r="I23" t="s">
        <v>133</v>
      </c>
      <c r="J23" t="s">
        <v>374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375</v>
      </c>
    </row>
    <row r="24" spans="1:21" x14ac:dyDescent="0.25">
      <c r="A24" t="s">
        <v>317</v>
      </c>
      <c r="B24" t="s">
        <v>135</v>
      </c>
      <c r="C24">
        <v>23</v>
      </c>
      <c r="E24" t="s">
        <v>370</v>
      </c>
      <c r="F24" t="s">
        <v>401</v>
      </c>
      <c r="G24" t="s">
        <v>372</v>
      </c>
      <c r="H24" t="s">
        <v>373</v>
      </c>
      <c r="I24" t="s">
        <v>135</v>
      </c>
      <c r="J24" t="s">
        <v>374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375</v>
      </c>
    </row>
    <row r="25" spans="1:21" x14ac:dyDescent="0.25">
      <c r="A25" t="s">
        <v>316</v>
      </c>
      <c r="B25" t="s">
        <v>133</v>
      </c>
      <c r="C25">
        <v>24</v>
      </c>
      <c r="E25" t="s">
        <v>370</v>
      </c>
      <c r="F25" t="s">
        <v>402</v>
      </c>
      <c r="G25" t="s">
        <v>372</v>
      </c>
      <c r="H25" t="s">
        <v>373</v>
      </c>
      <c r="I25" t="s">
        <v>133</v>
      </c>
      <c r="J25" t="s">
        <v>374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375</v>
      </c>
    </row>
    <row r="26" spans="1:21" x14ac:dyDescent="0.25">
      <c r="A26" t="s">
        <v>315</v>
      </c>
      <c r="B26" t="s">
        <v>133</v>
      </c>
      <c r="C26">
        <v>25</v>
      </c>
      <c r="E26" t="s">
        <v>370</v>
      </c>
      <c r="F26" t="s">
        <v>403</v>
      </c>
      <c r="G26" t="s">
        <v>372</v>
      </c>
      <c r="H26" t="s">
        <v>373</v>
      </c>
      <c r="I26" t="s">
        <v>133</v>
      </c>
      <c r="J26" t="s">
        <v>374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375</v>
      </c>
    </row>
    <row r="27" spans="1:21" x14ac:dyDescent="0.25">
      <c r="A27" t="s">
        <v>314</v>
      </c>
      <c r="B27" t="s">
        <v>133</v>
      </c>
      <c r="C27">
        <v>26</v>
      </c>
      <c r="E27" t="s">
        <v>370</v>
      </c>
      <c r="F27" t="s">
        <v>404</v>
      </c>
      <c r="G27" t="s">
        <v>372</v>
      </c>
      <c r="H27" t="s">
        <v>373</v>
      </c>
      <c r="I27" t="s">
        <v>133</v>
      </c>
      <c r="J27" t="s">
        <v>374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375</v>
      </c>
    </row>
    <row r="28" spans="1:21" x14ac:dyDescent="0.25">
      <c r="A28" t="s">
        <v>313</v>
      </c>
      <c r="B28" t="s">
        <v>133</v>
      </c>
      <c r="C28">
        <v>27</v>
      </c>
      <c r="E28" t="s">
        <v>370</v>
      </c>
      <c r="F28" t="s">
        <v>405</v>
      </c>
      <c r="G28" t="s">
        <v>372</v>
      </c>
      <c r="H28" t="s">
        <v>373</v>
      </c>
      <c r="I28" t="s">
        <v>133</v>
      </c>
      <c r="J28" t="s">
        <v>374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375</v>
      </c>
    </row>
    <row r="29" spans="1:21" x14ac:dyDescent="0.25">
      <c r="A29" t="s">
        <v>312</v>
      </c>
      <c r="B29" t="s">
        <v>133</v>
      </c>
      <c r="C29">
        <v>28</v>
      </c>
      <c r="E29" t="s">
        <v>370</v>
      </c>
      <c r="F29" t="s">
        <v>406</v>
      </c>
      <c r="G29" t="s">
        <v>372</v>
      </c>
      <c r="H29" t="s">
        <v>373</v>
      </c>
      <c r="I29" t="s">
        <v>133</v>
      </c>
      <c r="J29" t="s">
        <v>374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375</v>
      </c>
    </row>
    <row r="30" spans="1:21" x14ac:dyDescent="0.25">
      <c r="A30" t="s">
        <v>318</v>
      </c>
      <c r="B30" t="s">
        <v>133</v>
      </c>
      <c r="C30">
        <v>29</v>
      </c>
      <c r="E30" t="s">
        <v>370</v>
      </c>
      <c r="F30" t="s">
        <v>407</v>
      </c>
      <c r="G30" t="s">
        <v>372</v>
      </c>
      <c r="H30" t="s">
        <v>373</v>
      </c>
      <c r="I30" t="s">
        <v>133</v>
      </c>
      <c r="J30" t="s">
        <v>374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375</v>
      </c>
    </row>
    <row r="31" spans="1:21" x14ac:dyDescent="0.25">
      <c r="A31" t="s">
        <v>310</v>
      </c>
      <c r="B31" t="s">
        <v>133</v>
      </c>
      <c r="C31">
        <v>30</v>
      </c>
      <c r="E31" t="s">
        <v>370</v>
      </c>
      <c r="F31" t="s">
        <v>408</v>
      </c>
      <c r="G31" t="s">
        <v>372</v>
      </c>
      <c r="H31" t="s">
        <v>373</v>
      </c>
      <c r="I31" t="s">
        <v>133</v>
      </c>
      <c r="J31" t="s">
        <v>374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375</v>
      </c>
    </row>
    <row r="32" spans="1:21" x14ac:dyDescent="0.25">
      <c r="A32" t="s">
        <v>311</v>
      </c>
      <c r="B32" t="s">
        <v>133</v>
      </c>
      <c r="C32">
        <v>31</v>
      </c>
      <c r="E32" t="s">
        <v>370</v>
      </c>
      <c r="F32" t="s">
        <v>409</v>
      </c>
      <c r="G32" t="s">
        <v>372</v>
      </c>
      <c r="H32" t="s">
        <v>373</v>
      </c>
      <c r="I32" t="s">
        <v>133</v>
      </c>
      <c r="J32" t="s">
        <v>374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375</v>
      </c>
    </row>
    <row r="33" spans="1:21" x14ac:dyDescent="0.25">
      <c r="A33" t="s">
        <v>349</v>
      </c>
      <c r="B33" t="s">
        <v>133</v>
      </c>
      <c r="C33">
        <v>32</v>
      </c>
      <c r="D33" t="s">
        <v>343</v>
      </c>
      <c r="E33" t="s">
        <v>370</v>
      </c>
      <c r="F33" t="s">
        <v>410</v>
      </c>
      <c r="G33" t="s">
        <v>372</v>
      </c>
      <c r="H33" t="s">
        <v>373</v>
      </c>
      <c r="I33" t="s">
        <v>133</v>
      </c>
      <c r="J33" t="s">
        <v>374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375</v>
      </c>
    </row>
    <row r="34" spans="1:21" x14ac:dyDescent="0.25">
      <c r="A34" t="s">
        <v>309</v>
      </c>
      <c r="B34" t="s">
        <v>135</v>
      </c>
      <c r="C34">
        <v>33</v>
      </c>
      <c r="E34" t="s">
        <v>370</v>
      </c>
      <c r="F34" t="s">
        <v>411</v>
      </c>
      <c r="G34" t="s">
        <v>372</v>
      </c>
      <c r="H34" t="s">
        <v>373</v>
      </c>
      <c r="I34" t="s">
        <v>135</v>
      </c>
      <c r="J34" t="s">
        <v>374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375</v>
      </c>
    </row>
    <row r="35" spans="1:21" x14ac:dyDescent="0.25">
      <c r="A35" t="s">
        <v>348</v>
      </c>
      <c r="B35" t="s">
        <v>135</v>
      </c>
      <c r="C35">
        <v>34</v>
      </c>
      <c r="D35" t="s">
        <v>343</v>
      </c>
      <c r="E35" t="s">
        <v>370</v>
      </c>
      <c r="F35" t="s">
        <v>412</v>
      </c>
      <c r="G35" t="s">
        <v>372</v>
      </c>
      <c r="H35" t="s">
        <v>373</v>
      </c>
      <c r="I35" t="s">
        <v>135</v>
      </c>
      <c r="J35" t="s">
        <v>374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375</v>
      </c>
    </row>
    <row r="36" spans="1:21" x14ac:dyDescent="0.25">
      <c r="A36" t="s">
        <v>307</v>
      </c>
      <c r="B36" t="s">
        <v>135</v>
      </c>
      <c r="C36">
        <v>35</v>
      </c>
      <c r="E36" t="s">
        <v>370</v>
      </c>
      <c r="F36" t="s">
        <v>413</v>
      </c>
      <c r="G36" t="s">
        <v>372</v>
      </c>
      <c r="H36" t="s">
        <v>373</v>
      </c>
      <c r="I36" t="s">
        <v>135</v>
      </c>
      <c r="J36" t="s">
        <v>374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375</v>
      </c>
    </row>
    <row r="37" spans="1:21" x14ac:dyDescent="0.25">
      <c r="A37" t="s">
        <v>306</v>
      </c>
      <c r="B37" t="s">
        <v>133</v>
      </c>
      <c r="C37">
        <v>36</v>
      </c>
      <c r="E37" t="s">
        <v>370</v>
      </c>
      <c r="F37" t="s">
        <v>414</v>
      </c>
      <c r="G37" t="s">
        <v>372</v>
      </c>
      <c r="H37" t="s">
        <v>373</v>
      </c>
      <c r="I37" t="s">
        <v>133</v>
      </c>
      <c r="J37" t="s">
        <v>374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375</v>
      </c>
    </row>
    <row r="38" spans="1:21" x14ac:dyDescent="0.25">
      <c r="A38" t="s">
        <v>305</v>
      </c>
      <c r="B38" t="s">
        <v>133</v>
      </c>
      <c r="C38">
        <v>37</v>
      </c>
      <c r="E38" t="s">
        <v>370</v>
      </c>
      <c r="F38" t="s">
        <v>415</v>
      </c>
      <c r="G38" t="s">
        <v>372</v>
      </c>
      <c r="H38" t="s">
        <v>377</v>
      </c>
      <c r="I38" t="s">
        <v>133</v>
      </c>
      <c r="J38" t="s">
        <v>374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378</v>
      </c>
    </row>
    <row r="39" spans="1:21" x14ac:dyDescent="0.25">
      <c r="A39" t="s">
        <v>304</v>
      </c>
      <c r="B39" t="s">
        <v>133</v>
      </c>
      <c r="C39">
        <v>38</v>
      </c>
      <c r="E39" t="s">
        <v>370</v>
      </c>
      <c r="F39" t="s">
        <v>416</v>
      </c>
      <c r="G39" t="s">
        <v>372</v>
      </c>
      <c r="H39" t="s">
        <v>373</v>
      </c>
      <c r="I39" t="s">
        <v>133</v>
      </c>
      <c r="J39" t="s">
        <v>374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375</v>
      </c>
    </row>
    <row r="40" spans="1:21" x14ac:dyDescent="0.25">
      <c r="A40" t="s">
        <v>282</v>
      </c>
      <c r="B40" t="s">
        <v>135</v>
      </c>
      <c r="C40">
        <v>39</v>
      </c>
      <c r="E40" t="s">
        <v>370</v>
      </c>
      <c r="F40" t="s">
        <v>417</v>
      </c>
      <c r="G40" t="s">
        <v>372</v>
      </c>
      <c r="H40" t="s">
        <v>377</v>
      </c>
      <c r="I40" t="s">
        <v>135</v>
      </c>
      <c r="J40" t="s">
        <v>374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378</v>
      </c>
    </row>
    <row r="41" spans="1:21" x14ac:dyDescent="0.25">
      <c r="A41" t="s">
        <v>301</v>
      </c>
      <c r="B41" t="s">
        <v>133</v>
      </c>
      <c r="C41">
        <v>40</v>
      </c>
      <c r="E41" t="s">
        <v>370</v>
      </c>
      <c r="F41" t="s">
        <v>418</v>
      </c>
      <c r="G41" t="s">
        <v>372</v>
      </c>
      <c r="H41" t="s">
        <v>373</v>
      </c>
      <c r="I41" t="s">
        <v>133</v>
      </c>
      <c r="J41" t="s">
        <v>374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375</v>
      </c>
    </row>
    <row r="42" spans="1:21" x14ac:dyDescent="0.25">
      <c r="A42" t="s">
        <v>281</v>
      </c>
      <c r="B42" t="s">
        <v>133</v>
      </c>
      <c r="C42">
        <v>41</v>
      </c>
      <c r="E42" t="s">
        <v>370</v>
      </c>
      <c r="F42" t="s">
        <v>419</v>
      </c>
      <c r="G42" t="s">
        <v>372</v>
      </c>
      <c r="H42" t="s">
        <v>373</v>
      </c>
      <c r="I42" t="s">
        <v>133</v>
      </c>
      <c r="J42" t="s">
        <v>374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375</v>
      </c>
    </row>
    <row r="43" spans="1:21" x14ac:dyDescent="0.25">
      <c r="A43" t="s">
        <v>279</v>
      </c>
      <c r="B43" t="s">
        <v>133</v>
      </c>
      <c r="C43">
        <v>42</v>
      </c>
      <c r="E43" t="s">
        <v>370</v>
      </c>
      <c r="F43" t="s">
        <v>420</v>
      </c>
      <c r="G43" t="s">
        <v>372</v>
      </c>
      <c r="H43" t="s">
        <v>373</v>
      </c>
      <c r="I43" t="s">
        <v>133</v>
      </c>
      <c r="J43" t="s">
        <v>374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375</v>
      </c>
    </row>
    <row r="44" spans="1:21" x14ac:dyDescent="0.25">
      <c r="A44" t="s">
        <v>257</v>
      </c>
      <c r="B44" t="s">
        <v>133</v>
      </c>
      <c r="C44">
        <v>43</v>
      </c>
      <c r="E44" t="s">
        <v>370</v>
      </c>
      <c r="F44" t="s">
        <v>421</v>
      </c>
      <c r="G44" t="s">
        <v>372</v>
      </c>
      <c r="H44" t="s">
        <v>377</v>
      </c>
      <c r="I44" t="s">
        <v>133</v>
      </c>
      <c r="J44" t="s">
        <v>374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378</v>
      </c>
    </row>
    <row r="45" spans="1:21" x14ac:dyDescent="0.25">
      <c r="A45" t="s">
        <v>256</v>
      </c>
      <c r="B45" t="s">
        <v>133</v>
      </c>
      <c r="C45">
        <v>44</v>
      </c>
      <c r="E45" t="s">
        <v>370</v>
      </c>
      <c r="F45" t="s">
        <v>422</v>
      </c>
      <c r="G45" t="s">
        <v>372</v>
      </c>
      <c r="H45" t="s">
        <v>373</v>
      </c>
      <c r="I45" t="s">
        <v>133</v>
      </c>
      <c r="J45" t="s">
        <v>374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375</v>
      </c>
    </row>
    <row r="46" spans="1:21" x14ac:dyDescent="0.25">
      <c r="A46" t="s">
        <v>255</v>
      </c>
      <c r="B46" t="s">
        <v>135</v>
      </c>
      <c r="C46">
        <v>45</v>
      </c>
      <c r="E46" t="s">
        <v>370</v>
      </c>
      <c r="F46" t="s">
        <v>423</v>
      </c>
      <c r="G46" t="s">
        <v>372</v>
      </c>
      <c r="H46" t="s">
        <v>373</v>
      </c>
      <c r="I46" t="s">
        <v>135</v>
      </c>
      <c r="J46" t="s">
        <v>374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375</v>
      </c>
    </row>
    <row r="47" spans="1:21" x14ac:dyDescent="0.25">
      <c r="A47" t="s">
        <v>254</v>
      </c>
      <c r="B47" t="s">
        <v>133</v>
      </c>
      <c r="C47">
        <v>46</v>
      </c>
      <c r="E47" t="s">
        <v>370</v>
      </c>
      <c r="F47" t="s">
        <v>424</v>
      </c>
      <c r="G47" t="s">
        <v>372</v>
      </c>
      <c r="H47" t="s">
        <v>373</v>
      </c>
      <c r="I47" t="s">
        <v>133</v>
      </c>
      <c r="J47" t="s">
        <v>374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375</v>
      </c>
    </row>
    <row r="48" spans="1:21" x14ac:dyDescent="0.25">
      <c r="A48" t="s">
        <v>347</v>
      </c>
      <c r="B48" t="s">
        <v>134</v>
      </c>
      <c r="C48">
        <v>47</v>
      </c>
      <c r="D48" t="s">
        <v>343</v>
      </c>
      <c r="E48" t="s">
        <v>370</v>
      </c>
      <c r="F48" t="s">
        <v>425</v>
      </c>
      <c r="G48" t="s">
        <v>372</v>
      </c>
      <c r="H48" t="s">
        <v>373</v>
      </c>
      <c r="I48" t="s">
        <v>134</v>
      </c>
      <c r="J48" t="s">
        <v>374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375</v>
      </c>
    </row>
    <row r="49" spans="1:21" x14ac:dyDescent="0.25">
      <c r="A49" t="s">
        <v>253</v>
      </c>
      <c r="B49" t="s">
        <v>135</v>
      </c>
      <c r="C49">
        <v>48</v>
      </c>
      <c r="E49" t="s">
        <v>370</v>
      </c>
      <c r="F49" t="s">
        <v>426</v>
      </c>
      <c r="G49" t="s">
        <v>372</v>
      </c>
      <c r="H49" t="s">
        <v>373</v>
      </c>
      <c r="I49" t="s">
        <v>135</v>
      </c>
      <c r="J49" t="s">
        <v>374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375</v>
      </c>
    </row>
    <row r="50" spans="1:21" x14ac:dyDescent="0.25">
      <c r="A50" t="s">
        <v>252</v>
      </c>
      <c r="B50" t="s">
        <v>133</v>
      </c>
      <c r="C50">
        <v>49</v>
      </c>
      <c r="E50" t="s">
        <v>370</v>
      </c>
      <c r="F50" t="s">
        <v>427</v>
      </c>
      <c r="G50" t="s">
        <v>372</v>
      </c>
      <c r="H50" t="s">
        <v>373</v>
      </c>
      <c r="I50" t="s">
        <v>133</v>
      </c>
      <c r="J50" t="s">
        <v>374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375</v>
      </c>
    </row>
    <row r="51" spans="1:21" x14ac:dyDescent="0.25">
      <c r="A51" t="s">
        <v>251</v>
      </c>
      <c r="B51" t="s">
        <v>135</v>
      </c>
      <c r="C51">
        <v>50</v>
      </c>
      <c r="E51" t="s">
        <v>370</v>
      </c>
      <c r="F51" t="s">
        <v>428</v>
      </c>
      <c r="G51" t="s">
        <v>372</v>
      </c>
      <c r="H51" t="s">
        <v>373</v>
      </c>
      <c r="I51" t="s">
        <v>135</v>
      </c>
      <c r="J51" t="s">
        <v>374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375</v>
      </c>
    </row>
    <row r="52" spans="1:21" x14ac:dyDescent="0.25">
      <c r="A52" t="s">
        <v>258</v>
      </c>
      <c r="B52" t="s">
        <v>133</v>
      </c>
      <c r="C52">
        <v>51</v>
      </c>
      <c r="E52" t="s">
        <v>370</v>
      </c>
      <c r="F52" t="s">
        <v>429</v>
      </c>
      <c r="G52" t="s">
        <v>372</v>
      </c>
      <c r="H52" t="s">
        <v>373</v>
      </c>
      <c r="I52" t="s">
        <v>133</v>
      </c>
      <c r="J52" t="s">
        <v>374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375</v>
      </c>
    </row>
    <row r="53" spans="1:21" x14ac:dyDescent="0.25">
      <c r="A53" t="s">
        <v>250</v>
      </c>
      <c r="B53" t="s">
        <v>133</v>
      </c>
      <c r="C53">
        <v>52</v>
      </c>
      <c r="E53" t="s">
        <v>370</v>
      </c>
      <c r="F53" t="s">
        <v>430</v>
      </c>
      <c r="G53" t="s">
        <v>372</v>
      </c>
      <c r="H53" t="s">
        <v>373</v>
      </c>
      <c r="I53" t="s">
        <v>133</v>
      </c>
      <c r="J53" t="s">
        <v>374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375</v>
      </c>
    </row>
    <row r="54" spans="1:21" x14ac:dyDescent="0.25">
      <c r="A54" t="s">
        <v>248</v>
      </c>
      <c r="B54" t="s">
        <v>135</v>
      </c>
      <c r="C54">
        <v>53</v>
      </c>
      <c r="E54" t="s">
        <v>370</v>
      </c>
      <c r="F54" t="s">
        <v>431</v>
      </c>
      <c r="G54" t="s">
        <v>372</v>
      </c>
      <c r="H54" t="s">
        <v>373</v>
      </c>
      <c r="I54" t="s">
        <v>135</v>
      </c>
      <c r="J54" t="s">
        <v>374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375</v>
      </c>
    </row>
    <row r="55" spans="1:21" x14ac:dyDescent="0.25">
      <c r="A55" t="s">
        <v>247</v>
      </c>
      <c r="B55" t="s">
        <v>133</v>
      </c>
      <c r="C55">
        <v>54</v>
      </c>
      <c r="E55" t="s">
        <v>370</v>
      </c>
      <c r="F55" t="s">
        <v>432</v>
      </c>
      <c r="G55" t="s">
        <v>372</v>
      </c>
      <c r="H55" t="s">
        <v>373</v>
      </c>
      <c r="I55" t="s">
        <v>133</v>
      </c>
      <c r="J55" t="s">
        <v>374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375</v>
      </c>
    </row>
    <row r="56" spans="1:21" x14ac:dyDescent="0.25">
      <c r="A56" t="s">
        <v>241</v>
      </c>
      <c r="B56" t="s">
        <v>135</v>
      </c>
      <c r="C56">
        <v>55</v>
      </c>
      <c r="E56" t="s">
        <v>370</v>
      </c>
      <c r="F56" t="s">
        <v>433</v>
      </c>
      <c r="G56" t="s">
        <v>372</v>
      </c>
      <c r="H56" t="s">
        <v>377</v>
      </c>
      <c r="I56" t="s">
        <v>135</v>
      </c>
      <c r="J56" t="s">
        <v>374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378</v>
      </c>
    </row>
    <row r="57" spans="1:21" x14ac:dyDescent="0.25">
      <c r="A57" t="s">
        <v>245</v>
      </c>
      <c r="B57" t="s">
        <v>133</v>
      </c>
      <c r="C57">
        <v>56</v>
      </c>
      <c r="E57" t="s">
        <v>370</v>
      </c>
      <c r="F57" t="s">
        <v>434</v>
      </c>
      <c r="G57" t="s">
        <v>372</v>
      </c>
      <c r="H57" t="s">
        <v>373</v>
      </c>
      <c r="I57" t="s">
        <v>133</v>
      </c>
      <c r="J57" t="s">
        <v>374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375</v>
      </c>
    </row>
    <row r="58" spans="1:21" x14ac:dyDescent="0.25">
      <c r="A58" t="s">
        <v>346</v>
      </c>
      <c r="B58" t="s">
        <v>134</v>
      </c>
      <c r="C58">
        <v>57</v>
      </c>
      <c r="D58" t="s">
        <v>343</v>
      </c>
      <c r="E58" t="s">
        <v>370</v>
      </c>
      <c r="F58" t="s">
        <v>435</v>
      </c>
      <c r="G58" t="s">
        <v>372</v>
      </c>
      <c r="H58" t="s">
        <v>373</v>
      </c>
      <c r="I58" t="s">
        <v>134</v>
      </c>
      <c r="J58" t="s">
        <v>374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375</v>
      </c>
    </row>
    <row r="59" spans="1:21" x14ac:dyDescent="0.25">
      <c r="A59" t="s">
        <v>243</v>
      </c>
      <c r="B59" t="s">
        <v>135</v>
      </c>
      <c r="C59">
        <v>58</v>
      </c>
      <c r="E59" t="s">
        <v>370</v>
      </c>
      <c r="F59" t="s">
        <v>436</v>
      </c>
      <c r="G59" t="s">
        <v>372</v>
      </c>
      <c r="H59" t="s">
        <v>373</v>
      </c>
      <c r="I59" t="s">
        <v>135</v>
      </c>
      <c r="J59" t="s">
        <v>374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375</v>
      </c>
    </row>
    <row r="60" spans="1:21" x14ac:dyDescent="0.25">
      <c r="A60" t="s">
        <v>242</v>
      </c>
      <c r="B60" t="s">
        <v>133</v>
      </c>
      <c r="C60">
        <v>59</v>
      </c>
      <c r="E60" t="s">
        <v>370</v>
      </c>
      <c r="F60" t="s">
        <v>437</v>
      </c>
      <c r="G60" t="s">
        <v>372</v>
      </c>
      <c r="H60" t="s">
        <v>373</v>
      </c>
      <c r="I60" t="s">
        <v>133</v>
      </c>
      <c r="J60" t="s">
        <v>374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375</v>
      </c>
    </row>
    <row r="61" spans="1:21" x14ac:dyDescent="0.25">
      <c r="A61" t="s">
        <v>342</v>
      </c>
      <c r="B61" t="s">
        <v>133</v>
      </c>
      <c r="C61">
        <v>60</v>
      </c>
      <c r="D61" t="s">
        <v>343</v>
      </c>
      <c r="E61" t="s">
        <v>370</v>
      </c>
      <c r="F61" t="s">
        <v>438</v>
      </c>
      <c r="G61" t="s">
        <v>372</v>
      </c>
      <c r="H61" t="s">
        <v>373</v>
      </c>
      <c r="I61" t="s">
        <v>133</v>
      </c>
      <c r="J61" t="s">
        <v>374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375</v>
      </c>
    </row>
    <row r="62" spans="1:21" x14ac:dyDescent="0.25">
      <c r="A62" t="s">
        <v>259</v>
      </c>
      <c r="B62" t="s">
        <v>135</v>
      </c>
      <c r="C62">
        <v>61</v>
      </c>
      <c r="E62" t="s">
        <v>370</v>
      </c>
      <c r="F62" t="s">
        <v>439</v>
      </c>
      <c r="G62" t="s">
        <v>372</v>
      </c>
      <c r="H62" t="s">
        <v>373</v>
      </c>
      <c r="I62" t="s">
        <v>135</v>
      </c>
      <c r="J62" t="s">
        <v>374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375</v>
      </c>
    </row>
    <row r="63" spans="1:21" x14ac:dyDescent="0.25">
      <c r="A63" t="s">
        <v>260</v>
      </c>
      <c r="B63" t="s">
        <v>135</v>
      </c>
      <c r="C63">
        <v>62</v>
      </c>
      <c r="E63" t="s">
        <v>370</v>
      </c>
      <c r="F63" t="s">
        <v>440</v>
      </c>
      <c r="G63" t="s">
        <v>372</v>
      </c>
      <c r="H63" t="s">
        <v>373</v>
      </c>
      <c r="I63" t="s">
        <v>135</v>
      </c>
      <c r="J63" t="s">
        <v>374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375</v>
      </c>
    </row>
    <row r="64" spans="1:21" x14ac:dyDescent="0.25">
      <c r="A64" t="s">
        <v>345</v>
      </c>
      <c r="B64" t="s">
        <v>133</v>
      </c>
      <c r="C64">
        <v>63</v>
      </c>
      <c r="D64" t="s">
        <v>343</v>
      </c>
      <c r="E64" t="s">
        <v>370</v>
      </c>
      <c r="F64" t="s">
        <v>441</v>
      </c>
      <c r="G64" t="s">
        <v>372</v>
      </c>
      <c r="H64" t="s">
        <v>377</v>
      </c>
      <c r="I64" t="s">
        <v>133</v>
      </c>
      <c r="J64" t="s">
        <v>374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378</v>
      </c>
    </row>
    <row r="65" spans="1:21" x14ac:dyDescent="0.25">
      <c r="A65" t="s">
        <v>278</v>
      </c>
      <c r="B65" t="s">
        <v>135</v>
      </c>
      <c r="C65">
        <v>64</v>
      </c>
      <c r="E65" t="s">
        <v>370</v>
      </c>
      <c r="F65" t="s">
        <v>442</v>
      </c>
      <c r="G65" t="s">
        <v>372</v>
      </c>
      <c r="H65" t="s">
        <v>373</v>
      </c>
      <c r="I65" t="s">
        <v>135</v>
      </c>
      <c r="J65" t="s">
        <v>374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375</v>
      </c>
    </row>
    <row r="66" spans="1:21" x14ac:dyDescent="0.25">
      <c r="A66" t="s">
        <v>277</v>
      </c>
      <c r="B66" t="s">
        <v>133</v>
      </c>
      <c r="C66">
        <v>65</v>
      </c>
      <c r="E66" t="s">
        <v>370</v>
      </c>
      <c r="F66" t="s">
        <v>443</v>
      </c>
      <c r="G66" t="s">
        <v>372</v>
      </c>
      <c r="H66" t="s">
        <v>373</v>
      </c>
      <c r="I66" t="s">
        <v>133</v>
      </c>
      <c r="J66" t="s">
        <v>374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375</v>
      </c>
    </row>
    <row r="67" spans="1:21" x14ac:dyDescent="0.25">
      <c r="A67" t="s">
        <v>344</v>
      </c>
      <c r="B67" t="s">
        <v>133</v>
      </c>
      <c r="C67">
        <v>66</v>
      </c>
      <c r="D67" t="s">
        <v>343</v>
      </c>
      <c r="E67" t="s">
        <v>370</v>
      </c>
      <c r="F67" t="s">
        <v>444</v>
      </c>
      <c r="G67" t="s">
        <v>372</v>
      </c>
      <c r="H67" t="s">
        <v>373</v>
      </c>
      <c r="I67" t="s">
        <v>133</v>
      </c>
      <c r="J67" t="s">
        <v>374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375</v>
      </c>
    </row>
    <row r="68" spans="1:21" x14ac:dyDescent="0.25">
      <c r="A68" t="s">
        <v>275</v>
      </c>
      <c r="B68" t="s">
        <v>133</v>
      </c>
      <c r="C68">
        <v>67</v>
      </c>
      <c r="E68" t="s">
        <v>370</v>
      </c>
      <c r="F68" t="s">
        <v>445</v>
      </c>
      <c r="G68" t="s">
        <v>372</v>
      </c>
      <c r="H68" t="s">
        <v>373</v>
      </c>
      <c r="I68" t="s">
        <v>133</v>
      </c>
      <c r="J68" t="s">
        <v>374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375</v>
      </c>
    </row>
    <row r="69" spans="1:21" x14ac:dyDescent="0.25">
      <c r="A69" t="s">
        <v>274</v>
      </c>
      <c r="B69" t="s">
        <v>133</v>
      </c>
      <c r="C69">
        <v>68</v>
      </c>
      <c r="E69" t="s">
        <v>370</v>
      </c>
      <c r="F69" t="s">
        <v>446</v>
      </c>
      <c r="G69" t="s">
        <v>372</v>
      </c>
      <c r="H69" t="s">
        <v>377</v>
      </c>
      <c r="I69" t="s">
        <v>133</v>
      </c>
      <c r="J69" t="s">
        <v>374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378</v>
      </c>
    </row>
    <row r="70" spans="1:21" x14ac:dyDescent="0.25">
      <c r="A70" t="s">
        <v>273</v>
      </c>
      <c r="B70" t="s">
        <v>133</v>
      </c>
      <c r="C70">
        <v>69</v>
      </c>
      <c r="E70" t="s">
        <v>370</v>
      </c>
      <c r="F70" t="s">
        <v>447</v>
      </c>
      <c r="G70" t="s">
        <v>372</v>
      </c>
      <c r="H70" t="s">
        <v>373</v>
      </c>
      <c r="I70" t="s">
        <v>133</v>
      </c>
      <c r="J70" t="s">
        <v>374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375</v>
      </c>
    </row>
    <row r="71" spans="1:21" x14ac:dyDescent="0.25">
      <c r="A71" t="s">
        <v>272</v>
      </c>
      <c r="B71" t="s">
        <v>133</v>
      </c>
      <c r="C71">
        <v>70</v>
      </c>
      <c r="E71" t="s">
        <v>370</v>
      </c>
      <c r="F71" t="s">
        <v>448</v>
      </c>
      <c r="G71" t="s">
        <v>372</v>
      </c>
      <c r="H71" t="s">
        <v>373</v>
      </c>
      <c r="I71" t="s">
        <v>133</v>
      </c>
      <c r="J71" t="s">
        <v>374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375</v>
      </c>
    </row>
    <row r="72" spans="1:21" x14ac:dyDescent="0.25">
      <c r="A72" t="s">
        <v>271</v>
      </c>
      <c r="B72" t="s">
        <v>133</v>
      </c>
      <c r="C72">
        <v>71</v>
      </c>
      <c r="E72" t="s">
        <v>370</v>
      </c>
      <c r="F72" t="s">
        <v>449</v>
      </c>
      <c r="G72" t="s">
        <v>372</v>
      </c>
      <c r="H72" t="s">
        <v>373</v>
      </c>
      <c r="I72" t="s">
        <v>133</v>
      </c>
      <c r="J72" t="s">
        <v>374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375</v>
      </c>
    </row>
    <row r="73" spans="1:21" x14ac:dyDescent="0.25">
      <c r="A73" t="s">
        <v>270</v>
      </c>
      <c r="B73" t="s">
        <v>133</v>
      </c>
      <c r="C73">
        <v>72</v>
      </c>
      <c r="E73" t="s">
        <v>370</v>
      </c>
      <c r="F73" t="s">
        <v>450</v>
      </c>
      <c r="G73" t="s">
        <v>372</v>
      </c>
      <c r="H73" t="s">
        <v>373</v>
      </c>
      <c r="I73" t="s">
        <v>133</v>
      </c>
      <c r="J73" t="s">
        <v>374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375</v>
      </c>
    </row>
    <row r="74" spans="1:21" x14ac:dyDescent="0.25">
      <c r="A74" t="s">
        <v>269</v>
      </c>
      <c r="B74" t="s">
        <v>133</v>
      </c>
      <c r="C74">
        <v>73</v>
      </c>
      <c r="E74" t="s">
        <v>370</v>
      </c>
      <c r="F74" t="s">
        <v>451</v>
      </c>
      <c r="G74" t="s">
        <v>372</v>
      </c>
      <c r="H74" t="s">
        <v>377</v>
      </c>
      <c r="I74" t="s">
        <v>133</v>
      </c>
      <c r="J74" t="s">
        <v>374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378</v>
      </c>
    </row>
    <row r="75" spans="1:21" x14ac:dyDescent="0.25">
      <c r="A75" t="s">
        <v>268</v>
      </c>
      <c r="B75" t="s">
        <v>133</v>
      </c>
      <c r="C75">
        <v>74</v>
      </c>
      <c r="E75" t="s">
        <v>370</v>
      </c>
      <c r="F75" t="s">
        <v>452</v>
      </c>
      <c r="G75" t="s">
        <v>372</v>
      </c>
      <c r="H75" t="s">
        <v>373</v>
      </c>
      <c r="I75" t="s">
        <v>133</v>
      </c>
      <c r="J75" t="s">
        <v>374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375</v>
      </c>
    </row>
    <row r="76" spans="1:21" x14ac:dyDescent="0.25">
      <c r="A76" t="s">
        <v>267</v>
      </c>
      <c r="B76" t="s">
        <v>133</v>
      </c>
      <c r="C76">
        <v>75</v>
      </c>
      <c r="E76" t="s">
        <v>370</v>
      </c>
      <c r="F76" t="s">
        <v>453</v>
      </c>
      <c r="G76" t="s">
        <v>372</v>
      </c>
      <c r="H76" t="s">
        <v>373</v>
      </c>
      <c r="I76" t="s">
        <v>133</v>
      </c>
      <c r="J76" t="s">
        <v>374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375</v>
      </c>
    </row>
    <row r="77" spans="1:21" x14ac:dyDescent="0.25">
      <c r="A77" t="s">
        <v>266</v>
      </c>
      <c r="B77" t="s">
        <v>133</v>
      </c>
      <c r="C77">
        <v>76</v>
      </c>
      <c r="E77" t="s">
        <v>370</v>
      </c>
      <c r="F77" t="s">
        <v>454</v>
      </c>
      <c r="G77" t="s">
        <v>372</v>
      </c>
      <c r="H77" t="s">
        <v>373</v>
      </c>
      <c r="I77" t="s">
        <v>133</v>
      </c>
      <c r="J77" t="s">
        <v>374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375</v>
      </c>
    </row>
    <row r="78" spans="1:21" x14ac:dyDescent="0.25">
      <c r="A78" t="s">
        <v>265</v>
      </c>
      <c r="B78" t="s">
        <v>135</v>
      </c>
      <c r="C78">
        <v>77</v>
      </c>
      <c r="E78" t="s">
        <v>370</v>
      </c>
      <c r="F78" t="s">
        <v>455</v>
      </c>
      <c r="G78" t="s">
        <v>372</v>
      </c>
      <c r="H78" t="s">
        <v>373</v>
      </c>
      <c r="I78" t="s">
        <v>135</v>
      </c>
      <c r="J78" t="s">
        <v>374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375</v>
      </c>
    </row>
    <row r="79" spans="1:21" x14ac:dyDescent="0.25">
      <c r="A79" t="s">
        <v>264</v>
      </c>
      <c r="B79" t="s">
        <v>133</v>
      </c>
      <c r="C79">
        <v>78</v>
      </c>
      <c r="E79" t="s">
        <v>370</v>
      </c>
      <c r="F79" t="s">
        <v>456</v>
      </c>
      <c r="G79" t="s">
        <v>372</v>
      </c>
      <c r="H79" t="s">
        <v>373</v>
      </c>
      <c r="I79" t="s">
        <v>133</v>
      </c>
      <c r="J79" t="s">
        <v>374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375</v>
      </c>
    </row>
    <row r="80" spans="1:21" x14ac:dyDescent="0.25">
      <c r="A80" t="s">
        <v>263</v>
      </c>
      <c r="B80" t="s">
        <v>133</v>
      </c>
      <c r="C80">
        <v>79</v>
      </c>
      <c r="E80" t="s">
        <v>370</v>
      </c>
      <c r="F80" t="s">
        <v>457</v>
      </c>
      <c r="G80" t="s">
        <v>372</v>
      </c>
      <c r="H80" t="s">
        <v>373</v>
      </c>
      <c r="I80" t="s">
        <v>133</v>
      </c>
      <c r="J80" t="s">
        <v>374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375</v>
      </c>
    </row>
    <row r="81" spans="1:21" x14ac:dyDescent="0.25">
      <c r="A81" t="s">
        <v>262</v>
      </c>
      <c r="B81" t="s">
        <v>135</v>
      </c>
      <c r="C81">
        <v>80</v>
      </c>
      <c r="E81" t="s">
        <v>370</v>
      </c>
      <c r="F81" t="s">
        <v>458</v>
      </c>
      <c r="G81" t="s">
        <v>372</v>
      </c>
      <c r="H81" t="s">
        <v>377</v>
      </c>
      <c r="I81" t="s">
        <v>135</v>
      </c>
      <c r="J81" t="s">
        <v>374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378</v>
      </c>
    </row>
    <row r="82" spans="1:21" x14ac:dyDescent="0.25">
      <c r="A82" t="s">
        <v>280</v>
      </c>
      <c r="B82" t="s">
        <v>133</v>
      </c>
      <c r="C82">
        <v>81</v>
      </c>
      <c r="E82" t="s">
        <v>370</v>
      </c>
      <c r="F82" t="s">
        <v>459</v>
      </c>
      <c r="G82" t="s">
        <v>372</v>
      </c>
      <c r="H82" t="s">
        <v>383</v>
      </c>
      <c r="I82" t="s">
        <v>133</v>
      </c>
      <c r="J82" t="s">
        <v>374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384</v>
      </c>
    </row>
    <row r="83" spans="1:21" x14ac:dyDescent="0.25">
      <c r="A83" t="s">
        <v>319</v>
      </c>
      <c r="B83" t="s">
        <v>133</v>
      </c>
      <c r="C83">
        <v>82</v>
      </c>
      <c r="E83" t="s">
        <v>370</v>
      </c>
      <c r="F83" t="s">
        <v>460</v>
      </c>
      <c r="G83" t="s">
        <v>372</v>
      </c>
      <c r="H83" t="s">
        <v>377</v>
      </c>
      <c r="I83" t="s">
        <v>133</v>
      </c>
      <c r="J83" t="s">
        <v>374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378</v>
      </c>
    </row>
    <row r="84" spans="1:21" x14ac:dyDescent="0.25">
      <c r="A84" t="s">
        <v>276</v>
      </c>
      <c r="B84" t="s">
        <v>133</v>
      </c>
      <c r="C84">
        <v>83</v>
      </c>
      <c r="E84" t="s">
        <v>370</v>
      </c>
      <c r="F84" t="s">
        <v>461</v>
      </c>
      <c r="G84" t="s">
        <v>372</v>
      </c>
      <c r="H84" t="s">
        <v>373</v>
      </c>
      <c r="I84" t="s">
        <v>133</v>
      </c>
      <c r="J84" t="s">
        <v>374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375</v>
      </c>
    </row>
    <row r="85" spans="1:21" x14ac:dyDescent="0.25">
      <c r="A85" t="s">
        <v>261</v>
      </c>
      <c r="B85" t="s">
        <v>133</v>
      </c>
      <c r="C85">
        <v>84</v>
      </c>
      <c r="E85" t="s">
        <v>370</v>
      </c>
      <c r="F85" t="s">
        <v>462</v>
      </c>
      <c r="G85" t="s">
        <v>372</v>
      </c>
      <c r="H85" t="s">
        <v>373</v>
      </c>
      <c r="I85" t="s">
        <v>133</v>
      </c>
      <c r="J85" t="s">
        <v>374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375</v>
      </c>
    </row>
    <row r="86" spans="1:21" x14ac:dyDescent="0.25">
      <c r="A86" t="s">
        <v>249</v>
      </c>
      <c r="B86" t="s">
        <v>135</v>
      </c>
      <c r="C86">
        <v>85</v>
      </c>
      <c r="E86" t="s">
        <v>370</v>
      </c>
      <c r="F86" t="s">
        <v>463</v>
      </c>
      <c r="G86" t="s">
        <v>372</v>
      </c>
      <c r="H86" t="s">
        <v>373</v>
      </c>
      <c r="I86" t="s">
        <v>135</v>
      </c>
      <c r="J86" t="s">
        <v>374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375</v>
      </c>
    </row>
    <row r="87" spans="1:21" x14ac:dyDescent="0.25">
      <c r="A87" t="s">
        <v>244</v>
      </c>
      <c r="B87" t="s">
        <v>133</v>
      </c>
      <c r="C87">
        <v>86</v>
      </c>
      <c r="E87" t="s">
        <v>370</v>
      </c>
      <c r="F87" t="s">
        <v>464</v>
      </c>
      <c r="G87" t="s">
        <v>372</v>
      </c>
      <c r="H87" t="s">
        <v>373</v>
      </c>
      <c r="I87" t="s">
        <v>133</v>
      </c>
      <c r="J87" t="s">
        <v>374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375</v>
      </c>
    </row>
    <row r="88" spans="1:21" x14ac:dyDescent="0.25">
      <c r="A88" t="s">
        <v>246</v>
      </c>
      <c r="B88" t="s">
        <v>133</v>
      </c>
      <c r="C88">
        <v>87</v>
      </c>
      <c r="E88" t="s">
        <v>370</v>
      </c>
      <c r="F88" t="s">
        <v>465</v>
      </c>
      <c r="G88" t="s">
        <v>372</v>
      </c>
      <c r="H88" t="s">
        <v>373</v>
      </c>
      <c r="I88" t="s">
        <v>133</v>
      </c>
      <c r="J88" t="s">
        <v>374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375</v>
      </c>
    </row>
    <row r="89" spans="1:21" x14ac:dyDescent="0.25">
      <c r="A89" t="s">
        <v>351</v>
      </c>
      <c r="B89" t="s">
        <v>133</v>
      </c>
      <c r="C89">
        <v>88</v>
      </c>
      <c r="D89" t="s">
        <v>343</v>
      </c>
      <c r="E89" t="s">
        <v>370</v>
      </c>
      <c r="F89" t="s">
        <v>466</v>
      </c>
      <c r="G89" t="s">
        <v>372</v>
      </c>
      <c r="H89" t="s">
        <v>377</v>
      </c>
      <c r="I89" t="s">
        <v>133</v>
      </c>
      <c r="J89" t="s">
        <v>374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378</v>
      </c>
    </row>
    <row r="90" spans="1:21" x14ac:dyDescent="0.25">
      <c r="A90" t="s">
        <v>308</v>
      </c>
      <c r="B90" t="s">
        <v>133</v>
      </c>
      <c r="C90">
        <v>89</v>
      </c>
      <c r="E90" t="s">
        <v>370</v>
      </c>
      <c r="F90" t="s">
        <v>467</v>
      </c>
      <c r="G90" t="s">
        <v>372</v>
      </c>
      <c r="H90" t="s">
        <v>377</v>
      </c>
      <c r="I90" t="s">
        <v>133</v>
      </c>
      <c r="J90" t="s">
        <v>374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378</v>
      </c>
    </row>
    <row r="91" spans="1:21" x14ac:dyDescent="0.25">
      <c r="A91" t="s">
        <v>332</v>
      </c>
      <c r="B91" t="s">
        <v>134</v>
      </c>
      <c r="C91">
        <v>90</v>
      </c>
      <c r="D91" t="s">
        <v>321</v>
      </c>
      <c r="E91" t="s">
        <v>468</v>
      </c>
      <c r="F91" t="s">
        <v>469</v>
      </c>
      <c r="J91" t="s">
        <v>374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470</v>
      </c>
    </row>
    <row r="92" spans="1:21" x14ac:dyDescent="0.25">
      <c r="A92" t="s">
        <v>331</v>
      </c>
      <c r="B92" t="s">
        <v>134</v>
      </c>
      <c r="C92">
        <v>91</v>
      </c>
      <c r="D92" t="s">
        <v>321</v>
      </c>
      <c r="E92" t="s">
        <v>468</v>
      </c>
      <c r="F92" t="s">
        <v>471</v>
      </c>
      <c r="J92" t="s">
        <v>374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470</v>
      </c>
    </row>
    <row r="93" spans="1:21" x14ac:dyDescent="0.25">
      <c r="A93" t="s">
        <v>330</v>
      </c>
      <c r="B93" t="s">
        <v>134</v>
      </c>
      <c r="C93">
        <v>92</v>
      </c>
      <c r="D93" t="s">
        <v>321</v>
      </c>
      <c r="E93" t="s">
        <v>468</v>
      </c>
      <c r="F93" t="s">
        <v>472</v>
      </c>
      <c r="J93" t="s">
        <v>374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470</v>
      </c>
    </row>
    <row r="94" spans="1:21" x14ac:dyDescent="0.25">
      <c r="A94" t="s">
        <v>329</v>
      </c>
      <c r="B94" t="s">
        <v>133</v>
      </c>
      <c r="C94">
        <v>93</v>
      </c>
      <c r="D94" t="s">
        <v>321</v>
      </c>
      <c r="E94" t="s">
        <v>468</v>
      </c>
      <c r="F94" t="s">
        <v>473</v>
      </c>
      <c r="J94" t="s">
        <v>374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470</v>
      </c>
    </row>
    <row r="95" spans="1:21" x14ac:dyDescent="0.25">
      <c r="A95" t="s">
        <v>340</v>
      </c>
      <c r="B95" t="s">
        <v>134</v>
      </c>
      <c r="C95">
        <v>94</v>
      </c>
      <c r="D95" t="s">
        <v>321</v>
      </c>
      <c r="E95" t="s">
        <v>468</v>
      </c>
      <c r="F95" t="s">
        <v>474</v>
      </c>
      <c r="J95" t="s">
        <v>374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470</v>
      </c>
    </row>
    <row r="96" spans="1:21" x14ac:dyDescent="0.25">
      <c r="A96" t="s">
        <v>496</v>
      </c>
      <c r="B96" t="s">
        <v>133</v>
      </c>
      <c r="C96">
        <v>95</v>
      </c>
      <c r="D96" t="s">
        <v>321</v>
      </c>
      <c r="E96" t="s">
        <v>468</v>
      </c>
      <c r="F96" t="s">
        <v>475</v>
      </c>
      <c r="J96" t="s">
        <v>374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470</v>
      </c>
    </row>
    <row r="97" spans="1:21" x14ac:dyDescent="0.25">
      <c r="A97" t="s">
        <v>320</v>
      </c>
      <c r="B97" t="s">
        <v>134</v>
      </c>
      <c r="C97">
        <v>96</v>
      </c>
      <c r="D97" t="s">
        <v>321</v>
      </c>
      <c r="E97" t="s">
        <v>468</v>
      </c>
      <c r="F97" t="s">
        <v>476</v>
      </c>
      <c r="J97" t="s">
        <v>374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470</v>
      </c>
    </row>
    <row r="98" spans="1:21" x14ac:dyDescent="0.25">
      <c r="A98" t="s">
        <v>322</v>
      </c>
      <c r="B98" t="s">
        <v>134</v>
      </c>
      <c r="C98">
        <v>97</v>
      </c>
      <c r="D98" t="s">
        <v>321</v>
      </c>
      <c r="E98" t="s">
        <v>468</v>
      </c>
      <c r="F98" t="s">
        <v>477</v>
      </c>
      <c r="J98" t="s">
        <v>374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470</v>
      </c>
    </row>
    <row r="99" spans="1:21" x14ac:dyDescent="0.25">
      <c r="A99" t="s">
        <v>323</v>
      </c>
      <c r="B99" t="s">
        <v>133</v>
      </c>
      <c r="C99">
        <v>98</v>
      </c>
      <c r="D99" t="s">
        <v>321</v>
      </c>
      <c r="E99" t="s">
        <v>468</v>
      </c>
      <c r="F99" t="s">
        <v>478</v>
      </c>
      <c r="J99" t="s">
        <v>374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470</v>
      </c>
    </row>
    <row r="100" spans="1:21" x14ac:dyDescent="0.25">
      <c r="A100" t="s">
        <v>327</v>
      </c>
      <c r="B100" t="s">
        <v>134</v>
      </c>
      <c r="C100">
        <v>99</v>
      </c>
      <c r="D100" t="s">
        <v>321</v>
      </c>
      <c r="E100" t="s">
        <v>468</v>
      </c>
      <c r="F100" t="s">
        <v>479</v>
      </c>
      <c r="J100" t="s">
        <v>374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470</v>
      </c>
    </row>
    <row r="101" spans="1:21" x14ac:dyDescent="0.25">
      <c r="A101" t="s">
        <v>324</v>
      </c>
      <c r="B101" t="s">
        <v>134</v>
      </c>
      <c r="C101">
        <v>100</v>
      </c>
      <c r="D101" t="s">
        <v>321</v>
      </c>
      <c r="E101" t="s">
        <v>468</v>
      </c>
      <c r="F101" t="s">
        <v>480</v>
      </c>
      <c r="J101" t="s">
        <v>374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470</v>
      </c>
    </row>
    <row r="102" spans="1:21" x14ac:dyDescent="0.25">
      <c r="A102" t="s">
        <v>325</v>
      </c>
      <c r="B102" t="s">
        <v>134</v>
      </c>
      <c r="C102">
        <v>101</v>
      </c>
      <c r="D102" t="s">
        <v>321</v>
      </c>
      <c r="E102" t="s">
        <v>468</v>
      </c>
      <c r="F102" t="s">
        <v>481</v>
      </c>
      <c r="J102" t="s">
        <v>374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470</v>
      </c>
    </row>
    <row r="103" spans="1:21" x14ac:dyDescent="0.25">
      <c r="A103" t="s">
        <v>326</v>
      </c>
      <c r="B103" t="s">
        <v>134</v>
      </c>
      <c r="C103">
        <v>102</v>
      </c>
      <c r="D103" t="s">
        <v>321</v>
      </c>
      <c r="E103" t="s">
        <v>468</v>
      </c>
      <c r="F103" t="s">
        <v>482</v>
      </c>
      <c r="J103" t="s">
        <v>374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470</v>
      </c>
    </row>
    <row r="104" spans="1:21" x14ac:dyDescent="0.25">
      <c r="A104" t="s">
        <v>497</v>
      </c>
      <c r="B104" t="s">
        <v>133</v>
      </c>
      <c r="C104">
        <v>103</v>
      </c>
      <c r="D104" t="s">
        <v>321</v>
      </c>
      <c r="E104" t="s">
        <v>468</v>
      </c>
      <c r="F104" t="s">
        <v>483</v>
      </c>
      <c r="J104" t="s">
        <v>374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470</v>
      </c>
    </row>
    <row r="105" spans="1:21" x14ac:dyDescent="0.25">
      <c r="A105" t="s">
        <v>498</v>
      </c>
      <c r="B105" t="s">
        <v>133</v>
      </c>
      <c r="C105">
        <v>104</v>
      </c>
      <c r="D105" t="s">
        <v>321</v>
      </c>
      <c r="E105" t="s">
        <v>468</v>
      </c>
      <c r="F105" t="s">
        <v>484</v>
      </c>
      <c r="J105" t="s">
        <v>374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470</v>
      </c>
    </row>
    <row r="106" spans="1:21" x14ac:dyDescent="0.25">
      <c r="A106" t="s">
        <v>499</v>
      </c>
      <c r="B106" t="s">
        <v>133</v>
      </c>
      <c r="C106">
        <v>105</v>
      </c>
      <c r="D106" t="s">
        <v>321</v>
      </c>
      <c r="E106" t="s">
        <v>468</v>
      </c>
      <c r="F106" t="s">
        <v>485</v>
      </c>
      <c r="J106" t="s">
        <v>374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470</v>
      </c>
    </row>
    <row r="107" spans="1:21" x14ac:dyDescent="0.25">
      <c r="A107" t="s">
        <v>341</v>
      </c>
      <c r="B107" t="s">
        <v>134</v>
      </c>
      <c r="C107">
        <v>106</v>
      </c>
      <c r="D107" t="s">
        <v>321</v>
      </c>
      <c r="E107" t="s">
        <v>468</v>
      </c>
      <c r="F107" t="s">
        <v>486</v>
      </c>
      <c r="J107" t="s">
        <v>374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470</v>
      </c>
    </row>
    <row r="108" spans="1:21" x14ac:dyDescent="0.25">
      <c r="A108" t="s">
        <v>333</v>
      </c>
      <c r="B108" t="s">
        <v>134</v>
      </c>
      <c r="C108">
        <v>107</v>
      </c>
      <c r="D108" t="s">
        <v>321</v>
      </c>
      <c r="E108" t="s">
        <v>468</v>
      </c>
      <c r="F108" t="s">
        <v>487</v>
      </c>
      <c r="J108" t="s">
        <v>374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470</v>
      </c>
    </row>
    <row r="109" spans="1:21" x14ac:dyDescent="0.25">
      <c r="A109" t="s">
        <v>334</v>
      </c>
      <c r="B109" t="s">
        <v>134</v>
      </c>
      <c r="C109">
        <v>108</v>
      </c>
      <c r="D109" t="s">
        <v>321</v>
      </c>
      <c r="E109" t="s">
        <v>468</v>
      </c>
      <c r="F109" t="s">
        <v>488</v>
      </c>
      <c r="J109" t="s">
        <v>374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470</v>
      </c>
    </row>
    <row r="110" spans="1:21" x14ac:dyDescent="0.25">
      <c r="A110" t="s">
        <v>500</v>
      </c>
      <c r="B110" t="s">
        <v>133</v>
      </c>
      <c r="C110">
        <v>109</v>
      </c>
      <c r="D110" t="s">
        <v>321</v>
      </c>
      <c r="E110" t="s">
        <v>468</v>
      </c>
      <c r="F110" t="s">
        <v>489</v>
      </c>
      <c r="J110" t="s">
        <v>374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470</v>
      </c>
    </row>
    <row r="111" spans="1:21" x14ac:dyDescent="0.25">
      <c r="A111" t="s">
        <v>336</v>
      </c>
      <c r="B111" t="s">
        <v>134</v>
      </c>
      <c r="C111">
        <v>110</v>
      </c>
      <c r="D111" t="s">
        <v>321</v>
      </c>
      <c r="E111" t="s">
        <v>468</v>
      </c>
      <c r="F111" t="s">
        <v>490</v>
      </c>
      <c r="J111" t="s">
        <v>374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470</v>
      </c>
    </row>
    <row r="112" spans="1:21" x14ac:dyDescent="0.25">
      <c r="A112" t="s">
        <v>337</v>
      </c>
      <c r="B112" t="s">
        <v>134</v>
      </c>
      <c r="C112">
        <v>111</v>
      </c>
      <c r="D112" t="s">
        <v>321</v>
      </c>
      <c r="E112" t="s">
        <v>468</v>
      </c>
      <c r="F112" t="s">
        <v>491</v>
      </c>
      <c r="J112" t="s">
        <v>374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470</v>
      </c>
    </row>
    <row r="113" spans="1:21" x14ac:dyDescent="0.25">
      <c r="A113" t="s">
        <v>338</v>
      </c>
      <c r="B113" t="s">
        <v>134</v>
      </c>
      <c r="C113">
        <v>112</v>
      </c>
      <c r="D113" t="s">
        <v>321</v>
      </c>
      <c r="E113" t="s">
        <v>468</v>
      </c>
      <c r="F113" t="s">
        <v>492</v>
      </c>
      <c r="J113" t="s">
        <v>374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470</v>
      </c>
    </row>
    <row r="114" spans="1:21" x14ac:dyDescent="0.25">
      <c r="A114" t="s">
        <v>339</v>
      </c>
      <c r="B114" t="s">
        <v>134</v>
      </c>
      <c r="C114">
        <v>113</v>
      </c>
      <c r="D114" t="s">
        <v>321</v>
      </c>
      <c r="E114" t="s">
        <v>468</v>
      </c>
      <c r="F114" t="s">
        <v>493</v>
      </c>
      <c r="J114" t="s">
        <v>374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470</v>
      </c>
    </row>
    <row r="115" spans="1:21" x14ac:dyDescent="0.25">
      <c r="A115" t="s">
        <v>335</v>
      </c>
      <c r="B115" t="s">
        <v>134</v>
      </c>
      <c r="C115">
        <v>114</v>
      </c>
      <c r="D115" t="s">
        <v>321</v>
      </c>
      <c r="E115" t="s">
        <v>468</v>
      </c>
      <c r="F115" t="s">
        <v>494</v>
      </c>
      <c r="J115" t="s">
        <v>374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470</v>
      </c>
    </row>
    <row r="116" spans="1:21" x14ac:dyDescent="0.25">
      <c r="A116" t="s">
        <v>328</v>
      </c>
      <c r="B116" t="s">
        <v>134</v>
      </c>
      <c r="C116">
        <v>115</v>
      </c>
      <c r="D116" t="s">
        <v>321</v>
      </c>
      <c r="E116" t="s">
        <v>468</v>
      </c>
      <c r="F116" t="s">
        <v>495</v>
      </c>
      <c r="J116" t="s">
        <v>374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470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8B63-2485-468A-A445-A9E65D88FADD}">
  <dimension ref="A1:CF1125"/>
  <sheetViews>
    <sheetView tabSelected="1" workbookViewId="0">
      <selection sqref="A1:CF1125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9.5703125" bestFit="1" customWidth="1"/>
    <col min="7" max="7" width="14" bestFit="1" customWidth="1"/>
    <col min="8" max="8" width="7.42578125" bestFit="1" customWidth="1"/>
    <col min="9" max="9" width="17.140625" bestFit="1" customWidth="1"/>
    <col min="10" max="10" width="12" bestFit="1" customWidth="1"/>
    <col min="11" max="11" width="8.5703125" bestFit="1" customWidth="1"/>
    <col min="12" max="12" width="16.42578125" bestFit="1" customWidth="1"/>
    <col min="13" max="14" width="8" bestFit="1" customWidth="1"/>
    <col min="15" max="15" width="12" bestFit="1" customWidth="1"/>
    <col min="16" max="16" width="16.5703125" bestFit="1" customWidth="1"/>
    <col min="17" max="17" width="16.28515625" bestFit="1" customWidth="1"/>
    <col min="18" max="18" width="14.42578125" bestFit="1" customWidth="1"/>
    <col min="19" max="19" width="30.28515625" bestFit="1" customWidth="1"/>
    <col min="20" max="20" width="20" bestFit="1" customWidth="1"/>
    <col min="21" max="21" width="17.7109375" bestFit="1" customWidth="1"/>
    <col min="22" max="22" width="30.85546875" bestFit="1" customWidth="1"/>
    <col min="23" max="23" width="28.7109375" bestFit="1" customWidth="1"/>
    <col min="24" max="24" width="33.140625" bestFit="1" customWidth="1"/>
    <col min="25" max="25" width="29.42578125" bestFit="1" customWidth="1"/>
    <col min="26" max="26" width="20.7109375" bestFit="1" customWidth="1"/>
    <col min="27" max="27" width="18.42578125" bestFit="1" customWidth="1"/>
    <col min="28" max="28" width="44.85546875" bestFit="1" customWidth="1"/>
    <col min="29" max="29" width="26.5703125" bestFit="1" customWidth="1"/>
    <col min="30" max="30" width="22" bestFit="1" customWidth="1"/>
    <col min="31" max="31" width="19.85546875" bestFit="1" customWidth="1"/>
    <col min="32" max="32" width="24.7109375" bestFit="1" customWidth="1"/>
    <col min="33" max="33" width="22.42578125" bestFit="1" customWidth="1"/>
    <col min="34" max="34" width="25.42578125" bestFit="1" customWidth="1"/>
    <col min="35" max="35" width="12.7109375" bestFit="1" customWidth="1"/>
    <col min="36" max="36" width="23.85546875" bestFit="1" customWidth="1"/>
    <col min="37" max="37" width="29.28515625" bestFit="1" customWidth="1"/>
    <col min="38" max="38" width="14.28515625" bestFit="1" customWidth="1"/>
    <col min="39" max="39" width="19.85546875" bestFit="1" customWidth="1"/>
    <col min="40" max="40" width="19.5703125" bestFit="1" customWidth="1"/>
    <col min="41" max="41" width="17.28515625" bestFit="1" customWidth="1"/>
    <col min="42" max="42" width="29.85546875" bestFit="1" customWidth="1"/>
    <col min="43" max="43" width="19.5703125" bestFit="1" customWidth="1"/>
    <col min="44" max="44" width="17.28515625" bestFit="1" customWidth="1"/>
    <col min="45" max="45" width="30.42578125" bestFit="1" customWidth="1"/>
    <col min="46" max="46" width="28.28515625" bestFit="1" customWidth="1"/>
    <col min="47" max="47" width="32.7109375" bestFit="1" customWidth="1"/>
    <col min="48" max="48" width="29" bestFit="1" customWidth="1"/>
    <col min="49" max="49" width="20.28515625" bestFit="1" customWidth="1"/>
    <col min="50" max="50" width="18" bestFit="1" customWidth="1"/>
    <col min="51" max="51" width="44.42578125" bestFit="1" customWidth="1"/>
    <col min="52" max="52" width="26.140625" bestFit="1" customWidth="1"/>
    <col min="53" max="53" width="21.5703125" bestFit="1" customWidth="1"/>
    <col min="54" max="54" width="19.28515625" bestFit="1" customWidth="1"/>
    <col min="55" max="55" width="24.28515625" bestFit="1" customWidth="1"/>
    <col min="56" max="56" width="22" bestFit="1" customWidth="1"/>
    <col min="57" max="57" width="25" bestFit="1" customWidth="1"/>
    <col min="58" max="58" width="12.28515625" bestFit="1" customWidth="1"/>
    <col min="59" max="59" width="23.28515625" bestFit="1" customWidth="1"/>
    <col min="60" max="60" width="28.42578125" bestFit="1" customWidth="1"/>
    <col min="61" max="61" width="13.85546875" bestFit="1" customWidth="1"/>
    <col min="62" max="62" width="20" bestFit="1" customWidth="1"/>
    <col min="63" max="63" width="19.140625" bestFit="1" customWidth="1"/>
    <col min="64" max="64" width="17.42578125" bestFit="1" customWidth="1"/>
    <col min="65" max="65" width="30.7109375" bestFit="1" customWidth="1"/>
    <col min="66" max="66" width="20.42578125" bestFit="1" customWidth="1"/>
    <col min="67" max="67" width="18.140625" bestFit="1" customWidth="1"/>
    <col min="68" max="68" width="31.28515625" bestFit="1" customWidth="1"/>
    <col min="69" max="69" width="29.140625" bestFit="1" customWidth="1"/>
    <col min="70" max="70" width="33.5703125" bestFit="1" customWidth="1"/>
    <col min="71" max="71" width="29.85546875" bestFit="1" customWidth="1"/>
    <col min="72" max="72" width="21.140625" bestFit="1" customWidth="1"/>
    <col min="73" max="73" width="18.85546875" bestFit="1" customWidth="1"/>
    <col min="74" max="74" width="45.28515625" bestFit="1" customWidth="1"/>
    <col min="75" max="75" width="27" bestFit="1" customWidth="1"/>
    <col min="76" max="76" width="22.42578125" bestFit="1" customWidth="1"/>
    <col min="77" max="77" width="20.28515625" bestFit="1" customWidth="1"/>
    <col min="78" max="78" width="25.140625" bestFit="1" customWidth="1"/>
    <col min="79" max="79" width="22.85546875" bestFit="1" customWidth="1"/>
    <col min="80" max="80" width="25.85546875" bestFit="1" customWidth="1"/>
    <col min="81" max="81" width="13.5703125" bestFit="1" customWidth="1"/>
    <col min="82" max="82" width="24.28515625" bestFit="1" customWidth="1"/>
    <col min="83" max="83" width="29.28515625" bestFit="1" customWidth="1"/>
    <col min="84" max="84" width="14.7109375" bestFit="1" customWidth="1"/>
    <col min="85" max="92" width="14.7109375" customWidth="1"/>
    <col min="93" max="93" width="29.28515625" bestFit="1" customWidth="1"/>
    <col min="94" max="94" width="14.7109375" bestFit="1" customWidth="1"/>
  </cols>
  <sheetData>
    <row r="1" spans="1:84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80</v>
      </c>
      <c r="G1" t="s">
        <v>100</v>
      </c>
      <c r="H1" t="s">
        <v>101</v>
      </c>
      <c r="I1" t="s">
        <v>112</v>
      </c>
      <c r="J1" t="s">
        <v>2</v>
      </c>
      <c r="K1" t="s">
        <v>136</v>
      </c>
      <c r="L1" t="s">
        <v>113</v>
      </c>
      <c r="M1" t="s">
        <v>3</v>
      </c>
      <c r="N1" t="s">
        <v>4</v>
      </c>
      <c r="O1" t="s">
        <v>5</v>
      </c>
      <c r="P1" t="s">
        <v>76</v>
      </c>
      <c r="Q1" t="s">
        <v>77</v>
      </c>
      <c r="R1" t="s">
        <v>78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103</v>
      </c>
      <c r="AN1" t="s">
        <v>104</v>
      </c>
      <c r="AO1" t="s">
        <v>105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106</v>
      </c>
      <c r="BK1" t="s">
        <v>107</v>
      </c>
      <c r="BL1" t="s">
        <v>108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102</v>
      </c>
      <c r="CD1" t="s">
        <v>97</v>
      </c>
      <c r="CE1" t="s">
        <v>98</v>
      </c>
      <c r="CF1" t="s">
        <v>99</v>
      </c>
    </row>
    <row r="2" spans="1:84" hidden="1" x14ac:dyDescent="0.25">
      <c r="A2" t="s">
        <v>128</v>
      </c>
      <c r="C2" t="s">
        <v>110</v>
      </c>
      <c r="D2" s="12">
        <v>46227</v>
      </c>
      <c r="J2">
        <v>108.33051344890895</v>
      </c>
      <c r="M2">
        <v>205.2</v>
      </c>
      <c r="N2">
        <v>205.2</v>
      </c>
      <c r="O2">
        <v>98.963783160322947</v>
      </c>
      <c r="S2">
        <v>4.3088021616694474E-3</v>
      </c>
      <c r="T2">
        <v>0</v>
      </c>
      <c r="U2">
        <v>0.87660234789382585</v>
      </c>
      <c r="V2">
        <v>0</v>
      </c>
      <c r="W2">
        <v>1.8160810095496215E-2</v>
      </c>
      <c r="X2">
        <v>0</v>
      </c>
      <c r="Y2">
        <v>4.0235015272514107E-2</v>
      </c>
      <c r="Z2">
        <v>0</v>
      </c>
      <c r="AA2">
        <v>0.1122365672562835</v>
      </c>
      <c r="AB2">
        <v>6.6561953948470629E-2</v>
      </c>
      <c r="AC2">
        <v>9.5239093907158415E-2</v>
      </c>
      <c r="AD2">
        <v>0</v>
      </c>
      <c r="AE2">
        <v>5.5463088055601961E-2</v>
      </c>
      <c r="AF2">
        <v>0</v>
      </c>
      <c r="AG2">
        <v>0.78273586408876905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84" hidden="1" x14ac:dyDescent="0.25">
      <c r="A3" t="s">
        <v>128</v>
      </c>
      <c r="C3" t="s">
        <v>110</v>
      </c>
      <c r="D3" s="12">
        <v>46235</v>
      </c>
      <c r="J3">
        <v>99.367752964205451</v>
      </c>
      <c r="M3">
        <v>168.14999999999995</v>
      </c>
      <c r="N3">
        <v>168.14999999999995</v>
      </c>
      <c r="O3">
        <v>103.87512435121107</v>
      </c>
      <c r="S3">
        <v>1.9097958908457151E-2</v>
      </c>
      <c r="T3">
        <v>0</v>
      </c>
      <c r="U3">
        <v>0.67231133901232021</v>
      </c>
      <c r="V3">
        <v>0</v>
      </c>
      <c r="W3">
        <v>5.7313964805891281E-3</v>
      </c>
      <c r="X3">
        <v>0</v>
      </c>
      <c r="Y3">
        <v>5.8021094273507857E-2</v>
      </c>
      <c r="Z3">
        <v>0</v>
      </c>
      <c r="AA3">
        <v>6.9828814410379178E-2</v>
      </c>
      <c r="AB3">
        <v>0.11941968329050902</v>
      </c>
      <c r="AC3">
        <v>4.2076311815834717E-2</v>
      </c>
      <c r="AD3">
        <v>0</v>
      </c>
      <c r="AE3">
        <v>1.5540887499307201E-2</v>
      </c>
      <c r="AF3">
        <v>0</v>
      </c>
      <c r="AG3">
        <v>0.82296311739434924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84" hidden="1" x14ac:dyDescent="0.25">
      <c r="A4" t="s">
        <v>128</v>
      </c>
      <c r="C4" t="s">
        <v>110</v>
      </c>
      <c r="D4" s="12">
        <v>46236</v>
      </c>
      <c r="J4">
        <v>98.69117734049469</v>
      </c>
      <c r="M4">
        <v>203.29999999999995</v>
      </c>
      <c r="N4">
        <v>203.29999999999995</v>
      </c>
      <c r="O4">
        <v>100.62235618512108</v>
      </c>
      <c r="S4">
        <v>5.8401109414981589E-3</v>
      </c>
      <c r="T4">
        <v>0</v>
      </c>
      <c r="U4">
        <v>0.95368009176329416</v>
      </c>
      <c r="V4">
        <v>0</v>
      </c>
      <c r="W4">
        <v>2.2364285922694795E-3</v>
      </c>
      <c r="X4">
        <v>0</v>
      </c>
      <c r="Y4">
        <v>7.3025711188796846E-2</v>
      </c>
      <c r="Z4">
        <v>0</v>
      </c>
      <c r="AA4">
        <v>0.11791459212812194</v>
      </c>
      <c r="AB4">
        <v>8.5111530424634291E-2</v>
      </c>
      <c r="AC4">
        <v>5.9539976370740703E-2</v>
      </c>
      <c r="AD4">
        <v>0</v>
      </c>
      <c r="AE4">
        <v>2.2259612829570074E-2</v>
      </c>
      <c r="AF4">
        <v>0</v>
      </c>
      <c r="AG4">
        <v>0.83308888037505491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84" hidden="1" x14ac:dyDescent="0.25">
      <c r="A5" t="s">
        <v>128</v>
      </c>
      <c r="C5" t="s">
        <v>110</v>
      </c>
      <c r="D5" s="12">
        <v>46237</v>
      </c>
      <c r="J5">
        <v>106.16277953772666</v>
      </c>
      <c r="M5">
        <v>139.64999999999998</v>
      </c>
      <c r="N5">
        <v>139.64999999999998</v>
      </c>
      <c r="O5">
        <v>106.61987456747401</v>
      </c>
      <c r="S5">
        <v>4.733313263517535E-2</v>
      </c>
      <c r="T5">
        <v>0</v>
      </c>
      <c r="U5">
        <v>0.48358356995613333</v>
      </c>
      <c r="V5">
        <v>0</v>
      </c>
      <c r="W5">
        <v>2.5579739833229177E-3</v>
      </c>
      <c r="X5">
        <v>0</v>
      </c>
      <c r="Y5">
        <v>3.9591910198727216E-2</v>
      </c>
      <c r="Z5">
        <v>0</v>
      </c>
      <c r="AA5">
        <v>7.257520280619742E-2</v>
      </c>
      <c r="AB5">
        <v>0.15419100902754895</v>
      </c>
      <c r="AC5">
        <v>7.0114436567766544E-2</v>
      </c>
      <c r="AD5">
        <v>0</v>
      </c>
      <c r="AE5">
        <v>1.6627458873242004E-2</v>
      </c>
      <c r="AF5">
        <v>0</v>
      </c>
      <c r="AG5">
        <v>0.70049666211160511</v>
      </c>
      <c r="AH5">
        <v>0</v>
      </c>
      <c r="AI5">
        <v>0</v>
      </c>
      <c r="AJ5">
        <v>0</v>
      </c>
      <c r="AK5">
        <v>5.8570433419837212E-2</v>
      </c>
      <c r="AL5">
        <v>0</v>
      </c>
    </row>
    <row r="6" spans="1:84" hidden="1" x14ac:dyDescent="0.25">
      <c r="A6" t="s">
        <v>128</v>
      </c>
      <c r="C6" t="s">
        <v>110</v>
      </c>
      <c r="D6" s="12">
        <v>46238</v>
      </c>
      <c r="J6">
        <v>108.56788137426898</v>
      </c>
      <c r="M6">
        <v>186.19999999999996</v>
      </c>
      <c r="N6">
        <v>186.19999999999996</v>
      </c>
      <c r="O6">
        <v>111.15083141099575</v>
      </c>
      <c r="S6">
        <v>3.9369663349863818E-2</v>
      </c>
      <c r="T6">
        <v>0</v>
      </c>
      <c r="U6">
        <v>0.8645971226531548</v>
      </c>
      <c r="V6">
        <v>0</v>
      </c>
      <c r="W6">
        <v>5.16849827659264E-3</v>
      </c>
      <c r="X6">
        <v>0</v>
      </c>
      <c r="Y6">
        <v>6.1618454992977523E-2</v>
      </c>
      <c r="Z6">
        <v>0</v>
      </c>
      <c r="AA6">
        <v>6.5487893366245817E-2</v>
      </c>
      <c r="AB6">
        <v>0.16233261994919221</v>
      </c>
      <c r="AC6">
        <v>7.5506923197646528E-2</v>
      </c>
      <c r="AD6">
        <v>0</v>
      </c>
      <c r="AE6">
        <v>8.3884128226280365E-3</v>
      </c>
      <c r="AF6">
        <v>0</v>
      </c>
      <c r="AG6">
        <v>0.7097956514321313</v>
      </c>
      <c r="AH6">
        <v>0</v>
      </c>
      <c r="AI6">
        <v>0</v>
      </c>
      <c r="AJ6">
        <v>0</v>
      </c>
      <c r="AK6">
        <v>4.3976392598401873E-2</v>
      </c>
      <c r="AL6">
        <v>0</v>
      </c>
    </row>
    <row r="7" spans="1:84" hidden="1" x14ac:dyDescent="0.25">
      <c r="A7" t="s">
        <v>128</v>
      </c>
      <c r="C7" t="s">
        <v>110</v>
      </c>
      <c r="D7" s="12">
        <v>46239</v>
      </c>
      <c r="J7">
        <v>108.4629062197255</v>
      </c>
      <c r="M7">
        <v>170.99999999999997</v>
      </c>
      <c r="N7">
        <v>170.99999999999997</v>
      </c>
      <c r="O7">
        <v>108.06932840374381</v>
      </c>
      <c r="S7">
        <v>2.7487817899123627E-2</v>
      </c>
      <c r="T7">
        <v>0</v>
      </c>
      <c r="U7">
        <v>0.74325203255584604</v>
      </c>
      <c r="V7">
        <v>0</v>
      </c>
      <c r="W7">
        <v>1.0483820508329375E-2</v>
      </c>
      <c r="X7">
        <v>0</v>
      </c>
      <c r="Y7">
        <v>5.1475920047686273E-2</v>
      </c>
      <c r="Z7">
        <v>0</v>
      </c>
      <c r="AA7">
        <v>8.331231567702034E-2</v>
      </c>
      <c r="AB7">
        <v>0.224920614261928</v>
      </c>
      <c r="AC7">
        <v>8.0702739663859255E-2</v>
      </c>
      <c r="AD7">
        <v>0</v>
      </c>
      <c r="AE7">
        <v>1.2373504668314911E-2</v>
      </c>
      <c r="AF7">
        <v>0</v>
      </c>
      <c r="AG7">
        <v>0.67567826975622336</v>
      </c>
      <c r="AH7">
        <v>0</v>
      </c>
      <c r="AI7">
        <v>0</v>
      </c>
      <c r="AJ7">
        <v>0</v>
      </c>
      <c r="AK7">
        <v>6.3248716496742347E-3</v>
      </c>
      <c r="AL7">
        <v>0</v>
      </c>
    </row>
    <row r="8" spans="1:84" hidden="1" x14ac:dyDescent="0.25">
      <c r="A8" t="s">
        <v>128</v>
      </c>
      <c r="C8" t="s">
        <v>110</v>
      </c>
      <c r="D8" s="12">
        <v>46240</v>
      </c>
      <c r="J8">
        <v>109.21611428952843</v>
      </c>
      <c r="M8">
        <v>190</v>
      </c>
      <c r="N8">
        <v>190</v>
      </c>
      <c r="O8">
        <v>100.85627542038486</v>
      </c>
      <c r="S8">
        <v>2.9769557734554662E-2</v>
      </c>
      <c r="T8">
        <v>0</v>
      </c>
      <c r="U8">
        <v>0.896144945928666</v>
      </c>
      <c r="V8">
        <v>0</v>
      </c>
      <c r="W8">
        <v>0</v>
      </c>
      <c r="X8">
        <v>0</v>
      </c>
      <c r="Y8">
        <v>3.8274823539541279E-2</v>
      </c>
      <c r="Z8">
        <v>0</v>
      </c>
      <c r="AA8">
        <v>0.10222258458962663</v>
      </c>
      <c r="AB8">
        <v>0.1622830411963119</v>
      </c>
      <c r="AC8">
        <v>0.12185716813742131</v>
      </c>
      <c r="AD8">
        <v>0</v>
      </c>
      <c r="AE8">
        <v>2.6803216211996432E-2</v>
      </c>
      <c r="AF8">
        <v>0</v>
      </c>
      <c r="AG8">
        <v>0.67622445219879579</v>
      </c>
      <c r="AH8">
        <v>0</v>
      </c>
      <c r="AI8">
        <v>0</v>
      </c>
      <c r="AJ8">
        <v>0</v>
      </c>
      <c r="AK8">
        <v>1.2832122255474457E-2</v>
      </c>
      <c r="AL8">
        <v>0</v>
      </c>
    </row>
    <row r="9" spans="1:84" hidden="1" x14ac:dyDescent="0.25">
      <c r="A9" t="s">
        <v>128</v>
      </c>
      <c r="C9" t="s">
        <v>110</v>
      </c>
      <c r="D9" s="12">
        <v>46242</v>
      </c>
      <c r="J9">
        <v>98.295388816496342</v>
      </c>
      <c r="M9">
        <v>153.9</v>
      </c>
      <c r="N9">
        <v>153.9</v>
      </c>
      <c r="O9">
        <v>101.93823529411762</v>
      </c>
      <c r="S9">
        <v>4.2885190323268589E-2</v>
      </c>
      <c r="T9">
        <v>0</v>
      </c>
      <c r="U9">
        <v>0.68993701144550867</v>
      </c>
      <c r="V9">
        <v>0</v>
      </c>
      <c r="W9">
        <v>1.8715556404164907E-3</v>
      </c>
      <c r="X9">
        <v>0</v>
      </c>
      <c r="Y9">
        <v>4.1639298272947822E-2</v>
      </c>
      <c r="Z9">
        <v>0</v>
      </c>
      <c r="AA9">
        <v>7.7081241142454557E-2</v>
      </c>
      <c r="AB9">
        <v>0.13876057697295913</v>
      </c>
      <c r="AC9">
        <v>6.7515788777458577E-2</v>
      </c>
      <c r="AD9">
        <v>0</v>
      </c>
      <c r="AE9">
        <v>2.1668928345220002E-3</v>
      </c>
      <c r="AF9">
        <v>0</v>
      </c>
      <c r="AG9">
        <v>0.75299290889269033</v>
      </c>
      <c r="AH9">
        <v>0</v>
      </c>
      <c r="AI9">
        <v>0</v>
      </c>
      <c r="AJ9">
        <v>0</v>
      </c>
      <c r="AK9">
        <v>3.8563832522369966E-2</v>
      </c>
      <c r="AL9">
        <v>0</v>
      </c>
    </row>
    <row r="10" spans="1:84" hidden="1" x14ac:dyDescent="0.25">
      <c r="A10" t="s">
        <v>128</v>
      </c>
      <c r="C10" t="s">
        <v>110</v>
      </c>
      <c r="D10" s="12">
        <v>46234</v>
      </c>
      <c r="J10">
        <v>108.02525332055359</v>
      </c>
      <c r="M10">
        <v>195.7</v>
      </c>
      <c r="N10">
        <v>195.7</v>
      </c>
      <c r="O10">
        <v>107.79816717128026</v>
      </c>
      <c r="S10">
        <v>3.1366157056483372E-2</v>
      </c>
      <c r="T10">
        <v>0</v>
      </c>
      <c r="U10">
        <v>0.81030467415918961</v>
      </c>
      <c r="V10">
        <v>0</v>
      </c>
      <c r="W10">
        <v>0</v>
      </c>
      <c r="X10">
        <v>0</v>
      </c>
      <c r="Y10">
        <v>6.2302679518672965E-2</v>
      </c>
      <c r="Z10">
        <v>0</v>
      </c>
      <c r="AA10">
        <v>6.6681544006225543E-2</v>
      </c>
      <c r="AB10">
        <v>9.0065544404038272E-2</v>
      </c>
      <c r="AC10">
        <v>4.6404160418730522E-2</v>
      </c>
      <c r="AD10">
        <v>0</v>
      </c>
      <c r="AE10">
        <v>5.2441855222228384E-2</v>
      </c>
      <c r="AF10">
        <v>0</v>
      </c>
      <c r="AG10">
        <v>0.81108843995500279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84" hidden="1" x14ac:dyDescent="0.25">
      <c r="A11" t="s">
        <v>128</v>
      </c>
      <c r="C11" t="s">
        <v>110</v>
      </c>
      <c r="D11" s="12">
        <v>46243</v>
      </c>
      <c r="J11">
        <v>100.32322811286423</v>
      </c>
      <c r="M11">
        <v>183.35000000000002</v>
      </c>
      <c r="N11">
        <v>183.35000000000002</v>
      </c>
      <c r="O11">
        <v>103.70250865051904</v>
      </c>
      <c r="S11">
        <v>3.8375634761063447E-2</v>
      </c>
      <c r="T11">
        <v>0</v>
      </c>
      <c r="U11">
        <v>0.93819940249458877</v>
      </c>
      <c r="V11">
        <v>0</v>
      </c>
      <c r="W11">
        <v>3.3713856809004282E-3</v>
      </c>
      <c r="X11">
        <v>0</v>
      </c>
      <c r="Y11">
        <v>4.8055081961510149E-2</v>
      </c>
      <c r="Z11">
        <v>0</v>
      </c>
      <c r="AA11">
        <v>6.8545191242739292E-2</v>
      </c>
      <c r="AB11">
        <v>0.17090030927372479</v>
      </c>
      <c r="AC11">
        <v>6.464723838572059E-2</v>
      </c>
      <c r="AD11">
        <v>0</v>
      </c>
      <c r="AE11">
        <v>1.3062045683678065E-2</v>
      </c>
      <c r="AF11">
        <v>0</v>
      </c>
      <c r="AG11">
        <v>0.73742081499606549</v>
      </c>
      <c r="AH11">
        <v>0</v>
      </c>
      <c r="AI11">
        <v>0</v>
      </c>
      <c r="AJ11">
        <v>0</v>
      </c>
      <c r="AK11">
        <v>1.3969591660810918E-2</v>
      </c>
      <c r="AL11">
        <v>0</v>
      </c>
    </row>
    <row r="12" spans="1:84" hidden="1" x14ac:dyDescent="0.25">
      <c r="A12" t="s">
        <v>128</v>
      </c>
      <c r="C12" t="s">
        <v>110</v>
      </c>
      <c r="D12" s="12">
        <v>46245</v>
      </c>
      <c r="J12">
        <v>108.57513630442882</v>
      </c>
      <c r="M12">
        <v>192.85</v>
      </c>
      <c r="N12">
        <v>192.85</v>
      </c>
      <c r="O12">
        <v>105.18517156862747</v>
      </c>
      <c r="S12">
        <v>4.1621097727237197E-2</v>
      </c>
      <c r="T12">
        <v>0</v>
      </c>
      <c r="U12">
        <v>0.94616127427973906</v>
      </c>
      <c r="V12">
        <v>0</v>
      </c>
      <c r="W12">
        <v>0</v>
      </c>
      <c r="X12">
        <v>0</v>
      </c>
      <c r="Y12">
        <v>4.3405310477190033E-2</v>
      </c>
      <c r="Z12">
        <v>0</v>
      </c>
      <c r="AA12">
        <v>9.1101378926112558E-2</v>
      </c>
      <c r="AB12">
        <v>0.15133527478187511</v>
      </c>
      <c r="AC12">
        <v>0.10916989195305553</v>
      </c>
      <c r="AD12">
        <v>0</v>
      </c>
      <c r="AE12">
        <v>8.6085331701315059E-3</v>
      </c>
      <c r="AF12">
        <v>0</v>
      </c>
      <c r="AG12">
        <v>0.686912845974606</v>
      </c>
      <c r="AH12">
        <v>0</v>
      </c>
      <c r="AI12">
        <v>0</v>
      </c>
      <c r="AJ12">
        <v>0</v>
      </c>
      <c r="AK12">
        <v>4.3973454120331816E-2</v>
      </c>
      <c r="AL12">
        <v>0</v>
      </c>
    </row>
    <row r="13" spans="1:84" hidden="1" x14ac:dyDescent="0.25">
      <c r="A13" t="s">
        <v>128</v>
      </c>
      <c r="C13" t="s">
        <v>110</v>
      </c>
      <c r="D13" s="12">
        <v>46246</v>
      </c>
      <c r="J13">
        <v>109.01017900690942</v>
      </c>
      <c r="M13">
        <v>168.14999999999998</v>
      </c>
      <c r="N13">
        <v>168.14999999999998</v>
      </c>
      <c r="O13">
        <v>101.39213523644749</v>
      </c>
      <c r="S13">
        <v>3.2867112826874094E-2</v>
      </c>
      <c r="T13">
        <v>0</v>
      </c>
      <c r="U13">
        <v>0.70512162661603484</v>
      </c>
      <c r="V13">
        <v>0</v>
      </c>
      <c r="W13">
        <v>0</v>
      </c>
      <c r="X13">
        <v>0</v>
      </c>
      <c r="Y13">
        <v>2.5353554766469187E-2</v>
      </c>
      <c r="Z13">
        <v>0</v>
      </c>
      <c r="AA13">
        <v>0.10900924681429151</v>
      </c>
      <c r="AB13">
        <v>0.15660385068945953</v>
      </c>
      <c r="AC13">
        <v>9.6445279197580155E-2</v>
      </c>
      <c r="AD13">
        <v>0</v>
      </c>
      <c r="AE13">
        <v>3.1659172092504607E-2</v>
      </c>
      <c r="AF13">
        <v>0</v>
      </c>
      <c r="AG13">
        <v>0.66265811917583595</v>
      </c>
      <c r="AH13">
        <v>0</v>
      </c>
      <c r="AI13">
        <v>0</v>
      </c>
      <c r="AJ13">
        <v>0</v>
      </c>
      <c r="AK13">
        <v>5.2633578844619618E-2</v>
      </c>
      <c r="AL13">
        <v>0</v>
      </c>
    </row>
    <row r="14" spans="1:84" hidden="1" x14ac:dyDescent="0.25">
      <c r="A14" t="s">
        <v>128</v>
      </c>
      <c r="C14" t="s">
        <v>110</v>
      </c>
      <c r="D14" s="12">
        <v>46247</v>
      </c>
      <c r="J14">
        <v>108.11390769279407</v>
      </c>
      <c r="M14">
        <v>189.99999999999997</v>
      </c>
      <c r="N14">
        <v>189.99999999999997</v>
      </c>
      <c r="O14">
        <v>105.55077494232987</v>
      </c>
      <c r="S14">
        <v>2.5077418948179397E-2</v>
      </c>
      <c r="T14">
        <v>0</v>
      </c>
      <c r="U14">
        <v>0.91671959388422297</v>
      </c>
      <c r="V14">
        <v>0</v>
      </c>
      <c r="W14">
        <v>0</v>
      </c>
      <c r="X14">
        <v>0</v>
      </c>
      <c r="Y14">
        <v>3.2081805223427434E-2</v>
      </c>
      <c r="Z14">
        <v>0</v>
      </c>
      <c r="AA14">
        <v>9.5684935300466123E-2</v>
      </c>
      <c r="AB14">
        <v>0.17566670162761466</v>
      </c>
      <c r="AC14">
        <v>6.7472683405930919E-2</v>
      </c>
      <c r="AD14">
        <v>0</v>
      </c>
      <c r="AE14">
        <v>1.6466746412178667E-2</v>
      </c>
      <c r="AF14">
        <v>0</v>
      </c>
      <c r="AG14">
        <v>0.68766561250439728</v>
      </c>
      <c r="AH14">
        <v>0</v>
      </c>
      <c r="AI14">
        <v>0</v>
      </c>
      <c r="AJ14">
        <v>0</v>
      </c>
      <c r="AK14">
        <v>5.2728256049878394E-2</v>
      </c>
      <c r="AL14">
        <v>0</v>
      </c>
    </row>
    <row r="15" spans="1:84" hidden="1" x14ac:dyDescent="0.25">
      <c r="A15" t="s">
        <v>128</v>
      </c>
      <c r="C15" t="s">
        <v>110</v>
      </c>
      <c r="D15" s="12">
        <v>46248</v>
      </c>
      <c r="J15">
        <v>108.0252533205536</v>
      </c>
      <c r="M15">
        <v>199.49999999999997</v>
      </c>
      <c r="N15">
        <v>199.49999999999997</v>
      </c>
      <c r="O15">
        <v>101.64776888696656</v>
      </c>
      <c r="S15">
        <v>1.3333520518544459E-2</v>
      </c>
      <c r="T15">
        <v>0</v>
      </c>
      <c r="U15">
        <v>0.98683136538737504</v>
      </c>
      <c r="V15">
        <v>0</v>
      </c>
      <c r="W15">
        <v>0</v>
      </c>
      <c r="X15">
        <v>0</v>
      </c>
      <c r="Y15">
        <v>3.767554734102857E-2</v>
      </c>
      <c r="Z15">
        <v>0</v>
      </c>
      <c r="AA15">
        <v>0.11277157396228081</v>
      </c>
      <c r="AB15">
        <v>0.16121150414154281</v>
      </c>
      <c r="AC15">
        <v>9.2834161693906986E-2</v>
      </c>
      <c r="AD15">
        <v>0</v>
      </c>
      <c r="AE15">
        <v>1.8749394054785897E-2</v>
      </c>
      <c r="AF15">
        <v>0</v>
      </c>
      <c r="AG15">
        <v>0.68196827197655741</v>
      </c>
      <c r="AH15">
        <v>0</v>
      </c>
      <c r="AI15">
        <v>0</v>
      </c>
      <c r="AJ15">
        <v>0</v>
      </c>
      <c r="AK15">
        <v>4.5236668133206849E-2</v>
      </c>
      <c r="AL15">
        <v>0</v>
      </c>
    </row>
    <row r="16" spans="1:84" hidden="1" x14ac:dyDescent="0.25">
      <c r="A16" t="s">
        <v>128</v>
      </c>
      <c r="C16" t="s">
        <v>110</v>
      </c>
      <c r="D16" s="12">
        <v>46249</v>
      </c>
      <c r="J16">
        <v>99.367752964205437</v>
      </c>
      <c r="M16">
        <v>151.05000000000001</v>
      </c>
      <c r="N16">
        <v>151.05000000000001</v>
      </c>
      <c r="O16">
        <v>100.19060067041519</v>
      </c>
      <c r="S16">
        <v>3.2740837074957875E-2</v>
      </c>
      <c r="T16">
        <v>0</v>
      </c>
      <c r="U16">
        <v>0.63830995781921762</v>
      </c>
      <c r="V16">
        <v>0</v>
      </c>
      <c r="W16">
        <v>0</v>
      </c>
      <c r="X16">
        <v>0</v>
      </c>
      <c r="Y16">
        <v>4.1329800253246674E-2</v>
      </c>
      <c r="Z16">
        <v>0</v>
      </c>
      <c r="AA16">
        <v>8.2994129204422132E-2</v>
      </c>
      <c r="AB16">
        <v>0.16829878919285174</v>
      </c>
      <c r="AC16">
        <v>6.0120325352405822E-2</v>
      </c>
      <c r="AD16">
        <v>0</v>
      </c>
      <c r="AE16">
        <v>1.691706269542061E-2</v>
      </c>
      <c r="AF16">
        <v>0</v>
      </c>
      <c r="AG16">
        <v>0.74055990585444897</v>
      </c>
      <c r="AH16">
        <v>0</v>
      </c>
      <c r="AI16">
        <v>0</v>
      </c>
      <c r="AJ16">
        <v>0</v>
      </c>
      <c r="AK16">
        <v>1.4103916904872985E-2</v>
      </c>
      <c r="AL16">
        <v>0</v>
      </c>
    </row>
    <row r="17" spans="1:84" hidden="1" x14ac:dyDescent="0.25">
      <c r="A17" t="s">
        <v>128</v>
      </c>
      <c r="C17" t="s">
        <v>110</v>
      </c>
      <c r="D17" s="12">
        <v>46250</v>
      </c>
      <c r="J17">
        <v>98.69117734049469</v>
      </c>
      <c r="M17">
        <v>130.14999999999998</v>
      </c>
      <c r="N17">
        <v>130.14999999999998</v>
      </c>
      <c r="O17">
        <v>99.624856725778542</v>
      </c>
      <c r="S17">
        <v>3.4079715754557975E-2</v>
      </c>
      <c r="T17">
        <v>0</v>
      </c>
      <c r="U17">
        <v>0.42330633008111263</v>
      </c>
      <c r="V17">
        <v>0</v>
      </c>
      <c r="W17">
        <v>3.3796076911187059E-3</v>
      </c>
      <c r="X17">
        <v>0</v>
      </c>
      <c r="Y17">
        <v>4.9403704499223454E-2</v>
      </c>
      <c r="Z17">
        <v>0</v>
      </c>
      <c r="AA17">
        <v>7.6618170758569124E-2</v>
      </c>
      <c r="AB17">
        <v>0.16459493817244214</v>
      </c>
      <c r="AC17">
        <v>6.4778023148977598E-2</v>
      </c>
      <c r="AD17">
        <v>0</v>
      </c>
      <c r="AE17">
        <v>2.3949078956320594E-2</v>
      </c>
      <c r="AF17">
        <v>0</v>
      </c>
      <c r="AG17">
        <v>0.73247735366407196</v>
      </c>
      <c r="AH17">
        <v>0</v>
      </c>
      <c r="AI17">
        <v>0</v>
      </c>
      <c r="AJ17">
        <v>0</v>
      </c>
      <c r="AK17">
        <v>1.420060605818764E-2</v>
      </c>
      <c r="AL17">
        <v>0</v>
      </c>
    </row>
    <row r="18" spans="1:84" hidden="1" x14ac:dyDescent="0.25">
      <c r="A18" t="s">
        <v>128</v>
      </c>
      <c r="C18" t="s">
        <v>115</v>
      </c>
      <c r="D18" s="12"/>
      <c r="J18">
        <v>2947.6571798323689</v>
      </c>
      <c r="M18">
        <v>5098.6500000000151</v>
      </c>
      <c r="N18">
        <v>5098.6500000000151</v>
      </c>
      <c r="O18">
        <v>2898.7896630427117</v>
      </c>
      <c r="S18">
        <v>2.7372770654882174E-2</v>
      </c>
      <c r="T18">
        <v>0</v>
      </c>
      <c r="U18">
        <v>0.78487552258129611</v>
      </c>
      <c r="V18">
        <v>0</v>
      </c>
      <c r="W18">
        <v>6.0017466488234798E-3</v>
      </c>
      <c r="X18">
        <v>7.4297215571826527E-4</v>
      </c>
      <c r="Y18">
        <v>4.977131851581032E-2</v>
      </c>
      <c r="Z18">
        <v>0</v>
      </c>
      <c r="AA18">
        <v>9.1090152132501739E-2</v>
      </c>
      <c r="AB18">
        <v>0.12401699815356741</v>
      </c>
      <c r="AC18">
        <v>7.187941192596832E-2</v>
      </c>
      <c r="AD18">
        <v>0</v>
      </c>
      <c r="AE18">
        <v>3.4157503921987527E-2</v>
      </c>
      <c r="AF18">
        <v>0</v>
      </c>
      <c r="AG18">
        <v>0.75034742688326572</v>
      </c>
      <c r="AH18">
        <v>0</v>
      </c>
      <c r="AI18">
        <v>0</v>
      </c>
      <c r="AJ18">
        <v>0</v>
      </c>
      <c r="AK18">
        <v>1.5136803151309055E-2</v>
      </c>
      <c r="AL18">
        <v>0</v>
      </c>
    </row>
    <row r="19" spans="1:84" hidden="1" x14ac:dyDescent="0.25">
      <c r="A19" t="s">
        <v>128</v>
      </c>
      <c r="C19" t="s">
        <v>110</v>
      </c>
      <c r="D19" s="12">
        <v>46244</v>
      </c>
      <c r="J19">
        <v>102.68637148728047</v>
      </c>
      <c r="M19">
        <v>138.69999999999999</v>
      </c>
      <c r="N19">
        <v>138.69999999999999</v>
      </c>
      <c r="O19">
        <v>104.47674812572087</v>
      </c>
      <c r="S19">
        <v>5.1025941033822478E-2</v>
      </c>
      <c r="T19">
        <v>0</v>
      </c>
      <c r="U19">
        <v>0.4834299199712192</v>
      </c>
      <c r="V19">
        <v>0</v>
      </c>
      <c r="W19">
        <v>0</v>
      </c>
      <c r="X19">
        <v>0</v>
      </c>
      <c r="Y19">
        <v>5.6941601778393594E-2</v>
      </c>
      <c r="Z19">
        <v>0</v>
      </c>
      <c r="AA19">
        <v>6.3822986415639646E-2</v>
      </c>
      <c r="AB19">
        <v>0.15969537217560584</v>
      </c>
      <c r="AC19">
        <v>8.334756550098088E-2</v>
      </c>
      <c r="AD19">
        <v>0</v>
      </c>
      <c r="AE19">
        <v>1.6821890284886627E-2</v>
      </c>
      <c r="AF19">
        <v>0</v>
      </c>
      <c r="AG19">
        <v>0.729698384739765</v>
      </c>
      <c r="AH19">
        <v>0</v>
      </c>
      <c r="AI19">
        <v>0</v>
      </c>
      <c r="AJ19">
        <v>0</v>
      </c>
      <c r="AK19">
        <v>1.0436787298761652E-2</v>
      </c>
      <c r="AL19">
        <v>0</v>
      </c>
    </row>
    <row r="20" spans="1:84" hidden="1" x14ac:dyDescent="0.25">
      <c r="A20" t="s">
        <v>128</v>
      </c>
      <c r="C20" t="s">
        <v>110</v>
      </c>
      <c r="D20" s="12">
        <v>46233</v>
      </c>
      <c r="J20">
        <v>108.11390769279409</v>
      </c>
      <c r="M20">
        <v>190.00000000000003</v>
      </c>
      <c r="N20">
        <v>190.00000000000003</v>
      </c>
      <c r="O20">
        <v>108.52765794785404</v>
      </c>
      <c r="S20">
        <v>2.9597770169848971E-2</v>
      </c>
      <c r="T20">
        <v>0</v>
      </c>
      <c r="U20">
        <v>0.7691667639797708</v>
      </c>
      <c r="V20">
        <v>0</v>
      </c>
      <c r="W20">
        <v>2.5460992186136719E-3</v>
      </c>
      <c r="X20">
        <v>6.3314756831649556E-3</v>
      </c>
      <c r="Y20">
        <v>6.2258052765306417E-2</v>
      </c>
      <c r="Z20">
        <v>0</v>
      </c>
      <c r="AA20">
        <v>7.1666973327270192E-2</v>
      </c>
      <c r="AB20">
        <v>9.7958173349971714E-2</v>
      </c>
      <c r="AC20">
        <v>5.0273994006624988E-2</v>
      </c>
      <c r="AD20">
        <v>0</v>
      </c>
      <c r="AE20">
        <v>4.595070424357052E-2</v>
      </c>
      <c r="AF20">
        <v>0</v>
      </c>
      <c r="AG20">
        <v>0.77263345630235059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84" hidden="1" x14ac:dyDescent="0.25">
      <c r="A21" t="s">
        <v>128</v>
      </c>
      <c r="C21" t="s">
        <v>110</v>
      </c>
      <c r="D21" s="12">
        <v>46241</v>
      </c>
      <c r="J21">
        <v>108.33051344890895</v>
      </c>
      <c r="M21">
        <v>169.1</v>
      </c>
      <c r="N21">
        <v>169.1</v>
      </c>
      <c r="O21">
        <v>100.05973904267587</v>
      </c>
      <c r="S21">
        <v>3.2093004029465029E-2</v>
      </c>
      <c r="T21">
        <v>0</v>
      </c>
      <c r="U21">
        <v>0.76866676470346351</v>
      </c>
      <c r="V21">
        <v>0</v>
      </c>
      <c r="W21">
        <v>0</v>
      </c>
      <c r="X21">
        <v>0</v>
      </c>
      <c r="Y21">
        <v>3.9512217314405816E-2</v>
      </c>
      <c r="Z21">
        <v>0</v>
      </c>
      <c r="AA21">
        <v>6.8084309006958318E-2</v>
      </c>
      <c r="AB21">
        <v>0.18536680863387295</v>
      </c>
      <c r="AC21">
        <v>0.12993277404712542</v>
      </c>
      <c r="AD21">
        <v>0</v>
      </c>
      <c r="AE21">
        <v>1.8020044505668052E-2</v>
      </c>
      <c r="AF21">
        <v>0</v>
      </c>
      <c r="AG21">
        <v>0.66668037281333381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84" hidden="1" x14ac:dyDescent="0.25">
      <c r="A22" t="s">
        <v>128</v>
      </c>
      <c r="C22" t="s">
        <v>110</v>
      </c>
      <c r="D22" s="12">
        <v>46231</v>
      </c>
      <c r="J22">
        <v>108.57513630442882</v>
      </c>
      <c r="M22">
        <v>185.25</v>
      </c>
      <c r="N22">
        <v>185.25</v>
      </c>
      <c r="O22">
        <v>104.25765570934256</v>
      </c>
      <c r="S22">
        <v>3.1274335510812476E-2</v>
      </c>
      <c r="T22">
        <v>0</v>
      </c>
      <c r="U22">
        <v>0.7068063899232957</v>
      </c>
      <c r="V22">
        <v>0</v>
      </c>
      <c r="W22">
        <v>1.9531788587541631E-2</v>
      </c>
      <c r="X22">
        <v>6.3045794909211052E-3</v>
      </c>
      <c r="Y22">
        <v>4.8115990045465004E-2</v>
      </c>
      <c r="Z22">
        <v>0</v>
      </c>
      <c r="AA22">
        <v>9.0425019924188527E-2</v>
      </c>
      <c r="AB22">
        <v>7.3471706088038671E-2</v>
      </c>
      <c r="AC22">
        <v>8.5215749134240695E-2</v>
      </c>
      <c r="AD22">
        <v>0</v>
      </c>
      <c r="AE22">
        <v>5.6530723183489999E-2</v>
      </c>
      <c r="AF22">
        <v>0</v>
      </c>
      <c r="AG22">
        <v>0.75173911417366679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84" hidden="1" x14ac:dyDescent="0.25">
      <c r="A23" t="s">
        <v>128</v>
      </c>
      <c r="C23" t="s">
        <v>110</v>
      </c>
      <c r="D23" s="12">
        <v>46232</v>
      </c>
      <c r="J23">
        <v>109.01017900690942</v>
      </c>
      <c r="M23">
        <v>198.55000000000004</v>
      </c>
      <c r="N23">
        <v>198.55000000000004</v>
      </c>
      <c r="O23">
        <v>103.19468144843076</v>
      </c>
      <c r="S23">
        <v>2.9835701254827141E-2</v>
      </c>
      <c r="T23">
        <v>0</v>
      </c>
      <c r="U23">
        <v>0.80636731710865084</v>
      </c>
      <c r="V23">
        <v>0</v>
      </c>
      <c r="W23">
        <v>4.4669857676747828E-3</v>
      </c>
      <c r="X23">
        <v>0</v>
      </c>
      <c r="Y23">
        <v>5.1314634679882391E-2</v>
      </c>
      <c r="Z23">
        <v>0</v>
      </c>
      <c r="AA23">
        <v>0.10547954413362522</v>
      </c>
      <c r="AB23">
        <v>7.1633701560811391E-2</v>
      </c>
      <c r="AC23">
        <v>6.8312119888988831E-2</v>
      </c>
      <c r="AD23">
        <v>0</v>
      </c>
      <c r="AE23">
        <v>7.0653408480500293E-2</v>
      </c>
      <c r="AF23">
        <v>0</v>
      </c>
      <c r="AG23">
        <v>0.78310765169451602</v>
      </c>
      <c r="AH23">
        <v>0</v>
      </c>
      <c r="AI23">
        <v>0</v>
      </c>
      <c r="AJ23">
        <v>0</v>
      </c>
      <c r="AK23">
        <v>6.2931183751834324E-3</v>
      </c>
      <c r="AL23">
        <v>0</v>
      </c>
    </row>
    <row r="24" spans="1:84" hidden="1" x14ac:dyDescent="0.25">
      <c r="A24" t="s">
        <v>128</v>
      </c>
      <c r="C24" t="s">
        <v>110</v>
      </c>
      <c r="D24" s="12">
        <v>46230</v>
      </c>
      <c r="J24">
        <v>102.68637148728047</v>
      </c>
      <c r="M24">
        <v>199.50000000000003</v>
      </c>
      <c r="N24">
        <v>199.50000000000003</v>
      </c>
      <c r="O24">
        <v>99.12063148788927</v>
      </c>
      <c r="S24">
        <v>1.4940180177012307E-2</v>
      </c>
      <c r="T24">
        <v>0</v>
      </c>
      <c r="U24">
        <v>0.84335778521283999</v>
      </c>
      <c r="V24">
        <v>0</v>
      </c>
      <c r="W24">
        <v>1.8339805976851652E-2</v>
      </c>
      <c r="X24">
        <v>6.6661287925015005E-3</v>
      </c>
      <c r="Y24">
        <v>5.4088290162729605E-2</v>
      </c>
      <c r="Z24">
        <v>0</v>
      </c>
      <c r="AA24">
        <v>0.12355737973950798</v>
      </c>
      <c r="AB24">
        <v>4.7114435818681716E-2</v>
      </c>
      <c r="AC24">
        <v>4.9419890548042911E-2</v>
      </c>
      <c r="AD24">
        <v>0</v>
      </c>
      <c r="AE24">
        <v>8.2310254929718593E-2</v>
      </c>
      <c r="AF24">
        <v>0</v>
      </c>
      <c r="AG24">
        <v>0.7862178080927904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84" hidden="1" x14ac:dyDescent="0.25">
      <c r="A25" t="s">
        <v>128</v>
      </c>
      <c r="C25" t="s">
        <v>110</v>
      </c>
      <c r="D25" s="12">
        <v>46229</v>
      </c>
      <c r="J25">
        <v>100.32322811286423</v>
      </c>
      <c r="M25">
        <v>161.5</v>
      </c>
      <c r="N25">
        <v>161.5</v>
      </c>
      <c r="O25">
        <v>102.98247008362166</v>
      </c>
      <c r="S25">
        <v>3.1109619908970168E-2</v>
      </c>
      <c r="T25">
        <v>0</v>
      </c>
      <c r="U25">
        <v>0.560592579707057</v>
      </c>
      <c r="V25">
        <v>0</v>
      </c>
      <c r="W25">
        <v>7.2491642212847507E-3</v>
      </c>
      <c r="X25">
        <v>0</v>
      </c>
      <c r="Y25">
        <v>5.6392065263840968E-2</v>
      </c>
      <c r="Z25">
        <v>0</v>
      </c>
      <c r="AA25">
        <v>7.2456027860033828E-2</v>
      </c>
      <c r="AB25">
        <v>8.176109662844179E-2</v>
      </c>
      <c r="AC25">
        <v>6.194840944076397E-2</v>
      </c>
      <c r="AD25">
        <v>0</v>
      </c>
      <c r="AE25">
        <v>1.7436158974019643E-2</v>
      </c>
      <c r="AF25">
        <v>0</v>
      </c>
      <c r="AG25">
        <v>0.83885433495677453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84" hidden="1" x14ac:dyDescent="0.25">
      <c r="A26" t="s">
        <v>128</v>
      </c>
      <c r="C26" t="s">
        <v>110</v>
      </c>
      <c r="D26" s="12">
        <v>46228</v>
      </c>
      <c r="J26">
        <v>98.295388816496356</v>
      </c>
      <c r="M26">
        <v>176.69999999999996</v>
      </c>
      <c r="N26">
        <v>176.69999999999996</v>
      </c>
      <c r="O26">
        <v>103.13269355536332</v>
      </c>
      <c r="S26">
        <v>3.9996821814539521E-2</v>
      </c>
      <c r="T26">
        <v>0</v>
      </c>
      <c r="U26">
        <v>0.74450371621940248</v>
      </c>
      <c r="V26">
        <v>0</v>
      </c>
      <c r="W26">
        <v>6.8005902585179861E-3</v>
      </c>
      <c r="X26">
        <v>1.3883202269705823E-3</v>
      </c>
      <c r="Y26">
        <v>6.6647813391005339E-2</v>
      </c>
      <c r="Z26">
        <v>0</v>
      </c>
      <c r="AA26">
        <v>7.2426661090097821E-2</v>
      </c>
      <c r="AB26">
        <v>8.5968300319058277E-2</v>
      </c>
      <c r="AC26">
        <v>3.5761899122540741E-2</v>
      </c>
      <c r="AD26">
        <v>0</v>
      </c>
      <c r="AE26">
        <v>4.1531399405462903E-2</v>
      </c>
      <c r="AF26">
        <v>0</v>
      </c>
      <c r="AG26">
        <v>0.81243235373834588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84" hidden="1" x14ac:dyDescent="0.25">
      <c r="A27" t="s">
        <v>128</v>
      </c>
      <c r="C27" t="s">
        <v>110</v>
      </c>
      <c r="D27" s="12">
        <v>46223</v>
      </c>
      <c r="J27">
        <v>106.16277953772665</v>
      </c>
      <c r="M27">
        <v>214.69999999999993</v>
      </c>
      <c r="N27">
        <v>214.69999999999993</v>
      </c>
      <c r="O27">
        <v>103.86616166687261</v>
      </c>
      <c r="S27">
        <v>9.931789659889596E-3</v>
      </c>
      <c r="T27">
        <v>0</v>
      </c>
      <c r="U27">
        <v>0.94194979996425399</v>
      </c>
      <c r="V27">
        <v>0</v>
      </c>
      <c r="W27">
        <v>1.4226388013656404E-2</v>
      </c>
      <c r="X27">
        <v>0</v>
      </c>
      <c r="Y27">
        <v>5.9584703694341039E-2</v>
      </c>
      <c r="Z27">
        <v>0</v>
      </c>
      <c r="AA27">
        <v>0.11019492171060806</v>
      </c>
      <c r="AB27">
        <v>6.7112526530217639E-2</v>
      </c>
      <c r="AC27">
        <v>3.6477247315188914E-2</v>
      </c>
      <c r="AD27">
        <v>0</v>
      </c>
      <c r="AE27">
        <v>7.0463103513986963E-2</v>
      </c>
      <c r="AF27">
        <v>0</v>
      </c>
      <c r="AG27">
        <v>0.82594712264060621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84" hidden="1" x14ac:dyDescent="0.25">
      <c r="A28" t="s">
        <v>128</v>
      </c>
      <c r="C28" t="s">
        <v>110</v>
      </c>
      <c r="D28" s="12">
        <v>46224</v>
      </c>
      <c r="J28">
        <v>108.56788137426898</v>
      </c>
      <c r="M28">
        <v>214.6999999999999</v>
      </c>
      <c r="N28">
        <v>214.6999999999999</v>
      </c>
      <c r="O28">
        <v>106.61876724954686</v>
      </c>
      <c r="S28">
        <v>1.4950877974538422E-2</v>
      </c>
      <c r="T28">
        <v>0</v>
      </c>
      <c r="U28">
        <v>0.95109637708750816</v>
      </c>
      <c r="V28">
        <v>0</v>
      </c>
      <c r="W28">
        <v>1.8030151909532003E-2</v>
      </c>
      <c r="X28">
        <v>0</v>
      </c>
      <c r="Y28">
        <v>5.0887345182413793E-2</v>
      </c>
      <c r="Z28">
        <v>0</v>
      </c>
      <c r="AA28">
        <v>0.11054895596652227</v>
      </c>
      <c r="AB28">
        <v>0.10320558436562437</v>
      </c>
      <c r="AC28">
        <v>4.9792635673806089E-2</v>
      </c>
      <c r="AD28">
        <v>0</v>
      </c>
      <c r="AE28">
        <v>5.355851886065216E-2</v>
      </c>
      <c r="AF28">
        <v>0</v>
      </c>
      <c r="AG28">
        <v>0.79344326109991736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84" hidden="1" x14ac:dyDescent="0.25">
      <c r="A29" t="s">
        <v>128</v>
      </c>
      <c r="C29" t="s">
        <v>110</v>
      </c>
      <c r="D29" s="12">
        <v>46226</v>
      </c>
      <c r="J29">
        <v>109.21611428952843</v>
      </c>
      <c r="M29">
        <v>225.15</v>
      </c>
      <c r="N29">
        <v>225.15</v>
      </c>
      <c r="O29">
        <v>100.83189537424876</v>
      </c>
      <c r="S29">
        <v>5.2456290056643318E-3</v>
      </c>
      <c r="T29">
        <v>0</v>
      </c>
      <c r="U29">
        <v>1.0317108385769604</v>
      </c>
      <c r="V29">
        <v>0</v>
      </c>
      <c r="W29">
        <v>7.9022668245162901E-3</v>
      </c>
      <c r="X29">
        <v>0</v>
      </c>
      <c r="Y29">
        <v>5.2561976608761919E-2</v>
      </c>
      <c r="Z29">
        <v>0</v>
      </c>
      <c r="AA29">
        <v>0.12494184336681739</v>
      </c>
      <c r="AB29">
        <v>7.1865362714793948E-2</v>
      </c>
      <c r="AC29">
        <v>8.3742586036939959E-2</v>
      </c>
      <c r="AD29">
        <v>0</v>
      </c>
      <c r="AE29">
        <v>6.432726299966661E-2</v>
      </c>
      <c r="AF29">
        <v>0</v>
      </c>
      <c r="AG29">
        <v>0.78006478824859926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84" hidden="1" x14ac:dyDescent="0.25">
      <c r="A30" t="s">
        <v>128</v>
      </c>
      <c r="C30" t="s">
        <v>110</v>
      </c>
      <c r="D30" s="12">
        <v>46225</v>
      </c>
      <c r="J30">
        <v>108.4629062197255</v>
      </c>
      <c r="M30">
        <v>196.64999999999998</v>
      </c>
      <c r="N30">
        <v>196.64999999999998</v>
      </c>
      <c r="O30">
        <v>104.53276870539233</v>
      </c>
      <c r="S30">
        <v>1.3712820346821548E-2</v>
      </c>
      <c r="T30">
        <v>0</v>
      </c>
      <c r="U30">
        <v>0.74956649800116926</v>
      </c>
      <c r="V30">
        <v>0</v>
      </c>
      <c r="W30">
        <v>1.4892086300715672E-2</v>
      </c>
      <c r="X30">
        <v>0</v>
      </c>
      <c r="Y30">
        <v>5.577266777521625E-2</v>
      </c>
      <c r="Z30">
        <v>0</v>
      </c>
      <c r="AA30">
        <v>0.12511195871000111</v>
      </c>
      <c r="AB30">
        <v>7.4247162089085175E-2</v>
      </c>
      <c r="AC30">
        <v>5.1708934352909505E-2</v>
      </c>
      <c r="AD30">
        <v>0</v>
      </c>
      <c r="AE30">
        <v>6.8903493544739791E-2</v>
      </c>
      <c r="AF30">
        <v>0</v>
      </c>
      <c r="AG30">
        <v>0.79881553836359109</v>
      </c>
      <c r="AH30">
        <v>0</v>
      </c>
      <c r="AI30">
        <v>0</v>
      </c>
      <c r="AJ30">
        <v>0</v>
      </c>
      <c r="AK30">
        <v>6.3248716496742347E-3</v>
      </c>
      <c r="AL30">
        <v>0</v>
      </c>
    </row>
    <row r="31" spans="1:84" hidden="1" x14ac:dyDescent="0.25">
      <c r="A31" t="s">
        <v>128</v>
      </c>
      <c r="B31" t="s">
        <v>372</v>
      </c>
      <c r="C31" t="s">
        <v>72</v>
      </c>
      <c r="D31" s="12">
        <v>46250</v>
      </c>
      <c r="E31" t="s">
        <v>134</v>
      </c>
      <c r="F31" t="s">
        <v>134</v>
      </c>
      <c r="G31" t="s">
        <v>134</v>
      </c>
      <c r="H31" t="s">
        <v>73</v>
      </c>
      <c r="I31">
        <v>10</v>
      </c>
      <c r="J31">
        <v>3.5134887958963272</v>
      </c>
      <c r="K31">
        <v>46250</v>
      </c>
      <c r="L31" t="s">
        <v>168</v>
      </c>
      <c r="M31">
        <v>0</v>
      </c>
      <c r="N31">
        <v>0</v>
      </c>
      <c r="O31">
        <v>2.9411764705882346</v>
      </c>
      <c r="P31">
        <v>0</v>
      </c>
      <c r="Q31">
        <v>0</v>
      </c>
      <c r="R31">
        <v>0.83710996147859074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0.83710996147859074</v>
      </c>
      <c r="AC31">
        <v>0.16289003852140926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J31">
        <v>0</v>
      </c>
      <c r="BK31">
        <v>0</v>
      </c>
      <c r="BL31">
        <v>1.1945861906047515</v>
      </c>
      <c r="BM31">
        <v>0.19458619060475146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1</v>
      </c>
    </row>
    <row r="32" spans="1:84" hidden="1" x14ac:dyDescent="0.25">
      <c r="A32" t="s">
        <v>128</v>
      </c>
      <c r="B32" t="s">
        <v>372</v>
      </c>
      <c r="C32" t="s">
        <v>109</v>
      </c>
      <c r="D32" s="12">
        <v>46223</v>
      </c>
      <c r="E32" t="s">
        <v>134</v>
      </c>
      <c r="F32" t="s">
        <v>134</v>
      </c>
      <c r="G32" t="s">
        <v>134</v>
      </c>
      <c r="J32">
        <v>10.479565915226782</v>
      </c>
      <c r="M32">
        <v>8.5499999999999989</v>
      </c>
      <c r="N32">
        <v>8.5499999999999989</v>
      </c>
      <c r="O32">
        <v>9.5982915224913476</v>
      </c>
      <c r="S32">
        <v>0.10061355638270394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0.13971243909266695</v>
      </c>
      <c r="AC32">
        <v>4.441407252391897E-2</v>
      </c>
      <c r="AD32">
        <v>0</v>
      </c>
      <c r="AE32">
        <v>0.14029403508966598</v>
      </c>
      <c r="AF32">
        <v>0</v>
      </c>
      <c r="AG32">
        <v>0.67557945329374802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84" hidden="1" x14ac:dyDescent="0.25">
      <c r="A33" t="s">
        <v>128</v>
      </c>
      <c r="B33" t="s">
        <v>372</v>
      </c>
      <c r="C33" t="s">
        <v>109</v>
      </c>
      <c r="D33" s="12">
        <v>46224</v>
      </c>
      <c r="E33" t="s">
        <v>133</v>
      </c>
      <c r="F33" t="s">
        <v>133</v>
      </c>
      <c r="G33" t="s">
        <v>133</v>
      </c>
      <c r="J33">
        <v>28.199720573065399</v>
      </c>
      <c r="M33">
        <v>37.049999999999997</v>
      </c>
      <c r="N33">
        <v>37.049999999999997</v>
      </c>
      <c r="O33">
        <v>29.5</v>
      </c>
      <c r="S33">
        <v>4.303639634358869E-2</v>
      </c>
      <c r="T33">
        <v>0</v>
      </c>
      <c r="U33">
        <v>0.17970767941961413</v>
      </c>
      <c r="V33">
        <v>0</v>
      </c>
      <c r="W33">
        <v>0</v>
      </c>
      <c r="X33">
        <v>0</v>
      </c>
      <c r="Y33">
        <v>1.6552460132149463E-2</v>
      </c>
      <c r="Z33">
        <v>0</v>
      </c>
      <c r="AA33">
        <v>0.13616035558347259</v>
      </c>
      <c r="AB33">
        <v>1.8577689352691287E-2</v>
      </c>
      <c r="AC33">
        <v>0</v>
      </c>
      <c r="AD33">
        <v>0</v>
      </c>
      <c r="AE33">
        <v>1.3479200049690153E-2</v>
      </c>
      <c r="AF33">
        <v>0</v>
      </c>
      <c r="AG33">
        <v>0.96794311059761851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84" hidden="1" x14ac:dyDescent="0.25">
      <c r="A34" t="s">
        <v>128</v>
      </c>
      <c r="B34" t="s">
        <v>372</v>
      </c>
      <c r="C34" t="s">
        <v>72</v>
      </c>
      <c r="D34" s="12">
        <v>46236</v>
      </c>
      <c r="E34" t="s">
        <v>501</v>
      </c>
      <c r="F34" t="s">
        <v>501</v>
      </c>
      <c r="G34" t="s">
        <v>501</v>
      </c>
      <c r="H34" t="s">
        <v>73</v>
      </c>
      <c r="I34">
        <v>20</v>
      </c>
      <c r="J34">
        <v>3.5876164620550925</v>
      </c>
      <c r="K34">
        <v>46236</v>
      </c>
      <c r="L34" t="s">
        <v>185</v>
      </c>
      <c r="M34">
        <v>9.5</v>
      </c>
      <c r="N34">
        <v>9.5</v>
      </c>
      <c r="O34">
        <v>3.8235294117647038</v>
      </c>
      <c r="P34">
        <v>2.6479976609757556</v>
      </c>
      <c r="Q34">
        <v>2.6479976609757556</v>
      </c>
      <c r="R34">
        <v>1.0657575725289412</v>
      </c>
      <c r="S34">
        <v>0</v>
      </c>
      <c r="T34">
        <v>0</v>
      </c>
      <c r="U34">
        <v>1.3979976609757556</v>
      </c>
      <c r="V34">
        <v>0</v>
      </c>
      <c r="W34">
        <v>0</v>
      </c>
      <c r="X34">
        <v>0</v>
      </c>
      <c r="Y34">
        <v>6.5757572528941211E-2</v>
      </c>
      <c r="Z34">
        <v>0</v>
      </c>
      <c r="AA34">
        <v>0.18424242747105879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0.37764383811106239</v>
      </c>
      <c r="AN34">
        <v>0.37764383811106239</v>
      </c>
      <c r="AO34">
        <v>0.40247678018575828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0.59752321981424172</v>
      </c>
      <c r="BA34">
        <v>0</v>
      </c>
      <c r="BB34">
        <v>0</v>
      </c>
      <c r="BC34">
        <v>0</v>
      </c>
      <c r="BD34">
        <v>0.37764383811106239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2.484615384615386</v>
      </c>
      <c r="BK34">
        <v>2.484615384615386</v>
      </c>
      <c r="BL34">
        <v>0.93829969007594782</v>
      </c>
      <c r="CC34">
        <v>0</v>
      </c>
      <c r="CD34">
        <v>0</v>
      </c>
      <c r="CE34">
        <v>0</v>
      </c>
    </row>
    <row r="35" spans="1:84" hidden="1" x14ac:dyDescent="0.25">
      <c r="A35" t="s">
        <v>128</v>
      </c>
      <c r="B35" t="s">
        <v>372</v>
      </c>
      <c r="C35" t="s">
        <v>109</v>
      </c>
      <c r="D35" s="12">
        <v>46224</v>
      </c>
      <c r="E35" t="s">
        <v>501</v>
      </c>
      <c r="F35" t="s">
        <v>501</v>
      </c>
      <c r="G35" t="s">
        <v>501</v>
      </c>
      <c r="J35">
        <v>6.815229888125419</v>
      </c>
      <c r="M35">
        <v>9.5</v>
      </c>
      <c r="N35">
        <v>9.5</v>
      </c>
      <c r="O35">
        <v>7.404751606524961</v>
      </c>
      <c r="S35">
        <v>4.3485087721932054E-2</v>
      </c>
      <c r="T35">
        <v>0</v>
      </c>
      <c r="U35">
        <v>0.31774121459999127</v>
      </c>
      <c r="V35">
        <v>0</v>
      </c>
      <c r="W35">
        <v>0</v>
      </c>
      <c r="X35">
        <v>0</v>
      </c>
      <c r="Y35">
        <v>4.3015548071249597E-2</v>
      </c>
      <c r="Z35">
        <v>0</v>
      </c>
      <c r="AA35">
        <v>8.8587366318550034E-2</v>
      </c>
      <c r="AB35">
        <v>5.5407291062663067E-2</v>
      </c>
      <c r="AC35">
        <v>0</v>
      </c>
      <c r="AD35">
        <v>0</v>
      </c>
      <c r="AE35">
        <v>0</v>
      </c>
      <c r="AF35">
        <v>0</v>
      </c>
      <c r="AG35">
        <v>0.94459270893733693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84" hidden="1" x14ac:dyDescent="0.25">
      <c r="A36" t="s">
        <v>128</v>
      </c>
      <c r="B36" t="s">
        <v>372</v>
      </c>
      <c r="C36" t="s">
        <v>72</v>
      </c>
      <c r="D36" s="12">
        <v>46235</v>
      </c>
      <c r="E36" t="s">
        <v>501</v>
      </c>
      <c r="F36" t="s">
        <v>501</v>
      </c>
      <c r="G36" t="s">
        <v>501</v>
      </c>
      <c r="H36" t="s">
        <v>75</v>
      </c>
      <c r="I36">
        <v>20</v>
      </c>
      <c r="J36">
        <v>3.2276134260703255</v>
      </c>
      <c r="K36">
        <v>46235</v>
      </c>
      <c r="L36" t="s">
        <v>186</v>
      </c>
      <c r="M36">
        <v>2.8499999999999996</v>
      </c>
      <c r="N36">
        <v>2.8499999999999996</v>
      </c>
      <c r="O36">
        <v>3.7508650519031144</v>
      </c>
      <c r="P36">
        <v>0.88300537387153066</v>
      </c>
      <c r="Q36">
        <v>0.88300537387153066</v>
      </c>
      <c r="R36">
        <v>1.1621171921043396</v>
      </c>
      <c r="S36">
        <v>0.16211719210433961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0.11699462612846934</v>
      </c>
      <c r="AC36">
        <v>0</v>
      </c>
      <c r="AD36">
        <v>0</v>
      </c>
      <c r="AE36">
        <v>0</v>
      </c>
      <c r="AF36">
        <v>0</v>
      </c>
      <c r="AG36">
        <v>0.88300537387153066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1.1324959389720441</v>
      </c>
      <c r="AN36">
        <v>1.1324959389720441</v>
      </c>
      <c r="AO36">
        <v>1.3160930006677596</v>
      </c>
      <c r="AP36">
        <v>0.18359706169571544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0.13249593897204415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0.75982472324723238</v>
      </c>
      <c r="BK36">
        <v>0.75982472324723238</v>
      </c>
      <c r="BL36">
        <v>0.860498413408048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0.139501586591952</v>
      </c>
      <c r="BX36">
        <v>0</v>
      </c>
      <c r="BY36">
        <v>0</v>
      </c>
      <c r="BZ36">
        <v>0</v>
      </c>
      <c r="CA36">
        <v>0.75982472324723238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hidden="1" x14ac:dyDescent="0.25">
      <c r="A37" t="s">
        <v>128</v>
      </c>
      <c r="B37" t="s">
        <v>372</v>
      </c>
      <c r="C37" t="s">
        <v>109</v>
      </c>
      <c r="D37" s="12">
        <v>46224</v>
      </c>
      <c r="E37" t="s">
        <v>134</v>
      </c>
      <c r="F37" t="s">
        <v>134</v>
      </c>
      <c r="G37" t="s">
        <v>134</v>
      </c>
      <c r="J37">
        <v>10.479565915226782</v>
      </c>
      <c r="M37">
        <v>6.6499999999999995</v>
      </c>
      <c r="N37">
        <v>6.6499999999999995</v>
      </c>
      <c r="O37">
        <v>8.7159385813148766</v>
      </c>
      <c r="S37">
        <v>1.0802921266538602E-2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0.32101765873342564</v>
      </c>
      <c r="AC37">
        <v>4.4414072523919032E-2</v>
      </c>
      <c r="AD37">
        <v>0</v>
      </c>
      <c r="AE37">
        <v>0.13468087039490576</v>
      </c>
      <c r="AF37">
        <v>0</v>
      </c>
      <c r="AG37">
        <v>0.49988739834774959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84" hidden="1" x14ac:dyDescent="0.25">
      <c r="A38" t="s">
        <v>128</v>
      </c>
      <c r="B38" t="s">
        <v>372</v>
      </c>
      <c r="C38" t="s">
        <v>109</v>
      </c>
      <c r="D38" s="12">
        <v>46225</v>
      </c>
      <c r="E38" t="s">
        <v>133</v>
      </c>
      <c r="F38" t="s">
        <v>133</v>
      </c>
      <c r="G38" t="s">
        <v>133</v>
      </c>
      <c r="J38">
        <v>27.619370851262371</v>
      </c>
      <c r="M38">
        <v>33.249999999999993</v>
      </c>
      <c r="N38">
        <v>33.249999999999993</v>
      </c>
      <c r="O38">
        <v>29.120535714285715</v>
      </c>
      <c r="S38">
        <v>1.0273189703187569E-2</v>
      </c>
      <c r="T38">
        <v>0</v>
      </c>
      <c r="U38">
        <v>4.9646444514675009E-2</v>
      </c>
      <c r="V38">
        <v>0</v>
      </c>
      <c r="W38">
        <v>0</v>
      </c>
      <c r="X38">
        <v>0</v>
      </c>
      <c r="Y38">
        <v>4.9481194004586247E-2</v>
      </c>
      <c r="Z38">
        <v>0</v>
      </c>
      <c r="AA38">
        <v>0.11997056001691656</v>
      </c>
      <c r="AB38">
        <v>1.5232977309378108E-2</v>
      </c>
      <c r="AC38">
        <v>0</v>
      </c>
      <c r="AD38">
        <v>0</v>
      </c>
      <c r="AE38">
        <v>5.4024988981046813E-3</v>
      </c>
      <c r="AF38">
        <v>0</v>
      </c>
      <c r="AG38">
        <v>0.97936452379251715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84" hidden="1" x14ac:dyDescent="0.25">
      <c r="A39" t="s">
        <v>128</v>
      </c>
      <c r="B39" t="s">
        <v>372</v>
      </c>
      <c r="C39" t="s">
        <v>72</v>
      </c>
      <c r="D39" s="12">
        <v>46236</v>
      </c>
      <c r="E39" t="s">
        <v>501</v>
      </c>
      <c r="F39" t="s">
        <v>501</v>
      </c>
      <c r="G39" t="s">
        <v>501</v>
      </c>
      <c r="H39" t="s">
        <v>74</v>
      </c>
      <c r="I39">
        <v>20</v>
      </c>
      <c r="J39">
        <v>0</v>
      </c>
      <c r="K39">
        <v>46236</v>
      </c>
      <c r="L39" t="s">
        <v>184</v>
      </c>
      <c r="M39">
        <v>0.95</v>
      </c>
      <c r="N39">
        <v>0.95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F39">
        <v>0</v>
      </c>
    </row>
    <row r="40" spans="1:84" hidden="1" x14ac:dyDescent="0.25">
      <c r="A40" t="s">
        <v>128</v>
      </c>
      <c r="B40" t="s">
        <v>372</v>
      </c>
      <c r="C40" t="s">
        <v>72</v>
      </c>
      <c r="D40" s="12">
        <v>46235</v>
      </c>
      <c r="E40" t="s">
        <v>501</v>
      </c>
      <c r="F40" t="s">
        <v>501</v>
      </c>
      <c r="G40" t="s">
        <v>501</v>
      </c>
      <c r="H40" t="s">
        <v>73</v>
      </c>
      <c r="I40">
        <v>20</v>
      </c>
      <c r="J40">
        <v>3.5876164620550925</v>
      </c>
      <c r="K40">
        <v>46235</v>
      </c>
      <c r="L40" t="s">
        <v>188</v>
      </c>
      <c r="M40">
        <v>5.6999999999999993</v>
      </c>
      <c r="N40">
        <v>5.6999999999999993</v>
      </c>
      <c r="O40">
        <v>3.7647058823529407</v>
      </c>
      <c r="P40">
        <v>1.588798596585453</v>
      </c>
      <c r="Q40">
        <v>1.588798596585453</v>
      </c>
      <c r="R40">
        <v>1.0493613021823425</v>
      </c>
      <c r="S40">
        <v>0</v>
      </c>
      <c r="T40">
        <v>0</v>
      </c>
      <c r="U40">
        <v>0.33879859658545297</v>
      </c>
      <c r="V40">
        <v>0</v>
      </c>
      <c r="W40">
        <v>0</v>
      </c>
      <c r="X40">
        <v>0</v>
      </c>
      <c r="Y40">
        <v>4.936130218234247E-2</v>
      </c>
      <c r="Z40">
        <v>0</v>
      </c>
      <c r="AA40">
        <v>0.20063869781765753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0.62940639685177069</v>
      </c>
      <c r="AN40">
        <v>0.62940639685177069</v>
      </c>
      <c r="AO40">
        <v>0.66047471620227038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0.33952528379772962</v>
      </c>
      <c r="BA40">
        <v>0</v>
      </c>
      <c r="BB40">
        <v>0</v>
      </c>
      <c r="BC40">
        <v>0</v>
      </c>
      <c r="BD40">
        <v>0.62940639685177069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1.5140625000000001</v>
      </c>
      <c r="BK40">
        <v>1.5140625000000001</v>
      </c>
      <c r="BL40">
        <v>0.95296062273338411</v>
      </c>
      <c r="CC40">
        <v>0</v>
      </c>
      <c r="CD40">
        <v>0</v>
      </c>
      <c r="CE40">
        <v>0</v>
      </c>
    </row>
    <row r="41" spans="1:84" hidden="1" x14ac:dyDescent="0.25">
      <c r="A41" t="s">
        <v>128</v>
      </c>
      <c r="B41" t="s">
        <v>372</v>
      </c>
      <c r="C41" t="s">
        <v>72</v>
      </c>
      <c r="D41" s="12">
        <v>46234</v>
      </c>
      <c r="E41" t="s">
        <v>501</v>
      </c>
      <c r="F41" t="s">
        <v>501</v>
      </c>
      <c r="G41" t="s">
        <v>501</v>
      </c>
      <c r="H41" t="s">
        <v>75</v>
      </c>
      <c r="I41">
        <v>20</v>
      </c>
      <c r="J41">
        <v>3.1779578349000128</v>
      </c>
      <c r="K41">
        <v>46234</v>
      </c>
      <c r="L41" t="s">
        <v>189</v>
      </c>
      <c r="M41">
        <v>2.8499999999999996</v>
      </c>
      <c r="N41">
        <v>2.8499999999999996</v>
      </c>
      <c r="O41">
        <v>3.7543252595155714</v>
      </c>
      <c r="P41">
        <v>0.89680233283827326</v>
      </c>
      <c r="Q41">
        <v>0.89680233283827326</v>
      </c>
      <c r="R41">
        <v>1.181364088058674</v>
      </c>
      <c r="S41">
        <v>0.18136408805867399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0.10319766716172674</v>
      </c>
      <c r="AC41">
        <v>0</v>
      </c>
      <c r="AD41">
        <v>0</v>
      </c>
      <c r="AE41">
        <v>0</v>
      </c>
      <c r="AF41">
        <v>0</v>
      </c>
      <c r="AG41">
        <v>0.89680233283827326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1.1150729245263205</v>
      </c>
      <c r="AN41">
        <v>1.1150729245263205</v>
      </c>
      <c r="AO41">
        <v>1.317307108601955</v>
      </c>
      <c r="AP41">
        <v>0.20223418407563454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0.11507292452632045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0.7591244239631334</v>
      </c>
      <c r="BK41">
        <v>0.7591244239631334</v>
      </c>
      <c r="BL41">
        <v>0.84647909150792955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0.15352090849207045</v>
      </c>
      <c r="BX41">
        <v>0</v>
      </c>
      <c r="BY41">
        <v>0</v>
      </c>
      <c r="BZ41">
        <v>0</v>
      </c>
      <c r="CA41">
        <v>0.7591244239631334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hidden="1" x14ac:dyDescent="0.25">
      <c r="A42" t="s">
        <v>128</v>
      </c>
      <c r="B42" t="s">
        <v>372</v>
      </c>
      <c r="C42" t="s">
        <v>109</v>
      </c>
      <c r="D42" s="12">
        <v>46225</v>
      </c>
      <c r="E42" t="s">
        <v>501</v>
      </c>
      <c r="F42" t="s">
        <v>501</v>
      </c>
      <c r="G42" t="s">
        <v>501</v>
      </c>
      <c r="J42">
        <v>6.7655742969551058</v>
      </c>
      <c r="M42">
        <v>12.35</v>
      </c>
      <c r="N42">
        <v>12.35</v>
      </c>
      <c r="O42">
        <v>7.5155709342560542</v>
      </c>
      <c r="S42">
        <v>8.4679761370877668E-2</v>
      </c>
      <c r="T42">
        <v>0</v>
      </c>
      <c r="U42">
        <v>0.74132353031558407</v>
      </c>
      <c r="V42">
        <v>0</v>
      </c>
      <c r="W42">
        <v>0</v>
      </c>
      <c r="X42">
        <v>0</v>
      </c>
      <c r="Y42">
        <v>2.6175075836141121E-2</v>
      </c>
      <c r="Z42">
        <v>0</v>
      </c>
      <c r="AA42">
        <v>0.10639373150330843</v>
      </c>
      <c r="AB42">
        <v>4.8474500538352373E-2</v>
      </c>
      <c r="AC42">
        <v>0</v>
      </c>
      <c r="AD42">
        <v>0</v>
      </c>
      <c r="AE42">
        <v>0</v>
      </c>
      <c r="AF42">
        <v>0</v>
      </c>
      <c r="AG42">
        <v>0.95152549946164766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84" hidden="1" x14ac:dyDescent="0.25">
      <c r="A43" t="s">
        <v>128</v>
      </c>
      <c r="B43" t="s">
        <v>372</v>
      </c>
      <c r="C43" t="s">
        <v>109</v>
      </c>
      <c r="D43" s="12">
        <v>46225</v>
      </c>
      <c r="E43" t="s">
        <v>134</v>
      </c>
      <c r="F43" t="s">
        <v>134</v>
      </c>
      <c r="G43" t="s">
        <v>134</v>
      </c>
      <c r="J43">
        <v>9.8140698021217112</v>
      </c>
      <c r="M43">
        <v>8.5500000000000007</v>
      </c>
      <c r="N43">
        <v>8.5500000000000007</v>
      </c>
      <c r="O43">
        <v>7.5087045847750877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8.6402552206885821E-2</v>
      </c>
      <c r="AB43">
        <v>9.5900731252671706E-2</v>
      </c>
      <c r="AC43">
        <v>0.11930361548072468</v>
      </c>
      <c r="AD43">
        <v>0</v>
      </c>
      <c r="AE43">
        <v>0.1156004828015421</v>
      </c>
      <c r="AF43">
        <v>0</v>
      </c>
      <c r="AG43">
        <v>0.66919517046506161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84" hidden="1" x14ac:dyDescent="0.25">
      <c r="A44" t="s">
        <v>128</v>
      </c>
      <c r="B44" t="s">
        <v>372</v>
      </c>
      <c r="C44" t="s">
        <v>72</v>
      </c>
      <c r="D44" s="12">
        <v>46234</v>
      </c>
      <c r="E44" t="s">
        <v>501</v>
      </c>
      <c r="F44" t="s">
        <v>501</v>
      </c>
      <c r="G44" t="s">
        <v>501</v>
      </c>
      <c r="H44" t="s">
        <v>74</v>
      </c>
      <c r="I44">
        <v>20</v>
      </c>
      <c r="J44">
        <v>0</v>
      </c>
      <c r="K44">
        <v>46234</v>
      </c>
      <c r="L44" t="s">
        <v>190</v>
      </c>
      <c r="M44">
        <v>0.95</v>
      </c>
      <c r="N44">
        <v>0.95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F44">
        <v>0</v>
      </c>
    </row>
    <row r="45" spans="1:84" hidden="1" x14ac:dyDescent="0.25">
      <c r="A45" t="s">
        <v>128</v>
      </c>
      <c r="B45" t="s">
        <v>372</v>
      </c>
      <c r="C45" t="s">
        <v>72</v>
      </c>
      <c r="D45" s="12">
        <v>46234</v>
      </c>
      <c r="E45" t="s">
        <v>501</v>
      </c>
      <c r="F45" t="s">
        <v>501</v>
      </c>
      <c r="G45" t="s">
        <v>501</v>
      </c>
      <c r="H45" t="s">
        <v>73</v>
      </c>
      <c r="I45">
        <v>20</v>
      </c>
      <c r="J45">
        <v>3.587616462055093</v>
      </c>
      <c r="K45">
        <v>46234</v>
      </c>
      <c r="L45" t="s">
        <v>213</v>
      </c>
      <c r="M45">
        <v>8.5499999999999989</v>
      </c>
      <c r="N45">
        <v>8.5499999999999989</v>
      </c>
      <c r="O45">
        <v>3.8235294117647038</v>
      </c>
      <c r="P45">
        <v>2.3831978948781791</v>
      </c>
      <c r="Q45">
        <v>2.3831978948781791</v>
      </c>
      <c r="R45">
        <v>1.0657575725289412</v>
      </c>
      <c r="S45">
        <v>0</v>
      </c>
      <c r="T45">
        <v>0</v>
      </c>
      <c r="U45">
        <v>1.1331978948781791</v>
      </c>
      <c r="V45">
        <v>0</v>
      </c>
      <c r="W45">
        <v>0</v>
      </c>
      <c r="X45">
        <v>0</v>
      </c>
      <c r="Y45">
        <v>6.5757572528941211E-2</v>
      </c>
      <c r="Z45">
        <v>0</v>
      </c>
      <c r="AA45">
        <v>0.18424242747105879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0.41960426456784716</v>
      </c>
      <c r="AN45">
        <v>0.41960426456784716</v>
      </c>
      <c r="AO45">
        <v>0.4471964224286204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0.55280357757137955</v>
      </c>
      <c r="BA45">
        <v>0</v>
      </c>
      <c r="BB45">
        <v>0</v>
      </c>
      <c r="BC45">
        <v>0</v>
      </c>
      <c r="BD45">
        <v>0.41960426456784716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2.2361538461538473</v>
      </c>
      <c r="BK45">
        <v>2.2361538461538473</v>
      </c>
      <c r="BL45">
        <v>0.93829969007594793</v>
      </c>
      <c r="CC45">
        <v>0</v>
      </c>
      <c r="CD45">
        <v>0</v>
      </c>
      <c r="CE45">
        <v>0</v>
      </c>
    </row>
    <row r="46" spans="1:84" hidden="1" x14ac:dyDescent="0.25">
      <c r="A46" t="s">
        <v>128</v>
      </c>
      <c r="B46" t="s">
        <v>372</v>
      </c>
      <c r="C46" t="s">
        <v>109</v>
      </c>
      <c r="D46" s="12">
        <v>46226</v>
      </c>
      <c r="E46" t="s">
        <v>133</v>
      </c>
      <c r="F46" t="s">
        <v>133</v>
      </c>
      <c r="G46" t="s">
        <v>133</v>
      </c>
      <c r="J46">
        <v>26.933502998222423</v>
      </c>
      <c r="M46">
        <v>41.8</v>
      </c>
      <c r="N46">
        <v>41.8</v>
      </c>
      <c r="O46">
        <v>25.59375</v>
      </c>
      <c r="S46">
        <v>0</v>
      </c>
      <c r="T46">
        <v>0</v>
      </c>
      <c r="U46">
        <v>0.35676858723879623</v>
      </c>
      <c r="V46">
        <v>0</v>
      </c>
      <c r="W46">
        <v>0</v>
      </c>
      <c r="X46">
        <v>0</v>
      </c>
      <c r="Y46">
        <v>1.0251705891324894E-2</v>
      </c>
      <c r="Z46">
        <v>0</v>
      </c>
      <c r="AA46">
        <v>0.20057101692943904</v>
      </c>
      <c r="AB46">
        <v>0</v>
      </c>
      <c r="AC46">
        <v>1.5620888582682586E-2</v>
      </c>
      <c r="AD46">
        <v>0</v>
      </c>
      <c r="AE46">
        <v>4.4373808345153365E-2</v>
      </c>
      <c r="AF46">
        <v>0</v>
      </c>
      <c r="AG46">
        <v>0.9400053030721639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84" hidden="1" x14ac:dyDescent="0.25">
      <c r="A47" t="s">
        <v>128</v>
      </c>
      <c r="B47" t="s">
        <v>372</v>
      </c>
      <c r="C47" t="s">
        <v>72</v>
      </c>
      <c r="D47" s="12">
        <v>46235</v>
      </c>
      <c r="E47" t="s">
        <v>501</v>
      </c>
      <c r="F47" t="s">
        <v>501</v>
      </c>
      <c r="G47" t="s">
        <v>501</v>
      </c>
      <c r="H47" t="s">
        <v>74</v>
      </c>
      <c r="I47">
        <v>20</v>
      </c>
      <c r="J47">
        <v>0</v>
      </c>
      <c r="K47">
        <v>46235</v>
      </c>
      <c r="L47" t="s">
        <v>187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F47">
        <v>0</v>
      </c>
    </row>
    <row r="48" spans="1:84" hidden="1" x14ac:dyDescent="0.25">
      <c r="A48" t="s">
        <v>128</v>
      </c>
      <c r="B48" t="s">
        <v>372</v>
      </c>
      <c r="C48" t="s">
        <v>72</v>
      </c>
      <c r="D48" s="12">
        <v>46239</v>
      </c>
      <c r="E48" t="s">
        <v>501</v>
      </c>
      <c r="F48" t="s">
        <v>501</v>
      </c>
      <c r="G48" t="s">
        <v>501</v>
      </c>
      <c r="H48" t="s">
        <v>75</v>
      </c>
      <c r="I48">
        <v>20</v>
      </c>
      <c r="J48">
        <v>3.1779578349000128</v>
      </c>
      <c r="K48">
        <v>46239</v>
      </c>
      <c r="L48" t="s">
        <v>175</v>
      </c>
      <c r="M48">
        <v>2.8499999999999996</v>
      </c>
      <c r="N48">
        <v>2.8499999999999996</v>
      </c>
      <c r="O48">
        <v>3.7508650519031144</v>
      </c>
      <c r="P48">
        <v>0.89680233283827326</v>
      </c>
      <c r="Q48">
        <v>0.89680233283827326</v>
      </c>
      <c r="R48">
        <v>1.18027527323097</v>
      </c>
      <c r="S48">
        <v>0.18027527323097003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0.10319766716172674</v>
      </c>
      <c r="AC48">
        <v>0</v>
      </c>
      <c r="AD48">
        <v>0</v>
      </c>
      <c r="AE48">
        <v>0</v>
      </c>
      <c r="AF48">
        <v>0</v>
      </c>
      <c r="AG48">
        <v>0.89680233283827326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1.1150729245263205</v>
      </c>
      <c r="AN48">
        <v>1.1150729245263205</v>
      </c>
      <c r="AO48">
        <v>1.3160930006677596</v>
      </c>
      <c r="AP48">
        <v>0.20102007614143913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0.11507292452632045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0.75982472324723238</v>
      </c>
      <c r="BK48">
        <v>0.75982472324723238</v>
      </c>
      <c r="BL48">
        <v>0.84725997627869343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0.15274002372130657</v>
      </c>
      <c r="BX48">
        <v>0</v>
      </c>
      <c r="BY48">
        <v>0</v>
      </c>
      <c r="BZ48">
        <v>0</v>
      </c>
      <c r="CA48">
        <v>0.75982472324723238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 hidden="1" x14ac:dyDescent="0.25">
      <c r="A49" t="s">
        <v>128</v>
      </c>
      <c r="B49" t="s">
        <v>372</v>
      </c>
      <c r="C49" t="s">
        <v>72</v>
      </c>
      <c r="D49" s="12">
        <v>46249</v>
      </c>
      <c r="E49" t="s">
        <v>134</v>
      </c>
      <c r="F49" t="s">
        <v>134</v>
      </c>
      <c r="G49" t="s">
        <v>134</v>
      </c>
      <c r="H49" t="s">
        <v>73</v>
      </c>
      <c r="I49">
        <v>10</v>
      </c>
      <c r="J49">
        <v>5.3405029697624178</v>
      </c>
      <c r="K49">
        <v>46249</v>
      </c>
      <c r="L49" t="s">
        <v>155</v>
      </c>
      <c r="M49">
        <v>0</v>
      </c>
      <c r="N49">
        <v>0</v>
      </c>
      <c r="O49">
        <v>4.3235294117647038</v>
      </c>
      <c r="P49">
        <v>0</v>
      </c>
      <c r="Q49">
        <v>0</v>
      </c>
      <c r="R49">
        <v>0.80957344958784738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0.80957344958784738</v>
      </c>
      <c r="AC49">
        <v>0.19042655041215262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J49">
        <v>0</v>
      </c>
      <c r="BK49">
        <v>0</v>
      </c>
      <c r="BL49">
        <v>1.2352183739586551</v>
      </c>
      <c r="BM49">
        <v>0.23521837395865508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1</v>
      </c>
    </row>
    <row r="50" spans="1:84" hidden="1" x14ac:dyDescent="0.25">
      <c r="A50" t="s">
        <v>128</v>
      </c>
      <c r="B50" t="s">
        <v>372</v>
      </c>
      <c r="C50" t="s">
        <v>72</v>
      </c>
      <c r="D50" s="12">
        <v>46248</v>
      </c>
      <c r="E50" t="s">
        <v>134</v>
      </c>
      <c r="F50" t="s">
        <v>134</v>
      </c>
      <c r="G50" t="s">
        <v>134</v>
      </c>
      <c r="H50" t="s">
        <v>74</v>
      </c>
      <c r="I50">
        <v>10</v>
      </c>
      <c r="J50">
        <v>1.2742252699784016</v>
      </c>
      <c r="K50">
        <v>46248</v>
      </c>
      <c r="L50" t="s">
        <v>158</v>
      </c>
      <c r="M50">
        <v>0</v>
      </c>
      <c r="N50">
        <v>0</v>
      </c>
      <c r="O50">
        <v>0.94117647058823517</v>
      </c>
      <c r="P50">
        <v>0</v>
      </c>
      <c r="Q50">
        <v>0</v>
      </c>
      <c r="R50">
        <v>0.73862643659875649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0.73862643659875649</v>
      </c>
      <c r="AC50">
        <v>0.26137356340124351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J50">
        <v>0</v>
      </c>
      <c r="BK50">
        <v>0</v>
      </c>
      <c r="BL50">
        <v>1.3538643493520519</v>
      </c>
      <c r="BM50">
        <v>0.35386434935205191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hidden="1" x14ac:dyDescent="0.25">
      <c r="A51" t="s">
        <v>128</v>
      </c>
      <c r="B51" t="s">
        <v>372</v>
      </c>
      <c r="C51" t="s">
        <v>72</v>
      </c>
      <c r="D51" s="12">
        <v>46238</v>
      </c>
      <c r="E51" t="s">
        <v>501</v>
      </c>
      <c r="F51" t="s">
        <v>501</v>
      </c>
      <c r="G51" t="s">
        <v>501</v>
      </c>
      <c r="H51" t="s">
        <v>73</v>
      </c>
      <c r="I51">
        <v>20</v>
      </c>
      <c r="J51">
        <v>3.5876164620550925</v>
      </c>
      <c r="K51">
        <v>46238</v>
      </c>
      <c r="L51" t="s">
        <v>180</v>
      </c>
      <c r="M51">
        <v>5.6999999999999993</v>
      </c>
      <c r="N51">
        <v>5.6999999999999993</v>
      </c>
      <c r="O51">
        <v>3.8827614379084978</v>
      </c>
      <c r="P51">
        <v>1.588798596585453</v>
      </c>
      <c r="Q51">
        <v>1.588798596585453</v>
      </c>
      <c r="R51">
        <v>1.0822677058640593</v>
      </c>
      <c r="S51">
        <v>0</v>
      </c>
      <c r="T51">
        <v>0</v>
      </c>
      <c r="U51">
        <v>0.33879859658545297</v>
      </c>
      <c r="V51">
        <v>0</v>
      </c>
      <c r="W51">
        <v>0</v>
      </c>
      <c r="X51">
        <v>0</v>
      </c>
      <c r="Y51">
        <v>8.2267705864059293E-2</v>
      </c>
      <c r="Z51">
        <v>0</v>
      </c>
      <c r="AA51">
        <v>0.16773229413594071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0.62940639685177069</v>
      </c>
      <c r="AN51">
        <v>0.62940639685177069</v>
      </c>
      <c r="AO51">
        <v>0.68118621717692951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0.31881378282307049</v>
      </c>
      <c r="BA51">
        <v>0</v>
      </c>
      <c r="BB51">
        <v>0</v>
      </c>
      <c r="BC51">
        <v>0</v>
      </c>
      <c r="BD51">
        <v>0.62940639685177069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1.4680273540241973</v>
      </c>
      <c r="BK51">
        <v>1.4680273540241973</v>
      </c>
      <c r="BL51">
        <v>0.92398580737620872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0.46802735402419726</v>
      </c>
      <c r="BV51">
        <v>0</v>
      </c>
      <c r="BW51">
        <v>0</v>
      </c>
      <c r="BX51">
        <v>0</v>
      </c>
      <c r="BY51">
        <v>7.6014192623791277E-2</v>
      </c>
      <c r="BZ51">
        <v>0</v>
      </c>
      <c r="CA51">
        <v>0.92398580737620872</v>
      </c>
      <c r="CB51">
        <v>0</v>
      </c>
      <c r="CC51">
        <v>0</v>
      </c>
      <c r="CD51">
        <v>0</v>
      </c>
      <c r="CE51">
        <v>0</v>
      </c>
      <c r="CF51">
        <v>0</v>
      </c>
    </row>
    <row r="52" spans="1:84" hidden="1" x14ac:dyDescent="0.25">
      <c r="A52" t="s">
        <v>128</v>
      </c>
      <c r="B52" t="s">
        <v>372</v>
      </c>
      <c r="C52" t="s">
        <v>72</v>
      </c>
      <c r="D52" s="12">
        <v>46249</v>
      </c>
      <c r="E52" t="s">
        <v>134</v>
      </c>
      <c r="F52" t="s">
        <v>134</v>
      </c>
      <c r="G52" t="s">
        <v>134</v>
      </c>
      <c r="H52" t="s">
        <v>75</v>
      </c>
      <c r="I52">
        <v>10</v>
      </c>
      <c r="J52">
        <v>2.2486328293736499</v>
      </c>
      <c r="K52">
        <v>46249</v>
      </c>
      <c r="L52" t="s">
        <v>167</v>
      </c>
      <c r="M52">
        <v>0</v>
      </c>
      <c r="N52">
        <v>0</v>
      </c>
      <c r="O52">
        <v>2.1591695501730106</v>
      </c>
      <c r="P52">
        <v>0</v>
      </c>
      <c r="Q52">
        <v>0</v>
      </c>
      <c r="R52">
        <v>0.96021436757838363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0.96021436757838363</v>
      </c>
      <c r="AC52">
        <v>3.9785632421616368E-2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J52">
        <v>0</v>
      </c>
      <c r="BK52">
        <v>0</v>
      </c>
      <c r="BL52">
        <v>1.0414341148861936</v>
      </c>
      <c r="BM52">
        <v>4.143411488619364E-2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</row>
    <row r="53" spans="1:84" hidden="1" x14ac:dyDescent="0.25">
      <c r="A53" t="s">
        <v>128</v>
      </c>
      <c r="B53" t="s">
        <v>372</v>
      </c>
      <c r="C53" t="s">
        <v>72</v>
      </c>
      <c r="D53" s="12">
        <v>46250</v>
      </c>
      <c r="E53" t="s">
        <v>134</v>
      </c>
      <c r="F53" t="s">
        <v>134</v>
      </c>
      <c r="G53" t="s">
        <v>134</v>
      </c>
      <c r="H53" t="s">
        <v>74</v>
      </c>
      <c r="I53">
        <v>10</v>
      </c>
      <c r="J53">
        <v>1.2742252699784016</v>
      </c>
      <c r="K53">
        <v>46250</v>
      </c>
      <c r="L53" t="s">
        <v>170</v>
      </c>
      <c r="M53">
        <v>0</v>
      </c>
      <c r="N53">
        <v>0</v>
      </c>
      <c r="O53">
        <v>0.94117647058823517</v>
      </c>
      <c r="P53">
        <v>0</v>
      </c>
      <c r="Q53">
        <v>0</v>
      </c>
      <c r="R53">
        <v>0.73862643659875649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0.73862643659875649</v>
      </c>
      <c r="AC53">
        <v>0.26137356340124351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J53">
        <v>0</v>
      </c>
      <c r="BK53">
        <v>0</v>
      </c>
      <c r="BL53">
        <v>1.3538643493520519</v>
      </c>
      <c r="BM53">
        <v>0.35386434935205191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hidden="1" x14ac:dyDescent="0.25">
      <c r="A54" t="s">
        <v>128</v>
      </c>
      <c r="B54" t="s">
        <v>372</v>
      </c>
      <c r="C54" t="s">
        <v>72</v>
      </c>
      <c r="D54" s="12">
        <v>46238</v>
      </c>
      <c r="E54" t="s">
        <v>501</v>
      </c>
      <c r="F54" t="s">
        <v>501</v>
      </c>
      <c r="G54" t="s">
        <v>501</v>
      </c>
      <c r="H54" t="s">
        <v>74</v>
      </c>
      <c r="I54">
        <v>20</v>
      </c>
      <c r="J54">
        <v>0</v>
      </c>
      <c r="K54">
        <v>46238</v>
      </c>
      <c r="L54" t="s">
        <v>179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0</v>
      </c>
    </row>
    <row r="55" spans="1:84" hidden="1" x14ac:dyDescent="0.25">
      <c r="A55" t="s">
        <v>128</v>
      </c>
      <c r="B55" t="s">
        <v>372</v>
      </c>
      <c r="C55" t="s">
        <v>72</v>
      </c>
      <c r="D55" s="12">
        <v>46237</v>
      </c>
      <c r="E55" t="s">
        <v>501</v>
      </c>
      <c r="F55" t="s">
        <v>501</v>
      </c>
      <c r="G55" t="s">
        <v>501</v>
      </c>
      <c r="H55" t="s">
        <v>75</v>
      </c>
      <c r="I55">
        <v>20</v>
      </c>
      <c r="J55">
        <v>3.1779578349000128</v>
      </c>
      <c r="K55">
        <v>46237</v>
      </c>
      <c r="L55" t="s">
        <v>181</v>
      </c>
      <c r="M55">
        <v>2.8499999999999996</v>
      </c>
      <c r="N55">
        <v>2.8499999999999996</v>
      </c>
      <c r="O55">
        <v>3.7508650519031144</v>
      </c>
      <c r="P55">
        <v>0.89680233283827326</v>
      </c>
      <c r="Q55">
        <v>0.89680233283827326</v>
      </c>
      <c r="R55">
        <v>1.18027527323097</v>
      </c>
      <c r="S55">
        <v>0.18027527323097003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0.10319766716172674</v>
      </c>
      <c r="AC55">
        <v>0</v>
      </c>
      <c r="AD55">
        <v>0</v>
      </c>
      <c r="AE55">
        <v>0</v>
      </c>
      <c r="AF55">
        <v>0</v>
      </c>
      <c r="AG55">
        <v>0.89680233283827326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1.1150729245263205</v>
      </c>
      <c r="AN55">
        <v>1.1150729245263205</v>
      </c>
      <c r="AO55">
        <v>1.3160930006677596</v>
      </c>
      <c r="AP55">
        <v>0.20102007614143913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0.11507292452632045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0.75982472324723238</v>
      </c>
      <c r="BK55">
        <v>0.75982472324723238</v>
      </c>
      <c r="BL55">
        <v>0.84725997627869343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0.15274002372130657</v>
      </c>
      <c r="BX55">
        <v>0</v>
      </c>
      <c r="BY55">
        <v>0</v>
      </c>
      <c r="BZ55">
        <v>0</v>
      </c>
      <c r="CA55">
        <v>0.75982472324723238</v>
      </c>
      <c r="CB55">
        <v>0</v>
      </c>
      <c r="CC55">
        <v>0</v>
      </c>
      <c r="CD55">
        <v>0</v>
      </c>
      <c r="CE55">
        <v>0</v>
      </c>
      <c r="CF55">
        <v>0</v>
      </c>
    </row>
    <row r="56" spans="1:84" hidden="1" x14ac:dyDescent="0.25">
      <c r="A56" t="s">
        <v>128</v>
      </c>
      <c r="B56" t="s">
        <v>372</v>
      </c>
      <c r="C56" t="s">
        <v>72</v>
      </c>
      <c r="D56" s="12">
        <v>46238</v>
      </c>
      <c r="E56" t="s">
        <v>501</v>
      </c>
      <c r="F56" t="s">
        <v>501</v>
      </c>
      <c r="G56" t="s">
        <v>501</v>
      </c>
      <c r="H56" t="s">
        <v>75</v>
      </c>
      <c r="I56">
        <v>20</v>
      </c>
      <c r="J56">
        <v>3.2276134260703255</v>
      </c>
      <c r="K56">
        <v>46238</v>
      </c>
      <c r="L56" t="s">
        <v>178</v>
      </c>
      <c r="M56">
        <v>2.8499999999999996</v>
      </c>
      <c r="N56">
        <v>2.8499999999999996</v>
      </c>
      <c r="O56">
        <v>3.7574009996155326</v>
      </c>
      <c r="P56">
        <v>0.88300537387153066</v>
      </c>
      <c r="Q56">
        <v>0.88300537387153066</v>
      </c>
      <c r="R56">
        <v>1.164142201561676</v>
      </c>
      <c r="S56">
        <v>0.16414220156167603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0.11699462612846934</v>
      </c>
      <c r="AC56">
        <v>0</v>
      </c>
      <c r="AD56">
        <v>0</v>
      </c>
      <c r="AE56">
        <v>0</v>
      </c>
      <c r="AF56">
        <v>0</v>
      </c>
      <c r="AG56">
        <v>0.88300537387153066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1.1324959389720441</v>
      </c>
      <c r="AN56">
        <v>1.1324959389720441</v>
      </c>
      <c r="AO56">
        <v>1.318386315654573</v>
      </c>
      <c r="AP56">
        <v>0.18589037668252884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0.13249593897204415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0.75850301852041324</v>
      </c>
      <c r="BK56">
        <v>0.75850301852041324</v>
      </c>
      <c r="BL56">
        <v>0.85900158817240524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0.14099841182759476</v>
      </c>
      <c r="BX56">
        <v>0</v>
      </c>
      <c r="BY56">
        <v>0</v>
      </c>
      <c r="BZ56">
        <v>0</v>
      </c>
      <c r="CA56">
        <v>0.75850301852041324</v>
      </c>
      <c r="CB56">
        <v>0</v>
      </c>
      <c r="CC56">
        <v>0</v>
      </c>
      <c r="CD56">
        <v>0</v>
      </c>
      <c r="CE56">
        <v>0</v>
      </c>
      <c r="CF56">
        <v>0</v>
      </c>
    </row>
    <row r="57" spans="1:84" hidden="1" x14ac:dyDescent="0.25">
      <c r="A57" t="s">
        <v>128</v>
      </c>
      <c r="B57" t="s">
        <v>372</v>
      </c>
      <c r="C57" t="s">
        <v>72</v>
      </c>
      <c r="D57" s="12">
        <v>46237</v>
      </c>
      <c r="E57" t="s">
        <v>501</v>
      </c>
      <c r="F57" t="s">
        <v>501</v>
      </c>
      <c r="G57" t="s">
        <v>501</v>
      </c>
      <c r="H57" t="s">
        <v>74</v>
      </c>
      <c r="I57">
        <v>20</v>
      </c>
      <c r="J57">
        <v>0</v>
      </c>
      <c r="K57">
        <v>46237</v>
      </c>
      <c r="L57" t="s">
        <v>182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F57">
        <v>0</v>
      </c>
    </row>
    <row r="58" spans="1:84" hidden="1" x14ac:dyDescent="0.25">
      <c r="A58" t="s">
        <v>128</v>
      </c>
      <c r="B58" t="s">
        <v>372</v>
      </c>
      <c r="C58" t="s">
        <v>72</v>
      </c>
      <c r="D58" s="12">
        <v>46236</v>
      </c>
      <c r="E58" t="s">
        <v>501</v>
      </c>
      <c r="F58" t="s">
        <v>501</v>
      </c>
      <c r="G58" t="s">
        <v>501</v>
      </c>
      <c r="H58" t="s">
        <v>75</v>
      </c>
      <c r="I58">
        <v>20</v>
      </c>
      <c r="J58">
        <v>3.1779578349000133</v>
      </c>
      <c r="K58">
        <v>46236</v>
      </c>
      <c r="L58" t="s">
        <v>183</v>
      </c>
      <c r="M58">
        <v>2.8499999999999996</v>
      </c>
      <c r="N58">
        <v>2.8499999999999996</v>
      </c>
      <c r="O58">
        <v>3.7543252595155714</v>
      </c>
      <c r="P58">
        <v>0.89680233283827315</v>
      </c>
      <c r="Q58">
        <v>0.89680233283827315</v>
      </c>
      <c r="R58">
        <v>1.1813640880586738</v>
      </c>
      <c r="S58">
        <v>0.18136408805867377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0.10319766716172685</v>
      </c>
      <c r="AC58">
        <v>0</v>
      </c>
      <c r="AD58">
        <v>0</v>
      </c>
      <c r="AE58">
        <v>0</v>
      </c>
      <c r="AF58">
        <v>0</v>
      </c>
      <c r="AG58">
        <v>0.89680233283827315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1.1150729245263207</v>
      </c>
      <c r="AN58">
        <v>1.1150729245263207</v>
      </c>
      <c r="AO58">
        <v>1.317307108601955</v>
      </c>
      <c r="AP58">
        <v>0.20223418407563432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0.11507292452632067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0.7591244239631334</v>
      </c>
      <c r="BK58">
        <v>0.7591244239631334</v>
      </c>
      <c r="BL58">
        <v>0.84647909150792966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0.15352090849207034</v>
      </c>
      <c r="BX58">
        <v>0</v>
      </c>
      <c r="BY58">
        <v>0</v>
      </c>
      <c r="BZ58">
        <v>0</v>
      </c>
      <c r="CA58">
        <v>0.7591244239631334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hidden="1" x14ac:dyDescent="0.25">
      <c r="A59" t="s">
        <v>128</v>
      </c>
      <c r="B59" t="s">
        <v>372</v>
      </c>
      <c r="C59" t="s">
        <v>109</v>
      </c>
      <c r="D59" s="12">
        <v>46226</v>
      </c>
      <c r="E59" t="s">
        <v>501</v>
      </c>
      <c r="F59" t="s">
        <v>501</v>
      </c>
      <c r="G59" t="s">
        <v>501</v>
      </c>
      <c r="J59">
        <v>6.7655742969551058</v>
      </c>
      <c r="M59">
        <v>11.399999999999999</v>
      </c>
      <c r="N59">
        <v>11.399999999999999</v>
      </c>
      <c r="O59">
        <v>7.5155709342560559</v>
      </c>
      <c r="S59">
        <v>8.4679761370877557E-2</v>
      </c>
      <c r="T59">
        <v>0</v>
      </c>
      <c r="U59">
        <v>0.60090677361430067</v>
      </c>
      <c r="V59">
        <v>0</v>
      </c>
      <c r="W59">
        <v>0</v>
      </c>
      <c r="X59">
        <v>0</v>
      </c>
      <c r="Y59">
        <v>2.6175075836141471E-2</v>
      </c>
      <c r="Z59">
        <v>0</v>
      </c>
      <c r="AA59">
        <v>0.10639373150330807</v>
      </c>
      <c r="AB59">
        <v>4.8474500538352429E-2</v>
      </c>
      <c r="AC59">
        <v>0</v>
      </c>
      <c r="AD59">
        <v>0</v>
      </c>
      <c r="AE59">
        <v>0</v>
      </c>
      <c r="AF59">
        <v>0</v>
      </c>
      <c r="AG59">
        <v>0.95152549946164755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84" hidden="1" x14ac:dyDescent="0.25">
      <c r="A60" t="s">
        <v>128</v>
      </c>
      <c r="B60" t="s">
        <v>372</v>
      </c>
      <c r="C60" t="s">
        <v>72</v>
      </c>
      <c r="D60" s="12">
        <v>46249</v>
      </c>
      <c r="E60" t="s">
        <v>134</v>
      </c>
      <c r="F60" t="s">
        <v>134</v>
      </c>
      <c r="G60" t="s">
        <v>134</v>
      </c>
      <c r="H60" t="s">
        <v>74</v>
      </c>
      <c r="I60">
        <v>10</v>
      </c>
      <c r="J60">
        <v>1.2742252699784016</v>
      </c>
      <c r="K60">
        <v>46249</v>
      </c>
      <c r="L60" t="s">
        <v>164</v>
      </c>
      <c r="M60">
        <v>0</v>
      </c>
      <c r="N60">
        <v>0</v>
      </c>
      <c r="O60">
        <v>0.94117647058823517</v>
      </c>
      <c r="P60">
        <v>0</v>
      </c>
      <c r="Q60">
        <v>0</v>
      </c>
      <c r="R60">
        <v>0.73862643659875649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0.73862643659875649</v>
      </c>
      <c r="AC60">
        <v>0.26137356340124351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K60">
        <v>0</v>
      </c>
      <c r="BL60">
        <v>1.3538643493520519</v>
      </c>
      <c r="BM60">
        <v>0.35386434935205191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hidden="1" x14ac:dyDescent="0.25">
      <c r="A61" t="s">
        <v>128</v>
      </c>
      <c r="B61" t="s">
        <v>372</v>
      </c>
      <c r="C61" t="s">
        <v>72</v>
      </c>
      <c r="D61" s="12">
        <v>46239</v>
      </c>
      <c r="E61" t="s">
        <v>501</v>
      </c>
      <c r="F61" t="s">
        <v>501</v>
      </c>
      <c r="G61" t="s">
        <v>501</v>
      </c>
      <c r="H61" t="s">
        <v>73</v>
      </c>
      <c r="I61">
        <v>20</v>
      </c>
      <c r="J61">
        <v>3.5876164620550925</v>
      </c>
      <c r="K61">
        <v>46239</v>
      </c>
      <c r="L61" t="s">
        <v>177</v>
      </c>
      <c r="M61">
        <v>10.45</v>
      </c>
      <c r="N61">
        <v>10.45</v>
      </c>
      <c r="O61">
        <v>3.7647058823529398</v>
      </c>
      <c r="P61">
        <v>2.9127974270733308</v>
      </c>
      <c r="Q61">
        <v>2.9127974270733308</v>
      </c>
      <c r="R61">
        <v>1.0493613021823422</v>
      </c>
      <c r="S61">
        <v>0</v>
      </c>
      <c r="T61">
        <v>0</v>
      </c>
      <c r="U61">
        <v>1.6627974270733308</v>
      </c>
      <c r="V61">
        <v>0</v>
      </c>
      <c r="W61">
        <v>0</v>
      </c>
      <c r="X61">
        <v>0</v>
      </c>
      <c r="Y61">
        <v>4.9361302182342248E-2</v>
      </c>
      <c r="Z61">
        <v>0</v>
      </c>
      <c r="AA61">
        <v>0.20063869781765775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0.34331258010096583</v>
      </c>
      <c r="AN61">
        <v>0.34331258010096583</v>
      </c>
      <c r="AO61">
        <v>0.36025893611032916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0.63974106388967078</v>
      </c>
      <c r="BA61">
        <v>0</v>
      </c>
      <c r="BB61">
        <v>0</v>
      </c>
      <c r="BC61">
        <v>0</v>
      </c>
      <c r="BD61">
        <v>0.34331258010096583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2.775781250000001</v>
      </c>
      <c r="BK61">
        <v>2.775781250000001</v>
      </c>
      <c r="BL61">
        <v>0.95296062273338433</v>
      </c>
      <c r="CC61">
        <v>0</v>
      </c>
      <c r="CD61">
        <v>0</v>
      </c>
      <c r="CE61">
        <v>0</v>
      </c>
    </row>
    <row r="62" spans="1:84" hidden="1" x14ac:dyDescent="0.25">
      <c r="A62" t="s">
        <v>128</v>
      </c>
      <c r="B62" t="s">
        <v>372</v>
      </c>
      <c r="C62" t="s">
        <v>72</v>
      </c>
      <c r="D62" s="12">
        <v>46237</v>
      </c>
      <c r="E62" t="s">
        <v>501</v>
      </c>
      <c r="F62" t="s">
        <v>501</v>
      </c>
      <c r="G62" t="s">
        <v>501</v>
      </c>
      <c r="H62" t="s">
        <v>73</v>
      </c>
      <c r="I62">
        <v>20</v>
      </c>
      <c r="J62">
        <v>3.5876164620550925</v>
      </c>
      <c r="K62">
        <v>46237</v>
      </c>
      <c r="L62" t="s">
        <v>232</v>
      </c>
      <c r="M62">
        <v>8.5499999999999989</v>
      </c>
      <c r="N62">
        <v>8.5499999999999989</v>
      </c>
      <c r="O62">
        <v>3.7647058823529407</v>
      </c>
      <c r="P62">
        <v>2.3831978948781796</v>
      </c>
      <c r="Q62">
        <v>2.3831978948781796</v>
      </c>
      <c r="R62">
        <v>1.0493613021823425</v>
      </c>
      <c r="S62">
        <v>0</v>
      </c>
      <c r="T62">
        <v>0</v>
      </c>
      <c r="U62">
        <v>1.1331978948781796</v>
      </c>
      <c r="V62">
        <v>0</v>
      </c>
      <c r="W62">
        <v>0</v>
      </c>
      <c r="X62">
        <v>0</v>
      </c>
      <c r="Y62">
        <v>4.936130218234247E-2</v>
      </c>
      <c r="Z62">
        <v>0</v>
      </c>
      <c r="AA62">
        <v>0.20063869781765753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0.41960426456784711</v>
      </c>
      <c r="AN62">
        <v>0.41960426456784711</v>
      </c>
      <c r="AO62">
        <v>0.44031647746818026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0.55968352253181974</v>
      </c>
      <c r="BA62">
        <v>0</v>
      </c>
      <c r="BB62">
        <v>0</v>
      </c>
      <c r="BC62">
        <v>0</v>
      </c>
      <c r="BD62">
        <v>0.41960426456784711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2.2710937499999999</v>
      </c>
      <c r="BK62">
        <v>2.2710937499999999</v>
      </c>
      <c r="BL62">
        <v>0.95296062273338411</v>
      </c>
      <c r="CC62">
        <v>0</v>
      </c>
      <c r="CD62">
        <v>0</v>
      </c>
      <c r="CE62">
        <v>0</v>
      </c>
    </row>
    <row r="63" spans="1:84" hidden="1" x14ac:dyDescent="0.25">
      <c r="A63" t="s">
        <v>128</v>
      </c>
      <c r="B63" t="s">
        <v>372</v>
      </c>
      <c r="C63" t="s">
        <v>109</v>
      </c>
      <c r="D63" s="12">
        <v>46223</v>
      </c>
      <c r="E63" t="s">
        <v>133</v>
      </c>
      <c r="F63" t="s">
        <v>133</v>
      </c>
      <c r="G63" t="s">
        <v>133</v>
      </c>
      <c r="J63">
        <v>27.065400662268566</v>
      </c>
      <c r="M63">
        <v>34.200000000000003</v>
      </c>
      <c r="N63">
        <v>34.200000000000003</v>
      </c>
      <c r="O63">
        <v>26.369791666666664</v>
      </c>
      <c r="S63">
        <v>0</v>
      </c>
      <c r="T63">
        <v>0</v>
      </c>
      <c r="U63">
        <v>9.9226546337706042E-2</v>
      </c>
      <c r="V63">
        <v>0</v>
      </c>
      <c r="W63">
        <v>0</v>
      </c>
      <c r="X63">
        <v>0</v>
      </c>
      <c r="Y63">
        <v>1.7246179221508555E-2</v>
      </c>
      <c r="Z63">
        <v>0</v>
      </c>
      <c r="AA63">
        <v>0.14713317581868951</v>
      </c>
      <c r="AB63">
        <v>0</v>
      </c>
      <c r="AC63">
        <v>0</v>
      </c>
      <c r="AD63">
        <v>0</v>
      </c>
      <c r="AE63">
        <v>4.2947221089757633E-2</v>
      </c>
      <c r="AF63">
        <v>0</v>
      </c>
      <c r="AG63">
        <v>0.95705277891024232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84" hidden="1" x14ac:dyDescent="0.25">
      <c r="A64" t="s">
        <v>128</v>
      </c>
      <c r="B64" t="s">
        <v>372</v>
      </c>
      <c r="C64" t="s">
        <v>109</v>
      </c>
      <c r="D64" s="12">
        <v>46223</v>
      </c>
      <c r="E64" t="s">
        <v>501</v>
      </c>
      <c r="F64" t="s">
        <v>501</v>
      </c>
      <c r="G64" t="s">
        <v>501</v>
      </c>
      <c r="J64">
        <v>6.7655742969551049</v>
      </c>
      <c r="M64">
        <v>10.45</v>
      </c>
      <c r="N64">
        <v>10.45</v>
      </c>
      <c r="O64">
        <v>5.6366782006920415</v>
      </c>
      <c r="S64">
        <v>0</v>
      </c>
      <c r="T64">
        <v>0</v>
      </c>
      <c r="U64">
        <v>0.46049001691301777</v>
      </c>
      <c r="V64">
        <v>0</v>
      </c>
      <c r="W64">
        <v>0</v>
      </c>
      <c r="X64">
        <v>0</v>
      </c>
      <c r="Y64">
        <v>0</v>
      </c>
      <c r="Z64">
        <v>0</v>
      </c>
      <c r="AA64">
        <v>0.13256880733944956</v>
      </c>
      <c r="AB64">
        <v>0</v>
      </c>
      <c r="AC64">
        <v>4.8474500538352373E-2</v>
      </c>
      <c r="AD64">
        <v>0</v>
      </c>
      <c r="AE64">
        <v>0.11838437155638343</v>
      </c>
      <c r="AF64">
        <v>0</v>
      </c>
      <c r="AG64">
        <v>0.83314112790526429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84" hidden="1" x14ac:dyDescent="0.25">
      <c r="A65" t="s">
        <v>128</v>
      </c>
      <c r="B65" t="s">
        <v>372</v>
      </c>
      <c r="C65" t="s">
        <v>72</v>
      </c>
      <c r="D65" s="12">
        <v>46239</v>
      </c>
      <c r="E65" t="s">
        <v>501</v>
      </c>
      <c r="F65" t="s">
        <v>501</v>
      </c>
      <c r="G65" t="s">
        <v>501</v>
      </c>
      <c r="H65" t="s">
        <v>74</v>
      </c>
      <c r="I65">
        <v>20</v>
      </c>
      <c r="J65">
        <v>0</v>
      </c>
      <c r="K65">
        <v>46239</v>
      </c>
      <c r="L65" t="s">
        <v>176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F65">
        <v>0</v>
      </c>
    </row>
    <row r="66" spans="1:84" hidden="1" x14ac:dyDescent="0.25">
      <c r="A66" t="s">
        <v>128</v>
      </c>
      <c r="B66" t="s">
        <v>372</v>
      </c>
      <c r="C66" t="s">
        <v>72</v>
      </c>
      <c r="D66" s="12">
        <v>46248</v>
      </c>
      <c r="E66" t="s">
        <v>134</v>
      </c>
      <c r="F66" t="s">
        <v>134</v>
      </c>
      <c r="G66" t="s">
        <v>134</v>
      </c>
      <c r="H66" t="s">
        <v>75</v>
      </c>
      <c r="I66">
        <v>10</v>
      </c>
      <c r="J66">
        <v>2.2486328293736499</v>
      </c>
      <c r="K66">
        <v>46248</v>
      </c>
      <c r="L66" t="s">
        <v>156</v>
      </c>
      <c r="M66">
        <v>0</v>
      </c>
      <c r="N66">
        <v>0</v>
      </c>
      <c r="O66">
        <v>2.6538062283737021</v>
      </c>
      <c r="P66">
        <v>0</v>
      </c>
      <c r="Q66">
        <v>0</v>
      </c>
      <c r="R66">
        <v>1.1801865532279505</v>
      </c>
      <c r="S66">
        <v>0.18018655322795052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0</v>
      </c>
      <c r="BK66">
        <v>0</v>
      </c>
      <c r="BL66">
        <v>0.84732366867329667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0.15267633132670333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0.84732366867329667</v>
      </c>
      <c r="CF66">
        <v>0</v>
      </c>
    </row>
    <row r="67" spans="1:84" hidden="1" x14ac:dyDescent="0.25">
      <c r="A67" t="s">
        <v>128</v>
      </c>
      <c r="B67" t="s">
        <v>372</v>
      </c>
      <c r="C67" t="s">
        <v>72</v>
      </c>
      <c r="D67" s="12">
        <v>46250</v>
      </c>
      <c r="E67" t="s">
        <v>134</v>
      </c>
      <c r="F67" t="s">
        <v>134</v>
      </c>
      <c r="G67" t="s">
        <v>134</v>
      </c>
      <c r="H67" t="s">
        <v>75</v>
      </c>
      <c r="I67">
        <v>10</v>
      </c>
      <c r="J67">
        <v>2.2486328293736499</v>
      </c>
      <c r="K67">
        <v>46250</v>
      </c>
      <c r="L67" t="s">
        <v>171</v>
      </c>
      <c r="M67">
        <v>0</v>
      </c>
      <c r="N67">
        <v>0</v>
      </c>
      <c r="O67">
        <v>2.0484429065743952</v>
      </c>
      <c r="P67">
        <v>0</v>
      </c>
      <c r="Q67">
        <v>0</v>
      </c>
      <c r="R67">
        <v>0.91097260513846667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0.91097260513846667</v>
      </c>
      <c r="AC67">
        <v>8.9027394861533327E-2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J67">
        <v>0</v>
      </c>
      <c r="BK67">
        <v>0</v>
      </c>
      <c r="BL67">
        <v>1.0977278508259876</v>
      </c>
      <c r="BM67">
        <v>9.7727850825987561E-2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1</v>
      </c>
    </row>
    <row r="68" spans="1:84" hidden="1" x14ac:dyDescent="0.25">
      <c r="A68" t="s">
        <v>128</v>
      </c>
      <c r="B68" t="s">
        <v>372</v>
      </c>
      <c r="C68" t="s">
        <v>72</v>
      </c>
      <c r="D68" s="12">
        <v>46233</v>
      </c>
      <c r="E68" t="s">
        <v>501</v>
      </c>
      <c r="F68" t="s">
        <v>501</v>
      </c>
      <c r="G68" t="s">
        <v>501</v>
      </c>
      <c r="H68" t="s">
        <v>75</v>
      </c>
      <c r="I68">
        <v>20</v>
      </c>
      <c r="J68">
        <v>3.1779578349000128</v>
      </c>
      <c r="K68">
        <v>46233</v>
      </c>
      <c r="L68" t="s">
        <v>233</v>
      </c>
      <c r="M68">
        <v>2.8499999999999996</v>
      </c>
      <c r="N68">
        <v>2.8499999999999996</v>
      </c>
      <c r="O68">
        <v>3.8062283737024214</v>
      </c>
      <c r="P68">
        <v>0.89680233283827326</v>
      </c>
      <c r="Q68">
        <v>0.89680233283827326</v>
      </c>
      <c r="R68">
        <v>1.1976963104742313</v>
      </c>
      <c r="S68">
        <v>0.19769631047423131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0.10319766716172674</v>
      </c>
      <c r="AC68">
        <v>0</v>
      </c>
      <c r="AD68">
        <v>0</v>
      </c>
      <c r="AE68">
        <v>0</v>
      </c>
      <c r="AF68">
        <v>0</v>
      </c>
      <c r="AG68">
        <v>0.89680233283827326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1.1150729245263205</v>
      </c>
      <c r="AN68">
        <v>1.1150729245263205</v>
      </c>
      <c r="AO68">
        <v>1.3355187276148848</v>
      </c>
      <c r="AP68">
        <v>0.22044580308856432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0.11507292452632045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0.74877272727272737</v>
      </c>
      <c r="BK68">
        <v>0.74877272727272737</v>
      </c>
      <c r="BL68">
        <v>0.83493619480554904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0.16506380519445096</v>
      </c>
      <c r="BX68">
        <v>0</v>
      </c>
      <c r="BY68">
        <v>0</v>
      </c>
      <c r="BZ68">
        <v>0</v>
      </c>
      <c r="CA68">
        <v>0.74877272727272737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 hidden="1" x14ac:dyDescent="0.25">
      <c r="A69" t="s">
        <v>128</v>
      </c>
      <c r="B69" t="s">
        <v>372</v>
      </c>
      <c r="C69" t="s">
        <v>72</v>
      </c>
      <c r="D69" s="12">
        <v>46233</v>
      </c>
      <c r="E69" t="s">
        <v>501</v>
      </c>
      <c r="F69" t="s">
        <v>501</v>
      </c>
      <c r="G69" t="s">
        <v>501</v>
      </c>
      <c r="H69" t="s">
        <v>74</v>
      </c>
      <c r="I69">
        <v>20</v>
      </c>
      <c r="J69">
        <v>0</v>
      </c>
      <c r="K69">
        <v>46233</v>
      </c>
      <c r="L69" t="s">
        <v>234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F69">
        <v>0</v>
      </c>
    </row>
    <row r="70" spans="1:84" hidden="1" x14ac:dyDescent="0.25">
      <c r="A70" t="s">
        <v>128</v>
      </c>
      <c r="B70" t="s">
        <v>372</v>
      </c>
      <c r="C70" t="s">
        <v>109</v>
      </c>
      <c r="D70" s="12">
        <v>46226</v>
      </c>
      <c r="E70" t="s">
        <v>134</v>
      </c>
      <c r="F70" t="s">
        <v>134</v>
      </c>
      <c r="G70" t="s">
        <v>134</v>
      </c>
      <c r="J70">
        <v>10.752377986437555</v>
      </c>
      <c r="M70">
        <v>6.6499999999999995</v>
      </c>
      <c r="N70">
        <v>6.6499999999999995</v>
      </c>
      <c r="O70">
        <v>8.9862046985977049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2.741516685299026E-2</v>
      </c>
      <c r="AB70">
        <v>0.27661819639566004</v>
      </c>
      <c r="AC70">
        <v>0.13232912935390764</v>
      </c>
      <c r="AD70">
        <v>0</v>
      </c>
      <c r="AE70">
        <v>3.192972483328721E-2</v>
      </c>
      <c r="AF70">
        <v>0</v>
      </c>
      <c r="AG70">
        <v>0.55912294941714502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84" hidden="1" x14ac:dyDescent="0.25">
      <c r="A71" t="s">
        <v>128</v>
      </c>
      <c r="B71" t="s">
        <v>372</v>
      </c>
      <c r="C71" t="s">
        <v>72</v>
      </c>
      <c r="D71" s="12">
        <v>46227</v>
      </c>
      <c r="E71" t="s">
        <v>501</v>
      </c>
      <c r="F71" t="s">
        <v>501</v>
      </c>
      <c r="G71" t="s">
        <v>501</v>
      </c>
      <c r="H71" t="s">
        <v>74</v>
      </c>
      <c r="I71">
        <v>20</v>
      </c>
      <c r="J71">
        <v>0</v>
      </c>
      <c r="K71">
        <v>46227</v>
      </c>
      <c r="L71" t="s">
        <v>225</v>
      </c>
      <c r="M71">
        <v>0.95</v>
      </c>
      <c r="N71">
        <v>0.95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F71">
        <v>0</v>
      </c>
    </row>
    <row r="72" spans="1:84" hidden="1" x14ac:dyDescent="0.25">
      <c r="A72" t="s">
        <v>128</v>
      </c>
      <c r="B72" t="s">
        <v>372</v>
      </c>
      <c r="C72" t="s">
        <v>109</v>
      </c>
      <c r="D72" s="12">
        <v>46233</v>
      </c>
      <c r="E72" t="s">
        <v>133</v>
      </c>
      <c r="F72" t="s">
        <v>133</v>
      </c>
      <c r="G72" t="s">
        <v>133</v>
      </c>
      <c r="J72">
        <v>26.089357948327105</v>
      </c>
      <c r="M72">
        <v>26.599999999999998</v>
      </c>
      <c r="N72">
        <v>26.599999999999998</v>
      </c>
      <c r="O72">
        <v>28.96875</v>
      </c>
      <c r="S72">
        <v>6.3848934251707484E-2</v>
      </c>
      <c r="T72">
        <v>0</v>
      </c>
      <c r="U72">
        <v>0</v>
      </c>
      <c r="V72">
        <v>0</v>
      </c>
      <c r="W72">
        <v>0</v>
      </c>
      <c r="X72">
        <v>0</v>
      </c>
      <c r="Y72">
        <v>4.6517601305658567E-2</v>
      </c>
      <c r="Z72">
        <v>0</v>
      </c>
      <c r="AA72">
        <v>6.2285932954674059E-3</v>
      </c>
      <c r="AB72">
        <v>3.3173384389227387E-2</v>
      </c>
      <c r="AC72">
        <v>0</v>
      </c>
      <c r="AD72">
        <v>0</v>
      </c>
      <c r="AE72">
        <v>0</v>
      </c>
      <c r="AF72">
        <v>0</v>
      </c>
      <c r="AG72">
        <v>0.96682661561077265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84" hidden="1" x14ac:dyDescent="0.25">
      <c r="A73" t="s">
        <v>128</v>
      </c>
      <c r="B73" t="s">
        <v>372</v>
      </c>
      <c r="C73" t="s">
        <v>72</v>
      </c>
      <c r="D73" s="12">
        <v>46227</v>
      </c>
      <c r="E73" t="s">
        <v>501</v>
      </c>
      <c r="F73" t="s">
        <v>501</v>
      </c>
      <c r="G73" t="s">
        <v>501</v>
      </c>
      <c r="H73" t="s">
        <v>73</v>
      </c>
      <c r="I73">
        <v>20</v>
      </c>
      <c r="J73">
        <v>3.5876164620550925</v>
      </c>
      <c r="K73">
        <v>46227</v>
      </c>
      <c r="L73" t="s">
        <v>226</v>
      </c>
      <c r="M73">
        <v>10.45</v>
      </c>
      <c r="N73">
        <v>10.45</v>
      </c>
      <c r="O73">
        <v>3.7647058823529425</v>
      </c>
      <c r="P73">
        <v>2.9127974270733308</v>
      </c>
      <c r="Q73">
        <v>2.9127974270733308</v>
      </c>
      <c r="R73">
        <v>1.0493613021823431</v>
      </c>
      <c r="S73">
        <v>0</v>
      </c>
      <c r="T73">
        <v>0</v>
      </c>
      <c r="U73">
        <v>1.6627974270733308</v>
      </c>
      <c r="V73">
        <v>0</v>
      </c>
      <c r="W73">
        <v>0</v>
      </c>
      <c r="X73">
        <v>0</v>
      </c>
      <c r="Y73">
        <v>4.9361302182343136E-2</v>
      </c>
      <c r="Z73">
        <v>0</v>
      </c>
      <c r="AA73">
        <v>0.20063869781765686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0.34331258010096583</v>
      </c>
      <c r="AN73">
        <v>0.34331258010096583</v>
      </c>
      <c r="AO73">
        <v>0.36025893611032944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0.63974106388967056</v>
      </c>
      <c r="BA73">
        <v>0</v>
      </c>
      <c r="BB73">
        <v>0</v>
      </c>
      <c r="BC73">
        <v>0</v>
      </c>
      <c r="BD73">
        <v>0.34331258010096583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2.7757812499999988</v>
      </c>
      <c r="BK73">
        <v>2.7757812499999988</v>
      </c>
      <c r="BL73">
        <v>0.95296062273338367</v>
      </c>
      <c r="CC73">
        <v>0</v>
      </c>
      <c r="CD73">
        <v>0</v>
      </c>
      <c r="CE73">
        <v>0</v>
      </c>
    </row>
    <row r="74" spans="1:84" hidden="1" x14ac:dyDescent="0.25">
      <c r="A74" t="s">
        <v>128</v>
      </c>
      <c r="B74" t="s">
        <v>372</v>
      </c>
      <c r="C74" t="s">
        <v>109</v>
      </c>
      <c r="D74" s="12">
        <v>46233</v>
      </c>
      <c r="E74" t="s">
        <v>501</v>
      </c>
      <c r="F74" t="s">
        <v>501</v>
      </c>
      <c r="G74" t="s">
        <v>501</v>
      </c>
      <c r="J74">
        <v>6.7655742969551058</v>
      </c>
      <c r="M74">
        <v>6.6499999999999995</v>
      </c>
      <c r="N74">
        <v>6.6499999999999995</v>
      </c>
      <c r="O74">
        <v>8.5121107266435985</v>
      </c>
      <c r="S74">
        <v>0.22675870878160972</v>
      </c>
      <c r="T74">
        <v>0</v>
      </c>
      <c r="U74">
        <v>0</v>
      </c>
      <c r="V74">
        <v>0</v>
      </c>
      <c r="W74">
        <v>0</v>
      </c>
      <c r="X74">
        <v>0.1011770098921151</v>
      </c>
      <c r="Y74">
        <v>3.1391797447334446E-2</v>
      </c>
      <c r="Z74">
        <v>0</v>
      </c>
      <c r="AA74">
        <v>0</v>
      </c>
      <c r="AB74">
        <v>4.8474500538352373E-2</v>
      </c>
      <c r="AC74">
        <v>0</v>
      </c>
      <c r="AD74">
        <v>0</v>
      </c>
      <c r="AE74">
        <v>0</v>
      </c>
      <c r="AF74">
        <v>0</v>
      </c>
      <c r="AG74">
        <v>0.42125027010384947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84" hidden="1" x14ac:dyDescent="0.25">
      <c r="A75" t="s">
        <v>128</v>
      </c>
      <c r="B75" t="s">
        <v>372</v>
      </c>
      <c r="C75" t="s">
        <v>72</v>
      </c>
      <c r="D75" s="12">
        <v>46226</v>
      </c>
      <c r="E75" t="s">
        <v>501</v>
      </c>
      <c r="F75" t="s">
        <v>501</v>
      </c>
      <c r="G75" t="s">
        <v>501</v>
      </c>
      <c r="H75" t="s">
        <v>75</v>
      </c>
      <c r="I75">
        <v>20</v>
      </c>
      <c r="J75">
        <v>3.1779578349000133</v>
      </c>
      <c r="K75">
        <v>46226</v>
      </c>
      <c r="L75" t="s">
        <v>227</v>
      </c>
      <c r="M75">
        <v>2.8499999999999996</v>
      </c>
      <c r="N75">
        <v>2.8499999999999996</v>
      </c>
      <c r="O75">
        <v>3.7508650519031144</v>
      </c>
      <c r="P75">
        <v>0.89680233283827315</v>
      </c>
      <c r="Q75">
        <v>0.89680233283827315</v>
      </c>
      <c r="R75">
        <v>1.1802752732309698</v>
      </c>
      <c r="S75">
        <v>0.18027527323096981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0.10319766716172685</v>
      </c>
      <c r="AC75">
        <v>0</v>
      </c>
      <c r="AD75">
        <v>0</v>
      </c>
      <c r="AE75">
        <v>0</v>
      </c>
      <c r="AF75">
        <v>0</v>
      </c>
      <c r="AG75">
        <v>0.89680233283827315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1.1150729245263207</v>
      </c>
      <c r="AN75">
        <v>1.1150729245263207</v>
      </c>
      <c r="AO75">
        <v>1.3160930006677596</v>
      </c>
      <c r="AP75">
        <v>0.20102007614143891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0.11507292452632067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0.75982472324723238</v>
      </c>
      <c r="BK75">
        <v>0.75982472324723238</v>
      </c>
      <c r="BL75">
        <v>0.84725997627869354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0.15274002372130646</v>
      </c>
      <c r="BX75">
        <v>0</v>
      </c>
      <c r="BY75">
        <v>0</v>
      </c>
      <c r="BZ75">
        <v>0</v>
      </c>
      <c r="CA75">
        <v>0.75982472324723238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hidden="1" x14ac:dyDescent="0.25">
      <c r="A76" t="s">
        <v>128</v>
      </c>
      <c r="B76" t="s">
        <v>372</v>
      </c>
      <c r="C76" t="s">
        <v>72</v>
      </c>
      <c r="D76" s="12">
        <v>46230</v>
      </c>
      <c r="E76" t="s">
        <v>134</v>
      </c>
      <c r="F76" t="s">
        <v>134</v>
      </c>
      <c r="G76" t="s">
        <v>134</v>
      </c>
      <c r="H76" t="s">
        <v>73</v>
      </c>
      <c r="I76">
        <v>10</v>
      </c>
      <c r="J76">
        <v>3.5134887958963268</v>
      </c>
      <c r="K76">
        <v>46230</v>
      </c>
      <c r="L76" t="s">
        <v>217</v>
      </c>
      <c r="M76">
        <v>4.75</v>
      </c>
      <c r="N76">
        <v>4.75</v>
      </c>
      <c r="O76">
        <v>1.703125</v>
      </c>
      <c r="P76">
        <v>1.3519325877879245</v>
      </c>
      <c r="Q76">
        <v>1.3519325877879245</v>
      </c>
      <c r="R76">
        <v>0.48473898706869661</v>
      </c>
      <c r="S76">
        <v>0</v>
      </c>
      <c r="T76">
        <v>0</v>
      </c>
      <c r="U76">
        <v>0.10193258778792447</v>
      </c>
      <c r="V76">
        <v>0</v>
      </c>
      <c r="W76">
        <v>0</v>
      </c>
      <c r="X76">
        <v>0</v>
      </c>
      <c r="Y76">
        <v>0</v>
      </c>
      <c r="Z76">
        <v>0</v>
      </c>
      <c r="AA76">
        <v>0.25</v>
      </c>
      <c r="AB76">
        <v>0</v>
      </c>
      <c r="AC76">
        <v>0</v>
      </c>
      <c r="AD76">
        <v>0</v>
      </c>
      <c r="AE76">
        <v>0.51526101293130333</v>
      </c>
      <c r="AF76">
        <v>0</v>
      </c>
      <c r="AG76">
        <v>0.48473898706869661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0.73968185176764778</v>
      </c>
      <c r="AN76">
        <v>0.73968185176764778</v>
      </c>
      <c r="AO76">
        <v>0.35855263157894735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0.26031814823235222</v>
      </c>
      <c r="BA76">
        <v>0</v>
      </c>
      <c r="BB76">
        <v>0.38112922018870043</v>
      </c>
      <c r="BC76">
        <v>0</v>
      </c>
      <c r="BD76">
        <v>0.35855263157894735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2.7889908256880735</v>
      </c>
      <c r="BK76">
        <v>2.7889908256880735</v>
      </c>
      <c r="BL76">
        <v>2.0629658985079349</v>
      </c>
      <c r="CC76">
        <v>0</v>
      </c>
      <c r="CD76">
        <v>0</v>
      </c>
      <c r="CE76">
        <v>0</v>
      </c>
    </row>
    <row r="77" spans="1:84" hidden="1" x14ac:dyDescent="0.25">
      <c r="A77" t="s">
        <v>128</v>
      </c>
      <c r="B77" t="s">
        <v>372</v>
      </c>
      <c r="C77" t="s">
        <v>109</v>
      </c>
      <c r="D77" s="12">
        <v>46233</v>
      </c>
      <c r="E77" t="s">
        <v>134</v>
      </c>
      <c r="F77" t="s">
        <v>134</v>
      </c>
      <c r="G77" t="s">
        <v>134</v>
      </c>
      <c r="J77">
        <v>10.409296139308854</v>
      </c>
      <c r="M77">
        <v>6.6499999999999995</v>
      </c>
      <c r="N77">
        <v>6.6499999999999995</v>
      </c>
      <c r="O77">
        <v>8.646637110726644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2.1330304367361792E-2</v>
      </c>
      <c r="Z77">
        <v>0</v>
      </c>
      <c r="AA77">
        <v>1.9695596925506927E-2</v>
      </c>
      <c r="AB77">
        <v>0.21150848071759154</v>
      </c>
      <c r="AC77">
        <v>0.19066538764218982</v>
      </c>
      <c r="AD77">
        <v>0</v>
      </c>
      <c r="AE77">
        <v>0</v>
      </c>
      <c r="AF77">
        <v>0</v>
      </c>
      <c r="AG77">
        <v>0.59782613164021869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84" hidden="1" x14ac:dyDescent="0.25">
      <c r="A78" t="s">
        <v>128</v>
      </c>
      <c r="B78" t="s">
        <v>372</v>
      </c>
      <c r="C78" t="s">
        <v>109</v>
      </c>
      <c r="D78" s="12">
        <v>46234</v>
      </c>
      <c r="E78" t="s">
        <v>133</v>
      </c>
      <c r="F78" t="s">
        <v>133</v>
      </c>
      <c r="G78" t="s">
        <v>133</v>
      </c>
      <c r="J78">
        <v>26.221255612373252</v>
      </c>
      <c r="M78">
        <v>26.599999999999998</v>
      </c>
      <c r="N78">
        <v>26.599999999999998</v>
      </c>
      <c r="O78">
        <v>29.5</v>
      </c>
      <c r="S78">
        <v>0.10724008333820666</v>
      </c>
      <c r="T78">
        <v>0</v>
      </c>
      <c r="U78">
        <v>1.6173651041872839E-2</v>
      </c>
      <c r="V78">
        <v>0</v>
      </c>
      <c r="W78">
        <v>0</v>
      </c>
      <c r="X78">
        <v>0</v>
      </c>
      <c r="Y78">
        <v>1.7801388210530962E-2</v>
      </c>
      <c r="Z78">
        <v>0</v>
      </c>
      <c r="AA78">
        <v>2.2440060481621952E-2</v>
      </c>
      <c r="AB78">
        <v>4.1970925388384407E-2</v>
      </c>
      <c r="AC78">
        <v>0</v>
      </c>
      <c r="AD78">
        <v>0</v>
      </c>
      <c r="AE78">
        <v>0</v>
      </c>
      <c r="AF78">
        <v>0</v>
      </c>
      <c r="AG78">
        <v>0.95802907461161557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84" hidden="1" x14ac:dyDescent="0.25">
      <c r="A79" t="s">
        <v>128</v>
      </c>
      <c r="B79" t="s">
        <v>372</v>
      </c>
      <c r="C79" t="s">
        <v>72</v>
      </c>
      <c r="D79" s="12">
        <v>46226</v>
      </c>
      <c r="E79" t="s">
        <v>501</v>
      </c>
      <c r="F79" t="s">
        <v>501</v>
      </c>
      <c r="G79" t="s">
        <v>501</v>
      </c>
      <c r="H79" t="s">
        <v>73</v>
      </c>
      <c r="I79">
        <v>20</v>
      </c>
      <c r="J79">
        <v>3.5876164620550925</v>
      </c>
      <c r="K79">
        <v>46226</v>
      </c>
      <c r="L79" t="s">
        <v>229</v>
      </c>
      <c r="M79">
        <v>8.5499999999999989</v>
      </c>
      <c r="N79">
        <v>8.5499999999999989</v>
      </c>
      <c r="O79">
        <v>3.764705882352942</v>
      </c>
      <c r="P79">
        <v>2.3831978948781796</v>
      </c>
      <c r="Q79">
        <v>2.3831978948781796</v>
      </c>
      <c r="R79">
        <v>1.0493613021823429</v>
      </c>
      <c r="S79">
        <v>0</v>
      </c>
      <c r="T79">
        <v>0</v>
      </c>
      <c r="U79">
        <v>1.1331978948781796</v>
      </c>
      <c r="V79">
        <v>0</v>
      </c>
      <c r="W79">
        <v>0</v>
      </c>
      <c r="X79">
        <v>0</v>
      </c>
      <c r="Y79">
        <v>4.9361302182342914E-2</v>
      </c>
      <c r="Z79">
        <v>0</v>
      </c>
      <c r="AA79">
        <v>0.20063869781765709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0.41960426456784711</v>
      </c>
      <c r="AN79">
        <v>0.41960426456784711</v>
      </c>
      <c r="AO79">
        <v>0.44031647746818042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0.55968352253181952</v>
      </c>
      <c r="BA79">
        <v>0</v>
      </c>
      <c r="BB79">
        <v>0</v>
      </c>
      <c r="BC79">
        <v>0</v>
      </c>
      <c r="BD79">
        <v>0.41960426456784711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2.271093749999999</v>
      </c>
      <c r="BK79">
        <v>2.271093749999999</v>
      </c>
      <c r="BL79">
        <v>0.95296062273338378</v>
      </c>
      <c r="CC79">
        <v>0</v>
      </c>
      <c r="CD79">
        <v>0</v>
      </c>
      <c r="CE79">
        <v>0</v>
      </c>
    </row>
    <row r="80" spans="1:84" hidden="1" x14ac:dyDescent="0.25">
      <c r="A80" t="s">
        <v>128</v>
      </c>
      <c r="B80" t="s">
        <v>372</v>
      </c>
      <c r="C80" t="s">
        <v>109</v>
      </c>
      <c r="D80" s="12">
        <v>46234</v>
      </c>
      <c r="E80" t="s">
        <v>501</v>
      </c>
      <c r="F80" t="s">
        <v>501</v>
      </c>
      <c r="G80" t="s">
        <v>501</v>
      </c>
      <c r="J80">
        <v>6.7655742969551058</v>
      </c>
      <c r="M80">
        <v>12.349999999999998</v>
      </c>
      <c r="N80">
        <v>12.349999999999998</v>
      </c>
      <c r="O80">
        <v>7.5778546712802752</v>
      </c>
      <c r="S80">
        <v>8.5191204666092743E-2</v>
      </c>
      <c r="T80">
        <v>0</v>
      </c>
      <c r="U80">
        <v>0.60090677361430056</v>
      </c>
      <c r="V80">
        <v>0</v>
      </c>
      <c r="W80">
        <v>0</v>
      </c>
      <c r="X80">
        <v>0</v>
      </c>
      <c r="Y80">
        <v>3.4869611854796354E-2</v>
      </c>
      <c r="Z80">
        <v>0</v>
      </c>
      <c r="AA80">
        <v>9.7699195484653209E-2</v>
      </c>
      <c r="AB80">
        <v>4.8474500538352373E-2</v>
      </c>
      <c r="AC80">
        <v>0</v>
      </c>
      <c r="AD80">
        <v>0</v>
      </c>
      <c r="AE80">
        <v>0</v>
      </c>
      <c r="AF80">
        <v>0</v>
      </c>
      <c r="AG80">
        <v>0.95152549946164766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84" hidden="1" x14ac:dyDescent="0.25">
      <c r="A81" t="s">
        <v>128</v>
      </c>
      <c r="B81" t="s">
        <v>372</v>
      </c>
      <c r="C81" t="s">
        <v>72</v>
      </c>
      <c r="D81" s="12">
        <v>46225</v>
      </c>
      <c r="E81" t="s">
        <v>501</v>
      </c>
      <c r="F81" t="s">
        <v>501</v>
      </c>
      <c r="G81" t="s">
        <v>501</v>
      </c>
      <c r="H81" t="s">
        <v>75</v>
      </c>
      <c r="I81">
        <v>20</v>
      </c>
      <c r="J81">
        <v>3.1779578349000128</v>
      </c>
      <c r="K81">
        <v>46225</v>
      </c>
      <c r="L81" t="s">
        <v>212</v>
      </c>
      <c r="M81">
        <v>2.8499999999999996</v>
      </c>
      <c r="N81">
        <v>2.8499999999999996</v>
      </c>
      <c r="O81">
        <v>3.7508650519031144</v>
      </c>
      <c r="P81">
        <v>0.89680233283827326</v>
      </c>
      <c r="Q81">
        <v>0.89680233283827326</v>
      </c>
      <c r="R81">
        <v>1.18027527323097</v>
      </c>
      <c r="S81">
        <v>0.18027527323097003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0.10319766716172674</v>
      </c>
      <c r="AC81">
        <v>0</v>
      </c>
      <c r="AD81">
        <v>0</v>
      </c>
      <c r="AE81">
        <v>0</v>
      </c>
      <c r="AF81">
        <v>0</v>
      </c>
      <c r="AG81">
        <v>0.89680233283827326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1.1150729245263205</v>
      </c>
      <c r="AN81">
        <v>1.1150729245263205</v>
      </c>
      <c r="AO81">
        <v>1.3160930006677596</v>
      </c>
      <c r="AP81">
        <v>0.20102007614143913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0.11507292452632045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0.75982472324723238</v>
      </c>
      <c r="BK81">
        <v>0.75982472324723238</v>
      </c>
      <c r="BL81">
        <v>0.84725997627869343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0.15274002372130657</v>
      </c>
      <c r="BX81">
        <v>0</v>
      </c>
      <c r="BY81">
        <v>0</v>
      </c>
      <c r="BZ81">
        <v>0</v>
      </c>
      <c r="CA81">
        <v>0.75982472324723238</v>
      </c>
      <c r="CB81">
        <v>0</v>
      </c>
      <c r="CC81">
        <v>0</v>
      </c>
      <c r="CD81">
        <v>0</v>
      </c>
      <c r="CE81">
        <v>0</v>
      </c>
      <c r="CF81">
        <v>0</v>
      </c>
    </row>
    <row r="82" spans="1:84" hidden="1" x14ac:dyDescent="0.25">
      <c r="A82" t="s">
        <v>128</v>
      </c>
      <c r="B82" t="s">
        <v>372</v>
      </c>
      <c r="C82" t="s">
        <v>109</v>
      </c>
      <c r="D82" s="12">
        <v>46234</v>
      </c>
      <c r="E82" t="s">
        <v>134</v>
      </c>
      <c r="F82" t="s">
        <v>134</v>
      </c>
      <c r="G82" t="s">
        <v>134</v>
      </c>
      <c r="J82">
        <v>8.090393534017279</v>
      </c>
      <c r="M82">
        <v>6.6499999999999995</v>
      </c>
      <c r="N82">
        <v>6.6499999999999995</v>
      </c>
      <c r="O82">
        <v>6.7054606401384085</v>
      </c>
      <c r="S82">
        <v>0</v>
      </c>
      <c r="T82">
        <v>0</v>
      </c>
      <c r="U82">
        <v>4.8463604542940296E-3</v>
      </c>
      <c r="V82">
        <v>0</v>
      </c>
      <c r="W82">
        <v>0</v>
      </c>
      <c r="X82">
        <v>0</v>
      </c>
      <c r="Y82">
        <v>5.0080802286865227E-2</v>
      </c>
      <c r="Z82">
        <v>0</v>
      </c>
      <c r="AA82">
        <v>1.940385318505139E-2</v>
      </c>
      <c r="AB82">
        <v>0.1163325945308985</v>
      </c>
      <c r="AC82">
        <v>0.13603593316293217</v>
      </c>
      <c r="AD82">
        <v>0</v>
      </c>
      <c r="AE82">
        <v>8.52272582198048E-2</v>
      </c>
      <c r="AF82">
        <v>0</v>
      </c>
      <c r="AG82">
        <v>0.66240421408636452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84" hidden="1" x14ac:dyDescent="0.25">
      <c r="A83" t="s">
        <v>128</v>
      </c>
      <c r="B83" t="s">
        <v>372</v>
      </c>
      <c r="C83" t="s">
        <v>72</v>
      </c>
      <c r="D83" s="12">
        <v>46225</v>
      </c>
      <c r="E83" t="s">
        <v>501</v>
      </c>
      <c r="F83" t="s">
        <v>501</v>
      </c>
      <c r="G83" t="s">
        <v>501</v>
      </c>
      <c r="H83" t="s">
        <v>74</v>
      </c>
      <c r="I83">
        <v>20</v>
      </c>
      <c r="J83">
        <v>0</v>
      </c>
      <c r="K83">
        <v>46225</v>
      </c>
      <c r="L83" t="s">
        <v>160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F83">
        <v>0</v>
      </c>
    </row>
    <row r="84" spans="1:84" hidden="1" x14ac:dyDescent="0.25">
      <c r="A84" t="s">
        <v>128</v>
      </c>
      <c r="B84" t="s">
        <v>372</v>
      </c>
      <c r="C84" t="s">
        <v>72</v>
      </c>
      <c r="D84" s="12">
        <v>46225</v>
      </c>
      <c r="E84" t="s">
        <v>501</v>
      </c>
      <c r="F84" t="s">
        <v>501</v>
      </c>
      <c r="G84" t="s">
        <v>501</v>
      </c>
      <c r="H84" t="s">
        <v>73</v>
      </c>
      <c r="I84">
        <v>20</v>
      </c>
      <c r="J84">
        <v>3.587616462055093</v>
      </c>
      <c r="K84">
        <v>46225</v>
      </c>
      <c r="L84" t="s">
        <v>163</v>
      </c>
      <c r="M84">
        <v>9.5</v>
      </c>
      <c r="N84">
        <v>9.5</v>
      </c>
      <c r="O84">
        <v>3.7647058823529398</v>
      </c>
      <c r="P84">
        <v>2.6479976609757552</v>
      </c>
      <c r="Q84">
        <v>2.6479976609757552</v>
      </c>
      <c r="R84">
        <v>1.0493613021823422</v>
      </c>
      <c r="S84">
        <v>0</v>
      </c>
      <c r="T84">
        <v>0</v>
      </c>
      <c r="U84">
        <v>1.3979976609757552</v>
      </c>
      <c r="V84">
        <v>0</v>
      </c>
      <c r="W84">
        <v>0</v>
      </c>
      <c r="X84">
        <v>0</v>
      </c>
      <c r="Y84">
        <v>4.9361302182342248E-2</v>
      </c>
      <c r="Z84">
        <v>0</v>
      </c>
      <c r="AA84">
        <v>0.20063869781765775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0.37764383811106245</v>
      </c>
      <c r="AN84">
        <v>0.37764383811106245</v>
      </c>
      <c r="AO84">
        <v>0.39628482972136209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0.60371517027863786</v>
      </c>
      <c r="BA84">
        <v>0</v>
      </c>
      <c r="BB84">
        <v>0</v>
      </c>
      <c r="BC84">
        <v>0</v>
      </c>
      <c r="BD84">
        <v>0.37764383811106245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2.5234375000000009</v>
      </c>
      <c r="BK84">
        <v>2.5234375000000009</v>
      </c>
      <c r="BL84">
        <v>0.95296062273338444</v>
      </c>
      <c r="CC84">
        <v>0</v>
      </c>
      <c r="CD84">
        <v>0</v>
      </c>
      <c r="CE84">
        <v>0</v>
      </c>
    </row>
    <row r="85" spans="1:84" hidden="1" x14ac:dyDescent="0.25">
      <c r="A85" t="s">
        <v>128</v>
      </c>
      <c r="B85" t="s">
        <v>372</v>
      </c>
      <c r="C85" t="s">
        <v>109</v>
      </c>
      <c r="D85" s="12">
        <v>46232</v>
      </c>
      <c r="E85" t="s">
        <v>134</v>
      </c>
      <c r="F85" t="s">
        <v>134</v>
      </c>
      <c r="G85" t="s">
        <v>134</v>
      </c>
      <c r="J85">
        <v>9.3552495005399567</v>
      </c>
      <c r="M85">
        <v>8.5500000000000007</v>
      </c>
      <c r="N85">
        <v>8.5500000000000007</v>
      </c>
      <c r="O85">
        <v>7.774762110726642</v>
      </c>
      <c r="S85">
        <v>0</v>
      </c>
      <c r="T85">
        <v>0</v>
      </c>
      <c r="U85">
        <v>0.20728564889381221</v>
      </c>
      <c r="V85">
        <v>0</v>
      </c>
      <c r="W85">
        <v>0</v>
      </c>
      <c r="X85">
        <v>0</v>
      </c>
      <c r="Y85">
        <v>3.1677388141404847E-2</v>
      </c>
      <c r="Z85">
        <v>0</v>
      </c>
      <c r="AA85">
        <v>2.8412747061399356E-2</v>
      </c>
      <c r="AB85">
        <v>0.15283177767543041</v>
      </c>
      <c r="AC85">
        <v>0.20061862158708624</v>
      </c>
      <c r="AD85">
        <v>0</v>
      </c>
      <c r="AE85">
        <v>0</v>
      </c>
      <c r="AF85">
        <v>0</v>
      </c>
      <c r="AG85">
        <v>0.64654960073748347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84" hidden="1" x14ac:dyDescent="0.25">
      <c r="A86" t="s">
        <v>128</v>
      </c>
      <c r="B86" t="s">
        <v>372</v>
      </c>
      <c r="C86" t="s">
        <v>109</v>
      </c>
      <c r="D86" s="12">
        <v>46235</v>
      </c>
      <c r="E86" t="s">
        <v>133</v>
      </c>
      <c r="F86" t="s">
        <v>133</v>
      </c>
      <c r="G86" t="s">
        <v>133</v>
      </c>
      <c r="J86">
        <v>26.221255612373248</v>
      </c>
      <c r="M86">
        <v>24.7</v>
      </c>
      <c r="N86">
        <v>24.7</v>
      </c>
      <c r="O86">
        <v>28.0625</v>
      </c>
      <c r="S86">
        <v>5.2418147224602987E-2</v>
      </c>
      <c r="T86">
        <v>0</v>
      </c>
      <c r="U86">
        <v>0</v>
      </c>
      <c r="V86">
        <v>0</v>
      </c>
      <c r="W86">
        <v>0</v>
      </c>
      <c r="X86">
        <v>0</v>
      </c>
      <c r="Y86">
        <v>1.7801388210530966E-2</v>
      </c>
      <c r="Z86">
        <v>0</v>
      </c>
      <c r="AA86">
        <v>2.3835624397218948E-3</v>
      </c>
      <c r="AB86">
        <v>7.8201074472157212E-2</v>
      </c>
      <c r="AC86">
        <v>0</v>
      </c>
      <c r="AD86">
        <v>0</v>
      </c>
      <c r="AE86">
        <v>0</v>
      </c>
      <c r="AF86">
        <v>0</v>
      </c>
      <c r="AG86">
        <v>0.92179892552784282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84" hidden="1" x14ac:dyDescent="0.25">
      <c r="A87" t="s">
        <v>128</v>
      </c>
      <c r="B87" t="s">
        <v>372</v>
      </c>
      <c r="C87" t="s">
        <v>72</v>
      </c>
      <c r="D87" s="12">
        <v>46224</v>
      </c>
      <c r="E87" t="s">
        <v>501</v>
      </c>
      <c r="F87" t="s">
        <v>501</v>
      </c>
      <c r="G87" t="s">
        <v>501</v>
      </c>
      <c r="H87" t="s">
        <v>75</v>
      </c>
      <c r="I87">
        <v>20</v>
      </c>
      <c r="J87">
        <v>3.2276134260703255</v>
      </c>
      <c r="K87">
        <v>46224</v>
      </c>
      <c r="L87" t="s">
        <v>166</v>
      </c>
      <c r="M87">
        <v>2.8499999999999996</v>
      </c>
      <c r="N87">
        <v>2.8499999999999996</v>
      </c>
      <c r="O87">
        <v>3.5239742956005928</v>
      </c>
      <c r="P87">
        <v>0.88300537387153066</v>
      </c>
      <c r="Q87">
        <v>0.88300537387153066</v>
      </c>
      <c r="R87">
        <v>1.0918204352282335</v>
      </c>
      <c r="S87">
        <v>9.1820435228233466E-2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0.11699462612846934</v>
      </c>
      <c r="AC87">
        <v>0</v>
      </c>
      <c r="AD87">
        <v>0</v>
      </c>
      <c r="AE87">
        <v>0</v>
      </c>
      <c r="AF87">
        <v>0</v>
      </c>
      <c r="AG87">
        <v>0.88300537387153066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1.1324959389720441</v>
      </c>
      <c r="AN87">
        <v>1.1324959389720441</v>
      </c>
      <c r="AO87">
        <v>1.2364822089826644</v>
      </c>
      <c r="AP87">
        <v>0.10398627001062022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0.13249593897204415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0.80874596717632208</v>
      </c>
      <c r="BK87">
        <v>0.80874596717632208</v>
      </c>
      <c r="BL87">
        <v>0.91590152348720288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8.4098476512797116E-2</v>
      </c>
      <c r="BX87">
        <v>0</v>
      </c>
      <c r="BY87">
        <v>0</v>
      </c>
      <c r="BZ87">
        <v>0</v>
      </c>
      <c r="CA87">
        <v>0.80874596717632208</v>
      </c>
      <c r="CB87">
        <v>0</v>
      </c>
      <c r="CC87">
        <v>0</v>
      </c>
      <c r="CD87">
        <v>0</v>
      </c>
      <c r="CE87">
        <v>0</v>
      </c>
      <c r="CF87">
        <v>0</v>
      </c>
    </row>
    <row r="88" spans="1:84" hidden="1" x14ac:dyDescent="0.25">
      <c r="A88" t="s">
        <v>128</v>
      </c>
      <c r="B88" t="s">
        <v>372</v>
      </c>
      <c r="C88" t="s">
        <v>109</v>
      </c>
      <c r="D88" s="12">
        <v>46235</v>
      </c>
      <c r="E88" t="s">
        <v>134</v>
      </c>
      <c r="F88" t="s">
        <v>134</v>
      </c>
      <c r="G88" t="s">
        <v>134</v>
      </c>
      <c r="J88">
        <v>8.86336106911447</v>
      </c>
      <c r="M88">
        <v>5.7</v>
      </c>
      <c r="N88">
        <v>5.7</v>
      </c>
      <c r="O88">
        <v>7.4238754325259508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0.24261067601707045</v>
      </c>
      <c r="AC88">
        <v>0.11429242704364212</v>
      </c>
      <c r="AD88">
        <v>0</v>
      </c>
      <c r="AE88">
        <v>4.8116124899998419E-2</v>
      </c>
      <c r="AF88">
        <v>0</v>
      </c>
      <c r="AG88">
        <v>0.59498077203928901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84" hidden="1" x14ac:dyDescent="0.25">
      <c r="A89" t="s">
        <v>128</v>
      </c>
      <c r="B89" t="s">
        <v>372</v>
      </c>
      <c r="C89" t="s">
        <v>72</v>
      </c>
      <c r="D89" s="12">
        <v>46224</v>
      </c>
      <c r="E89" t="s">
        <v>501</v>
      </c>
      <c r="F89" t="s">
        <v>501</v>
      </c>
      <c r="G89" t="s">
        <v>501</v>
      </c>
      <c r="H89" t="s">
        <v>74</v>
      </c>
      <c r="I89">
        <v>20</v>
      </c>
      <c r="J89">
        <v>0</v>
      </c>
      <c r="K89">
        <v>46224</v>
      </c>
      <c r="L89" t="s">
        <v>169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F89">
        <v>0</v>
      </c>
    </row>
    <row r="90" spans="1:84" hidden="1" x14ac:dyDescent="0.25">
      <c r="A90" t="s">
        <v>128</v>
      </c>
      <c r="B90" t="s">
        <v>372</v>
      </c>
      <c r="C90" t="s">
        <v>109</v>
      </c>
      <c r="D90" s="12">
        <v>46236</v>
      </c>
      <c r="E90" t="s">
        <v>133</v>
      </c>
      <c r="F90" t="s">
        <v>133</v>
      </c>
      <c r="G90" t="s">
        <v>133</v>
      </c>
      <c r="J90">
        <v>26.168496546754792</v>
      </c>
      <c r="M90">
        <v>32.299999999999997</v>
      </c>
      <c r="N90">
        <v>32.299999999999997</v>
      </c>
      <c r="O90">
        <v>28.125</v>
      </c>
      <c r="S90">
        <v>0</v>
      </c>
      <c r="T90">
        <v>0</v>
      </c>
      <c r="U90">
        <v>1.6206259209295974E-2</v>
      </c>
      <c r="V90">
        <v>0</v>
      </c>
      <c r="W90">
        <v>0</v>
      </c>
      <c r="X90">
        <v>0</v>
      </c>
      <c r="Y90">
        <v>7.4765604120571386E-2</v>
      </c>
      <c r="Z90">
        <v>0</v>
      </c>
      <c r="AA90">
        <v>0.14333672380237991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84" hidden="1" x14ac:dyDescent="0.25">
      <c r="A91" t="s">
        <v>128</v>
      </c>
      <c r="B91" t="s">
        <v>372</v>
      </c>
      <c r="C91" t="s">
        <v>72</v>
      </c>
      <c r="D91" s="12">
        <v>46224</v>
      </c>
      <c r="E91" t="s">
        <v>501</v>
      </c>
      <c r="F91" t="s">
        <v>501</v>
      </c>
      <c r="G91" t="s">
        <v>501</v>
      </c>
      <c r="H91" t="s">
        <v>73</v>
      </c>
      <c r="I91">
        <v>20</v>
      </c>
      <c r="J91">
        <v>3.587616462055093</v>
      </c>
      <c r="K91">
        <v>46224</v>
      </c>
      <c r="L91" t="s">
        <v>172</v>
      </c>
      <c r="M91">
        <v>6.6499999999999995</v>
      </c>
      <c r="N91">
        <v>6.6499999999999995</v>
      </c>
      <c r="O91">
        <v>3.8807773109243686</v>
      </c>
      <c r="P91">
        <v>1.8535983626830284</v>
      </c>
      <c r="Q91">
        <v>1.8535983626830284</v>
      </c>
      <c r="R91">
        <v>1.0817146570626852</v>
      </c>
      <c r="S91">
        <v>0</v>
      </c>
      <c r="T91">
        <v>0</v>
      </c>
      <c r="U91">
        <v>0.60359836268302836</v>
      </c>
      <c r="V91">
        <v>0</v>
      </c>
      <c r="W91">
        <v>0</v>
      </c>
      <c r="X91">
        <v>0</v>
      </c>
      <c r="Y91">
        <v>8.1714657062685214E-2</v>
      </c>
      <c r="Z91">
        <v>0</v>
      </c>
      <c r="AA91">
        <v>0.16828534293731479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0.53949119730151773</v>
      </c>
      <c r="AN91">
        <v>0.53949119730151773</v>
      </c>
      <c r="AO91">
        <v>0.58357553547734875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0.41642446452265125</v>
      </c>
      <c r="BA91">
        <v>0</v>
      </c>
      <c r="BB91">
        <v>0</v>
      </c>
      <c r="BC91">
        <v>0</v>
      </c>
      <c r="BD91">
        <v>0.53949119730151773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1.7135742319664369</v>
      </c>
      <c r="BK91">
        <v>1.7135742319664369</v>
      </c>
      <c r="BL91">
        <v>0.92445821406860185</v>
      </c>
      <c r="CC91">
        <v>0</v>
      </c>
      <c r="CD91">
        <v>0</v>
      </c>
      <c r="CE91">
        <v>0</v>
      </c>
    </row>
    <row r="92" spans="1:84" hidden="1" x14ac:dyDescent="0.25">
      <c r="A92" t="s">
        <v>128</v>
      </c>
      <c r="B92" t="s">
        <v>372</v>
      </c>
      <c r="C92" t="s">
        <v>109</v>
      </c>
      <c r="D92" s="12">
        <v>46236</v>
      </c>
      <c r="E92" t="s">
        <v>501</v>
      </c>
      <c r="F92" t="s">
        <v>501</v>
      </c>
      <c r="G92" t="s">
        <v>501</v>
      </c>
      <c r="J92">
        <v>6.7655742969551058</v>
      </c>
      <c r="M92">
        <v>13.299999999999999</v>
      </c>
      <c r="N92">
        <v>13.299999999999999</v>
      </c>
      <c r="O92">
        <v>7.5778546712802752</v>
      </c>
      <c r="S92">
        <v>8.5191204666092632E-2</v>
      </c>
      <c r="T92">
        <v>0</v>
      </c>
      <c r="U92">
        <v>0.74132353031558418</v>
      </c>
      <c r="V92">
        <v>0</v>
      </c>
      <c r="W92">
        <v>0</v>
      </c>
      <c r="X92">
        <v>0</v>
      </c>
      <c r="Y92">
        <v>3.4869611854796347E-2</v>
      </c>
      <c r="Z92">
        <v>0</v>
      </c>
      <c r="AA92">
        <v>9.7699195484653195E-2</v>
      </c>
      <c r="AB92">
        <v>4.8474500538352429E-2</v>
      </c>
      <c r="AC92">
        <v>0</v>
      </c>
      <c r="AD92">
        <v>0</v>
      </c>
      <c r="AE92">
        <v>0</v>
      </c>
      <c r="AF92">
        <v>0</v>
      </c>
      <c r="AG92">
        <v>0.95152549946164755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84" hidden="1" x14ac:dyDescent="0.25">
      <c r="A93" t="s">
        <v>128</v>
      </c>
      <c r="B93" t="s">
        <v>372</v>
      </c>
      <c r="C93" t="s">
        <v>72</v>
      </c>
      <c r="D93" s="12">
        <v>46223</v>
      </c>
      <c r="E93" t="s">
        <v>501</v>
      </c>
      <c r="F93" t="s">
        <v>501</v>
      </c>
      <c r="G93" t="s">
        <v>501</v>
      </c>
      <c r="H93" t="s">
        <v>75</v>
      </c>
      <c r="I93">
        <v>20</v>
      </c>
      <c r="J93">
        <v>3.1779578349000128</v>
      </c>
      <c r="K93">
        <v>46223</v>
      </c>
      <c r="L93" t="s">
        <v>165</v>
      </c>
      <c r="M93">
        <v>2.8499999999999996</v>
      </c>
      <c r="N93">
        <v>2.8499999999999996</v>
      </c>
      <c r="O93">
        <v>2.8131487889273359</v>
      </c>
      <c r="P93">
        <v>0.89680233283827326</v>
      </c>
      <c r="Q93">
        <v>0.89680233283827326</v>
      </c>
      <c r="R93">
        <v>0.88520645492322747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0.10319766716172674</v>
      </c>
      <c r="AD93">
        <v>0</v>
      </c>
      <c r="AE93">
        <v>1.1595877915045794E-2</v>
      </c>
      <c r="AF93">
        <v>0</v>
      </c>
      <c r="AG93">
        <v>0.88520645492322747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1.1150729245263205</v>
      </c>
      <c r="AN93">
        <v>1.1150729245263205</v>
      </c>
      <c r="AO93">
        <v>0.98706975050081969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0.11507292452632045</v>
      </c>
      <c r="AY93">
        <v>0</v>
      </c>
      <c r="AZ93">
        <v>0</v>
      </c>
      <c r="BA93">
        <v>0</v>
      </c>
      <c r="BB93">
        <v>1.2930249499180313E-2</v>
      </c>
      <c r="BC93">
        <v>0</v>
      </c>
      <c r="BD93">
        <v>0.98706975050081969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1.0130996309963098</v>
      </c>
      <c r="BK93">
        <v>1.0130996309963098</v>
      </c>
      <c r="BL93">
        <v>1.1296799683715912</v>
      </c>
      <c r="BM93">
        <v>0.1165803373752814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1.3099630996309841E-2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hidden="1" x14ac:dyDescent="0.25">
      <c r="A94" t="s">
        <v>128</v>
      </c>
      <c r="B94" t="s">
        <v>372</v>
      </c>
      <c r="C94" t="s">
        <v>72</v>
      </c>
      <c r="D94" s="12">
        <v>46223</v>
      </c>
      <c r="E94" t="s">
        <v>501</v>
      </c>
      <c r="F94" t="s">
        <v>501</v>
      </c>
      <c r="G94" t="s">
        <v>501</v>
      </c>
      <c r="H94" t="s">
        <v>74</v>
      </c>
      <c r="I94">
        <v>20</v>
      </c>
      <c r="J94">
        <v>0</v>
      </c>
      <c r="K94">
        <v>46223</v>
      </c>
      <c r="L94" t="s">
        <v>157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F94">
        <v>0</v>
      </c>
    </row>
    <row r="95" spans="1:84" hidden="1" x14ac:dyDescent="0.25">
      <c r="A95" t="s">
        <v>128</v>
      </c>
      <c r="B95" t="s">
        <v>372</v>
      </c>
      <c r="C95" t="s">
        <v>109</v>
      </c>
      <c r="D95" s="12">
        <v>46236</v>
      </c>
      <c r="E95" t="s">
        <v>134</v>
      </c>
      <c r="F95" t="s">
        <v>134</v>
      </c>
      <c r="G95" t="s">
        <v>134</v>
      </c>
      <c r="J95">
        <v>7.0363468952483785</v>
      </c>
      <c r="M95">
        <v>5.7</v>
      </c>
      <c r="N95">
        <v>5.7</v>
      </c>
      <c r="O95">
        <v>5.9307958477508649</v>
      </c>
      <c r="S95">
        <v>0</v>
      </c>
      <c r="T95">
        <v>0</v>
      </c>
      <c r="U95">
        <v>5.0898429321533406E-2</v>
      </c>
      <c r="V95">
        <v>0</v>
      </c>
      <c r="W95">
        <v>0</v>
      </c>
      <c r="X95">
        <v>0</v>
      </c>
      <c r="Y95">
        <v>0</v>
      </c>
      <c r="Z95">
        <v>0</v>
      </c>
      <c r="AA95">
        <v>0.12483355525965378</v>
      </c>
      <c r="AB95">
        <v>0.28986907659995825</v>
      </c>
      <c r="AC95">
        <v>7.5783461237466196E-2</v>
      </c>
      <c r="AD95">
        <v>0</v>
      </c>
      <c r="AE95">
        <v>8.1336570500037911E-2</v>
      </c>
      <c r="AF95">
        <v>0</v>
      </c>
      <c r="AG95">
        <v>0.5530108916625377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84" hidden="1" x14ac:dyDescent="0.25">
      <c r="A96" t="s">
        <v>128</v>
      </c>
      <c r="B96" t="s">
        <v>372</v>
      </c>
      <c r="C96" t="s">
        <v>72</v>
      </c>
      <c r="D96" s="12">
        <v>46223</v>
      </c>
      <c r="E96" t="s">
        <v>501</v>
      </c>
      <c r="F96" t="s">
        <v>501</v>
      </c>
      <c r="G96" t="s">
        <v>501</v>
      </c>
      <c r="H96" t="s">
        <v>73</v>
      </c>
      <c r="I96">
        <v>20</v>
      </c>
      <c r="J96">
        <v>3.5876164620550925</v>
      </c>
      <c r="K96">
        <v>46223</v>
      </c>
      <c r="L96" t="s">
        <v>173</v>
      </c>
      <c r="M96">
        <v>7.6</v>
      </c>
      <c r="N96">
        <v>7.6</v>
      </c>
      <c r="O96">
        <v>2.8235294117647056</v>
      </c>
      <c r="P96">
        <v>2.1183981287806044</v>
      </c>
      <c r="Q96">
        <v>2.1183981287806044</v>
      </c>
      <c r="R96">
        <v>0.78702097663675696</v>
      </c>
      <c r="S96">
        <v>0</v>
      </c>
      <c r="T96">
        <v>0</v>
      </c>
      <c r="U96">
        <v>0.86839812878060441</v>
      </c>
      <c r="V96">
        <v>0</v>
      </c>
      <c r="W96">
        <v>0</v>
      </c>
      <c r="X96">
        <v>0</v>
      </c>
      <c r="Y96">
        <v>0</v>
      </c>
      <c r="Z96">
        <v>0</v>
      </c>
      <c r="AA96">
        <v>0.25</v>
      </c>
      <c r="AB96">
        <v>0</v>
      </c>
      <c r="AC96">
        <v>0</v>
      </c>
      <c r="AD96">
        <v>0</v>
      </c>
      <c r="AE96">
        <v>0.21297902336324304</v>
      </c>
      <c r="AF96">
        <v>0</v>
      </c>
      <c r="AG96">
        <v>0.78702097663675696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0.47205479763882802</v>
      </c>
      <c r="AN96">
        <v>0.47205479763882802</v>
      </c>
      <c r="AO96">
        <v>0.37151702786377705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0.52794520236117193</v>
      </c>
      <c r="BA96">
        <v>0</v>
      </c>
      <c r="BB96">
        <v>0.10053776977505097</v>
      </c>
      <c r="BC96">
        <v>0</v>
      </c>
      <c r="BD96">
        <v>0.37151702786377705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2.6916666666666669</v>
      </c>
      <c r="BK96">
        <v>2.6916666666666669</v>
      </c>
      <c r="BL96">
        <v>1.2706141636445121</v>
      </c>
      <c r="CC96">
        <v>0</v>
      </c>
      <c r="CD96">
        <v>0</v>
      </c>
      <c r="CE96">
        <v>0</v>
      </c>
    </row>
    <row r="97" spans="1:84" hidden="1" x14ac:dyDescent="0.25">
      <c r="A97" t="s">
        <v>128</v>
      </c>
      <c r="B97" t="s">
        <v>372</v>
      </c>
      <c r="C97" t="s">
        <v>109</v>
      </c>
      <c r="D97" s="12">
        <v>46237</v>
      </c>
      <c r="E97" t="s">
        <v>133</v>
      </c>
      <c r="F97" t="s">
        <v>133</v>
      </c>
      <c r="G97" t="s">
        <v>133</v>
      </c>
      <c r="J97">
        <v>27.065400662268566</v>
      </c>
      <c r="M97">
        <v>25.650000000000002</v>
      </c>
      <c r="N97">
        <v>25.650000000000002</v>
      </c>
      <c r="O97">
        <v>30.0625</v>
      </c>
      <c r="S97">
        <v>0.11073545058986106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5.2295573966571772E-2</v>
      </c>
      <c r="AC97">
        <v>0</v>
      </c>
      <c r="AD97">
        <v>0</v>
      </c>
      <c r="AE97">
        <v>0</v>
      </c>
      <c r="AF97">
        <v>0</v>
      </c>
      <c r="AG97">
        <v>0.94770442603342819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84" hidden="1" x14ac:dyDescent="0.25">
      <c r="A98" t="s">
        <v>128</v>
      </c>
      <c r="B98" t="s">
        <v>372</v>
      </c>
      <c r="C98" t="s">
        <v>109</v>
      </c>
      <c r="D98" s="12">
        <v>46237</v>
      </c>
      <c r="E98" t="s">
        <v>501</v>
      </c>
      <c r="F98" t="s">
        <v>501</v>
      </c>
      <c r="G98" t="s">
        <v>501</v>
      </c>
      <c r="J98">
        <v>6.7655742969551049</v>
      </c>
      <c r="M98">
        <v>11.399999999999999</v>
      </c>
      <c r="N98">
        <v>11.399999999999999</v>
      </c>
      <c r="O98">
        <v>7.515570934256055</v>
      </c>
      <c r="S98">
        <v>8.4679761370877668E-2</v>
      </c>
      <c r="T98">
        <v>0</v>
      </c>
      <c r="U98">
        <v>0.60090677361430078</v>
      </c>
      <c r="V98">
        <v>0</v>
      </c>
      <c r="W98">
        <v>0</v>
      </c>
      <c r="X98">
        <v>0</v>
      </c>
      <c r="Y98">
        <v>2.6175075836141235E-2</v>
      </c>
      <c r="Z98">
        <v>0</v>
      </c>
      <c r="AA98">
        <v>0.10639373150330832</v>
      </c>
      <c r="AB98">
        <v>4.8474500538352373E-2</v>
      </c>
      <c r="AC98">
        <v>0</v>
      </c>
      <c r="AD98">
        <v>0</v>
      </c>
      <c r="AE98">
        <v>0</v>
      </c>
      <c r="AF98">
        <v>0</v>
      </c>
      <c r="AG98">
        <v>0.95152549946164766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84" hidden="1" x14ac:dyDescent="0.25">
      <c r="A99" t="s">
        <v>128</v>
      </c>
      <c r="B99" t="s">
        <v>372</v>
      </c>
      <c r="C99" t="s">
        <v>72</v>
      </c>
      <c r="D99" s="12">
        <v>46250</v>
      </c>
      <c r="E99" t="s">
        <v>133</v>
      </c>
      <c r="F99" t="s">
        <v>133</v>
      </c>
      <c r="G99" t="s">
        <v>133</v>
      </c>
      <c r="H99" t="s">
        <v>75</v>
      </c>
      <c r="I99">
        <v>20</v>
      </c>
      <c r="J99">
        <v>10.973885648639106</v>
      </c>
      <c r="K99">
        <v>46250</v>
      </c>
      <c r="L99" t="s">
        <v>171</v>
      </c>
      <c r="M99">
        <v>9.5</v>
      </c>
      <c r="N99">
        <v>9.5</v>
      </c>
      <c r="O99">
        <v>12.1875</v>
      </c>
      <c r="P99">
        <v>0.86569154301130469</v>
      </c>
      <c r="Q99">
        <v>0.86569154301130469</v>
      </c>
      <c r="R99">
        <v>1.1105911242579238</v>
      </c>
      <c r="S99">
        <v>0.11059112425792383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0.13430845698869531</v>
      </c>
      <c r="AC99">
        <v>0</v>
      </c>
      <c r="AD99">
        <v>0</v>
      </c>
      <c r="AE99">
        <v>0</v>
      </c>
      <c r="AF99">
        <v>0</v>
      </c>
      <c r="AG99">
        <v>0.86569154301130469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1.1551458577514848</v>
      </c>
      <c r="AN99">
        <v>1.1551458577514848</v>
      </c>
      <c r="AO99">
        <v>1.2828947368421053</v>
      </c>
      <c r="AP99">
        <v>0.12774887909062049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0.15514585775148482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0.77948717948717949</v>
      </c>
      <c r="BK99">
        <v>0.77948717948717949</v>
      </c>
      <c r="BL99">
        <v>0.90042138655500359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9.9578613444996411E-2</v>
      </c>
      <c r="BX99">
        <v>0</v>
      </c>
      <c r="BY99">
        <v>0</v>
      </c>
      <c r="BZ99">
        <v>0</v>
      </c>
      <c r="CA99">
        <v>0.77948717948717949</v>
      </c>
      <c r="CB99">
        <v>0</v>
      </c>
      <c r="CC99">
        <v>0</v>
      </c>
      <c r="CD99">
        <v>0</v>
      </c>
      <c r="CE99">
        <v>0</v>
      </c>
      <c r="CF99">
        <v>0</v>
      </c>
    </row>
    <row r="100" spans="1:84" hidden="1" x14ac:dyDescent="0.25">
      <c r="A100" t="s">
        <v>128</v>
      </c>
      <c r="B100" t="s">
        <v>372</v>
      </c>
      <c r="C100" t="s">
        <v>109</v>
      </c>
      <c r="D100" s="12">
        <v>46237</v>
      </c>
      <c r="E100" t="s">
        <v>134</v>
      </c>
      <c r="F100" t="s">
        <v>134</v>
      </c>
      <c r="G100" t="s">
        <v>134</v>
      </c>
      <c r="J100">
        <v>10.479565915226781</v>
      </c>
      <c r="M100">
        <v>0</v>
      </c>
      <c r="N100">
        <v>0</v>
      </c>
      <c r="O100">
        <v>8.7159385813148784</v>
      </c>
      <c r="S100">
        <v>1.0802921266538677E-2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0.49904542364353571</v>
      </c>
      <c r="AC100">
        <v>0.17909494291882458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0.32185963343763974</v>
      </c>
      <c r="AL100">
        <v>0</v>
      </c>
    </row>
    <row r="101" spans="1:84" hidden="1" x14ac:dyDescent="0.25">
      <c r="A101" t="s">
        <v>128</v>
      </c>
      <c r="B101" t="s">
        <v>372</v>
      </c>
      <c r="C101" t="s">
        <v>109</v>
      </c>
      <c r="D101" s="12">
        <v>46235</v>
      </c>
      <c r="E101" t="s">
        <v>501</v>
      </c>
      <c r="F101" t="s">
        <v>501</v>
      </c>
      <c r="G101" t="s">
        <v>501</v>
      </c>
      <c r="J101">
        <v>6.8152298881254181</v>
      </c>
      <c r="M101">
        <v>8.5499999999999989</v>
      </c>
      <c r="N101">
        <v>8.5499999999999989</v>
      </c>
      <c r="O101">
        <v>7.515570934256055</v>
      </c>
      <c r="S101">
        <v>7.6776812289851185E-2</v>
      </c>
      <c r="T101">
        <v>0</v>
      </c>
      <c r="U101">
        <v>0.17834753080727853</v>
      </c>
      <c r="V101">
        <v>0</v>
      </c>
      <c r="W101">
        <v>0</v>
      </c>
      <c r="X101">
        <v>0</v>
      </c>
      <c r="Y101">
        <v>2.5984364901087381E-2</v>
      </c>
      <c r="Z101">
        <v>0</v>
      </c>
      <c r="AA101">
        <v>0.10561854948871226</v>
      </c>
      <c r="AB101">
        <v>5.5407291062663074E-2</v>
      </c>
      <c r="AC101">
        <v>0</v>
      </c>
      <c r="AD101">
        <v>0</v>
      </c>
      <c r="AE101">
        <v>0</v>
      </c>
      <c r="AF101">
        <v>0</v>
      </c>
      <c r="AG101">
        <v>0.94459270893733693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84" hidden="1" x14ac:dyDescent="0.25">
      <c r="A102" t="s">
        <v>128</v>
      </c>
      <c r="B102" t="s">
        <v>372</v>
      </c>
      <c r="C102" t="s">
        <v>72</v>
      </c>
      <c r="D102" s="12">
        <v>46227</v>
      </c>
      <c r="E102" t="s">
        <v>501</v>
      </c>
      <c r="F102" t="s">
        <v>501</v>
      </c>
      <c r="G102" t="s">
        <v>501</v>
      </c>
      <c r="H102" t="s">
        <v>75</v>
      </c>
      <c r="I102">
        <v>20</v>
      </c>
      <c r="J102">
        <v>3.1779578349000128</v>
      </c>
      <c r="K102">
        <v>46227</v>
      </c>
      <c r="L102" t="s">
        <v>224</v>
      </c>
      <c r="M102">
        <v>2.8499999999999996</v>
      </c>
      <c r="N102">
        <v>2.8499999999999996</v>
      </c>
      <c r="O102">
        <v>2.8685121107266438</v>
      </c>
      <c r="P102">
        <v>0.89680233283827326</v>
      </c>
      <c r="Q102">
        <v>0.89680233283827326</v>
      </c>
      <c r="R102">
        <v>0.90262749216648908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5.8251593282158121E-3</v>
      </c>
      <c r="AC102">
        <v>9.7372507833510924E-2</v>
      </c>
      <c r="AD102">
        <v>0</v>
      </c>
      <c r="AE102">
        <v>0</v>
      </c>
      <c r="AF102">
        <v>0</v>
      </c>
      <c r="AG102">
        <v>0.89680233283827326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1.1150729245263205</v>
      </c>
      <c r="AN102">
        <v>1.1150729245263205</v>
      </c>
      <c r="AO102">
        <v>1.0064954774479453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6.4954774479453192E-3</v>
      </c>
      <c r="AW102">
        <v>0</v>
      </c>
      <c r="AX102">
        <v>0.10857744707837513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0.99354644149577787</v>
      </c>
      <c r="BK102">
        <v>0.99354644149577787</v>
      </c>
      <c r="BL102">
        <v>1.1078767361714157</v>
      </c>
      <c r="BM102">
        <v>0.10787673617141569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0.10319766716172674</v>
      </c>
      <c r="BW102">
        <v>0</v>
      </c>
      <c r="BX102">
        <v>0</v>
      </c>
      <c r="BY102">
        <v>0</v>
      </c>
      <c r="BZ102">
        <v>0</v>
      </c>
      <c r="CA102">
        <v>0.99354644149577787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 spans="1:84" hidden="1" x14ac:dyDescent="0.25">
      <c r="A103" t="s">
        <v>128</v>
      </c>
      <c r="B103" t="s">
        <v>372</v>
      </c>
      <c r="C103" t="s">
        <v>109</v>
      </c>
      <c r="D103" s="12">
        <v>46232</v>
      </c>
      <c r="E103" t="s">
        <v>501</v>
      </c>
      <c r="F103" t="s">
        <v>501</v>
      </c>
      <c r="G103" t="s">
        <v>501</v>
      </c>
      <c r="J103">
        <v>6.7655742969551058</v>
      </c>
      <c r="M103">
        <v>11.399999999999999</v>
      </c>
      <c r="N103">
        <v>11.399999999999999</v>
      </c>
      <c r="O103">
        <v>7.5155709342560542</v>
      </c>
      <c r="S103">
        <v>8.4679761370877668E-2</v>
      </c>
      <c r="T103">
        <v>0</v>
      </c>
      <c r="U103">
        <v>0.60090677361430056</v>
      </c>
      <c r="V103">
        <v>0</v>
      </c>
      <c r="W103">
        <v>0</v>
      </c>
      <c r="X103">
        <v>0</v>
      </c>
      <c r="Y103">
        <v>2.6175075836141003E-2</v>
      </c>
      <c r="Z103">
        <v>0</v>
      </c>
      <c r="AA103">
        <v>0.10639373150330854</v>
      </c>
      <c r="AB103">
        <v>4.8474500538352373E-2</v>
      </c>
      <c r="AC103">
        <v>0</v>
      </c>
      <c r="AD103">
        <v>0</v>
      </c>
      <c r="AE103">
        <v>0</v>
      </c>
      <c r="AF103">
        <v>0</v>
      </c>
      <c r="AG103">
        <v>0.95152549946164766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84" hidden="1" x14ac:dyDescent="0.25">
      <c r="A104" t="s">
        <v>128</v>
      </c>
      <c r="B104" t="s">
        <v>372</v>
      </c>
      <c r="C104" t="s">
        <v>109</v>
      </c>
      <c r="D104" s="12">
        <v>46232</v>
      </c>
      <c r="E104" t="s">
        <v>133</v>
      </c>
      <c r="F104" t="s">
        <v>133</v>
      </c>
      <c r="G104" t="s">
        <v>133</v>
      </c>
      <c r="J104">
        <v>27.619370851262371</v>
      </c>
      <c r="M104">
        <v>32.299999999999997</v>
      </c>
      <c r="N104">
        <v>32.299999999999997</v>
      </c>
      <c r="O104">
        <v>30.46875</v>
      </c>
      <c r="S104">
        <v>6.6704733400678159E-2</v>
      </c>
      <c r="T104">
        <v>0</v>
      </c>
      <c r="U104">
        <v>8.4042593692583725E-2</v>
      </c>
      <c r="V104">
        <v>0</v>
      </c>
      <c r="W104">
        <v>0</v>
      </c>
      <c r="X104">
        <v>0</v>
      </c>
      <c r="Y104">
        <v>3.6461235298691878E-2</v>
      </c>
      <c r="Z104">
        <v>0</v>
      </c>
      <c r="AA104">
        <v>7.7435612838843954E-2</v>
      </c>
      <c r="AB104">
        <v>2.8470369781228261E-2</v>
      </c>
      <c r="AC104">
        <v>0</v>
      </c>
      <c r="AD104">
        <v>0</v>
      </c>
      <c r="AE104">
        <v>0</v>
      </c>
      <c r="AF104">
        <v>0</v>
      </c>
      <c r="AG104">
        <v>0.97152963021877181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84" hidden="1" x14ac:dyDescent="0.25">
      <c r="A105" t="s">
        <v>128</v>
      </c>
      <c r="B105" t="s">
        <v>372</v>
      </c>
      <c r="C105" t="s">
        <v>109</v>
      </c>
      <c r="D105" s="12">
        <v>46227</v>
      </c>
      <c r="E105" t="s">
        <v>133</v>
      </c>
      <c r="F105" t="s">
        <v>133</v>
      </c>
      <c r="G105" t="s">
        <v>133</v>
      </c>
      <c r="J105">
        <v>26.221255612373248</v>
      </c>
      <c r="M105">
        <v>34.200000000000003</v>
      </c>
      <c r="N105">
        <v>34.200000000000003</v>
      </c>
      <c r="O105">
        <v>27.3125</v>
      </c>
      <c r="S105">
        <v>1.7801388210530966E-2</v>
      </c>
      <c r="T105">
        <v>0</v>
      </c>
      <c r="U105">
        <v>0.20146414867747031</v>
      </c>
      <c r="V105">
        <v>0</v>
      </c>
      <c r="W105">
        <v>0</v>
      </c>
      <c r="X105">
        <v>0</v>
      </c>
      <c r="Y105">
        <v>2.381539794794027E-2</v>
      </c>
      <c r="Z105">
        <v>0</v>
      </c>
      <c r="AA105">
        <v>9.5051018823934214E-2</v>
      </c>
      <c r="AB105">
        <v>1.6045198433520043E-2</v>
      </c>
      <c r="AC105">
        <v>0</v>
      </c>
      <c r="AD105">
        <v>0</v>
      </c>
      <c r="AE105">
        <v>0</v>
      </c>
      <c r="AF105">
        <v>0</v>
      </c>
      <c r="AG105">
        <v>0.98395480156647996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84" hidden="1" x14ac:dyDescent="0.25">
      <c r="A106" t="s">
        <v>128</v>
      </c>
      <c r="B106" t="s">
        <v>372</v>
      </c>
      <c r="C106" t="s">
        <v>72</v>
      </c>
      <c r="D106" s="12">
        <v>46233</v>
      </c>
      <c r="E106" t="s">
        <v>501</v>
      </c>
      <c r="F106" t="s">
        <v>501</v>
      </c>
      <c r="G106" t="s">
        <v>501</v>
      </c>
      <c r="H106" t="s">
        <v>73</v>
      </c>
      <c r="I106">
        <v>20</v>
      </c>
      <c r="J106">
        <v>3.587616462055093</v>
      </c>
      <c r="K106">
        <v>46233</v>
      </c>
      <c r="L106" t="s">
        <v>235</v>
      </c>
      <c r="M106">
        <v>3.8</v>
      </c>
      <c r="N106">
        <v>3.8</v>
      </c>
      <c r="O106">
        <v>4.7058823529411775</v>
      </c>
      <c r="P106">
        <v>1.059199064390302</v>
      </c>
      <c r="Q106">
        <v>1.059199064390302</v>
      </c>
      <c r="R106">
        <v>1.3117016277279285</v>
      </c>
      <c r="S106">
        <v>0.25250256333762655</v>
      </c>
      <c r="T106">
        <v>0</v>
      </c>
      <c r="U106">
        <v>0</v>
      </c>
      <c r="V106">
        <v>0</v>
      </c>
      <c r="W106">
        <v>0</v>
      </c>
      <c r="X106">
        <v>0.19080093560969802</v>
      </c>
      <c r="Y106">
        <v>5.9199064390301981E-2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0.94410959527765614</v>
      </c>
      <c r="AN106">
        <v>0.94410959527765614</v>
      </c>
      <c r="AO106">
        <v>1.2383900928792573</v>
      </c>
      <c r="AP106">
        <v>0.23839009287925728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0.94410959527765614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0.80749999999999977</v>
      </c>
      <c r="BK106">
        <v>0.80749999999999977</v>
      </c>
      <c r="BL106">
        <v>0.76236849818670704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0.19250000000000023</v>
      </c>
      <c r="BX106">
        <v>0</v>
      </c>
      <c r="BY106">
        <v>4.5131501813292729E-2</v>
      </c>
      <c r="BZ106">
        <v>0</v>
      </c>
      <c r="CA106">
        <v>0.76236849818670704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hidden="1" x14ac:dyDescent="0.25">
      <c r="A107" t="s">
        <v>128</v>
      </c>
      <c r="B107" t="s">
        <v>372</v>
      </c>
      <c r="C107" t="s">
        <v>72</v>
      </c>
      <c r="D107" s="12">
        <v>46232</v>
      </c>
      <c r="E107" t="s">
        <v>501</v>
      </c>
      <c r="F107" t="s">
        <v>501</v>
      </c>
      <c r="G107" t="s">
        <v>501</v>
      </c>
      <c r="H107" t="s">
        <v>75</v>
      </c>
      <c r="I107">
        <v>20</v>
      </c>
      <c r="J107">
        <v>3.1779578349000128</v>
      </c>
      <c r="K107">
        <v>46232</v>
      </c>
      <c r="L107" t="s">
        <v>236</v>
      </c>
      <c r="M107">
        <v>2.8499999999999996</v>
      </c>
      <c r="N107">
        <v>2.8499999999999996</v>
      </c>
      <c r="O107">
        <v>3.7508650519031144</v>
      </c>
      <c r="P107">
        <v>0.89680233283827326</v>
      </c>
      <c r="Q107">
        <v>0.89680233283827326</v>
      </c>
      <c r="R107">
        <v>1.18027527323097</v>
      </c>
      <c r="S107">
        <v>0.18027527323097003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0.10319766716172674</v>
      </c>
      <c r="AC107">
        <v>0</v>
      </c>
      <c r="AD107">
        <v>0</v>
      </c>
      <c r="AE107">
        <v>0</v>
      </c>
      <c r="AF107">
        <v>0</v>
      </c>
      <c r="AG107">
        <v>0.89680233283827326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1.1150729245263205</v>
      </c>
      <c r="AN107">
        <v>1.1150729245263205</v>
      </c>
      <c r="AO107">
        <v>1.3160930006677596</v>
      </c>
      <c r="AP107">
        <v>0.20102007614143913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0.11507292452632045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0.75982472324723238</v>
      </c>
      <c r="BK107">
        <v>0.75982472324723238</v>
      </c>
      <c r="BL107">
        <v>0.84725997627869343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0.15274002372130657</v>
      </c>
      <c r="BX107">
        <v>0</v>
      </c>
      <c r="BY107">
        <v>0</v>
      </c>
      <c r="BZ107">
        <v>0</v>
      </c>
      <c r="CA107">
        <v>0.75982472324723238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 spans="1:84" hidden="1" x14ac:dyDescent="0.25">
      <c r="A108" t="s">
        <v>128</v>
      </c>
      <c r="B108" t="s">
        <v>372</v>
      </c>
      <c r="C108" t="s">
        <v>109</v>
      </c>
      <c r="D108" s="12">
        <v>46227</v>
      </c>
      <c r="E108" t="s">
        <v>501</v>
      </c>
      <c r="F108" t="s">
        <v>501</v>
      </c>
      <c r="G108" t="s">
        <v>501</v>
      </c>
      <c r="J108">
        <v>6.7655742969551049</v>
      </c>
      <c r="M108">
        <v>14.249999999999998</v>
      </c>
      <c r="N108">
        <v>14.249999999999998</v>
      </c>
      <c r="O108">
        <v>6.6332179930795867</v>
      </c>
      <c r="S108">
        <v>0</v>
      </c>
      <c r="T108">
        <v>0</v>
      </c>
      <c r="U108">
        <v>0.88174028701686724</v>
      </c>
      <c r="V108">
        <v>0</v>
      </c>
      <c r="W108">
        <v>0</v>
      </c>
      <c r="X108">
        <v>0</v>
      </c>
      <c r="Y108">
        <v>2.6175075836141593E-2</v>
      </c>
      <c r="Z108">
        <v>0</v>
      </c>
      <c r="AA108">
        <v>0.10639373150330796</v>
      </c>
      <c r="AB108">
        <v>2.7362216294004554E-3</v>
      </c>
      <c r="AC108">
        <v>4.5738278908951921E-2</v>
      </c>
      <c r="AD108">
        <v>0</v>
      </c>
      <c r="AE108">
        <v>0</v>
      </c>
      <c r="AF108">
        <v>0</v>
      </c>
      <c r="AG108">
        <v>0.95152549946164766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84" hidden="1" x14ac:dyDescent="0.25">
      <c r="A109" t="s">
        <v>128</v>
      </c>
      <c r="B109" t="s">
        <v>372</v>
      </c>
      <c r="C109" t="s">
        <v>109</v>
      </c>
      <c r="D109" s="12">
        <v>46227</v>
      </c>
      <c r="E109" t="s">
        <v>134</v>
      </c>
      <c r="F109" t="s">
        <v>134</v>
      </c>
      <c r="G109" t="s">
        <v>134</v>
      </c>
      <c r="J109">
        <v>8.301202861771058</v>
      </c>
      <c r="M109">
        <v>6.6499999999999995</v>
      </c>
      <c r="N109">
        <v>6.6499999999999995</v>
      </c>
      <c r="O109">
        <v>5.813148788927335</v>
      </c>
      <c r="S109">
        <v>0</v>
      </c>
      <c r="T109">
        <v>0</v>
      </c>
      <c r="U109">
        <v>0.10470821719729559</v>
      </c>
      <c r="V109">
        <v>0</v>
      </c>
      <c r="W109">
        <v>1.4456315913739614E-2</v>
      </c>
      <c r="X109">
        <v>0</v>
      </c>
      <c r="Y109">
        <v>6.7720090293453716E-2</v>
      </c>
      <c r="Z109">
        <v>0</v>
      </c>
      <c r="AA109">
        <v>0</v>
      </c>
      <c r="AB109">
        <v>0.11337832435375944</v>
      </c>
      <c r="AC109">
        <v>0.27241757603869782</v>
      </c>
      <c r="AD109">
        <v>0</v>
      </c>
      <c r="AE109">
        <v>0.10948094445409891</v>
      </c>
      <c r="AF109">
        <v>0</v>
      </c>
      <c r="AG109">
        <v>0.50472315515344379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84" hidden="1" x14ac:dyDescent="0.25">
      <c r="A110" t="s">
        <v>128</v>
      </c>
      <c r="B110" t="s">
        <v>372</v>
      </c>
      <c r="C110" t="s">
        <v>72</v>
      </c>
      <c r="D110" s="12">
        <v>46232</v>
      </c>
      <c r="E110" t="s">
        <v>501</v>
      </c>
      <c r="F110" t="s">
        <v>501</v>
      </c>
      <c r="G110" t="s">
        <v>501</v>
      </c>
      <c r="H110" t="s">
        <v>74</v>
      </c>
      <c r="I110">
        <v>20</v>
      </c>
      <c r="J110">
        <v>0</v>
      </c>
      <c r="K110">
        <v>46232</v>
      </c>
      <c r="L110" t="s">
        <v>237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F110">
        <v>0</v>
      </c>
    </row>
    <row r="111" spans="1:84" hidden="1" x14ac:dyDescent="0.25">
      <c r="A111" t="s">
        <v>128</v>
      </c>
      <c r="B111" t="s">
        <v>372</v>
      </c>
      <c r="C111" t="s">
        <v>109</v>
      </c>
      <c r="D111" s="12">
        <v>46228</v>
      </c>
      <c r="E111" t="s">
        <v>133</v>
      </c>
      <c r="F111" t="s">
        <v>133</v>
      </c>
      <c r="G111" t="s">
        <v>133</v>
      </c>
      <c r="J111">
        <v>26.221255612373248</v>
      </c>
      <c r="M111">
        <v>25.65</v>
      </c>
      <c r="N111">
        <v>25.65</v>
      </c>
      <c r="O111">
        <v>29.125</v>
      </c>
      <c r="S111">
        <v>9.2938708699875444E-2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1.7801388210530966E-2</v>
      </c>
      <c r="Z111">
        <v>0</v>
      </c>
      <c r="AA111">
        <v>2.3835624397218948E-3</v>
      </c>
      <c r="AB111">
        <v>4.197092538838431E-2</v>
      </c>
      <c r="AC111">
        <v>0</v>
      </c>
      <c r="AD111">
        <v>0</v>
      </c>
      <c r="AE111">
        <v>0</v>
      </c>
      <c r="AF111">
        <v>0</v>
      </c>
      <c r="AG111">
        <v>0.95802907461161568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84" hidden="1" x14ac:dyDescent="0.25">
      <c r="A112" t="s">
        <v>128</v>
      </c>
      <c r="B112" t="s">
        <v>372</v>
      </c>
      <c r="C112" t="s">
        <v>72</v>
      </c>
      <c r="D112" s="12">
        <v>46232</v>
      </c>
      <c r="E112" t="s">
        <v>501</v>
      </c>
      <c r="F112" t="s">
        <v>501</v>
      </c>
      <c r="G112" t="s">
        <v>501</v>
      </c>
      <c r="H112" t="s">
        <v>73</v>
      </c>
      <c r="I112">
        <v>20</v>
      </c>
      <c r="J112">
        <v>3.587616462055093</v>
      </c>
      <c r="K112">
        <v>46232</v>
      </c>
      <c r="L112" t="s">
        <v>238</v>
      </c>
      <c r="M112">
        <v>8.5499999999999989</v>
      </c>
      <c r="N112">
        <v>8.5499999999999989</v>
      </c>
      <c r="O112">
        <v>3.7647058823529393</v>
      </c>
      <c r="P112">
        <v>2.3831978948781791</v>
      </c>
      <c r="Q112">
        <v>2.3831978948781791</v>
      </c>
      <c r="R112">
        <v>1.049361302182342</v>
      </c>
      <c r="S112">
        <v>0</v>
      </c>
      <c r="T112">
        <v>0</v>
      </c>
      <c r="U112">
        <v>1.1331978948781791</v>
      </c>
      <c r="V112">
        <v>0</v>
      </c>
      <c r="W112">
        <v>0</v>
      </c>
      <c r="X112">
        <v>0</v>
      </c>
      <c r="Y112">
        <v>4.9361302182342026E-2</v>
      </c>
      <c r="Z112">
        <v>0</v>
      </c>
      <c r="AA112">
        <v>0.20063869781765797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0.41960426456784716</v>
      </c>
      <c r="AN112">
        <v>0.41960426456784716</v>
      </c>
      <c r="AO112">
        <v>0.44031647746818009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0.55968352253181997</v>
      </c>
      <c r="BA112">
        <v>0</v>
      </c>
      <c r="BB112">
        <v>0</v>
      </c>
      <c r="BC112">
        <v>0</v>
      </c>
      <c r="BD112">
        <v>0.41960426456784716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2.2710937500000008</v>
      </c>
      <c r="BK112">
        <v>2.2710937500000008</v>
      </c>
      <c r="BL112">
        <v>0.95296062273338455</v>
      </c>
      <c r="CC112">
        <v>0</v>
      </c>
      <c r="CD112">
        <v>0</v>
      </c>
      <c r="CE112">
        <v>0</v>
      </c>
    </row>
    <row r="113" spans="1:84" hidden="1" x14ac:dyDescent="0.25">
      <c r="A113" t="s">
        <v>128</v>
      </c>
      <c r="B113" t="s">
        <v>372</v>
      </c>
      <c r="C113" t="s">
        <v>109</v>
      </c>
      <c r="D113" s="12">
        <v>46228</v>
      </c>
      <c r="E113" t="s">
        <v>501</v>
      </c>
      <c r="F113" t="s">
        <v>501</v>
      </c>
      <c r="G113" t="s">
        <v>501</v>
      </c>
      <c r="J113">
        <v>6.7655742969551067</v>
      </c>
      <c r="M113">
        <v>12.35</v>
      </c>
      <c r="N113">
        <v>12.35</v>
      </c>
      <c r="O113">
        <v>6.5813148788927336</v>
      </c>
      <c r="S113">
        <v>7.7008111942652266E-2</v>
      </c>
      <c r="T113">
        <v>0</v>
      </c>
      <c r="U113">
        <v>0.74132353031558396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0.13256880733944953</v>
      </c>
      <c r="AB113">
        <v>4.8474500538352422E-2</v>
      </c>
      <c r="AC113">
        <v>0</v>
      </c>
      <c r="AD113">
        <v>0</v>
      </c>
      <c r="AE113">
        <v>0.1042429644436882</v>
      </c>
      <c r="AF113">
        <v>0</v>
      </c>
      <c r="AG113">
        <v>0.84728253501795936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84" hidden="1" x14ac:dyDescent="0.25">
      <c r="A114" t="s">
        <v>128</v>
      </c>
      <c r="B114" t="s">
        <v>372</v>
      </c>
      <c r="C114" t="s">
        <v>72</v>
      </c>
      <c r="D114" s="12">
        <v>46231</v>
      </c>
      <c r="E114" t="s">
        <v>501</v>
      </c>
      <c r="F114" t="s">
        <v>501</v>
      </c>
      <c r="G114" t="s">
        <v>501</v>
      </c>
      <c r="H114" t="s">
        <v>75</v>
      </c>
      <c r="I114">
        <v>20</v>
      </c>
      <c r="J114">
        <v>3.1779578349000128</v>
      </c>
      <c r="K114">
        <v>46231</v>
      </c>
      <c r="L114" t="s">
        <v>231</v>
      </c>
      <c r="M114">
        <v>2.8499999999999996</v>
      </c>
      <c r="N114">
        <v>2.8499999999999996</v>
      </c>
      <c r="O114">
        <v>3.8062283737024223</v>
      </c>
      <c r="P114">
        <v>0.89680233283827326</v>
      </c>
      <c r="Q114">
        <v>0.89680233283827326</v>
      </c>
      <c r="R114">
        <v>1.1976963104742315</v>
      </c>
      <c r="S114">
        <v>0.19769631047423153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0.10319766716172674</v>
      </c>
      <c r="AC114">
        <v>0</v>
      </c>
      <c r="AD114">
        <v>0</v>
      </c>
      <c r="AE114">
        <v>0</v>
      </c>
      <c r="AF114">
        <v>0</v>
      </c>
      <c r="AG114">
        <v>0.89680233283827326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1.1150729245263205</v>
      </c>
      <c r="AN114">
        <v>1.1150729245263205</v>
      </c>
      <c r="AO114">
        <v>1.3355187276148852</v>
      </c>
      <c r="AP114">
        <v>0.22044580308856476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0.11507292452632045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0.74877272727272715</v>
      </c>
      <c r="BK114">
        <v>0.74877272727272715</v>
      </c>
      <c r="BL114">
        <v>0.83493619480554881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0.16506380519445119</v>
      </c>
      <c r="BX114">
        <v>0</v>
      </c>
      <c r="BY114">
        <v>0</v>
      </c>
      <c r="BZ114">
        <v>0</v>
      </c>
      <c r="CA114">
        <v>0.74877272727272715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hidden="1" x14ac:dyDescent="0.25">
      <c r="A115" t="s">
        <v>128</v>
      </c>
      <c r="B115" t="s">
        <v>372</v>
      </c>
      <c r="C115" t="s">
        <v>109</v>
      </c>
      <c r="D115" s="12">
        <v>46228</v>
      </c>
      <c r="E115" t="s">
        <v>134</v>
      </c>
      <c r="F115" t="s">
        <v>134</v>
      </c>
      <c r="G115" t="s">
        <v>134</v>
      </c>
      <c r="J115">
        <v>7.0363468952483803</v>
      </c>
      <c r="M115">
        <v>5.6999999999999993</v>
      </c>
      <c r="N115">
        <v>5.6999999999999993</v>
      </c>
      <c r="O115">
        <v>7.8650519031141854</v>
      </c>
      <c r="S115">
        <v>0.13835722232826883</v>
      </c>
      <c r="T115">
        <v>0</v>
      </c>
      <c r="U115">
        <v>0</v>
      </c>
      <c r="V115">
        <v>0</v>
      </c>
      <c r="W115">
        <v>0</v>
      </c>
      <c r="X115">
        <v>1.9394364510941679E-2</v>
      </c>
      <c r="Y115">
        <v>6.5492453065622902E-2</v>
      </c>
      <c r="Z115">
        <v>0</v>
      </c>
      <c r="AA115">
        <v>0</v>
      </c>
      <c r="AB115">
        <v>0.1693382246623048</v>
      </c>
      <c r="AC115">
        <v>8.6074781659555538E-2</v>
      </c>
      <c r="AD115">
        <v>0</v>
      </c>
      <c r="AE115">
        <v>0</v>
      </c>
      <c r="AF115">
        <v>0</v>
      </c>
      <c r="AG115">
        <v>0.40503972337188127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84" hidden="1" x14ac:dyDescent="0.25">
      <c r="A116" t="s">
        <v>128</v>
      </c>
      <c r="B116" t="s">
        <v>372</v>
      </c>
      <c r="C116" t="s">
        <v>72</v>
      </c>
      <c r="D116" s="12">
        <v>46231</v>
      </c>
      <c r="E116" t="s">
        <v>501</v>
      </c>
      <c r="F116" t="s">
        <v>501</v>
      </c>
      <c r="G116" t="s">
        <v>501</v>
      </c>
      <c r="H116" t="s">
        <v>74</v>
      </c>
      <c r="I116">
        <v>20</v>
      </c>
      <c r="J116">
        <v>0</v>
      </c>
      <c r="K116">
        <v>46231</v>
      </c>
      <c r="L116" t="s">
        <v>230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F116">
        <v>0</v>
      </c>
    </row>
    <row r="117" spans="1:84" hidden="1" x14ac:dyDescent="0.25">
      <c r="A117" t="s">
        <v>128</v>
      </c>
      <c r="B117" t="s">
        <v>372</v>
      </c>
      <c r="C117" t="s">
        <v>109</v>
      </c>
      <c r="D117" s="12">
        <v>46229</v>
      </c>
      <c r="E117" t="s">
        <v>133</v>
      </c>
      <c r="F117" t="s">
        <v>133</v>
      </c>
      <c r="G117" t="s">
        <v>133</v>
      </c>
      <c r="J117">
        <v>27.012641596650109</v>
      </c>
      <c r="M117">
        <v>25.65</v>
      </c>
      <c r="N117">
        <v>25.65</v>
      </c>
      <c r="O117">
        <v>29.557291666666668</v>
      </c>
      <c r="S117">
        <v>9.4202192736756438E-2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5.0444588759475349E-2</v>
      </c>
      <c r="AC117">
        <v>0</v>
      </c>
      <c r="AD117">
        <v>0</v>
      </c>
      <c r="AE117">
        <v>0</v>
      </c>
      <c r="AF117">
        <v>0</v>
      </c>
      <c r="AG117">
        <v>0.94955541124052467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84" hidden="1" x14ac:dyDescent="0.25">
      <c r="A118" t="s">
        <v>128</v>
      </c>
      <c r="B118" t="s">
        <v>372</v>
      </c>
      <c r="C118" t="s">
        <v>72</v>
      </c>
      <c r="D118" s="12">
        <v>46231</v>
      </c>
      <c r="E118" t="s">
        <v>501</v>
      </c>
      <c r="F118" t="s">
        <v>501</v>
      </c>
      <c r="G118" t="s">
        <v>501</v>
      </c>
      <c r="H118" t="s">
        <v>73</v>
      </c>
      <c r="I118">
        <v>20</v>
      </c>
      <c r="J118">
        <v>3.5876164620550925</v>
      </c>
      <c r="K118">
        <v>46231</v>
      </c>
      <c r="L118" t="s">
        <v>214</v>
      </c>
      <c r="M118">
        <v>3.8</v>
      </c>
      <c r="N118">
        <v>3.8</v>
      </c>
      <c r="O118">
        <v>4.7058823529411749</v>
      </c>
      <c r="P118">
        <v>1.0591990643903022</v>
      </c>
      <c r="Q118">
        <v>1.0591990643903022</v>
      </c>
      <c r="R118">
        <v>1.3117016277279279</v>
      </c>
      <c r="S118">
        <v>0.25250256333762566</v>
      </c>
      <c r="T118">
        <v>0</v>
      </c>
      <c r="U118">
        <v>0</v>
      </c>
      <c r="V118">
        <v>0</v>
      </c>
      <c r="W118">
        <v>0</v>
      </c>
      <c r="X118">
        <v>0.1908009356096978</v>
      </c>
      <c r="Y118">
        <v>5.9199064390302203E-2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0.94410959527765603</v>
      </c>
      <c r="AN118">
        <v>0.94410959527765603</v>
      </c>
      <c r="AO118">
        <v>1.2383900928792566</v>
      </c>
      <c r="AP118">
        <v>0.23839009287925661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0.94410959527765603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0.80750000000000022</v>
      </c>
      <c r="BK118">
        <v>0.80750000000000022</v>
      </c>
      <c r="BL118">
        <v>0.76236849818670738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0.19249999999999978</v>
      </c>
      <c r="BX118">
        <v>0</v>
      </c>
      <c r="BY118">
        <v>4.513150181329284E-2</v>
      </c>
      <c r="BZ118">
        <v>0</v>
      </c>
      <c r="CA118">
        <v>0.76236849818670738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84" hidden="1" x14ac:dyDescent="0.25">
      <c r="A119" t="s">
        <v>128</v>
      </c>
      <c r="B119" t="s">
        <v>372</v>
      </c>
      <c r="C119" t="s">
        <v>72</v>
      </c>
      <c r="D119" s="12">
        <v>46230</v>
      </c>
      <c r="E119" t="s">
        <v>501</v>
      </c>
      <c r="F119" t="s">
        <v>501</v>
      </c>
      <c r="G119" t="s">
        <v>501</v>
      </c>
      <c r="H119" t="s">
        <v>75</v>
      </c>
      <c r="I119">
        <v>20</v>
      </c>
      <c r="J119">
        <v>3.1779578349000128</v>
      </c>
      <c r="K119">
        <v>46230</v>
      </c>
      <c r="L119" t="s">
        <v>215</v>
      </c>
      <c r="M119">
        <v>2.8499999999999996</v>
      </c>
      <c r="N119">
        <v>2.8499999999999996</v>
      </c>
      <c r="O119">
        <v>3.8062283737024223</v>
      </c>
      <c r="P119">
        <v>0.89680233283827326</v>
      </c>
      <c r="Q119">
        <v>0.89680233283827326</v>
      </c>
      <c r="R119">
        <v>1.1976963104742315</v>
      </c>
      <c r="S119">
        <v>0.19769631047423153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0.10319766716172674</v>
      </c>
      <c r="AC119">
        <v>0</v>
      </c>
      <c r="AD119">
        <v>0</v>
      </c>
      <c r="AE119">
        <v>0</v>
      </c>
      <c r="AF119">
        <v>0</v>
      </c>
      <c r="AG119">
        <v>0.89680233283827326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1.1150729245263205</v>
      </c>
      <c r="AN119">
        <v>1.1150729245263205</v>
      </c>
      <c r="AO119">
        <v>1.3355187276148852</v>
      </c>
      <c r="AP119">
        <v>0.22044580308856476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0.11507292452632045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0.74877272727272715</v>
      </c>
      <c r="BK119">
        <v>0.74877272727272715</v>
      </c>
      <c r="BL119">
        <v>0.83493619480554881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0.16506380519445119</v>
      </c>
      <c r="BX119">
        <v>0</v>
      </c>
      <c r="BY119">
        <v>0</v>
      </c>
      <c r="BZ119">
        <v>0</v>
      </c>
      <c r="CA119">
        <v>0.74877272727272715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84" hidden="1" x14ac:dyDescent="0.25">
      <c r="A120" t="s">
        <v>128</v>
      </c>
      <c r="B120" t="s">
        <v>372</v>
      </c>
      <c r="C120" t="s">
        <v>109</v>
      </c>
      <c r="D120" s="12">
        <v>46229</v>
      </c>
      <c r="E120" t="s">
        <v>501</v>
      </c>
      <c r="F120" t="s">
        <v>501</v>
      </c>
      <c r="G120" t="s">
        <v>501</v>
      </c>
      <c r="J120">
        <v>6.7655742969551058</v>
      </c>
      <c r="M120">
        <v>9.5</v>
      </c>
      <c r="N120">
        <v>9.5</v>
      </c>
      <c r="O120">
        <v>7.577854671280277</v>
      </c>
      <c r="S120">
        <v>8.5191204666092743E-2</v>
      </c>
      <c r="T120">
        <v>0</v>
      </c>
      <c r="U120">
        <v>0.17965650351045109</v>
      </c>
      <c r="V120">
        <v>0</v>
      </c>
      <c r="W120">
        <v>0</v>
      </c>
      <c r="X120">
        <v>0</v>
      </c>
      <c r="Y120">
        <v>3.4869611854796582E-2</v>
      </c>
      <c r="Z120">
        <v>0</v>
      </c>
      <c r="AA120">
        <v>9.7699195484652959E-2</v>
      </c>
      <c r="AB120">
        <v>4.8474500538352373E-2</v>
      </c>
      <c r="AC120">
        <v>0</v>
      </c>
      <c r="AD120">
        <v>0</v>
      </c>
      <c r="AE120">
        <v>0</v>
      </c>
      <c r="AF120">
        <v>0</v>
      </c>
      <c r="AG120">
        <v>0.95152549946164766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84" hidden="1" x14ac:dyDescent="0.25">
      <c r="A121" t="s">
        <v>128</v>
      </c>
      <c r="B121" t="s">
        <v>372</v>
      </c>
      <c r="C121" t="s">
        <v>109</v>
      </c>
      <c r="D121" s="12">
        <v>46229</v>
      </c>
      <c r="E121" t="s">
        <v>134</v>
      </c>
      <c r="F121" t="s">
        <v>134</v>
      </c>
      <c r="G121" t="s">
        <v>134</v>
      </c>
      <c r="J121">
        <v>8.1606633099352059</v>
      </c>
      <c r="M121">
        <v>6.65</v>
      </c>
      <c r="N121">
        <v>6.65</v>
      </c>
      <c r="O121">
        <v>7.7922253460207589</v>
      </c>
      <c r="S121">
        <v>0</v>
      </c>
      <c r="T121">
        <v>0</v>
      </c>
      <c r="U121">
        <v>4.3886016556224462E-2</v>
      </c>
      <c r="V121">
        <v>0</v>
      </c>
      <c r="W121">
        <v>0</v>
      </c>
      <c r="X121">
        <v>0</v>
      </c>
      <c r="Y121">
        <v>8.8214820960078408E-3</v>
      </c>
      <c r="Z121">
        <v>0</v>
      </c>
      <c r="AA121">
        <v>9.8813420315013958E-2</v>
      </c>
      <c r="AB121">
        <v>0.28266665554452386</v>
      </c>
      <c r="AC121">
        <v>5.3969523366855426E-2</v>
      </c>
      <c r="AD121">
        <v>0</v>
      </c>
      <c r="AE121">
        <v>0</v>
      </c>
      <c r="AF121">
        <v>0</v>
      </c>
      <c r="AG121">
        <v>0.66336382108862046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84" hidden="1" x14ac:dyDescent="0.25">
      <c r="A122" t="s">
        <v>128</v>
      </c>
      <c r="B122" t="s">
        <v>372</v>
      </c>
      <c r="C122" t="s">
        <v>72</v>
      </c>
      <c r="D122" s="12">
        <v>46228</v>
      </c>
      <c r="E122" t="s">
        <v>501</v>
      </c>
      <c r="F122" t="s">
        <v>501</v>
      </c>
      <c r="G122" t="s">
        <v>501</v>
      </c>
      <c r="H122" t="s">
        <v>73</v>
      </c>
      <c r="I122">
        <v>20</v>
      </c>
      <c r="J122">
        <v>3.587616462055093</v>
      </c>
      <c r="K122">
        <v>46228</v>
      </c>
      <c r="L122" t="s">
        <v>223</v>
      </c>
      <c r="M122">
        <v>9.5</v>
      </c>
      <c r="N122">
        <v>9.5</v>
      </c>
      <c r="O122">
        <v>2.882352941176471</v>
      </c>
      <c r="P122">
        <v>2.6479976609757552</v>
      </c>
      <c r="Q122">
        <v>2.6479976609757552</v>
      </c>
      <c r="R122">
        <v>0.80341724698335615</v>
      </c>
      <c r="S122">
        <v>0</v>
      </c>
      <c r="T122">
        <v>0</v>
      </c>
      <c r="U122">
        <v>1.3979976609757552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0.25</v>
      </c>
      <c r="AB122">
        <v>0</v>
      </c>
      <c r="AC122">
        <v>0</v>
      </c>
      <c r="AD122">
        <v>0</v>
      </c>
      <c r="AE122">
        <v>0.19658275301664385</v>
      </c>
      <c r="AF122">
        <v>0</v>
      </c>
      <c r="AG122">
        <v>0.80341724698335615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0.37764383811106245</v>
      </c>
      <c r="AN122">
        <v>0.37764383811106245</v>
      </c>
      <c r="AO122">
        <v>0.30340557275541802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0.6223561618889375</v>
      </c>
      <c r="BA122">
        <v>0</v>
      </c>
      <c r="BB122">
        <v>7.4238265355644428E-2</v>
      </c>
      <c r="BC122">
        <v>0</v>
      </c>
      <c r="BD122">
        <v>0.30340557275541802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3.2959183673469381</v>
      </c>
      <c r="BK122">
        <v>3.2959183673469381</v>
      </c>
      <c r="BL122">
        <v>1.2446832623456443</v>
      </c>
      <c r="CC122">
        <v>0</v>
      </c>
      <c r="CD122">
        <v>0</v>
      </c>
      <c r="CE122">
        <v>0</v>
      </c>
    </row>
    <row r="123" spans="1:84" hidden="1" x14ac:dyDescent="0.25">
      <c r="A123" t="s">
        <v>128</v>
      </c>
      <c r="B123" t="s">
        <v>372</v>
      </c>
      <c r="C123" t="s">
        <v>72</v>
      </c>
      <c r="D123" s="12">
        <v>46228</v>
      </c>
      <c r="E123" t="s">
        <v>501</v>
      </c>
      <c r="F123" t="s">
        <v>501</v>
      </c>
      <c r="G123" t="s">
        <v>501</v>
      </c>
      <c r="H123" t="s">
        <v>74</v>
      </c>
      <c r="I123">
        <v>20</v>
      </c>
      <c r="J123">
        <v>0</v>
      </c>
      <c r="K123">
        <v>46228</v>
      </c>
      <c r="L123" t="s">
        <v>222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F123">
        <v>0</v>
      </c>
    </row>
    <row r="124" spans="1:84" hidden="1" x14ac:dyDescent="0.25">
      <c r="A124" t="s">
        <v>128</v>
      </c>
      <c r="B124" t="s">
        <v>372</v>
      </c>
      <c r="C124" t="s">
        <v>109</v>
      </c>
      <c r="D124" s="12">
        <v>46231</v>
      </c>
      <c r="E124" t="s">
        <v>134</v>
      </c>
      <c r="F124" t="s">
        <v>134</v>
      </c>
      <c r="G124" t="s">
        <v>134</v>
      </c>
      <c r="J124">
        <v>11.674152105831531</v>
      </c>
      <c r="M124">
        <v>6.65</v>
      </c>
      <c r="N124">
        <v>6.65</v>
      </c>
      <c r="O124">
        <v>9.712478373702421</v>
      </c>
      <c r="S124">
        <v>1.4439870729866463E-2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0.24788996238689043</v>
      </c>
      <c r="AC124">
        <v>0.18247552028673705</v>
      </c>
      <c r="AD124">
        <v>0</v>
      </c>
      <c r="AE124">
        <v>0</v>
      </c>
      <c r="AF124">
        <v>0</v>
      </c>
      <c r="AG124">
        <v>0.5696345173263726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84" hidden="1" x14ac:dyDescent="0.25">
      <c r="A125" t="s">
        <v>128</v>
      </c>
      <c r="B125" t="s">
        <v>372</v>
      </c>
      <c r="C125" t="s">
        <v>72</v>
      </c>
      <c r="D125" s="12">
        <v>46228</v>
      </c>
      <c r="E125" t="s">
        <v>501</v>
      </c>
      <c r="F125" t="s">
        <v>501</v>
      </c>
      <c r="G125" t="s">
        <v>501</v>
      </c>
      <c r="H125" t="s">
        <v>75</v>
      </c>
      <c r="I125">
        <v>20</v>
      </c>
      <c r="J125">
        <v>3.1779578349000133</v>
      </c>
      <c r="K125">
        <v>46228</v>
      </c>
      <c r="L125" t="s">
        <v>221</v>
      </c>
      <c r="M125">
        <v>2.8499999999999996</v>
      </c>
      <c r="N125">
        <v>2.8499999999999996</v>
      </c>
      <c r="O125">
        <v>3.698961937716263</v>
      </c>
      <c r="P125">
        <v>0.89680233283827315</v>
      </c>
      <c r="Q125">
        <v>0.89680233283827315</v>
      </c>
      <c r="R125">
        <v>1.1639430508154121</v>
      </c>
      <c r="S125">
        <v>0.16394305081541205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0.10319766716172685</v>
      </c>
      <c r="AC125">
        <v>0</v>
      </c>
      <c r="AD125">
        <v>0</v>
      </c>
      <c r="AE125">
        <v>0</v>
      </c>
      <c r="AF125">
        <v>0</v>
      </c>
      <c r="AG125">
        <v>0.89680233283827315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1.1150729245263207</v>
      </c>
      <c r="AN125">
        <v>1.1150729245263207</v>
      </c>
      <c r="AO125">
        <v>1.2978813816548294</v>
      </c>
      <c r="AP125">
        <v>0.18280845712850868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0.11507292452632067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0.77048643592142174</v>
      </c>
      <c r="BK125">
        <v>0.77048643592142174</v>
      </c>
      <c r="BL125">
        <v>0.85914856341076129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0.14085143658923871</v>
      </c>
      <c r="BX125">
        <v>0</v>
      </c>
      <c r="BY125">
        <v>0</v>
      </c>
      <c r="BZ125">
        <v>0</v>
      </c>
      <c r="CA125">
        <v>0.77048643592142174</v>
      </c>
      <c r="CB125">
        <v>0</v>
      </c>
      <c r="CC125">
        <v>0</v>
      </c>
      <c r="CD125">
        <v>0</v>
      </c>
      <c r="CE125">
        <v>0</v>
      </c>
      <c r="CF125">
        <v>0</v>
      </c>
    </row>
    <row r="126" spans="1:84" hidden="1" x14ac:dyDescent="0.25">
      <c r="A126" t="s">
        <v>128</v>
      </c>
      <c r="B126" t="s">
        <v>372</v>
      </c>
      <c r="C126" t="s">
        <v>109</v>
      </c>
      <c r="D126" s="12">
        <v>46231</v>
      </c>
      <c r="E126" t="s">
        <v>501</v>
      </c>
      <c r="F126" t="s">
        <v>501</v>
      </c>
      <c r="G126" t="s">
        <v>501</v>
      </c>
      <c r="J126">
        <v>6.7655742969551049</v>
      </c>
      <c r="M126">
        <v>6.6499999999999995</v>
      </c>
      <c r="N126">
        <v>6.6499999999999995</v>
      </c>
      <c r="O126">
        <v>8.5121107266435967</v>
      </c>
      <c r="S126">
        <v>0.22675870878160934</v>
      </c>
      <c r="T126">
        <v>0</v>
      </c>
      <c r="U126">
        <v>0</v>
      </c>
      <c r="V126">
        <v>0</v>
      </c>
      <c r="W126">
        <v>0</v>
      </c>
      <c r="X126">
        <v>0.10117700989211498</v>
      </c>
      <c r="Y126">
        <v>3.1391797447334564E-2</v>
      </c>
      <c r="Z126">
        <v>0</v>
      </c>
      <c r="AA126">
        <v>0</v>
      </c>
      <c r="AB126">
        <v>4.8474500538352373E-2</v>
      </c>
      <c r="AC126">
        <v>0</v>
      </c>
      <c r="AD126">
        <v>0</v>
      </c>
      <c r="AE126">
        <v>0</v>
      </c>
      <c r="AF126">
        <v>0</v>
      </c>
      <c r="AG126">
        <v>0.42125027010384952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84" hidden="1" x14ac:dyDescent="0.25">
      <c r="A127" t="s">
        <v>128</v>
      </c>
      <c r="B127" t="s">
        <v>372</v>
      </c>
      <c r="C127" t="s">
        <v>72</v>
      </c>
      <c r="D127" s="12">
        <v>46229</v>
      </c>
      <c r="E127" t="s">
        <v>501</v>
      </c>
      <c r="F127" t="s">
        <v>501</v>
      </c>
      <c r="G127" t="s">
        <v>501</v>
      </c>
      <c r="H127" t="s">
        <v>73</v>
      </c>
      <c r="I127">
        <v>20</v>
      </c>
      <c r="J127">
        <v>3.587616462055093</v>
      </c>
      <c r="K127">
        <v>46229</v>
      </c>
      <c r="L127" t="s">
        <v>220</v>
      </c>
      <c r="M127">
        <v>5.6999999999999993</v>
      </c>
      <c r="N127">
        <v>5.6999999999999993</v>
      </c>
      <c r="O127">
        <v>3.8235294117647056</v>
      </c>
      <c r="P127">
        <v>1.5887985965854527</v>
      </c>
      <c r="Q127">
        <v>1.5887985965854527</v>
      </c>
      <c r="R127">
        <v>1.0657575725289417</v>
      </c>
      <c r="S127">
        <v>0</v>
      </c>
      <c r="T127">
        <v>0</v>
      </c>
      <c r="U127">
        <v>0.33879859658545275</v>
      </c>
      <c r="V127">
        <v>0</v>
      </c>
      <c r="W127">
        <v>0</v>
      </c>
      <c r="X127">
        <v>0</v>
      </c>
      <c r="Y127">
        <v>6.5757572528941655E-2</v>
      </c>
      <c r="Z127">
        <v>0</v>
      </c>
      <c r="AA127">
        <v>0.18424242747105835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0.6294063968517708</v>
      </c>
      <c r="AN127">
        <v>0.6294063968517708</v>
      </c>
      <c r="AO127">
        <v>0.6707946336429309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0.3292053663570691</v>
      </c>
      <c r="BA127">
        <v>0</v>
      </c>
      <c r="BB127">
        <v>0</v>
      </c>
      <c r="BC127">
        <v>0</v>
      </c>
      <c r="BD127">
        <v>0.6294063968517708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1.4907692307692306</v>
      </c>
      <c r="BK127">
        <v>1.4907692307692306</v>
      </c>
      <c r="BL127">
        <v>0.93829969007594749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0.49076923076923062</v>
      </c>
      <c r="BV127">
        <v>0</v>
      </c>
      <c r="BW127">
        <v>0</v>
      </c>
      <c r="BX127">
        <v>0</v>
      </c>
      <c r="BY127">
        <v>6.170030992405251E-2</v>
      </c>
      <c r="BZ127">
        <v>0</v>
      </c>
      <c r="CA127">
        <v>0.93829969007594749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hidden="1" x14ac:dyDescent="0.25">
      <c r="A128" t="s">
        <v>128</v>
      </c>
      <c r="B128" t="s">
        <v>372</v>
      </c>
      <c r="C128" t="s">
        <v>72</v>
      </c>
      <c r="D128" s="12">
        <v>46240</v>
      </c>
      <c r="E128" t="s">
        <v>501</v>
      </c>
      <c r="F128" t="s">
        <v>501</v>
      </c>
      <c r="G128" t="s">
        <v>501</v>
      </c>
      <c r="H128" t="s">
        <v>73</v>
      </c>
      <c r="I128">
        <v>20</v>
      </c>
      <c r="J128">
        <v>3.5876164620550925</v>
      </c>
      <c r="K128">
        <v>46240</v>
      </c>
      <c r="L128" t="s">
        <v>191</v>
      </c>
      <c r="M128">
        <v>11.4</v>
      </c>
      <c r="N128">
        <v>11.4</v>
      </c>
      <c r="O128">
        <v>3.7647058823529425</v>
      </c>
      <c r="P128">
        <v>3.1775971931709059</v>
      </c>
      <c r="Q128">
        <v>3.1775971931709059</v>
      </c>
      <c r="R128">
        <v>1.0493613021823431</v>
      </c>
      <c r="S128">
        <v>0</v>
      </c>
      <c r="T128">
        <v>0</v>
      </c>
      <c r="U128">
        <v>1.9275971931709059</v>
      </c>
      <c r="V128">
        <v>0</v>
      </c>
      <c r="W128">
        <v>0</v>
      </c>
      <c r="X128">
        <v>0</v>
      </c>
      <c r="Y128">
        <v>4.9361302182343136E-2</v>
      </c>
      <c r="Z128">
        <v>0</v>
      </c>
      <c r="AA128">
        <v>0.20063869781765686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0.31470319842588534</v>
      </c>
      <c r="AN128">
        <v>0.31470319842588534</v>
      </c>
      <c r="AO128">
        <v>0.33023735810113536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0.6697626418988647</v>
      </c>
      <c r="BA128">
        <v>0</v>
      </c>
      <c r="BB128">
        <v>0</v>
      </c>
      <c r="BC128">
        <v>0</v>
      </c>
      <c r="BD128">
        <v>0.31470319842588534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3.0281249999999984</v>
      </c>
      <c r="BK128">
        <v>3.0281249999999984</v>
      </c>
      <c r="BL128">
        <v>0.95296062273338367</v>
      </c>
      <c r="CC128">
        <v>0</v>
      </c>
      <c r="CD128">
        <v>0</v>
      </c>
      <c r="CE128">
        <v>0</v>
      </c>
    </row>
    <row r="129" spans="1:84" hidden="1" x14ac:dyDescent="0.25">
      <c r="A129" t="s">
        <v>128</v>
      </c>
      <c r="B129" t="s">
        <v>372</v>
      </c>
      <c r="C129" t="s">
        <v>109</v>
      </c>
      <c r="D129" s="12">
        <v>46231</v>
      </c>
      <c r="E129" t="s">
        <v>133</v>
      </c>
      <c r="F129" t="s">
        <v>133</v>
      </c>
      <c r="G129" t="s">
        <v>133</v>
      </c>
      <c r="J129">
        <v>26.933502998222423</v>
      </c>
      <c r="M129">
        <v>33.25</v>
      </c>
      <c r="N129">
        <v>33.25</v>
      </c>
      <c r="O129">
        <v>26.40625</v>
      </c>
      <c r="S129">
        <v>6.2854397439354323E-2</v>
      </c>
      <c r="T129">
        <v>0</v>
      </c>
      <c r="U129">
        <v>0.16063208989755681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0.10896180215475024</v>
      </c>
      <c r="AB129">
        <v>3.5071965877518027E-2</v>
      </c>
      <c r="AC129">
        <v>0</v>
      </c>
      <c r="AD129">
        <v>0</v>
      </c>
      <c r="AE129">
        <v>8.2430499302421273E-2</v>
      </c>
      <c r="AF129">
        <v>0</v>
      </c>
      <c r="AG129">
        <v>0.88249753482006066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84" hidden="1" x14ac:dyDescent="0.25">
      <c r="A130" t="s">
        <v>128</v>
      </c>
      <c r="B130" t="s">
        <v>372</v>
      </c>
      <c r="C130" t="s">
        <v>109</v>
      </c>
      <c r="D130" s="12">
        <v>46230</v>
      </c>
      <c r="E130" t="s">
        <v>134</v>
      </c>
      <c r="F130" t="s">
        <v>134</v>
      </c>
      <c r="G130" t="s">
        <v>134</v>
      </c>
      <c r="J130">
        <v>8.1606633099352042</v>
      </c>
      <c r="M130">
        <v>8.5500000000000007</v>
      </c>
      <c r="N130">
        <v>8.5500000000000007</v>
      </c>
      <c r="O130">
        <v>5.7991457612456747</v>
      </c>
      <c r="S130">
        <v>0</v>
      </c>
      <c r="T130">
        <v>0</v>
      </c>
      <c r="U130">
        <v>4.3886016556224643E-2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0.15996530004176476</v>
      </c>
      <c r="AB130">
        <v>0.1153308787341342</v>
      </c>
      <c r="AC130">
        <v>4.0811486363454781E-2</v>
      </c>
      <c r="AD130">
        <v>0</v>
      </c>
      <c r="AE130">
        <v>0.24856665105026479</v>
      </c>
      <c r="AF130">
        <v>0</v>
      </c>
      <c r="AG130">
        <v>0.59529098385214618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84" hidden="1" x14ac:dyDescent="0.25">
      <c r="A131" t="s">
        <v>128</v>
      </c>
      <c r="B131" t="s">
        <v>372</v>
      </c>
      <c r="C131" t="s">
        <v>109</v>
      </c>
      <c r="D131" s="12">
        <v>46230</v>
      </c>
      <c r="E131" t="s">
        <v>501</v>
      </c>
      <c r="F131" t="s">
        <v>501</v>
      </c>
      <c r="G131" t="s">
        <v>501</v>
      </c>
      <c r="J131">
        <v>6.7655742969551049</v>
      </c>
      <c r="M131">
        <v>6.6499999999999995</v>
      </c>
      <c r="N131">
        <v>6.6499999999999995</v>
      </c>
      <c r="O131">
        <v>8.512110726643602</v>
      </c>
      <c r="S131">
        <v>0.22675870878161014</v>
      </c>
      <c r="T131">
        <v>0</v>
      </c>
      <c r="U131">
        <v>0</v>
      </c>
      <c r="V131">
        <v>0</v>
      </c>
      <c r="W131">
        <v>0</v>
      </c>
      <c r="X131">
        <v>0.10117700989211496</v>
      </c>
      <c r="Y131">
        <v>3.1391797447334564E-2</v>
      </c>
      <c r="Z131">
        <v>0</v>
      </c>
      <c r="AA131">
        <v>0</v>
      </c>
      <c r="AB131">
        <v>4.8474500538352373E-2</v>
      </c>
      <c r="AC131">
        <v>0</v>
      </c>
      <c r="AD131">
        <v>0</v>
      </c>
      <c r="AE131">
        <v>0</v>
      </c>
      <c r="AF131">
        <v>0</v>
      </c>
      <c r="AG131">
        <v>0.42125027010384952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84" hidden="1" x14ac:dyDescent="0.25">
      <c r="A132" t="s">
        <v>128</v>
      </c>
      <c r="B132" t="s">
        <v>372</v>
      </c>
      <c r="C132" t="s">
        <v>72</v>
      </c>
      <c r="D132" s="12">
        <v>46229</v>
      </c>
      <c r="E132" t="s">
        <v>501</v>
      </c>
      <c r="F132" t="s">
        <v>501</v>
      </c>
      <c r="G132" t="s">
        <v>501</v>
      </c>
      <c r="H132" t="s">
        <v>75</v>
      </c>
      <c r="I132">
        <v>20</v>
      </c>
      <c r="J132">
        <v>3.1779578349000128</v>
      </c>
      <c r="K132">
        <v>46229</v>
      </c>
      <c r="L132" t="s">
        <v>218</v>
      </c>
      <c r="M132">
        <v>2.8499999999999996</v>
      </c>
      <c r="N132">
        <v>2.8499999999999996</v>
      </c>
      <c r="O132">
        <v>3.7543252595155714</v>
      </c>
      <c r="P132">
        <v>0.89680233283827326</v>
      </c>
      <c r="Q132">
        <v>0.89680233283827326</v>
      </c>
      <c r="R132">
        <v>1.181364088058674</v>
      </c>
      <c r="S132">
        <v>0.18136408805867399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0.10319766716172674</v>
      </c>
      <c r="AC132">
        <v>0</v>
      </c>
      <c r="AD132">
        <v>0</v>
      </c>
      <c r="AE132">
        <v>0</v>
      </c>
      <c r="AF132">
        <v>0</v>
      </c>
      <c r="AG132">
        <v>0.89680233283827326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1.1150729245263205</v>
      </c>
      <c r="AN132">
        <v>1.1150729245263205</v>
      </c>
      <c r="AO132">
        <v>1.317307108601955</v>
      </c>
      <c r="AP132">
        <v>0.20223418407563454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0.11507292452632045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0.7591244239631334</v>
      </c>
      <c r="BK132">
        <v>0.7591244239631334</v>
      </c>
      <c r="BL132">
        <v>0.84647909150792955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0.15352090849207045</v>
      </c>
      <c r="BX132">
        <v>0</v>
      </c>
      <c r="BY132">
        <v>0</v>
      </c>
      <c r="BZ132">
        <v>0</v>
      </c>
      <c r="CA132">
        <v>0.7591244239631334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hidden="1" x14ac:dyDescent="0.25">
      <c r="A133" t="s">
        <v>128</v>
      </c>
      <c r="B133" t="s">
        <v>372</v>
      </c>
      <c r="C133" t="s">
        <v>72</v>
      </c>
      <c r="D133" s="12">
        <v>46230</v>
      </c>
      <c r="E133" t="s">
        <v>501</v>
      </c>
      <c r="F133" t="s">
        <v>501</v>
      </c>
      <c r="G133" t="s">
        <v>501</v>
      </c>
      <c r="H133" t="s">
        <v>73</v>
      </c>
      <c r="I133">
        <v>20</v>
      </c>
      <c r="J133">
        <v>3.5876164620550921</v>
      </c>
      <c r="K133">
        <v>46230</v>
      </c>
      <c r="L133" t="s">
        <v>217</v>
      </c>
      <c r="M133">
        <v>3.8</v>
      </c>
      <c r="N133">
        <v>3.8</v>
      </c>
      <c r="O133">
        <v>4.7058823529411793</v>
      </c>
      <c r="P133">
        <v>1.0591990643903022</v>
      </c>
      <c r="Q133">
        <v>1.0591990643903022</v>
      </c>
      <c r="R133">
        <v>1.3117016277279294</v>
      </c>
      <c r="S133">
        <v>0.25250256333762722</v>
      </c>
      <c r="T133">
        <v>0</v>
      </c>
      <c r="U133">
        <v>0</v>
      </c>
      <c r="V133">
        <v>0</v>
      </c>
      <c r="W133">
        <v>0</v>
      </c>
      <c r="X133">
        <v>0.1908009356096978</v>
      </c>
      <c r="Y133">
        <v>5.9199064390302203E-2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0.94410959527765581</v>
      </c>
      <c r="AN133">
        <v>0.94410959527765581</v>
      </c>
      <c r="AO133">
        <v>1.2383900928792577</v>
      </c>
      <c r="AP133">
        <v>0.23839009287925772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0.94410959527765581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0.80749999999999944</v>
      </c>
      <c r="BK133">
        <v>0.80749999999999944</v>
      </c>
      <c r="BL133">
        <v>0.7623684981867066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0.19250000000000056</v>
      </c>
      <c r="BX133">
        <v>0</v>
      </c>
      <c r="BY133">
        <v>4.513150181329284E-2</v>
      </c>
      <c r="BZ133">
        <v>0</v>
      </c>
      <c r="CA133">
        <v>0.7623684981867066</v>
      </c>
      <c r="CB133">
        <v>0</v>
      </c>
      <c r="CC133">
        <v>0</v>
      </c>
      <c r="CD133">
        <v>0</v>
      </c>
      <c r="CE133">
        <v>0</v>
      </c>
      <c r="CF133">
        <v>0</v>
      </c>
    </row>
    <row r="134" spans="1:84" hidden="1" x14ac:dyDescent="0.25">
      <c r="A134" t="s">
        <v>128</v>
      </c>
      <c r="B134" t="s">
        <v>372</v>
      </c>
      <c r="C134" t="s">
        <v>109</v>
      </c>
      <c r="D134" s="12">
        <v>46230</v>
      </c>
      <c r="E134" t="s">
        <v>133</v>
      </c>
      <c r="F134" t="s">
        <v>133</v>
      </c>
      <c r="G134" t="s">
        <v>133</v>
      </c>
      <c r="J134">
        <v>27.065400662268566</v>
      </c>
      <c r="M134">
        <v>34.200000000000003</v>
      </c>
      <c r="N134">
        <v>34.200000000000003</v>
      </c>
      <c r="O134">
        <v>27.609375</v>
      </c>
      <c r="S134">
        <v>0</v>
      </c>
      <c r="T134">
        <v>0</v>
      </c>
      <c r="U134">
        <v>0.15375766450819259</v>
      </c>
      <c r="V134">
        <v>0</v>
      </c>
      <c r="W134">
        <v>0</v>
      </c>
      <c r="X134">
        <v>0</v>
      </c>
      <c r="Y134">
        <v>2.0788595005785195E-2</v>
      </c>
      <c r="Z134">
        <v>0</v>
      </c>
      <c r="AA134">
        <v>0.10841592833373852</v>
      </c>
      <c r="AB134">
        <v>1.8666205597230815E-2</v>
      </c>
      <c r="AC134">
        <v>6.9008087258106397E-4</v>
      </c>
      <c r="AD134">
        <v>0</v>
      </c>
      <c r="AE134">
        <v>0</v>
      </c>
      <c r="AF134">
        <v>0</v>
      </c>
      <c r="AG134">
        <v>0.98064371353018809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84" hidden="1" x14ac:dyDescent="0.25">
      <c r="A135" t="s">
        <v>128</v>
      </c>
      <c r="B135" t="s">
        <v>372</v>
      </c>
      <c r="C135" t="s">
        <v>72</v>
      </c>
      <c r="D135" s="12">
        <v>46230</v>
      </c>
      <c r="E135" t="s">
        <v>501</v>
      </c>
      <c r="F135" t="s">
        <v>501</v>
      </c>
      <c r="G135" t="s">
        <v>501</v>
      </c>
      <c r="H135" t="s">
        <v>74</v>
      </c>
      <c r="I135">
        <v>20</v>
      </c>
      <c r="J135">
        <v>0</v>
      </c>
      <c r="K135">
        <v>46230</v>
      </c>
      <c r="L135" t="s">
        <v>216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F135">
        <v>0</v>
      </c>
    </row>
    <row r="136" spans="1:84" hidden="1" x14ac:dyDescent="0.25">
      <c r="A136" t="s">
        <v>128</v>
      </c>
      <c r="B136" t="s">
        <v>372</v>
      </c>
      <c r="C136" t="s">
        <v>72</v>
      </c>
      <c r="D136" s="12">
        <v>46229</v>
      </c>
      <c r="E136" t="s">
        <v>501</v>
      </c>
      <c r="F136" t="s">
        <v>501</v>
      </c>
      <c r="G136" t="s">
        <v>501</v>
      </c>
      <c r="H136" t="s">
        <v>74</v>
      </c>
      <c r="I136">
        <v>20</v>
      </c>
      <c r="J136">
        <v>0</v>
      </c>
      <c r="K136">
        <v>46229</v>
      </c>
      <c r="L136" t="s">
        <v>219</v>
      </c>
      <c r="M136">
        <v>0.95</v>
      </c>
      <c r="N136">
        <v>0.95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F136">
        <v>0</v>
      </c>
    </row>
    <row r="137" spans="1:84" hidden="1" x14ac:dyDescent="0.25">
      <c r="A137" t="s">
        <v>128</v>
      </c>
      <c r="B137" t="s">
        <v>372</v>
      </c>
      <c r="C137" t="s">
        <v>72</v>
      </c>
      <c r="D137" s="12">
        <v>46248</v>
      </c>
      <c r="E137" t="s">
        <v>134</v>
      </c>
      <c r="F137" t="s">
        <v>134</v>
      </c>
      <c r="G137" t="s">
        <v>134</v>
      </c>
      <c r="H137" t="s">
        <v>73</v>
      </c>
      <c r="I137">
        <v>10</v>
      </c>
      <c r="J137">
        <v>4.5675354346652259</v>
      </c>
      <c r="K137">
        <v>46248</v>
      </c>
      <c r="L137" t="s">
        <v>159</v>
      </c>
      <c r="M137">
        <v>0</v>
      </c>
      <c r="N137">
        <v>0</v>
      </c>
      <c r="O137">
        <v>3.1104779411764705</v>
      </c>
      <c r="P137">
        <v>0</v>
      </c>
      <c r="Q137">
        <v>0</v>
      </c>
      <c r="R137">
        <v>0.68099700279707864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0.68099700279707864</v>
      </c>
      <c r="AC137">
        <v>0.31900299720292136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J137">
        <v>0</v>
      </c>
      <c r="BK137">
        <v>0</v>
      </c>
      <c r="BL137">
        <v>1.4684352440505188</v>
      </c>
      <c r="BM137">
        <v>0.46843524405051884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1</v>
      </c>
    </row>
    <row r="138" spans="1:84" hidden="1" x14ac:dyDescent="0.25">
      <c r="A138" t="s">
        <v>128</v>
      </c>
      <c r="B138" t="s">
        <v>372</v>
      </c>
      <c r="C138" t="s">
        <v>72</v>
      </c>
      <c r="D138" s="12">
        <v>46223</v>
      </c>
      <c r="E138" t="s">
        <v>133</v>
      </c>
      <c r="F138" t="s">
        <v>133</v>
      </c>
      <c r="G138" t="s">
        <v>133</v>
      </c>
      <c r="H138" t="s">
        <v>73</v>
      </c>
      <c r="I138">
        <v>20</v>
      </c>
      <c r="J138">
        <v>11.87078976415288</v>
      </c>
      <c r="K138">
        <v>46223</v>
      </c>
      <c r="L138" t="s">
        <v>173</v>
      </c>
      <c r="M138">
        <v>17.099999999999998</v>
      </c>
      <c r="N138">
        <v>17.099999999999998</v>
      </c>
      <c r="O138">
        <v>11.389093137254902</v>
      </c>
      <c r="P138">
        <v>1.4405107275708107</v>
      </c>
      <c r="Q138">
        <v>1.4405107275708107</v>
      </c>
      <c r="R138">
        <v>0.95942168663852556</v>
      </c>
      <c r="S138">
        <v>0</v>
      </c>
      <c r="T138">
        <v>0</v>
      </c>
      <c r="U138">
        <v>0.19051072757081067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0.25</v>
      </c>
      <c r="AB138">
        <v>0</v>
      </c>
      <c r="AC138">
        <v>0</v>
      </c>
      <c r="AD138">
        <v>0</v>
      </c>
      <c r="AE138">
        <v>4.0578313361474438E-2</v>
      </c>
      <c r="AF138">
        <v>0</v>
      </c>
      <c r="AG138">
        <v>0.95942168663852556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0.69419823182180596</v>
      </c>
      <c r="AN138">
        <v>0.69419823182180596</v>
      </c>
      <c r="AO138">
        <v>0.66602883843595928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0.30580176817819404</v>
      </c>
      <c r="BA138">
        <v>0</v>
      </c>
      <c r="BB138">
        <v>2.8169393385846675E-2</v>
      </c>
      <c r="BC138">
        <v>0</v>
      </c>
      <c r="BD138">
        <v>0.66602883843595928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1.5014364878678645</v>
      </c>
      <c r="BK138">
        <v>1.5014364878678645</v>
      </c>
      <c r="BL138">
        <v>1.042294555070614</v>
      </c>
      <c r="CC138">
        <v>0</v>
      </c>
      <c r="CD138">
        <v>0</v>
      </c>
      <c r="CE138">
        <v>0</v>
      </c>
    </row>
    <row r="139" spans="1:84" hidden="1" x14ac:dyDescent="0.25">
      <c r="A139" t="s">
        <v>128</v>
      </c>
      <c r="B139" t="s">
        <v>372</v>
      </c>
      <c r="C139" t="s">
        <v>72</v>
      </c>
      <c r="D139" s="12">
        <v>46247</v>
      </c>
      <c r="E139" t="s">
        <v>134</v>
      </c>
      <c r="F139" t="s">
        <v>134</v>
      </c>
      <c r="G139" t="s">
        <v>134</v>
      </c>
      <c r="H139" t="s">
        <v>75</v>
      </c>
      <c r="I139">
        <v>10</v>
      </c>
      <c r="J139">
        <v>3.3729492440604751</v>
      </c>
      <c r="K139">
        <v>46247</v>
      </c>
      <c r="L139" t="s">
        <v>161</v>
      </c>
      <c r="M139">
        <v>0</v>
      </c>
      <c r="N139">
        <v>0</v>
      </c>
      <c r="O139">
        <v>3.5949826989619371</v>
      </c>
      <c r="P139">
        <v>0</v>
      </c>
      <c r="Q139">
        <v>0</v>
      </c>
      <c r="R139">
        <v>1.0658276893114971</v>
      </c>
      <c r="S139">
        <v>6.5827689311497073E-2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0.9382379628793277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6.1762037120672297E-2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0.9382379628793277</v>
      </c>
      <c r="CF139">
        <v>0</v>
      </c>
    </row>
    <row r="140" spans="1:84" hidden="1" x14ac:dyDescent="0.25">
      <c r="A140" t="s">
        <v>128</v>
      </c>
      <c r="B140" t="s">
        <v>372</v>
      </c>
      <c r="C140" t="s">
        <v>72</v>
      </c>
      <c r="D140" s="12">
        <v>46234</v>
      </c>
      <c r="E140" t="s">
        <v>134</v>
      </c>
      <c r="F140" t="s">
        <v>134</v>
      </c>
      <c r="G140" t="s">
        <v>134</v>
      </c>
      <c r="H140" t="s">
        <v>75</v>
      </c>
      <c r="I140">
        <v>10</v>
      </c>
      <c r="J140">
        <v>2.2486328293736499</v>
      </c>
      <c r="K140">
        <v>46234</v>
      </c>
      <c r="L140" t="s">
        <v>189</v>
      </c>
      <c r="M140">
        <v>2.8499999999999996</v>
      </c>
      <c r="N140">
        <v>2.8499999999999996</v>
      </c>
      <c r="O140">
        <v>2.6538062283737021</v>
      </c>
      <c r="P140">
        <v>1.2674368010511787</v>
      </c>
      <c r="Q140">
        <v>1.2674368010511787</v>
      </c>
      <c r="R140">
        <v>1.1801865532279505</v>
      </c>
      <c r="S140">
        <v>0</v>
      </c>
      <c r="T140">
        <v>0</v>
      </c>
      <c r="U140">
        <v>1.743680105117873E-2</v>
      </c>
      <c r="V140">
        <v>0</v>
      </c>
      <c r="W140">
        <v>0</v>
      </c>
      <c r="X140">
        <v>0</v>
      </c>
      <c r="Y140">
        <v>0.18018655322795052</v>
      </c>
      <c r="Z140">
        <v>0</v>
      </c>
      <c r="AA140">
        <v>6.9813446772049481E-2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0.78899397521882464</v>
      </c>
      <c r="AN140">
        <v>0.78899397521882464</v>
      </c>
      <c r="AO140">
        <v>0.93116008013112361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6.8839919868876387E-2</v>
      </c>
      <c r="BA140">
        <v>0</v>
      </c>
      <c r="BB140">
        <v>0</v>
      </c>
      <c r="BC140">
        <v>0</v>
      </c>
      <c r="BD140">
        <v>0.78899397521882464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1.0739292000782319</v>
      </c>
      <c r="BK140">
        <v>1.0739292000782319</v>
      </c>
      <c r="BL140">
        <v>0.84732366867329667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7.3929200078231894E-2</v>
      </c>
      <c r="BV140">
        <v>0</v>
      </c>
      <c r="BW140">
        <v>0</v>
      </c>
      <c r="BX140">
        <v>0</v>
      </c>
      <c r="BY140">
        <v>0.15267633132670333</v>
      </c>
      <c r="BZ140">
        <v>0</v>
      </c>
      <c r="CA140">
        <v>0.84732366867329667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84" hidden="1" x14ac:dyDescent="0.25">
      <c r="A141" t="s">
        <v>128</v>
      </c>
      <c r="B141" t="s">
        <v>372</v>
      </c>
      <c r="C141" t="s">
        <v>72</v>
      </c>
      <c r="D141" s="12">
        <v>46235</v>
      </c>
      <c r="E141" t="s">
        <v>134</v>
      </c>
      <c r="F141" t="s">
        <v>134</v>
      </c>
      <c r="G141" t="s">
        <v>134</v>
      </c>
      <c r="H141" t="s">
        <v>73</v>
      </c>
      <c r="I141">
        <v>10</v>
      </c>
      <c r="J141">
        <v>5.3405029697624178</v>
      </c>
      <c r="K141">
        <v>46235</v>
      </c>
      <c r="L141" t="s">
        <v>188</v>
      </c>
      <c r="M141">
        <v>4.75</v>
      </c>
      <c r="N141">
        <v>4.75</v>
      </c>
      <c r="O141">
        <v>4.3235294117647047</v>
      </c>
      <c r="P141">
        <v>0.88942933407100278</v>
      </c>
      <c r="Q141">
        <v>0.88942933407100278</v>
      </c>
      <c r="R141">
        <v>0.80957344958784749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0.11057066592899722</v>
      </c>
      <c r="AD141">
        <v>0</v>
      </c>
      <c r="AE141">
        <v>7.9855884483155282E-2</v>
      </c>
      <c r="AF141">
        <v>0</v>
      </c>
      <c r="AG141">
        <v>0.80957344958784749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1.1243164146868247</v>
      </c>
      <c r="AN141">
        <v>1.1243164146868247</v>
      </c>
      <c r="AO141">
        <v>0.91021671826625361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0.12431641468682475</v>
      </c>
      <c r="AY141">
        <v>0</v>
      </c>
      <c r="AZ141">
        <v>0</v>
      </c>
      <c r="BA141">
        <v>0</v>
      </c>
      <c r="BB141">
        <v>8.978328173374639E-2</v>
      </c>
      <c r="BC141">
        <v>0</v>
      </c>
      <c r="BD141">
        <v>0.91021671826625361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1.0986394557823131</v>
      </c>
      <c r="BK141">
        <v>1.0986394557823131</v>
      </c>
      <c r="BL141">
        <v>1.2352183739586549</v>
      </c>
      <c r="BM141">
        <v>0.13657891817634171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9.8639455782313146E-2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84" hidden="1" x14ac:dyDescent="0.25">
      <c r="A142" t="s">
        <v>128</v>
      </c>
      <c r="B142" t="s">
        <v>372</v>
      </c>
      <c r="C142" t="s">
        <v>72</v>
      </c>
      <c r="D142" s="12">
        <v>46225</v>
      </c>
      <c r="E142" t="s">
        <v>134</v>
      </c>
      <c r="F142" t="s">
        <v>134</v>
      </c>
      <c r="G142" t="s">
        <v>134</v>
      </c>
      <c r="H142" t="s">
        <v>73</v>
      </c>
      <c r="I142">
        <v>10</v>
      </c>
      <c r="J142">
        <v>4.6378052105831538</v>
      </c>
      <c r="K142">
        <v>46225</v>
      </c>
      <c r="L142" t="s">
        <v>163</v>
      </c>
      <c r="M142">
        <v>3.8</v>
      </c>
      <c r="N142">
        <v>3.8</v>
      </c>
      <c r="O142">
        <v>2.7656250000000009</v>
      </c>
      <c r="P142">
        <v>0.81935308350783254</v>
      </c>
      <c r="Q142">
        <v>0.81935308350783254</v>
      </c>
      <c r="R142">
        <v>0.59632193988851323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0.18064691649216746</v>
      </c>
      <c r="AD142">
        <v>0</v>
      </c>
      <c r="AE142">
        <v>0.22303114361931931</v>
      </c>
      <c r="AF142">
        <v>0</v>
      </c>
      <c r="AG142">
        <v>0.59632193988851323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1.2204750554166195</v>
      </c>
      <c r="AN142">
        <v>1.2204750554166195</v>
      </c>
      <c r="AO142">
        <v>0.7277960526315792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0.22047505541661949</v>
      </c>
      <c r="AY142">
        <v>0</v>
      </c>
      <c r="AZ142">
        <v>0</v>
      </c>
      <c r="BA142">
        <v>0</v>
      </c>
      <c r="BB142">
        <v>0.2722039473684208</v>
      </c>
      <c r="BC142">
        <v>0</v>
      </c>
      <c r="BD142">
        <v>0.7277960526315792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1.3740112994350278</v>
      </c>
      <c r="BK142">
        <v>1.3740112994350278</v>
      </c>
      <c r="BL142">
        <v>1.6769465168210269</v>
      </c>
      <c r="BM142">
        <v>0.30293521738599916</v>
      </c>
      <c r="BN142">
        <v>0</v>
      </c>
      <c r="BO142">
        <v>0</v>
      </c>
      <c r="BP142">
        <v>0</v>
      </c>
      <c r="BQ142">
        <v>0</v>
      </c>
      <c r="BR142">
        <v>0.12598870056497224</v>
      </c>
      <c r="BS142">
        <v>0.37401129943502776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hidden="1" x14ac:dyDescent="0.25">
      <c r="A143" t="s">
        <v>128</v>
      </c>
      <c r="B143" t="s">
        <v>372</v>
      </c>
      <c r="C143" t="s">
        <v>72</v>
      </c>
      <c r="D143" s="12">
        <v>46235</v>
      </c>
      <c r="E143" t="s">
        <v>134</v>
      </c>
      <c r="F143" t="s">
        <v>134</v>
      </c>
      <c r="G143" t="s">
        <v>134</v>
      </c>
      <c r="H143" t="s">
        <v>74</v>
      </c>
      <c r="I143">
        <v>10</v>
      </c>
      <c r="J143">
        <v>1.2742252699784016</v>
      </c>
      <c r="K143">
        <v>46235</v>
      </c>
      <c r="L143" t="s">
        <v>187</v>
      </c>
      <c r="M143">
        <v>0</v>
      </c>
      <c r="N143">
        <v>0</v>
      </c>
      <c r="O143">
        <v>0.94117647058823517</v>
      </c>
      <c r="P143">
        <v>0</v>
      </c>
      <c r="Q143">
        <v>0</v>
      </c>
      <c r="R143">
        <v>0.73862643659875649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0.73862643659875649</v>
      </c>
      <c r="AC143">
        <v>0.26137356340124351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1.3538643493520519</v>
      </c>
      <c r="BM143">
        <v>0.35386434935205191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 spans="1:84" hidden="1" x14ac:dyDescent="0.25">
      <c r="A144" t="s">
        <v>128</v>
      </c>
      <c r="B144" t="s">
        <v>372</v>
      </c>
      <c r="C144" t="s">
        <v>72</v>
      </c>
      <c r="D144" s="12">
        <v>46224</v>
      </c>
      <c r="E144" t="s">
        <v>134</v>
      </c>
      <c r="F144" t="s">
        <v>134</v>
      </c>
      <c r="G144" t="s">
        <v>134</v>
      </c>
      <c r="H144" t="s">
        <v>75</v>
      </c>
      <c r="I144">
        <v>10</v>
      </c>
      <c r="J144">
        <v>3.3729492440604751</v>
      </c>
      <c r="K144">
        <v>46224</v>
      </c>
      <c r="L144" t="s">
        <v>166</v>
      </c>
      <c r="M144">
        <v>0.95</v>
      </c>
      <c r="N144">
        <v>0.95</v>
      </c>
      <c r="O144">
        <v>3.4861591695501715</v>
      </c>
      <c r="P144">
        <v>0.28165262245581746</v>
      </c>
      <c r="Q144">
        <v>0.28165262245581746</v>
      </c>
      <c r="R144">
        <v>1.0335640762128429</v>
      </c>
      <c r="S144">
        <v>3.3564076212842853E-2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0.71834737754418254</v>
      </c>
      <c r="AC144">
        <v>0</v>
      </c>
      <c r="AD144">
        <v>0</v>
      </c>
      <c r="AE144">
        <v>0</v>
      </c>
      <c r="AF144">
        <v>0</v>
      </c>
      <c r="AG144">
        <v>0.28165262245581746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3.5504728884847108</v>
      </c>
      <c r="AN144">
        <v>3.5504728884847108</v>
      </c>
      <c r="AO144">
        <v>3.6696412311054436</v>
      </c>
      <c r="BF144">
        <v>0</v>
      </c>
      <c r="BG144">
        <v>0</v>
      </c>
      <c r="BH144">
        <v>0</v>
      </c>
      <c r="BJ144">
        <v>0.2725062034739455</v>
      </c>
      <c r="BK144">
        <v>0.2725062034739455</v>
      </c>
      <c r="BL144">
        <v>0.96752588737814171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3.2474112621858287E-2</v>
      </c>
      <c r="BX144">
        <v>0</v>
      </c>
      <c r="BY144">
        <v>0</v>
      </c>
      <c r="BZ144">
        <v>0</v>
      </c>
      <c r="CA144">
        <v>0.2725062034739455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 spans="1:84" hidden="1" x14ac:dyDescent="0.25">
      <c r="A145" t="s">
        <v>128</v>
      </c>
      <c r="B145" t="s">
        <v>372</v>
      </c>
      <c r="C145" t="s">
        <v>72</v>
      </c>
      <c r="D145" s="12">
        <v>46235</v>
      </c>
      <c r="E145" t="s">
        <v>134</v>
      </c>
      <c r="F145" t="s">
        <v>134</v>
      </c>
      <c r="G145" t="s">
        <v>134</v>
      </c>
      <c r="H145" t="s">
        <v>75</v>
      </c>
      <c r="I145">
        <v>10</v>
      </c>
      <c r="J145">
        <v>2.2486328293736499</v>
      </c>
      <c r="K145">
        <v>46235</v>
      </c>
      <c r="L145" t="s">
        <v>186</v>
      </c>
      <c r="M145">
        <v>0.95</v>
      </c>
      <c r="N145">
        <v>0.95</v>
      </c>
      <c r="O145">
        <v>2.1591695501730106</v>
      </c>
      <c r="P145">
        <v>0.42247893368372624</v>
      </c>
      <c r="Q145">
        <v>0.42247893368372624</v>
      </c>
      <c r="R145">
        <v>0.96021436757838363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0.53773543389465739</v>
      </c>
      <c r="AC145">
        <v>3.9785632421616368E-2</v>
      </c>
      <c r="AD145">
        <v>0</v>
      </c>
      <c r="AE145">
        <v>0</v>
      </c>
      <c r="AF145">
        <v>0</v>
      </c>
      <c r="AG145">
        <v>0.42247893368372624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2.3669819256564737</v>
      </c>
      <c r="AN145">
        <v>2.3669819256564737</v>
      </c>
      <c r="AO145">
        <v>2.2728100528136954</v>
      </c>
      <c r="BF145">
        <v>0</v>
      </c>
      <c r="BG145">
        <v>0</v>
      </c>
      <c r="BH145">
        <v>0</v>
      </c>
      <c r="BJ145">
        <v>0.43998397435897429</v>
      </c>
      <c r="BK145">
        <v>0.43998397435897429</v>
      </c>
      <c r="BL145">
        <v>1.0414341148861936</v>
      </c>
      <c r="BM145">
        <v>4.143411488619364E-2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0.57752106631627376</v>
      </c>
      <c r="BW145">
        <v>0</v>
      </c>
      <c r="BX145">
        <v>0</v>
      </c>
      <c r="BY145">
        <v>0</v>
      </c>
      <c r="BZ145">
        <v>0</v>
      </c>
      <c r="CA145">
        <v>0.43998397435897429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hidden="1" x14ac:dyDescent="0.25">
      <c r="A146" t="s">
        <v>128</v>
      </c>
      <c r="B146" t="s">
        <v>372</v>
      </c>
      <c r="C146" t="s">
        <v>72</v>
      </c>
      <c r="D146" s="12">
        <v>46224</v>
      </c>
      <c r="E146" t="s">
        <v>134</v>
      </c>
      <c r="F146" t="s">
        <v>134</v>
      </c>
      <c r="G146" t="s">
        <v>134</v>
      </c>
      <c r="H146" t="s">
        <v>74</v>
      </c>
      <c r="I146">
        <v>10</v>
      </c>
      <c r="J146">
        <v>1.2742252699784016</v>
      </c>
      <c r="K146">
        <v>46224</v>
      </c>
      <c r="L146" t="s">
        <v>169</v>
      </c>
      <c r="M146">
        <v>0</v>
      </c>
      <c r="N146">
        <v>0</v>
      </c>
      <c r="O146">
        <v>0.94117647058823517</v>
      </c>
      <c r="P146">
        <v>0</v>
      </c>
      <c r="Q146">
        <v>0</v>
      </c>
      <c r="R146">
        <v>0.73862643659875649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0.73862643659875649</v>
      </c>
      <c r="AC146">
        <v>0.26137356340124351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1.3538643493520519</v>
      </c>
      <c r="BM146">
        <v>0.35386434935205191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hidden="1" x14ac:dyDescent="0.25">
      <c r="A147" t="s">
        <v>128</v>
      </c>
      <c r="B147" t="s">
        <v>372</v>
      </c>
      <c r="C147" t="s">
        <v>72</v>
      </c>
      <c r="D147" s="12">
        <v>46236</v>
      </c>
      <c r="E147" t="s">
        <v>134</v>
      </c>
      <c r="F147" t="s">
        <v>134</v>
      </c>
      <c r="G147" t="s">
        <v>134</v>
      </c>
      <c r="H147" t="s">
        <v>73</v>
      </c>
      <c r="I147">
        <v>10</v>
      </c>
      <c r="J147">
        <v>3.5134887958963272</v>
      </c>
      <c r="K147">
        <v>46236</v>
      </c>
      <c r="L147" t="s">
        <v>185</v>
      </c>
      <c r="M147">
        <v>4.75</v>
      </c>
      <c r="N147">
        <v>4.75</v>
      </c>
      <c r="O147">
        <v>2.9411764705882346</v>
      </c>
      <c r="P147">
        <v>1.3519325877879242</v>
      </c>
      <c r="Q147">
        <v>1.3519325877879242</v>
      </c>
      <c r="R147">
        <v>0.83710996147859074</v>
      </c>
      <c r="S147">
        <v>0</v>
      </c>
      <c r="T147">
        <v>0</v>
      </c>
      <c r="U147">
        <v>0.10193258778792424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0.25</v>
      </c>
      <c r="AB147">
        <v>0</v>
      </c>
      <c r="AC147">
        <v>0</v>
      </c>
      <c r="AD147">
        <v>0</v>
      </c>
      <c r="AE147">
        <v>0.16289003852140926</v>
      </c>
      <c r="AF147">
        <v>0</v>
      </c>
      <c r="AG147">
        <v>0.83710996147859074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0.73968185176764789</v>
      </c>
      <c r="AN147">
        <v>0.73968185176764789</v>
      </c>
      <c r="AO147">
        <v>0.6191950464396283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0.26031814823235211</v>
      </c>
      <c r="BA147">
        <v>0</v>
      </c>
      <c r="BB147">
        <v>0.12048680532801959</v>
      </c>
      <c r="BC147">
        <v>0</v>
      </c>
      <c r="BD147">
        <v>0.6191950464396283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1.6150000000000004</v>
      </c>
      <c r="BK147">
        <v>1.6150000000000004</v>
      </c>
      <c r="BL147">
        <v>1.1945861906047515</v>
      </c>
      <c r="CC147">
        <v>0</v>
      </c>
      <c r="CD147">
        <v>0</v>
      </c>
      <c r="CE147">
        <v>0</v>
      </c>
    </row>
    <row r="148" spans="1:84" hidden="1" x14ac:dyDescent="0.25">
      <c r="A148" t="s">
        <v>128</v>
      </c>
      <c r="B148" t="s">
        <v>372</v>
      </c>
      <c r="C148" t="s">
        <v>72</v>
      </c>
      <c r="D148" s="12">
        <v>46224</v>
      </c>
      <c r="E148" t="s">
        <v>134</v>
      </c>
      <c r="F148" t="s">
        <v>134</v>
      </c>
      <c r="G148" t="s">
        <v>134</v>
      </c>
      <c r="H148" t="s">
        <v>73</v>
      </c>
      <c r="I148">
        <v>10</v>
      </c>
      <c r="J148">
        <v>5.8323914011879054</v>
      </c>
      <c r="K148">
        <v>46224</v>
      </c>
      <c r="L148" t="s">
        <v>172</v>
      </c>
      <c r="M148">
        <v>5.6999999999999993</v>
      </c>
      <c r="N148">
        <v>5.6999999999999993</v>
      </c>
      <c r="O148">
        <v>4.2886029411764692</v>
      </c>
      <c r="P148">
        <v>0.97730066587078823</v>
      </c>
      <c r="Q148">
        <v>0.97730066587078823</v>
      </c>
      <c r="R148">
        <v>0.7353078087837166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2.2699334129211768E-2</v>
      </c>
      <c r="AD148">
        <v>0</v>
      </c>
      <c r="AE148">
        <v>0.24199285708707163</v>
      </c>
      <c r="AF148">
        <v>0</v>
      </c>
      <c r="AG148">
        <v>0.7353078087837166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1.0232265616119134</v>
      </c>
      <c r="AN148">
        <v>1.0232265616119134</v>
      </c>
      <c r="AO148">
        <v>0.75238648090815263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2.3226561611913388E-2</v>
      </c>
      <c r="AY148">
        <v>0</v>
      </c>
      <c r="AZ148">
        <v>0</v>
      </c>
      <c r="BA148">
        <v>0</v>
      </c>
      <c r="BB148">
        <v>0.24761351909184737</v>
      </c>
      <c r="BC148">
        <v>0</v>
      </c>
      <c r="BD148">
        <v>0.75238648090815263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1.3291041577368199</v>
      </c>
      <c r="BK148">
        <v>1.3291041577368199</v>
      </c>
      <c r="BL148">
        <v>1.3599746773451442</v>
      </c>
      <c r="BM148">
        <v>3.0870519608324321E-2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0.32910415773681989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hidden="1" x14ac:dyDescent="0.25">
      <c r="A149" t="s">
        <v>128</v>
      </c>
      <c r="B149" t="s">
        <v>372</v>
      </c>
      <c r="C149" t="s">
        <v>72</v>
      </c>
      <c r="D149" s="12">
        <v>46236</v>
      </c>
      <c r="E149" t="s">
        <v>134</v>
      </c>
      <c r="F149" t="s">
        <v>134</v>
      </c>
      <c r="G149" t="s">
        <v>134</v>
      </c>
      <c r="H149" t="s">
        <v>74</v>
      </c>
      <c r="I149">
        <v>10</v>
      </c>
      <c r="J149">
        <v>1.2742252699784016</v>
      </c>
      <c r="K149">
        <v>46236</v>
      </c>
      <c r="L149" t="s">
        <v>184</v>
      </c>
      <c r="M149">
        <v>0</v>
      </c>
      <c r="N149">
        <v>0</v>
      </c>
      <c r="O149">
        <v>0.94117647058823517</v>
      </c>
      <c r="P149">
        <v>0</v>
      </c>
      <c r="Q149">
        <v>0</v>
      </c>
      <c r="R149">
        <v>0.73862643659875649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0.73862643659875649</v>
      </c>
      <c r="AC149">
        <v>0.26137356340124351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J149">
        <v>0</v>
      </c>
      <c r="BK149">
        <v>0</v>
      </c>
      <c r="BL149">
        <v>1.3538643493520519</v>
      </c>
      <c r="BM149">
        <v>0.35386434935205191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hidden="1" x14ac:dyDescent="0.25">
      <c r="A150" t="s">
        <v>128</v>
      </c>
      <c r="B150" t="s">
        <v>372</v>
      </c>
      <c r="C150" t="s">
        <v>72</v>
      </c>
      <c r="D150" s="12">
        <v>46223</v>
      </c>
      <c r="E150" t="s">
        <v>134</v>
      </c>
      <c r="F150" t="s">
        <v>134</v>
      </c>
      <c r="G150" t="s">
        <v>134</v>
      </c>
      <c r="H150" t="s">
        <v>75</v>
      </c>
      <c r="I150">
        <v>10</v>
      </c>
      <c r="J150">
        <v>3.3729492440604751</v>
      </c>
      <c r="K150">
        <v>46223</v>
      </c>
      <c r="L150" t="s">
        <v>165</v>
      </c>
      <c r="M150">
        <v>2.8499999999999996</v>
      </c>
      <c r="N150">
        <v>2.8499999999999996</v>
      </c>
      <c r="O150">
        <v>4.4273356401384074</v>
      </c>
      <c r="P150">
        <v>0.84495786736745238</v>
      </c>
      <c r="Q150">
        <v>0.84495786736745238</v>
      </c>
      <c r="R150">
        <v>1.3126007300390399</v>
      </c>
      <c r="S150">
        <v>0.31260073003903988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0.15504213263254762</v>
      </c>
      <c r="AC150">
        <v>0</v>
      </c>
      <c r="AD150">
        <v>0</v>
      </c>
      <c r="AE150">
        <v>0</v>
      </c>
      <c r="AF150">
        <v>0</v>
      </c>
      <c r="AG150">
        <v>0.84495786736745238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1.1834909628282371</v>
      </c>
      <c r="AN150">
        <v>1.1834909628282371</v>
      </c>
      <c r="AO150">
        <v>1.5534511018029502</v>
      </c>
      <c r="AP150">
        <v>0.36996013897471314</v>
      </c>
      <c r="AQ150">
        <v>0</v>
      </c>
      <c r="AR150">
        <v>0</v>
      </c>
      <c r="AS150">
        <v>0</v>
      </c>
      <c r="AT150">
        <v>0</v>
      </c>
      <c r="AU150">
        <v>0.31650903717176293</v>
      </c>
      <c r="AV150">
        <v>0.18349096282823707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0.6437280187573271</v>
      </c>
      <c r="BK150">
        <v>0.6437280187573271</v>
      </c>
      <c r="BL150">
        <v>0.76184629271862248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0.23815370728137752</v>
      </c>
      <c r="BX150">
        <v>0</v>
      </c>
      <c r="BY150">
        <v>0</v>
      </c>
      <c r="BZ150">
        <v>0</v>
      </c>
      <c r="CA150">
        <v>0.6437280187573271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hidden="1" x14ac:dyDescent="0.25">
      <c r="A151" t="s">
        <v>128</v>
      </c>
      <c r="B151" t="s">
        <v>372</v>
      </c>
      <c r="C151" t="s">
        <v>72</v>
      </c>
      <c r="D151" s="12">
        <v>46236</v>
      </c>
      <c r="E151" t="s">
        <v>134</v>
      </c>
      <c r="F151" t="s">
        <v>134</v>
      </c>
      <c r="G151" t="s">
        <v>134</v>
      </c>
      <c r="H151" t="s">
        <v>75</v>
      </c>
      <c r="I151">
        <v>10</v>
      </c>
      <c r="J151">
        <v>2.2486328293736499</v>
      </c>
      <c r="K151">
        <v>46236</v>
      </c>
      <c r="L151" t="s">
        <v>183</v>
      </c>
      <c r="M151">
        <v>0.95</v>
      </c>
      <c r="N151">
        <v>0.95</v>
      </c>
      <c r="O151">
        <v>2.0484429065743952</v>
      </c>
      <c r="P151">
        <v>0.42247893368372624</v>
      </c>
      <c r="Q151">
        <v>0.42247893368372624</v>
      </c>
      <c r="R151">
        <v>0.91097260513846667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0.48849367145474043</v>
      </c>
      <c r="AC151">
        <v>8.9027394861533327E-2</v>
      </c>
      <c r="AD151">
        <v>0</v>
      </c>
      <c r="AE151">
        <v>0</v>
      </c>
      <c r="AF151">
        <v>0</v>
      </c>
      <c r="AG151">
        <v>0.42247893368372624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2.3669819256564737</v>
      </c>
      <c r="AN151">
        <v>2.3669819256564737</v>
      </c>
      <c r="AO151">
        <v>2.1562556911309425</v>
      </c>
      <c r="BF151">
        <v>0</v>
      </c>
      <c r="BG151">
        <v>0</v>
      </c>
      <c r="BH151">
        <v>0</v>
      </c>
      <c r="BJ151">
        <v>0.46376689189189169</v>
      </c>
      <c r="BK151">
        <v>0.46376689189189169</v>
      </c>
      <c r="BL151">
        <v>1.0977278508259876</v>
      </c>
      <c r="BM151">
        <v>9.7727850825987561E-2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0.57752106631627376</v>
      </c>
      <c r="BW151">
        <v>0</v>
      </c>
      <c r="BX151">
        <v>0</v>
      </c>
      <c r="BY151">
        <v>0</v>
      </c>
      <c r="BZ151">
        <v>0</v>
      </c>
      <c r="CA151">
        <v>0.46376689189189169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 spans="1:84" hidden="1" x14ac:dyDescent="0.25">
      <c r="A152" t="s">
        <v>128</v>
      </c>
      <c r="B152" t="s">
        <v>372</v>
      </c>
      <c r="C152" t="s">
        <v>72</v>
      </c>
      <c r="D152" s="12">
        <v>46223</v>
      </c>
      <c r="E152" t="s">
        <v>134</v>
      </c>
      <c r="F152" t="s">
        <v>134</v>
      </c>
      <c r="G152" t="s">
        <v>134</v>
      </c>
      <c r="H152" t="s">
        <v>74</v>
      </c>
      <c r="I152">
        <v>10</v>
      </c>
      <c r="J152">
        <v>1.2742252699784016</v>
      </c>
      <c r="K152">
        <v>46223</v>
      </c>
      <c r="L152" t="s">
        <v>157</v>
      </c>
      <c r="M152">
        <v>0</v>
      </c>
      <c r="N152">
        <v>0</v>
      </c>
      <c r="O152">
        <v>0.94117647058823517</v>
      </c>
      <c r="P152">
        <v>0</v>
      </c>
      <c r="Q152">
        <v>0</v>
      </c>
      <c r="R152">
        <v>0.73862643659875649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0.73862643659875649</v>
      </c>
      <c r="AC152">
        <v>0.26137356340124351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1.3538643493520519</v>
      </c>
      <c r="BM152">
        <v>0.35386434935205191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 hidden="1" x14ac:dyDescent="0.25">
      <c r="A153" t="s">
        <v>128</v>
      </c>
      <c r="B153" t="s">
        <v>372</v>
      </c>
      <c r="C153" t="s">
        <v>72</v>
      </c>
      <c r="D153" s="12">
        <v>46237</v>
      </c>
      <c r="E153" t="s">
        <v>134</v>
      </c>
      <c r="F153" t="s">
        <v>134</v>
      </c>
      <c r="G153" t="s">
        <v>134</v>
      </c>
      <c r="H153" t="s">
        <v>73</v>
      </c>
      <c r="I153">
        <v>10</v>
      </c>
      <c r="J153">
        <v>5.8323914011879037</v>
      </c>
      <c r="K153">
        <v>46237</v>
      </c>
      <c r="L153" t="s">
        <v>232</v>
      </c>
      <c r="M153">
        <v>0</v>
      </c>
      <c r="N153">
        <v>0</v>
      </c>
      <c r="O153">
        <v>4.2886029411764701</v>
      </c>
      <c r="P153">
        <v>0</v>
      </c>
      <c r="Q153">
        <v>0</v>
      </c>
      <c r="R153">
        <v>0.73530780878371693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0.73530780878371693</v>
      </c>
      <c r="AC153">
        <v>0.26469219121628307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J153">
        <v>0</v>
      </c>
      <c r="BK153">
        <v>0</v>
      </c>
      <c r="BL153">
        <v>1.3599746773451435</v>
      </c>
      <c r="BM153">
        <v>0.35997467734514355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1</v>
      </c>
    </row>
    <row r="154" spans="1:84" hidden="1" x14ac:dyDescent="0.25">
      <c r="A154" t="s">
        <v>128</v>
      </c>
      <c r="B154" t="s">
        <v>372</v>
      </c>
      <c r="C154" t="s">
        <v>72</v>
      </c>
      <c r="D154" s="12">
        <v>46223</v>
      </c>
      <c r="E154" t="s">
        <v>134</v>
      </c>
      <c r="F154" t="s">
        <v>134</v>
      </c>
      <c r="G154" t="s">
        <v>134</v>
      </c>
      <c r="H154" t="s">
        <v>73</v>
      </c>
      <c r="I154">
        <v>10</v>
      </c>
      <c r="J154">
        <v>5.8323914011879046</v>
      </c>
      <c r="K154">
        <v>46223</v>
      </c>
      <c r="L154" t="s">
        <v>173</v>
      </c>
      <c r="M154">
        <v>5.6999999999999993</v>
      </c>
      <c r="N154">
        <v>5.6999999999999993</v>
      </c>
      <c r="O154">
        <v>4.2297794117647056</v>
      </c>
      <c r="P154">
        <v>0.97730066587078834</v>
      </c>
      <c r="Q154">
        <v>0.97730066587078834</v>
      </c>
      <c r="R154">
        <v>0.72522214659722783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2.2699334129211657E-2</v>
      </c>
      <c r="AD154">
        <v>0</v>
      </c>
      <c r="AE154">
        <v>0.25207851927356051</v>
      </c>
      <c r="AF154">
        <v>0</v>
      </c>
      <c r="AG154">
        <v>0.72522214659722783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1.0232265616119132</v>
      </c>
      <c r="AN154">
        <v>1.0232265616119132</v>
      </c>
      <c r="AO154">
        <v>0.74206656346749233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2.3226561611913166E-2</v>
      </c>
      <c r="AY154">
        <v>0</v>
      </c>
      <c r="AZ154">
        <v>0</v>
      </c>
      <c r="BA154">
        <v>0</v>
      </c>
      <c r="BB154">
        <v>0.25793343653250767</v>
      </c>
      <c r="BC154">
        <v>0</v>
      </c>
      <c r="BD154">
        <v>0.74206656346749233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1.3475880052151237</v>
      </c>
      <c r="BK154">
        <v>1.3475880052151237</v>
      </c>
      <c r="BL154">
        <v>1.3788878410457281</v>
      </c>
      <c r="BM154">
        <v>3.1299835830604472E-2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0.34758800521512367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hidden="1" x14ac:dyDescent="0.25">
      <c r="A155" t="s">
        <v>128</v>
      </c>
      <c r="B155" t="s">
        <v>372</v>
      </c>
      <c r="C155" t="s">
        <v>72</v>
      </c>
      <c r="D155" s="12">
        <v>46250</v>
      </c>
      <c r="E155" t="s">
        <v>501</v>
      </c>
      <c r="F155" t="s">
        <v>501</v>
      </c>
      <c r="G155" t="s">
        <v>501</v>
      </c>
      <c r="H155" t="s">
        <v>75</v>
      </c>
      <c r="I155">
        <v>20</v>
      </c>
      <c r="J155">
        <v>3.1779578349000133</v>
      </c>
      <c r="K155">
        <v>46250</v>
      </c>
      <c r="L155" t="s">
        <v>171</v>
      </c>
      <c r="M155">
        <v>2.8499999999999996</v>
      </c>
      <c r="N155">
        <v>2.8499999999999996</v>
      </c>
      <c r="O155">
        <v>3.7508650519031144</v>
      </c>
      <c r="P155">
        <v>0.89680233283827315</v>
      </c>
      <c r="Q155">
        <v>0.89680233283827315</v>
      </c>
      <c r="R155">
        <v>1.1802752732309698</v>
      </c>
      <c r="S155">
        <v>0.18027527323096981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0.10319766716172685</v>
      </c>
      <c r="AC155">
        <v>0</v>
      </c>
      <c r="AD155">
        <v>0</v>
      </c>
      <c r="AE155">
        <v>0</v>
      </c>
      <c r="AF155">
        <v>0</v>
      </c>
      <c r="AG155">
        <v>0.89680233283827315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1.1150729245263207</v>
      </c>
      <c r="AN155">
        <v>1.1150729245263207</v>
      </c>
      <c r="AO155">
        <v>1.3160930006677596</v>
      </c>
      <c r="AP155">
        <v>0.20102007614143891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0.11507292452632067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0.75982472324723238</v>
      </c>
      <c r="BK155">
        <v>0.75982472324723238</v>
      </c>
      <c r="BL155">
        <v>0.84725997627869354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0.15274002372130646</v>
      </c>
      <c r="BX155">
        <v>0</v>
      </c>
      <c r="BY155">
        <v>0</v>
      </c>
      <c r="BZ155">
        <v>0</v>
      </c>
      <c r="CA155">
        <v>0.75982472324723238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 spans="1:84" hidden="1" x14ac:dyDescent="0.25">
      <c r="A156" t="s">
        <v>128</v>
      </c>
      <c r="B156" t="s">
        <v>372</v>
      </c>
      <c r="C156" t="s">
        <v>72</v>
      </c>
      <c r="D156" s="12">
        <v>46237</v>
      </c>
      <c r="E156" t="s">
        <v>134</v>
      </c>
      <c r="F156" t="s">
        <v>134</v>
      </c>
      <c r="G156" t="s">
        <v>134</v>
      </c>
      <c r="H156" t="s">
        <v>74</v>
      </c>
      <c r="I156">
        <v>10</v>
      </c>
      <c r="J156">
        <v>1.2742252699784016</v>
      </c>
      <c r="K156">
        <v>46237</v>
      </c>
      <c r="L156" t="s">
        <v>182</v>
      </c>
      <c r="M156">
        <v>0</v>
      </c>
      <c r="N156">
        <v>0</v>
      </c>
      <c r="O156">
        <v>0.94117647058823517</v>
      </c>
      <c r="P156">
        <v>0</v>
      </c>
      <c r="Q156">
        <v>0</v>
      </c>
      <c r="R156">
        <v>0.73862643659875649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0.73862643659875649</v>
      </c>
      <c r="AC156">
        <v>0.26137356340124351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1.3538643493520519</v>
      </c>
      <c r="BM156">
        <v>0.35386434935205191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hidden="1" x14ac:dyDescent="0.25">
      <c r="A157" t="s">
        <v>128</v>
      </c>
      <c r="B157" t="s">
        <v>372</v>
      </c>
      <c r="C157" t="s">
        <v>72</v>
      </c>
      <c r="D157" s="12">
        <v>46250</v>
      </c>
      <c r="E157" t="s">
        <v>501</v>
      </c>
      <c r="F157" t="s">
        <v>501</v>
      </c>
      <c r="G157" t="s">
        <v>501</v>
      </c>
      <c r="H157" t="s">
        <v>74</v>
      </c>
      <c r="I157">
        <v>20</v>
      </c>
      <c r="J157">
        <v>0</v>
      </c>
      <c r="K157">
        <v>46250</v>
      </c>
      <c r="L157" t="s">
        <v>170</v>
      </c>
      <c r="M157">
        <v>0.95</v>
      </c>
      <c r="N157">
        <v>0.95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F157">
        <v>0</v>
      </c>
    </row>
    <row r="158" spans="1:84" hidden="1" x14ac:dyDescent="0.25">
      <c r="A158" t="s">
        <v>128</v>
      </c>
      <c r="B158" t="s">
        <v>372</v>
      </c>
      <c r="C158" t="s">
        <v>72</v>
      </c>
      <c r="D158" s="12">
        <v>46237</v>
      </c>
      <c r="E158" t="s">
        <v>134</v>
      </c>
      <c r="F158" t="s">
        <v>134</v>
      </c>
      <c r="G158" t="s">
        <v>134</v>
      </c>
      <c r="H158" t="s">
        <v>75</v>
      </c>
      <c r="I158">
        <v>10</v>
      </c>
      <c r="J158">
        <v>3.3729492440604751</v>
      </c>
      <c r="K158">
        <v>46237</v>
      </c>
      <c r="L158" t="s">
        <v>181</v>
      </c>
      <c r="M158">
        <v>0</v>
      </c>
      <c r="N158">
        <v>0</v>
      </c>
      <c r="O158">
        <v>3.4861591695501724</v>
      </c>
      <c r="P158">
        <v>0</v>
      </c>
      <c r="Q158">
        <v>0</v>
      </c>
      <c r="R158">
        <v>1.0335640762128431</v>
      </c>
      <c r="S158">
        <v>3.3564076212843075E-2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1</v>
      </c>
      <c r="BJ158">
        <v>0</v>
      </c>
      <c r="BK158">
        <v>0</v>
      </c>
      <c r="BL158">
        <v>0.96752588737814149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3.2474112621858509E-2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0.96752588737814149</v>
      </c>
      <c r="CF158">
        <v>0</v>
      </c>
    </row>
    <row r="159" spans="1:84" hidden="1" x14ac:dyDescent="0.25">
      <c r="A159" t="s">
        <v>128</v>
      </c>
      <c r="B159" t="s">
        <v>372</v>
      </c>
      <c r="C159" t="s">
        <v>72</v>
      </c>
      <c r="D159" s="12">
        <v>46250</v>
      </c>
      <c r="E159" t="s">
        <v>501</v>
      </c>
      <c r="F159" t="s">
        <v>501</v>
      </c>
      <c r="G159" t="s">
        <v>501</v>
      </c>
      <c r="H159" t="s">
        <v>73</v>
      </c>
      <c r="I159">
        <v>20</v>
      </c>
      <c r="J159">
        <v>3.5876164620550925</v>
      </c>
      <c r="K159">
        <v>46250</v>
      </c>
      <c r="L159" t="s">
        <v>168</v>
      </c>
      <c r="M159">
        <v>6.6499999999999995</v>
      </c>
      <c r="N159">
        <v>6.6499999999999995</v>
      </c>
      <c r="O159">
        <v>3.7647058823529407</v>
      </c>
      <c r="P159">
        <v>1.8535983626830286</v>
      </c>
      <c r="Q159">
        <v>1.8535983626830286</v>
      </c>
      <c r="R159">
        <v>1.0493613021823425</v>
      </c>
      <c r="S159">
        <v>0</v>
      </c>
      <c r="T159">
        <v>0</v>
      </c>
      <c r="U159">
        <v>0.60359836268302858</v>
      </c>
      <c r="V159">
        <v>0</v>
      </c>
      <c r="W159">
        <v>0</v>
      </c>
      <c r="X159">
        <v>0</v>
      </c>
      <c r="Y159">
        <v>4.936130218234247E-2</v>
      </c>
      <c r="Z159">
        <v>0</v>
      </c>
      <c r="AA159">
        <v>0.20063869781765753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0.53949119730151773</v>
      </c>
      <c r="AN159">
        <v>0.53949119730151773</v>
      </c>
      <c r="AO159">
        <v>0.56612118531623168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0.43387881468376832</v>
      </c>
      <c r="BA159">
        <v>0</v>
      </c>
      <c r="BB159">
        <v>0</v>
      </c>
      <c r="BC159">
        <v>0</v>
      </c>
      <c r="BD159">
        <v>0.53949119730151773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1.7664062500000002</v>
      </c>
      <c r="BK159">
        <v>1.7664062500000002</v>
      </c>
      <c r="BL159">
        <v>0.95296062273338411</v>
      </c>
      <c r="CC159">
        <v>0</v>
      </c>
      <c r="CD159">
        <v>0</v>
      </c>
      <c r="CE159">
        <v>0</v>
      </c>
    </row>
    <row r="160" spans="1:84" hidden="1" x14ac:dyDescent="0.25">
      <c r="A160" t="s">
        <v>128</v>
      </c>
      <c r="B160" t="s">
        <v>372</v>
      </c>
      <c r="C160" t="s">
        <v>72</v>
      </c>
      <c r="D160" s="12">
        <v>46238</v>
      </c>
      <c r="E160" t="s">
        <v>134</v>
      </c>
      <c r="F160" t="s">
        <v>134</v>
      </c>
      <c r="G160" t="s">
        <v>134</v>
      </c>
      <c r="H160" t="s">
        <v>73</v>
      </c>
      <c r="I160">
        <v>10</v>
      </c>
      <c r="J160">
        <v>5.8323914011879046</v>
      </c>
      <c r="K160">
        <v>46238</v>
      </c>
      <c r="L160" t="s">
        <v>180</v>
      </c>
      <c r="M160">
        <v>0</v>
      </c>
      <c r="N160">
        <v>0</v>
      </c>
      <c r="O160">
        <v>4.2886029411764701</v>
      </c>
      <c r="P160">
        <v>0</v>
      </c>
      <c r="Q160">
        <v>0</v>
      </c>
      <c r="R160">
        <v>0.73530780878371682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0.73530780878371682</v>
      </c>
      <c r="AC160">
        <v>0.26469219121628318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J160">
        <v>0</v>
      </c>
      <c r="BK160">
        <v>0</v>
      </c>
      <c r="BL160">
        <v>1.3599746773451438</v>
      </c>
      <c r="BM160">
        <v>0.35997467734514377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1</v>
      </c>
    </row>
    <row r="161" spans="1:84" hidden="1" x14ac:dyDescent="0.25">
      <c r="A161" t="s">
        <v>128</v>
      </c>
      <c r="B161" t="s">
        <v>372</v>
      </c>
      <c r="C161" t="s">
        <v>72</v>
      </c>
      <c r="D161" s="12">
        <v>46238</v>
      </c>
      <c r="E161" t="s">
        <v>134</v>
      </c>
      <c r="F161" t="s">
        <v>134</v>
      </c>
      <c r="G161" t="s">
        <v>134</v>
      </c>
      <c r="H161" t="s">
        <v>74</v>
      </c>
      <c r="I161">
        <v>10</v>
      </c>
      <c r="J161">
        <v>1.2742252699784016</v>
      </c>
      <c r="K161">
        <v>46238</v>
      </c>
      <c r="L161" t="s">
        <v>179</v>
      </c>
      <c r="M161">
        <v>0</v>
      </c>
      <c r="N161">
        <v>0</v>
      </c>
      <c r="O161">
        <v>0.94117647058823517</v>
      </c>
      <c r="P161">
        <v>0</v>
      </c>
      <c r="Q161">
        <v>0</v>
      </c>
      <c r="R161">
        <v>0.73862643659875649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0.73862643659875649</v>
      </c>
      <c r="AC161">
        <v>0.26137356340124351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J161">
        <v>0</v>
      </c>
      <c r="BK161">
        <v>0</v>
      </c>
      <c r="BL161">
        <v>1.3538643493520519</v>
      </c>
      <c r="BM161">
        <v>0.35386434935205191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hidden="1" x14ac:dyDescent="0.25">
      <c r="A162" t="s">
        <v>128</v>
      </c>
      <c r="B162" t="s">
        <v>372</v>
      </c>
      <c r="C162" t="s">
        <v>72</v>
      </c>
      <c r="D162" s="12">
        <v>46249</v>
      </c>
      <c r="E162" t="s">
        <v>501</v>
      </c>
      <c r="F162" t="s">
        <v>501</v>
      </c>
      <c r="G162" t="s">
        <v>501</v>
      </c>
      <c r="H162" t="s">
        <v>75</v>
      </c>
      <c r="I162">
        <v>20</v>
      </c>
      <c r="J162">
        <v>3.2276134260703255</v>
      </c>
      <c r="K162">
        <v>46249</v>
      </c>
      <c r="L162" t="s">
        <v>167</v>
      </c>
      <c r="M162">
        <v>2.8499999999999996</v>
      </c>
      <c r="N162">
        <v>2.8499999999999996</v>
      </c>
      <c r="O162">
        <v>3.7543252595155714</v>
      </c>
      <c r="P162">
        <v>0.88300537387153066</v>
      </c>
      <c r="Q162">
        <v>0.88300537387153066</v>
      </c>
      <c r="R162">
        <v>1.1631892559346944</v>
      </c>
      <c r="S162">
        <v>0.16318925593469435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0.11699462612846934</v>
      </c>
      <c r="AC162">
        <v>0</v>
      </c>
      <c r="AD162">
        <v>0</v>
      </c>
      <c r="AE162">
        <v>0</v>
      </c>
      <c r="AF162">
        <v>0</v>
      </c>
      <c r="AG162">
        <v>0.88300537387153066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1.1324959389720441</v>
      </c>
      <c r="AN162">
        <v>1.1324959389720441</v>
      </c>
      <c r="AO162">
        <v>1.317307108601955</v>
      </c>
      <c r="AP162">
        <v>0.18481116962991084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0.13249593897204415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0.7591244239631334</v>
      </c>
      <c r="BK162">
        <v>0.7591244239631334</v>
      </c>
      <c r="BL162">
        <v>0.85970532731274096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0.14029467268725904</v>
      </c>
      <c r="BX162">
        <v>0</v>
      </c>
      <c r="BY162">
        <v>0</v>
      </c>
      <c r="BZ162">
        <v>0</v>
      </c>
      <c r="CA162">
        <v>0.7591244239631334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 spans="1:84" hidden="1" x14ac:dyDescent="0.25">
      <c r="A163" t="s">
        <v>128</v>
      </c>
      <c r="B163" t="s">
        <v>372</v>
      </c>
      <c r="C163" t="s">
        <v>72</v>
      </c>
      <c r="D163" s="12">
        <v>46225</v>
      </c>
      <c r="E163" t="s">
        <v>134</v>
      </c>
      <c r="F163" t="s">
        <v>134</v>
      </c>
      <c r="G163" t="s">
        <v>134</v>
      </c>
      <c r="H163" t="s">
        <v>74</v>
      </c>
      <c r="I163">
        <v>10</v>
      </c>
      <c r="J163">
        <v>1.2742252699784016</v>
      </c>
      <c r="K163">
        <v>46225</v>
      </c>
      <c r="L163" t="s">
        <v>160</v>
      </c>
      <c r="M163">
        <v>0</v>
      </c>
      <c r="N163">
        <v>0</v>
      </c>
      <c r="O163">
        <v>0.94117647058823517</v>
      </c>
      <c r="P163">
        <v>0</v>
      </c>
      <c r="Q163">
        <v>0</v>
      </c>
      <c r="R163">
        <v>0.73862643659875649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0.73862643659875649</v>
      </c>
      <c r="AC163">
        <v>0.26137356340124351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J163">
        <v>0</v>
      </c>
      <c r="BK163">
        <v>0</v>
      </c>
      <c r="BL163">
        <v>1.3538643493520519</v>
      </c>
      <c r="BM163">
        <v>0.35386434935205191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 spans="1:84" hidden="1" x14ac:dyDescent="0.25">
      <c r="A164" t="s">
        <v>128</v>
      </c>
      <c r="B164" t="s">
        <v>372</v>
      </c>
      <c r="C164" t="s">
        <v>72</v>
      </c>
      <c r="D164" s="12">
        <v>46249</v>
      </c>
      <c r="E164" t="s">
        <v>501</v>
      </c>
      <c r="F164" t="s">
        <v>501</v>
      </c>
      <c r="G164" t="s">
        <v>501</v>
      </c>
      <c r="H164" t="s">
        <v>74</v>
      </c>
      <c r="I164">
        <v>20</v>
      </c>
      <c r="J164">
        <v>0</v>
      </c>
      <c r="K164">
        <v>46249</v>
      </c>
      <c r="L164" t="s">
        <v>164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F164">
        <v>0</v>
      </c>
    </row>
    <row r="165" spans="1:84" hidden="1" x14ac:dyDescent="0.25">
      <c r="A165" t="s">
        <v>128</v>
      </c>
      <c r="B165" t="s">
        <v>372</v>
      </c>
      <c r="C165" t="s">
        <v>72</v>
      </c>
      <c r="D165" s="12">
        <v>46234</v>
      </c>
      <c r="E165" t="s">
        <v>134</v>
      </c>
      <c r="F165" t="s">
        <v>134</v>
      </c>
      <c r="G165" t="s">
        <v>134</v>
      </c>
      <c r="H165" t="s">
        <v>74</v>
      </c>
      <c r="I165">
        <v>10</v>
      </c>
      <c r="J165">
        <v>1.2742252699784016</v>
      </c>
      <c r="K165">
        <v>46234</v>
      </c>
      <c r="L165" t="s">
        <v>190</v>
      </c>
      <c r="M165">
        <v>0</v>
      </c>
      <c r="N165">
        <v>0</v>
      </c>
      <c r="O165">
        <v>0.94117647058823517</v>
      </c>
      <c r="P165">
        <v>0</v>
      </c>
      <c r="Q165">
        <v>0</v>
      </c>
      <c r="R165">
        <v>0.73862643659875649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0.73862643659875649</v>
      </c>
      <c r="AC165">
        <v>0.26137356340124351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1.3538643493520519</v>
      </c>
      <c r="BM165">
        <v>0.35386434935205191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 spans="1:84" hidden="1" x14ac:dyDescent="0.25">
      <c r="A166" t="s">
        <v>128</v>
      </c>
      <c r="B166" t="s">
        <v>372</v>
      </c>
      <c r="C166" t="s">
        <v>72</v>
      </c>
      <c r="D166" s="12">
        <v>46234</v>
      </c>
      <c r="E166" t="s">
        <v>134</v>
      </c>
      <c r="F166" t="s">
        <v>134</v>
      </c>
      <c r="G166" t="s">
        <v>134</v>
      </c>
      <c r="H166" t="s">
        <v>73</v>
      </c>
      <c r="I166">
        <v>10</v>
      </c>
      <c r="J166">
        <v>4.5675354346652268</v>
      </c>
      <c r="K166">
        <v>46234</v>
      </c>
      <c r="L166" t="s">
        <v>213</v>
      </c>
      <c r="M166">
        <v>3.8</v>
      </c>
      <c r="N166">
        <v>3.8</v>
      </c>
      <c r="O166">
        <v>3.1104779411764705</v>
      </c>
      <c r="P166">
        <v>0.83195851556179934</v>
      </c>
      <c r="Q166">
        <v>0.83195851556179934</v>
      </c>
      <c r="R166">
        <v>0.68099700279707842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0.16804148443820066</v>
      </c>
      <c r="AD166">
        <v>0</v>
      </c>
      <c r="AE166">
        <v>0.15096151276472092</v>
      </c>
      <c r="AF166">
        <v>0</v>
      </c>
      <c r="AG166">
        <v>0.68099700279707842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1.2019830091224282</v>
      </c>
      <c r="AN166">
        <v>1.2019830091224282</v>
      </c>
      <c r="AO166">
        <v>0.81854682662538703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0.20198300912242817</v>
      </c>
      <c r="AY166">
        <v>0</v>
      </c>
      <c r="AZ166">
        <v>0</v>
      </c>
      <c r="BA166">
        <v>0</v>
      </c>
      <c r="BB166">
        <v>0.18145317337461297</v>
      </c>
      <c r="BC166">
        <v>0</v>
      </c>
      <c r="BD166">
        <v>0.81854682662538703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1.2216772058388985</v>
      </c>
      <c r="BK166">
        <v>1.2216772058388985</v>
      </c>
      <c r="BL166">
        <v>1.4684352440505191</v>
      </c>
      <c r="BM166">
        <v>0.24675803821162057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0.22167720583889849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 spans="1:84" hidden="1" x14ac:dyDescent="0.25">
      <c r="A167" t="s">
        <v>128</v>
      </c>
      <c r="B167" t="s">
        <v>372</v>
      </c>
      <c r="C167" t="s">
        <v>72</v>
      </c>
      <c r="D167" s="12">
        <v>46230</v>
      </c>
      <c r="E167" t="s">
        <v>134</v>
      </c>
      <c r="F167" t="s">
        <v>134</v>
      </c>
      <c r="G167" t="s">
        <v>134</v>
      </c>
      <c r="H167" t="s">
        <v>74</v>
      </c>
      <c r="I167">
        <v>10</v>
      </c>
      <c r="J167">
        <v>1.2742252699784016</v>
      </c>
      <c r="K167">
        <v>46230</v>
      </c>
      <c r="L167" t="s">
        <v>216</v>
      </c>
      <c r="M167">
        <v>0</v>
      </c>
      <c r="N167">
        <v>0</v>
      </c>
      <c r="O167">
        <v>0.94117647058823517</v>
      </c>
      <c r="P167">
        <v>0</v>
      </c>
      <c r="Q167">
        <v>0</v>
      </c>
      <c r="R167">
        <v>0.73862643659875649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0.73862643659875649</v>
      </c>
      <c r="AC167">
        <v>0.26137356340124351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1.3538643493520519</v>
      </c>
      <c r="BM167">
        <v>0.35386434935205191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hidden="1" x14ac:dyDescent="0.25">
      <c r="A168" t="s">
        <v>128</v>
      </c>
      <c r="B168" t="s">
        <v>372</v>
      </c>
      <c r="C168" t="s">
        <v>72</v>
      </c>
      <c r="D168" s="12">
        <v>46229</v>
      </c>
      <c r="E168" t="s">
        <v>134</v>
      </c>
      <c r="F168" t="s">
        <v>134</v>
      </c>
      <c r="G168" t="s">
        <v>134</v>
      </c>
      <c r="H168" t="s">
        <v>75</v>
      </c>
      <c r="I168">
        <v>10</v>
      </c>
      <c r="J168">
        <v>3.3729492440604751</v>
      </c>
      <c r="K168">
        <v>46229</v>
      </c>
      <c r="L168" t="s">
        <v>218</v>
      </c>
      <c r="M168">
        <v>1.9</v>
      </c>
      <c r="N168">
        <v>1.9</v>
      </c>
      <c r="O168">
        <v>3.2655709342560537</v>
      </c>
      <c r="P168">
        <v>0.56330524491163492</v>
      </c>
      <c r="Q168">
        <v>0.56330524491163492</v>
      </c>
      <c r="R168">
        <v>0.96816486047232786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0.40485961556069294</v>
      </c>
      <c r="AC168">
        <v>3.1835139527672141E-2</v>
      </c>
      <c r="AD168">
        <v>0</v>
      </c>
      <c r="AE168">
        <v>0</v>
      </c>
      <c r="AF168">
        <v>0</v>
      </c>
      <c r="AG168">
        <v>0.56330524491163492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1.7752364442423554</v>
      </c>
      <c r="AN168">
        <v>1.7752364442423554</v>
      </c>
      <c r="AO168">
        <v>1.7187215443452915</v>
      </c>
      <c r="BF168">
        <v>0</v>
      </c>
      <c r="BG168">
        <v>0</v>
      </c>
      <c r="BH168">
        <v>0</v>
      </c>
      <c r="BJ168">
        <v>0.58182781456953669</v>
      </c>
      <c r="BK168">
        <v>0.58182781456953669</v>
      </c>
      <c r="BL168">
        <v>1.0328819406977248</v>
      </c>
      <c r="BM168">
        <v>3.2881940697724765E-2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0.43669475508836508</v>
      </c>
      <c r="BW168">
        <v>0</v>
      </c>
      <c r="BX168">
        <v>0</v>
      </c>
      <c r="BY168">
        <v>0</v>
      </c>
      <c r="BZ168">
        <v>0</v>
      </c>
      <c r="CA168">
        <v>0.58182781456953669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 hidden="1" x14ac:dyDescent="0.25">
      <c r="A169" t="s">
        <v>128</v>
      </c>
      <c r="B169" t="s">
        <v>372</v>
      </c>
      <c r="C169" t="s">
        <v>72</v>
      </c>
      <c r="D169" s="12">
        <v>46230</v>
      </c>
      <c r="E169" t="s">
        <v>134</v>
      </c>
      <c r="F169" t="s">
        <v>134</v>
      </c>
      <c r="G169" t="s">
        <v>134</v>
      </c>
      <c r="H169" t="s">
        <v>75</v>
      </c>
      <c r="I169">
        <v>10</v>
      </c>
      <c r="J169">
        <v>3.3729492440604751</v>
      </c>
      <c r="K169">
        <v>46230</v>
      </c>
      <c r="L169" t="s">
        <v>215</v>
      </c>
      <c r="M169">
        <v>3.8</v>
      </c>
      <c r="N169">
        <v>3.8</v>
      </c>
      <c r="O169">
        <v>3.1548442906574392</v>
      </c>
      <c r="P169">
        <v>1.1266104898232698</v>
      </c>
      <c r="Q169">
        <v>1.1266104898232698</v>
      </c>
      <c r="R169">
        <v>0.93533701884571685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0.12661048982326983</v>
      </c>
      <c r="AB169">
        <v>0</v>
      </c>
      <c r="AC169">
        <v>0</v>
      </c>
      <c r="AD169">
        <v>0</v>
      </c>
      <c r="AE169">
        <v>6.466298115428315E-2</v>
      </c>
      <c r="AF169">
        <v>0</v>
      </c>
      <c r="AG169">
        <v>0.93533701884571685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0.88761822212117769</v>
      </c>
      <c r="AN169">
        <v>0.88761822212117769</v>
      </c>
      <c r="AO169">
        <v>0.83022218175195772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0.11238177787882231</v>
      </c>
      <c r="BA169">
        <v>0</v>
      </c>
      <c r="BB169">
        <v>5.7396040369219969E-2</v>
      </c>
      <c r="BC169">
        <v>0</v>
      </c>
      <c r="BD169">
        <v>0.83022218175195772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1.2044968467233343</v>
      </c>
      <c r="BK169">
        <v>1.2044968467233343</v>
      </c>
      <c r="BL169">
        <v>1.0691333496391306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6.9133349639130648E-2</v>
      </c>
      <c r="BT169">
        <v>0</v>
      </c>
      <c r="BU169">
        <v>0.1353634970842037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 spans="1:84" hidden="1" x14ac:dyDescent="0.25">
      <c r="A170" t="s">
        <v>128</v>
      </c>
      <c r="B170" t="s">
        <v>372</v>
      </c>
      <c r="C170" t="s">
        <v>72</v>
      </c>
      <c r="D170" s="12">
        <v>46229</v>
      </c>
      <c r="E170" t="s">
        <v>134</v>
      </c>
      <c r="F170" t="s">
        <v>134</v>
      </c>
      <c r="G170" t="s">
        <v>134</v>
      </c>
      <c r="H170" t="s">
        <v>74</v>
      </c>
      <c r="I170">
        <v>10</v>
      </c>
      <c r="J170">
        <v>1.2742252699784016</v>
      </c>
      <c r="K170">
        <v>46229</v>
      </c>
      <c r="L170" t="s">
        <v>219</v>
      </c>
      <c r="M170">
        <v>0</v>
      </c>
      <c r="N170">
        <v>0</v>
      </c>
      <c r="O170">
        <v>0.94117647058823517</v>
      </c>
      <c r="P170">
        <v>0</v>
      </c>
      <c r="Q170">
        <v>0</v>
      </c>
      <c r="R170">
        <v>0.73862643659875649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0.73862643659875649</v>
      </c>
      <c r="AC170">
        <v>0.26137356340124351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1.3538643493520519</v>
      </c>
      <c r="BM170">
        <v>0.35386434935205191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</row>
    <row r="171" spans="1:84" hidden="1" x14ac:dyDescent="0.25">
      <c r="A171" t="s">
        <v>128</v>
      </c>
      <c r="B171" t="s">
        <v>372</v>
      </c>
      <c r="C171" t="s">
        <v>72</v>
      </c>
      <c r="D171" s="12">
        <v>46229</v>
      </c>
      <c r="E171" t="s">
        <v>134</v>
      </c>
      <c r="F171" t="s">
        <v>134</v>
      </c>
      <c r="G171" t="s">
        <v>134</v>
      </c>
      <c r="H171" t="s">
        <v>73</v>
      </c>
      <c r="I171">
        <v>10</v>
      </c>
      <c r="J171">
        <v>3.5134887958963281</v>
      </c>
      <c r="K171">
        <v>46229</v>
      </c>
      <c r="L171" t="s">
        <v>220</v>
      </c>
      <c r="M171">
        <v>4.75</v>
      </c>
      <c r="N171">
        <v>4.75</v>
      </c>
      <c r="O171">
        <v>3.5854779411764697</v>
      </c>
      <c r="P171">
        <v>1.351932587787924</v>
      </c>
      <c r="Q171">
        <v>1.351932587787924</v>
      </c>
      <c r="R171">
        <v>1.0204893624149942</v>
      </c>
      <c r="S171">
        <v>0</v>
      </c>
      <c r="T171">
        <v>0</v>
      </c>
      <c r="U171">
        <v>0.10193258778792402</v>
      </c>
      <c r="V171">
        <v>0</v>
      </c>
      <c r="W171">
        <v>0</v>
      </c>
      <c r="X171">
        <v>0</v>
      </c>
      <c r="Y171">
        <v>2.0489362414994217E-2</v>
      </c>
      <c r="Z171">
        <v>0</v>
      </c>
      <c r="AA171">
        <v>0.22951063758500578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0.739681851767648</v>
      </c>
      <c r="AN171">
        <v>0.739681851767648</v>
      </c>
      <c r="AO171">
        <v>0.75483746130030938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0.24516253869969062</v>
      </c>
      <c r="BA171">
        <v>0</v>
      </c>
      <c r="BB171">
        <v>0</v>
      </c>
      <c r="BC171">
        <v>0</v>
      </c>
      <c r="BD171">
        <v>0.739681851767648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1.3247885157651889</v>
      </c>
      <c r="BK171">
        <v>1.3247885157651889</v>
      </c>
      <c r="BL171">
        <v>0.97992202254170879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0.32478851576518886</v>
      </c>
      <c r="BV171">
        <v>0</v>
      </c>
      <c r="BW171">
        <v>0</v>
      </c>
      <c r="BX171">
        <v>0</v>
      </c>
      <c r="BY171">
        <v>2.0077977458291207E-2</v>
      </c>
      <c r="BZ171">
        <v>0</v>
      </c>
      <c r="CA171">
        <v>0.97992202254170879</v>
      </c>
      <c r="CB171">
        <v>0</v>
      </c>
      <c r="CC171">
        <v>0</v>
      </c>
      <c r="CD171">
        <v>0</v>
      </c>
      <c r="CE171">
        <v>0</v>
      </c>
      <c r="CF171">
        <v>0</v>
      </c>
    </row>
    <row r="172" spans="1:84" hidden="1" x14ac:dyDescent="0.25">
      <c r="A172" t="s">
        <v>128</v>
      </c>
      <c r="B172" t="s">
        <v>372</v>
      </c>
      <c r="C172" t="s">
        <v>72</v>
      </c>
      <c r="D172" s="12">
        <v>46231</v>
      </c>
      <c r="E172" t="s">
        <v>134</v>
      </c>
      <c r="F172" t="s">
        <v>134</v>
      </c>
      <c r="G172" t="s">
        <v>134</v>
      </c>
      <c r="H172" t="s">
        <v>73</v>
      </c>
      <c r="I172">
        <v>10</v>
      </c>
      <c r="J172">
        <v>7.0269775917926545</v>
      </c>
      <c r="K172">
        <v>46231</v>
      </c>
      <c r="L172" t="s">
        <v>214</v>
      </c>
      <c r="M172">
        <v>4.75</v>
      </c>
      <c r="N172">
        <v>4.75</v>
      </c>
      <c r="O172">
        <v>5.2297794117647056</v>
      </c>
      <c r="P172">
        <v>0.67596629389396212</v>
      </c>
      <c r="Q172">
        <v>0.67596629389396212</v>
      </c>
      <c r="R172">
        <v>0.74424307512705967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6.827678123309755E-2</v>
      </c>
      <c r="AC172">
        <v>0.25575692487294033</v>
      </c>
      <c r="AD172">
        <v>0</v>
      </c>
      <c r="AE172">
        <v>0</v>
      </c>
      <c r="AF172">
        <v>0</v>
      </c>
      <c r="AG172">
        <v>0.67596629389396212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1.4793637035352958</v>
      </c>
      <c r="AN172">
        <v>1.4793637035352958</v>
      </c>
      <c r="AO172">
        <v>1.1010061919504643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0.10100619195046434</v>
      </c>
      <c r="AW172">
        <v>0</v>
      </c>
      <c r="AX172">
        <v>0.37835751158483144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0.90826010544815472</v>
      </c>
      <c r="BK172">
        <v>0.90826010544815472</v>
      </c>
      <c r="BL172">
        <v>1.3436470333691404</v>
      </c>
      <c r="BM172">
        <v>0.34364703336914038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0.32403370610603788</v>
      </c>
      <c r="BW172">
        <v>0</v>
      </c>
      <c r="BX172">
        <v>0</v>
      </c>
      <c r="BY172">
        <v>0</v>
      </c>
      <c r="BZ172">
        <v>0</v>
      </c>
      <c r="CA172">
        <v>0.90826010544815472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 spans="1:84" hidden="1" x14ac:dyDescent="0.25">
      <c r="A173" t="s">
        <v>128</v>
      </c>
      <c r="B173" t="s">
        <v>372</v>
      </c>
      <c r="C173" t="s">
        <v>72</v>
      </c>
      <c r="D173" s="12">
        <v>46231</v>
      </c>
      <c r="E173" t="s">
        <v>134</v>
      </c>
      <c r="F173" t="s">
        <v>134</v>
      </c>
      <c r="G173" t="s">
        <v>134</v>
      </c>
      <c r="H173" t="s">
        <v>74</v>
      </c>
      <c r="I173">
        <v>10</v>
      </c>
      <c r="J173">
        <v>1.2742252699784016</v>
      </c>
      <c r="K173">
        <v>46231</v>
      </c>
      <c r="L173" t="s">
        <v>230</v>
      </c>
      <c r="M173">
        <v>0</v>
      </c>
      <c r="N173">
        <v>0</v>
      </c>
      <c r="O173">
        <v>0.94117647058823517</v>
      </c>
      <c r="P173">
        <v>0</v>
      </c>
      <c r="Q173">
        <v>0</v>
      </c>
      <c r="R173">
        <v>0.73862643659875649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0.73862643659875649</v>
      </c>
      <c r="AC173">
        <v>0.26137356340124351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J173">
        <v>0</v>
      </c>
      <c r="BK173">
        <v>0</v>
      </c>
      <c r="BL173">
        <v>1.3538643493520519</v>
      </c>
      <c r="BM173">
        <v>0.35386434935205191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 spans="1:84" hidden="1" x14ac:dyDescent="0.25">
      <c r="A174" t="s">
        <v>128</v>
      </c>
      <c r="B174" t="s">
        <v>372</v>
      </c>
      <c r="C174" t="s">
        <v>72</v>
      </c>
      <c r="D174" s="12">
        <v>46228</v>
      </c>
      <c r="E174" t="s">
        <v>134</v>
      </c>
      <c r="F174" t="s">
        <v>134</v>
      </c>
      <c r="G174" t="s">
        <v>134</v>
      </c>
      <c r="H174" t="s">
        <v>75</v>
      </c>
      <c r="I174">
        <v>10</v>
      </c>
      <c r="J174">
        <v>3.3729492440604751</v>
      </c>
      <c r="K174">
        <v>46228</v>
      </c>
      <c r="L174" t="s">
        <v>221</v>
      </c>
      <c r="M174">
        <v>2.8499999999999996</v>
      </c>
      <c r="N174">
        <v>2.8499999999999996</v>
      </c>
      <c r="O174">
        <v>3.1003460207612457</v>
      </c>
      <c r="P174">
        <v>0.84495786736745238</v>
      </c>
      <c r="Q174">
        <v>0.84495786736745238</v>
      </c>
      <c r="R174">
        <v>0.91917956554511915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7.4221698177666773E-2</v>
      </c>
      <c r="AC174">
        <v>8.0820434454880852E-2</v>
      </c>
      <c r="AD174">
        <v>0</v>
      </c>
      <c r="AE174">
        <v>0</v>
      </c>
      <c r="AF174">
        <v>0</v>
      </c>
      <c r="AG174">
        <v>0.84495786736745238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1.1834909628282371</v>
      </c>
      <c r="AN174">
        <v>1.1834909628282371</v>
      </c>
      <c r="AO174">
        <v>1.0878407090390336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8.7840709039033626E-2</v>
      </c>
      <c r="AW174">
        <v>0</v>
      </c>
      <c r="AX174">
        <v>9.5650253789203443E-2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0.91925223214285701</v>
      </c>
      <c r="BK174">
        <v>0.91925223214285701</v>
      </c>
      <c r="BL174">
        <v>1.0879267093007559</v>
      </c>
      <c r="BM174">
        <v>8.7926709300755856E-2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0.15504213263254762</v>
      </c>
      <c r="BW174">
        <v>0</v>
      </c>
      <c r="BX174">
        <v>0</v>
      </c>
      <c r="BY174">
        <v>0</v>
      </c>
      <c r="BZ174">
        <v>0</v>
      </c>
      <c r="CA174">
        <v>0.91925223214285701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hidden="1" x14ac:dyDescent="0.25">
      <c r="A175" t="s">
        <v>128</v>
      </c>
      <c r="B175" t="s">
        <v>372</v>
      </c>
      <c r="C175" t="s">
        <v>72</v>
      </c>
      <c r="D175" s="12">
        <v>46228</v>
      </c>
      <c r="E175" t="s">
        <v>134</v>
      </c>
      <c r="F175" t="s">
        <v>134</v>
      </c>
      <c r="G175" t="s">
        <v>134</v>
      </c>
      <c r="H175" t="s">
        <v>74</v>
      </c>
      <c r="I175">
        <v>10</v>
      </c>
      <c r="J175">
        <v>1.2742252699784016</v>
      </c>
      <c r="K175">
        <v>46228</v>
      </c>
      <c r="L175" t="s">
        <v>222</v>
      </c>
      <c r="M175">
        <v>0</v>
      </c>
      <c r="N175">
        <v>0</v>
      </c>
      <c r="O175">
        <v>0.94117647058823517</v>
      </c>
      <c r="P175">
        <v>0</v>
      </c>
      <c r="Q175">
        <v>0</v>
      </c>
      <c r="R175">
        <v>0.73862643659875649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0.73862643659875649</v>
      </c>
      <c r="AC175">
        <v>0.26137356340124351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J175">
        <v>0</v>
      </c>
      <c r="BK175">
        <v>0</v>
      </c>
      <c r="BL175">
        <v>1.3538643493520519</v>
      </c>
      <c r="BM175">
        <v>0.35386434935205191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hidden="1" x14ac:dyDescent="0.25">
      <c r="A176" t="s">
        <v>128</v>
      </c>
      <c r="B176" t="s">
        <v>372</v>
      </c>
      <c r="C176" t="s">
        <v>72</v>
      </c>
      <c r="D176" s="12">
        <v>46231</v>
      </c>
      <c r="E176" t="s">
        <v>134</v>
      </c>
      <c r="F176" t="s">
        <v>134</v>
      </c>
      <c r="G176" t="s">
        <v>134</v>
      </c>
      <c r="H176" t="s">
        <v>75</v>
      </c>
      <c r="I176">
        <v>10</v>
      </c>
      <c r="J176">
        <v>3.3729492440604751</v>
      </c>
      <c r="K176">
        <v>46231</v>
      </c>
      <c r="L176" t="s">
        <v>231</v>
      </c>
      <c r="M176">
        <v>1.9</v>
      </c>
      <c r="N176">
        <v>1.9</v>
      </c>
      <c r="O176">
        <v>3.5415224913494807</v>
      </c>
      <c r="P176">
        <v>0.56330524491163492</v>
      </c>
      <c r="Q176">
        <v>0.56330524491163492</v>
      </c>
      <c r="R176">
        <v>1.0499779970261489</v>
      </c>
      <c r="S176">
        <v>4.9977997026148913E-2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0.43669475508836508</v>
      </c>
      <c r="AC176">
        <v>0</v>
      </c>
      <c r="AD176">
        <v>0</v>
      </c>
      <c r="AE176">
        <v>0</v>
      </c>
      <c r="AF176">
        <v>0</v>
      </c>
      <c r="AG176">
        <v>0.56330524491163492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1.7752364442423554</v>
      </c>
      <c r="AN176">
        <v>1.7752364442423554</v>
      </c>
      <c r="AO176">
        <v>1.8639592059734109</v>
      </c>
      <c r="BF176">
        <v>0</v>
      </c>
      <c r="BG176">
        <v>0</v>
      </c>
      <c r="BH176">
        <v>0</v>
      </c>
      <c r="BJ176">
        <v>0.53649242794333174</v>
      </c>
      <c r="BK176">
        <v>0.53649242794333174</v>
      </c>
      <c r="BL176">
        <v>0.95240091014506822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4.7599089854931775E-2</v>
      </c>
      <c r="BX176">
        <v>0</v>
      </c>
      <c r="BY176">
        <v>0</v>
      </c>
      <c r="BZ176">
        <v>0</v>
      </c>
      <c r="CA176">
        <v>0.53649242794333174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hidden="1" x14ac:dyDescent="0.25">
      <c r="A177" t="s">
        <v>128</v>
      </c>
      <c r="B177" t="s">
        <v>372</v>
      </c>
      <c r="C177" t="s">
        <v>72</v>
      </c>
      <c r="D177" s="12">
        <v>46232</v>
      </c>
      <c r="E177" t="s">
        <v>134</v>
      </c>
      <c r="F177" t="s">
        <v>134</v>
      </c>
      <c r="G177" t="s">
        <v>134</v>
      </c>
      <c r="H177" t="s">
        <v>73</v>
      </c>
      <c r="I177">
        <v>10</v>
      </c>
      <c r="J177">
        <v>5.8323914011879054</v>
      </c>
      <c r="K177">
        <v>46232</v>
      </c>
      <c r="L177" t="s">
        <v>238</v>
      </c>
      <c r="M177">
        <v>3.8</v>
      </c>
      <c r="N177">
        <v>3.8</v>
      </c>
      <c r="O177">
        <v>4.2886029411764683</v>
      </c>
      <c r="P177">
        <v>0.65153377724719219</v>
      </c>
      <c r="Q177">
        <v>0.65153377724719219</v>
      </c>
      <c r="R177">
        <v>0.73530780878371649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8.3774031536524296E-2</v>
      </c>
      <c r="AC177">
        <v>0.26469219121628351</v>
      </c>
      <c r="AD177">
        <v>0</v>
      </c>
      <c r="AE177">
        <v>0</v>
      </c>
      <c r="AF177">
        <v>0</v>
      </c>
      <c r="AG177">
        <v>0.65153377724719219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1.53483984241787</v>
      </c>
      <c r="AN177">
        <v>1.53483984241787</v>
      </c>
      <c r="AO177">
        <v>1.1285797213622286</v>
      </c>
      <c r="BF177">
        <v>0</v>
      </c>
      <c r="BG177">
        <v>0</v>
      </c>
      <c r="BH177">
        <v>0</v>
      </c>
      <c r="BJ177">
        <v>0.88606943849121345</v>
      </c>
      <c r="BK177">
        <v>0.88606943849121345</v>
      </c>
      <c r="BL177">
        <v>1.3599746773451447</v>
      </c>
      <c r="BM177">
        <v>0.35997467734514466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0.34846622275280781</v>
      </c>
      <c r="BW177">
        <v>0</v>
      </c>
      <c r="BX177">
        <v>0</v>
      </c>
      <c r="BY177">
        <v>0</v>
      </c>
      <c r="BZ177">
        <v>0</v>
      </c>
      <c r="CA177">
        <v>0.88606943849121345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 spans="1:84" hidden="1" x14ac:dyDescent="0.25">
      <c r="A178" t="s">
        <v>128</v>
      </c>
      <c r="B178" t="s">
        <v>372</v>
      </c>
      <c r="C178" t="s">
        <v>72</v>
      </c>
      <c r="D178" s="12">
        <v>46228</v>
      </c>
      <c r="E178" t="s">
        <v>134</v>
      </c>
      <c r="F178" t="s">
        <v>134</v>
      </c>
      <c r="G178" t="s">
        <v>134</v>
      </c>
      <c r="H178" t="s">
        <v>73</v>
      </c>
      <c r="I178">
        <v>10</v>
      </c>
      <c r="J178">
        <v>2.3891723812095034</v>
      </c>
      <c r="K178">
        <v>46228</v>
      </c>
      <c r="L178" t="s">
        <v>223</v>
      </c>
      <c r="M178">
        <v>2.8499999999999996</v>
      </c>
      <c r="N178">
        <v>2.8499999999999996</v>
      </c>
      <c r="O178">
        <v>3.8235294117647038</v>
      </c>
      <c r="P178">
        <v>1.1928816951069914</v>
      </c>
      <c r="Q178">
        <v>1.1928816951069914</v>
      </c>
      <c r="R178">
        <v>1.6003572792973046</v>
      </c>
      <c r="S178">
        <v>0.40747558419031327</v>
      </c>
      <c r="T178">
        <v>0</v>
      </c>
      <c r="U178">
        <v>0</v>
      </c>
      <c r="V178">
        <v>0</v>
      </c>
      <c r="W178">
        <v>0</v>
      </c>
      <c r="X178">
        <v>5.711830489300862E-2</v>
      </c>
      <c r="Y178">
        <v>0.19288169510699138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0.83830609867000128</v>
      </c>
      <c r="AN178">
        <v>0.83830609867000128</v>
      </c>
      <c r="AO178">
        <v>1.3415892672858611</v>
      </c>
      <c r="AP178">
        <v>0.34158926728586114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0.83830609867000128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0.74538461538461565</v>
      </c>
      <c r="BK178">
        <v>0.74538461538461565</v>
      </c>
      <c r="BL178">
        <v>0.62486046893171665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0.25461538461538435</v>
      </c>
      <c r="BX178">
        <v>0</v>
      </c>
      <c r="BY178">
        <v>0.12052414645289899</v>
      </c>
      <c r="BZ178">
        <v>0</v>
      </c>
      <c r="CA178">
        <v>0.62486046893171665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 spans="1:84" hidden="1" x14ac:dyDescent="0.25">
      <c r="A179" t="s">
        <v>128</v>
      </c>
      <c r="B179" t="s">
        <v>372</v>
      </c>
      <c r="C179" t="s">
        <v>72</v>
      </c>
      <c r="D179" s="12">
        <v>46227</v>
      </c>
      <c r="E179" t="s">
        <v>134</v>
      </c>
      <c r="F179" t="s">
        <v>134</v>
      </c>
      <c r="G179" t="s">
        <v>134</v>
      </c>
      <c r="H179" t="s">
        <v>75</v>
      </c>
      <c r="I179">
        <v>10</v>
      </c>
      <c r="J179">
        <v>2.2486328293736499</v>
      </c>
      <c r="K179">
        <v>46227</v>
      </c>
      <c r="L179" t="s">
        <v>224</v>
      </c>
      <c r="M179">
        <v>3.8</v>
      </c>
      <c r="N179">
        <v>3.8</v>
      </c>
      <c r="O179">
        <v>2.9307958477508644</v>
      </c>
      <c r="P179">
        <v>1.689915734734905</v>
      </c>
      <c r="Q179">
        <v>1.689915734734905</v>
      </c>
      <c r="R179">
        <v>1.3033678995815554</v>
      </c>
      <c r="S179">
        <v>0</v>
      </c>
      <c r="T179">
        <v>0</v>
      </c>
      <c r="U179">
        <v>0.38654783515334956</v>
      </c>
      <c r="V179">
        <v>0</v>
      </c>
      <c r="W179">
        <v>5.3367899581555411E-2</v>
      </c>
      <c r="X179">
        <v>0</v>
      </c>
      <c r="Y179">
        <v>0.25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0.59174548141411842</v>
      </c>
      <c r="AN179">
        <v>0.59174548141411842</v>
      </c>
      <c r="AO179">
        <v>0.77126206519759599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0.22873793480240401</v>
      </c>
      <c r="BA179">
        <v>0</v>
      </c>
      <c r="BB179">
        <v>0</v>
      </c>
      <c r="BC179">
        <v>0</v>
      </c>
      <c r="BD179">
        <v>0.59174548141411842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1.2965761511216058</v>
      </c>
      <c r="BK179">
        <v>1.2965761511216058</v>
      </c>
      <c r="BL179">
        <v>0.76724307873551945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0.29657615112160585</v>
      </c>
      <c r="BV179">
        <v>0</v>
      </c>
      <c r="BW179">
        <v>0</v>
      </c>
      <c r="BX179">
        <v>0</v>
      </c>
      <c r="BY179">
        <v>0.23275692126448055</v>
      </c>
      <c r="BZ179">
        <v>0</v>
      </c>
      <c r="CA179">
        <v>0.76724307873551945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hidden="1" x14ac:dyDescent="0.25">
      <c r="A180" t="s">
        <v>128</v>
      </c>
      <c r="B180" t="s">
        <v>372</v>
      </c>
      <c r="C180" t="s">
        <v>72</v>
      </c>
      <c r="D180" s="12">
        <v>46232</v>
      </c>
      <c r="E180" t="s">
        <v>134</v>
      </c>
      <c r="F180" t="s">
        <v>134</v>
      </c>
      <c r="G180" t="s">
        <v>134</v>
      </c>
      <c r="H180" t="s">
        <v>74</v>
      </c>
      <c r="I180">
        <v>10</v>
      </c>
      <c r="J180">
        <v>1.2742252699784016</v>
      </c>
      <c r="K180">
        <v>46232</v>
      </c>
      <c r="L180" t="s">
        <v>237</v>
      </c>
      <c r="M180">
        <v>0</v>
      </c>
      <c r="N180">
        <v>0</v>
      </c>
      <c r="O180">
        <v>0.94117647058823517</v>
      </c>
      <c r="P180">
        <v>0</v>
      </c>
      <c r="Q180">
        <v>0</v>
      </c>
      <c r="R180">
        <v>0.73862643659875649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0.73862643659875649</v>
      </c>
      <c r="AC180">
        <v>0.26137356340124351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J180">
        <v>0</v>
      </c>
      <c r="BK180">
        <v>0</v>
      </c>
      <c r="BL180">
        <v>1.3538643493520519</v>
      </c>
      <c r="BM180">
        <v>0.35386434935205191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</row>
    <row r="181" spans="1:84" hidden="1" x14ac:dyDescent="0.25">
      <c r="A181" t="s">
        <v>128</v>
      </c>
      <c r="B181" t="s">
        <v>372</v>
      </c>
      <c r="C181" t="s">
        <v>72</v>
      </c>
      <c r="D181" s="12">
        <v>46232</v>
      </c>
      <c r="E181" t="s">
        <v>134</v>
      </c>
      <c r="F181" t="s">
        <v>134</v>
      </c>
      <c r="G181" t="s">
        <v>134</v>
      </c>
      <c r="H181" t="s">
        <v>75</v>
      </c>
      <c r="I181">
        <v>10</v>
      </c>
      <c r="J181">
        <v>2.2486328293736499</v>
      </c>
      <c r="K181">
        <v>46232</v>
      </c>
      <c r="L181" t="s">
        <v>236</v>
      </c>
      <c r="M181">
        <v>4.75</v>
      </c>
      <c r="N181">
        <v>4.75</v>
      </c>
      <c r="O181">
        <v>2.5449826989619382</v>
      </c>
      <c r="P181">
        <v>2.1123946684186312</v>
      </c>
      <c r="Q181">
        <v>2.1123946684186312</v>
      </c>
      <c r="R181">
        <v>1.1317911335799697</v>
      </c>
      <c r="S181">
        <v>0</v>
      </c>
      <c r="T181">
        <v>0</v>
      </c>
      <c r="U181">
        <v>0.86239466841863122</v>
      </c>
      <c r="V181">
        <v>0</v>
      </c>
      <c r="W181">
        <v>0</v>
      </c>
      <c r="X181">
        <v>0</v>
      </c>
      <c r="Y181">
        <v>0.13179113357996974</v>
      </c>
      <c r="Z181">
        <v>0</v>
      </c>
      <c r="AA181">
        <v>0.11820886642003026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0.47339638513129473</v>
      </c>
      <c r="AN181">
        <v>0.47339638513129473</v>
      </c>
      <c r="AO181">
        <v>0.53578583136040803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0.46421416863959197</v>
      </c>
      <c r="BA181">
        <v>0</v>
      </c>
      <c r="BB181">
        <v>0</v>
      </c>
      <c r="BC181">
        <v>0</v>
      </c>
      <c r="BD181">
        <v>0.47339638513129473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1.8664174031271241</v>
      </c>
      <c r="BK181">
        <v>1.8664174031271241</v>
      </c>
      <c r="BL181">
        <v>0.88355525178651895</v>
      </c>
      <c r="CC181">
        <v>0</v>
      </c>
      <c r="CD181">
        <v>0</v>
      </c>
      <c r="CE181">
        <v>0</v>
      </c>
    </row>
    <row r="182" spans="1:84" hidden="1" x14ac:dyDescent="0.25">
      <c r="A182" t="s">
        <v>128</v>
      </c>
      <c r="B182" t="s">
        <v>372</v>
      </c>
      <c r="C182" t="s">
        <v>72</v>
      </c>
      <c r="D182" s="12">
        <v>46227</v>
      </c>
      <c r="E182" t="s">
        <v>134</v>
      </c>
      <c r="F182" t="s">
        <v>134</v>
      </c>
      <c r="G182" t="s">
        <v>134</v>
      </c>
      <c r="H182" t="s">
        <v>74</v>
      </c>
      <c r="I182">
        <v>10</v>
      </c>
      <c r="J182">
        <v>1.2742252699784016</v>
      </c>
      <c r="K182">
        <v>46227</v>
      </c>
      <c r="L182" t="s">
        <v>225</v>
      </c>
      <c r="M182">
        <v>0</v>
      </c>
      <c r="N182">
        <v>0</v>
      </c>
      <c r="O182">
        <v>0.94117647058823517</v>
      </c>
      <c r="P182">
        <v>0</v>
      </c>
      <c r="Q182">
        <v>0</v>
      </c>
      <c r="R182">
        <v>0.73862643659875649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0.73862643659875649</v>
      </c>
      <c r="AC182">
        <v>0.26137356340124351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J182">
        <v>0</v>
      </c>
      <c r="BK182">
        <v>0</v>
      </c>
      <c r="BL182">
        <v>1.3538643493520519</v>
      </c>
      <c r="BM182">
        <v>0.35386434935205191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hidden="1" x14ac:dyDescent="0.25">
      <c r="A183" t="s">
        <v>128</v>
      </c>
      <c r="B183" t="s">
        <v>372</v>
      </c>
      <c r="C183" t="s">
        <v>72</v>
      </c>
      <c r="D183" s="12">
        <v>46233</v>
      </c>
      <c r="E183" t="s">
        <v>134</v>
      </c>
      <c r="F183" t="s">
        <v>134</v>
      </c>
      <c r="G183" t="s">
        <v>134</v>
      </c>
      <c r="H183" t="s">
        <v>73</v>
      </c>
      <c r="I183">
        <v>10</v>
      </c>
      <c r="J183">
        <v>5.7621216252699776</v>
      </c>
      <c r="K183">
        <v>46233</v>
      </c>
      <c r="L183" t="s">
        <v>235</v>
      </c>
      <c r="M183">
        <v>2.8499999999999996</v>
      </c>
      <c r="N183">
        <v>2.8499999999999996</v>
      </c>
      <c r="O183">
        <v>4.1104779411764714</v>
      </c>
      <c r="P183">
        <v>0.49460948333704535</v>
      </c>
      <c r="Q183">
        <v>0.49460948333704535</v>
      </c>
      <c r="R183">
        <v>0.71336188447495319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0.21875240113790784</v>
      </c>
      <c r="AC183">
        <v>0.28663811552504681</v>
      </c>
      <c r="AD183">
        <v>0</v>
      </c>
      <c r="AE183">
        <v>0</v>
      </c>
      <c r="AF183">
        <v>0</v>
      </c>
      <c r="AG183">
        <v>0.49460948333704535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2.0217970614982379</v>
      </c>
      <c r="AN183">
        <v>2.0217970614982379</v>
      </c>
      <c r="AO183">
        <v>1.4422729618163059</v>
      </c>
      <c r="BF183">
        <v>0</v>
      </c>
      <c r="BG183">
        <v>0</v>
      </c>
      <c r="BH183">
        <v>0</v>
      </c>
      <c r="BJ183">
        <v>0.69335002906846721</v>
      </c>
      <c r="BK183">
        <v>0.69335002906846721</v>
      </c>
      <c r="BL183">
        <v>1.4018130513603448</v>
      </c>
      <c r="BM183">
        <v>0.40181305136034484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0.50539051666295465</v>
      </c>
      <c r="BW183">
        <v>0</v>
      </c>
      <c r="BX183">
        <v>0</v>
      </c>
      <c r="BY183">
        <v>0</v>
      </c>
      <c r="BZ183">
        <v>0</v>
      </c>
      <c r="CA183">
        <v>0.69335002906846721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84" hidden="1" x14ac:dyDescent="0.25">
      <c r="A184" t="s">
        <v>128</v>
      </c>
      <c r="B184" t="s">
        <v>372</v>
      </c>
      <c r="C184" t="s">
        <v>72</v>
      </c>
      <c r="D184" s="12">
        <v>46227</v>
      </c>
      <c r="E184" t="s">
        <v>134</v>
      </c>
      <c r="F184" t="s">
        <v>134</v>
      </c>
      <c r="G184" t="s">
        <v>134</v>
      </c>
      <c r="H184" t="s">
        <v>73</v>
      </c>
      <c r="I184">
        <v>10</v>
      </c>
      <c r="J184">
        <v>4.7783447624190059</v>
      </c>
      <c r="K184">
        <v>46227</v>
      </c>
      <c r="L184" t="s">
        <v>226</v>
      </c>
      <c r="M184">
        <v>2.8499999999999996</v>
      </c>
      <c r="N184">
        <v>2.8499999999999996</v>
      </c>
      <c r="O184">
        <v>1.9411764705882353</v>
      </c>
      <c r="P184">
        <v>0.5964408475534958</v>
      </c>
      <c r="Q184">
        <v>0.5964408475534958</v>
      </c>
      <c r="R184">
        <v>0.4062445401293161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0.4035591524465042</v>
      </c>
      <c r="AD184">
        <v>0</v>
      </c>
      <c r="AE184">
        <v>0.1901963074241797</v>
      </c>
      <c r="AF184">
        <v>0</v>
      </c>
      <c r="AG184">
        <v>0.4062445401293161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1.6766121973400023</v>
      </c>
      <c r="AN184">
        <v>1.6766121973400023</v>
      </c>
      <c r="AO184">
        <v>0.68111455108359142</v>
      </c>
      <c r="BF184">
        <v>0</v>
      </c>
      <c r="BG184">
        <v>0</v>
      </c>
      <c r="BH184">
        <v>0</v>
      </c>
      <c r="BJ184">
        <v>1.468181818181818</v>
      </c>
      <c r="BK184">
        <v>1.468181818181818</v>
      </c>
      <c r="BL184">
        <v>2.4615715442764574</v>
      </c>
      <c r="BM184">
        <v>0.99338972609463938</v>
      </c>
      <c r="BN184">
        <v>0</v>
      </c>
      <c r="BO184">
        <v>0</v>
      </c>
      <c r="BP184">
        <v>0</v>
      </c>
      <c r="BQ184">
        <v>0</v>
      </c>
      <c r="BR184">
        <v>3.1818181818181968E-2</v>
      </c>
      <c r="BS184">
        <v>0.46818181818181803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 spans="1:84" hidden="1" x14ac:dyDescent="0.25">
      <c r="A185" t="s">
        <v>128</v>
      </c>
      <c r="B185" t="s">
        <v>372</v>
      </c>
      <c r="C185" t="s">
        <v>72</v>
      </c>
      <c r="D185" s="12">
        <v>46226</v>
      </c>
      <c r="E185" t="s">
        <v>134</v>
      </c>
      <c r="F185" t="s">
        <v>134</v>
      </c>
      <c r="G185" t="s">
        <v>134</v>
      </c>
      <c r="H185" t="s">
        <v>75</v>
      </c>
      <c r="I185">
        <v>10</v>
      </c>
      <c r="J185">
        <v>3.505221763435395</v>
      </c>
      <c r="K185">
        <v>46226</v>
      </c>
      <c r="L185" t="s">
        <v>227</v>
      </c>
      <c r="M185">
        <v>3.8</v>
      </c>
      <c r="N185">
        <v>3.8</v>
      </c>
      <c r="O185">
        <v>3.161901293024949</v>
      </c>
      <c r="P185">
        <v>1.0840968864337128</v>
      </c>
      <c r="Q185">
        <v>1.0840968864337128</v>
      </c>
      <c r="R185">
        <v>0.90205456499449421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8.4096886433712825E-2</v>
      </c>
      <c r="AB185">
        <v>0</v>
      </c>
      <c r="AC185">
        <v>0</v>
      </c>
      <c r="AD185">
        <v>0</v>
      </c>
      <c r="AE185">
        <v>9.7945435005505788E-2</v>
      </c>
      <c r="AF185">
        <v>0</v>
      </c>
      <c r="AG185">
        <v>0.90205456499449421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0.92242677985141974</v>
      </c>
      <c r="AN185">
        <v>0.92242677985141974</v>
      </c>
      <c r="AO185">
        <v>0.83207928763814454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7.7573220148580257E-2</v>
      </c>
      <c r="BA185">
        <v>0</v>
      </c>
      <c r="BB185">
        <v>9.0347492213275205E-2</v>
      </c>
      <c r="BC185">
        <v>0</v>
      </c>
      <c r="BD185">
        <v>0.83207928763814454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1.2018085474023732</v>
      </c>
      <c r="BK185">
        <v>1.2018085474023732</v>
      </c>
      <c r="BL185">
        <v>1.1085803883782837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0.10858038837828365</v>
      </c>
      <c r="BT185">
        <v>0</v>
      </c>
      <c r="BU185">
        <v>9.3228159024089541E-2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hidden="1" x14ac:dyDescent="0.25">
      <c r="A186" t="s">
        <v>128</v>
      </c>
      <c r="B186" t="s">
        <v>372</v>
      </c>
      <c r="C186" t="s">
        <v>72</v>
      </c>
      <c r="D186" s="12">
        <v>46233</v>
      </c>
      <c r="E186" t="s">
        <v>134</v>
      </c>
      <c r="F186" t="s">
        <v>134</v>
      </c>
      <c r="G186" t="s">
        <v>134</v>
      </c>
      <c r="H186" t="s">
        <v>74</v>
      </c>
      <c r="I186">
        <v>10</v>
      </c>
      <c r="J186">
        <v>1.2742252699784016</v>
      </c>
      <c r="K186">
        <v>46233</v>
      </c>
      <c r="L186" t="s">
        <v>234</v>
      </c>
      <c r="M186">
        <v>0</v>
      </c>
      <c r="N186">
        <v>0</v>
      </c>
      <c r="O186">
        <v>0.94117647058823517</v>
      </c>
      <c r="P186">
        <v>0</v>
      </c>
      <c r="Q186">
        <v>0</v>
      </c>
      <c r="R186">
        <v>0.73862643659875649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0.73862643659875649</v>
      </c>
      <c r="AC186">
        <v>0.26137356340124351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J186">
        <v>0</v>
      </c>
      <c r="BK186">
        <v>0</v>
      </c>
      <c r="BL186">
        <v>1.3538643493520519</v>
      </c>
      <c r="BM186">
        <v>0.35386434935205191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 spans="1:84" hidden="1" x14ac:dyDescent="0.25">
      <c r="A187" t="s">
        <v>128</v>
      </c>
      <c r="B187" t="s">
        <v>372</v>
      </c>
      <c r="C187" t="s">
        <v>72</v>
      </c>
      <c r="D187" s="12">
        <v>46233</v>
      </c>
      <c r="E187" t="s">
        <v>134</v>
      </c>
      <c r="F187" t="s">
        <v>134</v>
      </c>
      <c r="G187" t="s">
        <v>134</v>
      </c>
      <c r="H187" t="s">
        <v>75</v>
      </c>
      <c r="I187">
        <v>10</v>
      </c>
      <c r="J187">
        <v>3.3729492440604751</v>
      </c>
      <c r="K187">
        <v>46233</v>
      </c>
      <c r="L187" t="s">
        <v>233</v>
      </c>
      <c r="M187">
        <v>3.8</v>
      </c>
      <c r="N187">
        <v>3.8</v>
      </c>
      <c r="O187">
        <v>3.5949826989619371</v>
      </c>
      <c r="P187">
        <v>1.1266104898232698</v>
      </c>
      <c r="Q187">
        <v>1.1266104898232698</v>
      </c>
      <c r="R187">
        <v>1.0658276893114971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6.5827689311497073E-2</v>
      </c>
      <c r="Z187">
        <v>0</v>
      </c>
      <c r="AA187">
        <v>6.0782800511772761E-2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0.88761822212117769</v>
      </c>
      <c r="AN187">
        <v>0.88761822212117769</v>
      </c>
      <c r="AO187">
        <v>0.94604807867419405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5.3951921325805952E-2</v>
      </c>
      <c r="BA187">
        <v>0</v>
      </c>
      <c r="BB187">
        <v>0</v>
      </c>
      <c r="BC187">
        <v>0</v>
      </c>
      <c r="BD187">
        <v>0.88761822212117769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1.0570287309302662</v>
      </c>
      <c r="BK187">
        <v>1.0570287309302662</v>
      </c>
      <c r="BL187">
        <v>0.9382379628793277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5.7028730930266169E-2</v>
      </c>
      <c r="BV187">
        <v>0</v>
      </c>
      <c r="BW187">
        <v>0</v>
      </c>
      <c r="BX187">
        <v>0</v>
      </c>
      <c r="BY187">
        <v>6.1762037120672297E-2</v>
      </c>
      <c r="BZ187">
        <v>0</v>
      </c>
      <c r="CA187">
        <v>0.9382379628793277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 spans="1:84" hidden="1" x14ac:dyDescent="0.25">
      <c r="A188" t="s">
        <v>128</v>
      </c>
      <c r="B188" t="s">
        <v>372</v>
      </c>
      <c r="C188" t="s">
        <v>72</v>
      </c>
      <c r="D188" s="12">
        <v>46226</v>
      </c>
      <c r="E188" t="s">
        <v>134</v>
      </c>
      <c r="F188" t="s">
        <v>134</v>
      </c>
      <c r="G188" t="s">
        <v>134</v>
      </c>
      <c r="H188" t="s">
        <v>74</v>
      </c>
      <c r="I188">
        <v>10</v>
      </c>
      <c r="J188">
        <v>1.2742252699784016</v>
      </c>
      <c r="K188">
        <v>46226</v>
      </c>
      <c r="L188" t="s">
        <v>228</v>
      </c>
      <c r="M188">
        <v>0</v>
      </c>
      <c r="N188">
        <v>0</v>
      </c>
      <c r="O188">
        <v>0.94117647058823517</v>
      </c>
      <c r="P188">
        <v>0</v>
      </c>
      <c r="Q188">
        <v>0</v>
      </c>
      <c r="R188">
        <v>0.73862643659875649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0.73862643659875649</v>
      </c>
      <c r="AC188">
        <v>0.26137356340124351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J188">
        <v>0</v>
      </c>
      <c r="BK188">
        <v>0</v>
      </c>
      <c r="BL188">
        <v>1.3538643493520519</v>
      </c>
      <c r="BM188">
        <v>0.35386434935205191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 spans="1:84" hidden="1" x14ac:dyDescent="0.25">
      <c r="A189" t="s">
        <v>128</v>
      </c>
      <c r="B189" t="s">
        <v>372</v>
      </c>
      <c r="C189" t="s">
        <v>72</v>
      </c>
      <c r="D189" s="12">
        <v>46226</v>
      </c>
      <c r="E189" t="s">
        <v>134</v>
      </c>
      <c r="F189" t="s">
        <v>134</v>
      </c>
      <c r="G189" t="s">
        <v>134</v>
      </c>
      <c r="H189" t="s">
        <v>73</v>
      </c>
      <c r="I189">
        <v>10</v>
      </c>
      <c r="J189">
        <v>5.9729309530237575</v>
      </c>
      <c r="K189">
        <v>46226</v>
      </c>
      <c r="L189" t="s">
        <v>229</v>
      </c>
      <c r="M189">
        <v>2.8499999999999996</v>
      </c>
      <c r="N189">
        <v>2.8499999999999996</v>
      </c>
      <c r="O189">
        <v>4.8831269349845199</v>
      </c>
      <c r="P189">
        <v>0.47715267804279665</v>
      </c>
      <c r="Q189">
        <v>0.47715267804279665</v>
      </c>
      <c r="R189">
        <v>0.81754284008799205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0.3403901620451954</v>
      </c>
      <c r="AC189">
        <v>0.18245715991200795</v>
      </c>
      <c r="AD189">
        <v>0</v>
      </c>
      <c r="AE189">
        <v>0</v>
      </c>
      <c r="AF189">
        <v>0</v>
      </c>
      <c r="AG189">
        <v>0.47715267804279665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2.0957652466750027</v>
      </c>
      <c r="AN189">
        <v>2.0957652466750027</v>
      </c>
      <c r="AO189">
        <v>1.7133778719243931</v>
      </c>
      <c r="BF189">
        <v>0</v>
      </c>
      <c r="BG189">
        <v>0</v>
      </c>
      <c r="BH189">
        <v>0</v>
      </c>
      <c r="BJ189">
        <v>0.58364241559676644</v>
      </c>
      <c r="BK189">
        <v>0.58364241559676644</v>
      </c>
      <c r="BL189">
        <v>1.2231774910931519</v>
      </c>
      <c r="BM189">
        <v>0.22317749109315188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0.5228473219572034</v>
      </c>
      <c r="BW189">
        <v>0</v>
      </c>
      <c r="BX189">
        <v>0</v>
      </c>
      <c r="BY189">
        <v>0</v>
      </c>
      <c r="BZ189">
        <v>0</v>
      </c>
      <c r="CA189">
        <v>0.58364241559676644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hidden="1" x14ac:dyDescent="0.25">
      <c r="A190" t="s">
        <v>128</v>
      </c>
      <c r="B190" t="s">
        <v>372</v>
      </c>
      <c r="C190" t="s">
        <v>72</v>
      </c>
      <c r="D190" s="12">
        <v>46225</v>
      </c>
      <c r="E190" t="s">
        <v>134</v>
      </c>
      <c r="F190" t="s">
        <v>134</v>
      </c>
      <c r="G190" t="s">
        <v>134</v>
      </c>
      <c r="H190" t="s">
        <v>75</v>
      </c>
      <c r="I190">
        <v>10</v>
      </c>
      <c r="J190">
        <v>3.902039321560157</v>
      </c>
      <c r="K190">
        <v>46225</v>
      </c>
      <c r="L190" t="s">
        <v>212</v>
      </c>
      <c r="M190">
        <v>4.75</v>
      </c>
      <c r="N190">
        <v>4.75</v>
      </c>
      <c r="O190">
        <v>3.8019031141868513</v>
      </c>
      <c r="P190">
        <v>1.2173121818005672</v>
      </c>
      <c r="Q190">
        <v>1.2173121818005672</v>
      </c>
      <c r="R190">
        <v>0.97433746840529833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0.21731218180056722</v>
      </c>
      <c r="AB190">
        <v>0</v>
      </c>
      <c r="AC190">
        <v>0</v>
      </c>
      <c r="AD190">
        <v>0</v>
      </c>
      <c r="AE190">
        <v>2.5662531594701665E-2</v>
      </c>
      <c r="AF190">
        <v>0</v>
      </c>
      <c r="AG190">
        <v>0.97433746840529833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0.82148196243371729</v>
      </c>
      <c r="AN190">
        <v>0.82148196243371729</v>
      </c>
      <c r="AO190">
        <v>0.80040065561828444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0.17851803756628271</v>
      </c>
      <c r="BA190">
        <v>0</v>
      </c>
      <c r="BB190">
        <v>2.1081306815432854E-2</v>
      </c>
      <c r="BC190">
        <v>0</v>
      </c>
      <c r="BD190">
        <v>0.80040065561828444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1.2493742889647326</v>
      </c>
      <c r="BK190">
        <v>1.2493742889647326</v>
      </c>
      <c r="BL190">
        <v>1.0263384427129787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2.6338442712978694E-2</v>
      </c>
      <c r="BT190">
        <v>0</v>
      </c>
      <c r="BU190">
        <v>0.22303584625175388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84" hidden="1" x14ac:dyDescent="0.25">
      <c r="A191" t="s">
        <v>128</v>
      </c>
      <c r="B191" t="s">
        <v>372</v>
      </c>
      <c r="C191" t="s">
        <v>72</v>
      </c>
      <c r="D191" s="12">
        <v>46238</v>
      </c>
      <c r="E191" t="s">
        <v>134</v>
      </c>
      <c r="F191" t="s">
        <v>134</v>
      </c>
      <c r="G191" t="s">
        <v>134</v>
      </c>
      <c r="H191" t="s">
        <v>75</v>
      </c>
      <c r="I191">
        <v>10</v>
      </c>
      <c r="J191">
        <v>3.3729492440604751</v>
      </c>
      <c r="K191">
        <v>46238</v>
      </c>
      <c r="L191" t="s">
        <v>178</v>
      </c>
      <c r="M191">
        <v>0</v>
      </c>
      <c r="N191">
        <v>0</v>
      </c>
      <c r="O191">
        <v>3.4861591695501724</v>
      </c>
      <c r="P191">
        <v>0</v>
      </c>
      <c r="Q191">
        <v>0</v>
      </c>
      <c r="R191">
        <v>1.0335640762128431</v>
      </c>
      <c r="S191">
        <v>3.3564076212843075E-2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0.96752588737814149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3.2474112621858509E-2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0.96752588737814149</v>
      </c>
      <c r="CF191">
        <v>0</v>
      </c>
    </row>
    <row r="192" spans="1:84" hidden="1" x14ac:dyDescent="0.25">
      <c r="A192" t="s">
        <v>128</v>
      </c>
      <c r="B192" t="s">
        <v>372</v>
      </c>
      <c r="C192" t="s">
        <v>72</v>
      </c>
      <c r="D192" s="12">
        <v>46249</v>
      </c>
      <c r="E192" t="s">
        <v>501</v>
      </c>
      <c r="F192" t="s">
        <v>501</v>
      </c>
      <c r="G192" t="s">
        <v>501</v>
      </c>
      <c r="H192" t="s">
        <v>73</v>
      </c>
      <c r="I192">
        <v>20</v>
      </c>
      <c r="J192">
        <v>3.5876164620550925</v>
      </c>
      <c r="K192">
        <v>46249</v>
      </c>
      <c r="L192" t="s">
        <v>155</v>
      </c>
      <c r="M192">
        <v>8.5499999999999989</v>
      </c>
      <c r="N192">
        <v>8.5499999999999989</v>
      </c>
      <c r="O192">
        <v>3.8235294117647038</v>
      </c>
      <c r="P192">
        <v>2.3831978948781796</v>
      </c>
      <c r="Q192">
        <v>2.3831978948781796</v>
      </c>
      <c r="R192">
        <v>1.0657575725289412</v>
      </c>
      <c r="S192">
        <v>0</v>
      </c>
      <c r="T192">
        <v>0</v>
      </c>
      <c r="U192">
        <v>1.1331978948781796</v>
      </c>
      <c r="V192">
        <v>0</v>
      </c>
      <c r="W192">
        <v>0</v>
      </c>
      <c r="X192">
        <v>0</v>
      </c>
      <c r="Y192">
        <v>6.5757572528941211E-2</v>
      </c>
      <c r="Z192">
        <v>0</v>
      </c>
      <c r="AA192">
        <v>0.18424242747105879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0.41960426456784711</v>
      </c>
      <c r="AN192">
        <v>0.41960426456784711</v>
      </c>
      <c r="AO192">
        <v>0.4471964224286204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0.55280357757137955</v>
      </c>
      <c r="BA192">
        <v>0</v>
      </c>
      <c r="BB192">
        <v>0</v>
      </c>
      <c r="BC192">
        <v>0</v>
      </c>
      <c r="BD192">
        <v>0.41960426456784711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2.2361538461538473</v>
      </c>
      <c r="BK192">
        <v>2.2361538461538473</v>
      </c>
      <c r="BL192">
        <v>0.93829969007594782</v>
      </c>
      <c r="CC192">
        <v>0</v>
      </c>
      <c r="CD192">
        <v>0</v>
      </c>
      <c r="CE192">
        <v>0</v>
      </c>
    </row>
    <row r="193" spans="1:84" hidden="1" x14ac:dyDescent="0.25">
      <c r="A193" t="s">
        <v>128</v>
      </c>
      <c r="B193" t="s">
        <v>372</v>
      </c>
      <c r="C193" t="s">
        <v>72</v>
      </c>
      <c r="D193" s="12">
        <v>46239</v>
      </c>
      <c r="E193" t="s">
        <v>134</v>
      </c>
      <c r="F193" t="s">
        <v>134</v>
      </c>
      <c r="G193" t="s">
        <v>134</v>
      </c>
      <c r="H193" t="s">
        <v>73</v>
      </c>
      <c r="I193">
        <v>10</v>
      </c>
      <c r="J193">
        <v>4.6378052105831538</v>
      </c>
      <c r="K193">
        <v>46239</v>
      </c>
      <c r="L193" t="s">
        <v>177</v>
      </c>
      <c r="M193">
        <v>0</v>
      </c>
      <c r="N193">
        <v>0</v>
      </c>
      <c r="O193">
        <v>2.40625</v>
      </c>
      <c r="P193">
        <v>0</v>
      </c>
      <c r="Q193">
        <v>0</v>
      </c>
      <c r="R193">
        <v>0.51883377820808485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0.51883377820808485</v>
      </c>
      <c r="AC193">
        <v>0.48116622179191515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J193">
        <v>0</v>
      </c>
      <c r="BK193">
        <v>0</v>
      </c>
      <c r="BL193">
        <v>1.9273995680345575</v>
      </c>
      <c r="BM193">
        <v>0.92739956803455748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1</v>
      </c>
    </row>
    <row r="194" spans="1:84" hidden="1" x14ac:dyDescent="0.25">
      <c r="A194" t="s">
        <v>128</v>
      </c>
      <c r="B194" t="s">
        <v>372</v>
      </c>
      <c r="C194" t="s">
        <v>72</v>
      </c>
      <c r="D194" s="12">
        <v>46244</v>
      </c>
      <c r="E194" t="s">
        <v>134</v>
      </c>
      <c r="F194" t="s">
        <v>134</v>
      </c>
      <c r="G194" t="s">
        <v>134</v>
      </c>
      <c r="H194" t="s">
        <v>73</v>
      </c>
      <c r="I194">
        <v>10</v>
      </c>
      <c r="J194">
        <v>3.5134887958963272</v>
      </c>
      <c r="K194">
        <v>46244</v>
      </c>
      <c r="L194" t="s">
        <v>200</v>
      </c>
      <c r="M194">
        <v>0</v>
      </c>
      <c r="N194">
        <v>0</v>
      </c>
      <c r="O194">
        <v>2.6443014705882351</v>
      </c>
      <c r="P194">
        <v>0</v>
      </c>
      <c r="Q194">
        <v>0</v>
      </c>
      <c r="R194">
        <v>0.75261417474184555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0.75261417474184555</v>
      </c>
      <c r="AC194">
        <v>0.24738582525815445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J194">
        <v>0</v>
      </c>
      <c r="BK194">
        <v>0</v>
      </c>
      <c r="BL194">
        <v>1.3287020542006271</v>
      </c>
      <c r="BM194">
        <v>0.32870205420062715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1</v>
      </c>
    </row>
    <row r="195" spans="1:84" hidden="1" x14ac:dyDescent="0.25">
      <c r="A195" t="s">
        <v>128</v>
      </c>
      <c r="B195" t="s">
        <v>372</v>
      </c>
      <c r="C195" t="s">
        <v>72</v>
      </c>
      <c r="D195" s="12">
        <v>46244</v>
      </c>
      <c r="E195" t="s">
        <v>501</v>
      </c>
      <c r="F195" t="s">
        <v>501</v>
      </c>
      <c r="G195" t="s">
        <v>501</v>
      </c>
      <c r="H195" t="s">
        <v>73</v>
      </c>
      <c r="I195">
        <v>20</v>
      </c>
      <c r="J195">
        <v>3.5876164620550925</v>
      </c>
      <c r="K195">
        <v>46244</v>
      </c>
      <c r="L195" t="s">
        <v>200</v>
      </c>
      <c r="M195">
        <v>6.6499999999999995</v>
      </c>
      <c r="N195">
        <v>6.6499999999999995</v>
      </c>
      <c r="O195">
        <v>3.7647058823529407</v>
      </c>
      <c r="P195">
        <v>1.8535983626830286</v>
      </c>
      <c r="Q195">
        <v>1.8535983626830286</v>
      </c>
      <c r="R195">
        <v>1.0493613021823425</v>
      </c>
      <c r="S195">
        <v>0</v>
      </c>
      <c r="T195">
        <v>0</v>
      </c>
      <c r="U195">
        <v>0.60359836268302858</v>
      </c>
      <c r="V195">
        <v>0</v>
      </c>
      <c r="W195">
        <v>0</v>
      </c>
      <c r="X195">
        <v>0</v>
      </c>
      <c r="Y195">
        <v>4.936130218234247E-2</v>
      </c>
      <c r="Z195">
        <v>0</v>
      </c>
      <c r="AA195">
        <v>0.20063869781765753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0.53949119730151773</v>
      </c>
      <c r="AN195">
        <v>0.53949119730151773</v>
      </c>
      <c r="AO195">
        <v>0.56612118531623168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0.43387881468376832</v>
      </c>
      <c r="BA195">
        <v>0</v>
      </c>
      <c r="BB195">
        <v>0</v>
      </c>
      <c r="BC195">
        <v>0</v>
      </c>
      <c r="BD195">
        <v>0.53949119730151773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1.7664062500000002</v>
      </c>
      <c r="BK195">
        <v>1.7664062500000002</v>
      </c>
      <c r="BL195">
        <v>0.95296062273338411</v>
      </c>
      <c r="CC195">
        <v>0</v>
      </c>
      <c r="CD195">
        <v>0</v>
      </c>
      <c r="CE195">
        <v>0</v>
      </c>
    </row>
    <row r="196" spans="1:84" hidden="1" x14ac:dyDescent="0.25">
      <c r="A196" t="s">
        <v>128</v>
      </c>
      <c r="B196" t="s">
        <v>372</v>
      </c>
      <c r="C196" t="s">
        <v>72</v>
      </c>
      <c r="D196" s="12">
        <v>46243</v>
      </c>
      <c r="E196" t="s">
        <v>501</v>
      </c>
      <c r="F196" t="s">
        <v>501</v>
      </c>
      <c r="G196" t="s">
        <v>501</v>
      </c>
      <c r="H196" t="s">
        <v>75</v>
      </c>
      <c r="I196">
        <v>20</v>
      </c>
      <c r="J196">
        <v>3.1779578349000133</v>
      </c>
      <c r="K196">
        <v>46243</v>
      </c>
      <c r="L196" t="s">
        <v>202</v>
      </c>
      <c r="M196">
        <v>2.8499999999999996</v>
      </c>
      <c r="N196">
        <v>2.8499999999999996</v>
      </c>
      <c r="O196">
        <v>3.7508650519031144</v>
      </c>
      <c r="P196">
        <v>0.89680233283827315</v>
      </c>
      <c r="Q196">
        <v>0.89680233283827315</v>
      </c>
      <c r="R196">
        <v>1.1802752732309698</v>
      </c>
      <c r="S196">
        <v>0.18027527323096981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0.10319766716172685</v>
      </c>
      <c r="AC196">
        <v>0</v>
      </c>
      <c r="AD196">
        <v>0</v>
      </c>
      <c r="AE196">
        <v>0</v>
      </c>
      <c r="AF196">
        <v>0</v>
      </c>
      <c r="AG196">
        <v>0.89680233283827315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1.1150729245263207</v>
      </c>
      <c r="AN196">
        <v>1.1150729245263207</v>
      </c>
      <c r="AO196">
        <v>1.3160930006677596</v>
      </c>
      <c r="AP196">
        <v>0.20102007614143891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0.11507292452632067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0.75982472324723238</v>
      </c>
      <c r="BK196">
        <v>0.75982472324723238</v>
      </c>
      <c r="BL196">
        <v>0.84725997627869354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0.15274002372130646</v>
      </c>
      <c r="BX196">
        <v>0</v>
      </c>
      <c r="BY196">
        <v>0</v>
      </c>
      <c r="BZ196">
        <v>0</v>
      </c>
      <c r="CA196">
        <v>0.75982472324723238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 spans="1:84" hidden="1" x14ac:dyDescent="0.25">
      <c r="A197" t="s">
        <v>128</v>
      </c>
      <c r="B197" t="s">
        <v>372</v>
      </c>
      <c r="C197" t="s">
        <v>72</v>
      </c>
      <c r="D197" s="12">
        <v>46244</v>
      </c>
      <c r="E197" t="s">
        <v>134</v>
      </c>
      <c r="F197" t="s">
        <v>134</v>
      </c>
      <c r="G197" t="s">
        <v>134</v>
      </c>
      <c r="H197" t="s">
        <v>74</v>
      </c>
      <c r="I197">
        <v>10</v>
      </c>
      <c r="J197">
        <v>1.2742252699784016</v>
      </c>
      <c r="K197">
        <v>46244</v>
      </c>
      <c r="L197" t="s">
        <v>199</v>
      </c>
      <c r="M197">
        <v>0</v>
      </c>
      <c r="N197">
        <v>0</v>
      </c>
      <c r="O197">
        <v>0.94117647058823517</v>
      </c>
      <c r="P197">
        <v>0</v>
      </c>
      <c r="Q197">
        <v>0</v>
      </c>
      <c r="R197">
        <v>0.73862643659875649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0.73862643659875649</v>
      </c>
      <c r="AC197">
        <v>0.26137356340124351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J197">
        <v>0</v>
      </c>
      <c r="BK197">
        <v>0</v>
      </c>
      <c r="BL197">
        <v>1.3538643493520519</v>
      </c>
      <c r="BM197">
        <v>0.35386434935205191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 spans="1:84" hidden="1" x14ac:dyDescent="0.25">
      <c r="A198" t="s">
        <v>128</v>
      </c>
      <c r="B198" t="s">
        <v>372</v>
      </c>
      <c r="C198" t="s">
        <v>72</v>
      </c>
      <c r="D198" s="12">
        <v>46243</v>
      </c>
      <c r="E198" t="s">
        <v>501</v>
      </c>
      <c r="F198" t="s">
        <v>501</v>
      </c>
      <c r="G198" t="s">
        <v>501</v>
      </c>
      <c r="H198" t="s">
        <v>74</v>
      </c>
      <c r="I198">
        <v>20</v>
      </c>
      <c r="J198">
        <v>0</v>
      </c>
      <c r="K198">
        <v>46243</v>
      </c>
      <c r="L198" t="s">
        <v>211</v>
      </c>
      <c r="M198">
        <v>1.9</v>
      </c>
      <c r="N198">
        <v>1.9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F198">
        <v>0</v>
      </c>
    </row>
    <row r="199" spans="1:84" hidden="1" x14ac:dyDescent="0.25">
      <c r="A199" t="s">
        <v>128</v>
      </c>
      <c r="B199" t="s">
        <v>372</v>
      </c>
      <c r="C199" t="s">
        <v>72</v>
      </c>
      <c r="D199" s="12">
        <v>46244</v>
      </c>
      <c r="E199" t="s">
        <v>134</v>
      </c>
      <c r="F199" t="s">
        <v>134</v>
      </c>
      <c r="G199" t="s">
        <v>134</v>
      </c>
      <c r="H199" t="s">
        <v>75</v>
      </c>
      <c r="I199">
        <v>10</v>
      </c>
      <c r="J199">
        <v>3.3729492440604751</v>
      </c>
      <c r="K199">
        <v>46244</v>
      </c>
      <c r="L199" t="s">
        <v>198</v>
      </c>
      <c r="M199">
        <v>0</v>
      </c>
      <c r="N199">
        <v>0</v>
      </c>
      <c r="O199">
        <v>3.2102076124567458</v>
      </c>
      <c r="P199">
        <v>0</v>
      </c>
      <c r="Q199">
        <v>0</v>
      </c>
      <c r="R199">
        <v>0.95175093965902224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0.95175093965902224</v>
      </c>
      <c r="AC199">
        <v>4.8249060340977756E-2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J199">
        <v>0</v>
      </c>
      <c r="BK199">
        <v>0</v>
      </c>
      <c r="BL199">
        <v>1.0506950488100004</v>
      </c>
      <c r="BM199">
        <v>5.069504881000042E-2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1</v>
      </c>
    </row>
    <row r="200" spans="1:84" hidden="1" x14ac:dyDescent="0.25">
      <c r="A200" t="s">
        <v>128</v>
      </c>
      <c r="B200" t="s">
        <v>372</v>
      </c>
      <c r="C200" t="s">
        <v>72</v>
      </c>
      <c r="D200" s="12">
        <v>46245</v>
      </c>
      <c r="E200" t="s">
        <v>134</v>
      </c>
      <c r="F200" t="s">
        <v>134</v>
      </c>
      <c r="G200" t="s">
        <v>134</v>
      </c>
      <c r="H200" t="s">
        <v>73</v>
      </c>
      <c r="I200">
        <v>10</v>
      </c>
      <c r="J200">
        <v>7.0269775917926545</v>
      </c>
      <c r="K200">
        <v>46245</v>
      </c>
      <c r="L200" t="s">
        <v>197</v>
      </c>
      <c r="M200">
        <v>0</v>
      </c>
      <c r="N200">
        <v>0</v>
      </c>
      <c r="O200">
        <v>5.2297794117647047</v>
      </c>
      <c r="P200">
        <v>0</v>
      </c>
      <c r="Q200">
        <v>0</v>
      </c>
      <c r="R200">
        <v>0.74424307512705956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0.74424307512705956</v>
      </c>
      <c r="AC200">
        <v>0.25575692487294044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J200">
        <v>0</v>
      </c>
      <c r="BK200">
        <v>0</v>
      </c>
      <c r="BL200">
        <v>1.3436470333691406</v>
      </c>
      <c r="BM200">
        <v>0.3436470333691406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1</v>
      </c>
    </row>
    <row r="201" spans="1:84" hidden="1" x14ac:dyDescent="0.25">
      <c r="A201" t="s">
        <v>128</v>
      </c>
      <c r="B201" t="s">
        <v>372</v>
      </c>
      <c r="C201" t="s">
        <v>72</v>
      </c>
      <c r="D201" s="12">
        <v>46243</v>
      </c>
      <c r="E201" t="s">
        <v>501</v>
      </c>
      <c r="F201" t="s">
        <v>501</v>
      </c>
      <c r="G201" t="s">
        <v>501</v>
      </c>
      <c r="H201" t="s">
        <v>73</v>
      </c>
      <c r="I201">
        <v>20</v>
      </c>
      <c r="J201">
        <v>3.5876164620550925</v>
      </c>
      <c r="K201">
        <v>46243</v>
      </c>
      <c r="L201" t="s">
        <v>203</v>
      </c>
      <c r="M201">
        <v>8.5499999999999989</v>
      </c>
      <c r="N201">
        <v>8.5499999999999989</v>
      </c>
      <c r="O201">
        <v>3.764705882352942</v>
      </c>
      <c r="P201">
        <v>2.3831978948781796</v>
      </c>
      <c r="Q201">
        <v>2.3831978948781796</v>
      </c>
      <c r="R201">
        <v>1.0493613021823429</v>
      </c>
      <c r="S201">
        <v>0</v>
      </c>
      <c r="T201">
        <v>0</v>
      </c>
      <c r="U201">
        <v>1.1331978948781796</v>
      </c>
      <c r="V201">
        <v>0</v>
      </c>
      <c r="W201">
        <v>0</v>
      </c>
      <c r="X201">
        <v>0</v>
      </c>
      <c r="Y201">
        <v>4.9361302182342914E-2</v>
      </c>
      <c r="Z201">
        <v>0</v>
      </c>
      <c r="AA201">
        <v>0.20063869781765709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0.41960426456784711</v>
      </c>
      <c r="AN201">
        <v>0.41960426456784711</v>
      </c>
      <c r="AO201">
        <v>0.44031647746818042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0.55968352253181952</v>
      </c>
      <c r="BA201">
        <v>0</v>
      </c>
      <c r="BB201">
        <v>0</v>
      </c>
      <c r="BC201">
        <v>0</v>
      </c>
      <c r="BD201">
        <v>0.41960426456784711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2.271093749999999</v>
      </c>
      <c r="BK201">
        <v>2.271093749999999</v>
      </c>
      <c r="BL201">
        <v>0.95296062273338378</v>
      </c>
      <c r="CC201">
        <v>0</v>
      </c>
      <c r="CD201">
        <v>0</v>
      </c>
      <c r="CE201">
        <v>0</v>
      </c>
    </row>
    <row r="202" spans="1:84" hidden="1" x14ac:dyDescent="0.25">
      <c r="A202" t="s">
        <v>128</v>
      </c>
      <c r="B202" t="s">
        <v>372</v>
      </c>
      <c r="C202" t="s">
        <v>72</v>
      </c>
      <c r="D202" s="12">
        <v>46245</v>
      </c>
      <c r="E202" t="s">
        <v>134</v>
      </c>
      <c r="F202" t="s">
        <v>134</v>
      </c>
      <c r="G202" t="s">
        <v>134</v>
      </c>
      <c r="H202" t="s">
        <v>74</v>
      </c>
      <c r="I202">
        <v>10</v>
      </c>
      <c r="J202">
        <v>1.2742252699784016</v>
      </c>
      <c r="K202">
        <v>46245</v>
      </c>
      <c r="L202" t="s">
        <v>196</v>
      </c>
      <c r="M202">
        <v>0</v>
      </c>
      <c r="N202">
        <v>0</v>
      </c>
      <c r="O202">
        <v>0.94117647058823517</v>
      </c>
      <c r="P202">
        <v>0</v>
      </c>
      <c r="Q202">
        <v>0</v>
      </c>
      <c r="R202">
        <v>0.73862643659875649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0.73862643659875649</v>
      </c>
      <c r="AC202">
        <v>0.26137356340124351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J202">
        <v>0</v>
      </c>
      <c r="BK202">
        <v>0</v>
      </c>
      <c r="BL202">
        <v>1.3538643493520519</v>
      </c>
      <c r="BM202">
        <v>0.35386434935205191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 spans="1:84" hidden="1" x14ac:dyDescent="0.25">
      <c r="A203" t="s">
        <v>128</v>
      </c>
      <c r="B203" t="s">
        <v>372</v>
      </c>
      <c r="C203" t="s">
        <v>72</v>
      </c>
      <c r="D203" s="12">
        <v>46242</v>
      </c>
      <c r="E203" t="s">
        <v>501</v>
      </c>
      <c r="F203" t="s">
        <v>501</v>
      </c>
      <c r="G203" t="s">
        <v>501</v>
      </c>
      <c r="H203" t="s">
        <v>75</v>
      </c>
      <c r="I203">
        <v>20</v>
      </c>
      <c r="J203">
        <v>3.1779578349000133</v>
      </c>
      <c r="K203">
        <v>46242</v>
      </c>
      <c r="L203" t="s">
        <v>204</v>
      </c>
      <c r="M203">
        <v>2.8499999999999996</v>
      </c>
      <c r="N203">
        <v>2.8499999999999996</v>
      </c>
      <c r="O203">
        <v>3.7508650519031144</v>
      </c>
      <c r="P203">
        <v>0.89680233283827315</v>
      </c>
      <c r="Q203">
        <v>0.89680233283827315</v>
      </c>
      <c r="R203">
        <v>1.1802752732309698</v>
      </c>
      <c r="S203">
        <v>0.18027527323096981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0.10319766716172685</v>
      </c>
      <c r="AC203">
        <v>0</v>
      </c>
      <c r="AD203">
        <v>0</v>
      </c>
      <c r="AE203">
        <v>0</v>
      </c>
      <c r="AF203">
        <v>0</v>
      </c>
      <c r="AG203">
        <v>0.89680233283827315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1.1150729245263207</v>
      </c>
      <c r="AN203">
        <v>1.1150729245263207</v>
      </c>
      <c r="AO203">
        <v>1.3160930006677596</v>
      </c>
      <c r="AP203">
        <v>0.20102007614143891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0.11507292452632067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0.75982472324723238</v>
      </c>
      <c r="BK203">
        <v>0.75982472324723238</v>
      </c>
      <c r="BL203">
        <v>0.84725997627869354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0.15274002372130646</v>
      </c>
      <c r="BX203">
        <v>0</v>
      </c>
      <c r="BY203">
        <v>0</v>
      </c>
      <c r="BZ203">
        <v>0</v>
      </c>
      <c r="CA203">
        <v>0.75982472324723238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 spans="1:84" hidden="1" x14ac:dyDescent="0.25">
      <c r="A204" t="s">
        <v>128</v>
      </c>
      <c r="B204" t="s">
        <v>372</v>
      </c>
      <c r="C204" t="s">
        <v>72</v>
      </c>
      <c r="D204" s="12">
        <v>46245</v>
      </c>
      <c r="E204" t="s">
        <v>134</v>
      </c>
      <c r="F204" t="s">
        <v>134</v>
      </c>
      <c r="G204" t="s">
        <v>134</v>
      </c>
      <c r="H204" t="s">
        <v>75</v>
      </c>
      <c r="I204">
        <v>10</v>
      </c>
      <c r="J204">
        <v>3.3729492440604751</v>
      </c>
      <c r="K204">
        <v>46245</v>
      </c>
      <c r="L204" t="s">
        <v>195</v>
      </c>
      <c r="M204">
        <v>0</v>
      </c>
      <c r="N204">
        <v>0</v>
      </c>
      <c r="O204">
        <v>3.5415224913494798</v>
      </c>
      <c r="P204">
        <v>0</v>
      </c>
      <c r="Q204">
        <v>0</v>
      </c>
      <c r="R204">
        <v>1.0499779970261487</v>
      </c>
      <c r="S204">
        <v>4.9977997026148691E-2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1</v>
      </c>
      <c r="BJ204">
        <v>0</v>
      </c>
      <c r="BK204">
        <v>0</v>
      </c>
      <c r="BL204">
        <v>0.95240091014506856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4.7599089854931442E-2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0.95240091014506856</v>
      </c>
      <c r="CF204">
        <v>0</v>
      </c>
    </row>
    <row r="205" spans="1:84" hidden="1" x14ac:dyDescent="0.25">
      <c r="A205" t="s">
        <v>128</v>
      </c>
      <c r="B205" t="s">
        <v>372</v>
      </c>
      <c r="C205" t="s">
        <v>72</v>
      </c>
      <c r="D205" s="12">
        <v>46242</v>
      </c>
      <c r="E205" t="s">
        <v>501</v>
      </c>
      <c r="F205" t="s">
        <v>501</v>
      </c>
      <c r="G205" t="s">
        <v>501</v>
      </c>
      <c r="H205" t="s">
        <v>74</v>
      </c>
      <c r="I205">
        <v>20</v>
      </c>
      <c r="J205">
        <v>0</v>
      </c>
      <c r="K205">
        <v>46242</v>
      </c>
      <c r="L205" t="s">
        <v>205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F205">
        <v>0</v>
      </c>
    </row>
    <row r="206" spans="1:84" hidden="1" x14ac:dyDescent="0.25">
      <c r="A206" t="s">
        <v>128</v>
      </c>
      <c r="B206" t="s">
        <v>372</v>
      </c>
      <c r="C206" t="s">
        <v>72</v>
      </c>
      <c r="D206" s="12">
        <v>46246</v>
      </c>
      <c r="E206" t="s">
        <v>134</v>
      </c>
      <c r="F206" t="s">
        <v>134</v>
      </c>
      <c r="G206" t="s">
        <v>134</v>
      </c>
      <c r="H206" t="s">
        <v>73</v>
      </c>
      <c r="I206">
        <v>10</v>
      </c>
      <c r="J206">
        <v>5.8323914011879037</v>
      </c>
      <c r="K206">
        <v>46246</v>
      </c>
      <c r="L206" t="s">
        <v>194</v>
      </c>
      <c r="M206">
        <v>0</v>
      </c>
      <c r="N206">
        <v>0</v>
      </c>
      <c r="O206">
        <v>4.2886029411764692</v>
      </c>
      <c r="P206">
        <v>0</v>
      </c>
      <c r="Q206">
        <v>0</v>
      </c>
      <c r="R206">
        <v>0.73530780878371682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0.73530780878371682</v>
      </c>
      <c r="AC206">
        <v>0.26469219121628318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J206">
        <v>0</v>
      </c>
      <c r="BK206">
        <v>0</v>
      </c>
      <c r="BL206">
        <v>1.3599746773451438</v>
      </c>
      <c r="BM206">
        <v>0.35997467734514377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</row>
    <row r="207" spans="1:84" hidden="1" x14ac:dyDescent="0.25">
      <c r="A207" t="s">
        <v>128</v>
      </c>
      <c r="B207" t="s">
        <v>372</v>
      </c>
      <c r="C207" t="s">
        <v>72</v>
      </c>
      <c r="D207" s="12">
        <v>46242</v>
      </c>
      <c r="E207" t="s">
        <v>501</v>
      </c>
      <c r="F207" t="s">
        <v>501</v>
      </c>
      <c r="G207" t="s">
        <v>501</v>
      </c>
      <c r="H207" t="s">
        <v>73</v>
      </c>
      <c r="I207">
        <v>20</v>
      </c>
      <c r="J207">
        <v>3.5876164620550925</v>
      </c>
      <c r="K207">
        <v>46242</v>
      </c>
      <c r="L207" t="s">
        <v>206</v>
      </c>
      <c r="M207">
        <v>8.5499999999999989</v>
      </c>
      <c r="N207">
        <v>8.5499999999999989</v>
      </c>
      <c r="O207">
        <v>3.764705882352942</v>
      </c>
      <c r="P207">
        <v>2.3831978948781796</v>
      </c>
      <c r="Q207">
        <v>2.3831978948781796</v>
      </c>
      <c r="R207">
        <v>1.0493613021823429</v>
      </c>
      <c r="S207">
        <v>0</v>
      </c>
      <c r="T207">
        <v>0</v>
      </c>
      <c r="U207">
        <v>1.1331978948781796</v>
      </c>
      <c r="V207">
        <v>0</v>
      </c>
      <c r="W207">
        <v>0</v>
      </c>
      <c r="X207">
        <v>0</v>
      </c>
      <c r="Y207">
        <v>4.9361302182342914E-2</v>
      </c>
      <c r="Z207">
        <v>0</v>
      </c>
      <c r="AA207">
        <v>0.20063869781765709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0.41960426456784711</v>
      </c>
      <c r="AN207">
        <v>0.41960426456784711</v>
      </c>
      <c r="AO207">
        <v>0.44031647746818042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0.55968352253181952</v>
      </c>
      <c r="BA207">
        <v>0</v>
      </c>
      <c r="BB207">
        <v>0</v>
      </c>
      <c r="BC207">
        <v>0</v>
      </c>
      <c r="BD207">
        <v>0.41960426456784711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2.271093749999999</v>
      </c>
      <c r="BK207">
        <v>2.271093749999999</v>
      </c>
      <c r="BL207">
        <v>0.95296062273338378</v>
      </c>
      <c r="CC207">
        <v>0</v>
      </c>
      <c r="CD207">
        <v>0</v>
      </c>
      <c r="CE207">
        <v>0</v>
      </c>
    </row>
    <row r="208" spans="1:84" hidden="1" x14ac:dyDescent="0.25">
      <c r="A208" t="s">
        <v>128</v>
      </c>
      <c r="B208" t="s">
        <v>372</v>
      </c>
      <c r="C208" t="s">
        <v>72</v>
      </c>
      <c r="D208" s="12">
        <v>46241</v>
      </c>
      <c r="E208" t="s">
        <v>501</v>
      </c>
      <c r="F208" t="s">
        <v>501</v>
      </c>
      <c r="G208" t="s">
        <v>501</v>
      </c>
      <c r="H208" t="s">
        <v>75</v>
      </c>
      <c r="I208">
        <v>20</v>
      </c>
      <c r="J208">
        <v>3.1779578349000133</v>
      </c>
      <c r="K208">
        <v>46241</v>
      </c>
      <c r="L208" t="s">
        <v>207</v>
      </c>
      <c r="M208">
        <v>2.8499999999999996</v>
      </c>
      <c r="N208">
        <v>2.8499999999999996</v>
      </c>
      <c r="O208">
        <v>3.7508650519031144</v>
      </c>
      <c r="P208">
        <v>0.89680233283827315</v>
      </c>
      <c r="Q208">
        <v>0.89680233283827315</v>
      </c>
      <c r="R208">
        <v>1.1802752732309698</v>
      </c>
      <c r="S208">
        <v>0.18027527323096981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0.10319766716172685</v>
      </c>
      <c r="AC208">
        <v>0</v>
      </c>
      <c r="AD208">
        <v>0</v>
      </c>
      <c r="AE208">
        <v>0</v>
      </c>
      <c r="AF208">
        <v>0</v>
      </c>
      <c r="AG208">
        <v>0.89680233283827315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1.1150729245263207</v>
      </c>
      <c r="AN208">
        <v>1.1150729245263207</v>
      </c>
      <c r="AO208">
        <v>1.3160930006677596</v>
      </c>
      <c r="AP208">
        <v>0.20102007614143891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0.11507292452632067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0.75982472324723238</v>
      </c>
      <c r="BK208">
        <v>0.75982472324723238</v>
      </c>
      <c r="BL208">
        <v>0.84725997627869354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0.15274002372130646</v>
      </c>
      <c r="BX208">
        <v>0</v>
      </c>
      <c r="BY208">
        <v>0</v>
      </c>
      <c r="BZ208">
        <v>0</v>
      </c>
      <c r="CA208">
        <v>0.75982472324723238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hidden="1" x14ac:dyDescent="0.25">
      <c r="A209" t="s">
        <v>128</v>
      </c>
      <c r="B209" t="s">
        <v>372</v>
      </c>
      <c r="C209" t="s">
        <v>72</v>
      </c>
      <c r="D209" s="12">
        <v>46250</v>
      </c>
      <c r="E209" t="s">
        <v>133</v>
      </c>
      <c r="F209" t="s">
        <v>133</v>
      </c>
      <c r="G209" t="s">
        <v>133</v>
      </c>
      <c r="H209" t="s">
        <v>74</v>
      </c>
      <c r="I209">
        <v>20</v>
      </c>
      <c r="J209">
        <v>4.2207252494765797</v>
      </c>
      <c r="K209">
        <v>46250</v>
      </c>
      <c r="L209" t="s">
        <v>170</v>
      </c>
      <c r="M209">
        <v>4.75</v>
      </c>
      <c r="N209">
        <v>4.75</v>
      </c>
      <c r="O209">
        <v>4.74609375</v>
      </c>
      <c r="P209">
        <v>1.1253990059146959</v>
      </c>
      <c r="Q209">
        <v>1.1253990059146959</v>
      </c>
      <c r="R209">
        <v>1.1244735133111476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0.12447351331114764</v>
      </c>
      <c r="Z209">
        <v>0</v>
      </c>
      <c r="AA209">
        <v>9.2549260354823915E-4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0.88857373673191153</v>
      </c>
      <c r="AN209">
        <v>0.88857373673191153</v>
      </c>
      <c r="AO209">
        <v>0.99917763157894735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8.2236842105265495E-4</v>
      </c>
      <c r="BA209">
        <v>0</v>
      </c>
      <c r="BB209">
        <v>0</v>
      </c>
      <c r="BC209">
        <v>0</v>
      </c>
      <c r="BD209">
        <v>0.88857373673191153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1.0008230452674898</v>
      </c>
      <c r="BK209">
        <v>1.0008230452674898</v>
      </c>
      <c r="BL209">
        <v>0.88930507314074436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8.230452674897748E-4</v>
      </c>
      <c r="BV209">
        <v>0</v>
      </c>
      <c r="BW209">
        <v>0</v>
      </c>
      <c r="BX209">
        <v>0</v>
      </c>
      <c r="BY209">
        <v>0.11069492685925564</v>
      </c>
      <c r="BZ209">
        <v>0</v>
      </c>
      <c r="CA209">
        <v>0.88930507314074436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 spans="1:84" hidden="1" x14ac:dyDescent="0.25">
      <c r="A210" t="s">
        <v>128</v>
      </c>
      <c r="B210" t="s">
        <v>372</v>
      </c>
      <c r="C210" t="s">
        <v>72</v>
      </c>
      <c r="D210" s="12">
        <v>46246</v>
      </c>
      <c r="E210" t="s">
        <v>134</v>
      </c>
      <c r="F210" t="s">
        <v>134</v>
      </c>
      <c r="G210" t="s">
        <v>134</v>
      </c>
      <c r="H210" t="s">
        <v>74</v>
      </c>
      <c r="I210">
        <v>10</v>
      </c>
      <c r="J210">
        <v>1.2742252699784016</v>
      </c>
      <c r="K210">
        <v>46246</v>
      </c>
      <c r="L210" t="s">
        <v>193</v>
      </c>
      <c r="M210">
        <v>0</v>
      </c>
      <c r="N210">
        <v>0</v>
      </c>
      <c r="O210">
        <v>0.94117647058823517</v>
      </c>
      <c r="P210">
        <v>0</v>
      </c>
      <c r="Q210">
        <v>0</v>
      </c>
      <c r="R210">
        <v>0.73862643659875649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0.73862643659875649</v>
      </c>
      <c r="AC210">
        <v>0.26137356340124351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J210">
        <v>0</v>
      </c>
      <c r="BK210">
        <v>0</v>
      </c>
      <c r="BL210">
        <v>1.3538643493520519</v>
      </c>
      <c r="BM210">
        <v>0.35386434935205191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</row>
    <row r="211" spans="1:84" hidden="1" x14ac:dyDescent="0.25">
      <c r="A211" t="s">
        <v>128</v>
      </c>
      <c r="B211" t="s">
        <v>372</v>
      </c>
      <c r="C211" t="s">
        <v>72</v>
      </c>
      <c r="D211" s="12">
        <v>46241</v>
      </c>
      <c r="E211" t="s">
        <v>501</v>
      </c>
      <c r="F211" t="s">
        <v>501</v>
      </c>
      <c r="G211" t="s">
        <v>501</v>
      </c>
      <c r="H211" t="s">
        <v>74</v>
      </c>
      <c r="I211">
        <v>20</v>
      </c>
      <c r="J211">
        <v>0</v>
      </c>
      <c r="K211">
        <v>46241</v>
      </c>
      <c r="L211" t="s">
        <v>208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F211">
        <v>0</v>
      </c>
    </row>
    <row r="212" spans="1:84" hidden="1" x14ac:dyDescent="0.25">
      <c r="A212" t="s">
        <v>128</v>
      </c>
      <c r="B212" t="s">
        <v>372</v>
      </c>
      <c r="C212" t="s">
        <v>72</v>
      </c>
      <c r="D212" s="12">
        <v>46246</v>
      </c>
      <c r="E212" t="s">
        <v>134</v>
      </c>
      <c r="F212" t="s">
        <v>134</v>
      </c>
      <c r="G212" t="s">
        <v>134</v>
      </c>
      <c r="H212" t="s">
        <v>75</v>
      </c>
      <c r="I212">
        <v>10</v>
      </c>
      <c r="J212">
        <v>2.2486328293736499</v>
      </c>
      <c r="K212">
        <v>46246</v>
      </c>
      <c r="L212" t="s">
        <v>201</v>
      </c>
      <c r="M212">
        <v>0</v>
      </c>
      <c r="N212">
        <v>0</v>
      </c>
      <c r="O212">
        <v>2.5449826989619373</v>
      </c>
      <c r="P212">
        <v>0</v>
      </c>
      <c r="Q212">
        <v>0</v>
      </c>
      <c r="R212">
        <v>1.1317911335799695</v>
      </c>
      <c r="S212">
        <v>0.13179113357996952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0.88355525178651928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0.11644474821348072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0.88355525178651928</v>
      </c>
      <c r="CF212">
        <v>0</v>
      </c>
    </row>
    <row r="213" spans="1:84" hidden="1" x14ac:dyDescent="0.25">
      <c r="A213" t="s">
        <v>128</v>
      </c>
      <c r="B213" t="s">
        <v>372</v>
      </c>
      <c r="C213" t="s">
        <v>72</v>
      </c>
      <c r="D213" s="12">
        <v>46247</v>
      </c>
      <c r="E213" t="s">
        <v>134</v>
      </c>
      <c r="F213" t="s">
        <v>134</v>
      </c>
      <c r="G213" t="s">
        <v>134</v>
      </c>
      <c r="H213" t="s">
        <v>73</v>
      </c>
      <c r="I213">
        <v>10</v>
      </c>
      <c r="J213">
        <v>5.7621216252699776</v>
      </c>
      <c r="K213">
        <v>46247</v>
      </c>
      <c r="L213" t="s">
        <v>174</v>
      </c>
      <c r="M213">
        <v>0</v>
      </c>
      <c r="N213">
        <v>0</v>
      </c>
      <c r="O213">
        <v>4.1104779411764714</v>
      </c>
      <c r="P213">
        <v>0</v>
      </c>
      <c r="Q213">
        <v>0</v>
      </c>
      <c r="R213">
        <v>0.71336188447495319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0.71336188447495319</v>
      </c>
      <c r="AC213">
        <v>0.28663811552504681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J213">
        <v>0</v>
      </c>
      <c r="BK213">
        <v>0</v>
      </c>
      <c r="BL213">
        <v>1.4018130513603448</v>
      </c>
      <c r="BM213">
        <v>0.40181305136034484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1</v>
      </c>
    </row>
    <row r="214" spans="1:84" hidden="1" x14ac:dyDescent="0.25">
      <c r="A214" t="s">
        <v>128</v>
      </c>
      <c r="B214" t="s">
        <v>372</v>
      </c>
      <c r="C214" t="s">
        <v>72</v>
      </c>
      <c r="D214" s="12">
        <v>46241</v>
      </c>
      <c r="E214" t="s">
        <v>501</v>
      </c>
      <c r="F214" t="s">
        <v>501</v>
      </c>
      <c r="G214" t="s">
        <v>501</v>
      </c>
      <c r="H214" t="s">
        <v>73</v>
      </c>
      <c r="I214">
        <v>20</v>
      </c>
      <c r="J214">
        <v>3.587616462055093</v>
      </c>
      <c r="K214">
        <v>46241</v>
      </c>
      <c r="L214" t="s">
        <v>209</v>
      </c>
      <c r="M214">
        <v>8.5499999999999989</v>
      </c>
      <c r="N214">
        <v>8.5499999999999989</v>
      </c>
      <c r="O214">
        <v>3.7647058823529398</v>
      </c>
      <c r="P214">
        <v>2.3831978948781791</v>
      </c>
      <c r="Q214">
        <v>2.3831978948781791</v>
      </c>
      <c r="R214">
        <v>1.0493613021823422</v>
      </c>
      <c r="S214">
        <v>0</v>
      </c>
      <c r="T214">
        <v>0</v>
      </c>
      <c r="U214">
        <v>1.1331978948781791</v>
      </c>
      <c r="V214">
        <v>0</v>
      </c>
      <c r="W214">
        <v>0</v>
      </c>
      <c r="X214">
        <v>0</v>
      </c>
      <c r="Y214">
        <v>4.9361302182342248E-2</v>
      </c>
      <c r="Z214">
        <v>0</v>
      </c>
      <c r="AA214">
        <v>0.20063869781765775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0.41960426456784716</v>
      </c>
      <c r="AN214">
        <v>0.41960426456784716</v>
      </c>
      <c r="AO214">
        <v>0.44031647746818015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0.55968352253181985</v>
      </c>
      <c r="BA214">
        <v>0</v>
      </c>
      <c r="BB214">
        <v>0</v>
      </c>
      <c r="BC214">
        <v>0</v>
      </c>
      <c r="BD214">
        <v>0.41960426456784716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2.2710937500000004</v>
      </c>
      <c r="BK214">
        <v>2.2710937500000004</v>
      </c>
      <c r="BL214">
        <v>0.95296062273338444</v>
      </c>
      <c r="CC214">
        <v>0</v>
      </c>
      <c r="CD214">
        <v>0</v>
      </c>
      <c r="CE214">
        <v>0</v>
      </c>
    </row>
    <row r="215" spans="1:84" hidden="1" x14ac:dyDescent="0.25">
      <c r="A215" t="s">
        <v>128</v>
      </c>
      <c r="B215" t="s">
        <v>372</v>
      </c>
      <c r="C215" t="s">
        <v>72</v>
      </c>
      <c r="D215" s="12">
        <v>46247</v>
      </c>
      <c r="E215" t="s">
        <v>134</v>
      </c>
      <c r="F215" t="s">
        <v>134</v>
      </c>
      <c r="G215" t="s">
        <v>134</v>
      </c>
      <c r="H215" t="s">
        <v>74</v>
      </c>
      <c r="I215">
        <v>10</v>
      </c>
      <c r="J215">
        <v>1.2742252699784016</v>
      </c>
      <c r="K215">
        <v>46247</v>
      </c>
      <c r="L215" t="s">
        <v>162</v>
      </c>
      <c r="M215">
        <v>0</v>
      </c>
      <c r="N215">
        <v>0</v>
      </c>
      <c r="O215">
        <v>0.94117647058823517</v>
      </c>
      <c r="P215">
        <v>0</v>
      </c>
      <c r="Q215">
        <v>0</v>
      </c>
      <c r="R215">
        <v>0.73862643659875649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0.73862643659875649</v>
      </c>
      <c r="AC215">
        <v>0.26137356340124351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J215">
        <v>0</v>
      </c>
      <c r="BK215">
        <v>0</v>
      </c>
      <c r="BL215">
        <v>1.3538643493520519</v>
      </c>
      <c r="BM215">
        <v>0.35386434935205191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 spans="1:84" hidden="1" x14ac:dyDescent="0.25">
      <c r="A216" t="s">
        <v>128</v>
      </c>
      <c r="B216" t="s">
        <v>372</v>
      </c>
      <c r="C216" t="s">
        <v>72</v>
      </c>
      <c r="D216" s="12">
        <v>46240</v>
      </c>
      <c r="E216" t="s">
        <v>501</v>
      </c>
      <c r="F216" t="s">
        <v>501</v>
      </c>
      <c r="G216" t="s">
        <v>501</v>
      </c>
      <c r="H216" t="s">
        <v>75</v>
      </c>
      <c r="I216">
        <v>20</v>
      </c>
      <c r="J216">
        <v>3.1779578349000128</v>
      </c>
      <c r="K216">
        <v>46240</v>
      </c>
      <c r="L216" t="s">
        <v>210</v>
      </c>
      <c r="M216">
        <v>2.8499999999999996</v>
      </c>
      <c r="N216">
        <v>2.8499999999999996</v>
      </c>
      <c r="O216">
        <v>3.7508650519031144</v>
      </c>
      <c r="P216">
        <v>0.89680233283827326</v>
      </c>
      <c r="Q216">
        <v>0.89680233283827326</v>
      </c>
      <c r="R216">
        <v>1.18027527323097</v>
      </c>
      <c r="S216">
        <v>0.18027527323097003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0.10319766716172674</v>
      </c>
      <c r="AC216">
        <v>0</v>
      </c>
      <c r="AD216">
        <v>0</v>
      </c>
      <c r="AE216">
        <v>0</v>
      </c>
      <c r="AF216">
        <v>0</v>
      </c>
      <c r="AG216">
        <v>0.89680233283827326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1.1150729245263205</v>
      </c>
      <c r="AN216">
        <v>1.1150729245263205</v>
      </c>
      <c r="AO216">
        <v>1.3160930006677596</v>
      </c>
      <c r="AP216">
        <v>0.20102007614143913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0.11507292452632045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0.75982472324723238</v>
      </c>
      <c r="BK216">
        <v>0.75982472324723238</v>
      </c>
      <c r="BL216">
        <v>0.84725997627869343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0.15274002372130657</v>
      </c>
      <c r="BX216">
        <v>0</v>
      </c>
      <c r="BY216">
        <v>0</v>
      </c>
      <c r="BZ216">
        <v>0</v>
      </c>
      <c r="CA216">
        <v>0.75982472324723238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 spans="1:84" hidden="1" x14ac:dyDescent="0.25">
      <c r="A217" t="s">
        <v>128</v>
      </c>
      <c r="B217" t="s">
        <v>372</v>
      </c>
      <c r="C217" t="s">
        <v>72</v>
      </c>
      <c r="D217" s="12">
        <v>46243</v>
      </c>
      <c r="E217" t="s">
        <v>134</v>
      </c>
      <c r="F217" t="s">
        <v>134</v>
      </c>
      <c r="G217" t="s">
        <v>134</v>
      </c>
      <c r="H217" t="s">
        <v>75</v>
      </c>
      <c r="I217">
        <v>10</v>
      </c>
      <c r="J217">
        <v>3.3729492440604751</v>
      </c>
      <c r="K217">
        <v>46243</v>
      </c>
      <c r="L217" t="s">
        <v>202</v>
      </c>
      <c r="M217">
        <v>0</v>
      </c>
      <c r="N217">
        <v>0</v>
      </c>
      <c r="O217">
        <v>3.0449826989619369</v>
      </c>
      <c r="P217">
        <v>0</v>
      </c>
      <c r="Q217">
        <v>0</v>
      </c>
      <c r="R217">
        <v>0.9027656447318132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0.9027656447318132</v>
      </c>
      <c r="AC217">
        <v>9.7234355268186801E-2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J217">
        <v>0</v>
      </c>
      <c r="BK217">
        <v>0</v>
      </c>
      <c r="BL217">
        <v>1.1077071949244064</v>
      </c>
      <c r="BM217">
        <v>0.10770719492440639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1</v>
      </c>
    </row>
    <row r="218" spans="1:84" hidden="1" x14ac:dyDescent="0.25">
      <c r="A218" t="s">
        <v>128</v>
      </c>
      <c r="B218" t="s">
        <v>372</v>
      </c>
      <c r="C218" t="s">
        <v>72</v>
      </c>
      <c r="D218" s="12">
        <v>46244</v>
      </c>
      <c r="E218" t="s">
        <v>501</v>
      </c>
      <c r="F218" t="s">
        <v>501</v>
      </c>
      <c r="G218" t="s">
        <v>501</v>
      </c>
      <c r="H218" t="s">
        <v>74</v>
      </c>
      <c r="I218">
        <v>20</v>
      </c>
      <c r="J218">
        <v>0</v>
      </c>
      <c r="K218">
        <v>46244</v>
      </c>
      <c r="L218" t="s">
        <v>199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F218">
        <v>0</v>
      </c>
    </row>
    <row r="219" spans="1:84" hidden="1" x14ac:dyDescent="0.25">
      <c r="A219" t="s">
        <v>128</v>
      </c>
      <c r="B219" t="s">
        <v>372</v>
      </c>
      <c r="C219" t="s">
        <v>72</v>
      </c>
      <c r="D219" s="12">
        <v>46243</v>
      </c>
      <c r="E219" t="s">
        <v>134</v>
      </c>
      <c r="F219" t="s">
        <v>134</v>
      </c>
      <c r="G219" t="s">
        <v>134</v>
      </c>
      <c r="H219" t="s">
        <v>74</v>
      </c>
      <c r="I219">
        <v>10</v>
      </c>
      <c r="J219">
        <v>1.2742252699784016</v>
      </c>
      <c r="K219">
        <v>46243</v>
      </c>
      <c r="L219" t="s">
        <v>211</v>
      </c>
      <c r="M219">
        <v>0</v>
      </c>
      <c r="N219">
        <v>0</v>
      </c>
      <c r="O219">
        <v>0.94117647058823517</v>
      </c>
      <c r="P219">
        <v>0</v>
      </c>
      <c r="Q219">
        <v>0</v>
      </c>
      <c r="R219">
        <v>0.73862643659875649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0.73862643659875649</v>
      </c>
      <c r="AC219">
        <v>0.26137356340124351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1.3538643493520519</v>
      </c>
      <c r="BM219">
        <v>0.35386434935205191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hidden="1" x14ac:dyDescent="0.25">
      <c r="A220" t="s">
        <v>128</v>
      </c>
      <c r="B220" t="s">
        <v>372</v>
      </c>
      <c r="C220" t="s">
        <v>72</v>
      </c>
      <c r="D220" s="12">
        <v>46244</v>
      </c>
      <c r="E220" t="s">
        <v>501</v>
      </c>
      <c r="F220" t="s">
        <v>501</v>
      </c>
      <c r="G220" t="s">
        <v>501</v>
      </c>
      <c r="H220" t="s">
        <v>75</v>
      </c>
      <c r="I220">
        <v>20</v>
      </c>
      <c r="J220">
        <v>3.1779578349000128</v>
      </c>
      <c r="K220">
        <v>46244</v>
      </c>
      <c r="L220" t="s">
        <v>198</v>
      </c>
      <c r="M220">
        <v>2.8499999999999996</v>
      </c>
      <c r="N220">
        <v>2.8499999999999996</v>
      </c>
      <c r="O220">
        <v>3.7508650519031144</v>
      </c>
      <c r="P220">
        <v>0.89680233283827326</v>
      </c>
      <c r="Q220">
        <v>0.89680233283827326</v>
      </c>
      <c r="R220">
        <v>1.18027527323097</v>
      </c>
      <c r="S220">
        <v>0.18027527323097003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0.10319766716172674</v>
      </c>
      <c r="AC220">
        <v>0</v>
      </c>
      <c r="AD220">
        <v>0</v>
      </c>
      <c r="AE220">
        <v>0</v>
      </c>
      <c r="AF220">
        <v>0</v>
      </c>
      <c r="AG220">
        <v>0.89680233283827326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1.1150729245263205</v>
      </c>
      <c r="AN220">
        <v>1.1150729245263205</v>
      </c>
      <c r="AO220">
        <v>1.3160930006677596</v>
      </c>
      <c r="AP220">
        <v>0.20102007614143913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0.11507292452632045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0.75982472324723238</v>
      </c>
      <c r="BK220">
        <v>0.75982472324723238</v>
      </c>
      <c r="BL220">
        <v>0.84725997627869343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0.15274002372130657</v>
      </c>
      <c r="BX220">
        <v>0</v>
      </c>
      <c r="BY220">
        <v>0</v>
      </c>
      <c r="BZ220">
        <v>0</v>
      </c>
      <c r="CA220">
        <v>0.75982472324723238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 spans="1:84" hidden="1" x14ac:dyDescent="0.25">
      <c r="A221" t="s">
        <v>128</v>
      </c>
      <c r="B221" t="s">
        <v>372</v>
      </c>
      <c r="C221" t="s">
        <v>72</v>
      </c>
      <c r="D221" s="12">
        <v>46239</v>
      </c>
      <c r="E221" t="s">
        <v>134</v>
      </c>
      <c r="F221" t="s">
        <v>134</v>
      </c>
      <c r="G221" t="s">
        <v>134</v>
      </c>
      <c r="H221" t="s">
        <v>74</v>
      </c>
      <c r="I221">
        <v>10</v>
      </c>
      <c r="J221">
        <v>1.2742252699784016</v>
      </c>
      <c r="K221">
        <v>46239</v>
      </c>
      <c r="L221" t="s">
        <v>176</v>
      </c>
      <c r="M221">
        <v>0</v>
      </c>
      <c r="N221">
        <v>0</v>
      </c>
      <c r="O221">
        <v>0.94117647058823517</v>
      </c>
      <c r="P221">
        <v>0</v>
      </c>
      <c r="Q221">
        <v>0</v>
      </c>
      <c r="R221">
        <v>0.73862643659875649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0.73862643659875649</v>
      </c>
      <c r="AC221">
        <v>0.26137356340124351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J221">
        <v>0</v>
      </c>
      <c r="BK221">
        <v>0</v>
      </c>
      <c r="BL221">
        <v>1.3538643493520519</v>
      </c>
      <c r="BM221">
        <v>0.35386434935205191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 spans="1:84" hidden="1" x14ac:dyDescent="0.25">
      <c r="A222" t="s">
        <v>128</v>
      </c>
      <c r="B222" t="s">
        <v>372</v>
      </c>
      <c r="C222" t="s">
        <v>72</v>
      </c>
      <c r="D222" s="12">
        <v>46248</v>
      </c>
      <c r="E222" t="s">
        <v>501</v>
      </c>
      <c r="F222" t="s">
        <v>501</v>
      </c>
      <c r="G222" t="s">
        <v>501</v>
      </c>
      <c r="H222" t="s">
        <v>75</v>
      </c>
      <c r="I222">
        <v>20</v>
      </c>
      <c r="J222">
        <v>3.1779578349000128</v>
      </c>
      <c r="K222">
        <v>46248</v>
      </c>
      <c r="L222" t="s">
        <v>156</v>
      </c>
      <c r="M222">
        <v>2.8499999999999996</v>
      </c>
      <c r="N222">
        <v>2.8499999999999996</v>
      </c>
      <c r="O222">
        <v>3.7508650519031144</v>
      </c>
      <c r="P222">
        <v>0.89680233283827326</v>
      </c>
      <c r="Q222">
        <v>0.89680233283827326</v>
      </c>
      <c r="R222">
        <v>1.18027527323097</v>
      </c>
      <c r="S222">
        <v>0.18027527323097003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0.10319766716172674</v>
      </c>
      <c r="AC222">
        <v>0</v>
      </c>
      <c r="AD222">
        <v>0</v>
      </c>
      <c r="AE222">
        <v>0</v>
      </c>
      <c r="AF222">
        <v>0</v>
      </c>
      <c r="AG222">
        <v>0.89680233283827326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1.1150729245263205</v>
      </c>
      <c r="AN222">
        <v>1.1150729245263205</v>
      </c>
      <c r="AO222">
        <v>1.3160930006677596</v>
      </c>
      <c r="AP222">
        <v>0.20102007614143913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0.11507292452632045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0.75982472324723238</v>
      </c>
      <c r="BK222">
        <v>0.75982472324723238</v>
      </c>
      <c r="BL222">
        <v>0.84725997627869343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0.15274002372130657</v>
      </c>
      <c r="BX222">
        <v>0</v>
      </c>
      <c r="BY222">
        <v>0</v>
      </c>
      <c r="BZ222">
        <v>0</v>
      </c>
      <c r="CA222">
        <v>0.75982472324723238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hidden="1" x14ac:dyDescent="0.25">
      <c r="A223" t="s">
        <v>128</v>
      </c>
      <c r="B223" t="s">
        <v>372</v>
      </c>
      <c r="C223" t="s">
        <v>72</v>
      </c>
      <c r="D223" s="12">
        <v>46239</v>
      </c>
      <c r="E223" t="s">
        <v>134</v>
      </c>
      <c r="F223" t="s">
        <v>134</v>
      </c>
      <c r="G223" t="s">
        <v>134</v>
      </c>
      <c r="H223" t="s">
        <v>75</v>
      </c>
      <c r="I223">
        <v>10</v>
      </c>
      <c r="J223">
        <v>3.902039321560157</v>
      </c>
      <c r="K223">
        <v>46239</v>
      </c>
      <c r="L223" t="s">
        <v>175</v>
      </c>
      <c r="M223">
        <v>0</v>
      </c>
      <c r="N223">
        <v>0</v>
      </c>
      <c r="O223">
        <v>3.8460207612456743</v>
      </c>
      <c r="P223">
        <v>0</v>
      </c>
      <c r="Q223">
        <v>0</v>
      </c>
      <c r="R223">
        <v>0.98564377349942112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0.98564377349942112</v>
      </c>
      <c r="AC223">
        <v>1.4356226500578884E-2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J223">
        <v>0</v>
      </c>
      <c r="BK223">
        <v>0</v>
      </c>
      <c r="BL223">
        <v>1.0145653296724115</v>
      </c>
      <c r="BM223">
        <v>1.4565329672411531E-2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1</v>
      </c>
    </row>
    <row r="224" spans="1:84" hidden="1" x14ac:dyDescent="0.25">
      <c r="A224" t="s">
        <v>128</v>
      </c>
      <c r="B224" t="s">
        <v>372</v>
      </c>
      <c r="C224" t="s">
        <v>72</v>
      </c>
      <c r="D224" s="12">
        <v>46248</v>
      </c>
      <c r="E224" t="s">
        <v>501</v>
      </c>
      <c r="F224" t="s">
        <v>501</v>
      </c>
      <c r="G224" t="s">
        <v>501</v>
      </c>
      <c r="H224" t="s">
        <v>74</v>
      </c>
      <c r="I224">
        <v>20</v>
      </c>
      <c r="J224">
        <v>0</v>
      </c>
      <c r="K224">
        <v>46248</v>
      </c>
      <c r="L224" t="s">
        <v>158</v>
      </c>
      <c r="M224">
        <v>0.95</v>
      </c>
      <c r="N224">
        <v>0.95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F224">
        <v>0</v>
      </c>
    </row>
    <row r="225" spans="1:84" hidden="1" x14ac:dyDescent="0.25">
      <c r="A225" t="s">
        <v>128</v>
      </c>
      <c r="B225" t="s">
        <v>372</v>
      </c>
      <c r="C225" t="s">
        <v>72</v>
      </c>
      <c r="D225" s="12">
        <v>46240</v>
      </c>
      <c r="E225" t="s">
        <v>134</v>
      </c>
      <c r="F225" t="s">
        <v>134</v>
      </c>
      <c r="G225" t="s">
        <v>134</v>
      </c>
      <c r="H225" t="s">
        <v>73</v>
      </c>
      <c r="I225">
        <v>10</v>
      </c>
      <c r="J225">
        <v>5.9729309530237575</v>
      </c>
      <c r="K225">
        <v>46240</v>
      </c>
      <c r="L225" t="s">
        <v>191</v>
      </c>
      <c r="M225">
        <v>0</v>
      </c>
      <c r="N225">
        <v>0</v>
      </c>
      <c r="O225">
        <v>3.9419504643962866</v>
      </c>
      <c r="P225">
        <v>0</v>
      </c>
      <c r="Q225">
        <v>0</v>
      </c>
      <c r="R225">
        <v>0.65996920028025763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0.65996920028025763</v>
      </c>
      <c r="AC225">
        <v>0.34003079971974237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J225">
        <v>0</v>
      </c>
      <c r="BK225">
        <v>0</v>
      </c>
      <c r="BL225">
        <v>1.5152222248785963</v>
      </c>
      <c r="BM225">
        <v>0.51522222487859626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</v>
      </c>
      <c r="CF225">
        <v>1</v>
      </c>
    </row>
    <row r="226" spans="1:84" hidden="1" x14ac:dyDescent="0.25">
      <c r="A226" t="s">
        <v>128</v>
      </c>
      <c r="B226" t="s">
        <v>372</v>
      </c>
      <c r="C226" t="s">
        <v>72</v>
      </c>
      <c r="D226" s="12">
        <v>46248</v>
      </c>
      <c r="E226" t="s">
        <v>501</v>
      </c>
      <c r="F226" t="s">
        <v>501</v>
      </c>
      <c r="G226" t="s">
        <v>501</v>
      </c>
      <c r="H226" t="s">
        <v>73</v>
      </c>
      <c r="I226">
        <v>20</v>
      </c>
      <c r="J226">
        <v>3.5876164620550925</v>
      </c>
      <c r="K226">
        <v>46248</v>
      </c>
      <c r="L226" t="s">
        <v>159</v>
      </c>
      <c r="M226">
        <v>10.45</v>
      </c>
      <c r="N226">
        <v>10.45</v>
      </c>
      <c r="O226">
        <v>3.7647058823529398</v>
      </c>
      <c r="P226">
        <v>2.9127974270733308</v>
      </c>
      <c r="Q226">
        <v>2.9127974270733308</v>
      </c>
      <c r="R226">
        <v>1.0493613021823422</v>
      </c>
      <c r="S226">
        <v>0</v>
      </c>
      <c r="T226">
        <v>0</v>
      </c>
      <c r="U226">
        <v>1.6627974270733308</v>
      </c>
      <c r="V226">
        <v>0</v>
      </c>
      <c r="W226">
        <v>0</v>
      </c>
      <c r="X226">
        <v>0</v>
      </c>
      <c r="Y226">
        <v>4.9361302182342248E-2</v>
      </c>
      <c r="Z226">
        <v>0</v>
      </c>
      <c r="AA226">
        <v>0.20063869781765775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0.34331258010096583</v>
      </c>
      <c r="AN226">
        <v>0.34331258010096583</v>
      </c>
      <c r="AO226">
        <v>0.36025893611032916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0.63974106388967078</v>
      </c>
      <c r="BA226">
        <v>0</v>
      </c>
      <c r="BB226">
        <v>0</v>
      </c>
      <c r="BC226">
        <v>0</v>
      </c>
      <c r="BD226">
        <v>0.34331258010096583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2.775781250000001</v>
      </c>
      <c r="BK226">
        <v>2.775781250000001</v>
      </c>
      <c r="BL226">
        <v>0.95296062273338433</v>
      </c>
      <c r="CC226">
        <v>0</v>
      </c>
      <c r="CD226">
        <v>0</v>
      </c>
      <c r="CE226">
        <v>0</v>
      </c>
    </row>
    <row r="227" spans="1:84" hidden="1" x14ac:dyDescent="0.25">
      <c r="A227" t="s">
        <v>128</v>
      </c>
      <c r="B227" t="s">
        <v>372</v>
      </c>
      <c r="C227" t="s">
        <v>72</v>
      </c>
      <c r="D227" s="12">
        <v>46247</v>
      </c>
      <c r="E227" t="s">
        <v>501</v>
      </c>
      <c r="F227" t="s">
        <v>501</v>
      </c>
      <c r="G227" t="s">
        <v>501</v>
      </c>
      <c r="H227" t="s">
        <v>75</v>
      </c>
      <c r="I227">
        <v>20</v>
      </c>
      <c r="J227">
        <v>3.1779578349000128</v>
      </c>
      <c r="K227">
        <v>46247</v>
      </c>
      <c r="L227" t="s">
        <v>161</v>
      </c>
      <c r="M227">
        <v>2.8499999999999996</v>
      </c>
      <c r="N227">
        <v>2.8499999999999996</v>
      </c>
      <c r="O227">
        <v>3.7508650519031144</v>
      </c>
      <c r="P227">
        <v>0.89680233283827326</v>
      </c>
      <c r="Q227">
        <v>0.89680233283827326</v>
      </c>
      <c r="R227">
        <v>1.18027527323097</v>
      </c>
      <c r="S227">
        <v>0.18027527323097003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0.10319766716172674</v>
      </c>
      <c r="AC227">
        <v>0</v>
      </c>
      <c r="AD227">
        <v>0</v>
      </c>
      <c r="AE227">
        <v>0</v>
      </c>
      <c r="AF227">
        <v>0</v>
      </c>
      <c r="AG227">
        <v>0.89680233283827326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1.1150729245263205</v>
      </c>
      <c r="AN227">
        <v>1.1150729245263205</v>
      </c>
      <c r="AO227">
        <v>1.3160930006677596</v>
      </c>
      <c r="AP227">
        <v>0.20102007614143913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0.11507292452632045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0.75982472324723238</v>
      </c>
      <c r="BK227">
        <v>0.75982472324723238</v>
      </c>
      <c r="BL227">
        <v>0.84725997627869343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0.15274002372130657</v>
      </c>
      <c r="BX227">
        <v>0</v>
      </c>
      <c r="BY227">
        <v>0</v>
      </c>
      <c r="BZ227">
        <v>0</v>
      </c>
      <c r="CA227">
        <v>0.75982472324723238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 spans="1:84" hidden="1" x14ac:dyDescent="0.25">
      <c r="A228" t="s">
        <v>128</v>
      </c>
      <c r="B228" t="s">
        <v>372</v>
      </c>
      <c r="C228" t="s">
        <v>72</v>
      </c>
      <c r="D228" s="12">
        <v>46240</v>
      </c>
      <c r="E228" t="s">
        <v>134</v>
      </c>
      <c r="F228" t="s">
        <v>134</v>
      </c>
      <c r="G228" t="s">
        <v>134</v>
      </c>
      <c r="H228" t="s">
        <v>74</v>
      </c>
      <c r="I228">
        <v>10</v>
      </c>
      <c r="J228">
        <v>1.2742252699784016</v>
      </c>
      <c r="K228">
        <v>46240</v>
      </c>
      <c r="L228" t="s">
        <v>192</v>
      </c>
      <c r="M228">
        <v>0</v>
      </c>
      <c r="N228">
        <v>0</v>
      </c>
      <c r="O228">
        <v>0.94117647058823517</v>
      </c>
      <c r="P228">
        <v>0</v>
      </c>
      <c r="Q228">
        <v>0</v>
      </c>
      <c r="R228">
        <v>0.73862643659875649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0.73862643659875649</v>
      </c>
      <c r="AC228">
        <v>0.26137356340124351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J228">
        <v>0</v>
      </c>
      <c r="BK228">
        <v>0</v>
      </c>
      <c r="BL228">
        <v>1.3538643493520519</v>
      </c>
      <c r="BM228">
        <v>0.35386434935205191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 spans="1:84" hidden="1" x14ac:dyDescent="0.25">
      <c r="A229" t="s">
        <v>128</v>
      </c>
      <c r="B229" t="s">
        <v>372</v>
      </c>
      <c r="C229" t="s">
        <v>72</v>
      </c>
      <c r="D229" s="12">
        <v>46247</v>
      </c>
      <c r="E229" t="s">
        <v>501</v>
      </c>
      <c r="F229" t="s">
        <v>501</v>
      </c>
      <c r="G229" t="s">
        <v>501</v>
      </c>
      <c r="H229" t="s">
        <v>74</v>
      </c>
      <c r="I229">
        <v>20</v>
      </c>
      <c r="J229">
        <v>0</v>
      </c>
      <c r="K229">
        <v>46247</v>
      </c>
      <c r="L229" t="s">
        <v>162</v>
      </c>
      <c r="M229">
        <v>0.95</v>
      </c>
      <c r="N229">
        <v>0.95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F229">
        <v>0</v>
      </c>
    </row>
    <row r="230" spans="1:84" hidden="1" x14ac:dyDescent="0.25">
      <c r="A230" t="s">
        <v>128</v>
      </c>
      <c r="B230" t="s">
        <v>372</v>
      </c>
      <c r="C230" t="s">
        <v>72</v>
      </c>
      <c r="D230" s="12">
        <v>46240</v>
      </c>
      <c r="E230" t="s">
        <v>134</v>
      </c>
      <c r="F230" t="s">
        <v>134</v>
      </c>
      <c r="G230" t="s">
        <v>134</v>
      </c>
      <c r="H230" t="s">
        <v>75</v>
      </c>
      <c r="I230">
        <v>10</v>
      </c>
      <c r="J230">
        <v>3.505221763435395</v>
      </c>
      <c r="K230">
        <v>46240</v>
      </c>
      <c r="L230" t="s">
        <v>210</v>
      </c>
      <c r="M230">
        <v>0</v>
      </c>
      <c r="N230">
        <v>0</v>
      </c>
      <c r="O230">
        <v>3.1065379712256411</v>
      </c>
      <c r="P230">
        <v>0</v>
      </c>
      <c r="Q230">
        <v>0</v>
      </c>
      <c r="R230">
        <v>0.88626003741942638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0.88626003741942638</v>
      </c>
      <c r="AC230">
        <v>0.11373996258057362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J230">
        <v>0</v>
      </c>
      <c r="BK230">
        <v>0</v>
      </c>
      <c r="BL230">
        <v>1.1283370092052856</v>
      </c>
      <c r="BM230">
        <v>0.12833700920528557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>
        <v>1</v>
      </c>
    </row>
    <row r="231" spans="1:84" hidden="1" x14ac:dyDescent="0.25">
      <c r="A231" t="s">
        <v>128</v>
      </c>
      <c r="B231" t="s">
        <v>372</v>
      </c>
      <c r="C231" t="s">
        <v>72</v>
      </c>
      <c r="D231" s="12">
        <v>46247</v>
      </c>
      <c r="E231" t="s">
        <v>501</v>
      </c>
      <c r="F231" t="s">
        <v>501</v>
      </c>
      <c r="G231" t="s">
        <v>501</v>
      </c>
      <c r="H231" t="s">
        <v>73</v>
      </c>
      <c r="I231">
        <v>20</v>
      </c>
      <c r="J231">
        <v>3.587616462055093</v>
      </c>
      <c r="K231">
        <v>46247</v>
      </c>
      <c r="L231" t="s">
        <v>174</v>
      </c>
      <c r="M231">
        <v>10.45</v>
      </c>
      <c r="N231">
        <v>10.45</v>
      </c>
      <c r="O231">
        <v>3.7647058823529407</v>
      </c>
      <c r="P231">
        <v>2.9127974270733303</v>
      </c>
      <c r="Q231">
        <v>2.9127974270733303</v>
      </c>
      <c r="R231">
        <v>1.0493613021823425</v>
      </c>
      <c r="S231">
        <v>0</v>
      </c>
      <c r="T231">
        <v>0</v>
      </c>
      <c r="U231">
        <v>1.6627974270733303</v>
      </c>
      <c r="V231">
        <v>0</v>
      </c>
      <c r="W231">
        <v>0</v>
      </c>
      <c r="X231">
        <v>0</v>
      </c>
      <c r="Y231">
        <v>4.936130218234247E-2</v>
      </c>
      <c r="Z231">
        <v>0</v>
      </c>
      <c r="AA231">
        <v>0.20063869781765753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0.34331258010096588</v>
      </c>
      <c r="AN231">
        <v>0.34331258010096588</v>
      </c>
      <c r="AO231">
        <v>0.36025893611032928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0.63974106388967078</v>
      </c>
      <c r="BA231">
        <v>0</v>
      </c>
      <c r="BB231">
        <v>0</v>
      </c>
      <c r="BC231">
        <v>0</v>
      </c>
      <c r="BD231">
        <v>0.34331258010096588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2.7757812500000001</v>
      </c>
      <c r="BK231">
        <v>2.7757812500000001</v>
      </c>
      <c r="BL231">
        <v>0.95296062273338422</v>
      </c>
      <c r="CC231">
        <v>0</v>
      </c>
      <c r="CD231">
        <v>0</v>
      </c>
      <c r="CE231">
        <v>0</v>
      </c>
    </row>
    <row r="232" spans="1:84" hidden="1" x14ac:dyDescent="0.25">
      <c r="A232" t="s">
        <v>128</v>
      </c>
      <c r="B232" t="s">
        <v>372</v>
      </c>
      <c r="C232" t="s">
        <v>72</v>
      </c>
      <c r="D232" s="12">
        <v>46240</v>
      </c>
      <c r="E232" t="s">
        <v>501</v>
      </c>
      <c r="F232" t="s">
        <v>501</v>
      </c>
      <c r="G232" t="s">
        <v>501</v>
      </c>
      <c r="H232" t="s">
        <v>74</v>
      </c>
      <c r="I232">
        <v>20</v>
      </c>
      <c r="J232">
        <v>0</v>
      </c>
      <c r="K232">
        <v>46240</v>
      </c>
      <c r="L232" t="s">
        <v>192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F232">
        <v>0</v>
      </c>
    </row>
    <row r="233" spans="1:84" hidden="1" x14ac:dyDescent="0.25">
      <c r="A233" t="s">
        <v>128</v>
      </c>
      <c r="B233" t="s">
        <v>372</v>
      </c>
      <c r="C233" t="s">
        <v>72</v>
      </c>
      <c r="D233" s="12">
        <v>46241</v>
      </c>
      <c r="E233" t="s">
        <v>134</v>
      </c>
      <c r="F233" t="s">
        <v>134</v>
      </c>
      <c r="G233" t="s">
        <v>134</v>
      </c>
      <c r="H233" t="s">
        <v>73</v>
      </c>
      <c r="I233">
        <v>10</v>
      </c>
      <c r="J233">
        <v>4.7783447624190067</v>
      </c>
      <c r="K233">
        <v>46241</v>
      </c>
      <c r="L233" t="s">
        <v>209</v>
      </c>
      <c r="M233">
        <v>0</v>
      </c>
      <c r="N233">
        <v>0</v>
      </c>
      <c r="O233">
        <v>2.8823529411764706</v>
      </c>
      <c r="P233">
        <v>0</v>
      </c>
      <c r="Q233">
        <v>0</v>
      </c>
      <c r="R233">
        <v>0.60321158988898438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0.60321158988898438</v>
      </c>
      <c r="AC233">
        <v>0.39678841011101562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J233">
        <v>0</v>
      </c>
      <c r="BK233">
        <v>0</v>
      </c>
      <c r="BL233">
        <v>1.6577930808392471</v>
      </c>
      <c r="BM233">
        <v>0.65779308083924715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1</v>
      </c>
    </row>
    <row r="234" spans="1:84" hidden="1" x14ac:dyDescent="0.25">
      <c r="A234" t="s">
        <v>128</v>
      </c>
      <c r="B234" t="s">
        <v>372</v>
      </c>
      <c r="C234" t="s">
        <v>72</v>
      </c>
      <c r="D234" s="12">
        <v>46241</v>
      </c>
      <c r="E234" t="s">
        <v>134</v>
      </c>
      <c r="F234" t="s">
        <v>134</v>
      </c>
      <c r="G234" t="s">
        <v>134</v>
      </c>
      <c r="H234" t="s">
        <v>74</v>
      </c>
      <c r="I234">
        <v>10</v>
      </c>
      <c r="J234">
        <v>1.2742252699784016</v>
      </c>
      <c r="K234">
        <v>46241</v>
      </c>
      <c r="L234" t="s">
        <v>208</v>
      </c>
      <c r="M234">
        <v>0</v>
      </c>
      <c r="N234">
        <v>0</v>
      </c>
      <c r="O234">
        <v>0.94117647058823517</v>
      </c>
      <c r="P234">
        <v>0</v>
      </c>
      <c r="Q234">
        <v>0</v>
      </c>
      <c r="R234">
        <v>0.73862643659875649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0.73862643659875649</v>
      </c>
      <c r="AC234">
        <v>0.26137356340124351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J234">
        <v>0</v>
      </c>
      <c r="BK234">
        <v>0</v>
      </c>
      <c r="BL234">
        <v>1.3538643493520519</v>
      </c>
      <c r="BM234">
        <v>0.35386434935205191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 spans="1:84" hidden="1" x14ac:dyDescent="0.25">
      <c r="A235" t="s">
        <v>128</v>
      </c>
      <c r="B235" t="s">
        <v>372</v>
      </c>
      <c r="C235" t="s">
        <v>72</v>
      </c>
      <c r="D235" s="12">
        <v>46246</v>
      </c>
      <c r="E235" t="s">
        <v>501</v>
      </c>
      <c r="F235" t="s">
        <v>501</v>
      </c>
      <c r="G235" t="s">
        <v>501</v>
      </c>
      <c r="H235" t="s">
        <v>74</v>
      </c>
      <c r="I235">
        <v>20</v>
      </c>
      <c r="J235">
        <v>0</v>
      </c>
      <c r="K235">
        <v>46246</v>
      </c>
      <c r="L235" t="s">
        <v>193</v>
      </c>
      <c r="M235">
        <v>0.95</v>
      </c>
      <c r="N235">
        <v>0.95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F235">
        <v>0</v>
      </c>
    </row>
    <row r="236" spans="1:84" hidden="1" x14ac:dyDescent="0.25">
      <c r="A236" t="s">
        <v>128</v>
      </c>
      <c r="B236" t="s">
        <v>372</v>
      </c>
      <c r="C236" t="s">
        <v>72</v>
      </c>
      <c r="D236" s="12">
        <v>46241</v>
      </c>
      <c r="E236" t="s">
        <v>134</v>
      </c>
      <c r="F236" t="s">
        <v>134</v>
      </c>
      <c r="G236" t="s">
        <v>134</v>
      </c>
      <c r="H236" t="s">
        <v>75</v>
      </c>
      <c r="I236">
        <v>10</v>
      </c>
      <c r="J236">
        <v>2.2486328293736499</v>
      </c>
      <c r="K236">
        <v>46241</v>
      </c>
      <c r="L236" t="s">
        <v>207</v>
      </c>
      <c r="M236">
        <v>0</v>
      </c>
      <c r="N236">
        <v>0</v>
      </c>
      <c r="O236">
        <v>2.1038062283737027</v>
      </c>
      <c r="P236">
        <v>0</v>
      </c>
      <c r="Q236">
        <v>0</v>
      </c>
      <c r="R236">
        <v>0.9355934863584251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0.9355934863584251</v>
      </c>
      <c r="AC236">
        <v>6.4406513641574903E-2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J236">
        <v>0</v>
      </c>
      <c r="BK236">
        <v>0</v>
      </c>
      <c r="BL236">
        <v>1.0688402758042512</v>
      </c>
      <c r="BM236">
        <v>6.8840275804251227E-2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1</v>
      </c>
    </row>
    <row r="237" spans="1:84" hidden="1" x14ac:dyDescent="0.25">
      <c r="A237" t="s">
        <v>128</v>
      </c>
      <c r="B237" t="s">
        <v>372</v>
      </c>
      <c r="C237" t="s">
        <v>72</v>
      </c>
      <c r="D237" s="12">
        <v>46242</v>
      </c>
      <c r="E237" t="s">
        <v>134</v>
      </c>
      <c r="F237" t="s">
        <v>134</v>
      </c>
      <c r="G237" t="s">
        <v>134</v>
      </c>
      <c r="H237" t="s">
        <v>73</v>
      </c>
      <c r="I237">
        <v>10</v>
      </c>
      <c r="J237">
        <v>2.3891723812095034</v>
      </c>
      <c r="K237">
        <v>46242</v>
      </c>
      <c r="L237" t="s">
        <v>206</v>
      </c>
      <c r="M237">
        <v>0</v>
      </c>
      <c r="N237">
        <v>0</v>
      </c>
      <c r="O237">
        <v>2.882352941176471</v>
      </c>
      <c r="P237">
        <v>0</v>
      </c>
      <c r="Q237">
        <v>0</v>
      </c>
      <c r="R237">
        <v>1.206423179777969</v>
      </c>
      <c r="S237">
        <v>0.20642317977796898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1</v>
      </c>
      <c r="BJ237">
        <v>0</v>
      </c>
      <c r="BK237">
        <v>0</v>
      </c>
      <c r="BL237">
        <v>0.82889654041962346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0.17110345958037654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0.82889654041962346</v>
      </c>
      <c r="CF237">
        <v>0</v>
      </c>
    </row>
    <row r="238" spans="1:84" hidden="1" x14ac:dyDescent="0.25">
      <c r="A238" t="s">
        <v>128</v>
      </c>
      <c r="B238" t="s">
        <v>372</v>
      </c>
      <c r="C238" t="s">
        <v>72</v>
      </c>
      <c r="D238" s="12">
        <v>46246</v>
      </c>
      <c r="E238" t="s">
        <v>501</v>
      </c>
      <c r="F238" t="s">
        <v>501</v>
      </c>
      <c r="G238" t="s">
        <v>501</v>
      </c>
      <c r="H238" t="s">
        <v>73</v>
      </c>
      <c r="I238">
        <v>20</v>
      </c>
      <c r="J238">
        <v>3.5876164620550925</v>
      </c>
      <c r="K238">
        <v>46246</v>
      </c>
      <c r="L238" t="s">
        <v>194</v>
      </c>
      <c r="M238">
        <v>10.45</v>
      </c>
      <c r="N238">
        <v>10.45</v>
      </c>
      <c r="O238">
        <v>3.7647058823529398</v>
      </c>
      <c r="P238">
        <v>2.9127974270733308</v>
      </c>
      <c r="Q238">
        <v>2.9127974270733308</v>
      </c>
      <c r="R238">
        <v>1.0493613021823422</v>
      </c>
      <c r="S238">
        <v>0</v>
      </c>
      <c r="T238">
        <v>0</v>
      </c>
      <c r="U238">
        <v>1.6627974270733308</v>
      </c>
      <c r="V238">
        <v>0</v>
      </c>
      <c r="W238">
        <v>0</v>
      </c>
      <c r="X238">
        <v>0</v>
      </c>
      <c r="Y238">
        <v>4.9361302182342248E-2</v>
      </c>
      <c r="Z238">
        <v>0</v>
      </c>
      <c r="AA238">
        <v>0.20063869781765775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0.34331258010096583</v>
      </c>
      <c r="AN238">
        <v>0.34331258010096583</v>
      </c>
      <c r="AO238">
        <v>0.36025893611032916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0.63974106388967078</v>
      </c>
      <c r="BA238">
        <v>0</v>
      </c>
      <c r="BB238">
        <v>0</v>
      </c>
      <c r="BC238">
        <v>0</v>
      </c>
      <c r="BD238">
        <v>0.34331258010096583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2.775781250000001</v>
      </c>
      <c r="BK238">
        <v>2.775781250000001</v>
      </c>
      <c r="BL238">
        <v>0.95296062273338433</v>
      </c>
      <c r="CC238">
        <v>0</v>
      </c>
      <c r="CD238">
        <v>0</v>
      </c>
      <c r="CE238">
        <v>0</v>
      </c>
    </row>
    <row r="239" spans="1:84" hidden="1" x14ac:dyDescent="0.25">
      <c r="A239" t="s">
        <v>128</v>
      </c>
      <c r="B239" t="s">
        <v>372</v>
      </c>
      <c r="C239" t="s">
        <v>72</v>
      </c>
      <c r="D239" s="12">
        <v>46242</v>
      </c>
      <c r="E239" t="s">
        <v>134</v>
      </c>
      <c r="F239" t="s">
        <v>134</v>
      </c>
      <c r="G239" t="s">
        <v>134</v>
      </c>
      <c r="H239" t="s">
        <v>74</v>
      </c>
      <c r="I239">
        <v>10</v>
      </c>
      <c r="J239">
        <v>1.2742252699784016</v>
      </c>
      <c r="K239">
        <v>46242</v>
      </c>
      <c r="L239" t="s">
        <v>205</v>
      </c>
      <c r="M239">
        <v>0</v>
      </c>
      <c r="N239">
        <v>0</v>
      </c>
      <c r="O239">
        <v>0.94117647058823517</v>
      </c>
      <c r="P239">
        <v>0</v>
      </c>
      <c r="Q239">
        <v>0</v>
      </c>
      <c r="R239">
        <v>0.73862643659875649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0.73862643659875649</v>
      </c>
      <c r="AC239">
        <v>0.26137356340124351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J239">
        <v>0</v>
      </c>
      <c r="BK239">
        <v>0</v>
      </c>
      <c r="BL239">
        <v>1.3538643493520519</v>
      </c>
      <c r="BM239">
        <v>0.35386434935205191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 spans="1:84" hidden="1" x14ac:dyDescent="0.25">
      <c r="A240" t="s">
        <v>128</v>
      </c>
      <c r="B240" t="s">
        <v>372</v>
      </c>
      <c r="C240" t="s">
        <v>72</v>
      </c>
      <c r="D240" s="12">
        <v>46245</v>
      </c>
      <c r="E240" t="s">
        <v>501</v>
      </c>
      <c r="F240" t="s">
        <v>501</v>
      </c>
      <c r="G240" t="s">
        <v>501</v>
      </c>
      <c r="H240" t="s">
        <v>75</v>
      </c>
      <c r="I240">
        <v>20</v>
      </c>
      <c r="J240">
        <v>3.1779578349000128</v>
      </c>
      <c r="K240">
        <v>46245</v>
      </c>
      <c r="L240" t="s">
        <v>195</v>
      </c>
      <c r="M240">
        <v>2.8499999999999996</v>
      </c>
      <c r="N240">
        <v>2.8499999999999996</v>
      </c>
      <c r="O240">
        <v>3.7508650519031144</v>
      </c>
      <c r="P240">
        <v>0.89680233283827326</v>
      </c>
      <c r="Q240">
        <v>0.89680233283827326</v>
      </c>
      <c r="R240">
        <v>1.18027527323097</v>
      </c>
      <c r="S240">
        <v>0.18027527323097003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0.10319766716172674</v>
      </c>
      <c r="AC240">
        <v>0</v>
      </c>
      <c r="AD240">
        <v>0</v>
      </c>
      <c r="AE240">
        <v>0</v>
      </c>
      <c r="AF240">
        <v>0</v>
      </c>
      <c r="AG240">
        <v>0.89680233283827326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1.1150729245263205</v>
      </c>
      <c r="AN240">
        <v>1.1150729245263205</v>
      </c>
      <c r="AO240">
        <v>1.3160930006677596</v>
      </c>
      <c r="AP240">
        <v>0.20102007614143913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0.11507292452632045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0.75982472324723238</v>
      </c>
      <c r="BK240">
        <v>0.75982472324723238</v>
      </c>
      <c r="BL240">
        <v>0.84725997627869343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0.15274002372130657</v>
      </c>
      <c r="BX240">
        <v>0</v>
      </c>
      <c r="BY240">
        <v>0</v>
      </c>
      <c r="BZ240">
        <v>0</v>
      </c>
      <c r="CA240">
        <v>0.75982472324723238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hidden="1" x14ac:dyDescent="0.25">
      <c r="A241" t="s">
        <v>128</v>
      </c>
      <c r="B241" t="s">
        <v>372</v>
      </c>
      <c r="C241" t="s">
        <v>72</v>
      </c>
      <c r="D241" s="12">
        <v>46242</v>
      </c>
      <c r="E241" t="s">
        <v>134</v>
      </c>
      <c r="F241" t="s">
        <v>134</v>
      </c>
      <c r="G241" t="s">
        <v>134</v>
      </c>
      <c r="H241" t="s">
        <v>75</v>
      </c>
      <c r="I241">
        <v>10</v>
      </c>
      <c r="J241">
        <v>3.3729492440604751</v>
      </c>
      <c r="K241">
        <v>46242</v>
      </c>
      <c r="L241" t="s">
        <v>204</v>
      </c>
      <c r="M241">
        <v>0</v>
      </c>
      <c r="N241">
        <v>0</v>
      </c>
      <c r="O241">
        <v>3.0449826989619369</v>
      </c>
      <c r="P241">
        <v>0</v>
      </c>
      <c r="Q241">
        <v>0</v>
      </c>
      <c r="R241">
        <v>0.9027656447318132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0.9027656447318132</v>
      </c>
      <c r="AC241">
        <v>9.7234355268186801E-2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J241">
        <v>0</v>
      </c>
      <c r="BK241">
        <v>0</v>
      </c>
      <c r="BL241">
        <v>1.1077071949244064</v>
      </c>
      <c r="BM241">
        <v>0.10770719492440639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1</v>
      </c>
    </row>
    <row r="242" spans="1:84" hidden="1" x14ac:dyDescent="0.25">
      <c r="A242" t="s">
        <v>128</v>
      </c>
      <c r="B242" t="s">
        <v>372</v>
      </c>
      <c r="C242" t="s">
        <v>72</v>
      </c>
      <c r="D242" s="12">
        <v>46245</v>
      </c>
      <c r="E242" t="s">
        <v>501</v>
      </c>
      <c r="F242" t="s">
        <v>501</v>
      </c>
      <c r="G242" t="s">
        <v>501</v>
      </c>
      <c r="H242" t="s">
        <v>74</v>
      </c>
      <c r="I242">
        <v>20</v>
      </c>
      <c r="J242">
        <v>0</v>
      </c>
      <c r="K242">
        <v>46245</v>
      </c>
      <c r="L242" t="s">
        <v>196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F242">
        <v>0</v>
      </c>
    </row>
    <row r="243" spans="1:84" hidden="1" x14ac:dyDescent="0.25">
      <c r="A243" t="s">
        <v>128</v>
      </c>
      <c r="B243" t="s">
        <v>372</v>
      </c>
      <c r="C243" t="s">
        <v>72</v>
      </c>
      <c r="D243" s="12">
        <v>46245</v>
      </c>
      <c r="E243" t="s">
        <v>501</v>
      </c>
      <c r="F243" t="s">
        <v>501</v>
      </c>
      <c r="G243" t="s">
        <v>501</v>
      </c>
      <c r="H243" t="s">
        <v>73</v>
      </c>
      <c r="I243">
        <v>20</v>
      </c>
      <c r="J243">
        <v>3.5876164620550925</v>
      </c>
      <c r="K243">
        <v>46245</v>
      </c>
      <c r="L243" t="s">
        <v>197</v>
      </c>
      <c r="M243">
        <v>8.5499999999999989</v>
      </c>
      <c r="N243">
        <v>8.5499999999999989</v>
      </c>
      <c r="O243">
        <v>3.7647058823529398</v>
      </c>
      <c r="P243">
        <v>2.3831978948781796</v>
      </c>
      <c r="Q243">
        <v>2.3831978948781796</v>
      </c>
      <c r="R243">
        <v>1.0493613021823422</v>
      </c>
      <c r="S243">
        <v>0</v>
      </c>
      <c r="T243">
        <v>0</v>
      </c>
      <c r="U243">
        <v>1.1331978948781796</v>
      </c>
      <c r="V243">
        <v>0</v>
      </c>
      <c r="W243">
        <v>0</v>
      </c>
      <c r="X243">
        <v>0</v>
      </c>
      <c r="Y243">
        <v>4.9361302182342248E-2</v>
      </c>
      <c r="Z243">
        <v>0</v>
      </c>
      <c r="AA243">
        <v>0.20063869781765775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0.41960426456784711</v>
      </c>
      <c r="AN243">
        <v>0.41960426456784711</v>
      </c>
      <c r="AO243">
        <v>0.44031647746818015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0.55968352253181985</v>
      </c>
      <c r="BA243">
        <v>0</v>
      </c>
      <c r="BB243">
        <v>0</v>
      </c>
      <c r="BC243">
        <v>0</v>
      </c>
      <c r="BD243">
        <v>0.41960426456784711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2.2710937500000004</v>
      </c>
      <c r="BK243">
        <v>2.2710937500000004</v>
      </c>
      <c r="BL243">
        <v>0.95296062273338433</v>
      </c>
      <c r="CC243">
        <v>0</v>
      </c>
      <c r="CD243">
        <v>0</v>
      </c>
      <c r="CE243">
        <v>0</v>
      </c>
    </row>
    <row r="244" spans="1:84" hidden="1" x14ac:dyDescent="0.25">
      <c r="A244" t="s">
        <v>128</v>
      </c>
      <c r="B244" t="s">
        <v>372</v>
      </c>
      <c r="C244" t="s">
        <v>72</v>
      </c>
      <c r="D244" s="12">
        <v>46243</v>
      </c>
      <c r="E244" t="s">
        <v>134</v>
      </c>
      <c r="F244" t="s">
        <v>134</v>
      </c>
      <c r="G244" t="s">
        <v>134</v>
      </c>
      <c r="H244" t="s">
        <v>73</v>
      </c>
      <c r="I244">
        <v>10</v>
      </c>
      <c r="J244">
        <v>3.5134887958963272</v>
      </c>
      <c r="K244">
        <v>46243</v>
      </c>
      <c r="L244" t="s">
        <v>203</v>
      </c>
      <c r="M244">
        <v>0</v>
      </c>
      <c r="N244">
        <v>0</v>
      </c>
      <c r="O244">
        <v>2.882352941176471</v>
      </c>
      <c r="P244">
        <v>0</v>
      </c>
      <c r="Q244">
        <v>0</v>
      </c>
      <c r="R244">
        <v>0.82036776224901919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0.82036776224901919</v>
      </c>
      <c r="AC244">
        <v>0.17963223775098081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J244">
        <v>0</v>
      </c>
      <c r="BK244">
        <v>0</v>
      </c>
      <c r="BL244">
        <v>1.218965500617093</v>
      </c>
      <c r="BM244">
        <v>0.21896550061709297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1</v>
      </c>
    </row>
    <row r="245" spans="1:84" hidden="1" x14ac:dyDescent="0.25">
      <c r="A245" t="s">
        <v>128</v>
      </c>
      <c r="B245" t="s">
        <v>372</v>
      </c>
      <c r="C245" t="s">
        <v>72</v>
      </c>
      <c r="D245" s="12">
        <v>46246</v>
      </c>
      <c r="E245" t="s">
        <v>501</v>
      </c>
      <c r="F245" t="s">
        <v>501</v>
      </c>
      <c r="G245" t="s">
        <v>501</v>
      </c>
      <c r="H245" t="s">
        <v>75</v>
      </c>
      <c r="I245">
        <v>20</v>
      </c>
      <c r="J245">
        <v>3.1779578349000128</v>
      </c>
      <c r="K245">
        <v>46246</v>
      </c>
      <c r="L245" t="s">
        <v>201</v>
      </c>
      <c r="M245">
        <v>2.8499999999999996</v>
      </c>
      <c r="N245">
        <v>2.8499999999999996</v>
      </c>
      <c r="O245">
        <v>3.7508650519031144</v>
      </c>
      <c r="P245">
        <v>0.89680233283827326</v>
      </c>
      <c r="Q245">
        <v>0.89680233283827326</v>
      </c>
      <c r="R245">
        <v>1.18027527323097</v>
      </c>
      <c r="S245">
        <v>0.18027527323097003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0.10319766716172674</v>
      </c>
      <c r="AC245">
        <v>0</v>
      </c>
      <c r="AD245">
        <v>0</v>
      </c>
      <c r="AE245">
        <v>0</v>
      </c>
      <c r="AF245">
        <v>0</v>
      </c>
      <c r="AG245">
        <v>0.89680233283827326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1.1150729245263205</v>
      </c>
      <c r="AN245">
        <v>1.1150729245263205</v>
      </c>
      <c r="AO245">
        <v>1.3160930006677596</v>
      </c>
      <c r="AP245">
        <v>0.20102007614143913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0.11507292452632045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0.75982472324723238</v>
      </c>
      <c r="BK245">
        <v>0.75982472324723238</v>
      </c>
      <c r="BL245">
        <v>0.84725997627869343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0.15274002372130657</v>
      </c>
      <c r="BX245">
        <v>0</v>
      </c>
      <c r="BY245">
        <v>0</v>
      </c>
      <c r="BZ245">
        <v>0</v>
      </c>
      <c r="CA245">
        <v>0.75982472324723238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4" hidden="1" x14ac:dyDescent="0.25">
      <c r="A246" t="s">
        <v>128</v>
      </c>
      <c r="B246" t="s">
        <v>372</v>
      </c>
      <c r="C246" t="s">
        <v>109</v>
      </c>
      <c r="D246" s="12">
        <v>46238</v>
      </c>
      <c r="E246" t="s">
        <v>133</v>
      </c>
      <c r="F246" t="s">
        <v>133</v>
      </c>
      <c r="G246" t="s">
        <v>133</v>
      </c>
      <c r="J246">
        <v>28.199720573065392</v>
      </c>
      <c r="M246">
        <v>29.450000000000003</v>
      </c>
      <c r="N246">
        <v>29.450000000000003</v>
      </c>
      <c r="O246">
        <v>31.78125</v>
      </c>
      <c r="S246">
        <v>6.1654523155485912E-2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6.5351324922152829E-2</v>
      </c>
      <c r="Z246">
        <v>0</v>
      </c>
      <c r="AA246">
        <v>2.2163340178517903E-3</v>
      </c>
      <c r="AB246">
        <v>2.3231069728237894E-2</v>
      </c>
      <c r="AC246">
        <v>0</v>
      </c>
      <c r="AD246">
        <v>0</v>
      </c>
      <c r="AE246">
        <v>0</v>
      </c>
      <c r="AF246">
        <v>0</v>
      </c>
      <c r="AG246">
        <v>0.97676893027176215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84" hidden="1" x14ac:dyDescent="0.25">
      <c r="A247" t="s">
        <v>128</v>
      </c>
      <c r="B247" t="s">
        <v>372</v>
      </c>
      <c r="C247" t="s">
        <v>72</v>
      </c>
      <c r="D247" s="12">
        <v>46226</v>
      </c>
      <c r="E247" t="s">
        <v>501</v>
      </c>
      <c r="F247" t="s">
        <v>501</v>
      </c>
      <c r="G247" t="s">
        <v>501</v>
      </c>
      <c r="H247" t="s">
        <v>74</v>
      </c>
      <c r="I247">
        <v>20</v>
      </c>
      <c r="J247">
        <v>0</v>
      </c>
      <c r="K247">
        <v>46226</v>
      </c>
      <c r="L247" t="s">
        <v>228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F247">
        <v>0</v>
      </c>
    </row>
    <row r="248" spans="1:84" hidden="1" x14ac:dyDescent="0.25">
      <c r="A248" t="s">
        <v>128</v>
      </c>
      <c r="B248" t="s">
        <v>372</v>
      </c>
      <c r="C248" t="s">
        <v>72</v>
      </c>
      <c r="D248" s="12">
        <v>46242</v>
      </c>
      <c r="E248" t="s">
        <v>133</v>
      </c>
      <c r="F248" t="s">
        <v>133</v>
      </c>
      <c r="G248" t="s">
        <v>133</v>
      </c>
      <c r="H248" t="s">
        <v>74</v>
      </c>
      <c r="I248">
        <v>20</v>
      </c>
      <c r="J248">
        <v>4.2207252494765797</v>
      </c>
      <c r="K248">
        <v>46242</v>
      </c>
      <c r="L248" t="s">
        <v>205</v>
      </c>
      <c r="M248">
        <v>3.8</v>
      </c>
      <c r="N248">
        <v>3.8</v>
      </c>
      <c r="O248">
        <v>4.6875</v>
      </c>
      <c r="P248">
        <v>0.90031920473175675</v>
      </c>
      <c r="Q248">
        <v>0.90031920473175675</v>
      </c>
      <c r="R248">
        <v>1.1105911242579236</v>
      </c>
      <c r="S248">
        <v>0.11059112425792361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9.968079526824325E-2</v>
      </c>
      <c r="AC248">
        <v>0</v>
      </c>
      <c r="AD248">
        <v>0</v>
      </c>
      <c r="AE248">
        <v>0</v>
      </c>
      <c r="AF248">
        <v>0</v>
      </c>
      <c r="AG248">
        <v>0.90031920473175675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1.1107171709148895</v>
      </c>
      <c r="AN248">
        <v>1.1107171709148895</v>
      </c>
      <c r="AO248">
        <v>1.2335526315789473</v>
      </c>
      <c r="AP248">
        <v>0.12283546066405782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0.11071717091488953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0.81066666666666665</v>
      </c>
      <c r="BK248">
        <v>0.81066666666666665</v>
      </c>
      <c r="BL248">
        <v>0.9004213865550037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9.95786134449963E-2</v>
      </c>
      <c r="BX248">
        <v>0</v>
      </c>
      <c r="BY248">
        <v>0</v>
      </c>
      <c r="BZ248">
        <v>0</v>
      </c>
      <c r="CA248">
        <v>0.81066666666666665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4" hidden="1" x14ac:dyDescent="0.25">
      <c r="A249" t="s">
        <v>128</v>
      </c>
      <c r="B249" t="s">
        <v>372</v>
      </c>
      <c r="C249" t="s">
        <v>117</v>
      </c>
      <c r="D249" s="12">
        <v>46235</v>
      </c>
      <c r="J249">
        <v>41.899846569613139</v>
      </c>
      <c r="M249">
        <v>38.950000000000003</v>
      </c>
      <c r="N249">
        <v>38.950000000000003</v>
      </c>
      <c r="O249">
        <v>43.001946366782001</v>
      </c>
      <c r="S249">
        <v>4.5291842770431384E-2</v>
      </c>
      <c r="T249">
        <v>0</v>
      </c>
      <c r="U249">
        <v>2.9009161654368221E-2</v>
      </c>
      <c r="V249">
        <v>0</v>
      </c>
      <c r="W249">
        <v>0</v>
      </c>
      <c r="X249">
        <v>0</v>
      </c>
      <c r="Y249">
        <v>1.5366742924739368E-2</v>
      </c>
      <c r="Z249">
        <v>0</v>
      </c>
      <c r="AA249">
        <v>1.8671063482683017E-2</v>
      </c>
      <c r="AB249">
        <v>0.10927223330332389</v>
      </c>
      <c r="AC249">
        <v>2.4177058659873192E-2</v>
      </c>
      <c r="AD249">
        <v>0</v>
      </c>
      <c r="AE249">
        <v>1.0178332933194627E-2</v>
      </c>
      <c r="AF249">
        <v>0</v>
      </c>
      <c r="AG249">
        <v>0.85637237510360831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84" hidden="1" x14ac:dyDescent="0.25">
      <c r="A250" t="s">
        <v>128</v>
      </c>
      <c r="B250" t="s">
        <v>372</v>
      </c>
      <c r="C250" t="s">
        <v>109</v>
      </c>
      <c r="D250" s="12">
        <v>46247</v>
      </c>
      <c r="E250" t="s">
        <v>501</v>
      </c>
      <c r="F250" t="s">
        <v>501</v>
      </c>
      <c r="G250" t="s">
        <v>501</v>
      </c>
      <c r="J250">
        <v>6.7655742969551058</v>
      </c>
      <c r="M250">
        <v>14.25</v>
      </c>
      <c r="N250">
        <v>14.25</v>
      </c>
      <c r="O250">
        <v>7.515570934256055</v>
      </c>
      <c r="S250">
        <v>8.4679761370877668E-2</v>
      </c>
      <c r="T250">
        <v>0</v>
      </c>
      <c r="U250">
        <v>0.88174028701686702</v>
      </c>
      <c r="V250">
        <v>0</v>
      </c>
      <c r="W250">
        <v>0</v>
      </c>
      <c r="X250">
        <v>0</v>
      </c>
      <c r="Y250">
        <v>2.6175075836141235E-2</v>
      </c>
      <c r="Z250">
        <v>0</v>
      </c>
      <c r="AA250">
        <v>0.10639373150330832</v>
      </c>
      <c r="AB250">
        <v>4.8474500538352373E-2</v>
      </c>
      <c r="AC250">
        <v>0</v>
      </c>
      <c r="AD250">
        <v>0</v>
      </c>
      <c r="AE250">
        <v>0</v>
      </c>
      <c r="AF250">
        <v>0</v>
      </c>
      <c r="AG250">
        <v>0.95152549946164766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84" hidden="1" x14ac:dyDescent="0.25">
      <c r="A251" t="s">
        <v>128</v>
      </c>
      <c r="B251" t="s">
        <v>372</v>
      </c>
      <c r="C251" t="s">
        <v>72</v>
      </c>
      <c r="D251" s="12">
        <v>46240</v>
      </c>
      <c r="E251" t="s">
        <v>133</v>
      </c>
      <c r="F251" t="s">
        <v>133</v>
      </c>
      <c r="G251" t="s">
        <v>133</v>
      </c>
      <c r="H251" t="s">
        <v>75</v>
      </c>
      <c r="I251">
        <v>20</v>
      </c>
      <c r="J251">
        <v>10.973885648639106</v>
      </c>
      <c r="K251">
        <v>46240</v>
      </c>
      <c r="L251" t="s">
        <v>210</v>
      </c>
      <c r="M251">
        <v>10.45</v>
      </c>
      <c r="N251">
        <v>10.45</v>
      </c>
      <c r="O251">
        <v>12.5390625</v>
      </c>
      <c r="P251">
        <v>0.95226069731243512</v>
      </c>
      <c r="Q251">
        <v>0.95226069731243512</v>
      </c>
      <c r="R251">
        <v>1.1426274066884408</v>
      </c>
      <c r="S251">
        <v>0.14262740668844076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4.7739302687564877E-2</v>
      </c>
      <c r="AC251">
        <v>0</v>
      </c>
      <c r="AD251">
        <v>0</v>
      </c>
      <c r="AE251">
        <v>0</v>
      </c>
      <c r="AF251">
        <v>0</v>
      </c>
      <c r="AG251">
        <v>0.95226069731243512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1.0501325979558953</v>
      </c>
      <c r="AN251">
        <v>1.0501325979558953</v>
      </c>
      <c r="AO251">
        <v>1.1999102870813398</v>
      </c>
      <c r="AP251">
        <v>0.14977768912544454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5.0132597955895308E-2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0.83339563862928345</v>
      </c>
      <c r="BK251">
        <v>0.83339563862928345</v>
      </c>
      <c r="BL251">
        <v>0.87517592711888204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0.12482407288111796</v>
      </c>
      <c r="BX251">
        <v>0</v>
      </c>
      <c r="BY251">
        <v>0</v>
      </c>
      <c r="BZ251">
        <v>0</v>
      </c>
      <c r="CA251">
        <v>0.83339563862928345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hidden="1" x14ac:dyDescent="0.25">
      <c r="A252" t="s">
        <v>128</v>
      </c>
      <c r="B252" t="s">
        <v>372</v>
      </c>
      <c r="C252" t="s">
        <v>72</v>
      </c>
      <c r="D252" s="12">
        <v>46228</v>
      </c>
      <c r="E252" t="s">
        <v>133</v>
      </c>
      <c r="F252" t="s">
        <v>133</v>
      </c>
      <c r="G252" t="s">
        <v>133</v>
      </c>
      <c r="H252" t="s">
        <v>73</v>
      </c>
      <c r="I252">
        <v>20</v>
      </c>
      <c r="J252">
        <v>11.026644714257564</v>
      </c>
      <c r="K252">
        <v>46228</v>
      </c>
      <c r="L252" t="s">
        <v>223</v>
      </c>
      <c r="M252">
        <v>10.45</v>
      </c>
      <c r="N252">
        <v>10.45</v>
      </c>
      <c r="O252">
        <v>12.191176470588236</v>
      </c>
      <c r="P252">
        <v>0.94770442603342819</v>
      </c>
      <c r="Q252">
        <v>0.94770442603342819</v>
      </c>
      <c r="R252">
        <v>1.1056107081082354</v>
      </c>
      <c r="S252">
        <v>0.10561070810823536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5.2295573966571807E-2</v>
      </c>
      <c r="AC252">
        <v>0</v>
      </c>
      <c r="AD252">
        <v>0</v>
      </c>
      <c r="AE252">
        <v>0</v>
      </c>
      <c r="AF252">
        <v>0</v>
      </c>
      <c r="AG252">
        <v>0.94770442603342819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1.0551813123691449</v>
      </c>
      <c r="AN252">
        <v>1.0551813123691449</v>
      </c>
      <c r="AO252">
        <v>1.1666197579510273</v>
      </c>
      <c r="AP252">
        <v>0.11143844558188243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5.5181312369144919E-2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0.85717732207478881</v>
      </c>
      <c r="BK252">
        <v>0.85717732207478881</v>
      </c>
      <c r="BL252">
        <v>0.90447749163994495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9.5522508360055047E-2</v>
      </c>
      <c r="BX252">
        <v>0</v>
      </c>
      <c r="BY252">
        <v>0</v>
      </c>
      <c r="BZ252">
        <v>0</v>
      </c>
      <c r="CA252">
        <v>0.85717732207478881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hidden="1" x14ac:dyDescent="0.25">
      <c r="A253" t="s">
        <v>128</v>
      </c>
      <c r="B253" t="s">
        <v>372</v>
      </c>
      <c r="C253" t="s">
        <v>109</v>
      </c>
      <c r="D253" s="12">
        <v>46247</v>
      </c>
      <c r="E253" t="s">
        <v>134</v>
      </c>
      <c r="F253" t="s">
        <v>134</v>
      </c>
      <c r="G253" t="s">
        <v>134</v>
      </c>
      <c r="J253">
        <v>10.409296139308854</v>
      </c>
      <c r="M253">
        <v>0</v>
      </c>
      <c r="N253">
        <v>0</v>
      </c>
      <c r="O253">
        <v>8.646637110726644</v>
      </c>
      <c r="S253">
        <v>2.1330304367361792E-2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0.48530220911748617</v>
      </c>
      <c r="AC253">
        <v>0.19066538764218982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0.32403240324032406</v>
      </c>
      <c r="AL253">
        <v>0</v>
      </c>
    </row>
    <row r="254" spans="1:84" hidden="1" x14ac:dyDescent="0.25">
      <c r="A254" t="s">
        <v>128</v>
      </c>
      <c r="B254" t="s">
        <v>372</v>
      </c>
      <c r="C254" t="s">
        <v>72</v>
      </c>
      <c r="D254" s="12">
        <v>46240</v>
      </c>
      <c r="E254" t="s">
        <v>133</v>
      </c>
      <c r="F254" t="s">
        <v>133</v>
      </c>
      <c r="G254" t="s">
        <v>133</v>
      </c>
      <c r="H254" t="s">
        <v>74</v>
      </c>
      <c r="I254">
        <v>20</v>
      </c>
      <c r="J254">
        <v>4.2207252494765797</v>
      </c>
      <c r="K254">
        <v>46240</v>
      </c>
      <c r="L254" t="s">
        <v>192</v>
      </c>
      <c r="M254">
        <v>4.75</v>
      </c>
      <c r="N254">
        <v>4.75</v>
      </c>
      <c r="O254">
        <v>4.6875</v>
      </c>
      <c r="P254">
        <v>1.1253990059146959</v>
      </c>
      <c r="Q254">
        <v>1.1253990059146959</v>
      </c>
      <c r="R254">
        <v>1.1105911242579236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0.11059112425792361</v>
      </c>
      <c r="Z254">
        <v>0</v>
      </c>
      <c r="AA254">
        <v>1.480788165677227E-2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0.88857373673191153</v>
      </c>
      <c r="AN254">
        <v>0.88857373673191153</v>
      </c>
      <c r="AO254">
        <v>0.98684210526315785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1.3157894736842146E-2</v>
      </c>
      <c r="BA254">
        <v>0</v>
      </c>
      <c r="BB254">
        <v>0</v>
      </c>
      <c r="BC254">
        <v>0</v>
      </c>
      <c r="BD254">
        <v>0.88857373673191153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1.0133333333333334</v>
      </c>
      <c r="BK254">
        <v>1.0133333333333334</v>
      </c>
      <c r="BL254">
        <v>0.9004213865550037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1.3333333333333419E-2</v>
      </c>
      <c r="BV254">
        <v>0</v>
      </c>
      <c r="BW254">
        <v>0</v>
      </c>
      <c r="BX254">
        <v>0</v>
      </c>
      <c r="BY254">
        <v>9.95786134449963E-2</v>
      </c>
      <c r="BZ254">
        <v>0</v>
      </c>
      <c r="CA254">
        <v>0.9004213865550037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 spans="1:84" hidden="1" x14ac:dyDescent="0.25">
      <c r="A255" t="s">
        <v>128</v>
      </c>
      <c r="B255" t="s">
        <v>372</v>
      </c>
      <c r="C255" t="s">
        <v>117</v>
      </c>
      <c r="D255" s="12">
        <v>46234</v>
      </c>
      <c r="J255">
        <v>41.07722344334563</v>
      </c>
      <c r="M255">
        <v>45.6</v>
      </c>
      <c r="N255">
        <v>45.6</v>
      </c>
      <c r="O255">
        <v>43.783315311418683</v>
      </c>
      <c r="S255">
        <v>8.248700320244709E-2</v>
      </c>
      <c r="T255">
        <v>0</v>
      </c>
      <c r="U255">
        <v>0.1102504367198653</v>
      </c>
      <c r="V255">
        <v>0</v>
      </c>
      <c r="W255">
        <v>0</v>
      </c>
      <c r="X255">
        <v>0</v>
      </c>
      <c r="Y255">
        <v>2.6970204078205613E-2</v>
      </c>
      <c r="Z255">
        <v>0</v>
      </c>
      <c r="AA255">
        <v>3.4237526738703568E-2</v>
      </c>
      <c r="AB255">
        <v>5.7688043877970517E-2</v>
      </c>
      <c r="AC255">
        <v>2.679305322506368E-2</v>
      </c>
      <c r="AD255">
        <v>0</v>
      </c>
      <c r="AE255">
        <v>1.6785994792820644E-2</v>
      </c>
      <c r="AF255">
        <v>0</v>
      </c>
      <c r="AG255">
        <v>0.89873290810414519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84" hidden="1" x14ac:dyDescent="0.25">
      <c r="A256" t="s">
        <v>128</v>
      </c>
      <c r="B256" t="s">
        <v>372</v>
      </c>
      <c r="C256" t="s">
        <v>109</v>
      </c>
      <c r="D256" s="12">
        <v>46248</v>
      </c>
      <c r="E256" t="s">
        <v>133</v>
      </c>
      <c r="F256" t="s">
        <v>133</v>
      </c>
      <c r="G256" t="s">
        <v>133</v>
      </c>
      <c r="J256">
        <v>26.221255612373248</v>
      </c>
      <c r="M256">
        <v>40.85</v>
      </c>
      <c r="N256">
        <v>40.85</v>
      </c>
      <c r="O256">
        <v>26.3125</v>
      </c>
      <c r="S256">
        <v>0</v>
      </c>
      <c r="T256">
        <v>0</v>
      </c>
      <c r="U256">
        <v>0.38261489409633492</v>
      </c>
      <c r="V256">
        <v>0</v>
      </c>
      <c r="W256">
        <v>0</v>
      </c>
      <c r="X256">
        <v>0</v>
      </c>
      <c r="Y256">
        <v>4.4411746468050683E-2</v>
      </c>
      <c r="Z256">
        <v>0</v>
      </c>
      <c r="AA256">
        <v>0.13086977003784955</v>
      </c>
      <c r="AB256">
        <v>0</v>
      </c>
      <c r="AC256">
        <v>0</v>
      </c>
      <c r="AD256">
        <v>0</v>
      </c>
      <c r="AE256">
        <v>4.0931959345129901E-2</v>
      </c>
      <c r="AF256">
        <v>0</v>
      </c>
      <c r="AG256">
        <v>0.95906804065487017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84" hidden="1" x14ac:dyDescent="0.25">
      <c r="A257" t="s">
        <v>128</v>
      </c>
      <c r="B257" t="s">
        <v>372</v>
      </c>
      <c r="C257" t="s">
        <v>72</v>
      </c>
      <c r="D257" s="12">
        <v>46241</v>
      </c>
      <c r="E257" t="s">
        <v>133</v>
      </c>
      <c r="F257" t="s">
        <v>133</v>
      </c>
      <c r="G257" t="s">
        <v>133</v>
      </c>
      <c r="H257" t="s">
        <v>73</v>
      </c>
      <c r="I257">
        <v>20</v>
      </c>
      <c r="J257">
        <v>10.973885648639108</v>
      </c>
      <c r="K257">
        <v>46241</v>
      </c>
      <c r="L257" t="s">
        <v>209</v>
      </c>
      <c r="M257">
        <v>10.45</v>
      </c>
      <c r="N257">
        <v>10.45</v>
      </c>
      <c r="O257">
        <v>12.246323529411764</v>
      </c>
      <c r="P257">
        <v>0.9522606973124349</v>
      </c>
      <c r="Q257">
        <v>0.9522606973124349</v>
      </c>
      <c r="R257">
        <v>1.1159514434096964</v>
      </c>
      <c r="S257">
        <v>0.11595144340969643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4.7739302687565099E-2</v>
      </c>
      <c r="AC257">
        <v>0</v>
      </c>
      <c r="AD257">
        <v>0</v>
      </c>
      <c r="AE257">
        <v>0</v>
      </c>
      <c r="AF257">
        <v>0</v>
      </c>
      <c r="AG257">
        <v>0.9522606973124349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1.0501325979558955</v>
      </c>
      <c r="AN257">
        <v>1.0501325979558955</v>
      </c>
      <c r="AO257">
        <v>1.171896988460456</v>
      </c>
      <c r="AP257">
        <v>0.12176439050456045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5.013259795589553E-2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0.85331732212548783</v>
      </c>
      <c r="BK257">
        <v>0.85331732212548783</v>
      </c>
      <c r="BL257">
        <v>0.89609633636440633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0.10390366363559367</v>
      </c>
      <c r="BX257">
        <v>0</v>
      </c>
      <c r="BY257">
        <v>0</v>
      </c>
      <c r="BZ257">
        <v>0</v>
      </c>
      <c r="CA257">
        <v>0.85331732212548783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hidden="1" x14ac:dyDescent="0.25">
      <c r="A258" t="s">
        <v>128</v>
      </c>
      <c r="B258" t="s">
        <v>372</v>
      </c>
      <c r="C258" t="s">
        <v>72</v>
      </c>
      <c r="D258" s="12">
        <v>46228</v>
      </c>
      <c r="E258" t="s">
        <v>133</v>
      </c>
      <c r="F258" t="s">
        <v>133</v>
      </c>
      <c r="G258" t="s">
        <v>133</v>
      </c>
      <c r="H258" t="s">
        <v>74</v>
      </c>
      <c r="I258">
        <v>20</v>
      </c>
      <c r="J258">
        <v>4.2207252494765797</v>
      </c>
      <c r="K258">
        <v>46228</v>
      </c>
      <c r="L258" t="s">
        <v>222</v>
      </c>
      <c r="M258">
        <v>4.75</v>
      </c>
      <c r="N258">
        <v>4.75</v>
      </c>
      <c r="O258">
        <v>4.6875</v>
      </c>
      <c r="P258">
        <v>1.1253990059146959</v>
      </c>
      <c r="Q258">
        <v>1.1253990059146959</v>
      </c>
      <c r="R258">
        <v>1.1105911242579236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0.11059112425792361</v>
      </c>
      <c r="Z258">
        <v>0</v>
      </c>
      <c r="AA258">
        <v>1.480788165677227E-2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0.88857373673191153</v>
      </c>
      <c r="AN258">
        <v>0.88857373673191153</v>
      </c>
      <c r="AO258">
        <v>0.98684210526315785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1.3157894736842146E-2</v>
      </c>
      <c r="BA258">
        <v>0</v>
      </c>
      <c r="BB258">
        <v>0</v>
      </c>
      <c r="BC258">
        <v>0</v>
      </c>
      <c r="BD258">
        <v>0.88857373673191153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1.0133333333333334</v>
      </c>
      <c r="BK258">
        <v>1.0133333333333334</v>
      </c>
      <c r="BL258">
        <v>0.9004213865550037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1.3333333333333419E-2</v>
      </c>
      <c r="BV258">
        <v>0</v>
      </c>
      <c r="BW258">
        <v>0</v>
      </c>
      <c r="BX258">
        <v>0</v>
      </c>
      <c r="BY258">
        <v>9.95786134449963E-2</v>
      </c>
      <c r="BZ258">
        <v>0</v>
      </c>
      <c r="CA258">
        <v>0.9004213865550037</v>
      </c>
      <c r="CB258">
        <v>0</v>
      </c>
      <c r="CC258">
        <v>0</v>
      </c>
      <c r="CD258">
        <v>0</v>
      </c>
      <c r="CE258">
        <v>0</v>
      </c>
      <c r="CF258">
        <v>0</v>
      </c>
    </row>
    <row r="259" spans="1:84" hidden="1" x14ac:dyDescent="0.25">
      <c r="A259" t="s">
        <v>128</v>
      </c>
      <c r="B259" t="s">
        <v>372</v>
      </c>
      <c r="C259" t="s">
        <v>109</v>
      </c>
      <c r="D259" s="12">
        <v>46248</v>
      </c>
      <c r="E259" t="s">
        <v>501</v>
      </c>
      <c r="F259" t="s">
        <v>501</v>
      </c>
      <c r="G259" t="s">
        <v>501</v>
      </c>
      <c r="J259">
        <v>6.7655742969551049</v>
      </c>
      <c r="M259">
        <v>14.249999999999998</v>
      </c>
      <c r="N259">
        <v>14.249999999999998</v>
      </c>
      <c r="O259">
        <v>7.5155709342560542</v>
      </c>
      <c r="S259">
        <v>8.4679761370877668E-2</v>
      </c>
      <c r="T259">
        <v>0</v>
      </c>
      <c r="U259">
        <v>0.88174028701686724</v>
      </c>
      <c r="V259">
        <v>0</v>
      </c>
      <c r="W259">
        <v>0</v>
      </c>
      <c r="X259">
        <v>0</v>
      </c>
      <c r="Y259">
        <v>2.6175075836141121E-2</v>
      </c>
      <c r="Z259">
        <v>0</v>
      </c>
      <c r="AA259">
        <v>0.10639373150330843</v>
      </c>
      <c r="AB259">
        <v>4.8474500538352373E-2</v>
      </c>
      <c r="AC259">
        <v>0</v>
      </c>
      <c r="AD259">
        <v>0</v>
      </c>
      <c r="AE259">
        <v>0</v>
      </c>
      <c r="AF259">
        <v>0</v>
      </c>
      <c r="AG259">
        <v>0.95152549946164766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84" hidden="1" x14ac:dyDescent="0.25">
      <c r="A260" t="s">
        <v>128</v>
      </c>
      <c r="B260" t="s">
        <v>372</v>
      </c>
      <c r="C260" t="s">
        <v>117</v>
      </c>
      <c r="D260" s="12">
        <v>46233</v>
      </c>
      <c r="J260">
        <v>43.264228384591071</v>
      </c>
      <c r="M260">
        <v>39.899999999999991</v>
      </c>
      <c r="N260">
        <v>39.899999999999991</v>
      </c>
      <c r="O260">
        <v>46.127497837370235</v>
      </c>
      <c r="S260">
        <v>7.3962502315082751E-2</v>
      </c>
      <c r="T260">
        <v>0</v>
      </c>
      <c r="U260">
        <v>0</v>
      </c>
      <c r="V260">
        <v>0</v>
      </c>
      <c r="W260">
        <v>0</v>
      </c>
      <c r="X260">
        <v>1.582186030186232E-2</v>
      </c>
      <c r="Y260">
        <v>3.8092239379778785E-2</v>
      </c>
      <c r="Z260">
        <v>0</v>
      </c>
      <c r="AA260">
        <v>8.4947152592453612E-3</v>
      </c>
      <c r="AB260">
        <v>7.8473248526995762E-2</v>
      </c>
      <c r="AC260">
        <v>4.587375200225547E-2</v>
      </c>
      <c r="AD260">
        <v>0</v>
      </c>
      <c r="AE260">
        <v>0</v>
      </c>
      <c r="AF260">
        <v>0</v>
      </c>
      <c r="AG260">
        <v>0.7927296099637523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84" hidden="1" x14ac:dyDescent="0.25">
      <c r="A261" t="s">
        <v>128</v>
      </c>
      <c r="B261" t="s">
        <v>372</v>
      </c>
      <c r="C261" t="s">
        <v>72</v>
      </c>
      <c r="D261" s="12">
        <v>46239</v>
      </c>
      <c r="E261" t="s">
        <v>133</v>
      </c>
      <c r="F261" t="s">
        <v>133</v>
      </c>
      <c r="G261" t="s">
        <v>133</v>
      </c>
      <c r="H261" t="s">
        <v>75</v>
      </c>
      <c r="I261">
        <v>20</v>
      </c>
      <c r="J261">
        <v>10.815608451783737</v>
      </c>
      <c r="K261">
        <v>46239</v>
      </c>
      <c r="L261" t="s">
        <v>175</v>
      </c>
      <c r="M261">
        <v>9.5</v>
      </c>
      <c r="N261">
        <v>9.5</v>
      </c>
      <c r="O261">
        <v>12.292738970588236</v>
      </c>
      <c r="P261">
        <v>0.87836019973829915</v>
      </c>
      <c r="Q261">
        <v>0.87836019973829915</v>
      </c>
      <c r="R261">
        <v>1.1365739639512271</v>
      </c>
      <c r="S261">
        <v>0.13657396395122712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0.12163980026170085</v>
      </c>
      <c r="AC261">
        <v>0</v>
      </c>
      <c r="AD261">
        <v>0</v>
      </c>
      <c r="AE261">
        <v>0</v>
      </c>
      <c r="AF261">
        <v>0</v>
      </c>
      <c r="AG261">
        <v>0.87836019973829915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1.1384851001877618</v>
      </c>
      <c r="AN261">
        <v>1.1384851001877618</v>
      </c>
      <c r="AO261">
        <v>1.2939725232198143</v>
      </c>
      <c r="AP261">
        <v>0.15548742303205243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0.13848510018776183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0.77281393696960632</v>
      </c>
      <c r="BK261">
        <v>0.77281393696960632</v>
      </c>
      <c r="BL261">
        <v>0.87983715245734084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0.12016284754265916</v>
      </c>
      <c r="BX261">
        <v>0</v>
      </c>
      <c r="BY261">
        <v>0</v>
      </c>
      <c r="BZ261">
        <v>0</v>
      </c>
      <c r="CA261">
        <v>0.77281393696960632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hidden="1" x14ac:dyDescent="0.25">
      <c r="A262" t="s">
        <v>128</v>
      </c>
      <c r="B262" t="s">
        <v>372</v>
      </c>
      <c r="C262" t="s">
        <v>72</v>
      </c>
      <c r="D262" s="12">
        <v>46228</v>
      </c>
      <c r="E262" t="s">
        <v>133</v>
      </c>
      <c r="F262" t="s">
        <v>133</v>
      </c>
      <c r="G262" t="s">
        <v>133</v>
      </c>
      <c r="H262" t="s">
        <v>75</v>
      </c>
      <c r="I262">
        <v>20</v>
      </c>
      <c r="J262">
        <v>10.973885648639106</v>
      </c>
      <c r="K262">
        <v>46228</v>
      </c>
      <c r="L262" t="s">
        <v>221</v>
      </c>
      <c r="M262">
        <v>10.45</v>
      </c>
      <c r="N262">
        <v>10.45</v>
      </c>
      <c r="O262">
        <v>12.246323529411764</v>
      </c>
      <c r="P262">
        <v>0.95226069731243512</v>
      </c>
      <c r="Q262">
        <v>0.95226069731243512</v>
      </c>
      <c r="R262">
        <v>1.1159514434096967</v>
      </c>
      <c r="S262">
        <v>0.11595144340969665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4.7739302687564877E-2</v>
      </c>
      <c r="AC262">
        <v>0</v>
      </c>
      <c r="AD262">
        <v>0</v>
      </c>
      <c r="AE262">
        <v>0</v>
      </c>
      <c r="AF262">
        <v>0</v>
      </c>
      <c r="AG262">
        <v>0.95226069731243512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1.0501325979558953</v>
      </c>
      <c r="AN262">
        <v>1.0501325979558953</v>
      </c>
      <c r="AO262">
        <v>1.171896988460456</v>
      </c>
      <c r="AP262">
        <v>0.12176439050456067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5.0132597955895308E-2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0.85331732212548783</v>
      </c>
      <c r="BK262">
        <v>0.85331732212548783</v>
      </c>
      <c r="BL262">
        <v>0.89609633636440611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0.10390366363559389</v>
      </c>
      <c r="BX262">
        <v>0</v>
      </c>
      <c r="BY262">
        <v>0</v>
      </c>
      <c r="BZ262">
        <v>0</v>
      </c>
      <c r="CA262">
        <v>0.85331732212548783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hidden="1" x14ac:dyDescent="0.25">
      <c r="A263" t="s">
        <v>128</v>
      </c>
      <c r="B263" t="s">
        <v>372</v>
      </c>
      <c r="C263" t="s">
        <v>109</v>
      </c>
      <c r="D263" s="12">
        <v>46248</v>
      </c>
      <c r="E263" t="s">
        <v>134</v>
      </c>
      <c r="F263" t="s">
        <v>134</v>
      </c>
      <c r="G263" t="s">
        <v>134</v>
      </c>
      <c r="J263">
        <v>8.0903935340172772</v>
      </c>
      <c r="M263">
        <v>0</v>
      </c>
      <c r="N263">
        <v>0</v>
      </c>
      <c r="O263">
        <v>6.7054606401384076</v>
      </c>
      <c r="S263">
        <v>5.0080802286865234E-2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0.50079818672959664</v>
      </c>
      <c r="AC263">
        <v>0.22126319138273684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0.27793862188766649</v>
      </c>
      <c r="AL263">
        <v>0</v>
      </c>
    </row>
    <row r="264" spans="1:84" hidden="1" x14ac:dyDescent="0.25">
      <c r="A264" t="s">
        <v>128</v>
      </c>
      <c r="B264" t="s">
        <v>372</v>
      </c>
      <c r="C264" t="s">
        <v>72</v>
      </c>
      <c r="D264" s="12">
        <v>46239</v>
      </c>
      <c r="E264" t="s">
        <v>133</v>
      </c>
      <c r="F264" t="s">
        <v>133</v>
      </c>
      <c r="G264" t="s">
        <v>133</v>
      </c>
      <c r="H264" t="s">
        <v>74</v>
      </c>
      <c r="I264">
        <v>20</v>
      </c>
      <c r="J264">
        <v>4.2207252494765797</v>
      </c>
      <c r="K264">
        <v>46239</v>
      </c>
      <c r="L264" t="s">
        <v>176</v>
      </c>
      <c r="M264">
        <v>3.8</v>
      </c>
      <c r="N264">
        <v>3.8</v>
      </c>
      <c r="O264">
        <v>4.6875</v>
      </c>
      <c r="P264">
        <v>0.90031920473175675</v>
      </c>
      <c r="Q264">
        <v>0.90031920473175675</v>
      </c>
      <c r="R264">
        <v>1.1105911242579236</v>
      </c>
      <c r="S264">
        <v>0.11059112425792361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9.968079526824325E-2</v>
      </c>
      <c r="AC264">
        <v>0</v>
      </c>
      <c r="AD264">
        <v>0</v>
      </c>
      <c r="AE264">
        <v>0</v>
      </c>
      <c r="AF264">
        <v>0</v>
      </c>
      <c r="AG264">
        <v>0.90031920473175675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1.1107171709148895</v>
      </c>
      <c r="AN264">
        <v>1.1107171709148895</v>
      </c>
      <c r="AO264">
        <v>1.2335526315789473</v>
      </c>
      <c r="AP264">
        <v>0.12283546066405782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0.11071717091488953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0.81066666666666665</v>
      </c>
      <c r="BK264">
        <v>0.81066666666666665</v>
      </c>
      <c r="BL264">
        <v>0.9004213865550037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9.95786134449963E-2</v>
      </c>
      <c r="BX264">
        <v>0</v>
      </c>
      <c r="BY264">
        <v>0</v>
      </c>
      <c r="BZ264">
        <v>0</v>
      </c>
      <c r="CA264">
        <v>0.81066666666666665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hidden="1" x14ac:dyDescent="0.25">
      <c r="A265" t="s">
        <v>128</v>
      </c>
      <c r="B265" t="s">
        <v>372</v>
      </c>
      <c r="C265" t="s">
        <v>109</v>
      </c>
      <c r="D265" s="12">
        <v>46249</v>
      </c>
      <c r="E265" t="s">
        <v>133</v>
      </c>
      <c r="F265" t="s">
        <v>133</v>
      </c>
      <c r="G265" t="s">
        <v>133</v>
      </c>
      <c r="J265">
        <v>26.221255612373248</v>
      </c>
      <c r="M265">
        <v>25.65</v>
      </c>
      <c r="N265">
        <v>25.65</v>
      </c>
      <c r="O265">
        <v>29.18359375</v>
      </c>
      <c r="S265">
        <v>9.2938708699875444E-2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2.0035977997770245E-2</v>
      </c>
      <c r="Z265">
        <v>0</v>
      </c>
      <c r="AA265">
        <v>1.4897265248261396E-4</v>
      </c>
      <c r="AB265">
        <v>4.197092538838431E-2</v>
      </c>
      <c r="AC265">
        <v>0</v>
      </c>
      <c r="AD265">
        <v>0</v>
      </c>
      <c r="AE265">
        <v>0</v>
      </c>
      <c r="AF265">
        <v>0</v>
      </c>
      <c r="AG265">
        <v>0.95802907461161568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84" hidden="1" x14ac:dyDescent="0.25">
      <c r="A266" t="s">
        <v>128</v>
      </c>
      <c r="B266" t="s">
        <v>372</v>
      </c>
      <c r="C266" t="s">
        <v>72</v>
      </c>
      <c r="D266" s="12">
        <v>46229</v>
      </c>
      <c r="E266" t="s">
        <v>133</v>
      </c>
      <c r="F266" t="s">
        <v>133</v>
      </c>
      <c r="G266" t="s">
        <v>133</v>
      </c>
      <c r="H266" t="s">
        <v>73</v>
      </c>
      <c r="I266">
        <v>20</v>
      </c>
      <c r="J266">
        <v>10.973885648639108</v>
      </c>
      <c r="K266">
        <v>46229</v>
      </c>
      <c r="L266" t="s">
        <v>220</v>
      </c>
      <c r="M266">
        <v>10.45</v>
      </c>
      <c r="N266">
        <v>10.45</v>
      </c>
      <c r="O266">
        <v>11.9375</v>
      </c>
      <c r="P266">
        <v>0.9522606973124349</v>
      </c>
      <c r="Q266">
        <v>0.9522606973124349</v>
      </c>
      <c r="R266">
        <v>1.0878097678628893</v>
      </c>
      <c r="S266">
        <v>8.7809767862889299E-2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4.7739302687565099E-2</v>
      </c>
      <c r="AC266">
        <v>0</v>
      </c>
      <c r="AD266">
        <v>0</v>
      </c>
      <c r="AE266">
        <v>0</v>
      </c>
      <c r="AF266">
        <v>0</v>
      </c>
      <c r="AG266">
        <v>0.9522606973124349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1.0501325979558955</v>
      </c>
      <c r="AN266">
        <v>1.0501325979558955</v>
      </c>
      <c r="AO266">
        <v>1.1423444976076556</v>
      </c>
      <c r="AP266">
        <v>9.2211899651760021E-2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5.013259795589553E-2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0.87539267015706801</v>
      </c>
      <c r="BK266">
        <v>0.87539267015706801</v>
      </c>
      <c r="BL266">
        <v>0.91927837894359021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8.0721621056409787E-2</v>
      </c>
      <c r="BX266">
        <v>0</v>
      </c>
      <c r="BY266">
        <v>0</v>
      </c>
      <c r="BZ266">
        <v>0</v>
      </c>
      <c r="CA266">
        <v>0.87539267015706801</v>
      </c>
      <c r="CB266">
        <v>0</v>
      </c>
      <c r="CC266">
        <v>0</v>
      </c>
      <c r="CD266">
        <v>0</v>
      </c>
      <c r="CE266">
        <v>0</v>
      </c>
      <c r="CF266">
        <v>0</v>
      </c>
    </row>
    <row r="267" spans="1:84" hidden="1" x14ac:dyDescent="0.25">
      <c r="A267" t="s">
        <v>128</v>
      </c>
      <c r="B267" t="s">
        <v>372</v>
      </c>
      <c r="C267" t="s">
        <v>72</v>
      </c>
      <c r="D267" s="12">
        <v>46240</v>
      </c>
      <c r="E267" t="s">
        <v>133</v>
      </c>
      <c r="F267" t="s">
        <v>133</v>
      </c>
      <c r="G267" t="s">
        <v>133</v>
      </c>
      <c r="H267" t="s">
        <v>73</v>
      </c>
      <c r="I267">
        <v>20</v>
      </c>
      <c r="J267">
        <v>11.738892100106735</v>
      </c>
      <c r="K267">
        <v>46240</v>
      </c>
      <c r="L267" t="s">
        <v>191</v>
      </c>
      <c r="M267">
        <v>23.75</v>
      </c>
      <c r="N267">
        <v>23.75</v>
      </c>
      <c r="O267">
        <v>12.6796875</v>
      </c>
      <c r="P267">
        <v>2.0231892241163076</v>
      </c>
      <c r="Q267">
        <v>2.0231892241163076</v>
      </c>
      <c r="R267">
        <v>1.0801434574805155</v>
      </c>
      <c r="S267">
        <v>0</v>
      </c>
      <c r="T267">
        <v>0</v>
      </c>
      <c r="U267">
        <v>0.77318922411630764</v>
      </c>
      <c r="V267">
        <v>0</v>
      </c>
      <c r="W267">
        <v>0</v>
      </c>
      <c r="X267">
        <v>0</v>
      </c>
      <c r="Y267">
        <v>8.0143457480515545E-2</v>
      </c>
      <c r="Z267">
        <v>0</v>
      </c>
      <c r="AA267">
        <v>0.16985654251948445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0.49426914105712572</v>
      </c>
      <c r="AN267">
        <v>0.49426914105712572</v>
      </c>
      <c r="AO267">
        <v>0.53388157894736843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0.46611842105263157</v>
      </c>
      <c r="BA267">
        <v>0</v>
      </c>
      <c r="BB267">
        <v>0</v>
      </c>
      <c r="BC267">
        <v>0</v>
      </c>
      <c r="BD267">
        <v>0.49426914105712572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1.8730745532963649</v>
      </c>
      <c r="BK267">
        <v>1.8730745532963649</v>
      </c>
      <c r="BL267">
        <v>0.92580295059375362</v>
      </c>
      <c r="CC267">
        <v>0</v>
      </c>
      <c r="CD267">
        <v>0</v>
      </c>
      <c r="CE267">
        <v>0</v>
      </c>
    </row>
    <row r="268" spans="1:84" hidden="1" x14ac:dyDescent="0.25">
      <c r="A268" t="s">
        <v>128</v>
      </c>
      <c r="B268" t="s">
        <v>372</v>
      </c>
      <c r="C268" t="s">
        <v>72</v>
      </c>
      <c r="D268" s="12">
        <v>46239</v>
      </c>
      <c r="E268" t="s">
        <v>133</v>
      </c>
      <c r="F268" t="s">
        <v>133</v>
      </c>
      <c r="G268" t="s">
        <v>133</v>
      </c>
      <c r="H268" t="s">
        <v>73</v>
      </c>
      <c r="I268">
        <v>20</v>
      </c>
      <c r="J268">
        <v>12.583037150002053</v>
      </c>
      <c r="K268">
        <v>46239</v>
      </c>
      <c r="L268" t="s">
        <v>177</v>
      </c>
      <c r="M268">
        <v>22.799999999999997</v>
      </c>
      <c r="N268">
        <v>22.799999999999997</v>
      </c>
      <c r="O268">
        <v>13.676011029411764</v>
      </c>
      <c r="P268">
        <v>1.8119631793343531</v>
      </c>
      <c r="Q268">
        <v>1.8119631793343531</v>
      </c>
      <c r="R268">
        <v>1.0868608958537116</v>
      </c>
      <c r="S268">
        <v>0</v>
      </c>
      <c r="T268">
        <v>0</v>
      </c>
      <c r="U268">
        <v>0.56196317933435314</v>
      </c>
      <c r="V268">
        <v>0</v>
      </c>
      <c r="W268">
        <v>0</v>
      </c>
      <c r="X268">
        <v>0</v>
      </c>
      <c r="Y268">
        <v>8.6860895853711595E-2</v>
      </c>
      <c r="Z268">
        <v>0</v>
      </c>
      <c r="AA268">
        <v>0.16313910414628841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0.55188759429833567</v>
      </c>
      <c r="AN268">
        <v>0.55188759429833567</v>
      </c>
      <c r="AO268">
        <v>0.59982504514963886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0.40017495485036114</v>
      </c>
      <c r="BA268">
        <v>0</v>
      </c>
      <c r="BB268">
        <v>0</v>
      </c>
      <c r="BC268">
        <v>0</v>
      </c>
      <c r="BD268">
        <v>0.55188759429833567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1.6671527941127051</v>
      </c>
      <c r="BK268">
        <v>1.6671527941127051</v>
      </c>
      <c r="BL268">
        <v>0.92008094487060943</v>
      </c>
      <c r="CC268">
        <v>0</v>
      </c>
      <c r="CD268">
        <v>0</v>
      </c>
      <c r="CE268">
        <v>0</v>
      </c>
    </row>
    <row r="269" spans="1:84" hidden="1" x14ac:dyDescent="0.25">
      <c r="A269" t="s">
        <v>128</v>
      </c>
      <c r="B269" t="s">
        <v>372</v>
      </c>
      <c r="C269" t="s">
        <v>109</v>
      </c>
      <c r="D269" s="12">
        <v>46247</v>
      </c>
      <c r="E269" t="s">
        <v>133</v>
      </c>
      <c r="F269" t="s">
        <v>133</v>
      </c>
      <c r="G269" t="s">
        <v>133</v>
      </c>
      <c r="J269">
        <v>26.089357948327105</v>
      </c>
      <c r="M269">
        <v>27.549999999999997</v>
      </c>
      <c r="N269">
        <v>27.549999999999997</v>
      </c>
      <c r="O269">
        <v>28.96875</v>
      </c>
      <c r="S269">
        <v>4.5957549134146528E-2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6.4408986423219516E-2</v>
      </c>
      <c r="Z269">
        <v>0</v>
      </c>
      <c r="AA269">
        <v>8.6242061014164088E-3</v>
      </c>
      <c r="AB269">
        <v>1.7047067662312398E-2</v>
      </c>
      <c r="AC269">
        <v>0</v>
      </c>
      <c r="AD269">
        <v>0</v>
      </c>
      <c r="AE269">
        <v>0</v>
      </c>
      <c r="AF269">
        <v>0</v>
      </c>
      <c r="AG269">
        <v>0.98295293233768766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84" hidden="1" x14ac:dyDescent="0.25">
      <c r="A270" t="s">
        <v>128</v>
      </c>
      <c r="B270" t="s">
        <v>372</v>
      </c>
      <c r="C270" t="s">
        <v>109</v>
      </c>
      <c r="D270" s="12">
        <v>46246</v>
      </c>
      <c r="E270" t="s">
        <v>134</v>
      </c>
      <c r="F270" t="s">
        <v>134</v>
      </c>
      <c r="G270" t="s">
        <v>134</v>
      </c>
      <c r="J270">
        <v>9.355249500539955</v>
      </c>
      <c r="M270">
        <v>0</v>
      </c>
      <c r="N270">
        <v>0</v>
      </c>
      <c r="O270">
        <v>7.774762110726642</v>
      </c>
      <c r="S270">
        <v>3.1677388141404798E-2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0.55902083760169718</v>
      </c>
      <c r="AC270">
        <v>0.20061862158708602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0.24036054081121686</v>
      </c>
      <c r="AL270">
        <v>0</v>
      </c>
    </row>
    <row r="271" spans="1:84" hidden="1" x14ac:dyDescent="0.25">
      <c r="A271" t="s">
        <v>128</v>
      </c>
      <c r="B271" t="s">
        <v>372</v>
      </c>
      <c r="C271" t="s">
        <v>117</v>
      </c>
      <c r="D271" s="12">
        <v>46239</v>
      </c>
      <c r="J271">
        <v>44.199014950339183</v>
      </c>
      <c r="M271">
        <v>49.4</v>
      </c>
      <c r="N271">
        <v>49.4</v>
      </c>
      <c r="O271">
        <v>45.365268166089962</v>
      </c>
      <c r="S271">
        <v>5.6942728003301517E-2</v>
      </c>
      <c r="T271">
        <v>0</v>
      </c>
      <c r="U271">
        <v>0.29495415224923516</v>
      </c>
      <c r="V271">
        <v>0</v>
      </c>
      <c r="W271">
        <v>0</v>
      </c>
      <c r="X271">
        <v>0</v>
      </c>
      <c r="Y271">
        <v>2.8735104190321166E-2</v>
      </c>
      <c r="Z271">
        <v>0</v>
      </c>
      <c r="AA271">
        <v>6.2729907135304838E-2</v>
      </c>
      <c r="AB271">
        <v>0.20945577131969989</v>
      </c>
      <c r="AC271">
        <v>5.9291424780218809E-2</v>
      </c>
      <c r="AD271">
        <v>0</v>
      </c>
      <c r="AE271">
        <v>0</v>
      </c>
      <c r="AF271">
        <v>0</v>
      </c>
      <c r="AG271">
        <v>0.73125280390008141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84" hidden="1" x14ac:dyDescent="0.25">
      <c r="A272" t="s">
        <v>128</v>
      </c>
      <c r="B272" t="s">
        <v>372</v>
      </c>
      <c r="C272" t="s">
        <v>72</v>
      </c>
      <c r="D272" s="12">
        <v>46243</v>
      </c>
      <c r="E272" t="s">
        <v>133</v>
      </c>
      <c r="F272" t="s">
        <v>133</v>
      </c>
      <c r="G272" t="s">
        <v>133</v>
      </c>
      <c r="H272" t="s">
        <v>73</v>
      </c>
      <c r="I272">
        <v>20</v>
      </c>
      <c r="J272">
        <v>10.973885648639106</v>
      </c>
      <c r="K272">
        <v>46243</v>
      </c>
      <c r="L272" t="s">
        <v>203</v>
      </c>
      <c r="M272">
        <v>10.45</v>
      </c>
      <c r="N272">
        <v>10.45</v>
      </c>
      <c r="O272">
        <v>12.1875</v>
      </c>
      <c r="P272">
        <v>0.95226069731243512</v>
      </c>
      <c r="Q272">
        <v>0.95226069731243512</v>
      </c>
      <c r="R272">
        <v>1.1105911242579238</v>
      </c>
      <c r="S272">
        <v>0.11059112425792383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4.7739302687564877E-2</v>
      </c>
      <c r="AC272">
        <v>0</v>
      </c>
      <c r="AD272">
        <v>0</v>
      </c>
      <c r="AE272">
        <v>0</v>
      </c>
      <c r="AF272">
        <v>0</v>
      </c>
      <c r="AG272">
        <v>0.95226069731243512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1.0501325979558953</v>
      </c>
      <c r="AN272">
        <v>1.0501325979558953</v>
      </c>
      <c r="AO272">
        <v>1.1662679425837321</v>
      </c>
      <c r="AP272">
        <v>0.11613534462783681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5.0132597955895308E-2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0.85743589743589743</v>
      </c>
      <c r="BK272">
        <v>0.85743589743589743</v>
      </c>
      <c r="BL272">
        <v>0.90042138655500359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9.9578613444996411E-2</v>
      </c>
      <c r="BX272">
        <v>0</v>
      </c>
      <c r="BY272">
        <v>0</v>
      </c>
      <c r="BZ272">
        <v>0</v>
      </c>
      <c r="CA272">
        <v>0.85743589743589743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hidden="1" x14ac:dyDescent="0.25">
      <c r="A273" t="s">
        <v>128</v>
      </c>
      <c r="B273" t="s">
        <v>372</v>
      </c>
      <c r="C273" t="s">
        <v>109</v>
      </c>
      <c r="D273" s="12">
        <v>46245</v>
      </c>
      <c r="E273" t="s">
        <v>133</v>
      </c>
      <c r="F273" t="s">
        <v>133</v>
      </c>
      <c r="G273" t="s">
        <v>133</v>
      </c>
      <c r="J273">
        <v>26.933502998222423</v>
      </c>
      <c r="M273">
        <v>37.049999999999997</v>
      </c>
      <c r="N273">
        <v>37.049999999999997</v>
      </c>
      <c r="O273">
        <v>29.90625</v>
      </c>
      <c r="S273">
        <v>7.5443272344426188E-2</v>
      </c>
      <c r="T273">
        <v>0</v>
      </c>
      <c r="U273">
        <v>0.30172031003181832</v>
      </c>
      <c r="V273">
        <v>0</v>
      </c>
      <c r="W273">
        <v>0</v>
      </c>
      <c r="X273">
        <v>0</v>
      </c>
      <c r="Y273">
        <v>3.4930302231958289E-2</v>
      </c>
      <c r="Z273">
        <v>0</v>
      </c>
      <c r="AA273">
        <v>7.4031499922791941E-2</v>
      </c>
      <c r="AB273">
        <v>3.5071965877518027E-2</v>
      </c>
      <c r="AC273">
        <v>0</v>
      </c>
      <c r="AD273">
        <v>0</v>
      </c>
      <c r="AE273">
        <v>0</v>
      </c>
      <c r="AF273">
        <v>0</v>
      </c>
      <c r="AG273">
        <v>0.96492803412248196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84" hidden="1" x14ac:dyDescent="0.25">
      <c r="A274" t="s">
        <v>128</v>
      </c>
      <c r="B274" t="s">
        <v>372</v>
      </c>
      <c r="C274" t="s">
        <v>72</v>
      </c>
      <c r="D274" s="12">
        <v>46226</v>
      </c>
      <c r="E274" t="s">
        <v>133</v>
      </c>
      <c r="F274" t="s">
        <v>133</v>
      </c>
      <c r="G274" t="s">
        <v>133</v>
      </c>
      <c r="H274" t="s">
        <v>75</v>
      </c>
      <c r="I274">
        <v>20</v>
      </c>
      <c r="J274">
        <v>10.973885648639106</v>
      </c>
      <c r="K274">
        <v>46226</v>
      </c>
      <c r="L274" t="s">
        <v>227</v>
      </c>
      <c r="M274">
        <v>14.25</v>
      </c>
      <c r="N274">
        <v>14.25</v>
      </c>
      <c r="O274">
        <v>11.25</v>
      </c>
      <c r="P274">
        <v>1.298537314516957</v>
      </c>
      <c r="Q274">
        <v>1.298537314516957</v>
      </c>
      <c r="R274">
        <v>1.025161037776545</v>
      </c>
      <c r="S274">
        <v>0</v>
      </c>
      <c r="T274">
        <v>0</v>
      </c>
      <c r="U274">
        <v>4.8537314516956975E-2</v>
      </c>
      <c r="V274">
        <v>0</v>
      </c>
      <c r="W274">
        <v>0</v>
      </c>
      <c r="X274">
        <v>0</v>
      </c>
      <c r="Y274">
        <v>2.5161037776544992E-2</v>
      </c>
      <c r="Z274">
        <v>0</v>
      </c>
      <c r="AA274">
        <v>0.22483896222345501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0.77009723850098988</v>
      </c>
      <c r="AN274">
        <v>0.77009723850098988</v>
      </c>
      <c r="AO274">
        <v>0.78947368421052633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0.21052631578947367</v>
      </c>
      <c r="BA274">
        <v>0</v>
      </c>
      <c r="BB274">
        <v>0</v>
      </c>
      <c r="BC274">
        <v>0</v>
      </c>
      <c r="BD274">
        <v>0.77009723850098988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1.2666666666666666</v>
      </c>
      <c r="BK274">
        <v>1.2666666666666666</v>
      </c>
      <c r="BL274">
        <v>0.9754565021012539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0.26666666666666661</v>
      </c>
      <c r="BV274">
        <v>0</v>
      </c>
      <c r="BW274">
        <v>0</v>
      </c>
      <c r="BX274">
        <v>0</v>
      </c>
      <c r="BY274">
        <v>2.4543497898746103E-2</v>
      </c>
      <c r="BZ274">
        <v>0</v>
      </c>
      <c r="CA274">
        <v>0.9754565021012539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 spans="1:84" hidden="1" x14ac:dyDescent="0.25">
      <c r="A275" t="s">
        <v>128</v>
      </c>
      <c r="B275" t="s">
        <v>372</v>
      </c>
      <c r="C275" t="s">
        <v>109</v>
      </c>
      <c r="D275" s="12">
        <v>46245</v>
      </c>
      <c r="E275" t="s">
        <v>501</v>
      </c>
      <c r="F275" t="s">
        <v>501</v>
      </c>
      <c r="G275" t="s">
        <v>501</v>
      </c>
      <c r="J275">
        <v>6.7655742969551049</v>
      </c>
      <c r="M275">
        <v>11.399999999999999</v>
      </c>
      <c r="N275">
        <v>11.399999999999999</v>
      </c>
      <c r="O275">
        <v>7.5155709342560542</v>
      </c>
      <c r="S275">
        <v>8.4679761370877668E-2</v>
      </c>
      <c r="T275">
        <v>0</v>
      </c>
      <c r="U275">
        <v>0.60090677361430078</v>
      </c>
      <c r="V275">
        <v>0</v>
      </c>
      <c r="W275">
        <v>0</v>
      </c>
      <c r="X275">
        <v>0</v>
      </c>
      <c r="Y275">
        <v>2.6175075836141121E-2</v>
      </c>
      <c r="Z275">
        <v>0</v>
      </c>
      <c r="AA275">
        <v>0.10639373150330843</v>
      </c>
      <c r="AB275">
        <v>4.8474500538352373E-2</v>
      </c>
      <c r="AC275">
        <v>0</v>
      </c>
      <c r="AD275">
        <v>0</v>
      </c>
      <c r="AE275">
        <v>0</v>
      </c>
      <c r="AF275">
        <v>0</v>
      </c>
      <c r="AG275">
        <v>0.95152549946164766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84" x14ac:dyDescent="0.25">
      <c r="A276" t="s">
        <v>128</v>
      </c>
      <c r="B276" t="s">
        <v>372</v>
      </c>
      <c r="C276" t="s">
        <v>72</v>
      </c>
      <c r="D276" s="12">
        <v>46227</v>
      </c>
      <c r="E276" t="s">
        <v>133</v>
      </c>
      <c r="F276" t="s">
        <v>133</v>
      </c>
      <c r="G276" t="s">
        <v>133</v>
      </c>
      <c r="H276" t="s">
        <v>73</v>
      </c>
      <c r="I276">
        <v>20</v>
      </c>
      <c r="J276">
        <v>10.973885648639106</v>
      </c>
      <c r="K276">
        <v>46227</v>
      </c>
      <c r="L276" t="s">
        <v>226</v>
      </c>
      <c r="M276">
        <v>19</v>
      </c>
      <c r="N276">
        <v>19</v>
      </c>
      <c r="O276">
        <v>11.442708333333334</v>
      </c>
      <c r="P276">
        <v>1.7313830860226094</v>
      </c>
      <c r="Q276">
        <v>1.7313830860226094</v>
      </c>
      <c r="R276">
        <v>1.0427216666643842</v>
      </c>
      <c r="S276">
        <v>0</v>
      </c>
      <c r="T276">
        <v>0</v>
      </c>
      <c r="U276">
        <v>0.48138308602260937</v>
      </c>
      <c r="V276">
        <v>0</v>
      </c>
      <c r="W276">
        <v>0</v>
      </c>
      <c r="X276">
        <v>0</v>
      </c>
      <c r="Y276">
        <v>4.272166666438415E-2</v>
      </c>
      <c r="Z276">
        <v>0</v>
      </c>
      <c r="AA276">
        <v>0.20727833333561585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0.57757292887574241</v>
      </c>
      <c r="AN276">
        <v>0.57757292887574241</v>
      </c>
      <c r="AO276">
        <v>0.60224780701754388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0.39775219298245612</v>
      </c>
      <c r="BA276">
        <v>0</v>
      </c>
      <c r="BB276">
        <v>0</v>
      </c>
      <c r="BC276">
        <v>0</v>
      </c>
      <c r="BD276">
        <v>0.57757292887574241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1.6604460628129267</v>
      </c>
      <c r="BK276">
        <v>1.6604460628129267</v>
      </c>
      <c r="BL276">
        <v>0.95902869573905702</v>
      </c>
      <c r="CC276">
        <v>0</v>
      </c>
      <c r="CD276">
        <v>0</v>
      </c>
      <c r="CE276">
        <v>0</v>
      </c>
    </row>
    <row r="277" spans="1:84" hidden="1" x14ac:dyDescent="0.25">
      <c r="A277" t="s">
        <v>128</v>
      </c>
      <c r="B277" t="s">
        <v>372</v>
      </c>
      <c r="C277" t="s">
        <v>117</v>
      </c>
      <c r="D277" s="12">
        <v>46238</v>
      </c>
      <c r="J277">
        <v>45.494516376417593</v>
      </c>
      <c r="M277">
        <v>38</v>
      </c>
      <c r="N277">
        <v>38</v>
      </c>
      <c r="O277">
        <v>48.137351018838906</v>
      </c>
      <c r="S277">
        <v>5.2349997621245974E-2</v>
      </c>
      <c r="T277">
        <v>0</v>
      </c>
      <c r="U277">
        <v>2.6717053377914041E-2</v>
      </c>
      <c r="V277">
        <v>0</v>
      </c>
      <c r="W277">
        <v>0</v>
      </c>
      <c r="X277">
        <v>0</v>
      </c>
      <c r="Y277">
        <v>4.6995423801141557E-2</v>
      </c>
      <c r="Z277">
        <v>0</v>
      </c>
      <c r="AA277">
        <v>1.460086165471782E-2</v>
      </c>
      <c r="AB277">
        <v>0.13765400781424617</v>
      </c>
      <c r="AC277">
        <v>4.1254142452528036E-2</v>
      </c>
      <c r="AD277">
        <v>0</v>
      </c>
      <c r="AE277">
        <v>0</v>
      </c>
      <c r="AF277">
        <v>0</v>
      </c>
      <c r="AG277">
        <v>0.74695216186067015</v>
      </c>
      <c r="AH277">
        <v>0</v>
      </c>
      <c r="AI277">
        <v>0</v>
      </c>
      <c r="AJ277">
        <v>0</v>
      </c>
      <c r="AK277">
        <v>7.4139687872555718E-2</v>
      </c>
      <c r="AL277">
        <v>0</v>
      </c>
    </row>
    <row r="278" spans="1:84" hidden="1" x14ac:dyDescent="0.25">
      <c r="A278" t="s">
        <v>128</v>
      </c>
      <c r="B278" t="s">
        <v>372</v>
      </c>
      <c r="C278" t="s">
        <v>72</v>
      </c>
      <c r="D278" s="12">
        <v>46242</v>
      </c>
      <c r="E278" t="s">
        <v>133</v>
      </c>
      <c r="F278" t="s">
        <v>133</v>
      </c>
      <c r="G278" t="s">
        <v>133</v>
      </c>
      <c r="H278" t="s">
        <v>75</v>
      </c>
      <c r="I278">
        <v>20</v>
      </c>
      <c r="J278">
        <v>10.973885648639106</v>
      </c>
      <c r="K278">
        <v>46242</v>
      </c>
      <c r="L278" t="s">
        <v>204</v>
      </c>
      <c r="M278">
        <v>10.45</v>
      </c>
      <c r="N278">
        <v>10.45</v>
      </c>
      <c r="O278">
        <v>12.246323529411764</v>
      </c>
      <c r="P278">
        <v>0.95226069731243512</v>
      </c>
      <c r="Q278">
        <v>0.95226069731243512</v>
      </c>
      <c r="R278">
        <v>1.1159514434096967</v>
      </c>
      <c r="S278">
        <v>0.11595144340969665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4.7739302687564877E-2</v>
      </c>
      <c r="AC278">
        <v>0</v>
      </c>
      <c r="AD278">
        <v>0</v>
      </c>
      <c r="AE278">
        <v>0</v>
      </c>
      <c r="AF278">
        <v>0</v>
      </c>
      <c r="AG278">
        <v>0.95226069731243512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1.0501325979558953</v>
      </c>
      <c r="AN278">
        <v>1.0501325979558953</v>
      </c>
      <c r="AO278">
        <v>1.171896988460456</v>
      </c>
      <c r="AP278">
        <v>0.12176439050456067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5.0132597955895308E-2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0.85331732212548783</v>
      </c>
      <c r="BK278">
        <v>0.85331732212548783</v>
      </c>
      <c r="BL278">
        <v>0.89609633636440611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0.10390366363559389</v>
      </c>
      <c r="BX278">
        <v>0</v>
      </c>
      <c r="BY278">
        <v>0</v>
      </c>
      <c r="BZ278">
        <v>0</v>
      </c>
      <c r="CA278">
        <v>0.85331732212548783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 spans="1:84" hidden="1" x14ac:dyDescent="0.25">
      <c r="A279" t="s">
        <v>128</v>
      </c>
      <c r="B279" t="s">
        <v>372</v>
      </c>
      <c r="C279" t="s">
        <v>117</v>
      </c>
      <c r="D279" s="12">
        <v>46236</v>
      </c>
      <c r="J279">
        <v>39.970417738958275</v>
      </c>
      <c r="M279">
        <v>51.300000000000004</v>
      </c>
      <c r="N279">
        <v>51.300000000000004</v>
      </c>
      <c r="O279">
        <v>41.633650519031136</v>
      </c>
      <c r="S279">
        <v>1.4419849909494084E-2</v>
      </c>
      <c r="T279">
        <v>0</v>
      </c>
      <c r="U279">
        <v>0.14505006936827933</v>
      </c>
      <c r="V279">
        <v>0</v>
      </c>
      <c r="W279">
        <v>0</v>
      </c>
      <c r="X279">
        <v>0</v>
      </c>
      <c r="Y279">
        <v>5.48509754707397E-2</v>
      </c>
      <c r="Z279">
        <v>0</v>
      </c>
      <c r="AA279">
        <v>0.13235463189737093</v>
      </c>
      <c r="AB279">
        <v>5.9233236628273199E-2</v>
      </c>
      <c r="AC279">
        <v>1.3340834355846255E-2</v>
      </c>
      <c r="AD279">
        <v>0</v>
      </c>
      <c r="AE279">
        <v>1.4318397396939702E-2</v>
      </c>
      <c r="AF279">
        <v>0</v>
      </c>
      <c r="AG279">
        <v>0.91310753161894087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84" hidden="1" x14ac:dyDescent="0.25">
      <c r="A280" t="s">
        <v>128</v>
      </c>
      <c r="B280" t="s">
        <v>372</v>
      </c>
      <c r="C280" t="s">
        <v>109</v>
      </c>
      <c r="D280" s="12">
        <v>46245</v>
      </c>
      <c r="E280" t="s">
        <v>134</v>
      </c>
      <c r="F280" t="s">
        <v>134</v>
      </c>
      <c r="G280" t="s">
        <v>134</v>
      </c>
      <c r="J280">
        <v>11.674152105831531</v>
      </c>
      <c r="M280">
        <v>0</v>
      </c>
      <c r="N280">
        <v>0</v>
      </c>
      <c r="O280">
        <v>9.712478373702421</v>
      </c>
      <c r="S280">
        <v>1.4439870729866399E-2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0.52859992112578291</v>
      </c>
      <c r="AC280">
        <v>0.18247552028673711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0.28892455858748001</v>
      </c>
      <c r="AL280">
        <v>0</v>
      </c>
    </row>
    <row r="281" spans="1:84" hidden="1" x14ac:dyDescent="0.25">
      <c r="A281" t="s">
        <v>128</v>
      </c>
      <c r="B281" t="s">
        <v>372</v>
      </c>
      <c r="C281" t="s">
        <v>117</v>
      </c>
      <c r="D281" s="12">
        <v>46237</v>
      </c>
      <c r="J281">
        <v>44.310540874450453</v>
      </c>
      <c r="M281">
        <v>37.050000000000004</v>
      </c>
      <c r="N281">
        <v>37.050000000000004</v>
      </c>
      <c r="O281">
        <v>46.294009515570927</v>
      </c>
      <c r="S281">
        <v>8.3122805714790596E-2</v>
      </c>
      <c r="T281">
        <v>0</v>
      </c>
      <c r="U281">
        <v>9.1749713323298593E-2</v>
      </c>
      <c r="V281">
        <v>0</v>
      </c>
      <c r="W281">
        <v>0</v>
      </c>
      <c r="X281">
        <v>0</v>
      </c>
      <c r="Y281">
        <v>3.9965528924508775E-3</v>
      </c>
      <c r="Z281">
        <v>0</v>
      </c>
      <c r="AA281">
        <v>1.6244773388242977E-2</v>
      </c>
      <c r="AB281">
        <v>0.1573697312495233</v>
      </c>
      <c r="AC281">
        <v>4.2356451136975136E-2</v>
      </c>
      <c r="AD281">
        <v>0</v>
      </c>
      <c r="AE281">
        <v>0</v>
      </c>
      <c r="AF281">
        <v>0</v>
      </c>
      <c r="AG281">
        <v>0.72415312087866823</v>
      </c>
      <c r="AH281">
        <v>0</v>
      </c>
      <c r="AI281">
        <v>0</v>
      </c>
      <c r="AJ281">
        <v>0</v>
      </c>
      <c r="AK281">
        <v>7.6120696734833238E-2</v>
      </c>
      <c r="AL281">
        <v>0</v>
      </c>
    </row>
    <row r="282" spans="1:84" hidden="1" x14ac:dyDescent="0.25">
      <c r="A282" t="s">
        <v>128</v>
      </c>
      <c r="B282" t="s">
        <v>372</v>
      </c>
      <c r="C282" t="s">
        <v>109</v>
      </c>
      <c r="D282" s="12">
        <v>46246</v>
      </c>
      <c r="E282" t="s">
        <v>133</v>
      </c>
      <c r="F282" t="s">
        <v>133</v>
      </c>
      <c r="G282" t="s">
        <v>133</v>
      </c>
      <c r="J282">
        <v>27.619370851262367</v>
      </c>
      <c r="M282">
        <v>32.299999999999997</v>
      </c>
      <c r="N282">
        <v>32.299999999999997</v>
      </c>
      <c r="O282">
        <v>29.71875</v>
      </c>
      <c r="S282">
        <v>7.0381953296342795E-2</v>
      </c>
      <c r="T282">
        <v>0</v>
      </c>
      <c r="U282">
        <v>8.4042593692583809E-2</v>
      </c>
      <c r="V282">
        <v>0</v>
      </c>
      <c r="W282">
        <v>0</v>
      </c>
      <c r="X282">
        <v>0</v>
      </c>
      <c r="Y282">
        <v>5.6291607888890663E-3</v>
      </c>
      <c r="Z282">
        <v>0</v>
      </c>
      <c r="AA282">
        <v>0.10826768734864674</v>
      </c>
      <c r="AB282">
        <v>2.8470369781228265E-2</v>
      </c>
      <c r="AC282">
        <v>0</v>
      </c>
      <c r="AD282">
        <v>0</v>
      </c>
      <c r="AE282">
        <v>0</v>
      </c>
      <c r="AF282">
        <v>0</v>
      </c>
      <c r="AG282">
        <v>0.97152963021877181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84" hidden="1" x14ac:dyDescent="0.25">
      <c r="A283" t="s">
        <v>128</v>
      </c>
      <c r="B283" t="s">
        <v>372</v>
      </c>
      <c r="C283" t="s">
        <v>72</v>
      </c>
      <c r="D283" s="12">
        <v>46242</v>
      </c>
      <c r="E283" t="s">
        <v>133</v>
      </c>
      <c r="F283" t="s">
        <v>133</v>
      </c>
      <c r="G283" t="s">
        <v>133</v>
      </c>
      <c r="H283" t="s">
        <v>73</v>
      </c>
      <c r="I283">
        <v>20</v>
      </c>
      <c r="J283">
        <v>11.026644714257564</v>
      </c>
      <c r="K283">
        <v>46242</v>
      </c>
      <c r="L283" t="s">
        <v>206</v>
      </c>
      <c r="M283">
        <v>10.45</v>
      </c>
      <c r="N283">
        <v>10.45</v>
      </c>
      <c r="O283">
        <v>12.191176470588236</v>
      </c>
      <c r="P283">
        <v>0.94770442603342819</v>
      </c>
      <c r="Q283">
        <v>0.94770442603342819</v>
      </c>
      <c r="R283">
        <v>1.1056107081082354</v>
      </c>
      <c r="S283">
        <v>0.10561070810823536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5.2295573966571807E-2</v>
      </c>
      <c r="AC283">
        <v>0</v>
      </c>
      <c r="AD283">
        <v>0</v>
      </c>
      <c r="AE283">
        <v>0</v>
      </c>
      <c r="AF283">
        <v>0</v>
      </c>
      <c r="AG283">
        <v>0.94770442603342819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1.0551813123691449</v>
      </c>
      <c r="AN283">
        <v>1.0551813123691449</v>
      </c>
      <c r="AO283">
        <v>1.1666197579510273</v>
      </c>
      <c r="AP283">
        <v>0.11143844558188243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5.5181312369144919E-2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0.85717732207478881</v>
      </c>
      <c r="BK283">
        <v>0.85717732207478881</v>
      </c>
      <c r="BL283">
        <v>0.90447749163994495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9.5522508360055047E-2</v>
      </c>
      <c r="BX283">
        <v>0</v>
      </c>
      <c r="BY283">
        <v>0</v>
      </c>
      <c r="BZ283">
        <v>0</v>
      </c>
      <c r="CA283">
        <v>0.85717732207478881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 spans="1:84" hidden="1" x14ac:dyDescent="0.25">
      <c r="A284" t="s">
        <v>128</v>
      </c>
      <c r="B284" t="s">
        <v>372</v>
      </c>
      <c r="C284" t="s">
        <v>72</v>
      </c>
      <c r="D284" s="12">
        <v>46227</v>
      </c>
      <c r="E284" t="s">
        <v>133</v>
      </c>
      <c r="F284" t="s">
        <v>133</v>
      </c>
      <c r="G284" t="s">
        <v>133</v>
      </c>
      <c r="H284" t="s">
        <v>74</v>
      </c>
      <c r="I284">
        <v>20</v>
      </c>
      <c r="J284">
        <v>4.2207252494765797</v>
      </c>
      <c r="K284">
        <v>46227</v>
      </c>
      <c r="L284" t="s">
        <v>225</v>
      </c>
      <c r="M284">
        <v>3.8</v>
      </c>
      <c r="N284">
        <v>3.8</v>
      </c>
      <c r="O284">
        <v>4.6875</v>
      </c>
      <c r="P284">
        <v>0.90031920473175675</v>
      </c>
      <c r="Q284">
        <v>0.90031920473175675</v>
      </c>
      <c r="R284">
        <v>1.1105911242579236</v>
      </c>
      <c r="S284">
        <v>0.11059112425792361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9.968079526824325E-2</v>
      </c>
      <c r="AC284">
        <v>0</v>
      </c>
      <c r="AD284">
        <v>0</v>
      </c>
      <c r="AE284">
        <v>0</v>
      </c>
      <c r="AF284">
        <v>0</v>
      </c>
      <c r="AG284">
        <v>0.90031920473175675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1.1107171709148895</v>
      </c>
      <c r="AN284">
        <v>1.1107171709148895</v>
      </c>
      <c r="AO284">
        <v>1.2335526315789473</v>
      </c>
      <c r="AP284">
        <v>0.12283546066405782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0.11071717091488953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0.81066666666666665</v>
      </c>
      <c r="BK284">
        <v>0.81066666666666665</v>
      </c>
      <c r="BL284">
        <v>0.9004213865550037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9.95786134449963E-2</v>
      </c>
      <c r="BX284">
        <v>0</v>
      </c>
      <c r="BY284">
        <v>0</v>
      </c>
      <c r="BZ284">
        <v>0</v>
      </c>
      <c r="CA284">
        <v>0.81066666666666665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hidden="1" x14ac:dyDescent="0.25">
      <c r="A285" t="s">
        <v>128</v>
      </c>
      <c r="B285" t="s">
        <v>372</v>
      </c>
      <c r="C285" t="s">
        <v>109</v>
      </c>
      <c r="D285" s="12">
        <v>46246</v>
      </c>
      <c r="E285" t="s">
        <v>501</v>
      </c>
      <c r="F285" t="s">
        <v>501</v>
      </c>
      <c r="G285" t="s">
        <v>501</v>
      </c>
      <c r="J285">
        <v>6.7655742969551049</v>
      </c>
      <c r="M285">
        <v>14.249999999999998</v>
      </c>
      <c r="N285">
        <v>14.249999999999998</v>
      </c>
      <c r="O285">
        <v>7.5155709342560542</v>
      </c>
      <c r="S285">
        <v>8.4679761370877668E-2</v>
      </c>
      <c r="T285">
        <v>0</v>
      </c>
      <c r="U285">
        <v>0.88174028701686724</v>
      </c>
      <c r="V285">
        <v>0</v>
      </c>
      <c r="W285">
        <v>0</v>
      </c>
      <c r="X285">
        <v>0</v>
      </c>
      <c r="Y285">
        <v>2.6175075836141121E-2</v>
      </c>
      <c r="Z285">
        <v>0</v>
      </c>
      <c r="AA285">
        <v>0.10639373150330843</v>
      </c>
      <c r="AB285">
        <v>4.8474500538352373E-2</v>
      </c>
      <c r="AC285">
        <v>0</v>
      </c>
      <c r="AD285">
        <v>0</v>
      </c>
      <c r="AE285">
        <v>0</v>
      </c>
      <c r="AF285">
        <v>0</v>
      </c>
      <c r="AG285">
        <v>0.95152549946164766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84" hidden="1" x14ac:dyDescent="0.25">
      <c r="A286" t="s">
        <v>128</v>
      </c>
      <c r="B286" t="s">
        <v>372</v>
      </c>
      <c r="C286" t="s">
        <v>72</v>
      </c>
      <c r="D286" s="12">
        <v>46241</v>
      </c>
      <c r="E286" t="s">
        <v>133</v>
      </c>
      <c r="F286" t="s">
        <v>133</v>
      </c>
      <c r="G286" t="s">
        <v>133</v>
      </c>
      <c r="H286" t="s">
        <v>75</v>
      </c>
      <c r="I286">
        <v>20</v>
      </c>
      <c r="J286">
        <v>11.026644714257564</v>
      </c>
      <c r="K286">
        <v>46241</v>
      </c>
      <c r="L286" t="s">
        <v>207</v>
      </c>
      <c r="M286">
        <v>10.45</v>
      </c>
      <c r="N286">
        <v>10.45</v>
      </c>
      <c r="O286">
        <v>12.191176470588236</v>
      </c>
      <c r="P286">
        <v>0.94770442603342819</v>
      </c>
      <c r="Q286">
        <v>0.94770442603342819</v>
      </c>
      <c r="R286">
        <v>1.1056107081082354</v>
      </c>
      <c r="S286">
        <v>0.10561070810823536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5.2295573966571807E-2</v>
      </c>
      <c r="AC286">
        <v>0</v>
      </c>
      <c r="AD286">
        <v>0</v>
      </c>
      <c r="AE286">
        <v>0</v>
      </c>
      <c r="AF286">
        <v>0</v>
      </c>
      <c r="AG286">
        <v>0.94770442603342819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1.0551813123691449</v>
      </c>
      <c r="AN286">
        <v>1.0551813123691449</v>
      </c>
      <c r="AO286">
        <v>1.1666197579510273</v>
      </c>
      <c r="AP286">
        <v>0.11143844558188243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5.5181312369144919E-2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0.85717732207478881</v>
      </c>
      <c r="BK286">
        <v>0.85717732207478881</v>
      </c>
      <c r="BL286">
        <v>0.90447749163994495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9.5522508360055047E-2</v>
      </c>
      <c r="BX286">
        <v>0</v>
      </c>
      <c r="BY286">
        <v>0</v>
      </c>
      <c r="BZ286">
        <v>0</v>
      </c>
      <c r="CA286">
        <v>0.85717732207478881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hidden="1" x14ac:dyDescent="0.25">
      <c r="A287" t="s">
        <v>128</v>
      </c>
      <c r="B287" t="s">
        <v>372</v>
      </c>
      <c r="C287" t="s">
        <v>72</v>
      </c>
      <c r="D287" s="12">
        <v>46227</v>
      </c>
      <c r="E287" t="s">
        <v>133</v>
      </c>
      <c r="F287" t="s">
        <v>133</v>
      </c>
      <c r="G287" t="s">
        <v>133</v>
      </c>
      <c r="H287" t="s">
        <v>75</v>
      </c>
      <c r="I287">
        <v>20</v>
      </c>
      <c r="J287">
        <v>11.026644714257564</v>
      </c>
      <c r="K287">
        <v>46227</v>
      </c>
      <c r="L287" t="s">
        <v>224</v>
      </c>
      <c r="M287">
        <v>11.4</v>
      </c>
      <c r="N287">
        <v>11.4</v>
      </c>
      <c r="O287">
        <v>11.182291666666666</v>
      </c>
      <c r="P287">
        <v>1.0338593738546489</v>
      </c>
      <c r="Q287">
        <v>1.0338593738546489</v>
      </c>
      <c r="R287">
        <v>1.0141155316456192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1.4115531645619184E-2</v>
      </c>
      <c r="Z287">
        <v>0</v>
      </c>
      <c r="AA287">
        <v>1.9743842209029694E-2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0.96724953633838295</v>
      </c>
      <c r="AN287">
        <v>0.96724953633838295</v>
      </c>
      <c r="AO287">
        <v>0.9809027777777779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1.9097222222222099E-2</v>
      </c>
      <c r="BA287">
        <v>0</v>
      </c>
      <c r="BB287">
        <v>0</v>
      </c>
      <c r="BC287">
        <v>0</v>
      </c>
      <c r="BD287">
        <v>0.96724953633838295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1.0194690265486726</v>
      </c>
      <c r="BK287">
        <v>1.0194690265486726</v>
      </c>
      <c r="BL287">
        <v>0.98608094324054607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1.9469026548672552E-2</v>
      </c>
      <c r="BV287">
        <v>0</v>
      </c>
      <c r="BW287">
        <v>0</v>
      </c>
      <c r="BX287">
        <v>0</v>
      </c>
      <c r="BY287">
        <v>1.3919056759453929E-2</v>
      </c>
      <c r="BZ287">
        <v>0</v>
      </c>
      <c r="CA287">
        <v>0.98608094324054607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hidden="1" x14ac:dyDescent="0.25">
      <c r="A288" t="s">
        <v>128</v>
      </c>
      <c r="B288" t="s">
        <v>372</v>
      </c>
      <c r="C288" t="s">
        <v>72</v>
      </c>
      <c r="D288" s="12">
        <v>46241</v>
      </c>
      <c r="E288" t="s">
        <v>133</v>
      </c>
      <c r="F288" t="s">
        <v>133</v>
      </c>
      <c r="G288" t="s">
        <v>133</v>
      </c>
      <c r="H288" t="s">
        <v>74</v>
      </c>
      <c r="I288">
        <v>20</v>
      </c>
      <c r="J288">
        <v>4.2207252494765797</v>
      </c>
      <c r="K288">
        <v>46241</v>
      </c>
      <c r="L288" t="s">
        <v>208</v>
      </c>
      <c r="M288">
        <v>3.8</v>
      </c>
      <c r="N288">
        <v>3.8</v>
      </c>
      <c r="O288">
        <v>4.6875</v>
      </c>
      <c r="P288">
        <v>0.90031920473175675</v>
      </c>
      <c r="Q288">
        <v>0.90031920473175675</v>
      </c>
      <c r="R288">
        <v>1.1105911242579236</v>
      </c>
      <c r="S288">
        <v>0.11059112425792361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9.968079526824325E-2</v>
      </c>
      <c r="AC288">
        <v>0</v>
      </c>
      <c r="AD288">
        <v>0</v>
      </c>
      <c r="AE288">
        <v>0</v>
      </c>
      <c r="AF288">
        <v>0</v>
      </c>
      <c r="AG288">
        <v>0.90031920473175675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1.1107171709148895</v>
      </c>
      <c r="AN288">
        <v>1.1107171709148895</v>
      </c>
      <c r="AO288">
        <v>1.2335526315789473</v>
      </c>
      <c r="AP288">
        <v>0.12283546066405782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0.11071717091488953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0.81066666666666665</v>
      </c>
      <c r="BK288">
        <v>0.81066666666666665</v>
      </c>
      <c r="BL288">
        <v>0.9004213865550037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9.95786134449963E-2</v>
      </c>
      <c r="BX288">
        <v>0</v>
      </c>
      <c r="BY288">
        <v>0</v>
      </c>
      <c r="BZ288">
        <v>0</v>
      </c>
      <c r="CA288">
        <v>0.81066666666666665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hidden="1" x14ac:dyDescent="0.25">
      <c r="A289" t="s">
        <v>128</v>
      </c>
      <c r="B289" t="s">
        <v>372</v>
      </c>
      <c r="C289" t="s">
        <v>72</v>
      </c>
      <c r="D289" s="12">
        <v>46231</v>
      </c>
      <c r="E289" t="s">
        <v>133</v>
      </c>
      <c r="F289" t="s">
        <v>133</v>
      </c>
      <c r="G289" t="s">
        <v>133</v>
      </c>
      <c r="H289" t="s">
        <v>73</v>
      </c>
      <c r="I289">
        <v>20</v>
      </c>
      <c r="J289">
        <v>11.738892100106735</v>
      </c>
      <c r="K289">
        <v>46231</v>
      </c>
      <c r="L289" t="s">
        <v>214</v>
      </c>
      <c r="M289">
        <v>19</v>
      </c>
      <c r="N289">
        <v>19</v>
      </c>
      <c r="O289">
        <v>9.5187500000000007</v>
      </c>
      <c r="P289">
        <v>1.6185513792930462</v>
      </c>
      <c r="Q289">
        <v>1.6185513792930462</v>
      </c>
      <c r="R289">
        <v>0.8108729442971413</v>
      </c>
      <c r="S289">
        <v>0</v>
      </c>
      <c r="T289">
        <v>0</v>
      </c>
      <c r="U289">
        <v>0.36855137929304616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0.25</v>
      </c>
      <c r="AB289">
        <v>0</v>
      </c>
      <c r="AC289">
        <v>0</v>
      </c>
      <c r="AD289">
        <v>0</v>
      </c>
      <c r="AE289">
        <v>0.1891270557028587</v>
      </c>
      <c r="AF289">
        <v>0</v>
      </c>
      <c r="AG289">
        <v>0.8108729442971413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0.61783642632140712</v>
      </c>
      <c r="AN289">
        <v>0.61783642632140712</v>
      </c>
      <c r="AO289">
        <v>0.50098684210526323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0.38216357367859288</v>
      </c>
      <c r="BA289">
        <v>0</v>
      </c>
      <c r="BB289">
        <v>0.11684958421614389</v>
      </c>
      <c r="BC289">
        <v>0</v>
      </c>
      <c r="BD289">
        <v>0.50098684210526323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1.9960604070912671</v>
      </c>
      <c r="BK289">
        <v>1.9960604070912671</v>
      </c>
      <c r="BL289">
        <v>1.2332388286389215</v>
      </c>
      <c r="CC289">
        <v>0</v>
      </c>
      <c r="CD289">
        <v>0</v>
      </c>
      <c r="CE289">
        <v>0</v>
      </c>
    </row>
    <row r="290" spans="1:84" hidden="1" x14ac:dyDescent="0.25">
      <c r="A290" t="s">
        <v>128</v>
      </c>
      <c r="B290" t="s">
        <v>372</v>
      </c>
      <c r="C290" t="s">
        <v>72</v>
      </c>
      <c r="D290" s="12">
        <v>46243</v>
      </c>
      <c r="E290" t="s">
        <v>133</v>
      </c>
      <c r="F290" t="s">
        <v>133</v>
      </c>
      <c r="G290" t="s">
        <v>133</v>
      </c>
      <c r="H290" t="s">
        <v>74</v>
      </c>
      <c r="I290">
        <v>20</v>
      </c>
      <c r="J290">
        <v>4.2207252494765797</v>
      </c>
      <c r="K290">
        <v>46243</v>
      </c>
      <c r="L290" t="s">
        <v>211</v>
      </c>
      <c r="M290">
        <v>3.8</v>
      </c>
      <c r="N290">
        <v>3.8</v>
      </c>
      <c r="O290">
        <v>4.6875</v>
      </c>
      <c r="P290">
        <v>0.90031920473175675</v>
      </c>
      <c r="Q290">
        <v>0.90031920473175675</v>
      </c>
      <c r="R290">
        <v>1.1105911242579236</v>
      </c>
      <c r="S290">
        <v>0.11059112425792361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9.968079526824325E-2</v>
      </c>
      <c r="AC290">
        <v>0</v>
      </c>
      <c r="AD290">
        <v>0</v>
      </c>
      <c r="AE290">
        <v>0</v>
      </c>
      <c r="AF290">
        <v>0</v>
      </c>
      <c r="AG290">
        <v>0.90031920473175675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1.1107171709148895</v>
      </c>
      <c r="AN290">
        <v>1.1107171709148895</v>
      </c>
      <c r="AO290">
        <v>1.2335526315789473</v>
      </c>
      <c r="AP290">
        <v>0.12283546066405782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0.11071717091488953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0.81066666666666665</v>
      </c>
      <c r="BK290">
        <v>0.81066666666666665</v>
      </c>
      <c r="BL290">
        <v>0.9004213865550037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9.95786134449963E-2</v>
      </c>
      <c r="BX290">
        <v>0</v>
      </c>
      <c r="BY290">
        <v>0</v>
      </c>
      <c r="BZ290">
        <v>0</v>
      </c>
      <c r="CA290">
        <v>0.81066666666666665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 spans="1:84" hidden="1" x14ac:dyDescent="0.25">
      <c r="A291" t="s">
        <v>128</v>
      </c>
      <c r="B291" t="s">
        <v>372</v>
      </c>
      <c r="C291" t="s">
        <v>109</v>
      </c>
      <c r="D291" s="12">
        <v>46249</v>
      </c>
      <c r="E291" t="s">
        <v>501</v>
      </c>
      <c r="F291" t="s">
        <v>501</v>
      </c>
      <c r="G291" t="s">
        <v>501</v>
      </c>
      <c r="J291">
        <v>6.8152298881254181</v>
      </c>
      <c r="M291">
        <v>11.399999999999999</v>
      </c>
      <c r="N291">
        <v>11.399999999999999</v>
      </c>
      <c r="O291">
        <v>7.5778546712802752</v>
      </c>
      <c r="S291">
        <v>7.7284529222259632E-2</v>
      </c>
      <c r="T291">
        <v>0</v>
      </c>
      <c r="U291">
        <v>0.59652858218541693</v>
      </c>
      <c r="V291">
        <v>0</v>
      </c>
      <c r="W291">
        <v>0</v>
      </c>
      <c r="X291">
        <v>0</v>
      </c>
      <c r="Y291">
        <v>3.4615552752029162E-2</v>
      </c>
      <c r="Z291">
        <v>0</v>
      </c>
      <c r="AA291">
        <v>9.6987361637770483E-2</v>
      </c>
      <c r="AB291">
        <v>5.5407291062663074E-2</v>
      </c>
      <c r="AC291">
        <v>0</v>
      </c>
      <c r="AD291">
        <v>0</v>
      </c>
      <c r="AE291">
        <v>0</v>
      </c>
      <c r="AF291">
        <v>0</v>
      </c>
      <c r="AG291">
        <v>0.94459270893733693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84" hidden="1" x14ac:dyDescent="0.25">
      <c r="A292" t="s">
        <v>128</v>
      </c>
      <c r="B292" t="s">
        <v>372</v>
      </c>
      <c r="C292" t="s">
        <v>117</v>
      </c>
      <c r="D292" s="12">
        <v>46232</v>
      </c>
      <c r="J292">
        <v>43.740194648757431</v>
      </c>
      <c r="M292">
        <v>52.249999999999993</v>
      </c>
      <c r="N292">
        <v>52.249999999999993</v>
      </c>
      <c r="O292">
        <v>45.759083044982695</v>
      </c>
      <c r="S292">
        <v>5.5218089579298017E-2</v>
      </c>
      <c r="T292">
        <v>0</v>
      </c>
      <c r="U292">
        <v>0.19034876307867607</v>
      </c>
      <c r="V292">
        <v>0</v>
      </c>
      <c r="W292">
        <v>0</v>
      </c>
      <c r="X292">
        <v>0</v>
      </c>
      <c r="Y292">
        <v>3.3847029744251501E-2</v>
      </c>
      <c r="Z292">
        <v>0</v>
      </c>
      <c r="AA292">
        <v>7.1429630484065823E-2</v>
      </c>
      <c r="AB292">
        <v>5.8163228772858372E-2</v>
      </c>
      <c r="AC292">
        <v>4.2908754167030674E-2</v>
      </c>
      <c r="AD292">
        <v>0</v>
      </c>
      <c r="AE292">
        <v>0</v>
      </c>
      <c r="AF292">
        <v>0</v>
      </c>
      <c r="AG292">
        <v>0.89892801706011105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84" hidden="1" x14ac:dyDescent="0.25">
      <c r="A293" t="s">
        <v>128</v>
      </c>
      <c r="B293" t="s">
        <v>372</v>
      </c>
      <c r="C293" t="s">
        <v>72</v>
      </c>
      <c r="D293" s="12">
        <v>46234</v>
      </c>
      <c r="E293" t="s">
        <v>133</v>
      </c>
      <c r="F293" t="s">
        <v>133</v>
      </c>
      <c r="G293" t="s">
        <v>133</v>
      </c>
      <c r="H293" t="s">
        <v>74</v>
      </c>
      <c r="I293">
        <v>20</v>
      </c>
      <c r="J293">
        <v>4.2207252494765797</v>
      </c>
      <c r="K293">
        <v>46234</v>
      </c>
      <c r="L293" t="s">
        <v>190</v>
      </c>
      <c r="M293">
        <v>5.6999999999999993</v>
      </c>
      <c r="N293">
        <v>5.6999999999999993</v>
      </c>
      <c r="O293">
        <v>4.6875</v>
      </c>
      <c r="P293">
        <v>1.350478807097635</v>
      </c>
      <c r="Q293">
        <v>1.350478807097635</v>
      </c>
      <c r="R293">
        <v>1.1105911242579236</v>
      </c>
      <c r="S293">
        <v>0</v>
      </c>
      <c r="T293">
        <v>0</v>
      </c>
      <c r="U293">
        <v>0.10047880709763501</v>
      </c>
      <c r="V293">
        <v>0</v>
      </c>
      <c r="W293">
        <v>0</v>
      </c>
      <c r="X293">
        <v>0</v>
      </c>
      <c r="Y293">
        <v>0.11059112425792361</v>
      </c>
      <c r="Z293">
        <v>0</v>
      </c>
      <c r="AA293">
        <v>0.13940887574207639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0.74047811394325969</v>
      </c>
      <c r="AN293">
        <v>0.74047811394325969</v>
      </c>
      <c r="AO293">
        <v>0.82236842105263164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0.17763157894736836</v>
      </c>
      <c r="BA293">
        <v>0</v>
      </c>
      <c r="BB293">
        <v>0</v>
      </c>
      <c r="BC293">
        <v>0</v>
      </c>
      <c r="BD293">
        <v>0.74047811394325969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1.2159999999999997</v>
      </c>
      <c r="BK293">
        <v>1.2159999999999997</v>
      </c>
      <c r="BL293">
        <v>0.9004213865550037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0.21599999999999975</v>
      </c>
      <c r="BV293">
        <v>0</v>
      </c>
      <c r="BW293">
        <v>0</v>
      </c>
      <c r="BX293">
        <v>0</v>
      </c>
      <c r="BY293">
        <v>9.95786134449963E-2</v>
      </c>
      <c r="BZ293">
        <v>0</v>
      </c>
      <c r="CA293">
        <v>0.9004213865550037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 spans="1:84" hidden="1" x14ac:dyDescent="0.25">
      <c r="A294" t="s">
        <v>128</v>
      </c>
      <c r="B294" t="s">
        <v>372</v>
      </c>
      <c r="C294" t="s">
        <v>117</v>
      </c>
      <c r="D294" s="12">
        <v>46228</v>
      </c>
      <c r="J294">
        <v>40.023176804576735</v>
      </c>
      <c r="M294">
        <v>43.7</v>
      </c>
      <c r="N294">
        <v>43.7</v>
      </c>
      <c r="O294">
        <v>43.571366782006912</v>
      </c>
      <c r="S294">
        <v>9.8230661970708677E-2</v>
      </c>
      <c r="T294">
        <v>0</v>
      </c>
      <c r="U294">
        <v>0.12531437589076147</v>
      </c>
      <c r="V294">
        <v>0</v>
      </c>
      <c r="W294">
        <v>0</v>
      </c>
      <c r="X294">
        <v>3.4096612864642651E-3</v>
      </c>
      <c r="Y294">
        <v>2.3176630227109876E-2</v>
      </c>
      <c r="Z294">
        <v>0</v>
      </c>
      <c r="AA294">
        <v>2.397121348458434E-2</v>
      </c>
      <c r="AB294">
        <v>6.5462337033839899E-2</v>
      </c>
      <c r="AC294">
        <v>1.513253247353764E-2</v>
      </c>
      <c r="AD294">
        <v>0</v>
      </c>
      <c r="AE294">
        <v>1.7621377841200592E-2</v>
      </c>
      <c r="AF294">
        <v>0</v>
      </c>
      <c r="AG294">
        <v>0.84208903144337688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84" hidden="1" x14ac:dyDescent="0.25">
      <c r="A295" t="s">
        <v>128</v>
      </c>
      <c r="B295" t="s">
        <v>372</v>
      </c>
      <c r="C295" t="s">
        <v>72</v>
      </c>
      <c r="D295" s="12">
        <v>46234</v>
      </c>
      <c r="E295" t="s">
        <v>133</v>
      </c>
      <c r="F295" t="s">
        <v>133</v>
      </c>
      <c r="G295" t="s">
        <v>133</v>
      </c>
      <c r="H295" t="s">
        <v>73</v>
      </c>
      <c r="I295">
        <v>20</v>
      </c>
      <c r="J295">
        <v>10.973885648639108</v>
      </c>
      <c r="K295">
        <v>46234</v>
      </c>
      <c r="L295" t="s">
        <v>213</v>
      </c>
      <c r="M295">
        <v>10.45</v>
      </c>
      <c r="N295">
        <v>10.45</v>
      </c>
      <c r="O295">
        <v>12.746323529411764</v>
      </c>
      <c r="P295">
        <v>0.9522606973124349</v>
      </c>
      <c r="Q295">
        <v>0.9522606973124349</v>
      </c>
      <c r="R295">
        <v>1.1615141561997651</v>
      </c>
      <c r="S295">
        <v>0.16151415619976506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4.7739302687565099E-2</v>
      </c>
      <c r="AC295">
        <v>0</v>
      </c>
      <c r="AD295">
        <v>0</v>
      </c>
      <c r="AE295">
        <v>0</v>
      </c>
      <c r="AF295">
        <v>0</v>
      </c>
      <c r="AG295">
        <v>0.9522606973124349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1.0501325979558955</v>
      </c>
      <c r="AN295">
        <v>1.0501325979558955</v>
      </c>
      <c r="AO295">
        <v>1.2197438784126091</v>
      </c>
      <c r="AP295">
        <v>0.16961128045671359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5.013259795589553E-2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0.81984424574560133</v>
      </c>
      <c r="BK295">
        <v>0.81984424574560133</v>
      </c>
      <c r="BL295">
        <v>0.86094516770401996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0.13905483229598004</v>
      </c>
      <c r="BX295">
        <v>0</v>
      </c>
      <c r="BY295">
        <v>0</v>
      </c>
      <c r="BZ295">
        <v>0</v>
      </c>
      <c r="CA295">
        <v>0.81984424574560133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 spans="1:84" hidden="1" x14ac:dyDescent="0.25">
      <c r="A296" t="s">
        <v>128</v>
      </c>
      <c r="B296" t="s">
        <v>372</v>
      </c>
      <c r="C296" t="s">
        <v>72</v>
      </c>
      <c r="D296" s="12">
        <v>46233</v>
      </c>
      <c r="E296" t="s">
        <v>133</v>
      </c>
      <c r="F296" t="s">
        <v>133</v>
      </c>
      <c r="G296" t="s">
        <v>133</v>
      </c>
      <c r="H296" t="s">
        <v>75</v>
      </c>
      <c r="I296">
        <v>20</v>
      </c>
      <c r="J296">
        <v>10.973885648639106</v>
      </c>
      <c r="K296">
        <v>46233</v>
      </c>
      <c r="L296" t="s">
        <v>233</v>
      </c>
      <c r="M296">
        <v>12.35</v>
      </c>
      <c r="N296">
        <v>12.35</v>
      </c>
      <c r="O296">
        <v>12.1875</v>
      </c>
      <c r="P296">
        <v>1.1253990059146961</v>
      </c>
      <c r="Q296">
        <v>1.1253990059146961</v>
      </c>
      <c r="R296">
        <v>1.1105911242579238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0.11059112425792383</v>
      </c>
      <c r="Z296">
        <v>0</v>
      </c>
      <c r="AA296">
        <v>1.480788165677227E-2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0.88857373673191142</v>
      </c>
      <c r="AN296">
        <v>0.88857373673191142</v>
      </c>
      <c r="AO296">
        <v>0.98684210526315796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1.3157894736842035E-2</v>
      </c>
      <c r="BA296">
        <v>0</v>
      </c>
      <c r="BB296">
        <v>0</v>
      </c>
      <c r="BC296">
        <v>0</v>
      </c>
      <c r="BD296">
        <v>0.88857373673191142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1.0133333333333332</v>
      </c>
      <c r="BK296">
        <v>1.0133333333333332</v>
      </c>
      <c r="BL296">
        <v>0.90042138655500359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1.3333333333333197E-2</v>
      </c>
      <c r="BV296">
        <v>0</v>
      </c>
      <c r="BW296">
        <v>0</v>
      </c>
      <c r="BX296">
        <v>0</v>
      </c>
      <c r="BY296">
        <v>9.9578613444996411E-2</v>
      </c>
      <c r="BZ296">
        <v>0</v>
      </c>
      <c r="CA296">
        <v>0.90042138655500359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 spans="1:84" hidden="1" x14ac:dyDescent="0.25">
      <c r="A297" t="s">
        <v>128</v>
      </c>
      <c r="B297" t="s">
        <v>372</v>
      </c>
      <c r="C297" t="s">
        <v>72</v>
      </c>
      <c r="D297" s="12">
        <v>46233</v>
      </c>
      <c r="E297" t="s">
        <v>133</v>
      </c>
      <c r="F297" t="s">
        <v>133</v>
      </c>
      <c r="G297" t="s">
        <v>133</v>
      </c>
      <c r="H297" t="s">
        <v>74</v>
      </c>
      <c r="I297">
        <v>20</v>
      </c>
      <c r="J297">
        <v>4.2207252494765797</v>
      </c>
      <c r="K297">
        <v>46233</v>
      </c>
      <c r="L297" t="s">
        <v>234</v>
      </c>
      <c r="M297">
        <v>3.8</v>
      </c>
      <c r="N297">
        <v>3.8</v>
      </c>
      <c r="O297">
        <v>4.6875</v>
      </c>
      <c r="P297">
        <v>0.90031920473175675</v>
      </c>
      <c r="Q297">
        <v>0.90031920473175675</v>
      </c>
      <c r="R297">
        <v>1.1105911242579236</v>
      </c>
      <c r="S297">
        <v>0.11059112425792361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9.968079526824325E-2</v>
      </c>
      <c r="AC297">
        <v>0</v>
      </c>
      <c r="AD297">
        <v>0</v>
      </c>
      <c r="AE297">
        <v>0</v>
      </c>
      <c r="AF297">
        <v>0</v>
      </c>
      <c r="AG297">
        <v>0.90031920473175675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1.1107171709148895</v>
      </c>
      <c r="AN297">
        <v>1.1107171709148895</v>
      </c>
      <c r="AO297">
        <v>1.2335526315789473</v>
      </c>
      <c r="AP297">
        <v>0.12283546066405782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0.11071717091488953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0.81066666666666665</v>
      </c>
      <c r="BK297">
        <v>0.81066666666666665</v>
      </c>
      <c r="BL297">
        <v>0.9004213865550037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9.95786134449963E-2</v>
      </c>
      <c r="BX297">
        <v>0</v>
      </c>
      <c r="BY297">
        <v>0</v>
      </c>
      <c r="BZ297">
        <v>0</v>
      </c>
      <c r="CA297">
        <v>0.81066666666666665</v>
      </c>
      <c r="CB297">
        <v>0</v>
      </c>
      <c r="CC297">
        <v>0</v>
      </c>
      <c r="CD297">
        <v>0</v>
      </c>
      <c r="CE297">
        <v>0</v>
      </c>
      <c r="CF297">
        <v>0</v>
      </c>
    </row>
    <row r="298" spans="1:84" hidden="1" x14ac:dyDescent="0.25">
      <c r="A298" t="s">
        <v>128</v>
      </c>
      <c r="B298" t="s">
        <v>372</v>
      </c>
      <c r="C298" t="s">
        <v>72</v>
      </c>
      <c r="D298" s="12">
        <v>46233</v>
      </c>
      <c r="E298" t="s">
        <v>133</v>
      </c>
      <c r="F298" t="s">
        <v>133</v>
      </c>
      <c r="G298" t="s">
        <v>133</v>
      </c>
      <c r="H298" t="s">
        <v>73</v>
      </c>
      <c r="I298">
        <v>20</v>
      </c>
      <c r="J298">
        <v>10.89474705021142</v>
      </c>
      <c r="K298">
        <v>46233</v>
      </c>
      <c r="L298" t="s">
        <v>235</v>
      </c>
      <c r="M298">
        <v>10.45</v>
      </c>
      <c r="N298">
        <v>10.45</v>
      </c>
      <c r="O298">
        <v>12.09375</v>
      </c>
      <c r="P298">
        <v>0.95917784523480154</v>
      </c>
      <c r="Q298">
        <v>0.95917784523480154</v>
      </c>
      <c r="R298">
        <v>1.1100533077328594</v>
      </c>
      <c r="S298">
        <v>0.11005330773285937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4.082215476519846E-2</v>
      </c>
      <c r="AC298">
        <v>0</v>
      </c>
      <c r="AD298">
        <v>0</v>
      </c>
      <c r="AE298">
        <v>0</v>
      </c>
      <c r="AF298">
        <v>0</v>
      </c>
      <c r="AG298">
        <v>0.95917784523480154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1.042559526336021</v>
      </c>
      <c r="AN298">
        <v>1.042559526336021</v>
      </c>
      <c r="AO298">
        <v>1.1572966507177034</v>
      </c>
      <c r="AP298">
        <v>0.11473712438168238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4.2559526336021003E-2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0.86408268733850124</v>
      </c>
      <c r="BK298">
        <v>0.86408268733850124</v>
      </c>
      <c r="BL298">
        <v>0.90085763722678402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9.9142362773215975E-2</v>
      </c>
      <c r="BX298">
        <v>0</v>
      </c>
      <c r="BY298">
        <v>0</v>
      </c>
      <c r="BZ298">
        <v>0</v>
      </c>
      <c r="CA298">
        <v>0.86408268733850124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hidden="1" x14ac:dyDescent="0.25">
      <c r="A299" t="s">
        <v>128</v>
      </c>
      <c r="B299" t="s">
        <v>372</v>
      </c>
      <c r="C299" t="s">
        <v>72</v>
      </c>
      <c r="D299" s="12">
        <v>46232</v>
      </c>
      <c r="E299" t="s">
        <v>133</v>
      </c>
      <c r="F299" t="s">
        <v>133</v>
      </c>
      <c r="G299" t="s">
        <v>133</v>
      </c>
      <c r="H299" t="s">
        <v>75</v>
      </c>
      <c r="I299">
        <v>20</v>
      </c>
      <c r="J299">
        <v>10.815608451783737</v>
      </c>
      <c r="K299">
        <v>46232</v>
      </c>
      <c r="L299" t="s">
        <v>236</v>
      </c>
      <c r="M299">
        <v>10.45</v>
      </c>
      <c r="N299">
        <v>10.45</v>
      </c>
      <c r="O299">
        <v>12.191176470588236</v>
      </c>
      <c r="P299">
        <v>0.9661962197121291</v>
      </c>
      <c r="Q299">
        <v>0.9661962197121291</v>
      </c>
      <c r="R299">
        <v>1.1271835999737616</v>
      </c>
      <c r="S299">
        <v>0.12718359997376161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3.3803780287870899E-2</v>
      </c>
      <c r="AC299">
        <v>0</v>
      </c>
      <c r="AD299">
        <v>0</v>
      </c>
      <c r="AE299">
        <v>0</v>
      </c>
      <c r="AF299">
        <v>0</v>
      </c>
      <c r="AG299">
        <v>0.9661962197121291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1.0349864547161471</v>
      </c>
      <c r="AN299">
        <v>1.0349864547161471</v>
      </c>
      <c r="AO299">
        <v>1.1666197579510273</v>
      </c>
      <c r="AP299">
        <v>0.13163330323488021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3.4986454716147142E-2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0.85717732207478881</v>
      </c>
      <c r="BK299">
        <v>0.85717732207478881</v>
      </c>
      <c r="BL299">
        <v>0.88716691763726674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0.11283308236273326</v>
      </c>
      <c r="BX299">
        <v>0</v>
      </c>
      <c r="BY299">
        <v>0</v>
      </c>
      <c r="BZ299">
        <v>0</v>
      </c>
      <c r="CA299">
        <v>0.85717732207478881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84" hidden="1" x14ac:dyDescent="0.25">
      <c r="A300" t="s">
        <v>128</v>
      </c>
      <c r="B300" t="s">
        <v>372</v>
      </c>
      <c r="C300" t="s">
        <v>116</v>
      </c>
      <c r="D300" s="12"/>
      <c r="J300">
        <v>1198.0447894349427</v>
      </c>
      <c r="M300">
        <v>1273.9499999999996</v>
      </c>
      <c r="N300">
        <v>1273.9499999999996</v>
      </c>
      <c r="O300">
        <v>1233.1839574110115</v>
      </c>
      <c r="S300">
        <v>5.6236234305708954E-2</v>
      </c>
      <c r="T300">
        <v>0</v>
      </c>
      <c r="U300">
        <v>0.14845882310833897</v>
      </c>
      <c r="V300">
        <v>0</v>
      </c>
      <c r="W300">
        <v>1.0016721586043706E-4</v>
      </c>
      <c r="X300">
        <v>1.8280011135905884E-3</v>
      </c>
      <c r="Y300">
        <v>2.1997202309460989E-2</v>
      </c>
      <c r="Z300">
        <v>0</v>
      </c>
      <c r="AA300">
        <v>5.6029283716739986E-2</v>
      </c>
      <c r="AB300">
        <v>0.11906035067907218</v>
      </c>
      <c r="AC300">
        <v>3.5087562112301747E-2</v>
      </c>
      <c r="AD300">
        <v>0</v>
      </c>
      <c r="AE300">
        <v>1.3915612434329875E-2</v>
      </c>
      <c r="AF300">
        <v>0</v>
      </c>
      <c r="AG300">
        <v>0.80394899293783983</v>
      </c>
      <c r="AH300">
        <v>0</v>
      </c>
      <c r="AI300">
        <v>0</v>
      </c>
      <c r="AJ300">
        <v>0</v>
      </c>
      <c r="AK300">
        <v>1.7009576933939247E-2</v>
      </c>
      <c r="AL300">
        <v>0</v>
      </c>
    </row>
    <row r="301" spans="1:84" hidden="1" x14ac:dyDescent="0.25">
      <c r="A301" t="s">
        <v>128</v>
      </c>
      <c r="B301" t="s">
        <v>372</v>
      </c>
      <c r="C301" t="s">
        <v>72</v>
      </c>
      <c r="D301" s="12">
        <v>46234</v>
      </c>
      <c r="E301" t="s">
        <v>133</v>
      </c>
      <c r="F301" t="s">
        <v>133</v>
      </c>
      <c r="G301" t="s">
        <v>133</v>
      </c>
      <c r="H301" t="s">
        <v>75</v>
      </c>
      <c r="I301">
        <v>20</v>
      </c>
      <c r="J301">
        <v>11.026644714257564</v>
      </c>
      <c r="K301">
        <v>46234</v>
      </c>
      <c r="L301" t="s">
        <v>189</v>
      </c>
      <c r="M301">
        <v>10.45</v>
      </c>
      <c r="N301">
        <v>10.45</v>
      </c>
      <c r="O301">
        <v>12.066176470588234</v>
      </c>
      <c r="P301">
        <v>0.94770442603342819</v>
      </c>
      <c r="Q301">
        <v>0.94770442603342819</v>
      </c>
      <c r="R301">
        <v>1.0942745307633377</v>
      </c>
      <c r="S301">
        <v>9.4274530763337694E-2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5.2295573966571807E-2</v>
      </c>
      <c r="AC301">
        <v>0</v>
      </c>
      <c r="AD301">
        <v>0</v>
      </c>
      <c r="AE301">
        <v>0</v>
      </c>
      <c r="AF301">
        <v>0</v>
      </c>
      <c r="AG301">
        <v>0.94770442603342819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1.0551813123691449</v>
      </c>
      <c r="AN301">
        <v>1.0551813123691449</v>
      </c>
      <c r="AO301">
        <v>1.154658035462989</v>
      </c>
      <c r="AP301">
        <v>9.9476723093844033E-2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5.5181312369144919E-2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0.86605728214503352</v>
      </c>
      <c r="BK301">
        <v>0.86605728214503352</v>
      </c>
      <c r="BL301">
        <v>0.91384745956065139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8.6152540439348613E-2</v>
      </c>
      <c r="BX301">
        <v>0</v>
      </c>
      <c r="BY301">
        <v>0</v>
      </c>
      <c r="BZ301">
        <v>0</v>
      </c>
      <c r="CA301">
        <v>0.86605728214503352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84" hidden="1" x14ac:dyDescent="0.25">
      <c r="A302" t="s">
        <v>128</v>
      </c>
      <c r="B302" t="s">
        <v>372</v>
      </c>
      <c r="C302" t="s">
        <v>72</v>
      </c>
      <c r="D302" s="12">
        <v>46230</v>
      </c>
      <c r="E302" t="s">
        <v>133</v>
      </c>
      <c r="F302" t="s">
        <v>133</v>
      </c>
      <c r="G302" t="s">
        <v>133</v>
      </c>
      <c r="H302" t="s">
        <v>74</v>
      </c>
      <c r="I302">
        <v>20</v>
      </c>
      <c r="J302">
        <v>4.2207252494765797</v>
      </c>
      <c r="K302">
        <v>46230</v>
      </c>
      <c r="L302" t="s">
        <v>216</v>
      </c>
      <c r="M302">
        <v>4.75</v>
      </c>
      <c r="N302">
        <v>4.75</v>
      </c>
      <c r="O302">
        <v>4.6875</v>
      </c>
      <c r="P302">
        <v>1.1253990059146959</v>
      </c>
      <c r="Q302">
        <v>1.1253990059146959</v>
      </c>
      <c r="R302">
        <v>1.1105911242579236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0.11059112425792361</v>
      </c>
      <c r="Z302">
        <v>0</v>
      </c>
      <c r="AA302">
        <v>1.480788165677227E-2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0.88857373673191153</v>
      </c>
      <c r="AN302">
        <v>0.88857373673191153</v>
      </c>
      <c r="AO302">
        <v>0.98684210526315785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1.3157894736842146E-2</v>
      </c>
      <c r="BA302">
        <v>0</v>
      </c>
      <c r="BB302">
        <v>0</v>
      </c>
      <c r="BC302">
        <v>0</v>
      </c>
      <c r="BD302">
        <v>0.88857373673191153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1.0133333333333334</v>
      </c>
      <c r="BK302">
        <v>1.0133333333333334</v>
      </c>
      <c r="BL302">
        <v>0.9004213865550037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1.3333333333333419E-2</v>
      </c>
      <c r="BV302">
        <v>0</v>
      </c>
      <c r="BW302">
        <v>0</v>
      </c>
      <c r="BX302">
        <v>0</v>
      </c>
      <c r="BY302">
        <v>9.95786134449963E-2</v>
      </c>
      <c r="BZ302">
        <v>0</v>
      </c>
      <c r="CA302">
        <v>0.9004213865550037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hidden="1" x14ac:dyDescent="0.25">
      <c r="A303" t="s">
        <v>128</v>
      </c>
      <c r="B303" t="s">
        <v>372</v>
      </c>
      <c r="C303" t="s">
        <v>117</v>
      </c>
      <c r="D303" s="12">
        <v>46227</v>
      </c>
      <c r="J303">
        <v>41.28803277109941</v>
      </c>
      <c r="M303">
        <v>55.1</v>
      </c>
      <c r="N303">
        <v>55.1</v>
      </c>
      <c r="O303">
        <v>39.758866782006919</v>
      </c>
      <c r="S303">
        <v>1.1305327941178896E-2</v>
      </c>
      <c r="T303">
        <v>0</v>
      </c>
      <c r="U303">
        <v>0.29348277698430847</v>
      </c>
      <c r="V303">
        <v>0</v>
      </c>
      <c r="W303">
        <v>2.9065277025695961E-3</v>
      </c>
      <c r="X303">
        <v>0</v>
      </c>
      <c r="Y303">
        <v>3.3029359192408944E-2</v>
      </c>
      <c r="Z303">
        <v>0</v>
      </c>
      <c r="AA303">
        <v>7.779909916810672E-2</v>
      </c>
      <c r="AB303">
        <v>3.3433751577471971E-2</v>
      </c>
      <c r="AC303">
        <v>6.2265966999088047E-2</v>
      </c>
      <c r="AD303">
        <v>0</v>
      </c>
      <c r="AE303">
        <v>2.2011790545950104E-2</v>
      </c>
      <c r="AF303">
        <v>0</v>
      </c>
      <c r="AG303">
        <v>0.88228849087748984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84" hidden="1" x14ac:dyDescent="0.25">
      <c r="A304" t="s">
        <v>128</v>
      </c>
      <c r="B304" t="s">
        <v>372</v>
      </c>
      <c r="C304" t="s">
        <v>72</v>
      </c>
      <c r="D304" s="12">
        <v>46232</v>
      </c>
      <c r="E304" t="s">
        <v>133</v>
      </c>
      <c r="F304" t="s">
        <v>133</v>
      </c>
      <c r="G304" t="s">
        <v>133</v>
      </c>
      <c r="H304" t="s">
        <v>73</v>
      </c>
      <c r="I304">
        <v>20</v>
      </c>
      <c r="J304">
        <v>12.583037150002054</v>
      </c>
      <c r="K304">
        <v>46232</v>
      </c>
      <c r="L304" t="s">
        <v>238</v>
      </c>
      <c r="M304">
        <v>18.05</v>
      </c>
      <c r="N304">
        <v>18.05</v>
      </c>
      <c r="O304">
        <v>13.590073529411764</v>
      </c>
      <c r="P304">
        <v>1.434470850306363</v>
      </c>
      <c r="Q304">
        <v>1.434470850306363</v>
      </c>
      <c r="R304">
        <v>1.0800312649009023</v>
      </c>
      <c r="S304">
        <v>0</v>
      </c>
      <c r="T304">
        <v>0</v>
      </c>
      <c r="U304">
        <v>0.18447085030636301</v>
      </c>
      <c r="V304">
        <v>0</v>
      </c>
      <c r="W304">
        <v>0</v>
      </c>
      <c r="X304">
        <v>0</v>
      </c>
      <c r="Y304">
        <v>8.0031264900902288E-2</v>
      </c>
      <c r="Z304">
        <v>0</v>
      </c>
      <c r="AA304">
        <v>0.16996873509909771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0.69712117174526611</v>
      </c>
      <c r="AN304">
        <v>0.69712117174526611</v>
      </c>
      <c r="AO304">
        <v>0.75291266090923903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0.24708733909076097</v>
      </c>
      <c r="BA304">
        <v>0</v>
      </c>
      <c r="BB304">
        <v>0</v>
      </c>
      <c r="BC304">
        <v>0</v>
      </c>
      <c r="BD304">
        <v>0.69712117174526611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1.3281753009603681</v>
      </c>
      <c r="BK304">
        <v>1.3281753009603681</v>
      </c>
      <c r="BL304">
        <v>0.92589912208861325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0.32817530096036807</v>
      </c>
      <c r="BV304">
        <v>0</v>
      </c>
      <c r="BW304">
        <v>0</v>
      </c>
      <c r="BX304">
        <v>0</v>
      </c>
      <c r="BY304">
        <v>7.4100877911386753E-2</v>
      </c>
      <c r="BZ304">
        <v>0</v>
      </c>
      <c r="CA304">
        <v>0.92589912208861325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hidden="1" x14ac:dyDescent="0.25">
      <c r="A305" t="s">
        <v>128</v>
      </c>
      <c r="B305" t="s">
        <v>372</v>
      </c>
      <c r="C305" t="s">
        <v>117</v>
      </c>
      <c r="D305" s="12">
        <v>46223</v>
      </c>
      <c r="J305">
        <v>44.310540874450453</v>
      </c>
      <c r="M305">
        <v>53.2</v>
      </c>
      <c r="N305">
        <v>53.2</v>
      </c>
      <c r="O305">
        <v>41.604761389850047</v>
      </c>
      <c r="S305">
        <v>2.3795385370389228E-2</v>
      </c>
      <c r="T305">
        <v>0</v>
      </c>
      <c r="U305">
        <v>0.13091886356862831</v>
      </c>
      <c r="V305">
        <v>0</v>
      </c>
      <c r="W305">
        <v>0</v>
      </c>
      <c r="X305">
        <v>0</v>
      </c>
      <c r="Y305">
        <v>1.0534169552251241E-2</v>
      </c>
      <c r="Z305">
        <v>0</v>
      </c>
      <c r="AA305">
        <v>0.11011200435542237</v>
      </c>
      <c r="AB305">
        <v>3.3042379663050521E-2</v>
      </c>
      <c r="AC305">
        <v>1.7905401735584765E-2</v>
      </c>
      <c r="AD305">
        <v>0</v>
      </c>
      <c r="AE305">
        <v>7.7488167103449926E-2</v>
      </c>
      <c r="AF305">
        <v>0</v>
      </c>
      <c r="AG305">
        <v>0.87156405149791472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84" hidden="1" x14ac:dyDescent="0.25">
      <c r="A306" t="s">
        <v>128</v>
      </c>
      <c r="B306" t="s">
        <v>372</v>
      </c>
      <c r="C306" t="s">
        <v>72</v>
      </c>
      <c r="D306" s="12">
        <v>46230</v>
      </c>
      <c r="E306" t="s">
        <v>133</v>
      </c>
      <c r="F306" t="s">
        <v>133</v>
      </c>
      <c r="G306" t="s">
        <v>133</v>
      </c>
      <c r="H306" t="s">
        <v>75</v>
      </c>
      <c r="I306">
        <v>20</v>
      </c>
      <c r="J306">
        <v>10.973885648639106</v>
      </c>
      <c r="K306">
        <v>46230</v>
      </c>
      <c r="L306" t="s">
        <v>215</v>
      </c>
      <c r="M306">
        <v>10.45</v>
      </c>
      <c r="N306">
        <v>10.45</v>
      </c>
      <c r="O306">
        <v>10.955208333333331</v>
      </c>
      <c r="P306">
        <v>0.95226069731243512</v>
      </c>
      <c r="Q306">
        <v>0.95226069731243512</v>
      </c>
      <c r="R306">
        <v>0.99829802169406689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4.6037324381631772E-2</v>
      </c>
      <c r="AC306">
        <v>1.7019783059331051E-3</v>
      </c>
      <c r="AD306">
        <v>0</v>
      </c>
      <c r="AE306">
        <v>0</v>
      </c>
      <c r="AF306">
        <v>0</v>
      </c>
      <c r="AG306">
        <v>0.95226069731243512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1.0501325979558953</v>
      </c>
      <c r="AN306">
        <v>1.0501325979558953</v>
      </c>
      <c r="AO306">
        <v>1.0483452950558212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4.8345295055821191E-2</v>
      </c>
      <c r="AW306">
        <v>0</v>
      </c>
      <c r="AX306">
        <v>1.787302900074117E-3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0.95388418750594284</v>
      </c>
      <c r="BK306">
        <v>0.95388418750594284</v>
      </c>
      <c r="BL306">
        <v>1.0017048799746642</v>
      </c>
      <c r="BM306">
        <v>1.7048799746641752E-3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4.7739302687564877E-2</v>
      </c>
      <c r="BW306">
        <v>0</v>
      </c>
      <c r="BX306">
        <v>0</v>
      </c>
      <c r="BY306">
        <v>0</v>
      </c>
      <c r="BZ306">
        <v>0</v>
      </c>
      <c r="CA306">
        <v>0.95388418750594284</v>
      </c>
      <c r="CB306">
        <v>0</v>
      </c>
      <c r="CC306">
        <v>0</v>
      </c>
      <c r="CD306">
        <v>0</v>
      </c>
      <c r="CE306">
        <v>0</v>
      </c>
      <c r="CF306">
        <v>0</v>
      </c>
    </row>
    <row r="307" spans="1:84" hidden="1" x14ac:dyDescent="0.25">
      <c r="A307" t="s">
        <v>128</v>
      </c>
      <c r="B307" t="s">
        <v>372</v>
      </c>
      <c r="C307" t="s">
        <v>72</v>
      </c>
      <c r="D307" s="12">
        <v>46231</v>
      </c>
      <c r="E307" t="s">
        <v>133</v>
      </c>
      <c r="F307" t="s">
        <v>133</v>
      </c>
      <c r="G307" t="s">
        <v>133</v>
      </c>
      <c r="H307" t="s">
        <v>75</v>
      </c>
      <c r="I307">
        <v>20</v>
      </c>
      <c r="J307">
        <v>10.973885648639106</v>
      </c>
      <c r="K307">
        <v>46231</v>
      </c>
      <c r="L307" t="s">
        <v>231</v>
      </c>
      <c r="M307">
        <v>10.45</v>
      </c>
      <c r="N307">
        <v>10.45</v>
      </c>
      <c r="O307">
        <v>12.2</v>
      </c>
      <c r="P307">
        <v>0.95226069731243512</v>
      </c>
      <c r="Q307">
        <v>0.95226069731243512</v>
      </c>
      <c r="R307">
        <v>1.1117301920776754</v>
      </c>
      <c r="S307">
        <v>0.11173019207767543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4.7739302687564877E-2</v>
      </c>
      <c r="AC307">
        <v>0</v>
      </c>
      <c r="AD307">
        <v>0</v>
      </c>
      <c r="AE307">
        <v>0</v>
      </c>
      <c r="AF307">
        <v>0</v>
      </c>
      <c r="AG307">
        <v>0.95226069731243512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1.0501325979558953</v>
      </c>
      <c r="AN307">
        <v>1.0501325979558953</v>
      </c>
      <c r="AO307">
        <v>1.167464114832536</v>
      </c>
      <c r="AP307">
        <v>0.11733151687664067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5.0132597955895308E-2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0.85655737704918034</v>
      </c>
      <c r="BK307">
        <v>0.85655737704918034</v>
      </c>
      <c r="BL307">
        <v>0.89949882365894318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0.10050117634105682</v>
      </c>
      <c r="BX307">
        <v>0</v>
      </c>
      <c r="BY307">
        <v>0</v>
      </c>
      <c r="BZ307">
        <v>0</v>
      </c>
      <c r="CA307">
        <v>0.85655737704918034</v>
      </c>
      <c r="CB307">
        <v>0</v>
      </c>
      <c r="CC307">
        <v>0</v>
      </c>
      <c r="CD307">
        <v>0</v>
      </c>
      <c r="CE307">
        <v>0</v>
      </c>
      <c r="CF307">
        <v>0</v>
      </c>
    </row>
    <row r="308" spans="1:84" hidden="1" x14ac:dyDescent="0.25">
      <c r="A308" t="s">
        <v>128</v>
      </c>
      <c r="B308" t="s">
        <v>372</v>
      </c>
      <c r="C308" t="s">
        <v>117</v>
      </c>
      <c r="D308" s="12">
        <v>46224</v>
      </c>
      <c r="J308">
        <v>45.494516376417593</v>
      </c>
      <c r="M308">
        <v>53.2</v>
      </c>
      <c r="N308">
        <v>53.2</v>
      </c>
      <c r="O308">
        <v>45.620690187839834</v>
      </c>
      <c r="S308">
        <v>3.5678698789778709E-2</v>
      </c>
      <c r="T308">
        <v>0</v>
      </c>
      <c r="U308">
        <v>0.15899027713695271</v>
      </c>
      <c r="V308">
        <v>0</v>
      </c>
      <c r="W308">
        <v>0</v>
      </c>
      <c r="X308">
        <v>0</v>
      </c>
      <c r="Y308">
        <v>1.6703894445322953E-2</v>
      </c>
      <c r="Z308">
        <v>0</v>
      </c>
      <c r="AA308">
        <v>9.7669512748814094E-2</v>
      </c>
      <c r="AB308">
        <v>9.3761295406785752E-2</v>
      </c>
      <c r="AC308">
        <v>1.0230687952083308E-2</v>
      </c>
      <c r="AD308">
        <v>0</v>
      </c>
      <c r="AE308">
        <v>3.9378520236383524E-2</v>
      </c>
      <c r="AF308">
        <v>0</v>
      </c>
      <c r="AG308">
        <v>0.85662949640474761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84" hidden="1" x14ac:dyDescent="0.25">
      <c r="A309" t="s">
        <v>128</v>
      </c>
      <c r="B309" t="s">
        <v>372</v>
      </c>
      <c r="C309" t="s">
        <v>117</v>
      </c>
      <c r="D309" s="12">
        <v>46226</v>
      </c>
      <c r="J309">
        <v>44.451455281615083</v>
      </c>
      <c r="M309">
        <v>59.849999999999994</v>
      </c>
      <c r="N309">
        <v>59.849999999999994</v>
      </c>
      <c r="O309">
        <v>42.095525632853757</v>
      </c>
      <c r="S309">
        <v>1.2888379320171613E-2</v>
      </c>
      <c r="T309">
        <v>0</v>
      </c>
      <c r="U309">
        <v>0.30762788641825506</v>
      </c>
      <c r="V309">
        <v>0</v>
      </c>
      <c r="W309">
        <v>0</v>
      </c>
      <c r="X309">
        <v>0</v>
      </c>
      <c r="Y309">
        <v>1.0195476588731302E-2</v>
      </c>
      <c r="Z309">
        <v>0</v>
      </c>
      <c r="AA309">
        <v>0.14435237219916178</v>
      </c>
      <c r="AB309">
        <v>7.4289159253658199E-2</v>
      </c>
      <c r="AC309">
        <v>4.1473964243156726E-2</v>
      </c>
      <c r="AD309">
        <v>0</v>
      </c>
      <c r="AE309">
        <v>3.4609948330611394E-2</v>
      </c>
      <c r="AF309">
        <v>0</v>
      </c>
      <c r="AG309">
        <v>0.84962692817257368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84" hidden="1" x14ac:dyDescent="0.25">
      <c r="A310" t="s">
        <v>128</v>
      </c>
      <c r="B310" t="s">
        <v>372</v>
      </c>
      <c r="C310" t="s">
        <v>72</v>
      </c>
      <c r="D310" s="12">
        <v>46231</v>
      </c>
      <c r="E310" t="s">
        <v>133</v>
      </c>
      <c r="F310" t="s">
        <v>133</v>
      </c>
      <c r="G310" t="s">
        <v>133</v>
      </c>
      <c r="H310" t="s">
        <v>74</v>
      </c>
      <c r="I310">
        <v>20</v>
      </c>
      <c r="J310">
        <v>4.2207252494765797</v>
      </c>
      <c r="K310">
        <v>46231</v>
      </c>
      <c r="L310" t="s">
        <v>230</v>
      </c>
      <c r="M310">
        <v>3.8</v>
      </c>
      <c r="N310">
        <v>3.8</v>
      </c>
      <c r="O310">
        <v>4.6875</v>
      </c>
      <c r="P310">
        <v>0.90031920473175675</v>
      </c>
      <c r="Q310">
        <v>0.90031920473175675</v>
      </c>
      <c r="R310">
        <v>1.1105911242579236</v>
      </c>
      <c r="S310">
        <v>0.11059112425792361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9.968079526824325E-2</v>
      </c>
      <c r="AC310">
        <v>0</v>
      </c>
      <c r="AD310">
        <v>0</v>
      </c>
      <c r="AE310">
        <v>0</v>
      </c>
      <c r="AF310">
        <v>0</v>
      </c>
      <c r="AG310">
        <v>0.90031920473175675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1.1107171709148895</v>
      </c>
      <c r="AN310">
        <v>1.1107171709148895</v>
      </c>
      <c r="AO310">
        <v>1.2335526315789473</v>
      </c>
      <c r="AP310">
        <v>0.12283546066405782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0.11071717091488953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0.81066666666666665</v>
      </c>
      <c r="BK310">
        <v>0.81066666666666665</v>
      </c>
      <c r="BL310">
        <v>0.9004213865550037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9.95786134449963E-2</v>
      </c>
      <c r="BX310">
        <v>0</v>
      </c>
      <c r="BY310">
        <v>0</v>
      </c>
      <c r="BZ310">
        <v>0</v>
      </c>
      <c r="CA310">
        <v>0.81066666666666665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 spans="1:84" hidden="1" x14ac:dyDescent="0.25">
      <c r="A311" t="s">
        <v>128</v>
      </c>
      <c r="B311" t="s">
        <v>372</v>
      </c>
      <c r="C311" t="s">
        <v>72</v>
      </c>
      <c r="D311" s="12">
        <v>46232</v>
      </c>
      <c r="E311" t="s">
        <v>133</v>
      </c>
      <c r="F311" t="s">
        <v>133</v>
      </c>
      <c r="G311" t="s">
        <v>133</v>
      </c>
      <c r="H311" t="s">
        <v>74</v>
      </c>
      <c r="I311">
        <v>20</v>
      </c>
      <c r="J311">
        <v>4.2207252494765797</v>
      </c>
      <c r="K311">
        <v>46232</v>
      </c>
      <c r="L311" t="s">
        <v>237</v>
      </c>
      <c r="M311">
        <v>3.8</v>
      </c>
      <c r="N311">
        <v>3.8</v>
      </c>
      <c r="O311">
        <v>4.6875</v>
      </c>
      <c r="P311">
        <v>0.90031920473175675</v>
      </c>
      <c r="Q311">
        <v>0.90031920473175675</v>
      </c>
      <c r="R311">
        <v>1.1105911242579236</v>
      </c>
      <c r="S311">
        <v>0.11059112425792361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9.968079526824325E-2</v>
      </c>
      <c r="AC311">
        <v>0</v>
      </c>
      <c r="AD311">
        <v>0</v>
      </c>
      <c r="AE311">
        <v>0</v>
      </c>
      <c r="AF311">
        <v>0</v>
      </c>
      <c r="AG311">
        <v>0.90031920473175675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1.1107171709148895</v>
      </c>
      <c r="AN311">
        <v>1.1107171709148895</v>
      </c>
      <c r="AO311">
        <v>1.2335526315789473</v>
      </c>
      <c r="AP311">
        <v>0.12283546066405782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0.11071717091488953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0.81066666666666665</v>
      </c>
      <c r="BK311">
        <v>0.81066666666666665</v>
      </c>
      <c r="BL311">
        <v>0.9004213865550037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9.95786134449963E-2</v>
      </c>
      <c r="BX311">
        <v>0</v>
      </c>
      <c r="BY311">
        <v>0</v>
      </c>
      <c r="BZ311">
        <v>0</v>
      </c>
      <c r="CA311">
        <v>0.81066666666666665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hidden="1" x14ac:dyDescent="0.25">
      <c r="A312" t="s">
        <v>128</v>
      </c>
      <c r="B312" t="s">
        <v>372</v>
      </c>
      <c r="C312" t="s">
        <v>72</v>
      </c>
      <c r="D312" s="12">
        <v>46238</v>
      </c>
      <c r="E312" t="s">
        <v>133</v>
      </c>
      <c r="F312" t="s">
        <v>133</v>
      </c>
      <c r="G312" t="s">
        <v>133</v>
      </c>
      <c r="H312" t="s">
        <v>75</v>
      </c>
      <c r="I312">
        <v>20</v>
      </c>
      <c r="J312">
        <v>10.973885648639106</v>
      </c>
      <c r="K312">
        <v>46238</v>
      </c>
      <c r="L312" t="s">
        <v>178</v>
      </c>
      <c r="M312">
        <v>12.35</v>
      </c>
      <c r="N312">
        <v>12.35</v>
      </c>
      <c r="O312">
        <v>12.5390625</v>
      </c>
      <c r="P312">
        <v>1.1253990059146961</v>
      </c>
      <c r="Q312">
        <v>1.1253990059146961</v>
      </c>
      <c r="R312">
        <v>1.1426274066884408</v>
      </c>
      <c r="S312">
        <v>1.7228400773744657E-2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0.1253990059146961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0.88857373673191142</v>
      </c>
      <c r="AN312">
        <v>0.88857373673191142</v>
      </c>
      <c r="AO312">
        <v>1.0153087044534412</v>
      </c>
      <c r="AP312">
        <v>1.5308704453441235E-2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0.88857373673191142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0.98492211838006227</v>
      </c>
      <c r="BK312">
        <v>0.98492211838006227</v>
      </c>
      <c r="BL312">
        <v>0.87517592711888204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1.5077881619937727E-2</v>
      </c>
      <c r="BX312">
        <v>0</v>
      </c>
      <c r="BY312">
        <v>0.10974619126118024</v>
      </c>
      <c r="BZ312">
        <v>0</v>
      </c>
      <c r="CA312">
        <v>0.87517592711888204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 spans="1:84" hidden="1" x14ac:dyDescent="0.25">
      <c r="A313" t="s">
        <v>128</v>
      </c>
      <c r="B313" t="s">
        <v>372</v>
      </c>
      <c r="C313" t="s">
        <v>72</v>
      </c>
      <c r="D313" s="12">
        <v>46235</v>
      </c>
      <c r="E313" t="s">
        <v>133</v>
      </c>
      <c r="F313" t="s">
        <v>133</v>
      </c>
      <c r="G313" t="s">
        <v>133</v>
      </c>
      <c r="H313" t="s">
        <v>73</v>
      </c>
      <c r="I313">
        <v>20</v>
      </c>
      <c r="J313">
        <v>11.026644714257564</v>
      </c>
      <c r="K313">
        <v>46235</v>
      </c>
      <c r="L313" t="s">
        <v>188</v>
      </c>
      <c r="M313">
        <v>10.45</v>
      </c>
      <c r="N313">
        <v>10.45</v>
      </c>
      <c r="O313">
        <v>12.066176470588234</v>
      </c>
      <c r="P313">
        <v>0.94770442603342819</v>
      </c>
      <c r="Q313">
        <v>0.94770442603342819</v>
      </c>
      <c r="R313">
        <v>1.0942745307633377</v>
      </c>
      <c r="S313">
        <v>9.4274530763337694E-2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5.2295573966571807E-2</v>
      </c>
      <c r="AC313">
        <v>0</v>
      </c>
      <c r="AD313">
        <v>0</v>
      </c>
      <c r="AE313">
        <v>0</v>
      </c>
      <c r="AF313">
        <v>0</v>
      </c>
      <c r="AG313">
        <v>0.94770442603342819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1.0551813123691449</v>
      </c>
      <c r="AN313">
        <v>1.0551813123691449</v>
      </c>
      <c r="AO313">
        <v>1.154658035462989</v>
      </c>
      <c r="AP313">
        <v>9.9476723093844033E-2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5.5181312369144919E-2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0.86605728214503352</v>
      </c>
      <c r="BK313">
        <v>0.86605728214503352</v>
      </c>
      <c r="BL313">
        <v>0.91384745956065139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8.6152540439348613E-2</v>
      </c>
      <c r="BX313">
        <v>0</v>
      </c>
      <c r="BY313">
        <v>0</v>
      </c>
      <c r="BZ313">
        <v>0</v>
      </c>
      <c r="CA313">
        <v>0.86605728214503352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 spans="1:84" hidden="1" x14ac:dyDescent="0.25">
      <c r="A314" t="s">
        <v>128</v>
      </c>
      <c r="B314" t="s">
        <v>372</v>
      </c>
      <c r="C314" t="s">
        <v>72</v>
      </c>
      <c r="D314" s="12">
        <v>46235</v>
      </c>
      <c r="E314" t="s">
        <v>133</v>
      </c>
      <c r="F314" t="s">
        <v>133</v>
      </c>
      <c r="G314" t="s">
        <v>133</v>
      </c>
      <c r="H314" t="s">
        <v>75</v>
      </c>
      <c r="I314">
        <v>20</v>
      </c>
      <c r="J314">
        <v>10.973885648639106</v>
      </c>
      <c r="K314">
        <v>46235</v>
      </c>
      <c r="L314" t="s">
        <v>186</v>
      </c>
      <c r="M314">
        <v>9.5</v>
      </c>
      <c r="N314">
        <v>9.5</v>
      </c>
      <c r="O314">
        <v>11.308823529411764</v>
      </c>
      <c r="P314">
        <v>0.86569154301130469</v>
      </c>
      <c r="Q314">
        <v>0.86569154301130469</v>
      </c>
      <c r="R314">
        <v>1.0305213569283178</v>
      </c>
      <c r="S314">
        <v>3.0521356928317811E-2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0.13430845698869531</v>
      </c>
      <c r="AC314">
        <v>0</v>
      </c>
      <c r="AD314">
        <v>0</v>
      </c>
      <c r="AE314">
        <v>0</v>
      </c>
      <c r="AF314">
        <v>0</v>
      </c>
      <c r="AG314">
        <v>0.86569154301130469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1.1551458577514848</v>
      </c>
      <c r="AN314">
        <v>1.1551458577514848</v>
      </c>
      <c r="AO314">
        <v>1.1904024767801857</v>
      </c>
      <c r="AP314">
        <v>3.525661902870092E-2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0.15514585775148482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0.84005201560468146</v>
      </c>
      <c r="BK314">
        <v>0.84005201560468146</v>
      </c>
      <c r="BL314">
        <v>0.97038260612153349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2.9617393878466514E-2</v>
      </c>
      <c r="BX314">
        <v>0</v>
      </c>
      <c r="BY314">
        <v>0</v>
      </c>
      <c r="BZ314">
        <v>0</v>
      </c>
      <c r="CA314">
        <v>0.84005201560468146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 spans="1:84" hidden="1" x14ac:dyDescent="0.25">
      <c r="A315" t="s">
        <v>128</v>
      </c>
      <c r="B315" t="s">
        <v>372</v>
      </c>
      <c r="C315" t="s">
        <v>72</v>
      </c>
      <c r="D315" s="12">
        <v>46238</v>
      </c>
      <c r="E315" t="s">
        <v>133</v>
      </c>
      <c r="F315" t="s">
        <v>133</v>
      </c>
      <c r="G315" t="s">
        <v>133</v>
      </c>
      <c r="H315" t="s">
        <v>74</v>
      </c>
      <c r="I315">
        <v>20</v>
      </c>
      <c r="J315">
        <v>4.2207252494765797</v>
      </c>
      <c r="K315">
        <v>46238</v>
      </c>
      <c r="L315" t="s">
        <v>179</v>
      </c>
      <c r="M315">
        <v>4.75</v>
      </c>
      <c r="N315">
        <v>4.75</v>
      </c>
      <c r="O315">
        <v>4.6875</v>
      </c>
      <c r="P315">
        <v>1.1253990059146959</v>
      </c>
      <c r="Q315">
        <v>1.1253990059146959</v>
      </c>
      <c r="R315">
        <v>1.1105911242579236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0.11059112425792361</v>
      </c>
      <c r="Z315">
        <v>0</v>
      </c>
      <c r="AA315">
        <v>1.480788165677227E-2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0.88857373673191153</v>
      </c>
      <c r="AN315">
        <v>0.88857373673191153</v>
      </c>
      <c r="AO315">
        <v>0.98684210526315785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1.3157894736842146E-2</v>
      </c>
      <c r="BA315">
        <v>0</v>
      </c>
      <c r="BB315">
        <v>0</v>
      </c>
      <c r="BC315">
        <v>0</v>
      </c>
      <c r="BD315">
        <v>0.88857373673191153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1.0133333333333334</v>
      </c>
      <c r="BK315">
        <v>1.0133333333333334</v>
      </c>
      <c r="BL315">
        <v>0.9004213865550037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1.3333333333333419E-2</v>
      </c>
      <c r="BV315">
        <v>0</v>
      </c>
      <c r="BW315">
        <v>0</v>
      </c>
      <c r="BX315">
        <v>0</v>
      </c>
      <c r="BY315">
        <v>9.95786134449963E-2</v>
      </c>
      <c r="BZ315">
        <v>0</v>
      </c>
      <c r="CA315">
        <v>0.9004213865550037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hidden="1" x14ac:dyDescent="0.25">
      <c r="A316" t="s">
        <v>128</v>
      </c>
      <c r="B316" t="s">
        <v>372</v>
      </c>
      <c r="C316" t="s">
        <v>72</v>
      </c>
      <c r="D316" s="12">
        <v>46229</v>
      </c>
      <c r="E316" t="s">
        <v>133</v>
      </c>
      <c r="F316" t="s">
        <v>133</v>
      </c>
      <c r="G316" t="s">
        <v>133</v>
      </c>
      <c r="H316" t="s">
        <v>74</v>
      </c>
      <c r="I316">
        <v>20</v>
      </c>
      <c r="J316">
        <v>4.2207252494765797</v>
      </c>
      <c r="K316">
        <v>46229</v>
      </c>
      <c r="L316" t="s">
        <v>219</v>
      </c>
      <c r="M316">
        <v>3.8</v>
      </c>
      <c r="N316">
        <v>3.8</v>
      </c>
      <c r="O316">
        <v>4.6875</v>
      </c>
      <c r="P316">
        <v>0.90031920473175675</v>
      </c>
      <c r="Q316">
        <v>0.90031920473175675</v>
      </c>
      <c r="R316">
        <v>1.1105911242579236</v>
      </c>
      <c r="S316">
        <v>0.11059112425792361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9.968079526824325E-2</v>
      </c>
      <c r="AC316">
        <v>0</v>
      </c>
      <c r="AD316">
        <v>0</v>
      </c>
      <c r="AE316">
        <v>0</v>
      </c>
      <c r="AF316">
        <v>0</v>
      </c>
      <c r="AG316">
        <v>0.90031920473175675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1.1107171709148895</v>
      </c>
      <c r="AN316">
        <v>1.1107171709148895</v>
      </c>
      <c r="AO316">
        <v>1.2335526315789473</v>
      </c>
      <c r="AP316">
        <v>0.12283546066405782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0.11071717091488953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0.81066666666666665</v>
      </c>
      <c r="BK316">
        <v>0.81066666666666665</v>
      </c>
      <c r="BL316">
        <v>0.9004213865550037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9.95786134449963E-2</v>
      </c>
      <c r="BX316">
        <v>0</v>
      </c>
      <c r="BY316">
        <v>0</v>
      </c>
      <c r="BZ316">
        <v>0</v>
      </c>
      <c r="CA316">
        <v>0.81066666666666665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 spans="1:84" hidden="1" x14ac:dyDescent="0.25">
      <c r="A317" t="s">
        <v>128</v>
      </c>
      <c r="B317" t="s">
        <v>372</v>
      </c>
      <c r="C317" t="s">
        <v>109</v>
      </c>
      <c r="D317" s="12">
        <v>46249</v>
      </c>
      <c r="E317" t="s">
        <v>134</v>
      </c>
      <c r="F317" t="s">
        <v>134</v>
      </c>
      <c r="G317" t="s">
        <v>134</v>
      </c>
      <c r="J317">
        <v>8.86336106911447</v>
      </c>
      <c r="M317">
        <v>0</v>
      </c>
      <c r="N317">
        <v>0</v>
      </c>
      <c r="O317">
        <v>7.4238754325259499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0.83759144805635932</v>
      </c>
      <c r="AC317">
        <v>0.16240855194364059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84" hidden="1" x14ac:dyDescent="0.25">
      <c r="A318" t="s">
        <v>128</v>
      </c>
      <c r="B318" t="s">
        <v>372</v>
      </c>
      <c r="C318" t="s">
        <v>117</v>
      </c>
      <c r="D318" s="12">
        <v>46231</v>
      </c>
      <c r="J318">
        <v>45.37322940100907</v>
      </c>
      <c r="M318">
        <v>46.55</v>
      </c>
      <c r="N318">
        <v>46.55</v>
      </c>
      <c r="O318">
        <v>44.630839100346016</v>
      </c>
      <c r="S318">
        <v>7.4837415933223989E-2</v>
      </c>
      <c r="T318">
        <v>0</v>
      </c>
      <c r="U318">
        <v>9.5351045803461459E-2</v>
      </c>
      <c r="V318">
        <v>0</v>
      </c>
      <c r="W318">
        <v>0</v>
      </c>
      <c r="X318">
        <v>1.50864416442362E-2</v>
      </c>
      <c r="Y318">
        <v>4.6808115875522039E-3</v>
      </c>
      <c r="Z318">
        <v>0</v>
      </c>
      <c r="AA318">
        <v>6.4679615354013523E-2</v>
      </c>
      <c r="AB318">
        <v>9.1826698571657248E-2</v>
      </c>
      <c r="AC318">
        <v>4.6949423868223504E-2</v>
      </c>
      <c r="AD318">
        <v>0</v>
      </c>
      <c r="AE318">
        <v>4.8930660863591956E-2</v>
      </c>
      <c r="AF318">
        <v>0</v>
      </c>
      <c r="AG318">
        <v>0.73322420376937336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84" hidden="1" x14ac:dyDescent="0.25">
      <c r="A319" t="s">
        <v>128</v>
      </c>
      <c r="B319" t="s">
        <v>372</v>
      </c>
      <c r="C319" t="s">
        <v>109</v>
      </c>
      <c r="D319" s="12">
        <v>46250</v>
      </c>
      <c r="E319" t="s">
        <v>133</v>
      </c>
      <c r="F319" t="s">
        <v>133</v>
      </c>
      <c r="G319" t="s">
        <v>133</v>
      </c>
      <c r="J319">
        <v>26.168496546754792</v>
      </c>
      <c r="M319">
        <v>24.7</v>
      </c>
      <c r="N319">
        <v>24.7</v>
      </c>
      <c r="O319">
        <v>29.12109375</v>
      </c>
      <c r="S319">
        <v>9.2753846151807096E-2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2.0076373114701233E-2</v>
      </c>
      <c r="Z319">
        <v>0</v>
      </c>
      <c r="AA319">
        <v>1.4927300057229664E-4</v>
      </c>
      <c r="AB319">
        <v>7.6342608896496203E-2</v>
      </c>
      <c r="AC319">
        <v>0</v>
      </c>
      <c r="AD319">
        <v>0</v>
      </c>
      <c r="AE319">
        <v>0</v>
      </c>
      <c r="AF319">
        <v>0</v>
      </c>
      <c r="AG319">
        <v>0.92365739110350376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84" hidden="1" x14ac:dyDescent="0.25">
      <c r="A320" t="s">
        <v>128</v>
      </c>
      <c r="B320" t="s">
        <v>372</v>
      </c>
      <c r="C320" t="s">
        <v>72</v>
      </c>
      <c r="D320" s="12">
        <v>46229</v>
      </c>
      <c r="E320" t="s">
        <v>133</v>
      </c>
      <c r="F320" t="s">
        <v>133</v>
      </c>
      <c r="G320" t="s">
        <v>133</v>
      </c>
      <c r="H320" t="s">
        <v>75</v>
      </c>
      <c r="I320">
        <v>20</v>
      </c>
      <c r="J320">
        <v>11.818030698534422</v>
      </c>
      <c r="K320">
        <v>46229</v>
      </c>
      <c r="L320" t="s">
        <v>218</v>
      </c>
      <c r="M320">
        <v>11.4</v>
      </c>
      <c r="N320">
        <v>11.4</v>
      </c>
      <c r="O320">
        <v>12.932291666666668</v>
      </c>
      <c r="P320">
        <v>0.96462771935545366</v>
      </c>
      <c r="Q320">
        <v>0.96462771935545366</v>
      </c>
      <c r="R320">
        <v>1.0942848260049305</v>
      </c>
      <c r="S320">
        <v>9.4284826004930489E-2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3.5372280644546339E-2</v>
      </c>
      <c r="AC320">
        <v>0</v>
      </c>
      <c r="AD320">
        <v>0</v>
      </c>
      <c r="AE320">
        <v>0</v>
      </c>
      <c r="AF320">
        <v>0</v>
      </c>
      <c r="AG320">
        <v>0.96462771935545366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1.0366693595205634</v>
      </c>
      <c r="AN320">
        <v>1.0366693595205634</v>
      </c>
      <c r="AO320">
        <v>1.1344115497076026</v>
      </c>
      <c r="AP320">
        <v>9.7742190187039224E-2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3.6669359520563383E-2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0.8815142972211033</v>
      </c>
      <c r="BK320">
        <v>0.8815142972211033</v>
      </c>
      <c r="BL320">
        <v>0.91383886190842079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8.6161138091579215E-2</v>
      </c>
      <c r="BX320">
        <v>0</v>
      </c>
      <c r="BY320">
        <v>0</v>
      </c>
      <c r="BZ320">
        <v>0</v>
      </c>
      <c r="CA320">
        <v>0.8815142972211033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 spans="1:84" hidden="1" x14ac:dyDescent="0.25">
      <c r="A321" t="s">
        <v>128</v>
      </c>
      <c r="B321" t="s">
        <v>372</v>
      </c>
      <c r="C321" t="s">
        <v>72</v>
      </c>
      <c r="D321" s="12">
        <v>46238</v>
      </c>
      <c r="E321" t="s">
        <v>133</v>
      </c>
      <c r="F321" t="s">
        <v>133</v>
      </c>
      <c r="G321" t="s">
        <v>133</v>
      </c>
      <c r="H321" t="s">
        <v>73</v>
      </c>
      <c r="I321">
        <v>20</v>
      </c>
      <c r="J321">
        <v>13.005109674949706</v>
      </c>
      <c r="K321">
        <v>46238</v>
      </c>
      <c r="L321" t="s">
        <v>180</v>
      </c>
      <c r="M321">
        <v>12.35</v>
      </c>
      <c r="N321">
        <v>12.35</v>
      </c>
      <c r="O321">
        <v>14.5546875</v>
      </c>
      <c r="P321">
        <v>0.94962674738440911</v>
      </c>
      <c r="Q321">
        <v>0.94962674738440911</v>
      </c>
      <c r="R321">
        <v>1.1191514615240095</v>
      </c>
      <c r="S321">
        <v>0.11915146152400946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5.0373252615590891E-2</v>
      </c>
      <c r="AC321">
        <v>0</v>
      </c>
      <c r="AD321">
        <v>0</v>
      </c>
      <c r="AE321">
        <v>0</v>
      </c>
      <c r="AF321">
        <v>0</v>
      </c>
      <c r="AG321">
        <v>0.94962674738440911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1.0530453178096928</v>
      </c>
      <c r="AN321">
        <v>1.0530453178096928</v>
      </c>
      <c r="AO321">
        <v>1.1785172064777327</v>
      </c>
      <c r="AP321">
        <v>0.12547188866803993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5.3045317809692794E-2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0.8485238862050456</v>
      </c>
      <c r="BK321">
        <v>0.8485238862050456</v>
      </c>
      <c r="BL321">
        <v>0.8935341054179079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0.1064658945820921</v>
      </c>
      <c r="BX321">
        <v>0</v>
      </c>
      <c r="BY321">
        <v>0</v>
      </c>
      <c r="BZ321">
        <v>0</v>
      </c>
      <c r="CA321">
        <v>0.8485238862050456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 spans="1:84" hidden="1" x14ac:dyDescent="0.25">
      <c r="A322" t="s">
        <v>128</v>
      </c>
      <c r="B322" t="s">
        <v>372</v>
      </c>
      <c r="C322" t="s">
        <v>109</v>
      </c>
      <c r="D322" s="12">
        <v>46250</v>
      </c>
      <c r="E322" t="s">
        <v>501</v>
      </c>
      <c r="F322" t="s">
        <v>501</v>
      </c>
      <c r="G322" t="s">
        <v>501</v>
      </c>
      <c r="J322">
        <v>6.7655742969551058</v>
      </c>
      <c r="M322">
        <v>10.45</v>
      </c>
      <c r="N322">
        <v>10.45</v>
      </c>
      <c r="O322">
        <v>7.515570934256055</v>
      </c>
      <c r="S322">
        <v>8.4679761370877557E-2</v>
      </c>
      <c r="T322">
        <v>0</v>
      </c>
      <c r="U322">
        <v>0.32007326021173438</v>
      </c>
      <c r="V322">
        <v>0</v>
      </c>
      <c r="W322">
        <v>0</v>
      </c>
      <c r="X322">
        <v>0</v>
      </c>
      <c r="Y322">
        <v>2.6175075836141232E-2</v>
      </c>
      <c r="Z322">
        <v>0</v>
      </c>
      <c r="AA322">
        <v>0.1063937315033083</v>
      </c>
      <c r="AB322">
        <v>4.8474500538352429E-2</v>
      </c>
      <c r="AC322">
        <v>0</v>
      </c>
      <c r="AD322">
        <v>0</v>
      </c>
      <c r="AE322">
        <v>0</v>
      </c>
      <c r="AF322">
        <v>0</v>
      </c>
      <c r="AG322">
        <v>0.95152549946164755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84" hidden="1" x14ac:dyDescent="0.25">
      <c r="A323" t="s">
        <v>128</v>
      </c>
      <c r="B323" t="s">
        <v>372</v>
      </c>
      <c r="C323" t="s">
        <v>72</v>
      </c>
      <c r="D323" s="12">
        <v>46235</v>
      </c>
      <c r="E323" t="s">
        <v>133</v>
      </c>
      <c r="F323" t="s">
        <v>133</v>
      </c>
      <c r="G323" t="s">
        <v>133</v>
      </c>
      <c r="H323" t="s">
        <v>74</v>
      </c>
      <c r="I323">
        <v>20</v>
      </c>
      <c r="J323">
        <v>4.2207252494765797</v>
      </c>
      <c r="K323">
        <v>46235</v>
      </c>
      <c r="L323" t="s">
        <v>187</v>
      </c>
      <c r="M323">
        <v>4.75</v>
      </c>
      <c r="N323">
        <v>4.75</v>
      </c>
      <c r="O323">
        <v>4.6875</v>
      </c>
      <c r="P323">
        <v>1.1253990059146959</v>
      </c>
      <c r="Q323">
        <v>1.1253990059146959</v>
      </c>
      <c r="R323">
        <v>1.1105911242579236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0.11059112425792361</v>
      </c>
      <c r="Z323">
        <v>0</v>
      </c>
      <c r="AA323">
        <v>1.480788165677227E-2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0.88857373673191153</v>
      </c>
      <c r="AN323">
        <v>0.88857373673191153</v>
      </c>
      <c r="AO323">
        <v>0.98684210526315785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1.3157894736842146E-2</v>
      </c>
      <c r="BA323">
        <v>0</v>
      </c>
      <c r="BB323">
        <v>0</v>
      </c>
      <c r="BC323">
        <v>0</v>
      </c>
      <c r="BD323">
        <v>0.88857373673191153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1.0133333333333334</v>
      </c>
      <c r="BK323">
        <v>1.0133333333333334</v>
      </c>
      <c r="BL323">
        <v>0.9004213865550037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1.3333333333333419E-2</v>
      </c>
      <c r="BV323">
        <v>0</v>
      </c>
      <c r="BW323">
        <v>0</v>
      </c>
      <c r="BX323">
        <v>0</v>
      </c>
      <c r="BY323">
        <v>9.95786134449963E-2</v>
      </c>
      <c r="BZ323">
        <v>0</v>
      </c>
      <c r="CA323">
        <v>0.9004213865550037</v>
      </c>
      <c r="CB323">
        <v>0</v>
      </c>
      <c r="CC323">
        <v>0</v>
      </c>
      <c r="CD323">
        <v>0</v>
      </c>
      <c r="CE323">
        <v>0</v>
      </c>
      <c r="CF323">
        <v>0</v>
      </c>
    </row>
    <row r="324" spans="1:84" hidden="1" x14ac:dyDescent="0.25">
      <c r="A324" t="s">
        <v>128</v>
      </c>
      <c r="B324" t="s">
        <v>372</v>
      </c>
      <c r="C324" t="s">
        <v>117</v>
      </c>
      <c r="D324" s="12">
        <v>46230</v>
      </c>
      <c r="J324">
        <v>41.991638269158877</v>
      </c>
      <c r="M324">
        <v>49.4</v>
      </c>
      <c r="N324">
        <v>49.4</v>
      </c>
      <c r="O324">
        <v>41.920631487889274</v>
      </c>
      <c r="S324">
        <v>3.6534723458750147E-2</v>
      </c>
      <c r="T324">
        <v>0</v>
      </c>
      <c r="U324">
        <v>0.10763218550722733</v>
      </c>
      <c r="V324">
        <v>0</v>
      </c>
      <c r="W324">
        <v>0</v>
      </c>
      <c r="X324">
        <v>1.6301354407303931E-2</v>
      </c>
      <c r="Y324">
        <v>1.8456893394210593E-2</v>
      </c>
      <c r="Z324">
        <v>0</v>
      </c>
      <c r="AA324">
        <v>0.10096637493069542</v>
      </c>
      <c r="AB324">
        <v>4.22546657372204E-2</v>
      </c>
      <c r="AC324">
        <v>8.376098890008515E-3</v>
      </c>
      <c r="AD324">
        <v>0</v>
      </c>
      <c r="AE324">
        <v>4.8306492266323157E-2</v>
      </c>
      <c r="AF324">
        <v>0</v>
      </c>
      <c r="AG324">
        <v>0.81562629409107212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84" hidden="1" x14ac:dyDescent="0.25">
      <c r="A325" t="s">
        <v>128</v>
      </c>
      <c r="B325" t="s">
        <v>372</v>
      </c>
      <c r="C325" t="s">
        <v>72</v>
      </c>
      <c r="D325" s="12">
        <v>46237</v>
      </c>
      <c r="E325" t="s">
        <v>133</v>
      </c>
      <c r="F325" t="s">
        <v>133</v>
      </c>
      <c r="G325" t="s">
        <v>133</v>
      </c>
      <c r="H325" t="s">
        <v>74</v>
      </c>
      <c r="I325">
        <v>20</v>
      </c>
      <c r="J325">
        <v>4.2207252494765797</v>
      </c>
      <c r="K325">
        <v>46237</v>
      </c>
      <c r="L325" t="s">
        <v>182</v>
      </c>
      <c r="M325">
        <v>3.8</v>
      </c>
      <c r="N325">
        <v>3.8</v>
      </c>
      <c r="O325">
        <v>4.6875</v>
      </c>
      <c r="P325">
        <v>0.90031920473175675</v>
      </c>
      <c r="Q325">
        <v>0.90031920473175675</v>
      </c>
      <c r="R325">
        <v>1.1105911242579236</v>
      </c>
      <c r="S325">
        <v>0.11059112425792361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9.968079526824325E-2</v>
      </c>
      <c r="AC325">
        <v>0</v>
      </c>
      <c r="AD325">
        <v>0</v>
      </c>
      <c r="AE325">
        <v>0</v>
      </c>
      <c r="AF325">
        <v>0</v>
      </c>
      <c r="AG325">
        <v>0.90031920473175675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1.1107171709148895</v>
      </c>
      <c r="AN325">
        <v>1.1107171709148895</v>
      </c>
      <c r="AO325">
        <v>1.2335526315789473</v>
      </c>
      <c r="AP325">
        <v>0.12283546066405782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0.11071717091488953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0.81066666666666665</v>
      </c>
      <c r="BK325">
        <v>0.81066666666666665</v>
      </c>
      <c r="BL325">
        <v>0.9004213865550037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9.95786134449963E-2</v>
      </c>
      <c r="BX325">
        <v>0</v>
      </c>
      <c r="BY325">
        <v>0</v>
      </c>
      <c r="BZ325">
        <v>0</v>
      </c>
      <c r="CA325">
        <v>0.81066666666666665</v>
      </c>
      <c r="CB325">
        <v>0</v>
      </c>
      <c r="CC325">
        <v>0</v>
      </c>
      <c r="CD325">
        <v>0</v>
      </c>
      <c r="CE325">
        <v>0</v>
      </c>
      <c r="CF325">
        <v>0</v>
      </c>
    </row>
    <row r="326" spans="1:84" hidden="1" x14ac:dyDescent="0.25">
      <c r="A326" t="s">
        <v>128</v>
      </c>
      <c r="B326" t="s">
        <v>372</v>
      </c>
      <c r="C326" t="s">
        <v>109</v>
      </c>
      <c r="D326" s="12">
        <v>46250</v>
      </c>
      <c r="E326" t="s">
        <v>134</v>
      </c>
      <c r="F326" t="s">
        <v>134</v>
      </c>
      <c r="G326" t="s">
        <v>134</v>
      </c>
      <c r="J326">
        <v>7.0363468952483785</v>
      </c>
      <c r="M326">
        <v>0</v>
      </c>
      <c r="N326">
        <v>0</v>
      </c>
      <c r="O326">
        <v>5.9307958477508649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0.84287996826249589</v>
      </c>
      <c r="AC326">
        <v>0.15712003173750411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84" hidden="1" x14ac:dyDescent="0.25">
      <c r="A327" t="s">
        <v>128</v>
      </c>
      <c r="B327" t="s">
        <v>372</v>
      </c>
      <c r="C327" t="s">
        <v>117</v>
      </c>
      <c r="D327" s="12">
        <v>46229</v>
      </c>
      <c r="J327">
        <v>41.938879203540424</v>
      </c>
      <c r="M327">
        <v>41.79999999999999</v>
      </c>
      <c r="N327">
        <v>41.79999999999999</v>
      </c>
      <c r="O327">
        <v>44.927371683967699</v>
      </c>
      <c r="S327">
        <v>7.4418238014540089E-2</v>
      </c>
      <c r="T327">
        <v>0</v>
      </c>
      <c r="U327">
        <v>3.7521709150202559E-2</v>
      </c>
      <c r="V327">
        <v>0</v>
      </c>
      <c r="W327">
        <v>0</v>
      </c>
      <c r="X327">
        <v>0</v>
      </c>
      <c r="Y327">
        <v>7.3416863024742367E-3</v>
      </c>
      <c r="Z327">
        <v>0</v>
      </c>
      <c r="AA327">
        <v>3.4988398530550795E-2</v>
      </c>
      <c r="AB327">
        <v>9.5313630509633734E-2</v>
      </c>
      <c r="AC327">
        <v>1.0501642331858204E-2</v>
      </c>
      <c r="AD327">
        <v>0</v>
      </c>
      <c r="AE327">
        <v>0</v>
      </c>
      <c r="AF327">
        <v>0</v>
      </c>
      <c r="AG327">
        <v>0.89418472715850805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84" hidden="1" x14ac:dyDescent="0.25">
      <c r="A328" t="s">
        <v>128</v>
      </c>
      <c r="B328" t="s">
        <v>372</v>
      </c>
      <c r="C328" t="s">
        <v>72</v>
      </c>
      <c r="D328" s="12">
        <v>46237</v>
      </c>
      <c r="E328" t="s">
        <v>133</v>
      </c>
      <c r="F328" t="s">
        <v>133</v>
      </c>
      <c r="G328" t="s">
        <v>133</v>
      </c>
      <c r="H328" t="s">
        <v>73</v>
      </c>
      <c r="I328">
        <v>20</v>
      </c>
      <c r="J328">
        <v>11.870789764152878</v>
      </c>
      <c r="K328">
        <v>46237</v>
      </c>
      <c r="L328" t="s">
        <v>232</v>
      </c>
      <c r="M328">
        <v>11.4</v>
      </c>
      <c r="N328">
        <v>11.4</v>
      </c>
      <c r="O328">
        <v>13.011488970588236</v>
      </c>
      <c r="P328">
        <v>0.96034048504720726</v>
      </c>
      <c r="Q328">
        <v>0.96034048504720726</v>
      </c>
      <c r="R328">
        <v>1.0960929499299206</v>
      </c>
      <c r="S328">
        <v>9.6092949929920568E-2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3.965951495279274E-2</v>
      </c>
      <c r="AC328">
        <v>0</v>
      </c>
      <c r="AD328">
        <v>0</v>
      </c>
      <c r="AE328">
        <v>0</v>
      </c>
      <c r="AF328">
        <v>0</v>
      </c>
      <c r="AG328">
        <v>0.96034048504720726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1.0412973477327088</v>
      </c>
      <c r="AN328">
        <v>1.0412973477327088</v>
      </c>
      <c r="AO328">
        <v>1.1413586816305472</v>
      </c>
      <c r="AP328">
        <v>0.10006133389783844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4.1297347732708767E-2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0.87614876558471366</v>
      </c>
      <c r="BK328">
        <v>0.87614876558471366</v>
      </c>
      <c r="BL328">
        <v>0.91233138582264905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8.7668614177350945E-2</v>
      </c>
      <c r="BX328">
        <v>0</v>
      </c>
      <c r="BY328">
        <v>0</v>
      </c>
      <c r="BZ328">
        <v>0</v>
      </c>
      <c r="CA328">
        <v>0.87614876558471366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84" hidden="1" x14ac:dyDescent="0.25">
      <c r="A329" t="s">
        <v>128</v>
      </c>
      <c r="B329" t="s">
        <v>372</v>
      </c>
      <c r="C329" t="s">
        <v>72</v>
      </c>
      <c r="D329" s="12">
        <v>46230</v>
      </c>
      <c r="E329" t="s">
        <v>133</v>
      </c>
      <c r="F329" t="s">
        <v>133</v>
      </c>
      <c r="G329" t="s">
        <v>133</v>
      </c>
      <c r="H329" t="s">
        <v>73</v>
      </c>
      <c r="I329">
        <v>20</v>
      </c>
      <c r="J329">
        <v>11.870789764152878</v>
      </c>
      <c r="K329">
        <v>46230</v>
      </c>
      <c r="L329" t="s">
        <v>217</v>
      </c>
      <c r="M329">
        <v>19</v>
      </c>
      <c r="N329">
        <v>19</v>
      </c>
      <c r="O329">
        <v>11.966666666666669</v>
      </c>
      <c r="P329">
        <v>1.6005674750786791</v>
      </c>
      <c r="Q329">
        <v>1.6005674750786791</v>
      </c>
      <c r="R329">
        <v>1.0080767079881507</v>
      </c>
      <c r="S329">
        <v>0</v>
      </c>
      <c r="T329">
        <v>0</v>
      </c>
      <c r="U329">
        <v>0.35056747507867914</v>
      </c>
      <c r="V329">
        <v>0</v>
      </c>
      <c r="W329">
        <v>0</v>
      </c>
      <c r="X329">
        <v>0</v>
      </c>
      <c r="Y329">
        <v>8.0767079881507442E-3</v>
      </c>
      <c r="Z329">
        <v>0</v>
      </c>
      <c r="AA329">
        <v>0.24192329201184926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0.62477840863962519</v>
      </c>
      <c r="AN329">
        <v>0.62477840863962519</v>
      </c>
      <c r="AO329">
        <v>0.62982456140350884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0.37017543859649116</v>
      </c>
      <c r="BA329">
        <v>0</v>
      </c>
      <c r="BB329">
        <v>0</v>
      </c>
      <c r="BC329">
        <v>0</v>
      </c>
      <c r="BD329">
        <v>0.62477840863962519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1.587743732590529</v>
      </c>
      <c r="BK329">
        <v>1.587743732590529</v>
      </c>
      <c r="BL329">
        <v>0.99198800257544928</v>
      </c>
      <c r="CC329">
        <v>0</v>
      </c>
      <c r="CD329">
        <v>0</v>
      </c>
      <c r="CE329">
        <v>0</v>
      </c>
    </row>
    <row r="330" spans="1:84" hidden="1" x14ac:dyDescent="0.25">
      <c r="A330" t="s">
        <v>128</v>
      </c>
      <c r="B330" t="s">
        <v>372</v>
      </c>
      <c r="C330" t="s">
        <v>72</v>
      </c>
      <c r="D330" s="12">
        <v>46236</v>
      </c>
      <c r="E330" t="s">
        <v>133</v>
      </c>
      <c r="F330" t="s">
        <v>133</v>
      </c>
      <c r="G330" t="s">
        <v>133</v>
      </c>
      <c r="H330" t="s">
        <v>75</v>
      </c>
      <c r="I330">
        <v>20</v>
      </c>
      <c r="J330">
        <v>10.973885648639106</v>
      </c>
      <c r="K330">
        <v>46236</v>
      </c>
      <c r="L330" t="s">
        <v>183</v>
      </c>
      <c r="M330">
        <v>13.3</v>
      </c>
      <c r="N330">
        <v>13.3</v>
      </c>
      <c r="O330">
        <v>11.25</v>
      </c>
      <c r="P330">
        <v>1.2119681602158265</v>
      </c>
      <c r="Q330">
        <v>1.2119681602158265</v>
      </c>
      <c r="R330">
        <v>1.025161037776545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2.5161037776544992E-2</v>
      </c>
      <c r="Z330">
        <v>0</v>
      </c>
      <c r="AA330">
        <v>0.18680712243928155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0.82510418410820352</v>
      </c>
      <c r="AN330">
        <v>0.82510418410820352</v>
      </c>
      <c r="AO330">
        <v>0.84586466165413543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0.15413533834586457</v>
      </c>
      <c r="BA330">
        <v>0</v>
      </c>
      <c r="BB330">
        <v>0</v>
      </c>
      <c r="BC330">
        <v>0</v>
      </c>
      <c r="BD330">
        <v>0.82510418410820352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1.1822222222222221</v>
      </c>
      <c r="BK330">
        <v>1.1822222222222221</v>
      </c>
      <c r="BL330">
        <v>0.9754565021012539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0.18222222222222206</v>
      </c>
      <c r="BV330">
        <v>0</v>
      </c>
      <c r="BW330">
        <v>0</v>
      </c>
      <c r="BX330">
        <v>0</v>
      </c>
      <c r="BY330">
        <v>2.4543497898746103E-2</v>
      </c>
      <c r="BZ330">
        <v>0</v>
      </c>
      <c r="CA330">
        <v>0.9754565021012539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 spans="1:84" hidden="1" x14ac:dyDescent="0.25">
      <c r="A331" t="s">
        <v>128</v>
      </c>
      <c r="B331" t="s">
        <v>372</v>
      </c>
      <c r="C331" t="s">
        <v>72</v>
      </c>
      <c r="D331" s="12">
        <v>46236</v>
      </c>
      <c r="E331" t="s">
        <v>133</v>
      </c>
      <c r="F331" t="s">
        <v>133</v>
      </c>
      <c r="G331" t="s">
        <v>133</v>
      </c>
      <c r="H331" t="s">
        <v>74</v>
      </c>
      <c r="I331">
        <v>20</v>
      </c>
      <c r="J331">
        <v>4.2207252494765797</v>
      </c>
      <c r="K331">
        <v>46236</v>
      </c>
      <c r="L331" t="s">
        <v>184</v>
      </c>
      <c r="M331">
        <v>5.6999999999999993</v>
      </c>
      <c r="N331">
        <v>5.6999999999999993</v>
      </c>
      <c r="O331">
        <v>4.6875</v>
      </c>
      <c r="P331">
        <v>1.350478807097635</v>
      </c>
      <c r="Q331">
        <v>1.350478807097635</v>
      </c>
      <c r="R331">
        <v>1.1105911242579236</v>
      </c>
      <c r="S331">
        <v>0</v>
      </c>
      <c r="T331">
        <v>0</v>
      </c>
      <c r="U331">
        <v>0.10047880709763501</v>
      </c>
      <c r="V331">
        <v>0</v>
      </c>
      <c r="W331">
        <v>0</v>
      </c>
      <c r="X331">
        <v>0</v>
      </c>
      <c r="Y331">
        <v>0.11059112425792361</v>
      </c>
      <c r="Z331">
        <v>0</v>
      </c>
      <c r="AA331">
        <v>0.13940887574207639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0.74047811394325969</v>
      </c>
      <c r="AN331">
        <v>0.74047811394325969</v>
      </c>
      <c r="AO331">
        <v>0.82236842105263164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0.17763157894736836</v>
      </c>
      <c r="BA331">
        <v>0</v>
      </c>
      <c r="BB331">
        <v>0</v>
      </c>
      <c r="BC331">
        <v>0</v>
      </c>
      <c r="BD331">
        <v>0.74047811394325969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1.2159999999999997</v>
      </c>
      <c r="BK331">
        <v>1.2159999999999997</v>
      </c>
      <c r="BL331">
        <v>0.9004213865550037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0.21599999999999975</v>
      </c>
      <c r="BV331">
        <v>0</v>
      </c>
      <c r="BW331">
        <v>0</v>
      </c>
      <c r="BX331">
        <v>0</v>
      </c>
      <c r="BY331">
        <v>9.95786134449963E-2</v>
      </c>
      <c r="BZ331">
        <v>0</v>
      </c>
      <c r="CA331">
        <v>0.9004213865550037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hidden="1" x14ac:dyDescent="0.25">
      <c r="A332" t="s">
        <v>128</v>
      </c>
      <c r="B332" t="s">
        <v>372</v>
      </c>
      <c r="C332" t="s">
        <v>72</v>
      </c>
      <c r="D332" s="12">
        <v>46236</v>
      </c>
      <c r="E332" t="s">
        <v>133</v>
      </c>
      <c r="F332" t="s">
        <v>133</v>
      </c>
      <c r="G332" t="s">
        <v>133</v>
      </c>
      <c r="H332" t="s">
        <v>73</v>
      </c>
      <c r="I332">
        <v>20</v>
      </c>
      <c r="J332">
        <v>10.973885648639106</v>
      </c>
      <c r="K332">
        <v>46236</v>
      </c>
      <c r="L332" t="s">
        <v>185</v>
      </c>
      <c r="M332">
        <v>13.3</v>
      </c>
      <c r="N332">
        <v>13.3</v>
      </c>
      <c r="O332">
        <v>12.1875</v>
      </c>
      <c r="P332">
        <v>1.2119681602158265</v>
      </c>
      <c r="Q332">
        <v>1.2119681602158265</v>
      </c>
      <c r="R332">
        <v>1.1105911242579238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0.11059112425792383</v>
      </c>
      <c r="Z332">
        <v>0</v>
      </c>
      <c r="AA332">
        <v>0.10137703595790271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0.82510418410820352</v>
      </c>
      <c r="AN332">
        <v>0.82510418410820352</v>
      </c>
      <c r="AO332">
        <v>0.9163533834586467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8.3646616541353302E-2</v>
      </c>
      <c r="BA332">
        <v>0</v>
      </c>
      <c r="BB332">
        <v>0</v>
      </c>
      <c r="BC332">
        <v>0</v>
      </c>
      <c r="BD332">
        <v>0.82510418410820352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1.0912820512820511</v>
      </c>
      <c r="BK332">
        <v>1.0912820512820511</v>
      </c>
      <c r="BL332">
        <v>0.90042138655500359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9.1282051282051135E-2</v>
      </c>
      <c r="BV332">
        <v>0</v>
      </c>
      <c r="BW332">
        <v>0</v>
      </c>
      <c r="BX332">
        <v>0</v>
      </c>
      <c r="BY332">
        <v>9.9578613444996411E-2</v>
      </c>
      <c r="BZ332">
        <v>0</v>
      </c>
      <c r="CA332">
        <v>0.90042138655500359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hidden="1" x14ac:dyDescent="0.25">
      <c r="A333" t="s">
        <v>128</v>
      </c>
      <c r="B333" t="s">
        <v>372</v>
      </c>
      <c r="C333" t="s">
        <v>72</v>
      </c>
      <c r="D333" s="12">
        <v>46237</v>
      </c>
      <c r="E333" t="s">
        <v>133</v>
      </c>
      <c r="F333" t="s">
        <v>133</v>
      </c>
      <c r="G333" t="s">
        <v>133</v>
      </c>
      <c r="H333" t="s">
        <v>75</v>
      </c>
      <c r="I333">
        <v>20</v>
      </c>
      <c r="J333">
        <v>10.973885648639106</v>
      </c>
      <c r="K333">
        <v>46237</v>
      </c>
      <c r="L333" t="s">
        <v>181</v>
      </c>
      <c r="M333">
        <v>10.45</v>
      </c>
      <c r="N333">
        <v>10.45</v>
      </c>
      <c r="O333">
        <v>12.363511029411764</v>
      </c>
      <c r="P333">
        <v>0.95226069731243512</v>
      </c>
      <c r="Q333">
        <v>0.95226069731243512</v>
      </c>
      <c r="R333">
        <v>1.1266302042198688</v>
      </c>
      <c r="S333">
        <v>0.12663020421986881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4.7739302687564877E-2</v>
      </c>
      <c r="AC333">
        <v>0</v>
      </c>
      <c r="AD333">
        <v>0</v>
      </c>
      <c r="AE333">
        <v>0</v>
      </c>
      <c r="AF333">
        <v>0</v>
      </c>
      <c r="AG333">
        <v>0.95226069731243512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1.0501325979558953</v>
      </c>
      <c r="AN333">
        <v>1.0501325979558953</v>
      </c>
      <c r="AO333">
        <v>1.183111103292992</v>
      </c>
      <c r="AP333">
        <v>0.13297850533709665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5.0132597955895308E-2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0.84522915659963571</v>
      </c>
      <c r="BK333">
        <v>0.84522915659963571</v>
      </c>
      <c r="BL333">
        <v>0.88760269008804582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0.11239730991195418</v>
      </c>
      <c r="BX333">
        <v>0</v>
      </c>
      <c r="BY333">
        <v>0</v>
      </c>
      <c r="BZ333">
        <v>0</v>
      </c>
      <c r="CA333">
        <v>0.84522915659963571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hidden="1" x14ac:dyDescent="0.25">
      <c r="A334" t="s">
        <v>128</v>
      </c>
      <c r="B334" t="s">
        <v>372</v>
      </c>
      <c r="C334" t="s">
        <v>109</v>
      </c>
      <c r="D334" s="12">
        <v>46244</v>
      </c>
      <c r="E334" t="s">
        <v>134</v>
      </c>
      <c r="F334" t="s">
        <v>134</v>
      </c>
      <c r="G334" t="s">
        <v>134</v>
      </c>
      <c r="J334">
        <v>8.1606633099352042</v>
      </c>
      <c r="M334">
        <v>0</v>
      </c>
      <c r="N334">
        <v>0</v>
      </c>
      <c r="O334">
        <v>6.7956855536332164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0.83273691065771638</v>
      </c>
      <c r="AC334">
        <v>0.16726308934228359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84" hidden="1" x14ac:dyDescent="0.25">
      <c r="A335" t="s">
        <v>128</v>
      </c>
      <c r="B335" t="s">
        <v>372</v>
      </c>
      <c r="C335" t="s">
        <v>117</v>
      </c>
      <c r="D335" s="12">
        <v>46225</v>
      </c>
      <c r="J335">
        <v>44.19901495033919</v>
      </c>
      <c r="M335">
        <v>54.149999999999991</v>
      </c>
      <c r="N335">
        <v>54.149999999999991</v>
      </c>
      <c r="O335">
        <v>44.144811233316851</v>
      </c>
      <c r="S335">
        <v>1.9381568892503909E-2</v>
      </c>
      <c r="T335">
        <v>0</v>
      </c>
      <c r="U335">
        <v>0.14449831047376208</v>
      </c>
      <c r="V335">
        <v>0</v>
      </c>
      <c r="W335">
        <v>0</v>
      </c>
      <c r="X335">
        <v>0</v>
      </c>
      <c r="Y335">
        <v>3.4926770866008358E-2</v>
      </c>
      <c r="Z335">
        <v>0</v>
      </c>
      <c r="AA335">
        <v>0.11043881334190588</v>
      </c>
      <c r="AB335">
        <v>3.8232968695422455E-2</v>
      </c>
      <c r="AC335">
        <v>2.6490500100259252E-2</v>
      </c>
      <c r="AD335">
        <v>0</v>
      </c>
      <c r="AE335">
        <v>2.9044195428471704E-2</v>
      </c>
      <c r="AF335">
        <v>0</v>
      </c>
      <c r="AG335">
        <v>0.9062323357758465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84" hidden="1" x14ac:dyDescent="0.25">
      <c r="A336" t="s">
        <v>128</v>
      </c>
      <c r="B336" t="s">
        <v>372</v>
      </c>
      <c r="C336" t="s">
        <v>72</v>
      </c>
      <c r="D336" s="12">
        <v>46243</v>
      </c>
      <c r="E336" t="s">
        <v>133</v>
      </c>
      <c r="F336" t="s">
        <v>133</v>
      </c>
      <c r="G336" t="s">
        <v>133</v>
      </c>
      <c r="H336" t="s">
        <v>75</v>
      </c>
      <c r="I336">
        <v>20</v>
      </c>
      <c r="J336">
        <v>11.818030698534422</v>
      </c>
      <c r="K336">
        <v>46243</v>
      </c>
      <c r="L336" t="s">
        <v>202</v>
      </c>
      <c r="M336">
        <v>11.4</v>
      </c>
      <c r="N336">
        <v>11.4</v>
      </c>
      <c r="O336">
        <v>13.125</v>
      </c>
      <c r="P336">
        <v>0.96462771935545366</v>
      </c>
      <c r="Q336">
        <v>0.96462771935545366</v>
      </c>
      <c r="R336">
        <v>1.1105911242579238</v>
      </c>
      <c r="S336">
        <v>0.11059112425792383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3.5372280644546339E-2</v>
      </c>
      <c r="AC336">
        <v>0</v>
      </c>
      <c r="AD336">
        <v>0</v>
      </c>
      <c r="AE336">
        <v>0</v>
      </c>
      <c r="AF336">
        <v>0</v>
      </c>
      <c r="AG336">
        <v>0.96462771935545366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1.0366693595205634</v>
      </c>
      <c r="AN336">
        <v>1.0366693595205634</v>
      </c>
      <c r="AO336">
        <v>1.1513157894736843</v>
      </c>
      <c r="AP336">
        <v>0.11464642995312091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3.6669359520563383E-2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0.86857142857142844</v>
      </c>
      <c r="BK336">
        <v>0.86857142857142844</v>
      </c>
      <c r="BL336">
        <v>0.90042138655500359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9.9578613444996411E-2</v>
      </c>
      <c r="BX336">
        <v>0</v>
      </c>
      <c r="BY336">
        <v>0</v>
      </c>
      <c r="BZ336">
        <v>0</v>
      </c>
      <c r="CA336">
        <v>0.86857142857142844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 spans="1:84" hidden="1" x14ac:dyDescent="0.25">
      <c r="A337" t="s">
        <v>128</v>
      </c>
      <c r="B337" t="s">
        <v>372</v>
      </c>
      <c r="C337" t="s">
        <v>72</v>
      </c>
      <c r="D337" s="12">
        <v>46247</v>
      </c>
      <c r="E337" t="s">
        <v>133</v>
      </c>
      <c r="F337" t="s">
        <v>133</v>
      </c>
      <c r="G337" t="s">
        <v>133</v>
      </c>
      <c r="H337" t="s">
        <v>75</v>
      </c>
      <c r="I337">
        <v>20</v>
      </c>
      <c r="J337">
        <v>10.973885648639106</v>
      </c>
      <c r="K337">
        <v>46247</v>
      </c>
      <c r="L337" t="s">
        <v>161</v>
      </c>
      <c r="M337">
        <v>12.35</v>
      </c>
      <c r="N337">
        <v>12.35</v>
      </c>
      <c r="O337">
        <v>12.1875</v>
      </c>
      <c r="P337">
        <v>1.1253990059146961</v>
      </c>
      <c r="Q337">
        <v>1.1253990059146961</v>
      </c>
      <c r="R337">
        <v>1.1105911242579238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0.11059112425792383</v>
      </c>
      <c r="Z337">
        <v>0</v>
      </c>
      <c r="AA337">
        <v>1.480788165677227E-2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0.88857373673191142</v>
      </c>
      <c r="AN337">
        <v>0.88857373673191142</v>
      </c>
      <c r="AO337">
        <v>0.98684210526315796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1.3157894736842035E-2</v>
      </c>
      <c r="BA337">
        <v>0</v>
      </c>
      <c r="BB337">
        <v>0</v>
      </c>
      <c r="BC337">
        <v>0</v>
      </c>
      <c r="BD337">
        <v>0.88857373673191142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1.0133333333333332</v>
      </c>
      <c r="BK337">
        <v>1.0133333333333332</v>
      </c>
      <c r="BL337">
        <v>0.90042138655500359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1.3333333333333197E-2</v>
      </c>
      <c r="BV337">
        <v>0</v>
      </c>
      <c r="BW337">
        <v>0</v>
      </c>
      <c r="BX337">
        <v>0</v>
      </c>
      <c r="BY337">
        <v>9.9578613444996411E-2</v>
      </c>
      <c r="BZ337">
        <v>0</v>
      </c>
      <c r="CA337">
        <v>0.90042138655500359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hidden="1" x14ac:dyDescent="0.25">
      <c r="A338" t="s">
        <v>128</v>
      </c>
      <c r="B338" t="s">
        <v>372</v>
      </c>
      <c r="C338" t="s">
        <v>117</v>
      </c>
      <c r="D338" s="12">
        <v>46246</v>
      </c>
      <c r="J338">
        <v>43.740194648757424</v>
      </c>
      <c r="M338">
        <v>46.550000000000004</v>
      </c>
      <c r="N338">
        <v>46.550000000000004</v>
      </c>
      <c r="O338">
        <v>45.009083044982695</v>
      </c>
      <c r="S338">
        <v>6.4315268336356743E-2</v>
      </c>
      <c r="T338">
        <v>0</v>
      </c>
      <c r="U338">
        <v>0.18945235729909993</v>
      </c>
      <c r="V338">
        <v>0</v>
      </c>
      <c r="W338">
        <v>0</v>
      </c>
      <c r="X338">
        <v>0</v>
      </c>
      <c r="Y338">
        <v>7.6031508862296811E-3</v>
      </c>
      <c r="Z338">
        <v>0</v>
      </c>
      <c r="AA338">
        <v>8.4821298421270841E-2</v>
      </c>
      <c r="AB338">
        <v>0.14503984261773872</v>
      </c>
      <c r="AC338">
        <v>4.2908754167030626E-2</v>
      </c>
      <c r="AD338">
        <v>0</v>
      </c>
      <c r="AE338">
        <v>0</v>
      </c>
      <c r="AF338">
        <v>0</v>
      </c>
      <c r="AG338">
        <v>0.76064255953196358</v>
      </c>
      <c r="AH338">
        <v>0</v>
      </c>
      <c r="AI338">
        <v>0</v>
      </c>
      <c r="AJ338">
        <v>0</v>
      </c>
      <c r="AK338">
        <v>5.1408843683267182E-2</v>
      </c>
      <c r="AL338">
        <v>0</v>
      </c>
    </row>
    <row r="339" spans="1:84" hidden="1" x14ac:dyDescent="0.25">
      <c r="A339" t="s">
        <v>128</v>
      </c>
      <c r="B339" t="s">
        <v>372</v>
      </c>
      <c r="C339" t="s">
        <v>109</v>
      </c>
      <c r="D339" s="12">
        <v>46240</v>
      </c>
      <c r="E339" t="s">
        <v>134</v>
      </c>
      <c r="F339" t="s">
        <v>134</v>
      </c>
      <c r="G339" t="s">
        <v>134</v>
      </c>
      <c r="J339">
        <v>10.752377986437555</v>
      </c>
      <c r="M339">
        <v>0</v>
      </c>
      <c r="N339">
        <v>0</v>
      </c>
      <c r="O339">
        <v>7.9896649062101623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0.74306027153136511</v>
      </c>
      <c r="AC339">
        <v>0.25693972846863483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84" hidden="1" x14ac:dyDescent="0.25">
      <c r="A340" t="s">
        <v>128</v>
      </c>
      <c r="B340" t="s">
        <v>372</v>
      </c>
      <c r="C340" t="s">
        <v>72</v>
      </c>
      <c r="D340" s="12">
        <v>46247</v>
      </c>
      <c r="E340" t="s">
        <v>133</v>
      </c>
      <c r="F340" t="s">
        <v>133</v>
      </c>
      <c r="G340" t="s">
        <v>133</v>
      </c>
      <c r="H340" t="s">
        <v>74</v>
      </c>
      <c r="I340">
        <v>20</v>
      </c>
      <c r="J340">
        <v>4.2207252494765797</v>
      </c>
      <c r="K340">
        <v>46247</v>
      </c>
      <c r="L340" t="s">
        <v>162</v>
      </c>
      <c r="M340">
        <v>4.75</v>
      </c>
      <c r="N340">
        <v>4.75</v>
      </c>
      <c r="O340">
        <v>4.6875</v>
      </c>
      <c r="P340">
        <v>1.1253990059146959</v>
      </c>
      <c r="Q340">
        <v>1.1253990059146959</v>
      </c>
      <c r="R340">
        <v>1.1105911242579236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0.11059112425792361</v>
      </c>
      <c r="Z340">
        <v>0</v>
      </c>
      <c r="AA340">
        <v>1.480788165677227E-2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0.88857373673191153</v>
      </c>
      <c r="AN340">
        <v>0.88857373673191153</v>
      </c>
      <c r="AO340">
        <v>0.98684210526315785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1.3157894736842146E-2</v>
      </c>
      <c r="BA340">
        <v>0</v>
      </c>
      <c r="BB340">
        <v>0</v>
      </c>
      <c r="BC340">
        <v>0</v>
      </c>
      <c r="BD340">
        <v>0.88857373673191153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1.0133333333333334</v>
      </c>
      <c r="BK340">
        <v>1.0133333333333334</v>
      </c>
      <c r="BL340">
        <v>0.9004213865550037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1.3333333333333419E-2</v>
      </c>
      <c r="BV340">
        <v>0</v>
      </c>
      <c r="BW340">
        <v>0</v>
      </c>
      <c r="BX340">
        <v>0</v>
      </c>
      <c r="BY340">
        <v>9.95786134449963E-2</v>
      </c>
      <c r="BZ340">
        <v>0</v>
      </c>
      <c r="CA340">
        <v>0.9004213865550037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 spans="1:84" hidden="1" x14ac:dyDescent="0.25">
      <c r="A341" t="s">
        <v>128</v>
      </c>
      <c r="B341" t="s">
        <v>372</v>
      </c>
      <c r="C341" t="s">
        <v>72</v>
      </c>
      <c r="D341" s="12">
        <v>46224</v>
      </c>
      <c r="E341" t="s">
        <v>133</v>
      </c>
      <c r="F341" t="s">
        <v>133</v>
      </c>
      <c r="G341" t="s">
        <v>133</v>
      </c>
      <c r="H341" t="s">
        <v>74</v>
      </c>
      <c r="I341">
        <v>20</v>
      </c>
      <c r="J341">
        <v>4.2207252494765797</v>
      </c>
      <c r="K341">
        <v>46224</v>
      </c>
      <c r="L341" t="s">
        <v>169</v>
      </c>
      <c r="M341">
        <v>5.6999999999999993</v>
      </c>
      <c r="N341">
        <v>5.6999999999999993</v>
      </c>
      <c r="O341">
        <v>4.6875</v>
      </c>
      <c r="P341">
        <v>1.350478807097635</v>
      </c>
      <c r="Q341">
        <v>1.350478807097635</v>
      </c>
      <c r="R341">
        <v>1.1105911242579236</v>
      </c>
      <c r="S341">
        <v>0</v>
      </c>
      <c r="T341">
        <v>0</v>
      </c>
      <c r="U341">
        <v>0.10047880709763501</v>
      </c>
      <c r="V341">
        <v>0</v>
      </c>
      <c r="W341">
        <v>0</v>
      </c>
      <c r="X341">
        <v>0</v>
      </c>
      <c r="Y341">
        <v>0.11059112425792361</v>
      </c>
      <c r="Z341">
        <v>0</v>
      </c>
      <c r="AA341">
        <v>0.13940887574207639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0.74047811394325969</v>
      </c>
      <c r="AN341">
        <v>0.74047811394325969</v>
      </c>
      <c r="AO341">
        <v>0.82236842105263164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0.17763157894736836</v>
      </c>
      <c r="BA341">
        <v>0</v>
      </c>
      <c r="BB341">
        <v>0</v>
      </c>
      <c r="BC341">
        <v>0</v>
      </c>
      <c r="BD341">
        <v>0.74047811394325969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1.2159999999999997</v>
      </c>
      <c r="BK341">
        <v>1.2159999999999997</v>
      </c>
      <c r="BL341">
        <v>0.9004213865550037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0.21599999999999975</v>
      </c>
      <c r="BV341">
        <v>0</v>
      </c>
      <c r="BW341">
        <v>0</v>
      </c>
      <c r="BX341">
        <v>0</v>
      </c>
      <c r="BY341">
        <v>9.95786134449963E-2</v>
      </c>
      <c r="BZ341">
        <v>0</v>
      </c>
      <c r="CA341">
        <v>0.9004213865550037</v>
      </c>
      <c r="CB341">
        <v>0</v>
      </c>
      <c r="CC341">
        <v>0</v>
      </c>
      <c r="CD341">
        <v>0</v>
      </c>
      <c r="CE341">
        <v>0</v>
      </c>
      <c r="CF341">
        <v>0</v>
      </c>
    </row>
    <row r="342" spans="1:84" hidden="1" x14ac:dyDescent="0.25">
      <c r="A342" t="s">
        <v>128</v>
      </c>
      <c r="B342" t="s">
        <v>372</v>
      </c>
      <c r="C342" t="s">
        <v>109</v>
      </c>
      <c r="D342" s="12">
        <v>46241</v>
      </c>
      <c r="E342" t="s">
        <v>133</v>
      </c>
      <c r="F342" t="s">
        <v>133</v>
      </c>
      <c r="G342" t="s">
        <v>133</v>
      </c>
      <c r="J342">
        <v>26.221255612373252</v>
      </c>
      <c r="M342">
        <v>24.7</v>
      </c>
      <c r="N342">
        <v>24.7</v>
      </c>
      <c r="O342">
        <v>29.125</v>
      </c>
      <c r="S342">
        <v>0.1107400969104063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5.8016123821904443E-2</v>
      </c>
      <c r="AC342">
        <v>0</v>
      </c>
      <c r="AD342">
        <v>0</v>
      </c>
      <c r="AE342">
        <v>0</v>
      </c>
      <c r="AF342">
        <v>0</v>
      </c>
      <c r="AG342">
        <v>0.94198387617809554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84" hidden="1" x14ac:dyDescent="0.25">
      <c r="A343" t="s">
        <v>128</v>
      </c>
      <c r="B343" t="s">
        <v>372</v>
      </c>
      <c r="C343" t="s">
        <v>72</v>
      </c>
      <c r="D343" s="12">
        <v>46247</v>
      </c>
      <c r="E343" t="s">
        <v>133</v>
      </c>
      <c r="F343" t="s">
        <v>133</v>
      </c>
      <c r="G343" t="s">
        <v>133</v>
      </c>
      <c r="H343" t="s">
        <v>73</v>
      </c>
      <c r="I343">
        <v>20</v>
      </c>
      <c r="J343">
        <v>10.89474705021142</v>
      </c>
      <c r="K343">
        <v>46247</v>
      </c>
      <c r="L343" t="s">
        <v>174</v>
      </c>
      <c r="M343">
        <v>10.45</v>
      </c>
      <c r="N343">
        <v>10.45</v>
      </c>
      <c r="O343">
        <v>12.09375</v>
      </c>
      <c r="P343">
        <v>0.95917784523480154</v>
      </c>
      <c r="Q343">
        <v>0.95917784523480154</v>
      </c>
      <c r="R343">
        <v>1.1100533077328594</v>
      </c>
      <c r="S343">
        <v>0.11005330773285937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4.082215476519846E-2</v>
      </c>
      <c r="AC343">
        <v>0</v>
      </c>
      <c r="AD343">
        <v>0</v>
      </c>
      <c r="AE343">
        <v>0</v>
      </c>
      <c r="AF343">
        <v>0</v>
      </c>
      <c r="AG343">
        <v>0.95917784523480154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1.042559526336021</v>
      </c>
      <c r="AN343">
        <v>1.042559526336021</v>
      </c>
      <c r="AO343">
        <v>1.1572966507177034</v>
      </c>
      <c r="AP343">
        <v>0.11473712438168238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4.2559526336021003E-2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0.86408268733850124</v>
      </c>
      <c r="BK343">
        <v>0.86408268733850124</v>
      </c>
      <c r="BL343">
        <v>0.90085763722678402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9.9142362773215975E-2</v>
      </c>
      <c r="BX343">
        <v>0</v>
      </c>
      <c r="BY343">
        <v>0</v>
      </c>
      <c r="BZ343">
        <v>0</v>
      </c>
      <c r="CA343">
        <v>0.86408268733850124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 spans="1:84" hidden="1" x14ac:dyDescent="0.25">
      <c r="A344" t="s">
        <v>128</v>
      </c>
      <c r="B344" t="s">
        <v>372</v>
      </c>
      <c r="C344" t="s">
        <v>72</v>
      </c>
      <c r="D344" s="12">
        <v>46224</v>
      </c>
      <c r="E344" t="s">
        <v>133</v>
      </c>
      <c r="F344" t="s">
        <v>133</v>
      </c>
      <c r="G344" t="s">
        <v>133</v>
      </c>
      <c r="H344" t="s">
        <v>73</v>
      </c>
      <c r="I344">
        <v>20</v>
      </c>
      <c r="J344">
        <v>13.005109674949711</v>
      </c>
      <c r="K344">
        <v>46224</v>
      </c>
      <c r="L344" t="s">
        <v>172</v>
      </c>
      <c r="M344">
        <v>20.9</v>
      </c>
      <c r="N344">
        <v>20.9</v>
      </c>
      <c r="O344">
        <v>12.625</v>
      </c>
      <c r="P344">
        <v>1.6070606494197686</v>
      </c>
      <c r="Q344">
        <v>1.6070606494197686</v>
      </c>
      <c r="R344">
        <v>0.97077228224519518</v>
      </c>
      <c r="S344">
        <v>0</v>
      </c>
      <c r="T344">
        <v>0</v>
      </c>
      <c r="U344">
        <v>0.35706064941976856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0.25</v>
      </c>
      <c r="AB344">
        <v>0</v>
      </c>
      <c r="AC344">
        <v>0</v>
      </c>
      <c r="AD344">
        <v>0</v>
      </c>
      <c r="AE344">
        <v>2.9227717754804816E-2</v>
      </c>
      <c r="AF344">
        <v>0</v>
      </c>
      <c r="AG344">
        <v>0.97077228224519518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0.62225405143300061</v>
      </c>
      <c r="AN344">
        <v>0.62225405143300061</v>
      </c>
      <c r="AO344">
        <v>0.60406698564593309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0.37774594856699939</v>
      </c>
      <c r="BA344">
        <v>0</v>
      </c>
      <c r="BB344">
        <v>1.8187065787067525E-2</v>
      </c>
      <c r="BC344">
        <v>0</v>
      </c>
      <c r="BD344">
        <v>0.60406698564593309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1.6554455445544554</v>
      </c>
      <c r="BK344">
        <v>1.6554455445544554</v>
      </c>
      <c r="BL344">
        <v>1.0301076970257197</v>
      </c>
      <c r="CC344">
        <v>0</v>
      </c>
      <c r="CD344">
        <v>0</v>
      </c>
      <c r="CE344">
        <v>0</v>
      </c>
    </row>
    <row r="345" spans="1:84" hidden="1" x14ac:dyDescent="0.25">
      <c r="A345" t="s">
        <v>128</v>
      </c>
      <c r="B345" t="s">
        <v>372</v>
      </c>
      <c r="C345" t="s">
        <v>117</v>
      </c>
      <c r="D345" s="12">
        <v>46245</v>
      </c>
      <c r="J345">
        <v>45.37322940100907</v>
      </c>
      <c r="M345">
        <v>48.449999999999996</v>
      </c>
      <c r="N345">
        <v>48.449999999999996</v>
      </c>
      <c r="O345">
        <v>47.134299307958472</v>
      </c>
      <c r="S345">
        <v>6.1124854959403445E-2</v>
      </c>
      <c r="T345">
        <v>0</v>
      </c>
      <c r="U345">
        <v>0.26870170931731324</v>
      </c>
      <c r="V345">
        <v>0</v>
      </c>
      <c r="W345">
        <v>0</v>
      </c>
      <c r="X345">
        <v>0</v>
      </c>
      <c r="Y345">
        <v>2.4637541452278689E-2</v>
      </c>
      <c r="Z345">
        <v>0</v>
      </c>
      <c r="AA345">
        <v>5.9809327133523237E-2</v>
      </c>
      <c r="AB345">
        <v>0.16405102113368861</v>
      </c>
      <c r="AC345">
        <v>4.6949423868223525E-2</v>
      </c>
      <c r="AD345">
        <v>0</v>
      </c>
      <c r="AE345">
        <v>0</v>
      </c>
      <c r="AF345">
        <v>0</v>
      </c>
      <c r="AG345">
        <v>0.71466168465938384</v>
      </c>
      <c r="AH345">
        <v>0</v>
      </c>
      <c r="AI345">
        <v>0</v>
      </c>
      <c r="AJ345">
        <v>0</v>
      </c>
      <c r="AK345">
        <v>7.4337870338703801E-2</v>
      </c>
      <c r="AL345">
        <v>0</v>
      </c>
    </row>
    <row r="346" spans="1:84" hidden="1" x14ac:dyDescent="0.25">
      <c r="A346" t="s">
        <v>128</v>
      </c>
      <c r="B346" t="s">
        <v>372</v>
      </c>
      <c r="C346" t="s">
        <v>109</v>
      </c>
      <c r="D346" s="12">
        <v>46241</v>
      </c>
      <c r="E346" t="s">
        <v>134</v>
      </c>
      <c r="F346" t="s">
        <v>134</v>
      </c>
      <c r="G346" t="s">
        <v>134</v>
      </c>
      <c r="J346">
        <v>8.301202861771058</v>
      </c>
      <c r="M346">
        <v>0</v>
      </c>
      <c r="N346">
        <v>0</v>
      </c>
      <c r="O346">
        <v>5.9273356401384083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0.71403334418378661</v>
      </c>
      <c r="AC346">
        <v>0.28596665581621339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84" hidden="1" x14ac:dyDescent="0.25">
      <c r="A347" t="s">
        <v>128</v>
      </c>
      <c r="B347" t="s">
        <v>372</v>
      </c>
      <c r="C347" t="s">
        <v>72</v>
      </c>
      <c r="D347" s="12">
        <v>46224</v>
      </c>
      <c r="E347" t="s">
        <v>133</v>
      </c>
      <c r="F347" t="s">
        <v>133</v>
      </c>
      <c r="G347" t="s">
        <v>133</v>
      </c>
      <c r="H347" t="s">
        <v>75</v>
      </c>
      <c r="I347">
        <v>20</v>
      </c>
      <c r="J347">
        <v>10.973885648639106</v>
      </c>
      <c r="K347">
        <v>46224</v>
      </c>
      <c r="L347" t="s">
        <v>166</v>
      </c>
      <c r="M347">
        <v>10.45</v>
      </c>
      <c r="N347">
        <v>10.45</v>
      </c>
      <c r="O347">
        <v>12.1875</v>
      </c>
      <c r="P347">
        <v>0.95226069731243512</v>
      </c>
      <c r="Q347">
        <v>0.95226069731243512</v>
      </c>
      <c r="R347">
        <v>1.1105911242579238</v>
      </c>
      <c r="S347">
        <v>0.11059112425792383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4.7739302687564877E-2</v>
      </c>
      <c r="AC347">
        <v>0</v>
      </c>
      <c r="AD347">
        <v>0</v>
      </c>
      <c r="AE347">
        <v>0</v>
      </c>
      <c r="AF347">
        <v>0</v>
      </c>
      <c r="AG347">
        <v>0.95226069731243512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1.0501325979558953</v>
      </c>
      <c r="AN347">
        <v>1.0501325979558953</v>
      </c>
      <c r="AO347">
        <v>1.1662679425837321</v>
      </c>
      <c r="AP347">
        <v>0.11613534462783681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5.0132597955895308E-2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0.85743589743589743</v>
      </c>
      <c r="BK347">
        <v>0.85743589743589743</v>
      </c>
      <c r="BL347">
        <v>0.90042138655500359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9.9578613444996411E-2</v>
      </c>
      <c r="BX347">
        <v>0</v>
      </c>
      <c r="BY347">
        <v>0</v>
      </c>
      <c r="BZ347">
        <v>0</v>
      </c>
      <c r="CA347">
        <v>0.85743589743589743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 spans="1:84" hidden="1" x14ac:dyDescent="0.25">
      <c r="A348" t="s">
        <v>128</v>
      </c>
      <c r="B348" t="s">
        <v>372</v>
      </c>
      <c r="C348" t="s">
        <v>72</v>
      </c>
      <c r="D348" s="12">
        <v>46225</v>
      </c>
      <c r="E348" t="s">
        <v>133</v>
      </c>
      <c r="F348" t="s">
        <v>133</v>
      </c>
      <c r="G348" t="s">
        <v>133</v>
      </c>
      <c r="H348" t="s">
        <v>73</v>
      </c>
      <c r="I348">
        <v>20</v>
      </c>
      <c r="J348">
        <v>12.583037150002054</v>
      </c>
      <c r="K348">
        <v>46225</v>
      </c>
      <c r="L348" t="s">
        <v>163</v>
      </c>
      <c r="M348">
        <v>17.099999999999998</v>
      </c>
      <c r="N348">
        <v>17.099999999999998</v>
      </c>
      <c r="O348">
        <v>12.433823529411764</v>
      </c>
      <c r="P348">
        <v>1.3589723845007646</v>
      </c>
      <c r="Q348">
        <v>1.3589723845007646</v>
      </c>
      <c r="R348">
        <v>0.98814168480856268</v>
      </c>
      <c r="S348">
        <v>0</v>
      </c>
      <c r="T348">
        <v>0</v>
      </c>
      <c r="U348">
        <v>0.10897238450076463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0.25</v>
      </c>
      <c r="AB348">
        <v>0</v>
      </c>
      <c r="AC348">
        <v>0</v>
      </c>
      <c r="AD348">
        <v>0</v>
      </c>
      <c r="AE348">
        <v>1.1858315191437319E-2</v>
      </c>
      <c r="AF348">
        <v>0</v>
      </c>
      <c r="AG348">
        <v>0.98814168480856268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0.73585012573111441</v>
      </c>
      <c r="AN348">
        <v>0.73585012573111441</v>
      </c>
      <c r="AO348">
        <v>0.72712418300653603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0.26414987426888559</v>
      </c>
      <c r="BA348">
        <v>0</v>
      </c>
      <c r="BB348">
        <v>8.7259427245783838E-3</v>
      </c>
      <c r="BC348">
        <v>0</v>
      </c>
      <c r="BD348">
        <v>0.72712418300653603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1.3752808988764043</v>
      </c>
      <c r="BK348">
        <v>1.3752808988764043</v>
      </c>
      <c r="BL348">
        <v>1.0120006223538021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1.200062235380206E-2</v>
      </c>
      <c r="BT348">
        <v>0</v>
      </c>
      <c r="BU348">
        <v>0.3632802765226022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 spans="1:84" hidden="1" x14ac:dyDescent="0.25">
      <c r="A349" t="s">
        <v>128</v>
      </c>
      <c r="B349" t="s">
        <v>372</v>
      </c>
      <c r="C349" t="s">
        <v>72</v>
      </c>
      <c r="D349" s="12">
        <v>46246</v>
      </c>
      <c r="E349" t="s">
        <v>133</v>
      </c>
      <c r="F349" t="s">
        <v>133</v>
      </c>
      <c r="G349" t="s">
        <v>133</v>
      </c>
      <c r="H349" t="s">
        <v>74</v>
      </c>
      <c r="I349">
        <v>20</v>
      </c>
      <c r="J349">
        <v>4.2207252494765797</v>
      </c>
      <c r="K349">
        <v>46246</v>
      </c>
      <c r="L349" t="s">
        <v>193</v>
      </c>
      <c r="M349">
        <v>3.8</v>
      </c>
      <c r="N349">
        <v>3.8</v>
      </c>
      <c r="O349">
        <v>4.6875</v>
      </c>
      <c r="P349">
        <v>0.90031920473175675</v>
      </c>
      <c r="Q349">
        <v>0.90031920473175675</v>
      </c>
      <c r="R349">
        <v>1.1105911242579236</v>
      </c>
      <c r="S349">
        <v>0.11059112425792361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9.968079526824325E-2</v>
      </c>
      <c r="AC349">
        <v>0</v>
      </c>
      <c r="AD349">
        <v>0</v>
      </c>
      <c r="AE349">
        <v>0</v>
      </c>
      <c r="AF349">
        <v>0</v>
      </c>
      <c r="AG349">
        <v>0.90031920473175675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1.1107171709148895</v>
      </c>
      <c r="AN349">
        <v>1.1107171709148895</v>
      </c>
      <c r="AO349">
        <v>1.2335526315789473</v>
      </c>
      <c r="AP349">
        <v>0.12283546066405782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0.11071717091488953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0.81066666666666665</v>
      </c>
      <c r="BK349">
        <v>0.81066666666666665</v>
      </c>
      <c r="BL349">
        <v>0.9004213865550037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9.95786134449963E-2</v>
      </c>
      <c r="BX349">
        <v>0</v>
      </c>
      <c r="BY349">
        <v>0</v>
      </c>
      <c r="BZ349">
        <v>0</v>
      </c>
      <c r="CA349">
        <v>0.81066666666666665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 spans="1:84" hidden="1" x14ac:dyDescent="0.25">
      <c r="A350" t="s">
        <v>128</v>
      </c>
      <c r="B350" t="s">
        <v>372</v>
      </c>
      <c r="C350" t="s">
        <v>109</v>
      </c>
      <c r="D350" s="12">
        <v>46242</v>
      </c>
      <c r="E350" t="s">
        <v>133</v>
      </c>
      <c r="F350" t="s">
        <v>133</v>
      </c>
      <c r="G350" t="s">
        <v>133</v>
      </c>
      <c r="J350">
        <v>26.221255612373248</v>
      </c>
      <c r="M350">
        <v>24.7</v>
      </c>
      <c r="N350">
        <v>24.7</v>
      </c>
      <c r="O350">
        <v>29.125</v>
      </c>
      <c r="S350">
        <v>0.11074009691040641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5.8016123821904353E-2</v>
      </c>
      <c r="AC350">
        <v>0</v>
      </c>
      <c r="AD350">
        <v>0</v>
      </c>
      <c r="AE350">
        <v>0</v>
      </c>
      <c r="AF350">
        <v>0</v>
      </c>
      <c r="AG350">
        <v>0.94198387617809576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84" hidden="1" x14ac:dyDescent="0.25">
      <c r="A351" t="s">
        <v>128</v>
      </c>
      <c r="B351" t="s">
        <v>372</v>
      </c>
      <c r="C351" t="s">
        <v>117</v>
      </c>
      <c r="D351" s="12">
        <v>46244</v>
      </c>
      <c r="J351">
        <v>41.991638269158869</v>
      </c>
      <c r="M351">
        <v>36.1</v>
      </c>
      <c r="N351">
        <v>36.1</v>
      </c>
      <c r="O351">
        <v>44.373756487889267</v>
      </c>
      <c r="S351">
        <v>7.3605042486696193E-2</v>
      </c>
      <c r="T351">
        <v>0</v>
      </c>
      <c r="U351">
        <v>5.1569300739132844E-2</v>
      </c>
      <c r="V351">
        <v>0</v>
      </c>
      <c r="W351">
        <v>0</v>
      </c>
      <c r="X351">
        <v>0</v>
      </c>
      <c r="Y351">
        <v>1.5629293906996564E-2</v>
      </c>
      <c r="Z351">
        <v>0</v>
      </c>
      <c r="AA351">
        <v>1.7141857876609677E-2</v>
      </c>
      <c r="AB351">
        <v>0.1921395453764593</v>
      </c>
      <c r="AC351">
        <v>3.2505941958080445E-2</v>
      </c>
      <c r="AD351">
        <v>0</v>
      </c>
      <c r="AE351">
        <v>0</v>
      </c>
      <c r="AF351">
        <v>0</v>
      </c>
      <c r="AG351">
        <v>0.7753545126654604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84" hidden="1" x14ac:dyDescent="0.25">
      <c r="A352" t="s">
        <v>128</v>
      </c>
      <c r="B352" t="s">
        <v>372</v>
      </c>
      <c r="C352" t="s">
        <v>72</v>
      </c>
      <c r="D352" s="12">
        <v>46246</v>
      </c>
      <c r="E352" t="s">
        <v>133</v>
      </c>
      <c r="F352" t="s">
        <v>133</v>
      </c>
      <c r="G352" t="s">
        <v>133</v>
      </c>
      <c r="H352" t="s">
        <v>73</v>
      </c>
      <c r="I352">
        <v>20</v>
      </c>
      <c r="J352">
        <v>12.583037150002053</v>
      </c>
      <c r="K352">
        <v>46246</v>
      </c>
      <c r="L352" t="s">
        <v>194</v>
      </c>
      <c r="M352">
        <v>18.05</v>
      </c>
      <c r="N352">
        <v>18.05</v>
      </c>
      <c r="O352">
        <v>12.738511029411764</v>
      </c>
      <c r="P352">
        <v>1.4344708503063632</v>
      </c>
      <c r="Q352">
        <v>1.4344708503063632</v>
      </c>
      <c r="R352">
        <v>1.0123558309139766</v>
      </c>
      <c r="S352">
        <v>0</v>
      </c>
      <c r="T352">
        <v>0</v>
      </c>
      <c r="U352">
        <v>0.18447085030636323</v>
      </c>
      <c r="V352">
        <v>0</v>
      </c>
      <c r="W352">
        <v>0</v>
      </c>
      <c r="X352">
        <v>0</v>
      </c>
      <c r="Y352">
        <v>1.2355830913976629E-2</v>
      </c>
      <c r="Z352">
        <v>0</v>
      </c>
      <c r="AA352">
        <v>0.23764416908602337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0.697121171745266</v>
      </c>
      <c r="AN352">
        <v>0.697121171745266</v>
      </c>
      <c r="AO352">
        <v>0.70573468306990383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0.29426531693009617</v>
      </c>
      <c r="BA352">
        <v>0</v>
      </c>
      <c r="BB352">
        <v>0</v>
      </c>
      <c r="BC352">
        <v>0</v>
      </c>
      <c r="BD352">
        <v>0.697121171745266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1.4169630939067066</v>
      </c>
      <c r="BK352">
        <v>1.4169630939067066</v>
      </c>
      <c r="BL352">
        <v>0.98779497234404079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0.41696309390670661</v>
      </c>
      <c r="BV352">
        <v>0</v>
      </c>
      <c r="BW352">
        <v>0</v>
      </c>
      <c r="BX352">
        <v>0</v>
      </c>
      <c r="BY352">
        <v>1.2205027655959211E-2</v>
      </c>
      <c r="BZ352">
        <v>0</v>
      </c>
      <c r="CA352">
        <v>0.98779497234404079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 spans="1:84" hidden="1" x14ac:dyDescent="0.25">
      <c r="A353" t="s">
        <v>128</v>
      </c>
      <c r="B353" t="s">
        <v>372</v>
      </c>
      <c r="C353" t="s">
        <v>109</v>
      </c>
      <c r="D353" s="12">
        <v>46241</v>
      </c>
      <c r="E353" t="s">
        <v>501</v>
      </c>
      <c r="F353" t="s">
        <v>501</v>
      </c>
      <c r="G353" t="s">
        <v>501</v>
      </c>
      <c r="J353">
        <v>6.7655742969551067</v>
      </c>
      <c r="M353">
        <v>11.399999999999999</v>
      </c>
      <c r="N353">
        <v>11.399999999999999</v>
      </c>
      <c r="O353">
        <v>7.5155709342560542</v>
      </c>
      <c r="S353">
        <v>8.4679761370877557E-2</v>
      </c>
      <c r="T353">
        <v>0</v>
      </c>
      <c r="U353">
        <v>0.60090677361430045</v>
      </c>
      <c r="V353">
        <v>0</v>
      </c>
      <c r="W353">
        <v>0</v>
      </c>
      <c r="X353">
        <v>0</v>
      </c>
      <c r="Y353">
        <v>2.6175075836141117E-2</v>
      </c>
      <c r="Z353">
        <v>0</v>
      </c>
      <c r="AA353">
        <v>0.10639373150330841</v>
      </c>
      <c r="AB353">
        <v>4.8474500538352422E-2</v>
      </c>
      <c r="AC353">
        <v>0</v>
      </c>
      <c r="AD353">
        <v>0</v>
      </c>
      <c r="AE353">
        <v>0</v>
      </c>
      <c r="AF353">
        <v>0</v>
      </c>
      <c r="AG353">
        <v>0.95152549946164755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84" hidden="1" x14ac:dyDescent="0.25">
      <c r="A354" t="s">
        <v>128</v>
      </c>
      <c r="B354" t="s">
        <v>372</v>
      </c>
      <c r="C354" t="s">
        <v>109</v>
      </c>
      <c r="D354" s="12">
        <v>46240</v>
      </c>
      <c r="E354" t="s">
        <v>501</v>
      </c>
      <c r="F354" t="s">
        <v>501</v>
      </c>
      <c r="G354" t="s">
        <v>501</v>
      </c>
      <c r="J354">
        <v>6.7655742969551049</v>
      </c>
      <c r="M354">
        <v>14.25</v>
      </c>
      <c r="N354">
        <v>14.25</v>
      </c>
      <c r="O354">
        <v>7.5155709342560568</v>
      </c>
      <c r="S354">
        <v>8.4679761370877668E-2</v>
      </c>
      <c r="T354">
        <v>0</v>
      </c>
      <c r="U354">
        <v>1.0221570437181502</v>
      </c>
      <c r="V354">
        <v>0</v>
      </c>
      <c r="W354">
        <v>0</v>
      </c>
      <c r="X354">
        <v>0</v>
      </c>
      <c r="Y354">
        <v>2.6175075836141593E-2</v>
      </c>
      <c r="Z354">
        <v>0</v>
      </c>
      <c r="AA354">
        <v>0.10639373150330796</v>
      </c>
      <c r="AB354">
        <v>4.8474500538352373E-2</v>
      </c>
      <c r="AC354">
        <v>0</v>
      </c>
      <c r="AD354">
        <v>0</v>
      </c>
      <c r="AE354">
        <v>0</v>
      </c>
      <c r="AF354">
        <v>0</v>
      </c>
      <c r="AG354">
        <v>0.95152549946164766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84" hidden="1" x14ac:dyDescent="0.25">
      <c r="A355" t="s">
        <v>128</v>
      </c>
      <c r="B355" t="s">
        <v>372</v>
      </c>
      <c r="C355" t="s">
        <v>117</v>
      </c>
      <c r="D355" s="12">
        <v>46247</v>
      </c>
      <c r="J355">
        <v>43.264228384591071</v>
      </c>
      <c r="M355">
        <v>41.8</v>
      </c>
      <c r="N355">
        <v>41.8</v>
      </c>
      <c r="O355">
        <v>45.130958044982691</v>
      </c>
      <c r="S355">
        <v>4.6087580806209484E-2</v>
      </c>
      <c r="T355">
        <v>0</v>
      </c>
      <c r="U355">
        <v>0.13788479871643314</v>
      </c>
      <c r="V355">
        <v>0</v>
      </c>
      <c r="W355">
        <v>0</v>
      </c>
      <c r="X355">
        <v>0</v>
      </c>
      <c r="Y355">
        <v>4.2933356066595645E-2</v>
      </c>
      <c r="Z355">
        <v>0</v>
      </c>
      <c r="AA355">
        <v>2.1838242134290062E-2</v>
      </c>
      <c r="AB355">
        <v>0.13462297871353082</v>
      </c>
      <c r="AC355">
        <v>4.587375200225547E-2</v>
      </c>
      <c r="AD355">
        <v>0</v>
      </c>
      <c r="AE355">
        <v>0</v>
      </c>
      <c r="AF355">
        <v>0</v>
      </c>
      <c r="AG355">
        <v>0.74154165133792482</v>
      </c>
      <c r="AH355">
        <v>0</v>
      </c>
      <c r="AI355">
        <v>0</v>
      </c>
      <c r="AJ355">
        <v>0</v>
      </c>
      <c r="AK355">
        <v>7.7961617946288864E-2</v>
      </c>
      <c r="AL355">
        <v>0</v>
      </c>
    </row>
    <row r="356" spans="1:84" hidden="1" x14ac:dyDescent="0.25">
      <c r="A356" t="s">
        <v>128</v>
      </c>
      <c r="B356" t="s">
        <v>372</v>
      </c>
      <c r="C356" t="s">
        <v>72</v>
      </c>
      <c r="D356" s="12">
        <v>46248</v>
      </c>
      <c r="E356" t="s">
        <v>133</v>
      </c>
      <c r="F356" t="s">
        <v>133</v>
      </c>
      <c r="G356" t="s">
        <v>133</v>
      </c>
      <c r="H356" t="s">
        <v>73</v>
      </c>
      <c r="I356">
        <v>20</v>
      </c>
      <c r="J356">
        <v>10.973885648639106</v>
      </c>
      <c r="K356">
        <v>46248</v>
      </c>
      <c r="L356" t="s">
        <v>159</v>
      </c>
      <c r="M356">
        <v>23.75</v>
      </c>
      <c r="N356">
        <v>23.75</v>
      </c>
      <c r="O356">
        <v>10.371323529411764</v>
      </c>
      <c r="P356">
        <v>2.1642288575282618</v>
      </c>
      <c r="Q356">
        <v>2.1642288575282618</v>
      </c>
      <c r="R356">
        <v>0.94509127044693908</v>
      </c>
      <c r="S356">
        <v>0</v>
      </c>
      <c r="T356">
        <v>0</v>
      </c>
      <c r="U356">
        <v>0.91422885752826177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0.25</v>
      </c>
      <c r="AB356">
        <v>0</v>
      </c>
      <c r="AC356">
        <v>0</v>
      </c>
      <c r="AD356">
        <v>0</v>
      </c>
      <c r="AE356">
        <v>5.490872955306092E-2</v>
      </c>
      <c r="AF356">
        <v>0</v>
      </c>
      <c r="AG356">
        <v>0.94509127044693908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0.46205834310059396</v>
      </c>
      <c r="AN356">
        <v>0.46205834310059396</v>
      </c>
      <c r="AO356">
        <v>0.43668730650154797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0.53794165689940598</v>
      </c>
      <c r="BA356">
        <v>0</v>
      </c>
      <c r="BB356">
        <v>2.5371036599045993E-2</v>
      </c>
      <c r="BC356">
        <v>0</v>
      </c>
      <c r="BD356">
        <v>0.43668730650154797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2.2899680964197096</v>
      </c>
      <c r="BK356">
        <v>2.2899680964197096</v>
      </c>
      <c r="BL356">
        <v>1.0580988643849121</v>
      </c>
      <c r="CC356">
        <v>0</v>
      </c>
      <c r="CD356">
        <v>0</v>
      </c>
      <c r="CE356">
        <v>0</v>
      </c>
    </row>
    <row r="357" spans="1:84" hidden="1" x14ac:dyDescent="0.25">
      <c r="A357" t="s">
        <v>128</v>
      </c>
      <c r="B357" t="s">
        <v>372</v>
      </c>
      <c r="C357" t="s">
        <v>72</v>
      </c>
      <c r="D357" s="12">
        <v>46250</v>
      </c>
      <c r="E357" t="s">
        <v>133</v>
      </c>
      <c r="F357" t="s">
        <v>133</v>
      </c>
      <c r="G357" t="s">
        <v>133</v>
      </c>
      <c r="H357" t="s">
        <v>73</v>
      </c>
      <c r="I357">
        <v>20</v>
      </c>
      <c r="J357">
        <v>10.973885648639106</v>
      </c>
      <c r="K357">
        <v>46250</v>
      </c>
      <c r="L357" t="s">
        <v>168</v>
      </c>
      <c r="M357">
        <v>10.45</v>
      </c>
      <c r="N357">
        <v>10.45</v>
      </c>
      <c r="O357">
        <v>12.1875</v>
      </c>
      <c r="P357">
        <v>0.95226069731243512</v>
      </c>
      <c r="Q357">
        <v>0.95226069731243512</v>
      </c>
      <c r="R357">
        <v>1.1105911242579238</v>
      </c>
      <c r="S357">
        <v>0.11059112425792383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4.7739302687564877E-2</v>
      </c>
      <c r="AC357">
        <v>0</v>
      </c>
      <c r="AD357">
        <v>0</v>
      </c>
      <c r="AE357">
        <v>0</v>
      </c>
      <c r="AF357">
        <v>0</v>
      </c>
      <c r="AG357">
        <v>0.95226069731243512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1.0501325979558953</v>
      </c>
      <c r="AN357">
        <v>1.0501325979558953</v>
      </c>
      <c r="AO357">
        <v>1.1662679425837321</v>
      </c>
      <c r="AP357">
        <v>0.11613534462783681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5.0132597955895308E-2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0.85743589743589743</v>
      </c>
      <c r="BK357">
        <v>0.85743589743589743</v>
      </c>
      <c r="BL357">
        <v>0.90042138655500359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9.9578613444996411E-2</v>
      </c>
      <c r="BX357">
        <v>0</v>
      </c>
      <c r="BY357">
        <v>0</v>
      </c>
      <c r="BZ357">
        <v>0</v>
      </c>
      <c r="CA357">
        <v>0.85743589743589743</v>
      </c>
      <c r="CB357">
        <v>0</v>
      </c>
      <c r="CC357">
        <v>0</v>
      </c>
      <c r="CD357">
        <v>0</v>
      </c>
      <c r="CE357">
        <v>0</v>
      </c>
      <c r="CF357">
        <v>0</v>
      </c>
    </row>
    <row r="358" spans="1:84" hidden="1" x14ac:dyDescent="0.25">
      <c r="A358" t="s">
        <v>128</v>
      </c>
      <c r="B358" t="s">
        <v>372</v>
      </c>
      <c r="C358" t="s">
        <v>109</v>
      </c>
      <c r="D358" s="12">
        <v>46238</v>
      </c>
      <c r="E358" t="s">
        <v>501</v>
      </c>
      <c r="F358" t="s">
        <v>501</v>
      </c>
      <c r="G358" t="s">
        <v>501</v>
      </c>
      <c r="J358">
        <v>6.8152298881254181</v>
      </c>
      <c r="M358">
        <v>8.5499999999999989</v>
      </c>
      <c r="N358">
        <v>8.5499999999999989</v>
      </c>
      <c r="O358">
        <v>7.6401624375240305</v>
      </c>
      <c r="S358">
        <v>7.7735833162178081E-2</v>
      </c>
      <c r="T358">
        <v>0</v>
      </c>
      <c r="U358">
        <v>0.17834753080727853</v>
      </c>
      <c r="V358">
        <v>0</v>
      </c>
      <c r="W358">
        <v>0</v>
      </c>
      <c r="X358">
        <v>0</v>
      </c>
      <c r="Y358">
        <v>4.3306679407492048E-2</v>
      </c>
      <c r="Z358">
        <v>0</v>
      </c>
      <c r="AA358">
        <v>8.8296234982307584E-2</v>
      </c>
      <c r="AB358">
        <v>5.5407291062663074E-2</v>
      </c>
      <c r="AC358">
        <v>0</v>
      </c>
      <c r="AD358">
        <v>0</v>
      </c>
      <c r="AE358">
        <v>0</v>
      </c>
      <c r="AF358">
        <v>0</v>
      </c>
      <c r="AG358">
        <v>0.94459270893733693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84" hidden="1" x14ac:dyDescent="0.25">
      <c r="A359" t="s">
        <v>128</v>
      </c>
      <c r="B359" t="s">
        <v>372</v>
      </c>
      <c r="C359" t="s">
        <v>72</v>
      </c>
      <c r="D359" s="12">
        <v>46249</v>
      </c>
      <c r="E359" t="s">
        <v>133</v>
      </c>
      <c r="F359" t="s">
        <v>133</v>
      </c>
      <c r="G359" t="s">
        <v>133</v>
      </c>
      <c r="H359" t="s">
        <v>75</v>
      </c>
      <c r="I359">
        <v>20</v>
      </c>
      <c r="J359">
        <v>10.973885648639106</v>
      </c>
      <c r="K359">
        <v>46249</v>
      </c>
      <c r="L359" t="s">
        <v>167</v>
      </c>
      <c r="M359">
        <v>10.45</v>
      </c>
      <c r="N359">
        <v>10.45</v>
      </c>
      <c r="O359">
        <v>12.246323529411764</v>
      </c>
      <c r="P359">
        <v>0.95226069731243512</v>
      </c>
      <c r="Q359">
        <v>0.95226069731243512</v>
      </c>
      <c r="R359">
        <v>1.1159514434096967</v>
      </c>
      <c r="S359">
        <v>0.11595144340969665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4.7739302687564877E-2</v>
      </c>
      <c r="AC359">
        <v>0</v>
      </c>
      <c r="AD359">
        <v>0</v>
      </c>
      <c r="AE359">
        <v>0</v>
      </c>
      <c r="AF359">
        <v>0</v>
      </c>
      <c r="AG359">
        <v>0.95226069731243512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1.0501325979558953</v>
      </c>
      <c r="AN359">
        <v>1.0501325979558953</v>
      </c>
      <c r="AO359">
        <v>1.171896988460456</v>
      </c>
      <c r="AP359">
        <v>0.12176439050456067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5.0132597955895308E-2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0.85331732212548783</v>
      </c>
      <c r="BK359">
        <v>0.85331732212548783</v>
      </c>
      <c r="BL359">
        <v>0.89609633636440611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0.10390366363559389</v>
      </c>
      <c r="BX359">
        <v>0</v>
      </c>
      <c r="BY359">
        <v>0</v>
      </c>
      <c r="BZ359">
        <v>0</v>
      </c>
      <c r="CA359">
        <v>0.85331732212548783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 spans="1:84" hidden="1" x14ac:dyDescent="0.25">
      <c r="A360" t="s">
        <v>128</v>
      </c>
      <c r="B360" t="s">
        <v>372</v>
      </c>
      <c r="C360" t="s">
        <v>117</v>
      </c>
      <c r="D360" s="12">
        <v>46250</v>
      </c>
      <c r="J360">
        <v>39.970417738958275</v>
      </c>
      <c r="M360">
        <v>35.15</v>
      </c>
      <c r="N360">
        <v>35.15</v>
      </c>
      <c r="O360">
        <v>42.567460532006912</v>
      </c>
      <c r="S360">
        <v>7.5058908298592159E-2</v>
      </c>
      <c r="T360">
        <v>0</v>
      </c>
      <c r="U360">
        <v>5.41770525535561E-2</v>
      </c>
      <c r="V360">
        <v>0</v>
      </c>
      <c r="W360">
        <v>0</v>
      </c>
      <c r="X360">
        <v>0</v>
      </c>
      <c r="Y360">
        <v>1.7574445316256921E-2</v>
      </c>
      <c r="Z360">
        <v>0</v>
      </c>
      <c r="AA360">
        <v>1.8106414347291912E-2</v>
      </c>
      <c r="AB360">
        <v>0.20656589165145603</v>
      </c>
      <c r="AC360">
        <v>2.7659231752785955E-2</v>
      </c>
      <c r="AD360">
        <v>0</v>
      </c>
      <c r="AE360">
        <v>0</v>
      </c>
      <c r="AF360">
        <v>0</v>
      </c>
      <c r="AG360">
        <v>0.76577487659575794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84" hidden="1" x14ac:dyDescent="0.25">
      <c r="A361" t="s">
        <v>128</v>
      </c>
      <c r="B361" t="s">
        <v>372</v>
      </c>
      <c r="C361" t="s">
        <v>72</v>
      </c>
      <c r="D361" s="12">
        <v>46249</v>
      </c>
      <c r="E361" t="s">
        <v>133</v>
      </c>
      <c r="F361" t="s">
        <v>133</v>
      </c>
      <c r="G361" t="s">
        <v>133</v>
      </c>
      <c r="H361" t="s">
        <v>74</v>
      </c>
      <c r="I361">
        <v>20</v>
      </c>
      <c r="J361">
        <v>4.2207252494765797</v>
      </c>
      <c r="K361">
        <v>46249</v>
      </c>
      <c r="L361" t="s">
        <v>164</v>
      </c>
      <c r="M361">
        <v>4.75</v>
      </c>
      <c r="N361">
        <v>4.75</v>
      </c>
      <c r="O361">
        <v>4.74609375</v>
      </c>
      <c r="P361">
        <v>1.1253990059146959</v>
      </c>
      <c r="Q361">
        <v>1.1253990059146959</v>
      </c>
      <c r="R361">
        <v>1.1244735133111476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0.12447351331114764</v>
      </c>
      <c r="Z361">
        <v>0</v>
      </c>
      <c r="AA361">
        <v>9.2549260354823915E-4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0.88857373673191153</v>
      </c>
      <c r="AN361">
        <v>0.88857373673191153</v>
      </c>
      <c r="AO361">
        <v>0.99917763157894735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8.2236842105265495E-4</v>
      </c>
      <c r="BA361">
        <v>0</v>
      </c>
      <c r="BB361">
        <v>0</v>
      </c>
      <c r="BC361">
        <v>0</v>
      </c>
      <c r="BD361">
        <v>0.88857373673191153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1.0008230452674898</v>
      </c>
      <c r="BK361">
        <v>1.0008230452674898</v>
      </c>
      <c r="BL361">
        <v>0.88930507314074436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8.230452674897748E-4</v>
      </c>
      <c r="BV361">
        <v>0</v>
      </c>
      <c r="BW361">
        <v>0</v>
      </c>
      <c r="BX361">
        <v>0</v>
      </c>
      <c r="BY361">
        <v>0.11069492685925564</v>
      </c>
      <c r="BZ361">
        <v>0</v>
      </c>
      <c r="CA361">
        <v>0.88930507314074436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 spans="1:84" hidden="1" x14ac:dyDescent="0.25">
      <c r="A362" t="s">
        <v>128</v>
      </c>
      <c r="B362" t="s">
        <v>372</v>
      </c>
      <c r="C362" t="s">
        <v>109</v>
      </c>
      <c r="D362" s="12">
        <v>46238</v>
      </c>
      <c r="E362" t="s">
        <v>134</v>
      </c>
      <c r="F362" t="s">
        <v>134</v>
      </c>
      <c r="G362" t="s">
        <v>134</v>
      </c>
      <c r="J362">
        <v>10.479565915226782</v>
      </c>
      <c r="M362">
        <v>0</v>
      </c>
      <c r="N362">
        <v>0</v>
      </c>
      <c r="O362">
        <v>8.7159385813148766</v>
      </c>
      <c r="S362">
        <v>1.0802921266538673E-2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0.4990454236435356</v>
      </c>
      <c r="AC362">
        <v>0.17909494291882463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0.32185963343763968</v>
      </c>
      <c r="AL362">
        <v>0</v>
      </c>
    </row>
    <row r="363" spans="1:84" hidden="1" x14ac:dyDescent="0.25">
      <c r="A363" t="s">
        <v>128</v>
      </c>
      <c r="B363" t="s">
        <v>372</v>
      </c>
      <c r="C363" t="s">
        <v>72</v>
      </c>
      <c r="D363" s="12">
        <v>46223</v>
      </c>
      <c r="E363" t="s">
        <v>133</v>
      </c>
      <c r="F363" t="s">
        <v>133</v>
      </c>
      <c r="G363" t="s">
        <v>133</v>
      </c>
      <c r="H363" t="s">
        <v>74</v>
      </c>
      <c r="I363">
        <v>20</v>
      </c>
      <c r="J363">
        <v>4.2207252494765797</v>
      </c>
      <c r="K363">
        <v>46223</v>
      </c>
      <c r="L363" t="s">
        <v>157</v>
      </c>
      <c r="M363">
        <v>5.6999999999999993</v>
      </c>
      <c r="N363">
        <v>5.6999999999999993</v>
      </c>
      <c r="O363">
        <v>4.6875</v>
      </c>
      <c r="P363">
        <v>1.350478807097635</v>
      </c>
      <c r="Q363">
        <v>1.350478807097635</v>
      </c>
      <c r="R363">
        <v>1.1105911242579236</v>
      </c>
      <c r="S363">
        <v>0</v>
      </c>
      <c r="T363">
        <v>0</v>
      </c>
      <c r="U363">
        <v>0.10047880709763501</v>
      </c>
      <c r="V363">
        <v>0</v>
      </c>
      <c r="W363">
        <v>0</v>
      </c>
      <c r="X363">
        <v>0</v>
      </c>
      <c r="Y363">
        <v>0.11059112425792361</v>
      </c>
      <c r="Z363">
        <v>0</v>
      </c>
      <c r="AA363">
        <v>0.13940887574207639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0.74047811394325969</v>
      </c>
      <c r="AN363">
        <v>0.74047811394325969</v>
      </c>
      <c r="AO363">
        <v>0.82236842105263164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0.17763157894736836</v>
      </c>
      <c r="BA363">
        <v>0</v>
      </c>
      <c r="BB363">
        <v>0</v>
      </c>
      <c r="BC363">
        <v>0</v>
      </c>
      <c r="BD363">
        <v>0.74047811394325969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1.2159999999999997</v>
      </c>
      <c r="BK363">
        <v>1.2159999999999997</v>
      </c>
      <c r="BL363">
        <v>0.9004213865550037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0.21599999999999975</v>
      </c>
      <c r="BV363">
        <v>0</v>
      </c>
      <c r="BW363">
        <v>0</v>
      </c>
      <c r="BX363">
        <v>0</v>
      </c>
      <c r="BY363">
        <v>9.95786134449963E-2</v>
      </c>
      <c r="BZ363">
        <v>0</v>
      </c>
      <c r="CA363">
        <v>0.9004213865550037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 spans="1:84" hidden="1" x14ac:dyDescent="0.25">
      <c r="A364" t="s">
        <v>128</v>
      </c>
      <c r="B364" t="s">
        <v>372</v>
      </c>
      <c r="C364" t="s">
        <v>117</v>
      </c>
      <c r="D364" s="12">
        <v>46249</v>
      </c>
      <c r="J364">
        <v>41.899846569613139</v>
      </c>
      <c r="M364">
        <v>37.049999999999997</v>
      </c>
      <c r="N364">
        <v>37.049999999999997</v>
      </c>
      <c r="O364">
        <v>44.185323853806217</v>
      </c>
      <c r="S364">
        <v>7.0732513676981246E-2</v>
      </c>
      <c r="T364">
        <v>0</v>
      </c>
      <c r="U364">
        <v>9.7028503807923855E-2</v>
      </c>
      <c r="V364">
        <v>0</v>
      </c>
      <c r="W364">
        <v>0</v>
      </c>
      <c r="X364">
        <v>0</v>
      </c>
      <c r="Y364">
        <v>1.8169074890721254E-2</v>
      </c>
      <c r="Z364">
        <v>0</v>
      </c>
      <c r="AA364">
        <v>1.5868731516701134E-2</v>
      </c>
      <c r="AB364">
        <v>0.21245947062605527</v>
      </c>
      <c r="AC364">
        <v>3.435539159306783E-2</v>
      </c>
      <c r="AD364">
        <v>0</v>
      </c>
      <c r="AE364">
        <v>0</v>
      </c>
      <c r="AF364">
        <v>0</v>
      </c>
      <c r="AG364">
        <v>0.75318513778087681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84" hidden="1" x14ac:dyDescent="0.25">
      <c r="A365" t="s">
        <v>128</v>
      </c>
      <c r="B365" t="s">
        <v>372</v>
      </c>
      <c r="C365" t="s">
        <v>109</v>
      </c>
      <c r="D365" s="12">
        <v>46239</v>
      </c>
      <c r="E365" t="s">
        <v>133</v>
      </c>
      <c r="F365" t="s">
        <v>133</v>
      </c>
      <c r="G365" t="s">
        <v>133</v>
      </c>
      <c r="J365">
        <v>27.619370851262367</v>
      </c>
      <c r="M365">
        <v>36.099999999999994</v>
      </c>
      <c r="N365">
        <v>36.099999999999994</v>
      </c>
      <c r="O365">
        <v>30.65625</v>
      </c>
      <c r="S365">
        <v>7.0381953296342795E-2</v>
      </c>
      <c r="T365">
        <v>0</v>
      </c>
      <c r="U365">
        <v>0.25602333958212653</v>
      </c>
      <c r="V365">
        <v>0</v>
      </c>
      <c r="W365">
        <v>0</v>
      </c>
      <c r="X365">
        <v>0</v>
      </c>
      <c r="Y365">
        <v>3.957272905656202E-2</v>
      </c>
      <c r="Z365">
        <v>0</v>
      </c>
      <c r="AA365">
        <v>7.4324119080973791E-2</v>
      </c>
      <c r="AB365">
        <v>6.2866518959136836E-2</v>
      </c>
      <c r="AC365">
        <v>0</v>
      </c>
      <c r="AD365">
        <v>0</v>
      </c>
      <c r="AE365">
        <v>0</v>
      </c>
      <c r="AF365">
        <v>0</v>
      </c>
      <c r="AG365">
        <v>0.93713348104086325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84" hidden="1" x14ac:dyDescent="0.25">
      <c r="A366" t="s">
        <v>128</v>
      </c>
      <c r="B366" t="s">
        <v>372</v>
      </c>
      <c r="C366" t="s">
        <v>72</v>
      </c>
      <c r="D366" s="12">
        <v>46249</v>
      </c>
      <c r="E366" t="s">
        <v>133</v>
      </c>
      <c r="F366" t="s">
        <v>133</v>
      </c>
      <c r="G366" t="s">
        <v>133</v>
      </c>
      <c r="H366" t="s">
        <v>73</v>
      </c>
      <c r="I366">
        <v>20</v>
      </c>
      <c r="J366">
        <v>11.026644714257564</v>
      </c>
      <c r="K366">
        <v>46249</v>
      </c>
      <c r="L366" t="s">
        <v>155</v>
      </c>
      <c r="M366">
        <v>10.45</v>
      </c>
      <c r="N366">
        <v>10.45</v>
      </c>
      <c r="O366">
        <v>12.191176470588236</v>
      </c>
      <c r="P366">
        <v>0.94770442603342819</v>
      </c>
      <c r="Q366">
        <v>0.94770442603342819</v>
      </c>
      <c r="R366">
        <v>1.1056107081082354</v>
      </c>
      <c r="S366">
        <v>0.10561070810823536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5.2295573966571807E-2</v>
      </c>
      <c r="AC366">
        <v>0</v>
      </c>
      <c r="AD366">
        <v>0</v>
      </c>
      <c r="AE366">
        <v>0</v>
      </c>
      <c r="AF366">
        <v>0</v>
      </c>
      <c r="AG366">
        <v>0.94770442603342819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1.0551813123691449</v>
      </c>
      <c r="AN366">
        <v>1.0551813123691449</v>
      </c>
      <c r="AO366">
        <v>1.1666197579510273</v>
      </c>
      <c r="AP366">
        <v>0.11143844558188243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5.5181312369144919E-2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0.85717732207478881</v>
      </c>
      <c r="BK366">
        <v>0.85717732207478881</v>
      </c>
      <c r="BL366">
        <v>0.90447749163994495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9.5522508360055047E-2</v>
      </c>
      <c r="BX366">
        <v>0</v>
      </c>
      <c r="BY366">
        <v>0</v>
      </c>
      <c r="BZ366">
        <v>0</v>
      </c>
      <c r="CA366">
        <v>0.85717732207478881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hidden="1" x14ac:dyDescent="0.25">
      <c r="A367" t="s">
        <v>128</v>
      </c>
      <c r="B367" t="s">
        <v>372</v>
      </c>
      <c r="C367" t="s">
        <v>72</v>
      </c>
      <c r="D367" s="12">
        <v>46248</v>
      </c>
      <c r="E367" t="s">
        <v>133</v>
      </c>
      <c r="F367" t="s">
        <v>133</v>
      </c>
      <c r="G367" t="s">
        <v>133</v>
      </c>
      <c r="H367" t="s">
        <v>75</v>
      </c>
      <c r="I367">
        <v>20</v>
      </c>
      <c r="J367">
        <v>11.026644714257564</v>
      </c>
      <c r="K367">
        <v>46248</v>
      </c>
      <c r="L367" t="s">
        <v>156</v>
      </c>
      <c r="M367">
        <v>12.35</v>
      </c>
      <c r="N367">
        <v>12.35</v>
      </c>
      <c r="O367">
        <v>12.191176470588236</v>
      </c>
      <c r="P367">
        <v>1.1200143216758696</v>
      </c>
      <c r="Q367">
        <v>1.1200143216758696</v>
      </c>
      <c r="R367">
        <v>1.1056107081082354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0.10561070810823536</v>
      </c>
      <c r="Z367">
        <v>0</v>
      </c>
      <c r="AA367">
        <v>1.4403613567634199E-2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0.8928457258508149</v>
      </c>
      <c r="AN367">
        <v>0.8928457258508149</v>
      </c>
      <c r="AO367">
        <v>0.98713979518933082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1.2860204810669185E-2</v>
      </c>
      <c r="BA367">
        <v>0</v>
      </c>
      <c r="BB367">
        <v>0</v>
      </c>
      <c r="BC367">
        <v>0</v>
      </c>
      <c r="BD367">
        <v>0.8928457258508149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1.0130277442702049</v>
      </c>
      <c r="BK367">
        <v>1.0130277442702049</v>
      </c>
      <c r="BL367">
        <v>0.90447749163994495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1.3027744270204922E-2</v>
      </c>
      <c r="BV367">
        <v>0</v>
      </c>
      <c r="BW367">
        <v>0</v>
      </c>
      <c r="BX367">
        <v>0</v>
      </c>
      <c r="BY367">
        <v>9.5522508360055047E-2</v>
      </c>
      <c r="BZ367">
        <v>0</v>
      </c>
      <c r="CA367">
        <v>0.90447749163994495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 spans="1:84" hidden="1" x14ac:dyDescent="0.25">
      <c r="A368" t="s">
        <v>128</v>
      </c>
      <c r="B368" t="s">
        <v>372</v>
      </c>
      <c r="C368" t="s">
        <v>72</v>
      </c>
      <c r="D368" s="12">
        <v>46223</v>
      </c>
      <c r="E368" t="s">
        <v>133</v>
      </c>
      <c r="F368" t="s">
        <v>133</v>
      </c>
      <c r="G368" t="s">
        <v>133</v>
      </c>
      <c r="H368" t="s">
        <v>75</v>
      </c>
      <c r="I368">
        <v>20</v>
      </c>
      <c r="J368">
        <v>10.973885648639106</v>
      </c>
      <c r="K368">
        <v>46223</v>
      </c>
      <c r="L368" t="s">
        <v>165</v>
      </c>
      <c r="M368">
        <v>11.4</v>
      </c>
      <c r="N368">
        <v>11.4</v>
      </c>
      <c r="O368">
        <v>10.293198529411764</v>
      </c>
      <c r="P368">
        <v>1.0388298516135654</v>
      </c>
      <c r="Q368">
        <v>1.0388298516135654</v>
      </c>
      <c r="R368">
        <v>0.93797209657349079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3.8829851613565447E-2</v>
      </c>
      <c r="AB368">
        <v>0</v>
      </c>
      <c r="AC368">
        <v>0</v>
      </c>
      <c r="AD368">
        <v>0</v>
      </c>
      <c r="AE368">
        <v>6.2027903426509212E-2</v>
      </c>
      <c r="AF368">
        <v>0</v>
      </c>
      <c r="AG368">
        <v>0.93797209657349079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0.96262154812623746</v>
      </c>
      <c r="AN368">
        <v>0.96262154812623746</v>
      </c>
      <c r="AO368">
        <v>0.90291215170278649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3.7378451873762542E-2</v>
      </c>
      <c r="BA368">
        <v>0</v>
      </c>
      <c r="BB368">
        <v>5.9709396423450967E-2</v>
      </c>
      <c r="BC368">
        <v>0</v>
      </c>
      <c r="BD368">
        <v>0.90291215170278649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1.1075274578087329</v>
      </c>
      <c r="BK368">
        <v>1.1075274578087329</v>
      </c>
      <c r="BL368">
        <v>1.0661297960281586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6.6129796028158605E-2</v>
      </c>
      <c r="BT368">
        <v>0</v>
      </c>
      <c r="BU368">
        <v>4.1397661780574246E-2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 spans="1:84" hidden="1" x14ac:dyDescent="0.25">
      <c r="A369" t="s">
        <v>128</v>
      </c>
      <c r="B369" t="s">
        <v>372</v>
      </c>
      <c r="C369" t="s">
        <v>109</v>
      </c>
      <c r="D369" s="12">
        <v>46239</v>
      </c>
      <c r="E369" t="s">
        <v>501</v>
      </c>
      <c r="F369" t="s">
        <v>501</v>
      </c>
      <c r="G369" t="s">
        <v>501</v>
      </c>
      <c r="J369">
        <v>6.7655742969551049</v>
      </c>
      <c r="M369">
        <v>13.299999999999999</v>
      </c>
      <c r="N369">
        <v>13.299999999999999</v>
      </c>
      <c r="O369">
        <v>7.5155709342560542</v>
      </c>
      <c r="S369">
        <v>8.4679761370877668E-2</v>
      </c>
      <c r="T369">
        <v>0</v>
      </c>
      <c r="U369">
        <v>0.88174028701686724</v>
      </c>
      <c r="V369">
        <v>0</v>
      </c>
      <c r="W369">
        <v>0</v>
      </c>
      <c r="X369">
        <v>0</v>
      </c>
      <c r="Y369">
        <v>2.6175075836141121E-2</v>
      </c>
      <c r="Z369">
        <v>0</v>
      </c>
      <c r="AA369">
        <v>0.10639373150330843</v>
      </c>
      <c r="AB369">
        <v>4.8474500538352373E-2</v>
      </c>
      <c r="AC369">
        <v>0</v>
      </c>
      <c r="AD369">
        <v>0</v>
      </c>
      <c r="AE369">
        <v>0</v>
      </c>
      <c r="AF369">
        <v>0</v>
      </c>
      <c r="AG369">
        <v>0.95152549946164766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84" hidden="1" x14ac:dyDescent="0.25">
      <c r="A370" t="s">
        <v>128</v>
      </c>
      <c r="B370" t="s">
        <v>372</v>
      </c>
      <c r="C370" t="s">
        <v>109</v>
      </c>
      <c r="D370" s="12">
        <v>46239</v>
      </c>
      <c r="E370" t="s">
        <v>134</v>
      </c>
      <c r="F370" t="s">
        <v>134</v>
      </c>
      <c r="G370" t="s">
        <v>134</v>
      </c>
      <c r="J370">
        <v>9.8140698021217112</v>
      </c>
      <c r="M370">
        <v>0</v>
      </c>
      <c r="N370">
        <v>0</v>
      </c>
      <c r="O370">
        <v>7.1934472318339093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0.73297290287040273</v>
      </c>
      <c r="AC370">
        <v>0.26702709712959732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84" hidden="1" x14ac:dyDescent="0.25">
      <c r="A371" t="s">
        <v>128</v>
      </c>
      <c r="B371" t="s">
        <v>372</v>
      </c>
      <c r="C371" t="s">
        <v>72</v>
      </c>
      <c r="D371" s="12">
        <v>46248</v>
      </c>
      <c r="E371" t="s">
        <v>133</v>
      </c>
      <c r="F371" t="s">
        <v>133</v>
      </c>
      <c r="G371" t="s">
        <v>133</v>
      </c>
      <c r="H371" t="s">
        <v>74</v>
      </c>
      <c r="I371">
        <v>20</v>
      </c>
      <c r="J371">
        <v>4.2207252494765797</v>
      </c>
      <c r="K371">
        <v>46248</v>
      </c>
      <c r="L371" t="s">
        <v>158</v>
      </c>
      <c r="M371">
        <v>4.75</v>
      </c>
      <c r="N371">
        <v>4.75</v>
      </c>
      <c r="O371">
        <v>3.75</v>
      </c>
      <c r="P371">
        <v>1.1253990059146959</v>
      </c>
      <c r="Q371">
        <v>1.1253990059146959</v>
      </c>
      <c r="R371">
        <v>0.88847289940633889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0.12539900591469588</v>
      </c>
      <c r="AB371">
        <v>0</v>
      </c>
      <c r="AC371">
        <v>0</v>
      </c>
      <c r="AD371">
        <v>0</v>
      </c>
      <c r="AE371">
        <v>0.11152710059366111</v>
      </c>
      <c r="AF371">
        <v>0</v>
      </c>
      <c r="AG371">
        <v>0.88847289940633889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0.88857373673191153</v>
      </c>
      <c r="AN371">
        <v>0.88857373673191153</v>
      </c>
      <c r="AO371">
        <v>0.78947368421052633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0.11142626326808847</v>
      </c>
      <c r="BA371">
        <v>0</v>
      </c>
      <c r="BB371">
        <v>9.9100052521385207E-2</v>
      </c>
      <c r="BC371">
        <v>0</v>
      </c>
      <c r="BD371">
        <v>0.78947368421052633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1.2666666666666666</v>
      </c>
      <c r="BK371">
        <v>1.2666666666666666</v>
      </c>
      <c r="BL371">
        <v>1.1255267331937546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0.12552673319375462</v>
      </c>
      <c r="BT371">
        <v>0</v>
      </c>
      <c r="BU371">
        <v>0.14113993347291198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0</v>
      </c>
      <c r="CD371">
        <v>0</v>
      </c>
      <c r="CE371">
        <v>0</v>
      </c>
      <c r="CF371">
        <v>0</v>
      </c>
    </row>
    <row r="372" spans="1:84" hidden="1" x14ac:dyDescent="0.25">
      <c r="A372" t="s">
        <v>128</v>
      </c>
      <c r="B372" t="s">
        <v>372</v>
      </c>
      <c r="C372" t="s">
        <v>117</v>
      </c>
      <c r="D372" s="12">
        <v>46248</v>
      </c>
      <c r="J372">
        <v>41.07722344334563</v>
      </c>
      <c r="M372">
        <v>55.100000000000009</v>
      </c>
      <c r="N372">
        <v>55.100000000000009</v>
      </c>
      <c r="O372">
        <v>40.533531574394459</v>
      </c>
      <c r="S372">
        <v>2.3810777214583124E-2</v>
      </c>
      <c r="T372">
        <v>0</v>
      </c>
      <c r="U372">
        <v>0.38946455043869066</v>
      </c>
      <c r="V372">
        <v>0</v>
      </c>
      <c r="W372">
        <v>0</v>
      </c>
      <c r="X372">
        <v>0</v>
      </c>
      <c r="Y372">
        <v>3.2660950866820498E-2</v>
      </c>
      <c r="Z372">
        <v>0</v>
      </c>
      <c r="AA372">
        <v>0.10106292585808632</v>
      </c>
      <c r="AB372">
        <v>0.10661899416607723</v>
      </c>
      <c r="AC372">
        <v>4.3579048017884293E-2</v>
      </c>
      <c r="AD372">
        <v>0</v>
      </c>
      <c r="AE372">
        <v>2.6128527654363406E-2</v>
      </c>
      <c r="AF372">
        <v>0</v>
      </c>
      <c r="AG372">
        <v>0.76893183272934129</v>
      </c>
      <c r="AH372">
        <v>0</v>
      </c>
      <c r="AI372">
        <v>0</v>
      </c>
      <c r="AJ372">
        <v>0</v>
      </c>
      <c r="AK372">
        <v>5.4741597432333776E-2</v>
      </c>
      <c r="AL372">
        <v>0</v>
      </c>
    </row>
    <row r="373" spans="1:84" hidden="1" x14ac:dyDescent="0.25">
      <c r="A373" t="s">
        <v>128</v>
      </c>
      <c r="B373" t="s">
        <v>372</v>
      </c>
      <c r="C373" t="s">
        <v>109</v>
      </c>
      <c r="D373" s="12">
        <v>46240</v>
      </c>
      <c r="E373" t="s">
        <v>133</v>
      </c>
      <c r="F373" t="s">
        <v>133</v>
      </c>
      <c r="G373" t="s">
        <v>133</v>
      </c>
      <c r="J373">
        <v>26.933502998222423</v>
      </c>
      <c r="M373">
        <v>38.950000000000003</v>
      </c>
      <c r="N373">
        <v>38.950000000000003</v>
      </c>
      <c r="O373">
        <v>29.90625</v>
      </c>
      <c r="S373">
        <v>5.8112635829962143E-2</v>
      </c>
      <c r="T373">
        <v>0</v>
      </c>
      <c r="U373">
        <v>0.33699236506538383</v>
      </c>
      <c r="V373">
        <v>0</v>
      </c>
      <c r="W373">
        <v>0</v>
      </c>
      <c r="X373">
        <v>0</v>
      </c>
      <c r="Y373">
        <v>5.226093874642232E-2</v>
      </c>
      <c r="Z373">
        <v>0</v>
      </c>
      <c r="AA373">
        <v>7.6352029859210718E-2</v>
      </c>
      <c r="AB373">
        <v>1.9451077294835441E-2</v>
      </c>
      <c r="AC373">
        <v>0</v>
      </c>
      <c r="AD373">
        <v>0</v>
      </c>
      <c r="AE373">
        <v>0</v>
      </c>
      <c r="AF373">
        <v>0</v>
      </c>
      <c r="AG373">
        <v>0.98054892270516447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84" hidden="1" x14ac:dyDescent="0.25">
      <c r="A374" t="s">
        <v>128</v>
      </c>
      <c r="B374" t="s">
        <v>372</v>
      </c>
      <c r="C374" t="s">
        <v>109</v>
      </c>
      <c r="D374" s="12">
        <v>46242</v>
      </c>
      <c r="E374" t="s">
        <v>501</v>
      </c>
      <c r="F374" t="s">
        <v>501</v>
      </c>
      <c r="G374" t="s">
        <v>501</v>
      </c>
      <c r="J374">
        <v>6.7655742969551058</v>
      </c>
      <c r="M374">
        <v>11.399999999999999</v>
      </c>
      <c r="N374">
        <v>11.399999999999999</v>
      </c>
      <c r="O374">
        <v>7.5155709342560559</v>
      </c>
      <c r="S374">
        <v>8.4679761370877557E-2</v>
      </c>
      <c r="T374">
        <v>0</v>
      </c>
      <c r="U374">
        <v>0.60090677361430067</v>
      </c>
      <c r="V374">
        <v>0</v>
      </c>
      <c r="W374">
        <v>0</v>
      </c>
      <c r="X374">
        <v>0</v>
      </c>
      <c r="Y374">
        <v>2.6175075836141471E-2</v>
      </c>
      <c r="Z374">
        <v>0</v>
      </c>
      <c r="AA374">
        <v>0.10639373150330807</v>
      </c>
      <c r="AB374">
        <v>4.8474500538352429E-2</v>
      </c>
      <c r="AC374">
        <v>0</v>
      </c>
      <c r="AD374">
        <v>0</v>
      </c>
      <c r="AE374">
        <v>0</v>
      </c>
      <c r="AF374">
        <v>0</v>
      </c>
      <c r="AG374">
        <v>0.95152549946164755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84" hidden="1" x14ac:dyDescent="0.25">
      <c r="A375" t="s">
        <v>128</v>
      </c>
      <c r="B375" t="s">
        <v>372</v>
      </c>
      <c r="C375" t="s">
        <v>72</v>
      </c>
      <c r="D375" s="12">
        <v>46245</v>
      </c>
      <c r="E375" t="s">
        <v>133</v>
      </c>
      <c r="F375" t="s">
        <v>133</v>
      </c>
      <c r="G375" t="s">
        <v>133</v>
      </c>
      <c r="H375" t="s">
        <v>75</v>
      </c>
      <c r="I375">
        <v>20</v>
      </c>
      <c r="J375">
        <v>10.973885648639106</v>
      </c>
      <c r="K375">
        <v>46245</v>
      </c>
      <c r="L375" t="s">
        <v>195</v>
      </c>
      <c r="M375">
        <v>10.45</v>
      </c>
      <c r="N375">
        <v>10.45</v>
      </c>
      <c r="O375">
        <v>12.5390625</v>
      </c>
      <c r="P375">
        <v>0.95226069731243512</v>
      </c>
      <c r="Q375">
        <v>0.95226069731243512</v>
      </c>
      <c r="R375">
        <v>1.1426274066884408</v>
      </c>
      <c r="S375">
        <v>0.14262740668844076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4.7739302687564877E-2</v>
      </c>
      <c r="AC375">
        <v>0</v>
      </c>
      <c r="AD375">
        <v>0</v>
      </c>
      <c r="AE375">
        <v>0</v>
      </c>
      <c r="AF375">
        <v>0</v>
      </c>
      <c r="AG375">
        <v>0.95226069731243512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1.0501325979558953</v>
      </c>
      <c r="AN375">
        <v>1.0501325979558953</v>
      </c>
      <c r="AO375">
        <v>1.1999102870813398</v>
      </c>
      <c r="AP375">
        <v>0.14977768912544454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5.0132597955895308E-2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0.83339563862928345</v>
      </c>
      <c r="BK375">
        <v>0.83339563862928345</v>
      </c>
      <c r="BL375">
        <v>0.87517592711888204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0.12482407288111796</v>
      </c>
      <c r="BX375">
        <v>0</v>
      </c>
      <c r="BY375">
        <v>0</v>
      </c>
      <c r="BZ375">
        <v>0</v>
      </c>
      <c r="CA375">
        <v>0.83339563862928345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 spans="1:84" hidden="1" x14ac:dyDescent="0.25">
      <c r="A376" t="s">
        <v>128</v>
      </c>
      <c r="B376" t="s">
        <v>372</v>
      </c>
      <c r="C376" t="s">
        <v>72</v>
      </c>
      <c r="D376" s="12">
        <v>46246</v>
      </c>
      <c r="E376" t="s">
        <v>133</v>
      </c>
      <c r="F376" t="s">
        <v>133</v>
      </c>
      <c r="G376" t="s">
        <v>133</v>
      </c>
      <c r="H376" t="s">
        <v>75</v>
      </c>
      <c r="I376">
        <v>20</v>
      </c>
      <c r="J376">
        <v>10.815608451783737</v>
      </c>
      <c r="K376">
        <v>46246</v>
      </c>
      <c r="L376" t="s">
        <v>201</v>
      </c>
      <c r="M376">
        <v>10.45</v>
      </c>
      <c r="N376">
        <v>10.45</v>
      </c>
      <c r="O376">
        <v>12.292738970588236</v>
      </c>
      <c r="P376">
        <v>0.9661962197121291</v>
      </c>
      <c r="Q376">
        <v>0.9661962197121291</v>
      </c>
      <c r="R376">
        <v>1.1365739639512271</v>
      </c>
      <c r="S376">
        <v>0.13657396395122712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3.3803780287870899E-2</v>
      </c>
      <c r="AC376">
        <v>0</v>
      </c>
      <c r="AD376">
        <v>0</v>
      </c>
      <c r="AE376">
        <v>0</v>
      </c>
      <c r="AF376">
        <v>0</v>
      </c>
      <c r="AG376">
        <v>0.9661962197121291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1.0349864547161471</v>
      </c>
      <c r="AN376">
        <v>1.0349864547161471</v>
      </c>
      <c r="AO376">
        <v>1.1763386574725585</v>
      </c>
      <c r="AP376">
        <v>0.14135220275641136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3.4986454716147142E-2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0.85009533066656695</v>
      </c>
      <c r="BK376">
        <v>0.85009533066656695</v>
      </c>
      <c r="BL376">
        <v>0.87983715245734084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0.12016284754265916</v>
      </c>
      <c r="BX376">
        <v>0</v>
      </c>
      <c r="BY376">
        <v>0</v>
      </c>
      <c r="BZ376">
        <v>0</v>
      </c>
      <c r="CA376">
        <v>0.85009533066656695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hidden="1" x14ac:dyDescent="0.25">
      <c r="A377" t="s">
        <v>128</v>
      </c>
      <c r="B377" t="s">
        <v>372</v>
      </c>
      <c r="C377" t="s">
        <v>109</v>
      </c>
      <c r="D377" s="12">
        <v>46243</v>
      </c>
      <c r="E377" t="s">
        <v>133</v>
      </c>
      <c r="F377" t="s">
        <v>133</v>
      </c>
      <c r="G377" t="s">
        <v>133</v>
      </c>
      <c r="J377">
        <v>27.012641596650106</v>
      </c>
      <c r="M377">
        <v>25.65</v>
      </c>
      <c r="N377">
        <v>25.65</v>
      </c>
      <c r="O377">
        <v>30</v>
      </c>
      <c r="S377">
        <v>0.11059112425792382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5.0444588759475266E-2</v>
      </c>
      <c r="AC377">
        <v>0</v>
      </c>
      <c r="AD377">
        <v>0</v>
      </c>
      <c r="AE377">
        <v>0</v>
      </c>
      <c r="AF377">
        <v>0</v>
      </c>
      <c r="AG377">
        <v>0.94955541124052489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84" hidden="1" x14ac:dyDescent="0.25">
      <c r="A378" t="s">
        <v>128</v>
      </c>
      <c r="B378" t="s">
        <v>372</v>
      </c>
      <c r="C378" t="s">
        <v>117</v>
      </c>
      <c r="D378" s="12">
        <v>46241</v>
      </c>
      <c r="J378">
        <v>41.28803277109941</v>
      </c>
      <c r="M378">
        <v>36.099999999999994</v>
      </c>
      <c r="N378">
        <v>36.099999999999994</v>
      </c>
      <c r="O378">
        <v>42.567906574394463</v>
      </c>
      <c r="S378">
        <v>8.4204825739806602E-2</v>
      </c>
      <c r="T378">
        <v>0</v>
      </c>
      <c r="U378">
        <v>9.8466290340596382E-2</v>
      </c>
      <c r="V378">
        <v>0</v>
      </c>
      <c r="W378">
        <v>0</v>
      </c>
      <c r="X378">
        <v>0</v>
      </c>
      <c r="Y378">
        <v>4.2891222567960473E-3</v>
      </c>
      <c r="Z378">
        <v>0</v>
      </c>
      <c r="AA378">
        <v>1.7433978974163634E-2</v>
      </c>
      <c r="AB378">
        <v>0.18834874333986348</v>
      </c>
      <c r="AC378">
        <v>5.7495285251136924E-2</v>
      </c>
      <c r="AD378">
        <v>0</v>
      </c>
      <c r="AE378">
        <v>0</v>
      </c>
      <c r="AF378">
        <v>0</v>
      </c>
      <c r="AG378">
        <v>0.7541559714089997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84" hidden="1" x14ac:dyDescent="0.25">
      <c r="A379" t="s">
        <v>128</v>
      </c>
      <c r="B379" t="s">
        <v>372</v>
      </c>
      <c r="C379" t="s">
        <v>109</v>
      </c>
      <c r="D379" s="12">
        <v>46243</v>
      </c>
      <c r="E379" t="s">
        <v>134</v>
      </c>
      <c r="F379" t="s">
        <v>134</v>
      </c>
      <c r="G379" t="s">
        <v>134</v>
      </c>
      <c r="J379">
        <v>8.1606633099352042</v>
      </c>
      <c r="M379">
        <v>0</v>
      </c>
      <c r="N379">
        <v>0</v>
      </c>
      <c r="O379">
        <v>6.8685121107266429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0.8416610084090308</v>
      </c>
      <c r="AC379">
        <v>0.15833899159096917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84" hidden="1" x14ac:dyDescent="0.25">
      <c r="A380" t="s">
        <v>128</v>
      </c>
      <c r="B380" t="s">
        <v>372</v>
      </c>
      <c r="C380" t="s">
        <v>109</v>
      </c>
      <c r="D380" s="12">
        <v>46244</v>
      </c>
      <c r="E380" t="s">
        <v>133</v>
      </c>
      <c r="F380" t="s">
        <v>133</v>
      </c>
      <c r="G380" t="s">
        <v>133</v>
      </c>
      <c r="J380">
        <v>27.065400662268566</v>
      </c>
      <c r="M380">
        <v>26.6</v>
      </c>
      <c r="N380">
        <v>26.6</v>
      </c>
      <c r="O380">
        <v>30.0625</v>
      </c>
      <c r="S380">
        <v>9.3029810764799159E-2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1.7705639825061958E-2</v>
      </c>
      <c r="Z380">
        <v>0</v>
      </c>
      <c r="AA380">
        <v>0</v>
      </c>
      <c r="AB380">
        <v>3.4901049864469694E-2</v>
      </c>
      <c r="AC380">
        <v>0</v>
      </c>
      <c r="AD380">
        <v>0</v>
      </c>
      <c r="AE380">
        <v>0</v>
      </c>
      <c r="AF380">
        <v>0</v>
      </c>
      <c r="AG380">
        <v>0.96509895013553026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84" hidden="1" x14ac:dyDescent="0.25">
      <c r="A381" t="s">
        <v>128</v>
      </c>
      <c r="B381" t="s">
        <v>372</v>
      </c>
      <c r="C381" t="s">
        <v>72</v>
      </c>
      <c r="D381" s="12">
        <v>46244</v>
      </c>
      <c r="E381" t="s">
        <v>133</v>
      </c>
      <c r="F381" t="s">
        <v>133</v>
      </c>
      <c r="G381" t="s">
        <v>133</v>
      </c>
      <c r="H381" t="s">
        <v>73</v>
      </c>
      <c r="I381">
        <v>20</v>
      </c>
      <c r="J381">
        <v>11.870789764152878</v>
      </c>
      <c r="K381">
        <v>46244</v>
      </c>
      <c r="L381" t="s">
        <v>200</v>
      </c>
      <c r="M381">
        <v>12.35</v>
      </c>
      <c r="N381">
        <v>12.35</v>
      </c>
      <c r="O381">
        <v>12.777113970588236</v>
      </c>
      <c r="P381">
        <v>1.0403688588011413</v>
      </c>
      <c r="Q381">
        <v>1.0403688588011413</v>
      </c>
      <c r="R381">
        <v>1.0763491077208909</v>
      </c>
      <c r="S381">
        <v>3.5980248919749602E-2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4.0368858801141272E-2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0.96119755175326949</v>
      </c>
      <c r="AN381">
        <v>0.96119755175326949</v>
      </c>
      <c r="AO381">
        <v>1.0345841271731364</v>
      </c>
      <c r="AP381">
        <v>3.4584127173136414E-2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0.96119755175326949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0.96657195266697837</v>
      </c>
      <c r="BK381">
        <v>0.96657195266697837</v>
      </c>
      <c r="BL381">
        <v>0.92906659449687667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3.3428047333021627E-2</v>
      </c>
      <c r="BX381">
        <v>0</v>
      </c>
      <c r="BY381">
        <v>3.7505358170101699E-2</v>
      </c>
      <c r="BZ381">
        <v>0</v>
      </c>
      <c r="CA381">
        <v>0.92906659449687667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 spans="1:84" hidden="1" x14ac:dyDescent="0.25">
      <c r="A382" t="s">
        <v>128</v>
      </c>
      <c r="B382" t="s">
        <v>372</v>
      </c>
      <c r="C382" t="s">
        <v>72</v>
      </c>
      <c r="D382" s="12">
        <v>46225</v>
      </c>
      <c r="E382" t="s">
        <v>133</v>
      </c>
      <c r="F382" t="s">
        <v>133</v>
      </c>
      <c r="G382" t="s">
        <v>133</v>
      </c>
      <c r="H382" t="s">
        <v>75</v>
      </c>
      <c r="I382">
        <v>20</v>
      </c>
      <c r="J382">
        <v>10.815608451783737</v>
      </c>
      <c r="K382">
        <v>46225</v>
      </c>
      <c r="L382" t="s">
        <v>212</v>
      </c>
      <c r="M382">
        <v>12.35</v>
      </c>
      <c r="N382">
        <v>12.35</v>
      </c>
      <c r="O382">
        <v>12.182247899159664</v>
      </c>
      <c r="P382">
        <v>1.1418682596597889</v>
      </c>
      <c r="Q382">
        <v>1.1418682596597889</v>
      </c>
      <c r="R382">
        <v>1.1263580734702483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0.1263580734702483</v>
      </c>
      <c r="Z382">
        <v>0</v>
      </c>
      <c r="AA382">
        <v>1.5510186189540587E-2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0.87575776937520133</v>
      </c>
      <c r="AN382">
        <v>0.87575776937520133</v>
      </c>
      <c r="AO382">
        <v>0.98641683394005386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1.3583166059946139E-2</v>
      </c>
      <c r="BA382">
        <v>0</v>
      </c>
      <c r="BB382">
        <v>0</v>
      </c>
      <c r="BC382">
        <v>0</v>
      </c>
      <c r="BD382">
        <v>0.87575776937520133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1.0137702090967879</v>
      </c>
      <c r="BK382">
        <v>1.0137702090967879</v>
      </c>
      <c r="BL382">
        <v>0.88781713697763454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1.3770209096787944E-2</v>
      </c>
      <c r="BV382">
        <v>0</v>
      </c>
      <c r="BW382">
        <v>0</v>
      </c>
      <c r="BX382">
        <v>0</v>
      </c>
      <c r="BY382">
        <v>0.11218286302236546</v>
      </c>
      <c r="BZ382">
        <v>0</v>
      </c>
      <c r="CA382">
        <v>0.88781713697763454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 spans="1:84" hidden="1" x14ac:dyDescent="0.25">
      <c r="A383" t="s">
        <v>128</v>
      </c>
      <c r="B383" t="s">
        <v>372</v>
      </c>
      <c r="C383" t="s">
        <v>117</v>
      </c>
      <c r="D383" s="12">
        <v>46240</v>
      </c>
      <c r="J383">
        <v>44.451455281615075</v>
      </c>
      <c r="M383">
        <v>53.2</v>
      </c>
      <c r="N383">
        <v>53.2</v>
      </c>
      <c r="O383">
        <v>45.411485840466213</v>
      </c>
      <c r="S383">
        <v>4.8099304169424956E-2</v>
      </c>
      <c r="T383">
        <v>0</v>
      </c>
      <c r="U383">
        <v>0.35976019673560333</v>
      </c>
      <c r="V383">
        <v>0</v>
      </c>
      <c r="W383">
        <v>0</v>
      </c>
      <c r="X383">
        <v>0</v>
      </c>
      <c r="Y383">
        <v>3.5649216896841224E-2</v>
      </c>
      <c r="Z383">
        <v>0</v>
      </c>
      <c r="AA383">
        <v>6.2455600221880347E-2</v>
      </c>
      <c r="AB383">
        <v>0.19890256311599525</v>
      </c>
      <c r="AC383">
        <v>6.2151240330033414E-2</v>
      </c>
      <c r="AD383">
        <v>0</v>
      </c>
      <c r="AE383">
        <v>0</v>
      </c>
      <c r="AF383">
        <v>0</v>
      </c>
      <c r="AG383">
        <v>0.73894619655397142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84" hidden="1" x14ac:dyDescent="0.25">
      <c r="A384" t="s">
        <v>128</v>
      </c>
      <c r="B384" t="s">
        <v>372</v>
      </c>
      <c r="C384" t="s">
        <v>109</v>
      </c>
      <c r="D384" s="12">
        <v>46243</v>
      </c>
      <c r="E384" t="s">
        <v>501</v>
      </c>
      <c r="F384" t="s">
        <v>501</v>
      </c>
      <c r="G384" t="s">
        <v>501</v>
      </c>
      <c r="J384">
        <v>6.7655742969551058</v>
      </c>
      <c r="M384">
        <v>13.299999999999999</v>
      </c>
      <c r="N384">
        <v>13.299999999999999</v>
      </c>
      <c r="O384">
        <v>7.5155709342560559</v>
      </c>
      <c r="S384">
        <v>8.4679761370877557E-2</v>
      </c>
      <c r="T384">
        <v>0</v>
      </c>
      <c r="U384">
        <v>0.60090677361430067</v>
      </c>
      <c r="V384">
        <v>0</v>
      </c>
      <c r="W384">
        <v>0</v>
      </c>
      <c r="X384">
        <v>0</v>
      </c>
      <c r="Y384">
        <v>2.6175075836141471E-2</v>
      </c>
      <c r="Z384">
        <v>0</v>
      </c>
      <c r="AA384">
        <v>0.10639373150330807</v>
      </c>
      <c r="AB384">
        <v>4.8474500538352429E-2</v>
      </c>
      <c r="AC384">
        <v>0</v>
      </c>
      <c r="AD384">
        <v>0</v>
      </c>
      <c r="AE384">
        <v>0</v>
      </c>
      <c r="AF384">
        <v>0</v>
      </c>
      <c r="AG384">
        <v>0.95152549946164755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84" hidden="1" x14ac:dyDescent="0.25">
      <c r="A385" t="s">
        <v>128</v>
      </c>
      <c r="B385" t="s">
        <v>372</v>
      </c>
      <c r="C385" t="s">
        <v>117</v>
      </c>
      <c r="D385" s="12">
        <v>46242</v>
      </c>
      <c r="J385">
        <v>40.023176804576735</v>
      </c>
      <c r="M385">
        <v>36.099999999999994</v>
      </c>
      <c r="N385">
        <v>36.099999999999994</v>
      </c>
      <c r="O385">
        <v>43.509083044982695</v>
      </c>
      <c r="S385">
        <v>9.9188332400012333E-2</v>
      </c>
      <c r="T385">
        <v>0</v>
      </c>
      <c r="U385">
        <v>0.10157812914956409</v>
      </c>
      <c r="V385">
        <v>0</v>
      </c>
      <c r="W385">
        <v>0</v>
      </c>
      <c r="X385">
        <v>0</v>
      </c>
      <c r="Y385">
        <v>4.4246717636266912E-3</v>
      </c>
      <c r="Z385">
        <v>0</v>
      </c>
      <c r="AA385">
        <v>1.7984946540615724E-2</v>
      </c>
      <c r="AB385">
        <v>0.14579983606289218</v>
      </c>
      <c r="AC385">
        <v>1.651581401736996E-2</v>
      </c>
      <c r="AD385">
        <v>0</v>
      </c>
      <c r="AE385">
        <v>0</v>
      </c>
      <c r="AF385">
        <v>0</v>
      </c>
      <c r="AG385">
        <v>0.77798962871169275</v>
      </c>
      <c r="AH385">
        <v>0</v>
      </c>
      <c r="AI385">
        <v>0</v>
      </c>
      <c r="AJ385">
        <v>0</v>
      </c>
      <c r="AK385">
        <v>5.9694721208045046E-2</v>
      </c>
      <c r="AL385">
        <v>0</v>
      </c>
    </row>
    <row r="386" spans="1:84" hidden="1" x14ac:dyDescent="0.25">
      <c r="A386" t="s">
        <v>128</v>
      </c>
      <c r="B386" t="s">
        <v>372</v>
      </c>
      <c r="C386" t="s">
        <v>72</v>
      </c>
      <c r="D386" s="12">
        <v>46244</v>
      </c>
      <c r="E386" t="s">
        <v>133</v>
      </c>
      <c r="F386" t="s">
        <v>133</v>
      </c>
      <c r="G386" t="s">
        <v>133</v>
      </c>
      <c r="H386" t="s">
        <v>74</v>
      </c>
      <c r="I386">
        <v>20</v>
      </c>
      <c r="J386">
        <v>4.2207252494765797</v>
      </c>
      <c r="K386">
        <v>46244</v>
      </c>
      <c r="L386" t="s">
        <v>199</v>
      </c>
      <c r="M386">
        <v>3.8</v>
      </c>
      <c r="N386">
        <v>3.8</v>
      </c>
      <c r="O386">
        <v>4.6875</v>
      </c>
      <c r="P386">
        <v>0.90031920473175675</v>
      </c>
      <c r="Q386">
        <v>0.90031920473175675</v>
      </c>
      <c r="R386">
        <v>1.1105911242579236</v>
      </c>
      <c r="S386">
        <v>0.11059112425792361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9.968079526824325E-2</v>
      </c>
      <c r="AC386">
        <v>0</v>
      </c>
      <c r="AD386">
        <v>0</v>
      </c>
      <c r="AE386">
        <v>0</v>
      </c>
      <c r="AF386">
        <v>0</v>
      </c>
      <c r="AG386">
        <v>0.90031920473175675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1.1107171709148895</v>
      </c>
      <c r="AN386">
        <v>1.1107171709148895</v>
      </c>
      <c r="AO386">
        <v>1.2335526315789473</v>
      </c>
      <c r="AP386">
        <v>0.12283546066405782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0.11071717091488953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0.81066666666666665</v>
      </c>
      <c r="BK386">
        <v>0.81066666666666665</v>
      </c>
      <c r="BL386">
        <v>0.9004213865550037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9.95786134449963E-2</v>
      </c>
      <c r="BX386">
        <v>0</v>
      </c>
      <c r="BY386">
        <v>0</v>
      </c>
      <c r="BZ386">
        <v>0</v>
      </c>
      <c r="CA386">
        <v>0.81066666666666665</v>
      </c>
      <c r="CB386">
        <v>0</v>
      </c>
      <c r="CC386">
        <v>0</v>
      </c>
      <c r="CD386">
        <v>0</v>
      </c>
      <c r="CE386">
        <v>0</v>
      </c>
      <c r="CF386">
        <v>0</v>
      </c>
    </row>
    <row r="387" spans="1:84" hidden="1" x14ac:dyDescent="0.25">
      <c r="A387" t="s">
        <v>128</v>
      </c>
      <c r="B387" t="s">
        <v>372</v>
      </c>
      <c r="C387" t="s">
        <v>72</v>
      </c>
      <c r="D387" s="12">
        <v>46226</v>
      </c>
      <c r="E387" t="s">
        <v>133</v>
      </c>
      <c r="F387" t="s">
        <v>133</v>
      </c>
      <c r="G387" t="s">
        <v>133</v>
      </c>
      <c r="H387" t="s">
        <v>73</v>
      </c>
      <c r="I387">
        <v>20</v>
      </c>
      <c r="J387">
        <v>11.738892100106735</v>
      </c>
      <c r="K387">
        <v>46226</v>
      </c>
      <c r="L387" t="s">
        <v>229</v>
      </c>
      <c r="M387">
        <v>23.75</v>
      </c>
      <c r="N387">
        <v>23.75</v>
      </c>
      <c r="O387">
        <v>11.53125</v>
      </c>
      <c r="P387">
        <v>2.0231892241163076</v>
      </c>
      <c r="Q387">
        <v>2.0231892241163076</v>
      </c>
      <c r="R387">
        <v>0.98231161013015467</v>
      </c>
      <c r="S387">
        <v>0</v>
      </c>
      <c r="T387">
        <v>0</v>
      </c>
      <c r="U387">
        <v>0.77318922411630764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0.25</v>
      </c>
      <c r="AB387">
        <v>0</v>
      </c>
      <c r="AC387">
        <v>0</v>
      </c>
      <c r="AD387">
        <v>0</v>
      </c>
      <c r="AE387">
        <v>1.7688389869845333E-2</v>
      </c>
      <c r="AF387">
        <v>0</v>
      </c>
      <c r="AG387">
        <v>0.98231161013015467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0.49426914105712572</v>
      </c>
      <c r="AN387">
        <v>0.49426914105712572</v>
      </c>
      <c r="AO387">
        <v>0.48552631578947369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0.50573085894287428</v>
      </c>
      <c r="BA387">
        <v>0</v>
      </c>
      <c r="BB387">
        <v>8.7428252676520213E-3</v>
      </c>
      <c r="BC387">
        <v>0</v>
      </c>
      <c r="BD387">
        <v>0.48552631578947369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2.0596205962059622</v>
      </c>
      <c r="BK387">
        <v>2.0596205962059622</v>
      </c>
      <c r="BL387">
        <v>1.0180069029902861</v>
      </c>
      <c r="CC387">
        <v>0</v>
      </c>
      <c r="CD387">
        <v>0</v>
      </c>
      <c r="CE387">
        <v>0</v>
      </c>
    </row>
    <row r="388" spans="1:84" hidden="1" x14ac:dyDescent="0.25">
      <c r="A388" t="s">
        <v>128</v>
      </c>
      <c r="B388" t="s">
        <v>372</v>
      </c>
      <c r="C388" t="s">
        <v>72</v>
      </c>
      <c r="D388" s="12">
        <v>46245</v>
      </c>
      <c r="E388" t="s">
        <v>133</v>
      </c>
      <c r="F388" t="s">
        <v>133</v>
      </c>
      <c r="G388" t="s">
        <v>133</v>
      </c>
      <c r="H388" t="s">
        <v>73</v>
      </c>
      <c r="I388">
        <v>20</v>
      </c>
      <c r="J388">
        <v>11.738892100106735</v>
      </c>
      <c r="K388">
        <v>46245</v>
      </c>
      <c r="L388" t="s">
        <v>197</v>
      </c>
      <c r="M388">
        <v>22.799999999999997</v>
      </c>
      <c r="N388">
        <v>22.799999999999997</v>
      </c>
      <c r="O388">
        <v>12.6796875</v>
      </c>
      <c r="P388">
        <v>1.9422616551516552</v>
      </c>
      <c r="Q388">
        <v>1.9422616551516552</v>
      </c>
      <c r="R388">
        <v>1.0801434574805155</v>
      </c>
      <c r="S388">
        <v>0</v>
      </c>
      <c r="T388">
        <v>0</v>
      </c>
      <c r="U388">
        <v>0.69226165515165516</v>
      </c>
      <c r="V388">
        <v>0</v>
      </c>
      <c r="W388">
        <v>0</v>
      </c>
      <c r="X388">
        <v>0</v>
      </c>
      <c r="Y388">
        <v>8.0143457480515545E-2</v>
      </c>
      <c r="Z388">
        <v>0</v>
      </c>
      <c r="AA388">
        <v>0.16985654251948445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0.51486368860117271</v>
      </c>
      <c r="AN388">
        <v>0.51486368860117271</v>
      </c>
      <c r="AO388">
        <v>0.55612664473684215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0.44387335526315785</v>
      </c>
      <c r="BA388">
        <v>0</v>
      </c>
      <c r="BB388">
        <v>0</v>
      </c>
      <c r="BC388">
        <v>0</v>
      </c>
      <c r="BD388">
        <v>0.51486368860117271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1.79815157116451</v>
      </c>
      <c r="BK388">
        <v>1.79815157116451</v>
      </c>
      <c r="BL388">
        <v>0.92580295059375362</v>
      </c>
      <c r="CC388">
        <v>0</v>
      </c>
      <c r="CD388">
        <v>0</v>
      </c>
      <c r="CE388">
        <v>0</v>
      </c>
    </row>
    <row r="389" spans="1:84" hidden="1" x14ac:dyDescent="0.25">
      <c r="A389" t="s">
        <v>128</v>
      </c>
      <c r="B389" t="s">
        <v>372</v>
      </c>
      <c r="C389" t="s">
        <v>109</v>
      </c>
      <c r="D389" s="12">
        <v>46242</v>
      </c>
      <c r="E389" t="s">
        <v>134</v>
      </c>
      <c r="F389" t="s">
        <v>134</v>
      </c>
      <c r="G389" t="s">
        <v>134</v>
      </c>
      <c r="J389">
        <v>7.0363468952483803</v>
      </c>
      <c r="M389">
        <v>0</v>
      </c>
      <c r="N389">
        <v>0</v>
      </c>
      <c r="O389">
        <v>6.8685121107266429</v>
      </c>
      <c r="S389">
        <v>7.0090427221547388E-2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0.56650975696522454</v>
      </c>
      <c r="AC389">
        <v>9.3942972728517121E-2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0.33954727030625831</v>
      </c>
      <c r="AL389">
        <v>0</v>
      </c>
    </row>
    <row r="390" spans="1:84" hidden="1" x14ac:dyDescent="0.25">
      <c r="A390" t="s">
        <v>128</v>
      </c>
      <c r="B390" t="s">
        <v>372</v>
      </c>
      <c r="C390" t="s">
        <v>72</v>
      </c>
      <c r="D390" s="12">
        <v>46245</v>
      </c>
      <c r="E390" t="s">
        <v>133</v>
      </c>
      <c r="F390" t="s">
        <v>133</v>
      </c>
      <c r="G390" t="s">
        <v>133</v>
      </c>
      <c r="H390" t="s">
        <v>74</v>
      </c>
      <c r="I390">
        <v>20</v>
      </c>
      <c r="J390">
        <v>4.2207252494765797</v>
      </c>
      <c r="K390">
        <v>46245</v>
      </c>
      <c r="L390" t="s">
        <v>196</v>
      </c>
      <c r="M390">
        <v>3.8</v>
      </c>
      <c r="N390">
        <v>3.8</v>
      </c>
      <c r="O390">
        <v>4.6875</v>
      </c>
      <c r="P390">
        <v>0.90031920473175675</v>
      </c>
      <c r="Q390">
        <v>0.90031920473175675</v>
      </c>
      <c r="R390">
        <v>1.1105911242579236</v>
      </c>
      <c r="S390">
        <v>0.11059112425792361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9.968079526824325E-2</v>
      </c>
      <c r="AC390">
        <v>0</v>
      </c>
      <c r="AD390">
        <v>0</v>
      </c>
      <c r="AE390">
        <v>0</v>
      </c>
      <c r="AF390">
        <v>0</v>
      </c>
      <c r="AG390">
        <v>0.90031920473175675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1.1107171709148895</v>
      </c>
      <c r="AN390">
        <v>1.1107171709148895</v>
      </c>
      <c r="AO390">
        <v>1.2335526315789473</v>
      </c>
      <c r="AP390">
        <v>0.12283546066405782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0.11071717091488953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0.81066666666666665</v>
      </c>
      <c r="BK390">
        <v>0.81066666666666665</v>
      </c>
      <c r="BL390">
        <v>0.9004213865550037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9.95786134449963E-2</v>
      </c>
      <c r="BX390">
        <v>0</v>
      </c>
      <c r="BY390">
        <v>0</v>
      </c>
      <c r="BZ390">
        <v>0</v>
      </c>
      <c r="CA390">
        <v>0.81066666666666665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 spans="1:84" hidden="1" x14ac:dyDescent="0.25">
      <c r="A391" t="s">
        <v>128</v>
      </c>
      <c r="B391" t="s">
        <v>372</v>
      </c>
      <c r="C391" t="s">
        <v>117</v>
      </c>
      <c r="D391" s="12">
        <v>46243</v>
      </c>
      <c r="J391">
        <v>41.938879203540424</v>
      </c>
      <c r="M391">
        <v>38.949999999999996</v>
      </c>
      <c r="N391">
        <v>38.949999999999996</v>
      </c>
      <c r="O391">
        <v>44.384083044982695</v>
      </c>
      <c r="S391">
        <v>8.4891768401203285E-2</v>
      </c>
      <c r="T391">
        <v>0</v>
      </c>
      <c r="U391">
        <v>9.6938199103993483E-2</v>
      </c>
      <c r="V391">
        <v>0</v>
      </c>
      <c r="W391">
        <v>0</v>
      </c>
      <c r="X391">
        <v>0</v>
      </c>
      <c r="Y391">
        <v>4.222559678774147E-3</v>
      </c>
      <c r="Z391">
        <v>0</v>
      </c>
      <c r="AA391">
        <v>1.7163422315662598E-2</v>
      </c>
      <c r="AB391">
        <v>0.20408536672468391</v>
      </c>
      <c r="AC391">
        <v>3.0810341710311596E-2</v>
      </c>
      <c r="AD391">
        <v>0</v>
      </c>
      <c r="AE391">
        <v>0</v>
      </c>
      <c r="AF391">
        <v>0</v>
      </c>
      <c r="AG391">
        <v>0.76510429156500448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84" hidden="1" x14ac:dyDescent="0.25">
      <c r="A392" t="s">
        <v>128</v>
      </c>
      <c r="B392" t="s">
        <v>372</v>
      </c>
      <c r="C392" t="s">
        <v>72</v>
      </c>
      <c r="D392" s="12">
        <v>46225</v>
      </c>
      <c r="E392" t="s">
        <v>133</v>
      </c>
      <c r="F392" t="s">
        <v>133</v>
      </c>
      <c r="G392" t="s">
        <v>133</v>
      </c>
      <c r="H392" t="s">
        <v>74</v>
      </c>
      <c r="I392">
        <v>20</v>
      </c>
      <c r="J392">
        <v>4.2207252494765788</v>
      </c>
      <c r="K392">
        <v>46225</v>
      </c>
      <c r="L392" t="s">
        <v>160</v>
      </c>
      <c r="M392">
        <v>3.8</v>
      </c>
      <c r="N392">
        <v>3.8</v>
      </c>
      <c r="O392">
        <v>4.5044642857142865</v>
      </c>
      <c r="P392">
        <v>0.90031920473175697</v>
      </c>
      <c r="Q392">
        <v>0.90031920473175697</v>
      </c>
      <c r="R392">
        <v>1.0672251851202337</v>
      </c>
      <c r="S392">
        <v>6.7225185120233677E-2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9.9680795268243028E-2</v>
      </c>
      <c r="AC392">
        <v>0</v>
      </c>
      <c r="AD392">
        <v>0</v>
      </c>
      <c r="AE392">
        <v>0</v>
      </c>
      <c r="AF392">
        <v>0</v>
      </c>
      <c r="AG392">
        <v>0.90031920473175697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1.1107171709148893</v>
      </c>
      <c r="AN392">
        <v>1.1107171709148893</v>
      </c>
      <c r="AO392">
        <v>1.185385338345865</v>
      </c>
      <c r="AP392">
        <v>7.4668167430975707E-2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0.11071717091488931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0.84360753221010887</v>
      </c>
      <c r="BK392">
        <v>0.84360753221010887</v>
      </c>
      <c r="BL392">
        <v>0.9370093715389034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6.2990628461096598E-2</v>
      </c>
      <c r="BX392">
        <v>0</v>
      </c>
      <c r="BY392">
        <v>0</v>
      </c>
      <c r="BZ392">
        <v>0</v>
      </c>
      <c r="CA392">
        <v>0.84360753221010887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 spans="1:84" hidden="1" x14ac:dyDescent="0.25">
      <c r="A393" t="s">
        <v>128</v>
      </c>
      <c r="B393" t="s">
        <v>372</v>
      </c>
      <c r="C393" t="s">
        <v>72</v>
      </c>
      <c r="D393" s="12">
        <v>46226</v>
      </c>
      <c r="E393" t="s">
        <v>133</v>
      </c>
      <c r="F393" t="s">
        <v>133</v>
      </c>
      <c r="G393" t="s">
        <v>133</v>
      </c>
      <c r="H393" t="s">
        <v>74</v>
      </c>
      <c r="I393">
        <v>20</v>
      </c>
      <c r="J393">
        <v>4.2207252494765797</v>
      </c>
      <c r="K393">
        <v>46226</v>
      </c>
      <c r="L393" t="s">
        <v>228</v>
      </c>
      <c r="M393">
        <v>3.8</v>
      </c>
      <c r="N393">
        <v>3.8</v>
      </c>
      <c r="O393">
        <v>2.8125</v>
      </c>
      <c r="P393">
        <v>0.90031920473175675</v>
      </c>
      <c r="Q393">
        <v>0.90031920473175675</v>
      </c>
      <c r="R393">
        <v>0.66635467455475417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9.968079526824325E-2</v>
      </c>
      <c r="AD393">
        <v>0</v>
      </c>
      <c r="AE393">
        <v>0.23396453017700258</v>
      </c>
      <c r="AF393">
        <v>0</v>
      </c>
      <c r="AG393">
        <v>0.66635467455475417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1.1107171709148895</v>
      </c>
      <c r="AN393">
        <v>1.1107171709148895</v>
      </c>
      <c r="AO393">
        <v>0.74013157894736847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0.11071717091488953</v>
      </c>
      <c r="AY393">
        <v>0</v>
      </c>
      <c r="AZ393">
        <v>0</v>
      </c>
      <c r="BA393">
        <v>0</v>
      </c>
      <c r="BB393">
        <v>0.25986842105263153</v>
      </c>
      <c r="BC393">
        <v>0</v>
      </c>
      <c r="BD393">
        <v>0.74013157894736847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1.3511111111111112</v>
      </c>
      <c r="BK393">
        <v>1.3511111111111112</v>
      </c>
      <c r="BL393">
        <v>1.5007023109250062</v>
      </c>
      <c r="BM393">
        <v>0.14959119981389501</v>
      </c>
      <c r="BN393">
        <v>0</v>
      </c>
      <c r="BO393">
        <v>0</v>
      </c>
      <c r="BP393">
        <v>0</v>
      </c>
      <c r="BQ393">
        <v>0</v>
      </c>
      <c r="BR393">
        <v>0.14888888888888885</v>
      </c>
      <c r="BS393">
        <v>0.35111111111111115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 spans="1:84" hidden="1" x14ac:dyDescent="0.25">
      <c r="A394" t="s">
        <v>128</v>
      </c>
      <c r="B394" t="s">
        <v>372</v>
      </c>
      <c r="C394" t="s">
        <v>72</v>
      </c>
      <c r="D394" s="12">
        <v>46244</v>
      </c>
      <c r="E394" t="s">
        <v>133</v>
      </c>
      <c r="F394" t="s">
        <v>133</v>
      </c>
      <c r="G394" t="s">
        <v>133</v>
      </c>
      <c r="H394" t="s">
        <v>75</v>
      </c>
      <c r="I394">
        <v>20</v>
      </c>
      <c r="J394">
        <v>10.973885648639106</v>
      </c>
      <c r="K394">
        <v>46244</v>
      </c>
      <c r="L394" t="s">
        <v>198</v>
      </c>
      <c r="M394">
        <v>10.45</v>
      </c>
      <c r="N394">
        <v>10.45</v>
      </c>
      <c r="O394">
        <v>12.597886029411764</v>
      </c>
      <c r="P394">
        <v>0.95226069731243512</v>
      </c>
      <c r="Q394">
        <v>0.95226069731243512</v>
      </c>
      <c r="R394">
        <v>1.1479877258402136</v>
      </c>
      <c r="S394">
        <v>0.14798772584021358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4.7739302687564877E-2</v>
      </c>
      <c r="AC394">
        <v>0</v>
      </c>
      <c r="AD394">
        <v>0</v>
      </c>
      <c r="AE394">
        <v>0</v>
      </c>
      <c r="AF394">
        <v>0</v>
      </c>
      <c r="AG394">
        <v>0.95226069731243512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1.0501325979558953</v>
      </c>
      <c r="AN394">
        <v>1.0501325979558953</v>
      </c>
      <c r="AO394">
        <v>1.2055393329580637</v>
      </c>
      <c r="AP394">
        <v>0.15540673500216839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5.0132597955895308E-2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0.82950424980848503</v>
      </c>
      <c r="BK394">
        <v>0.82950424980848503</v>
      </c>
      <c r="BL394">
        <v>0.87108945286684036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0.12891054713315964</v>
      </c>
      <c r="BX394">
        <v>0</v>
      </c>
      <c r="BY394">
        <v>0</v>
      </c>
      <c r="BZ394">
        <v>0</v>
      </c>
      <c r="CA394">
        <v>0.82950424980848503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84" hidden="1" x14ac:dyDescent="0.25">
      <c r="A395" t="s">
        <v>128</v>
      </c>
      <c r="B395" t="s">
        <v>372</v>
      </c>
      <c r="C395" t="s">
        <v>109</v>
      </c>
      <c r="D395" s="12">
        <v>46244</v>
      </c>
      <c r="E395" t="s">
        <v>501</v>
      </c>
      <c r="F395" t="s">
        <v>501</v>
      </c>
      <c r="G395" t="s">
        <v>501</v>
      </c>
      <c r="J395">
        <v>6.7655742969551049</v>
      </c>
      <c r="M395">
        <v>9.5</v>
      </c>
      <c r="N395">
        <v>9.5</v>
      </c>
      <c r="O395">
        <v>7.515570934256055</v>
      </c>
      <c r="S395">
        <v>8.4679761370877668E-2</v>
      </c>
      <c r="T395">
        <v>0</v>
      </c>
      <c r="U395">
        <v>0.32007326021173443</v>
      </c>
      <c r="V395">
        <v>0</v>
      </c>
      <c r="W395">
        <v>0</v>
      </c>
      <c r="X395">
        <v>0</v>
      </c>
      <c r="Y395">
        <v>2.6175075836141235E-2</v>
      </c>
      <c r="Z395">
        <v>0</v>
      </c>
      <c r="AA395">
        <v>0.10639373150330832</v>
      </c>
      <c r="AB395">
        <v>4.8474500538352373E-2</v>
      </c>
      <c r="AC395">
        <v>0</v>
      </c>
      <c r="AD395">
        <v>0</v>
      </c>
      <c r="AE395">
        <v>0</v>
      </c>
      <c r="AF395">
        <v>0</v>
      </c>
      <c r="AG395">
        <v>0.95152549946164766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84" hidden="1" x14ac:dyDescent="0.25">
      <c r="A396" t="s">
        <v>128</v>
      </c>
      <c r="B396" t="s">
        <v>502</v>
      </c>
      <c r="C396" t="s">
        <v>72</v>
      </c>
      <c r="D396" s="12">
        <v>46236</v>
      </c>
      <c r="E396" t="s">
        <v>134</v>
      </c>
      <c r="F396" t="s">
        <v>134</v>
      </c>
      <c r="G396" t="s">
        <v>134</v>
      </c>
      <c r="H396" t="s">
        <v>74</v>
      </c>
      <c r="I396">
        <v>10</v>
      </c>
      <c r="J396">
        <v>2.7219304471256209</v>
      </c>
      <c r="K396">
        <v>46236</v>
      </c>
      <c r="L396" t="s">
        <v>184</v>
      </c>
      <c r="M396">
        <v>0</v>
      </c>
      <c r="N396">
        <v>0</v>
      </c>
      <c r="O396">
        <v>2.0078431372549019</v>
      </c>
      <c r="P396">
        <v>0</v>
      </c>
      <c r="Q396">
        <v>0</v>
      </c>
      <c r="R396">
        <v>0.73765409376099211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0.73765409376099211</v>
      </c>
      <c r="AC396">
        <v>0.26234590623900789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J396">
        <v>0</v>
      </c>
      <c r="BK396">
        <v>0</v>
      </c>
      <c r="BL396">
        <v>1.3556489531582683</v>
      </c>
      <c r="BM396">
        <v>0.35564895315826828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</v>
      </c>
      <c r="CF396">
        <v>1</v>
      </c>
    </row>
    <row r="397" spans="1:84" hidden="1" x14ac:dyDescent="0.25">
      <c r="A397" t="s">
        <v>128</v>
      </c>
      <c r="B397" t="s">
        <v>502</v>
      </c>
      <c r="C397" t="s">
        <v>72</v>
      </c>
      <c r="D397" s="12">
        <v>46241</v>
      </c>
      <c r="E397" t="s">
        <v>134</v>
      </c>
      <c r="F397" t="s">
        <v>134</v>
      </c>
      <c r="G397" t="s">
        <v>134</v>
      </c>
      <c r="H397" t="s">
        <v>73</v>
      </c>
      <c r="I397">
        <v>10</v>
      </c>
      <c r="J397">
        <v>3.9778211497515952</v>
      </c>
      <c r="K397">
        <v>46241</v>
      </c>
      <c r="L397" t="s">
        <v>209</v>
      </c>
      <c r="M397">
        <v>0</v>
      </c>
      <c r="N397">
        <v>0</v>
      </c>
      <c r="O397">
        <v>1.0030637254901962</v>
      </c>
      <c r="P397">
        <v>0</v>
      </c>
      <c r="Q397">
        <v>0</v>
      </c>
      <c r="R397">
        <v>0.25216410887473784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0.25216410887473784</v>
      </c>
      <c r="AC397">
        <v>0.74783589112526216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J397">
        <v>0</v>
      </c>
      <c r="BK397">
        <v>0</v>
      </c>
      <c r="BL397">
        <v>3.9656714211329276</v>
      </c>
      <c r="BM397">
        <v>2.9656714211329276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</v>
      </c>
      <c r="CF397">
        <v>1</v>
      </c>
    </row>
    <row r="398" spans="1:84" hidden="1" x14ac:dyDescent="0.25">
      <c r="A398" t="s">
        <v>128</v>
      </c>
      <c r="B398" t="s">
        <v>502</v>
      </c>
      <c r="C398" t="s">
        <v>117</v>
      </c>
      <c r="D398" s="12">
        <v>46237</v>
      </c>
      <c r="J398">
        <v>33.570533361079391</v>
      </c>
      <c r="M398">
        <v>51.3</v>
      </c>
      <c r="N398">
        <v>51.3</v>
      </c>
      <c r="O398">
        <v>34.014850057670131</v>
      </c>
      <c r="S398">
        <v>4.6183264233467308E-3</v>
      </c>
      <c r="T398">
        <v>0</v>
      </c>
      <c r="U398">
        <v>0.6817273837665796</v>
      </c>
      <c r="V398">
        <v>0</v>
      </c>
      <c r="W398">
        <v>8.0892854794374913E-3</v>
      </c>
      <c r="X398">
        <v>0</v>
      </c>
      <c r="Y398">
        <v>0.10909215226710205</v>
      </c>
      <c r="Z398">
        <v>0</v>
      </c>
      <c r="AA398">
        <v>5.8569684912258446E-2</v>
      </c>
      <c r="AB398">
        <v>0.18752757782158039</v>
      </c>
      <c r="AC398">
        <v>9.8823783604756896E-2</v>
      </c>
      <c r="AD398">
        <v>0</v>
      </c>
      <c r="AE398">
        <v>9.7406622038827412E-3</v>
      </c>
      <c r="AF398">
        <v>0</v>
      </c>
      <c r="AG398">
        <v>0.66090668651355922</v>
      </c>
      <c r="AH398">
        <v>0</v>
      </c>
      <c r="AI398">
        <v>0</v>
      </c>
      <c r="AJ398">
        <v>0</v>
      </c>
      <c r="AK398">
        <v>4.300128985622069E-2</v>
      </c>
      <c r="AL398">
        <v>0</v>
      </c>
    </row>
    <row r="399" spans="1:84" hidden="1" x14ac:dyDescent="0.25">
      <c r="A399" t="s">
        <v>128</v>
      </c>
      <c r="B399" t="s">
        <v>502</v>
      </c>
      <c r="C399" t="s">
        <v>117</v>
      </c>
      <c r="D399" s="12">
        <v>46247</v>
      </c>
      <c r="J399">
        <v>33.570533361079391</v>
      </c>
      <c r="M399">
        <v>74.099999999999994</v>
      </c>
      <c r="N399">
        <v>74.099999999999994</v>
      </c>
      <c r="O399">
        <v>32.876967993079582</v>
      </c>
      <c r="S399">
        <v>0</v>
      </c>
      <c r="T399">
        <v>0</v>
      </c>
      <c r="U399">
        <v>1.3689837159761589</v>
      </c>
      <c r="V399">
        <v>0</v>
      </c>
      <c r="W399">
        <v>0</v>
      </c>
      <c r="X399">
        <v>0</v>
      </c>
      <c r="Y399">
        <v>4.7988835596798243E-2</v>
      </c>
      <c r="Z399">
        <v>0</v>
      </c>
      <c r="AA399">
        <v>0.11967300158256224</v>
      </c>
      <c r="AB399">
        <v>0.26070387083055219</v>
      </c>
      <c r="AC399">
        <v>6.86487804520058E-2</v>
      </c>
      <c r="AD399">
        <v>0</v>
      </c>
      <c r="AE399">
        <v>0</v>
      </c>
      <c r="AF399">
        <v>0</v>
      </c>
      <c r="AG399">
        <v>0.67064734871744203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84" hidden="1" x14ac:dyDescent="0.25">
      <c r="A400" t="s">
        <v>128</v>
      </c>
      <c r="B400" t="s">
        <v>502</v>
      </c>
      <c r="C400" t="s">
        <v>72</v>
      </c>
      <c r="D400" s="12">
        <v>46231</v>
      </c>
      <c r="E400" t="s">
        <v>134</v>
      </c>
      <c r="F400" t="s">
        <v>134</v>
      </c>
      <c r="G400" t="s">
        <v>134</v>
      </c>
      <c r="H400" t="s">
        <v>74</v>
      </c>
      <c r="I400">
        <v>10</v>
      </c>
      <c r="J400">
        <v>2.7219304471256209</v>
      </c>
      <c r="K400">
        <v>46231</v>
      </c>
      <c r="L400" t="s">
        <v>230</v>
      </c>
      <c r="M400">
        <v>0</v>
      </c>
      <c r="N400">
        <v>0</v>
      </c>
      <c r="O400">
        <v>2.0078431372549019</v>
      </c>
      <c r="P400">
        <v>0</v>
      </c>
      <c r="Q400">
        <v>0</v>
      </c>
      <c r="R400">
        <v>0.73765409376099211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0.73765409376099211</v>
      </c>
      <c r="AC400">
        <v>0.26234590623900789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J400">
        <v>0</v>
      </c>
      <c r="BK400">
        <v>0</v>
      </c>
      <c r="BL400">
        <v>1.3556489531582683</v>
      </c>
      <c r="BM400">
        <v>0.35564895315826828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1</v>
      </c>
      <c r="CF400">
        <v>1</v>
      </c>
    </row>
    <row r="401" spans="1:84" hidden="1" x14ac:dyDescent="0.25">
      <c r="A401" t="s">
        <v>128</v>
      </c>
      <c r="B401" t="s">
        <v>502</v>
      </c>
      <c r="C401" t="s">
        <v>72</v>
      </c>
      <c r="D401" s="12">
        <v>46231</v>
      </c>
      <c r="E401" t="s">
        <v>134</v>
      </c>
      <c r="F401" t="s">
        <v>134</v>
      </c>
      <c r="G401" t="s">
        <v>134</v>
      </c>
      <c r="H401" t="s">
        <v>73</v>
      </c>
      <c r="I401">
        <v>10</v>
      </c>
      <c r="J401">
        <v>3.9778211497515952</v>
      </c>
      <c r="K401">
        <v>46231</v>
      </c>
      <c r="L401" t="s">
        <v>214</v>
      </c>
      <c r="M401">
        <v>4.75</v>
      </c>
      <c r="N401">
        <v>4.75</v>
      </c>
      <c r="O401">
        <v>2</v>
      </c>
      <c r="P401">
        <v>1.1941210580311348</v>
      </c>
      <c r="Q401">
        <v>1.1941210580311348</v>
      </c>
      <c r="R401">
        <v>0.50278781390784621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0.19412105803113477</v>
      </c>
      <c r="AB401">
        <v>0</v>
      </c>
      <c r="AC401">
        <v>0</v>
      </c>
      <c r="AD401">
        <v>0</v>
      </c>
      <c r="AE401">
        <v>0.49721218609215379</v>
      </c>
      <c r="AF401">
        <v>0</v>
      </c>
      <c r="AG401">
        <v>0.50278781390784621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0.83743603152665158</v>
      </c>
      <c r="AN401">
        <v>0.83743603152665158</v>
      </c>
      <c r="AO401">
        <v>0.42105263157894735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0.16256396847334842</v>
      </c>
      <c r="BA401">
        <v>0</v>
      </c>
      <c r="BB401">
        <v>0.41638339994770424</v>
      </c>
      <c r="BC401">
        <v>0</v>
      </c>
      <c r="BD401">
        <v>0.42105263157894735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2.375</v>
      </c>
      <c r="BK401">
        <v>2.375</v>
      </c>
      <c r="BL401">
        <v>1.9889105748757976</v>
      </c>
      <c r="CC401">
        <v>0</v>
      </c>
      <c r="CD401">
        <v>0</v>
      </c>
      <c r="CE401">
        <v>0</v>
      </c>
    </row>
    <row r="402" spans="1:84" hidden="1" x14ac:dyDescent="0.25">
      <c r="A402" t="s">
        <v>128</v>
      </c>
      <c r="B402" t="s">
        <v>502</v>
      </c>
      <c r="C402" t="s">
        <v>72</v>
      </c>
      <c r="D402" s="12">
        <v>46231</v>
      </c>
      <c r="E402" t="s">
        <v>134</v>
      </c>
      <c r="F402" t="s">
        <v>134</v>
      </c>
      <c r="G402" t="s">
        <v>134</v>
      </c>
      <c r="H402" t="s">
        <v>75</v>
      </c>
      <c r="I402">
        <v>10</v>
      </c>
      <c r="J402">
        <v>2.4017033356990769</v>
      </c>
      <c r="K402">
        <v>46231</v>
      </c>
      <c r="L402" t="s">
        <v>231</v>
      </c>
      <c r="M402">
        <v>1.9</v>
      </c>
      <c r="N402">
        <v>1.9</v>
      </c>
      <c r="O402">
        <v>1.9930795847750864</v>
      </c>
      <c r="P402">
        <v>0.79110520094562664</v>
      </c>
      <c r="Q402">
        <v>0.79110520094562664</v>
      </c>
      <c r="R402">
        <v>0.82986085548111621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3.875565453548957E-2</v>
      </c>
      <c r="AC402">
        <v>0.17013914451888379</v>
      </c>
      <c r="AD402">
        <v>0</v>
      </c>
      <c r="AE402">
        <v>0</v>
      </c>
      <c r="AF402">
        <v>0</v>
      </c>
      <c r="AG402">
        <v>0.79110520094562664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1.2640543872100405</v>
      </c>
      <c r="AN402">
        <v>1.2640543872100405</v>
      </c>
      <c r="AO402">
        <v>1.0489892551447824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4.8989255144782362E-2</v>
      </c>
      <c r="AW402">
        <v>0</v>
      </c>
      <c r="AX402">
        <v>0.21506513206525812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0.95329861111111114</v>
      </c>
      <c r="BK402">
        <v>0.95329861111111114</v>
      </c>
      <c r="BL402">
        <v>1.2050212916962384</v>
      </c>
      <c r="BM402">
        <v>0.20502129169623839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0.20889479905437336</v>
      </c>
      <c r="BW402">
        <v>0</v>
      </c>
      <c r="BX402">
        <v>0</v>
      </c>
      <c r="BY402">
        <v>0</v>
      </c>
      <c r="BZ402">
        <v>0</v>
      </c>
      <c r="CA402">
        <v>0.95329861111111114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84" hidden="1" x14ac:dyDescent="0.25">
      <c r="A403" t="s">
        <v>128</v>
      </c>
      <c r="B403" t="s">
        <v>502</v>
      </c>
      <c r="C403" t="s">
        <v>72</v>
      </c>
      <c r="D403" s="12">
        <v>46241</v>
      </c>
      <c r="E403" t="s">
        <v>134</v>
      </c>
      <c r="F403" t="s">
        <v>134</v>
      </c>
      <c r="G403" t="s">
        <v>134</v>
      </c>
      <c r="H403" t="s">
        <v>74</v>
      </c>
      <c r="I403">
        <v>10</v>
      </c>
      <c r="J403">
        <v>2.7219304471256209</v>
      </c>
      <c r="K403">
        <v>46241</v>
      </c>
      <c r="L403" t="s">
        <v>208</v>
      </c>
      <c r="M403">
        <v>0</v>
      </c>
      <c r="N403">
        <v>0</v>
      </c>
      <c r="O403">
        <v>2.0078431372549019</v>
      </c>
      <c r="P403">
        <v>0</v>
      </c>
      <c r="Q403">
        <v>0</v>
      </c>
      <c r="R403">
        <v>0.73765409376099211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0.73765409376099211</v>
      </c>
      <c r="AC403">
        <v>0.26234590623900789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J403">
        <v>0</v>
      </c>
      <c r="BK403">
        <v>0</v>
      </c>
      <c r="BL403">
        <v>1.3556489531582683</v>
      </c>
      <c r="BM403">
        <v>0.35564895315826828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>
        <v>1</v>
      </c>
    </row>
    <row r="404" spans="1:84" hidden="1" x14ac:dyDescent="0.25">
      <c r="A404" t="s">
        <v>128</v>
      </c>
      <c r="B404" t="s">
        <v>502</v>
      </c>
      <c r="C404" t="s">
        <v>117</v>
      </c>
      <c r="D404" s="12">
        <v>46228</v>
      </c>
      <c r="J404">
        <v>30.943670337658524</v>
      </c>
      <c r="M404">
        <v>66.5</v>
      </c>
      <c r="N404">
        <v>66.5</v>
      </c>
      <c r="O404">
        <v>33.931502306805072</v>
      </c>
      <c r="S404">
        <v>0</v>
      </c>
      <c r="T404">
        <v>0</v>
      </c>
      <c r="U404">
        <v>1.0351939396573795</v>
      </c>
      <c r="V404">
        <v>0</v>
      </c>
      <c r="W404">
        <v>2.0191964845610623E-2</v>
      </c>
      <c r="X404">
        <v>0</v>
      </c>
      <c r="Y404">
        <v>0.12276169120398366</v>
      </c>
      <c r="Z404">
        <v>0</v>
      </c>
      <c r="AA404">
        <v>7.362076428369102E-2</v>
      </c>
      <c r="AB404">
        <v>0.12907332140054387</v>
      </c>
      <c r="AC404">
        <v>6.573155282877638E-2</v>
      </c>
      <c r="AD404">
        <v>0</v>
      </c>
      <c r="AE404">
        <v>1.67837360227612E-2</v>
      </c>
      <c r="AF404">
        <v>0</v>
      </c>
      <c r="AG404">
        <v>0.78841138974791847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84" hidden="1" x14ac:dyDescent="0.25">
      <c r="A405" t="s">
        <v>128</v>
      </c>
      <c r="B405" t="s">
        <v>502</v>
      </c>
      <c r="C405" t="s">
        <v>72</v>
      </c>
      <c r="D405" s="12">
        <v>46238</v>
      </c>
      <c r="E405" t="s">
        <v>134</v>
      </c>
      <c r="F405" t="s">
        <v>134</v>
      </c>
      <c r="G405" t="s">
        <v>134</v>
      </c>
      <c r="H405" t="s">
        <v>73</v>
      </c>
      <c r="I405">
        <v>10</v>
      </c>
      <c r="J405">
        <v>3.9027679205110002</v>
      </c>
      <c r="K405">
        <v>46238</v>
      </c>
      <c r="L405" t="s">
        <v>180</v>
      </c>
      <c r="M405">
        <v>0</v>
      </c>
      <c r="N405">
        <v>0</v>
      </c>
      <c r="O405">
        <v>2.0061274509803924</v>
      </c>
      <c r="P405">
        <v>0</v>
      </c>
      <c r="Q405">
        <v>0</v>
      </c>
      <c r="R405">
        <v>0.51402683732158083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0.51402683732158083</v>
      </c>
      <c r="AC405">
        <v>0.48597316267841917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J405">
        <v>0</v>
      </c>
      <c r="BK405">
        <v>0</v>
      </c>
      <c r="BL405">
        <v>1.9454237160274745</v>
      </c>
      <c r="BM405">
        <v>0.94542371602747455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1</v>
      </c>
      <c r="CF405">
        <v>1</v>
      </c>
    </row>
    <row r="406" spans="1:84" hidden="1" x14ac:dyDescent="0.25">
      <c r="A406" t="s">
        <v>128</v>
      </c>
      <c r="B406" t="s">
        <v>502</v>
      </c>
      <c r="C406" t="s">
        <v>117</v>
      </c>
      <c r="D406" s="12">
        <v>46248</v>
      </c>
      <c r="J406">
        <v>34.791659695654594</v>
      </c>
      <c r="M406">
        <v>72.199999999999989</v>
      </c>
      <c r="N406">
        <v>72.199999999999989</v>
      </c>
      <c r="O406">
        <v>33.939467993079582</v>
      </c>
      <c r="S406">
        <v>0</v>
      </c>
      <c r="T406">
        <v>0</v>
      </c>
      <c r="U406">
        <v>1.2682920877329402</v>
      </c>
      <c r="V406">
        <v>0</v>
      </c>
      <c r="W406">
        <v>0</v>
      </c>
      <c r="X406">
        <v>0</v>
      </c>
      <c r="Y406">
        <v>7.8417913739750683E-2</v>
      </c>
      <c r="Z406">
        <v>0</v>
      </c>
      <c r="AA406">
        <v>8.2965668040974938E-2</v>
      </c>
      <c r="AB406">
        <v>0.2515536214609701</v>
      </c>
      <c r="AC406">
        <v>0.1029120514161273</v>
      </c>
      <c r="AD406">
        <v>0</v>
      </c>
      <c r="AE406">
        <v>0</v>
      </c>
      <c r="AF406">
        <v>0</v>
      </c>
      <c r="AG406">
        <v>0.64553432712290248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84" hidden="1" x14ac:dyDescent="0.25">
      <c r="A407" t="s">
        <v>128</v>
      </c>
      <c r="B407" t="s">
        <v>502</v>
      </c>
      <c r="C407" t="s">
        <v>117</v>
      </c>
      <c r="D407" s="12">
        <v>46227</v>
      </c>
      <c r="J407">
        <v>34.866712924895175</v>
      </c>
      <c r="M407">
        <v>75.05</v>
      </c>
      <c r="N407">
        <v>75.05</v>
      </c>
      <c r="O407">
        <v>34.271756055363326</v>
      </c>
      <c r="S407">
        <v>0</v>
      </c>
      <c r="T407">
        <v>0</v>
      </c>
      <c r="U407">
        <v>1.1264753449749112</v>
      </c>
      <c r="V407">
        <v>0</v>
      </c>
      <c r="W407">
        <v>5.2983631558236044E-2</v>
      </c>
      <c r="X407">
        <v>0</v>
      </c>
      <c r="Y407">
        <v>8.352305260005892E-2</v>
      </c>
      <c r="Z407">
        <v>0</v>
      </c>
      <c r="AA407">
        <v>9.4733742214340777E-2</v>
      </c>
      <c r="AB407">
        <v>0.11455058340051659</v>
      </c>
      <c r="AC407">
        <v>9.0682384028523758E-2</v>
      </c>
      <c r="AD407">
        <v>0</v>
      </c>
      <c r="AE407">
        <v>6.2888050039704796E-2</v>
      </c>
      <c r="AF407">
        <v>0</v>
      </c>
      <c r="AG407">
        <v>0.73187898253125494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84" hidden="1" x14ac:dyDescent="0.25">
      <c r="A408" t="s">
        <v>128</v>
      </c>
      <c r="B408" t="s">
        <v>502</v>
      </c>
      <c r="C408" t="s">
        <v>72</v>
      </c>
      <c r="D408" s="12">
        <v>46230</v>
      </c>
      <c r="E408" t="s">
        <v>134</v>
      </c>
      <c r="F408" t="s">
        <v>134</v>
      </c>
      <c r="G408" t="s">
        <v>134</v>
      </c>
      <c r="H408" t="s">
        <v>75</v>
      </c>
      <c r="I408">
        <v>10</v>
      </c>
      <c r="J408">
        <v>2.4723416691019913</v>
      </c>
      <c r="K408">
        <v>46230</v>
      </c>
      <c r="L408" t="s">
        <v>215</v>
      </c>
      <c r="M408">
        <v>3.8</v>
      </c>
      <c r="N408">
        <v>3.8</v>
      </c>
      <c r="O408">
        <v>2.1049596309111882</v>
      </c>
      <c r="P408">
        <v>1.5370043904086457</v>
      </c>
      <c r="Q408">
        <v>1.5370043904086457</v>
      </c>
      <c r="R408">
        <v>0.85140320903775235</v>
      </c>
      <c r="S408">
        <v>0</v>
      </c>
      <c r="T408">
        <v>0</v>
      </c>
      <c r="U408">
        <v>0.28700439040864567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0.25</v>
      </c>
      <c r="AB408">
        <v>0</v>
      </c>
      <c r="AC408">
        <v>0</v>
      </c>
      <c r="AD408">
        <v>0</v>
      </c>
      <c r="AE408">
        <v>0.14859679096224765</v>
      </c>
      <c r="AF408">
        <v>0</v>
      </c>
      <c r="AG408">
        <v>0.85140320903775235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0.6506162287110504</v>
      </c>
      <c r="AN408">
        <v>0.6506162287110504</v>
      </c>
      <c r="AO408">
        <v>0.55393674497662848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0.3493837712889496</v>
      </c>
      <c r="BA408">
        <v>0</v>
      </c>
      <c r="BB408">
        <v>9.6679483734421923E-2</v>
      </c>
      <c r="BC408">
        <v>0</v>
      </c>
      <c r="BD408">
        <v>0.55393674497662848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1.8052602739726025</v>
      </c>
      <c r="BK408">
        <v>1.8052602739726025</v>
      </c>
      <c r="BL408">
        <v>1.1745316312939322</v>
      </c>
      <c r="CC408">
        <v>0</v>
      </c>
      <c r="CD408">
        <v>0</v>
      </c>
      <c r="CE408">
        <v>0</v>
      </c>
    </row>
    <row r="409" spans="1:84" hidden="1" x14ac:dyDescent="0.25">
      <c r="A409" t="s">
        <v>128</v>
      </c>
      <c r="B409" t="s">
        <v>502</v>
      </c>
      <c r="C409" t="s">
        <v>72</v>
      </c>
      <c r="D409" s="12">
        <v>46236</v>
      </c>
      <c r="E409" t="s">
        <v>134</v>
      </c>
      <c r="F409" t="s">
        <v>134</v>
      </c>
      <c r="G409" t="s">
        <v>134</v>
      </c>
      <c r="H409" t="s">
        <v>73</v>
      </c>
      <c r="I409">
        <v>10</v>
      </c>
      <c r="J409">
        <v>0</v>
      </c>
      <c r="K409">
        <v>46236</v>
      </c>
      <c r="L409" t="s">
        <v>185</v>
      </c>
      <c r="M409">
        <v>4.75</v>
      </c>
      <c r="N409">
        <v>4.75</v>
      </c>
      <c r="O409">
        <v>2.0000000000000004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0.42105263157894746</v>
      </c>
      <c r="AK409">
        <v>0</v>
      </c>
      <c r="AL409">
        <v>0</v>
      </c>
      <c r="AM409">
        <v>0</v>
      </c>
      <c r="AN409">
        <v>0</v>
      </c>
      <c r="AO409">
        <v>0.42105263157894746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0.57894736842105254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I409">
        <v>0</v>
      </c>
      <c r="BJ409">
        <v>2.3749999999999996</v>
      </c>
      <c r="BK409">
        <v>2.3749999999999996</v>
      </c>
      <c r="BL409">
        <v>0</v>
      </c>
      <c r="CC409">
        <v>0.57894736842105254</v>
      </c>
      <c r="CD409">
        <v>0.42105263157894746</v>
      </c>
    </row>
    <row r="410" spans="1:84" hidden="1" x14ac:dyDescent="0.25">
      <c r="A410" t="s">
        <v>128</v>
      </c>
      <c r="B410" t="s">
        <v>502</v>
      </c>
      <c r="C410" t="s">
        <v>72</v>
      </c>
      <c r="D410" s="12">
        <v>46235</v>
      </c>
      <c r="E410" t="s">
        <v>134</v>
      </c>
      <c r="F410" t="s">
        <v>134</v>
      </c>
      <c r="G410" t="s">
        <v>134</v>
      </c>
      <c r="H410" t="s">
        <v>73</v>
      </c>
      <c r="I410">
        <v>10</v>
      </c>
      <c r="J410">
        <v>0</v>
      </c>
      <c r="K410">
        <v>46235</v>
      </c>
      <c r="L410" t="s">
        <v>188</v>
      </c>
      <c r="M410">
        <v>4.75</v>
      </c>
      <c r="N410">
        <v>4.75</v>
      </c>
      <c r="O410">
        <v>2.0000000000000004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0.42105263157894746</v>
      </c>
      <c r="AK410">
        <v>0</v>
      </c>
      <c r="AL410">
        <v>0</v>
      </c>
      <c r="AM410">
        <v>0</v>
      </c>
      <c r="AN410">
        <v>0</v>
      </c>
      <c r="AO410">
        <v>0.42105263157894746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0.57894736842105254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I410">
        <v>0</v>
      </c>
      <c r="BJ410">
        <v>2.3749999999999996</v>
      </c>
      <c r="BK410">
        <v>2.3749999999999996</v>
      </c>
      <c r="BL410">
        <v>0</v>
      </c>
      <c r="CC410">
        <v>0.57894736842105254</v>
      </c>
      <c r="CD410">
        <v>0.42105263157894746</v>
      </c>
    </row>
    <row r="411" spans="1:84" hidden="1" x14ac:dyDescent="0.25">
      <c r="A411" t="s">
        <v>128</v>
      </c>
      <c r="B411" t="s">
        <v>502</v>
      </c>
      <c r="C411" t="s">
        <v>117</v>
      </c>
      <c r="D411" s="12">
        <v>46226</v>
      </c>
      <c r="J411">
        <v>34.886987591620851</v>
      </c>
      <c r="M411">
        <v>82.649999999999991</v>
      </c>
      <c r="N411">
        <v>82.649999999999991</v>
      </c>
      <c r="O411">
        <v>34.251593137254893</v>
      </c>
      <c r="S411">
        <v>0</v>
      </c>
      <c r="T411">
        <v>0</v>
      </c>
      <c r="U411">
        <v>1.3742126189849551</v>
      </c>
      <c r="V411">
        <v>0</v>
      </c>
      <c r="W411">
        <v>2.4369893089962628E-2</v>
      </c>
      <c r="X411">
        <v>0</v>
      </c>
      <c r="Y411">
        <v>0.1415152978529256</v>
      </c>
      <c r="Z411">
        <v>0</v>
      </c>
      <c r="AA411">
        <v>3.6245359606830771E-2</v>
      </c>
      <c r="AB411">
        <v>5.7552780445198001E-2</v>
      </c>
      <c r="AC411">
        <v>0.14971223973814435</v>
      </c>
      <c r="AD411">
        <v>0</v>
      </c>
      <c r="AE411">
        <v>3.4385886692431644E-2</v>
      </c>
      <c r="AF411">
        <v>0</v>
      </c>
      <c r="AG411">
        <v>0.75834909312422605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84" hidden="1" x14ac:dyDescent="0.25">
      <c r="A412" t="s">
        <v>128</v>
      </c>
      <c r="B412" t="s">
        <v>502</v>
      </c>
      <c r="C412" t="s">
        <v>117</v>
      </c>
      <c r="D412" s="12">
        <v>46238</v>
      </c>
      <c r="J412">
        <v>34.791659695654594</v>
      </c>
      <c r="M412">
        <v>74.099999999999994</v>
      </c>
      <c r="N412">
        <v>74.099999999999994</v>
      </c>
      <c r="O412">
        <v>35.491825259515572</v>
      </c>
      <c r="S412">
        <v>0</v>
      </c>
      <c r="T412">
        <v>0</v>
      </c>
      <c r="U412">
        <v>1.3067745028846092</v>
      </c>
      <c r="V412">
        <v>0</v>
      </c>
      <c r="W412">
        <v>1.6128374233503662E-2</v>
      </c>
      <c r="X412">
        <v>0</v>
      </c>
      <c r="Y412">
        <v>0.1019302660117125</v>
      </c>
      <c r="Z412">
        <v>0</v>
      </c>
      <c r="AA412">
        <v>5.9453315769013117E-2</v>
      </c>
      <c r="AB412">
        <v>0.25653155586491427</v>
      </c>
      <c r="AC412">
        <v>9.7934117012183033E-2</v>
      </c>
      <c r="AD412">
        <v>0</v>
      </c>
      <c r="AE412">
        <v>0</v>
      </c>
      <c r="AF412">
        <v>0</v>
      </c>
      <c r="AG412">
        <v>0.64553432712290248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84" hidden="1" x14ac:dyDescent="0.25">
      <c r="A413" t="s">
        <v>128</v>
      </c>
      <c r="B413" t="s">
        <v>502</v>
      </c>
      <c r="C413" t="s">
        <v>72</v>
      </c>
      <c r="D413" s="12">
        <v>46241</v>
      </c>
      <c r="E413" t="s">
        <v>134</v>
      </c>
      <c r="F413" t="s">
        <v>134</v>
      </c>
      <c r="G413" t="s">
        <v>134</v>
      </c>
      <c r="H413" t="s">
        <v>75</v>
      </c>
      <c r="I413">
        <v>10</v>
      </c>
      <c r="J413">
        <v>2.4017033356990773</v>
      </c>
      <c r="K413">
        <v>46241</v>
      </c>
      <c r="L413" t="s">
        <v>207</v>
      </c>
      <c r="M413">
        <v>0</v>
      </c>
      <c r="N413">
        <v>0</v>
      </c>
      <c r="O413">
        <v>1.9382929642445217</v>
      </c>
      <c r="P413">
        <v>0</v>
      </c>
      <c r="Q413">
        <v>0</v>
      </c>
      <c r="R413">
        <v>0.80704928682639809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0.80704928682639809</v>
      </c>
      <c r="AC413">
        <v>0.19295071317360191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J413">
        <v>0</v>
      </c>
      <c r="BK413">
        <v>0</v>
      </c>
      <c r="BL413">
        <v>1.2390816971443617</v>
      </c>
      <c r="BM413">
        <v>0.23908169714436167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1</v>
      </c>
      <c r="CF413">
        <v>1</v>
      </c>
    </row>
    <row r="414" spans="1:84" hidden="1" x14ac:dyDescent="0.25">
      <c r="A414" t="s">
        <v>128</v>
      </c>
      <c r="B414" t="s">
        <v>502</v>
      </c>
      <c r="C414" t="s">
        <v>117</v>
      </c>
      <c r="D414" s="12">
        <v>46249</v>
      </c>
      <c r="J414">
        <v>30.673999656915377</v>
      </c>
      <c r="M414">
        <v>57</v>
      </c>
      <c r="N414">
        <v>57</v>
      </c>
      <c r="O414">
        <v>32.744002306805072</v>
      </c>
      <c r="S414">
        <v>0</v>
      </c>
      <c r="T414">
        <v>0</v>
      </c>
      <c r="U414">
        <v>0.94524549255195345</v>
      </c>
      <c r="V414">
        <v>0</v>
      </c>
      <c r="W414">
        <v>0</v>
      </c>
      <c r="X414">
        <v>0</v>
      </c>
      <c r="Y414">
        <v>0.10906852607456717</v>
      </c>
      <c r="Z414">
        <v>0</v>
      </c>
      <c r="AA414">
        <v>7.3532637119009328E-2</v>
      </c>
      <c r="AB414">
        <v>0.1915744706822651</v>
      </c>
      <c r="AC414">
        <v>7.802087654342893E-2</v>
      </c>
      <c r="AD414">
        <v>0</v>
      </c>
      <c r="AE414">
        <v>0</v>
      </c>
      <c r="AF414">
        <v>0</v>
      </c>
      <c r="AG414">
        <v>0.730404652774306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84" hidden="1" x14ac:dyDescent="0.25">
      <c r="A415" t="s">
        <v>128</v>
      </c>
      <c r="B415" t="s">
        <v>502</v>
      </c>
      <c r="C415" t="s">
        <v>72</v>
      </c>
      <c r="D415" s="12">
        <v>46242</v>
      </c>
      <c r="E415" t="s">
        <v>134</v>
      </c>
      <c r="F415" t="s">
        <v>134</v>
      </c>
      <c r="G415" t="s">
        <v>134</v>
      </c>
      <c r="H415" t="s">
        <v>73</v>
      </c>
      <c r="I415">
        <v>10</v>
      </c>
      <c r="J415">
        <v>0</v>
      </c>
      <c r="K415">
        <v>46242</v>
      </c>
      <c r="L415" t="s">
        <v>206</v>
      </c>
      <c r="M415">
        <v>0</v>
      </c>
      <c r="N415">
        <v>0</v>
      </c>
      <c r="O415">
        <v>2.0000000000000004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F415">
        <v>0</v>
      </c>
    </row>
    <row r="416" spans="1:84" hidden="1" x14ac:dyDescent="0.25">
      <c r="A416" t="s">
        <v>128</v>
      </c>
      <c r="B416" t="s">
        <v>502</v>
      </c>
      <c r="C416" t="s">
        <v>72</v>
      </c>
      <c r="D416" s="12">
        <v>46230</v>
      </c>
      <c r="E416" t="s">
        <v>134</v>
      </c>
      <c r="F416" t="s">
        <v>134</v>
      </c>
      <c r="G416" t="s">
        <v>134</v>
      </c>
      <c r="H416" t="s">
        <v>74</v>
      </c>
      <c r="I416">
        <v>10</v>
      </c>
      <c r="J416">
        <v>2.7219304471256209</v>
      </c>
      <c r="K416">
        <v>46230</v>
      </c>
      <c r="L416" t="s">
        <v>216</v>
      </c>
      <c r="M416">
        <v>0</v>
      </c>
      <c r="N416">
        <v>0</v>
      </c>
      <c r="O416">
        <v>2.0078431372549019</v>
      </c>
      <c r="P416">
        <v>0</v>
      </c>
      <c r="Q416">
        <v>0</v>
      </c>
      <c r="R416">
        <v>0.73765409376099211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0.73765409376099211</v>
      </c>
      <c r="AC416">
        <v>0.26234590623900789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</v>
      </c>
      <c r="BJ416">
        <v>0</v>
      </c>
      <c r="BK416">
        <v>0</v>
      </c>
      <c r="BL416">
        <v>1.3556489531582683</v>
      </c>
      <c r="BM416">
        <v>0.35564895315826828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</v>
      </c>
      <c r="CF416">
        <v>1</v>
      </c>
    </row>
    <row r="417" spans="1:84" hidden="1" x14ac:dyDescent="0.25">
      <c r="A417" t="s">
        <v>128</v>
      </c>
      <c r="B417" t="s">
        <v>502</v>
      </c>
      <c r="C417" t="s">
        <v>72</v>
      </c>
      <c r="D417" s="12">
        <v>46235</v>
      </c>
      <c r="E417" t="s">
        <v>134</v>
      </c>
      <c r="F417" t="s">
        <v>134</v>
      </c>
      <c r="G417" t="s">
        <v>134</v>
      </c>
      <c r="H417" t="s">
        <v>75</v>
      </c>
      <c r="I417">
        <v>10</v>
      </c>
      <c r="J417">
        <v>2.4017033356990769</v>
      </c>
      <c r="K417">
        <v>46235</v>
      </c>
      <c r="L417" t="s">
        <v>186</v>
      </c>
      <c r="M417">
        <v>0.95</v>
      </c>
      <c r="N417">
        <v>0.95</v>
      </c>
      <c r="O417">
        <v>1.9930795847750864</v>
      </c>
      <c r="P417">
        <v>0.39555260047281332</v>
      </c>
      <c r="Q417">
        <v>0.39555260047281332</v>
      </c>
      <c r="R417">
        <v>0.82986085548111621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0.43430825500830289</v>
      </c>
      <c r="AC417">
        <v>0.17013914451888379</v>
      </c>
      <c r="AD417">
        <v>0</v>
      </c>
      <c r="AE417">
        <v>0</v>
      </c>
      <c r="AF417">
        <v>0</v>
      </c>
      <c r="AG417">
        <v>0.39555260047281332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2.528108774420081</v>
      </c>
      <c r="AN417">
        <v>2.528108774420081</v>
      </c>
      <c r="AO417">
        <v>2.0979785102895647</v>
      </c>
      <c r="BF417">
        <v>0</v>
      </c>
      <c r="BG417">
        <v>0</v>
      </c>
      <c r="BH417">
        <v>0</v>
      </c>
      <c r="BJ417">
        <v>0.47664930555555557</v>
      </c>
      <c r="BK417">
        <v>0.47664930555555557</v>
      </c>
      <c r="BL417">
        <v>1.2050212916962384</v>
      </c>
      <c r="BM417">
        <v>0.20502129169623839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0.60444739952718662</v>
      </c>
      <c r="BW417">
        <v>0</v>
      </c>
      <c r="BX417">
        <v>0</v>
      </c>
      <c r="BY417">
        <v>0</v>
      </c>
      <c r="BZ417">
        <v>0</v>
      </c>
      <c r="CA417">
        <v>0.47664930555555557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hidden="1" x14ac:dyDescent="0.25">
      <c r="A418" t="s">
        <v>128</v>
      </c>
      <c r="B418" t="s">
        <v>502</v>
      </c>
      <c r="C418" t="s">
        <v>72</v>
      </c>
      <c r="D418" s="12">
        <v>46235</v>
      </c>
      <c r="E418" t="s">
        <v>134</v>
      </c>
      <c r="F418" t="s">
        <v>134</v>
      </c>
      <c r="G418" t="s">
        <v>134</v>
      </c>
      <c r="H418" t="s">
        <v>74</v>
      </c>
      <c r="I418">
        <v>10</v>
      </c>
      <c r="J418">
        <v>2.5618168914123487</v>
      </c>
      <c r="K418">
        <v>46235</v>
      </c>
      <c r="L418" t="s">
        <v>187</v>
      </c>
      <c r="M418">
        <v>0</v>
      </c>
      <c r="N418">
        <v>0</v>
      </c>
      <c r="O418">
        <v>2.0078431372549019</v>
      </c>
      <c r="P418">
        <v>0</v>
      </c>
      <c r="Q418">
        <v>0</v>
      </c>
      <c r="R418">
        <v>0.78375747462105427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0.78375747462105427</v>
      </c>
      <c r="AC418">
        <v>0.21624252537894573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J418">
        <v>0</v>
      </c>
      <c r="BK418">
        <v>0</v>
      </c>
      <c r="BL418">
        <v>1.2759048970901345</v>
      </c>
      <c r="BM418">
        <v>0.27590489709013455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</v>
      </c>
      <c r="CF418">
        <v>1</v>
      </c>
    </row>
    <row r="419" spans="1:84" hidden="1" x14ac:dyDescent="0.25">
      <c r="A419" t="s">
        <v>128</v>
      </c>
      <c r="B419" t="s">
        <v>502</v>
      </c>
      <c r="C419" t="s">
        <v>117</v>
      </c>
      <c r="D419" s="12">
        <v>46225</v>
      </c>
      <c r="J419">
        <v>33.670423680959566</v>
      </c>
      <c r="M419">
        <v>71.249999999999986</v>
      </c>
      <c r="N419">
        <v>71.249999999999986</v>
      </c>
      <c r="O419">
        <v>36.248039215686269</v>
      </c>
      <c r="S419">
        <v>0</v>
      </c>
      <c r="T419">
        <v>0</v>
      </c>
      <c r="U419">
        <v>1.0476565467839085</v>
      </c>
      <c r="V419">
        <v>0</v>
      </c>
      <c r="W419">
        <v>4.7972041431839516E-2</v>
      </c>
      <c r="X419">
        <v>0</v>
      </c>
      <c r="Y419">
        <v>0.1338128919773964</v>
      </c>
      <c r="Z419">
        <v>0</v>
      </c>
      <c r="AA419">
        <v>7.0281488083727681E-2</v>
      </c>
      <c r="AB419">
        <v>0.11358491268280062</v>
      </c>
      <c r="AC419">
        <v>7.0037567072703005E-2</v>
      </c>
      <c r="AD419">
        <v>0</v>
      </c>
      <c r="AE419">
        <v>3.519307170838621E-2</v>
      </c>
      <c r="AF419">
        <v>0</v>
      </c>
      <c r="AG419">
        <v>0.78118444853611013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84" hidden="1" x14ac:dyDescent="0.25">
      <c r="A420" t="s">
        <v>128</v>
      </c>
      <c r="B420" t="s">
        <v>502</v>
      </c>
      <c r="C420" t="s">
        <v>117</v>
      </c>
      <c r="D420" s="12">
        <v>46240</v>
      </c>
      <c r="J420">
        <v>34.886987591620844</v>
      </c>
      <c r="M420">
        <v>68.400000000000006</v>
      </c>
      <c r="N420">
        <v>68.400000000000006</v>
      </c>
      <c r="O420">
        <v>30.118750000000002</v>
      </c>
      <c r="S420">
        <v>0</v>
      </c>
      <c r="T420">
        <v>0</v>
      </c>
      <c r="U420">
        <v>1.1578660899899929</v>
      </c>
      <c r="V420">
        <v>0</v>
      </c>
      <c r="W420">
        <v>0</v>
      </c>
      <c r="X420">
        <v>0</v>
      </c>
      <c r="Y420">
        <v>7.4399313628756597E-2</v>
      </c>
      <c r="Z420">
        <v>0</v>
      </c>
      <c r="AA420">
        <v>8.615074826587911E-2</v>
      </c>
      <c r="AB420">
        <v>0.1467237601571946</v>
      </c>
      <c r="AC420">
        <v>0.2110759922642626</v>
      </c>
      <c r="AD420">
        <v>0</v>
      </c>
      <c r="AE420">
        <v>0</v>
      </c>
      <c r="AF420">
        <v>0</v>
      </c>
      <c r="AG420">
        <v>0.64220024757854277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84" hidden="1" x14ac:dyDescent="0.25">
      <c r="A421" t="s">
        <v>128</v>
      </c>
      <c r="B421" t="s">
        <v>502</v>
      </c>
      <c r="C421" t="s">
        <v>72</v>
      </c>
      <c r="D421" s="12">
        <v>46234</v>
      </c>
      <c r="E421" t="s">
        <v>134</v>
      </c>
      <c r="F421" t="s">
        <v>134</v>
      </c>
      <c r="G421" t="s">
        <v>134</v>
      </c>
      <c r="H421" t="s">
        <v>75</v>
      </c>
      <c r="I421">
        <v>10</v>
      </c>
      <c r="J421">
        <v>2.4017033356990773</v>
      </c>
      <c r="K421">
        <v>46234</v>
      </c>
      <c r="L421" t="s">
        <v>189</v>
      </c>
      <c r="M421">
        <v>2.8499999999999996</v>
      </c>
      <c r="N421">
        <v>2.8499999999999996</v>
      </c>
      <c r="O421">
        <v>2.0490196078431371</v>
      </c>
      <c r="P421">
        <v>1.1866578014184397</v>
      </c>
      <c r="Q421">
        <v>1.1866578014184397</v>
      </c>
      <c r="R421">
        <v>0.85315266768645981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0.18665780141843968</v>
      </c>
      <c r="AB421">
        <v>0</v>
      </c>
      <c r="AC421">
        <v>0</v>
      </c>
      <c r="AD421">
        <v>0</v>
      </c>
      <c r="AE421">
        <v>0.14684733231354019</v>
      </c>
      <c r="AF421">
        <v>0</v>
      </c>
      <c r="AG421">
        <v>0.85315266768645981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0.84270292480669395</v>
      </c>
      <c r="AN421">
        <v>0.84270292480669395</v>
      </c>
      <c r="AO421">
        <v>0.71895424836601307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0.15729707519330605</v>
      </c>
      <c r="BA421">
        <v>0</v>
      </c>
      <c r="BB421">
        <v>0.12374867644068088</v>
      </c>
      <c r="BC421">
        <v>0</v>
      </c>
      <c r="BD421">
        <v>0.71895424836601307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1.3909090909090909</v>
      </c>
      <c r="BK421">
        <v>1.3909090909090909</v>
      </c>
      <c r="BL421">
        <v>1.1721231590493106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0.17212315904931064</v>
      </c>
      <c r="BT421">
        <v>0</v>
      </c>
      <c r="BU421">
        <v>0.21878593185978024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hidden="1" x14ac:dyDescent="0.25">
      <c r="A422" t="s">
        <v>128</v>
      </c>
      <c r="B422" t="s">
        <v>502</v>
      </c>
      <c r="C422" t="s">
        <v>72</v>
      </c>
      <c r="D422" s="12">
        <v>46240</v>
      </c>
      <c r="E422" t="s">
        <v>134</v>
      </c>
      <c r="F422" t="s">
        <v>134</v>
      </c>
      <c r="G422" t="s">
        <v>134</v>
      </c>
      <c r="H422" t="s">
        <v>74</v>
      </c>
      <c r="I422">
        <v>10</v>
      </c>
      <c r="J422">
        <v>2.7219304471256209</v>
      </c>
      <c r="K422">
        <v>46240</v>
      </c>
      <c r="L422" t="s">
        <v>192</v>
      </c>
      <c r="M422">
        <v>0</v>
      </c>
      <c r="N422">
        <v>0</v>
      </c>
      <c r="O422">
        <v>1.0666666666666669</v>
      </c>
      <c r="P422">
        <v>0</v>
      </c>
      <c r="Q422">
        <v>0</v>
      </c>
      <c r="R422">
        <v>0.39187873731052714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0.39187873731052714</v>
      </c>
      <c r="AC422">
        <v>0.60812126268947286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J422">
        <v>0</v>
      </c>
      <c r="BK422">
        <v>0</v>
      </c>
      <c r="BL422">
        <v>2.5518097941802691</v>
      </c>
      <c r="BM422">
        <v>1.5518097941802691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</v>
      </c>
      <c r="CF422">
        <v>1</v>
      </c>
    </row>
    <row r="423" spans="1:84" hidden="1" x14ac:dyDescent="0.25">
      <c r="A423" t="s">
        <v>128</v>
      </c>
      <c r="B423" t="s">
        <v>502</v>
      </c>
      <c r="C423" t="s">
        <v>72</v>
      </c>
      <c r="D423" s="12">
        <v>46240</v>
      </c>
      <c r="E423" t="s">
        <v>134</v>
      </c>
      <c r="F423" t="s">
        <v>134</v>
      </c>
      <c r="G423" t="s">
        <v>134</v>
      </c>
      <c r="H423" t="s">
        <v>75</v>
      </c>
      <c r="I423">
        <v>10</v>
      </c>
      <c r="J423">
        <v>2.4017033356990773</v>
      </c>
      <c r="K423">
        <v>46240</v>
      </c>
      <c r="L423" t="s">
        <v>210</v>
      </c>
      <c r="M423">
        <v>0</v>
      </c>
      <c r="N423">
        <v>0</v>
      </c>
      <c r="O423">
        <v>1.9382929642445217</v>
      </c>
      <c r="P423">
        <v>0</v>
      </c>
      <c r="Q423">
        <v>0</v>
      </c>
      <c r="R423">
        <v>0.80704928682639809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0.80704928682639809</v>
      </c>
      <c r="AC423">
        <v>0.19295071317360191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J423">
        <v>0</v>
      </c>
      <c r="BK423">
        <v>0</v>
      </c>
      <c r="BL423">
        <v>1.2390816971443617</v>
      </c>
      <c r="BM423">
        <v>0.23908169714436167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1</v>
      </c>
    </row>
    <row r="424" spans="1:84" hidden="1" x14ac:dyDescent="0.25">
      <c r="A424" t="s">
        <v>128</v>
      </c>
      <c r="B424" t="s">
        <v>502</v>
      </c>
      <c r="C424" t="s">
        <v>117</v>
      </c>
      <c r="D424" s="12">
        <v>46244</v>
      </c>
      <c r="J424">
        <v>33.695950256997243</v>
      </c>
      <c r="M424">
        <v>51.3</v>
      </c>
      <c r="N424">
        <v>51.3</v>
      </c>
      <c r="O424">
        <v>33.695955882352941</v>
      </c>
      <c r="S424">
        <v>0</v>
      </c>
      <c r="T424">
        <v>0</v>
      </c>
      <c r="U424">
        <v>0.68521706996566401</v>
      </c>
      <c r="V424">
        <v>0</v>
      </c>
      <c r="W424">
        <v>0</v>
      </c>
      <c r="X424">
        <v>0</v>
      </c>
      <c r="Y424">
        <v>0.12594190730577443</v>
      </c>
      <c r="Z424">
        <v>0</v>
      </c>
      <c r="AA424">
        <v>4.1502307681653305E-2</v>
      </c>
      <c r="AB424">
        <v>0.20428139968907791</v>
      </c>
      <c r="AC424">
        <v>0.12594174036121117</v>
      </c>
      <c r="AD424">
        <v>0</v>
      </c>
      <c r="AE424">
        <v>0</v>
      </c>
      <c r="AF424">
        <v>0</v>
      </c>
      <c r="AG424">
        <v>0.66977685994971092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84" hidden="1" x14ac:dyDescent="0.25">
      <c r="A425" t="s">
        <v>128</v>
      </c>
      <c r="B425" t="s">
        <v>502</v>
      </c>
      <c r="C425" t="s">
        <v>72</v>
      </c>
      <c r="D425" s="12">
        <v>46233</v>
      </c>
      <c r="E425" t="s">
        <v>134</v>
      </c>
      <c r="F425" t="s">
        <v>134</v>
      </c>
      <c r="G425" t="s">
        <v>134</v>
      </c>
      <c r="H425" t="s">
        <v>73</v>
      </c>
      <c r="I425">
        <v>10</v>
      </c>
      <c r="J425">
        <v>2.6268630234208659</v>
      </c>
      <c r="K425">
        <v>46233</v>
      </c>
      <c r="L425" t="s">
        <v>235</v>
      </c>
      <c r="M425">
        <v>2.8499999999999996</v>
      </c>
      <c r="N425">
        <v>2.8499999999999996</v>
      </c>
      <c r="O425">
        <v>2.0061274509803924</v>
      </c>
      <c r="P425">
        <v>1.0849442755825733</v>
      </c>
      <c r="Q425">
        <v>1.0849442755825733</v>
      </c>
      <c r="R425">
        <v>0.76369701544920576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8.4944275582573336E-2</v>
      </c>
      <c r="AB425">
        <v>0</v>
      </c>
      <c r="AC425">
        <v>0</v>
      </c>
      <c r="AD425">
        <v>0</v>
      </c>
      <c r="AE425">
        <v>0.23630298455079424</v>
      </c>
      <c r="AF425">
        <v>0</v>
      </c>
      <c r="AG425">
        <v>0.76369701544920576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0.92170632400732144</v>
      </c>
      <c r="AN425">
        <v>0.92170632400732144</v>
      </c>
      <c r="AO425">
        <v>0.70390436876505003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7.8293675992678557E-2</v>
      </c>
      <c r="BA425">
        <v>0</v>
      </c>
      <c r="BB425">
        <v>0.21780195524227142</v>
      </c>
      <c r="BC425">
        <v>0</v>
      </c>
      <c r="BD425">
        <v>0.70390436876505003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1.4206475259621256</v>
      </c>
      <c r="BK425">
        <v>1.4206475259621256</v>
      </c>
      <c r="BL425">
        <v>1.3094198088646465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0.30941980886464648</v>
      </c>
      <c r="BT425">
        <v>0</v>
      </c>
      <c r="BU425">
        <v>0.11122771709747914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84" hidden="1" x14ac:dyDescent="0.25">
      <c r="A426" t="s">
        <v>128</v>
      </c>
      <c r="B426" t="s">
        <v>502</v>
      </c>
      <c r="C426" t="s">
        <v>117</v>
      </c>
      <c r="D426" s="12">
        <v>46232</v>
      </c>
      <c r="J426">
        <v>34.986877911501026</v>
      </c>
      <c r="M426">
        <v>73.149999999999991</v>
      </c>
      <c r="N426">
        <v>73.149999999999991</v>
      </c>
      <c r="O426">
        <v>32.570343137254895</v>
      </c>
      <c r="S426">
        <v>0</v>
      </c>
      <c r="T426">
        <v>0</v>
      </c>
      <c r="U426">
        <v>1.0761167175952153</v>
      </c>
      <c r="V426">
        <v>0</v>
      </c>
      <c r="W426">
        <v>1.3917987177571898E-2</v>
      </c>
      <c r="X426">
        <v>0</v>
      </c>
      <c r="Y426">
        <v>0.11756813092145456</v>
      </c>
      <c r="Z426">
        <v>0</v>
      </c>
      <c r="AA426">
        <v>6.0859272311086746E-2</v>
      </c>
      <c r="AB426">
        <v>7.8825071051805196E-2</v>
      </c>
      <c r="AC426">
        <v>9.8853166925673711E-2</v>
      </c>
      <c r="AD426">
        <v>0</v>
      </c>
      <c r="AE426">
        <v>0.10170269727526926</v>
      </c>
      <c r="AF426">
        <v>0</v>
      </c>
      <c r="AG426">
        <v>0.72061906474725168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84" hidden="1" x14ac:dyDescent="0.25">
      <c r="A427" t="s">
        <v>128</v>
      </c>
      <c r="B427" t="s">
        <v>502</v>
      </c>
      <c r="C427" t="s">
        <v>72</v>
      </c>
      <c r="D427" s="12">
        <v>46239</v>
      </c>
      <c r="E427" t="s">
        <v>134</v>
      </c>
      <c r="F427" t="s">
        <v>134</v>
      </c>
      <c r="G427" t="s">
        <v>134</v>
      </c>
      <c r="H427" t="s">
        <v>73</v>
      </c>
      <c r="I427">
        <v>10</v>
      </c>
      <c r="J427">
        <v>2.6268630234208659</v>
      </c>
      <c r="K427">
        <v>46239</v>
      </c>
      <c r="L427" t="s">
        <v>177</v>
      </c>
      <c r="M427">
        <v>0</v>
      </c>
      <c r="N427">
        <v>0</v>
      </c>
      <c r="O427">
        <v>2.003063725490196</v>
      </c>
      <c r="P427">
        <v>0</v>
      </c>
      <c r="Q427">
        <v>0</v>
      </c>
      <c r="R427">
        <v>0.76253070968340053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0.76253070968340053</v>
      </c>
      <c r="AC427">
        <v>0.23746929031659947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J427">
        <v>0</v>
      </c>
      <c r="BK427">
        <v>0</v>
      </c>
      <c r="BL427">
        <v>1.3114225922982115</v>
      </c>
      <c r="BM427">
        <v>0.31142259229821145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</v>
      </c>
      <c r="CF427">
        <v>1</v>
      </c>
    </row>
    <row r="428" spans="1:84" hidden="1" x14ac:dyDescent="0.25">
      <c r="A428" t="s">
        <v>128</v>
      </c>
      <c r="B428" t="s">
        <v>502</v>
      </c>
      <c r="C428" t="s">
        <v>117</v>
      </c>
      <c r="D428" s="12">
        <v>46235</v>
      </c>
      <c r="J428">
        <v>30.673999656915377</v>
      </c>
      <c r="M428">
        <v>64.599999999999994</v>
      </c>
      <c r="N428">
        <v>64.599999999999994</v>
      </c>
      <c r="O428">
        <v>34.487081891580168</v>
      </c>
      <c r="S428">
        <v>0</v>
      </c>
      <c r="T428">
        <v>0</v>
      </c>
      <c r="U428">
        <v>0.99387900125236328</v>
      </c>
      <c r="V428">
        <v>0</v>
      </c>
      <c r="W428">
        <v>1.3308201583584433E-2</v>
      </c>
      <c r="X428">
        <v>0</v>
      </c>
      <c r="Y428">
        <v>0.12021099960308601</v>
      </c>
      <c r="Z428">
        <v>0</v>
      </c>
      <c r="AA428">
        <v>6.2390163590490495E-2</v>
      </c>
      <c r="AB428">
        <v>0.16421340379211241</v>
      </c>
      <c r="AC428">
        <v>7.4411088291584382E-2</v>
      </c>
      <c r="AD428">
        <v>0</v>
      </c>
      <c r="AE428">
        <v>0</v>
      </c>
      <c r="AF428">
        <v>0</v>
      </c>
      <c r="AG428">
        <v>0.76137550791630326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84" hidden="1" x14ac:dyDescent="0.25">
      <c r="A429" t="s">
        <v>128</v>
      </c>
      <c r="B429" t="s">
        <v>502</v>
      </c>
      <c r="C429" t="s">
        <v>117</v>
      </c>
      <c r="D429" s="12">
        <v>46242</v>
      </c>
      <c r="J429">
        <v>30.943670337658528</v>
      </c>
      <c r="M429">
        <v>58.9</v>
      </c>
      <c r="N429">
        <v>58.9</v>
      </c>
      <c r="O429">
        <v>34.067531718569775</v>
      </c>
      <c r="S429">
        <v>0</v>
      </c>
      <c r="T429">
        <v>0</v>
      </c>
      <c r="U429">
        <v>0.98803884235340844</v>
      </c>
      <c r="V429">
        <v>0</v>
      </c>
      <c r="W429">
        <v>5.9451670522277875E-3</v>
      </c>
      <c r="X429">
        <v>0</v>
      </c>
      <c r="Y429">
        <v>0.11479069800819242</v>
      </c>
      <c r="Z429">
        <v>0</v>
      </c>
      <c r="AA429">
        <v>6.7104249714272368E-2</v>
      </c>
      <c r="AB429">
        <v>0.18800393279428879</v>
      </c>
      <c r="AC429">
        <v>8.4416276315851912E-2</v>
      </c>
      <c r="AD429">
        <v>0</v>
      </c>
      <c r="AE429">
        <v>0</v>
      </c>
      <c r="AF429">
        <v>0</v>
      </c>
      <c r="AG429">
        <v>0.72757979088985925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84" hidden="1" x14ac:dyDescent="0.25">
      <c r="A430" t="s">
        <v>128</v>
      </c>
      <c r="B430" t="s">
        <v>502</v>
      </c>
      <c r="C430" t="s">
        <v>117</v>
      </c>
      <c r="D430" s="12">
        <v>46239</v>
      </c>
      <c r="J430">
        <v>33.670423680959566</v>
      </c>
      <c r="M430">
        <v>60.8</v>
      </c>
      <c r="N430">
        <v>60.8</v>
      </c>
      <c r="O430">
        <v>36.116142829680889</v>
      </c>
      <c r="S430">
        <v>0</v>
      </c>
      <c r="T430">
        <v>0</v>
      </c>
      <c r="U430">
        <v>0.93817890056250541</v>
      </c>
      <c r="V430">
        <v>0</v>
      </c>
      <c r="W430">
        <v>3.3771646338456696E-2</v>
      </c>
      <c r="X430">
        <v>0</v>
      </c>
      <c r="Y430">
        <v>0.10841002598073035</v>
      </c>
      <c r="Z430">
        <v>0</v>
      </c>
      <c r="AA430">
        <v>5.8347681346724148E-2</v>
      </c>
      <c r="AB430">
        <v>0.26342451570987602</v>
      </c>
      <c r="AC430">
        <v>6.9544654980305987E-2</v>
      </c>
      <c r="AD430">
        <v>0</v>
      </c>
      <c r="AE430">
        <v>0</v>
      </c>
      <c r="AF430">
        <v>0</v>
      </c>
      <c r="AG430">
        <v>0.66703082930981805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84" hidden="1" x14ac:dyDescent="0.25">
      <c r="A431" t="s">
        <v>128</v>
      </c>
      <c r="B431" t="s">
        <v>502</v>
      </c>
      <c r="C431" t="s">
        <v>72</v>
      </c>
      <c r="D431" s="12">
        <v>46237</v>
      </c>
      <c r="E431" t="s">
        <v>134</v>
      </c>
      <c r="F431" t="s">
        <v>134</v>
      </c>
      <c r="G431" t="s">
        <v>134</v>
      </c>
      <c r="H431" t="s">
        <v>75</v>
      </c>
      <c r="I431">
        <v>10</v>
      </c>
      <c r="J431">
        <v>2.4017033356990773</v>
      </c>
      <c r="K431">
        <v>46237</v>
      </c>
      <c r="L431" t="s">
        <v>181</v>
      </c>
      <c r="M431">
        <v>0</v>
      </c>
      <c r="N431">
        <v>0</v>
      </c>
      <c r="O431">
        <v>2.1049596309111882</v>
      </c>
      <c r="P431">
        <v>0</v>
      </c>
      <c r="Q431">
        <v>0</v>
      </c>
      <c r="R431">
        <v>0.87644447989180385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0.87644447989180385</v>
      </c>
      <c r="AC431">
        <v>0.12355552010819615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J431">
        <v>0</v>
      </c>
      <c r="BK431">
        <v>0</v>
      </c>
      <c r="BL431">
        <v>1.1409735846855342</v>
      </c>
      <c r="BM431">
        <v>0.14097358468553423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1</v>
      </c>
    </row>
    <row r="432" spans="1:84" hidden="1" x14ac:dyDescent="0.25">
      <c r="A432" t="s">
        <v>128</v>
      </c>
      <c r="B432" t="s">
        <v>502</v>
      </c>
      <c r="C432" t="s">
        <v>72</v>
      </c>
      <c r="D432" s="12">
        <v>46238</v>
      </c>
      <c r="E432" t="s">
        <v>134</v>
      </c>
      <c r="F432" t="s">
        <v>134</v>
      </c>
      <c r="G432" t="s">
        <v>134</v>
      </c>
      <c r="H432" t="s">
        <v>75</v>
      </c>
      <c r="I432">
        <v>10</v>
      </c>
      <c r="J432">
        <v>2.4017033356990773</v>
      </c>
      <c r="K432">
        <v>46238</v>
      </c>
      <c r="L432" t="s">
        <v>178</v>
      </c>
      <c r="M432">
        <v>0</v>
      </c>
      <c r="N432">
        <v>0</v>
      </c>
      <c r="O432">
        <v>2.1049596309111882</v>
      </c>
      <c r="P432">
        <v>0</v>
      </c>
      <c r="Q432">
        <v>0</v>
      </c>
      <c r="R432">
        <v>0.87644447989180385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0.87644447989180385</v>
      </c>
      <c r="AC432">
        <v>0.12355552010819615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J432">
        <v>0</v>
      </c>
      <c r="BK432">
        <v>0</v>
      </c>
      <c r="BL432">
        <v>1.1409735846855342</v>
      </c>
      <c r="BM432">
        <v>0.14097358468553423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</row>
    <row r="433" spans="1:84" hidden="1" x14ac:dyDescent="0.25">
      <c r="A433" t="s">
        <v>128</v>
      </c>
      <c r="B433" t="s">
        <v>502</v>
      </c>
      <c r="C433" t="s">
        <v>117</v>
      </c>
      <c r="D433" s="12">
        <v>46233</v>
      </c>
      <c r="J433">
        <v>33.570533361079391</v>
      </c>
      <c r="M433">
        <v>75.05</v>
      </c>
      <c r="N433">
        <v>75.05</v>
      </c>
      <c r="O433">
        <v>34.692892156862747</v>
      </c>
      <c r="S433">
        <v>0</v>
      </c>
      <c r="T433">
        <v>0</v>
      </c>
      <c r="U433">
        <v>1.2147592403077372</v>
      </c>
      <c r="V433">
        <v>0</v>
      </c>
      <c r="W433">
        <v>8.1997129130224524E-3</v>
      </c>
      <c r="X433">
        <v>0</v>
      </c>
      <c r="Y433">
        <v>0.13056047739760354</v>
      </c>
      <c r="Z433">
        <v>0</v>
      </c>
      <c r="AA433">
        <v>6.1633672141700416E-2</v>
      </c>
      <c r="AB433">
        <v>0.11041841471809075</v>
      </c>
      <c r="AC433">
        <v>6.9143159221921838E-2</v>
      </c>
      <c r="AD433">
        <v>0</v>
      </c>
      <c r="AE433">
        <v>3.618417544380137E-2</v>
      </c>
      <c r="AF433">
        <v>0</v>
      </c>
      <c r="AG433">
        <v>0.78425425061618603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84" hidden="1" x14ac:dyDescent="0.25">
      <c r="A434" t="s">
        <v>128</v>
      </c>
      <c r="B434" t="s">
        <v>502</v>
      </c>
      <c r="C434" t="s">
        <v>117</v>
      </c>
      <c r="D434" s="12">
        <v>46243</v>
      </c>
      <c r="J434">
        <v>30.943670337658524</v>
      </c>
      <c r="M434">
        <v>72.2</v>
      </c>
      <c r="N434">
        <v>72.2</v>
      </c>
      <c r="O434">
        <v>35.067531718569782</v>
      </c>
      <c r="S434">
        <v>0</v>
      </c>
      <c r="T434">
        <v>0</v>
      </c>
      <c r="U434">
        <v>1.4128668233653003</v>
      </c>
      <c r="V434">
        <v>0</v>
      </c>
      <c r="W434">
        <v>1.0930451721811198E-2</v>
      </c>
      <c r="X434">
        <v>0</v>
      </c>
      <c r="Y434">
        <v>0.14212220023195304</v>
      </c>
      <c r="Z434">
        <v>0</v>
      </c>
      <c r="AA434">
        <v>3.977274749051176E-2</v>
      </c>
      <c r="AB434">
        <v>0.18800393279428879</v>
      </c>
      <c r="AC434">
        <v>8.4416276315851912E-2</v>
      </c>
      <c r="AD434">
        <v>0</v>
      </c>
      <c r="AE434">
        <v>0</v>
      </c>
      <c r="AF434">
        <v>0</v>
      </c>
      <c r="AG434">
        <v>0.72757979088985913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84" hidden="1" x14ac:dyDescent="0.25">
      <c r="A435" t="s">
        <v>128</v>
      </c>
      <c r="B435" t="s">
        <v>502</v>
      </c>
      <c r="C435" t="s">
        <v>72</v>
      </c>
      <c r="D435" s="12">
        <v>46238</v>
      </c>
      <c r="E435" t="s">
        <v>134</v>
      </c>
      <c r="F435" t="s">
        <v>134</v>
      </c>
      <c r="G435" t="s">
        <v>134</v>
      </c>
      <c r="H435" t="s">
        <v>74</v>
      </c>
      <c r="I435">
        <v>10</v>
      </c>
      <c r="J435">
        <v>2.7219304471256209</v>
      </c>
      <c r="K435">
        <v>46238</v>
      </c>
      <c r="L435" t="s">
        <v>179</v>
      </c>
      <c r="M435">
        <v>0</v>
      </c>
      <c r="N435">
        <v>0</v>
      </c>
      <c r="O435">
        <v>2.0078431372549019</v>
      </c>
      <c r="P435">
        <v>0</v>
      </c>
      <c r="Q435">
        <v>0</v>
      </c>
      <c r="R435">
        <v>0.73765409376099211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0.73765409376099211</v>
      </c>
      <c r="AC435">
        <v>0.26234590623900789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J435">
        <v>0</v>
      </c>
      <c r="BK435">
        <v>0</v>
      </c>
      <c r="BL435">
        <v>1.3556489531582683</v>
      </c>
      <c r="BM435">
        <v>0.35564895315826828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</v>
      </c>
      <c r="CF435">
        <v>1</v>
      </c>
    </row>
    <row r="436" spans="1:84" hidden="1" x14ac:dyDescent="0.25">
      <c r="A436" t="s">
        <v>128</v>
      </c>
      <c r="B436" t="s">
        <v>502</v>
      </c>
      <c r="C436" t="s">
        <v>117</v>
      </c>
      <c r="D436" s="12">
        <v>46234</v>
      </c>
      <c r="J436">
        <v>34.791659695654587</v>
      </c>
      <c r="M436">
        <v>75.05</v>
      </c>
      <c r="N436">
        <v>75.05</v>
      </c>
      <c r="O436">
        <v>35.318634659746252</v>
      </c>
      <c r="S436">
        <v>0</v>
      </c>
      <c r="T436">
        <v>0</v>
      </c>
      <c r="U436">
        <v>1.1590705089625948</v>
      </c>
      <c r="V436">
        <v>0</v>
      </c>
      <c r="W436">
        <v>0</v>
      </c>
      <c r="X436">
        <v>0</v>
      </c>
      <c r="Y436">
        <v>0.11805864024521617</v>
      </c>
      <c r="Z436">
        <v>0</v>
      </c>
      <c r="AA436">
        <v>5.621011770193747E-2</v>
      </c>
      <c r="AB436">
        <v>0.13508653225684597</v>
      </c>
      <c r="AC436">
        <v>4.1126553938574457E-2</v>
      </c>
      <c r="AD436">
        <v>0</v>
      </c>
      <c r="AE436">
        <v>6.1785497477552853E-2</v>
      </c>
      <c r="AF436">
        <v>0</v>
      </c>
      <c r="AG436">
        <v>0.76200141632702667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84" hidden="1" x14ac:dyDescent="0.25">
      <c r="A437" t="s">
        <v>128</v>
      </c>
      <c r="B437" t="s">
        <v>502</v>
      </c>
      <c r="C437" t="s">
        <v>72</v>
      </c>
      <c r="D437" s="12">
        <v>46233</v>
      </c>
      <c r="E437" t="s">
        <v>134</v>
      </c>
      <c r="F437" t="s">
        <v>134</v>
      </c>
      <c r="G437" t="s">
        <v>134</v>
      </c>
      <c r="H437" t="s">
        <v>75</v>
      </c>
      <c r="I437">
        <v>10</v>
      </c>
      <c r="J437">
        <v>2.4017033356990773</v>
      </c>
      <c r="K437">
        <v>46233</v>
      </c>
      <c r="L437" t="s">
        <v>233</v>
      </c>
      <c r="M437">
        <v>3.8</v>
      </c>
      <c r="N437">
        <v>3.8</v>
      </c>
      <c r="O437">
        <v>2.1049596309111882</v>
      </c>
      <c r="P437">
        <v>1.5822104018912528</v>
      </c>
      <c r="Q437">
        <v>1.5822104018912528</v>
      </c>
      <c r="R437">
        <v>0.87644447989180385</v>
      </c>
      <c r="S437">
        <v>0</v>
      </c>
      <c r="T437">
        <v>0</v>
      </c>
      <c r="U437">
        <v>0.33221040189125284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</v>
      </c>
      <c r="AC437">
        <v>0</v>
      </c>
      <c r="AD437">
        <v>0</v>
      </c>
      <c r="AE437">
        <v>0.12355552010819615</v>
      </c>
      <c r="AF437">
        <v>0</v>
      </c>
      <c r="AG437">
        <v>0.87644447989180385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0.63202719360502035</v>
      </c>
      <c r="AN437">
        <v>0.63202719360502035</v>
      </c>
      <c r="AO437">
        <v>0.55393674497662848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0.36797280639497965</v>
      </c>
      <c r="BA437">
        <v>0</v>
      </c>
      <c r="BB437">
        <v>7.8090448628391873E-2</v>
      </c>
      <c r="BC437">
        <v>0</v>
      </c>
      <c r="BD437">
        <v>0.55393674497662848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1.8052602739726025</v>
      </c>
      <c r="BK437">
        <v>1.8052602739726025</v>
      </c>
      <c r="BL437">
        <v>1.1409735846855342</v>
      </c>
      <c r="CC437">
        <v>0</v>
      </c>
      <c r="CD437">
        <v>0</v>
      </c>
      <c r="CE437">
        <v>0</v>
      </c>
    </row>
    <row r="438" spans="1:84" hidden="1" x14ac:dyDescent="0.25">
      <c r="A438" t="s">
        <v>128</v>
      </c>
      <c r="B438" t="s">
        <v>502</v>
      </c>
      <c r="C438" t="s">
        <v>72</v>
      </c>
      <c r="D438" s="12">
        <v>46233</v>
      </c>
      <c r="E438" t="s">
        <v>134</v>
      </c>
      <c r="F438" t="s">
        <v>134</v>
      </c>
      <c r="G438" t="s">
        <v>134</v>
      </c>
      <c r="H438" t="s">
        <v>74</v>
      </c>
      <c r="I438">
        <v>10</v>
      </c>
      <c r="J438">
        <v>2.7219304471256209</v>
      </c>
      <c r="K438">
        <v>46233</v>
      </c>
      <c r="L438" t="s">
        <v>234</v>
      </c>
      <c r="M438">
        <v>0</v>
      </c>
      <c r="N438">
        <v>0</v>
      </c>
      <c r="O438">
        <v>2.0078431372549019</v>
      </c>
      <c r="P438">
        <v>0</v>
      </c>
      <c r="Q438">
        <v>0</v>
      </c>
      <c r="R438">
        <v>0.73765409376099211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0.73765409376099211</v>
      </c>
      <c r="AC438">
        <v>0.26234590623900789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J438">
        <v>0</v>
      </c>
      <c r="BK438">
        <v>0</v>
      </c>
      <c r="BL438">
        <v>1.3556489531582683</v>
      </c>
      <c r="BM438">
        <v>0.35564895315826828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</v>
      </c>
      <c r="CF438">
        <v>1</v>
      </c>
    </row>
    <row r="439" spans="1:84" hidden="1" x14ac:dyDescent="0.25">
      <c r="A439" t="s">
        <v>128</v>
      </c>
      <c r="B439" t="s">
        <v>502</v>
      </c>
      <c r="C439" t="s">
        <v>117</v>
      </c>
      <c r="D439" s="12">
        <v>46241</v>
      </c>
      <c r="J439">
        <v>34.866712924895182</v>
      </c>
      <c r="M439">
        <v>66.5</v>
      </c>
      <c r="N439">
        <v>66.5</v>
      </c>
      <c r="O439">
        <v>32.504779411764709</v>
      </c>
      <c r="S439">
        <v>0</v>
      </c>
      <c r="T439">
        <v>0</v>
      </c>
      <c r="U439">
        <v>1.1020822867319742</v>
      </c>
      <c r="V439">
        <v>0</v>
      </c>
      <c r="W439">
        <v>0</v>
      </c>
      <c r="X439">
        <v>0</v>
      </c>
      <c r="Y439">
        <v>0.11768500740850782</v>
      </c>
      <c r="Z439">
        <v>0</v>
      </c>
      <c r="AA439">
        <v>4.3351184040781997E-2</v>
      </c>
      <c r="AB439">
        <v>0.17042843770689547</v>
      </c>
      <c r="AC439">
        <v>0.18542679649594526</v>
      </c>
      <c r="AD439">
        <v>0</v>
      </c>
      <c r="AE439">
        <v>0</v>
      </c>
      <c r="AF439">
        <v>0</v>
      </c>
      <c r="AG439">
        <v>0.64414476579715918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84" hidden="1" x14ac:dyDescent="0.25">
      <c r="A440" t="s">
        <v>128</v>
      </c>
      <c r="B440" t="s">
        <v>502</v>
      </c>
      <c r="C440" t="s">
        <v>72</v>
      </c>
      <c r="D440" s="12">
        <v>46239</v>
      </c>
      <c r="E440" t="s">
        <v>134</v>
      </c>
      <c r="F440" t="s">
        <v>134</v>
      </c>
      <c r="G440" t="s">
        <v>134</v>
      </c>
      <c r="H440" t="s">
        <v>74</v>
      </c>
      <c r="I440">
        <v>10</v>
      </c>
      <c r="J440">
        <v>2.7219304471256209</v>
      </c>
      <c r="K440">
        <v>46239</v>
      </c>
      <c r="L440" t="s">
        <v>176</v>
      </c>
      <c r="M440">
        <v>0</v>
      </c>
      <c r="N440">
        <v>0</v>
      </c>
      <c r="O440">
        <v>2.0078431372549019</v>
      </c>
      <c r="P440">
        <v>0</v>
      </c>
      <c r="Q440">
        <v>0</v>
      </c>
      <c r="R440">
        <v>0.73765409376099211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0.73765409376099211</v>
      </c>
      <c r="AC440">
        <v>0.26234590623900789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J440">
        <v>0</v>
      </c>
      <c r="BK440">
        <v>0</v>
      </c>
      <c r="BL440">
        <v>1.3556489531582683</v>
      </c>
      <c r="BM440">
        <v>0.35564895315826828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1</v>
      </c>
    </row>
    <row r="441" spans="1:84" hidden="1" x14ac:dyDescent="0.25">
      <c r="A441" t="s">
        <v>128</v>
      </c>
      <c r="B441" t="s">
        <v>502</v>
      </c>
      <c r="C441" t="s">
        <v>72</v>
      </c>
      <c r="D441" s="12">
        <v>46237</v>
      </c>
      <c r="E441" t="s">
        <v>134</v>
      </c>
      <c r="F441" t="s">
        <v>134</v>
      </c>
      <c r="G441" t="s">
        <v>134</v>
      </c>
      <c r="H441" t="s">
        <v>74</v>
      </c>
      <c r="I441">
        <v>10</v>
      </c>
      <c r="J441">
        <v>2.7219304471256209</v>
      </c>
      <c r="K441">
        <v>46237</v>
      </c>
      <c r="L441" t="s">
        <v>182</v>
      </c>
      <c r="M441">
        <v>0</v>
      </c>
      <c r="N441">
        <v>0</v>
      </c>
      <c r="O441">
        <v>2.0078431372549019</v>
      </c>
      <c r="P441">
        <v>0</v>
      </c>
      <c r="Q441">
        <v>0</v>
      </c>
      <c r="R441">
        <v>0.73765409376099211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0.73765409376099211</v>
      </c>
      <c r="AC441">
        <v>0.26234590623900789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J441">
        <v>0</v>
      </c>
      <c r="BK441">
        <v>0</v>
      </c>
      <c r="BL441">
        <v>1.3556489531582683</v>
      </c>
      <c r="BM441">
        <v>0.35564895315826828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>
        <v>1</v>
      </c>
    </row>
    <row r="442" spans="1:84" hidden="1" x14ac:dyDescent="0.25">
      <c r="A442" t="s">
        <v>128</v>
      </c>
      <c r="B442" t="s">
        <v>502</v>
      </c>
      <c r="C442" t="s">
        <v>117</v>
      </c>
      <c r="D442" s="12">
        <v>46246</v>
      </c>
      <c r="J442">
        <v>34.986877911501018</v>
      </c>
      <c r="M442">
        <v>60.8</v>
      </c>
      <c r="N442">
        <v>60.8</v>
      </c>
      <c r="O442">
        <v>32.633455882352941</v>
      </c>
      <c r="S442">
        <v>0</v>
      </c>
      <c r="T442">
        <v>0</v>
      </c>
      <c r="U442">
        <v>0.93146465904280118</v>
      </c>
      <c r="V442">
        <v>0</v>
      </c>
      <c r="W442">
        <v>0</v>
      </c>
      <c r="X442">
        <v>0</v>
      </c>
      <c r="Y442">
        <v>6.9489831301795729E-2</v>
      </c>
      <c r="Z442">
        <v>0</v>
      </c>
      <c r="AA442">
        <v>9.1776113985182678E-2</v>
      </c>
      <c r="AB442">
        <v>0.21818053904843113</v>
      </c>
      <c r="AC442">
        <v>0.13675567980365536</v>
      </c>
      <c r="AD442">
        <v>0</v>
      </c>
      <c r="AE442">
        <v>0</v>
      </c>
      <c r="AF442">
        <v>0</v>
      </c>
      <c r="AG442">
        <v>0.64506378114791363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84" hidden="1" x14ac:dyDescent="0.25">
      <c r="A443" t="s">
        <v>128</v>
      </c>
      <c r="B443" t="s">
        <v>502</v>
      </c>
      <c r="C443" t="s">
        <v>72</v>
      </c>
      <c r="D443" s="12">
        <v>46236</v>
      </c>
      <c r="E443" t="s">
        <v>134</v>
      </c>
      <c r="F443" t="s">
        <v>134</v>
      </c>
      <c r="G443" t="s">
        <v>134</v>
      </c>
      <c r="H443" t="s">
        <v>75</v>
      </c>
      <c r="I443">
        <v>10</v>
      </c>
      <c r="J443">
        <v>2.4017033356990769</v>
      </c>
      <c r="K443">
        <v>46236</v>
      </c>
      <c r="L443" t="s">
        <v>183</v>
      </c>
      <c r="M443">
        <v>0.95</v>
      </c>
      <c r="N443">
        <v>0.95</v>
      </c>
      <c r="O443">
        <v>1.9930795847750864</v>
      </c>
      <c r="P443">
        <v>0.39555260047281332</v>
      </c>
      <c r="Q443">
        <v>0.39555260047281332</v>
      </c>
      <c r="R443">
        <v>0.82986085548111621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0.43430825500830289</v>
      </c>
      <c r="AC443">
        <v>0.17013914451888379</v>
      </c>
      <c r="AD443">
        <v>0</v>
      </c>
      <c r="AE443">
        <v>0</v>
      </c>
      <c r="AF443">
        <v>0</v>
      </c>
      <c r="AG443">
        <v>0.39555260047281332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2.528108774420081</v>
      </c>
      <c r="AN443">
        <v>2.528108774420081</v>
      </c>
      <c r="AO443">
        <v>2.0979785102895647</v>
      </c>
      <c r="BF443">
        <v>0</v>
      </c>
      <c r="BG443">
        <v>0</v>
      </c>
      <c r="BH443">
        <v>0</v>
      </c>
      <c r="BJ443">
        <v>0.47664930555555557</v>
      </c>
      <c r="BK443">
        <v>0.47664930555555557</v>
      </c>
      <c r="BL443">
        <v>1.2050212916962384</v>
      </c>
      <c r="BM443">
        <v>0.20502129169623839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0.60444739952718662</v>
      </c>
      <c r="BW443">
        <v>0</v>
      </c>
      <c r="BX443">
        <v>0</v>
      </c>
      <c r="BY443">
        <v>0</v>
      </c>
      <c r="BZ443">
        <v>0</v>
      </c>
      <c r="CA443">
        <v>0.47664930555555557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 spans="1:84" hidden="1" x14ac:dyDescent="0.25">
      <c r="A444" t="s">
        <v>128</v>
      </c>
      <c r="B444" t="s">
        <v>502</v>
      </c>
      <c r="C444" t="s">
        <v>72</v>
      </c>
      <c r="D444" s="12">
        <v>46234</v>
      </c>
      <c r="E444" t="s">
        <v>134</v>
      </c>
      <c r="F444" t="s">
        <v>134</v>
      </c>
      <c r="G444" t="s">
        <v>134</v>
      </c>
      <c r="H444" t="s">
        <v>74</v>
      </c>
      <c r="I444">
        <v>10</v>
      </c>
      <c r="J444">
        <v>2.7219304471256209</v>
      </c>
      <c r="K444">
        <v>46234</v>
      </c>
      <c r="L444" t="s">
        <v>190</v>
      </c>
      <c r="M444">
        <v>0</v>
      </c>
      <c r="N444">
        <v>0</v>
      </c>
      <c r="O444">
        <v>2.0078431372549019</v>
      </c>
      <c r="P444">
        <v>0</v>
      </c>
      <c r="Q444">
        <v>0</v>
      </c>
      <c r="R444">
        <v>0.73765409376099211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0.73765409376099211</v>
      </c>
      <c r="AC444">
        <v>0.26234590623900789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1</v>
      </c>
      <c r="BJ444">
        <v>0</v>
      </c>
      <c r="BK444">
        <v>0</v>
      </c>
      <c r="BL444">
        <v>1.3556489531582683</v>
      </c>
      <c r="BM444">
        <v>0.35564895315826828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1</v>
      </c>
      <c r="CF444">
        <v>1</v>
      </c>
    </row>
    <row r="445" spans="1:84" hidden="1" x14ac:dyDescent="0.25">
      <c r="A445" t="s">
        <v>128</v>
      </c>
      <c r="B445" t="s">
        <v>502</v>
      </c>
      <c r="C445" t="s">
        <v>117</v>
      </c>
      <c r="D445" s="12">
        <v>46229</v>
      </c>
      <c r="J445">
        <v>30.943670337658524</v>
      </c>
      <c r="M445">
        <v>59.849999999999994</v>
      </c>
      <c r="N445">
        <v>59.849999999999994</v>
      </c>
      <c r="O445">
        <v>33.869002306805072</v>
      </c>
      <c r="S445">
        <v>0</v>
      </c>
      <c r="T445">
        <v>0</v>
      </c>
      <c r="U445">
        <v>0.79148833682991726</v>
      </c>
      <c r="V445">
        <v>0</v>
      </c>
      <c r="W445">
        <v>1.8289987283658556E-2</v>
      </c>
      <c r="X445">
        <v>0</v>
      </c>
      <c r="Y445">
        <v>0.12264386958510175</v>
      </c>
      <c r="Z445">
        <v>0</v>
      </c>
      <c r="AA445">
        <v>5.9251078137363043E-2</v>
      </c>
      <c r="AB445">
        <v>0.12907332140054387</v>
      </c>
      <c r="AC445">
        <v>8.1944992612243264E-2</v>
      </c>
      <c r="AD445">
        <v>0</v>
      </c>
      <c r="AE445">
        <v>5.7029623929431296E-4</v>
      </c>
      <c r="AF445">
        <v>0</v>
      </c>
      <c r="AG445">
        <v>0.78841138974791847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84" hidden="1" x14ac:dyDescent="0.25">
      <c r="A446" t="s">
        <v>128</v>
      </c>
      <c r="B446" t="s">
        <v>502</v>
      </c>
      <c r="C446" t="s">
        <v>72</v>
      </c>
      <c r="D446" s="12">
        <v>46232</v>
      </c>
      <c r="E446" t="s">
        <v>134</v>
      </c>
      <c r="F446" t="s">
        <v>134</v>
      </c>
      <c r="G446" t="s">
        <v>134</v>
      </c>
      <c r="H446" t="s">
        <v>73</v>
      </c>
      <c r="I446">
        <v>10</v>
      </c>
      <c r="J446">
        <v>4.0528743789921924</v>
      </c>
      <c r="K446">
        <v>46232</v>
      </c>
      <c r="L446" t="s">
        <v>238</v>
      </c>
      <c r="M446">
        <v>3.8</v>
      </c>
      <c r="N446">
        <v>3.8</v>
      </c>
      <c r="O446">
        <v>1.1176470588235294</v>
      </c>
      <c r="P446">
        <v>0.93760616408370556</v>
      </c>
      <c r="Q446">
        <v>0.93760616408370556</v>
      </c>
      <c r="R446">
        <v>0.27576651884814873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6.2393835916294438E-2</v>
      </c>
      <c r="AD446">
        <v>0</v>
      </c>
      <c r="AE446">
        <v>0.66183964523555683</v>
      </c>
      <c r="AF446">
        <v>0</v>
      </c>
      <c r="AG446">
        <v>0.27576651884814873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1.0665458892084718</v>
      </c>
      <c r="AN446">
        <v>1.0665458892084718</v>
      </c>
      <c r="AO446">
        <v>0.29411764705882354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6.654588920847182E-2</v>
      </c>
      <c r="AY446">
        <v>0</v>
      </c>
      <c r="AZ446">
        <v>0</v>
      </c>
      <c r="BA446">
        <v>0</v>
      </c>
      <c r="BB446">
        <v>0.70588235294117641</v>
      </c>
      <c r="BC446">
        <v>0</v>
      </c>
      <c r="BD446">
        <v>0.29411764705882354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3.4</v>
      </c>
      <c r="BK446">
        <v>3.4</v>
      </c>
      <c r="BL446">
        <v>3.6262560233088035</v>
      </c>
      <c r="CC446">
        <v>0</v>
      </c>
      <c r="CD446">
        <v>0</v>
      </c>
      <c r="CE446">
        <v>0</v>
      </c>
    </row>
    <row r="447" spans="1:84" hidden="1" x14ac:dyDescent="0.25">
      <c r="A447" t="s">
        <v>128</v>
      </c>
      <c r="B447" t="s">
        <v>502</v>
      </c>
      <c r="C447" t="s">
        <v>72</v>
      </c>
      <c r="D447" s="12">
        <v>46240</v>
      </c>
      <c r="E447" t="s">
        <v>134</v>
      </c>
      <c r="F447" t="s">
        <v>134</v>
      </c>
      <c r="G447" t="s">
        <v>134</v>
      </c>
      <c r="H447" t="s">
        <v>73</v>
      </c>
      <c r="I447">
        <v>10</v>
      </c>
      <c r="J447">
        <v>4.0528743789921924</v>
      </c>
      <c r="K447">
        <v>46240</v>
      </c>
      <c r="L447" t="s">
        <v>191</v>
      </c>
      <c r="M447">
        <v>0</v>
      </c>
      <c r="N447">
        <v>0</v>
      </c>
      <c r="O447">
        <v>1.1207107843137254</v>
      </c>
      <c r="P447">
        <v>0</v>
      </c>
      <c r="Q447">
        <v>0</v>
      </c>
      <c r="R447">
        <v>0.27652245777042977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0.27652245777042977</v>
      </c>
      <c r="AC447">
        <v>0.72347754222957028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J447">
        <v>0</v>
      </c>
      <c r="BK447">
        <v>0</v>
      </c>
      <c r="BL447">
        <v>3.6163428029061011</v>
      </c>
      <c r="BM447">
        <v>2.6163428029061011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</v>
      </c>
      <c r="CF447">
        <v>1</v>
      </c>
    </row>
    <row r="448" spans="1:84" hidden="1" x14ac:dyDescent="0.25">
      <c r="A448" t="s">
        <v>128</v>
      </c>
      <c r="B448" t="s">
        <v>502</v>
      </c>
      <c r="C448" t="s">
        <v>72</v>
      </c>
      <c r="D448" s="12">
        <v>46232</v>
      </c>
      <c r="E448" t="s">
        <v>134</v>
      </c>
      <c r="F448" t="s">
        <v>134</v>
      </c>
      <c r="G448" t="s">
        <v>134</v>
      </c>
      <c r="H448" t="s">
        <v>75</v>
      </c>
      <c r="I448">
        <v>10</v>
      </c>
      <c r="J448">
        <v>2.4017033356990769</v>
      </c>
      <c r="K448">
        <v>46232</v>
      </c>
      <c r="L448" t="s">
        <v>236</v>
      </c>
      <c r="M448">
        <v>4.75</v>
      </c>
      <c r="N448">
        <v>4.75</v>
      </c>
      <c r="O448">
        <v>1.8823529411764703</v>
      </c>
      <c r="P448">
        <v>1.9777630023640667</v>
      </c>
      <c r="Q448">
        <v>1.9777630023640667</v>
      </c>
      <c r="R448">
        <v>0.78375747462105416</v>
      </c>
      <c r="S448">
        <v>0</v>
      </c>
      <c r="T448">
        <v>0</v>
      </c>
      <c r="U448">
        <v>0.72776300236406666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0.25</v>
      </c>
      <c r="AB448">
        <v>0</v>
      </c>
      <c r="AC448">
        <v>0</v>
      </c>
      <c r="AD448">
        <v>0</v>
      </c>
      <c r="AE448">
        <v>0.21624252537894584</v>
      </c>
      <c r="AF448">
        <v>0</v>
      </c>
      <c r="AG448">
        <v>0.78375747462105416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0.50562175488401617</v>
      </c>
      <c r="AN448">
        <v>0.50562175488401617</v>
      </c>
      <c r="AO448">
        <v>0.3962848297213622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0.49437824511598383</v>
      </c>
      <c r="BA448">
        <v>0</v>
      </c>
      <c r="BB448">
        <v>0.10933692516265398</v>
      </c>
      <c r="BC448">
        <v>0</v>
      </c>
      <c r="BD448">
        <v>0.3962848297213622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2.5234375000000004</v>
      </c>
      <c r="BK448">
        <v>2.5234375000000004</v>
      </c>
      <c r="BL448">
        <v>1.2759048970901348</v>
      </c>
      <c r="CC448">
        <v>0</v>
      </c>
      <c r="CD448">
        <v>0</v>
      </c>
      <c r="CE448">
        <v>0</v>
      </c>
    </row>
    <row r="449" spans="1:84" hidden="1" x14ac:dyDescent="0.25">
      <c r="A449" t="s">
        <v>128</v>
      </c>
      <c r="B449" t="s">
        <v>502</v>
      </c>
      <c r="C449" t="s">
        <v>117</v>
      </c>
      <c r="D449" s="12">
        <v>46236</v>
      </c>
      <c r="J449">
        <v>30.943670337658524</v>
      </c>
      <c r="M449">
        <v>76</v>
      </c>
      <c r="N449">
        <v>76</v>
      </c>
      <c r="O449">
        <v>34.299581891580154</v>
      </c>
      <c r="S449">
        <v>0</v>
      </c>
      <c r="T449">
        <v>0</v>
      </c>
      <c r="U449">
        <v>1.3552625554605227</v>
      </c>
      <c r="V449">
        <v>0</v>
      </c>
      <c r="W449">
        <v>7.1328245292352549E-3</v>
      </c>
      <c r="X449">
        <v>0</v>
      </c>
      <c r="Y449">
        <v>0.11562283971201891</v>
      </c>
      <c r="Z449">
        <v>0</v>
      </c>
      <c r="AA449">
        <v>6.627210801044589E-2</v>
      </c>
      <c r="AB449">
        <v>0.16278230205451807</v>
      </c>
      <c r="AC449">
        <v>7.893695950694582E-2</v>
      </c>
      <c r="AD449">
        <v>0</v>
      </c>
      <c r="AE449">
        <v>0</v>
      </c>
      <c r="AF449">
        <v>0</v>
      </c>
      <c r="AG449">
        <v>0.75828073843853594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84" hidden="1" x14ac:dyDescent="0.25">
      <c r="A450" t="s">
        <v>128</v>
      </c>
      <c r="B450" t="s">
        <v>502</v>
      </c>
      <c r="C450" t="s">
        <v>72</v>
      </c>
      <c r="D450" s="12">
        <v>46232</v>
      </c>
      <c r="E450" t="s">
        <v>134</v>
      </c>
      <c r="F450" t="s">
        <v>134</v>
      </c>
      <c r="G450" t="s">
        <v>134</v>
      </c>
      <c r="H450" t="s">
        <v>74</v>
      </c>
      <c r="I450">
        <v>10</v>
      </c>
      <c r="J450">
        <v>2.7219304471256209</v>
      </c>
      <c r="K450">
        <v>46232</v>
      </c>
      <c r="L450" t="s">
        <v>237</v>
      </c>
      <c r="M450">
        <v>0</v>
      </c>
      <c r="N450">
        <v>0</v>
      </c>
      <c r="O450">
        <v>2.0078431372549019</v>
      </c>
      <c r="P450">
        <v>0</v>
      </c>
      <c r="Q450">
        <v>0</v>
      </c>
      <c r="R450">
        <v>0.73765409376099211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0.73765409376099211</v>
      </c>
      <c r="AC450">
        <v>0.26234590623900789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J450">
        <v>0</v>
      </c>
      <c r="BK450">
        <v>0</v>
      </c>
      <c r="BL450">
        <v>1.3556489531582683</v>
      </c>
      <c r="BM450">
        <v>0.35564895315826828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1</v>
      </c>
    </row>
    <row r="451" spans="1:84" hidden="1" x14ac:dyDescent="0.25">
      <c r="A451" t="s">
        <v>128</v>
      </c>
      <c r="B451" t="s">
        <v>502</v>
      </c>
      <c r="C451" t="s">
        <v>72</v>
      </c>
      <c r="D451" s="12">
        <v>46239</v>
      </c>
      <c r="E451" t="s">
        <v>134</v>
      </c>
      <c r="F451" t="s">
        <v>134</v>
      </c>
      <c r="G451" t="s">
        <v>134</v>
      </c>
      <c r="H451" t="s">
        <v>75</v>
      </c>
      <c r="I451">
        <v>10</v>
      </c>
      <c r="J451">
        <v>2.4017033356990773</v>
      </c>
      <c r="K451">
        <v>46239</v>
      </c>
      <c r="L451" t="s">
        <v>175</v>
      </c>
      <c r="M451">
        <v>0</v>
      </c>
      <c r="N451">
        <v>0</v>
      </c>
      <c r="O451">
        <v>2.0490196078431371</v>
      </c>
      <c r="P451">
        <v>0</v>
      </c>
      <c r="Q451">
        <v>0</v>
      </c>
      <c r="R451">
        <v>0.85315266768645981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0.85315266768645981</v>
      </c>
      <c r="AC451">
        <v>0.14684733231354019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J451">
        <v>0</v>
      </c>
      <c r="BK451">
        <v>0</v>
      </c>
      <c r="BL451">
        <v>1.1721231590493106</v>
      </c>
      <c r="BM451">
        <v>0.17212315904931064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</v>
      </c>
      <c r="CF451">
        <v>1</v>
      </c>
    </row>
    <row r="452" spans="1:84" hidden="1" x14ac:dyDescent="0.25">
      <c r="A452" t="s">
        <v>128</v>
      </c>
      <c r="B452" t="s">
        <v>502</v>
      </c>
      <c r="C452" t="s">
        <v>72</v>
      </c>
      <c r="D452" s="12">
        <v>46237</v>
      </c>
      <c r="E452" t="s">
        <v>134</v>
      </c>
      <c r="F452" t="s">
        <v>134</v>
      </c>
      <c r="G452" t="s">
        <v>134</v>
      </c>
      <c r="H452" t="s">
        <v>73</v>
      </c>
      <c r="I452">
        <v>10</v>
      </c>
      <c r="J452">
        <v>2.6268630234208659</v>
      </c>
      <c r="K452">
        <v>46237</v>
      </c>
      <c r="L452" t="s">
        <v>232</v>
      </c>
      <c r="M452">
        <v>0</v>
      </c>
      <c r="N452">
        <v>0</v>
      </c>
      <c r="O452">
        <v>2.0061274509803924</v>
      </c>
      <c r="P452">
        <v>0</v>
      </c>
      <c r="Q452">
        <v>0</v>
      </c>
      <c r="R452">
        <v>0.76369701544920576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0.76369701544920576</v>
      </c>
      <c r="AC452">
        <v>0.23630298455079424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J452">
        <v>0</v>
      </c>
      <c r="BK452">
        <v>0</v>
      </c>
      <c r="BL452">
        <v>1.3094198088646465</v>
      </c>
      <c r="BM452">
        <v>0.30941980886464648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1</v>
      </c>
    </row>
    <row r="453" spans="1:84" hidden="1" x14ac:dyDescent="0.25">
      <c r="A453" t="s">
        <v>128</v>
      </c>
      <c r="B453" t="s">
        <v>502</v>
      </c>
      <c r="C453" t="s">
        <v>117</v>
      </c>
      <c r="D453" s="12">
        <v>46245</v>
      </c>
      <c r="J453">
        <v>34.976270049925063</v>
      </c>
      <c r="M453">
        <v>72.2</v>
      </c>
      <c r="N453">
        <v>72.2</v>
      </c>
      <c r="O453">
        <v>32.758455882352941</v>
      </c>
      <c r="S453">
        <v>0</v>
      </c>
      <c r="T453">
        <v>0</v>
      </c>
      <c r="U453">
        <v>1.2576824298879936</v>
      </c>
      <c r="V453">
        <v>0</v>
      </c>
      <c r="W453">
        <v>0</v>
      </c>
      <c r="X453">
        <v>0</v>
      </c>
      <c r="Y453">
        <v>9.4527868155392838E-2</v>
      </c>
      <c r="Z453">
        <v>0</v>
      </c>
      <c r="AA453">
        <v>6.6786987058861352E-2</v>
      </c>
      <c r="AB453">
        <v>0.19680360062772589</v>
      </c>
      <c r="AC453">
        <v>0.15793697851525718</v>
      </c>
      <c r="AD453">
        <v>0</v>
      </c>
      <c r="AE453">
        <v>0</v>
      </c>
      <c r="AF453">
        <v>0</v>
      </c>
      <c r="AG453">
        <v>0.64525942085701682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84" hidden="1" x14ac:dyDescent="0.25">
      <c r="A454" t="s">
        <v>128</v>
      </c>
      <c r="B454" t="s">
        <v>502</v>
      </c>
      <c r="C454" t="s">
        <v>72</v>
      </c>
      <c r="D454" s="12">
        <v>46234</v>
      </c>
      <c r="E454" t="s">
        <v>134</v>
      </c>
      <c r="F454" t="s">
        <v>134</v>
      </c>
      <c r="G454" t="s">
        <v>134</v>
      </c>
      <c r="H454" t="s">
        <v>73</v>
      </c>
      <c r="I454">
        <v>10</v>
      </c>
      <c r="J454">
        <v>3.9027679205110006</v>
      </c>
      <c r="K454">
        <v>46234</v>
      </c>
      <c r="L454" t="s">
        <v>213</v>
      </c>
      <c r="M454">
        <v>3.8</v>
      </c>
      <c r="N454">
        <v>3.8</v>
      </c>
      <c r="O454">
        <v>2.0030637254901964</v>
      </c>
      <c r="P454">
        <v>0.97366793962538645</v>
      </c>
      <c r="Q454">
        <v>0.97366793962538645</v>
      </c>
      <c r="R454">
        <v>0.51324182382536587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2.6332060374613553E-2</v>
      </c>
      <c r="AD454">
        <v>0</v>
      </c>
      <c r="AE454">
        <v>0.46042611580002057</v>
      </c>
      <c r="AF454">
        <v>0</v>
      </c>
      <c r="AG454">
        <v>0.51324182382536587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1.0270441896081581</v>
      </c>
      <c r="AN454">
        <v>1.0270441896081581</v>
      </c>
      <c r="AO454">
        <v>0.52712203302373595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2.7044189608158131E-2</v>
      </c>
      <c r="AY454">
        <v>0</v>
      </c>
      <c r="AZ454">
        <v>0</v>
      </c>
      <c r="BA454">
        <v>0</v>
      </c>
      <c r="BB454">
        <v>0.47287796697626405</v>
      </c>
      <c r="BC454">
        <v>0</v>
      </c>
      <c r="BD454">
        <v>0.52712203302373595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1.897093912511471</v>
      </c>
      <c r="BK454">
        <v>1.897093912511471</v>
      </c>
      <c r="BL454">
        <v>1.9483992799859138</v>
      </c>
      <c r="CC454">
        <v>0</v>
      </c>
      <c r="CD454">
        <v>0</v>
      </c>
      <c r="CE454">
        <v>0</v>
      </c>
    </row>
    <row r="455" spans="1:84" hidden="1" x14ac:dyDescent="0.25">
      <c r="A455" t="s">
        <v>128</v>
      </c>
      <c r="B455" t="s">
        <v>502</v>
      </c>
      <c r="C455" t="s">
        <v>117</v>
      </c>
      <c r="D455" s="12">
        <v>46231</v>
      </c>
      <c r="J455">
        <v>34.976270049925063</v>
      </c>
      <c r="M455">
        <v>69.349999999999994</v>
      </c>
      <c r="N455">
        <v>69.349999999999994</v>
      </c>
      <c r="O455">
        <v>34.000922722029983</v>
      </c>
      <c r="S455">
        <v>0</v>
      </c>
      <c r="T455">
        <v>0</v>
      </c>
      <c r="U455">
        <v>0.95019216012722452</v>
      </c>
      <c r="V455">
        <v>0</v>
      </c>
      <c r="W455">
        <v>3.5877545292444746E-2</v>
      </c>
      <c r="X455">
        <v>0</v>
      </c>
      <c r="Y455">
        <v>0.12960004144640325</v>
      </c>
      <c r="Z455">
        <v>0</v>
      </c>
      <c r="AA455">
        <v>5.3792034956565406E-2</v>
      </c>
      <c r="AB455">
        <v>6.0067088887155069E-2</v>
      </c>
      <c r="AC455">
        <v>0.12662180431671541</v>
      </c>
      <c r="AD455">
        <v>0</v>
      </c>
      <c r="AE455">
        <v>6.6741755583446319E-2</v>
      </c>
      <c r="AF455">
        <v>0</v>
      </c>
      <c r="AG455">
        <v>0.74656935121268297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84" hidden="1" x14ac:dyDescent="0.25">
      <c r="A456" t="s">
        <v>128</v>
      </c>
      <c r="B456" t="s">
        <v>502</v>
      </c>
      <c r="C456" t="s">
        <v>117</v>
      </c>
      <c r="D456" s="12">
        <v>46230</v>
      </c>
      <c r="J456">
        <v>33.695950256997243</v>
      </c>
      <c r="M456">
        <v>75.05</v>
      </c>
      <c r="N456">
        <v>75.05</v>
      </c>
      <c r="O456">
        <v>35.857843137254903</v>
      </c>
      <c r="S456">
        <v>0</v>
      </c>
      <c r="T456">
        <v>0</v>
      </c>
      <c r="U456">
        <v>1.1449977227337393</v>
      </c>
      <c r="V456">
        <v>0</v>
      </c>
      <c r="W456">
        <v>5.5889450072789185E-2</v>
      </c>
      <c r="X456">
        <v>0</v>
      </c>
      <c r="Y456">
        <v>0.13452435718650138</v>
      </c>
      <c r="Z456">
        <v>0</v>
      </c>
      <c r="AA456">
        <v>7.0752332131161041E-2</v>
      </c>
      <c r="AB456">
        <v>8.9058854228538098E-2</v>
      </c>
      <c r="AC456">
        <v>8.983438850081206E-2</v>
      </c>
      <c r="AD456">
        <v>0</v>
      </c>
      <c r="AE456">
        <v>3.6420584721479472E-2</v>
      </c>
      <c r="AF456">
        <v>0</v>
      </c>
      <c r="AG456">
        <v>0.78468617254917039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84" hidden="1" x14ac:dyDescent="0.25">
      <c r="A457" t="s">
        <v>128</v>
      </c>
      <c r="B457" t="s">
        <v>502</v>
      </c>
      <c r="C457" t="s">
        <v>109</v>
      </c>
      <c r="D457" s="12">
        <v>46237</v>
      </c>
      <c r="E457" t="s">
        <v>134</v>
      </c>
      <c r="F457" t="s">
        <v>134</v>
      </c>
      <c r="G457" t="s">
        <v>134</v>
      </c>
      <c r="J457">
        <v>7.7504968062455646</v>
      </c>
      <c r="M457">
        <v>0</v>
      </c>
      <c r="N457">
        <v>0</v>
      </c>
      <c r="O457">
        <v>6.1189302191464821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0.78948877370231019</v>
      </c>
      <c r="AC457">
        <v>0.21051122629768973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84" hidden="1" x14ac:dyDescent="0.25">
      <c r="A458" t="s">
        <v>128</v>
      </c>
      <c r="B458" t="s">
        <v>502</v>
      </c>
      <c r="C458" t="s">
        <v>109</v>
      </c>
      <c r="D458" s="12">
        <v>46250</v>
      </c>
      <c r="E458" t="s">
        <v>133</v>
      </c>
      <c r="F458" t="s">
        <v>133</v>
      </c>
      <c r="G458" t="s">
        <v>133</v>
      </c>
      <c r="J458">
        <v>22.513989193638327</v>
      </c>
      <c r="M458">
        <v>47.5</v>
      </c>
      <c r="N458">
        <v>47.5</v>
      </c>
      <c r="O458">
        <v>26.437499999999996</v>
      </c>
      <c r="S458">
        <v>0</v>
      </c>
      <c r="T458">
        <v>0</v>
      </c>
      <c r="U458">
        <v>0.84498468407109784</v>
      </c>
      <c r="V458">
        <v>0</v>
      </c>
      <c r="W458">
        <v>1.4814676293783694E-2</v>
      </c>
      <c r="X458">
        <v>0</v>
      </c>
      <c r="Y458">
        <v>0.15945523085667004</v>
      </c>
      <c r="Z458">
        <v>0</v>
      </c>
      <c r="AA458">
        <v>9.0544769143329942E-2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84" hidden="1" x14ac:dyDescent="0.25">
      <c r="A459" t="s">
        <v>128</v>
      </c>
      <c r="B459" t="s">
        <v>502</v>
      </c>
      <c r="C459" t="s">
        <v>72</v>
      </c>
      <c r="D459" s="12">
        <v>46242</v>
      </c>
      <c r="E459" t="s">
        <v>134</v>
      </c>
      <c r="F459" t="s">
        <v>134</v>
      </c>
      <c r="G459" t="s">
        <v>134</v>
      </c>
      <c r="H459" t="s">
        <v>75</v>
      </c>
      <c r="I459">
        <v>10</v>
      </c>
      <c r="J459">
        <v>2.4017033356990773</v>
      </c>
      <c r="K459">
        <v>46242</v>
      </c>
      <c r="L459" t="s">
        <v>204</v>
      </c>
      <c r="M459">
        <v>0</v>
      </c>
      <c r="N459">
        <v>0</v>
      </c>
      <c r="O459">
        <v>1.9930795847750868</v>
      </c>
      <c r="P459">
        <v>0</v>
      </c>
      <c r="Q459">
        <v>0</v>
      </c>
      <c r="R459">
        <v>0.82986085548111621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0.82986085548111621</v>
      </c>
      <c r="AC459">
        <v>0.17013914451888379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J459">
        <v>0</v>
      </c>
      <c r="BK459">
        <v>0</v>
      </c>
      <c r="BL459">
        <v>1.2050212916962382</v>
      </c>
      <c r="BM459">
        <v>0.20502129169623817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1</v>
      </c>
    </row>
    <row r="460" spans="1:84" hidden="1" x14ac:dyDescent="0.25">
      <c r="A460" t="s">
        <v>128</v>
      </c>
      <c r="B460" t="s">
        <v>502</v>
      </c>
      <c r="C460" t="s">
        <v>109</v>
      </c>
      <c r="D460" s="12">
        <v>46242</v>
      </c>
      <c r="E460" t="s">
        <v>133</v>
      </c>
      <c r="F460" t="s">
        <v>133</v>
      </c>
      <c r="G460" t="s">
        <v>133</v>
      </c>
      <c r="J460">
        <v>22.513989193638331</v>
      </c>
      <c r="M460">
        <v>58.9</v>
      </c>
      <c r="N460">
        <v>58.9</v>
      </c>
      <c r="O460">
        <v>26.249999999999993</v>
      </c>
      <c r="S460">
        <v>0</v>
      </c>
      <c r="T460">
        <v>0</v>
      </c>
      <c r="U460">
        <v>1.3579800521190912</v>
      </c>
      <c r="V460">
        <v>0</v>
      </c>
      <c r="W460">
        <v>8.1711547333614219E-3</v>
      </c>
      <c r="X460">
        <v>0</v>
      </c>
      <c r="Y460">
        <v>0.15777059704723079</v>
      </c>
      <c r="Z460">
        <v>0</v>
      </c>
      <c r="AA460">
        <v>9.2229402952769199E-2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84" hidden="1" x14ac:dyDescent="0.25">
      <c r="A461" t="s">
        <v>128</v>
      </c>
      <c r="B461" t="s">
        <v>502</v>
      </c>
      <c r="C461" t="s">
        <v>109</v>
      </c>
      <c r="D461" s="12">
        <v>46231</v>
      </c>
      <c r="E461" t="s">
        <v>134</v>
      </c>
      <c r="F461" t="s">
        <v>134</v>
      </c>
      <c r="G461" t="s">
        <v>134</v>
      </c>
      <c r="J461">
        <v>9.1014549325762921</v>
      </c>
      <c r="M461">
        <v>6.65</v>
      </c>
      <c r="N461">
        <v>6.65</v>
      </c>
      <c r="O461">
        <v>6.0009227220299888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8.4841254059786764E-2</v>
      </c>
      <c r="AB461">
        <v>0.23083372247554418</v>
      </c>
      <c r="AC461">
        <v>0.12335511949592334</v>
      </c>
      <c r="AD461">
        <v>0</v>
      </c>
      <c r="AE461">
        <v>0.21730823966094678</v>
      </c>
      <c r="AF461">
        <v>0</v>
      </c>
      <c r="AG461">
        <v>0.42850291836758586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84" hidden="1" x14ac:dyDescent="0.25">
      <c r="A462" t="s">
        <v>128</v>
      </c>
      <c r="B462" t="s">
        <v>502</v>
      </c>
      <c r="C462" t="s">
        <v>109</v>
      </c>
      <c r="D462" s="12">
        <v>46231</v>
      </c>
      <c r="E462" t="s">
        <v>501</v>
      </c>
      <c r="F462" t="s">
        <v>501</v>
      </c>
      <c r="G462" t="s">
        <v>501</v>
      </c>
      <c r="J462">
        <v>3.3060473611954952</v>
      </c>
      <c r="M462">
        <v>0</v>
      </c>
      <c r="N462">
        <v>0</v>
      </c>
      <c r="O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84" hidden="1" x14ac:dyDescent="0.25">
      <c r="A463" t="s">
        <v>128</v>
      </c>
      <c r="B463" t="s">
        <v>502</v>
      </c>
      <c r="C463" t="s">
        <v>109</v>
      </c>
      <c r="D463" s="12">
        <v>46242</v>
      </c>
      <c r="E463" t="s">
        <v>501</v>
      </c>
      <c r="F463" t="s">
        <v>501</v>
      </c>
      <c r="G463" t="s">
        <v>501</v>
      </c>
      <c r="J463">
        <v>3.3060473611954952</v>
      </c>
      <c r="M463">
        <v>0</v>
      </c>
      <c r="N463">
        <v>0</v>
      </c>
      <c r="O463">
        <v>1.8166089965397925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0.5494806329340941</v>
      </c>
      <c r="AC463">
        <v>0.45051936706590595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84" hidden="1" x14ac:dyDescent="0.25">
      <c r="A464" t="s">
        <v>128</v>
      </c>
      <c r="B464" t="s">
        <v>502</v>
      </c>
      <c r="C464" t="s">
        <v>109</v>
      </c>
      <c r="D464" s="12">
        <v>46231</v>
      </c>
      <c r="E464" t="s">
        <v>133</v>
      </c>
      <c r="F464" t="s">
        <v>133</v>
      </c>
      <c r="G464" t="s">
        <v>133</v>
      </c>
      <c r="J464">
        <v>22.568767756153267</v>
      </c>
      <c r="M464">
        <v>62.699999999999996</v>
      </c>
      <c r="N464">
        <v>62.699999999999996</v>
      </c>
      <c r="O464">
        <v>27.999999999999996</v>
      </c>
      <c r="S464">
        <v>0</v>
      </c>
      <c r="T464">
        <v>0</v>
      </c>
      <c r="U464">
        <v>1.4725738662834307</v>
      </c>
      <c r="V464">
        <v>0</v>
      </c>
      <c r="W464">
        <v>5.560173804947028E-2</v>
      </c>
      <c r="X464">
        <v>0</v>
      </c>
      <c r="Y464">
        <v>0.20084951456310679</v>
      </c>
      <c r="Z464">
        <v>0</v>
      </c>
      <c r="AA464">
        <v>4.9150485436893203E-2</v>
      </c>
      <c r="AB464">
        <v>0</v>
      </c>
      <c r="AC464">
        <v>0</v>
      </c>
      <c r="AD464">
        <v>0</v>
      </c>
      <c r="AE464">
        <v>1.5798670135364536E-2</v>
      </c>
      <c r="AF464">
        <v>0</v>
      </c>
      <c r="AG464">
        <v>0.98420132986463538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25">
      <c r="A465" t="s">
        <v>128</v>
      </c>
      <c r="B465" t="s">
        <v>502</v>
      </c>
      <c r="C465" t="s">
        <v>109</v>
      </c>
      <c r="D465" s="12">
        <v>46230</v>
      </c>
      <c r="E465" t="s">
        <v>134</v>
      </c>
      <c r="F465" t="s">
        <v>134</v>
      </c>
      <c r="G465" t="s">
        <v>134</v>
      </c>
      <c r="J465">
        <v>7.8211351396484776</v>
      </c>
      <c r="M465">
        <v>8.5500000000000007</v>
      </c>
      <c r="N465">
        <v>8.5500000000000007</v>
      </c>
      <c r="O465">
        <v>6.1189302191464829</v>
      </c>
      <c r="S465">
        <v>0</v>
      </c>
      <c r="T465">
        <v>0</v>
      </c>
      <c r="U465">
        <v>0.27821973351610302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0.16299439280472661</v>
      </c>
      <c r="AB465">
        <v>0.25672016931101704</v>
      </c>
      <c r="AC465">
        <v>9.1302259470076585E-2</v>
      </c>
      <c r="AD465">
        <v>0</v>
      </c>
      <c r="AE465">
        <v>0.12633941147776762</v>
      </c>
      <c r="AF465">
        <v>0</v>
      </c>
      <c r="AG465">
        <v>0.52563815974113892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128</v>
      </c>
      <c r="B466" t="s">
        <v>502</v>
      </c>
      <c r="C466" t="s">
        <v>109</v>
      </c>
      <c r="D466" s="12">
        <v>46242</v>
      </c>
      <c r="E466" t="s">
        <v>134</v>
      </c>
      <c r="F466" t="s">
        <v>134</v>
      </c>
      <c r="G466" t="s">
        <v>134</v>
      </c>
      <c r="J466">
        <v>5.1236337828246983</v>
      </c>
      <c r="M466">
        <v>0</v>
      </c>
      <c r="N466">
        <v>0</v>
      </c>
      <c r="O466">
        <v>6.0009227220299888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0.78087601331730028</v>
      </c>
      <c r="AC466">
        <v>0.2191239866826997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25">
      <c r="A467" t="s">
        <v>128</v>
      </c>
      <c r="B467" t="s">
        <v>502</v>
      </c>
      <c r="C467" t="s">
        <v>109</v>
      </c>
      <c r="D467" s="12">
        <v>46230</v>
      </c>
      <c r="E467" t="s">
        <v>501</v>
      </c>
      <c r="F467" t="s">
        <v>501</v>
      </c>
      <c r="G467" t="s">
        <v>501</v>
      </c>
      <c r="J467">
        <v>3.3060473611954952</v>
      </c>
      <c r="M467">
        <v>0</v>
      </c>
      <c r="N467">
        <v>0</v>
      </c>
      <c r="O467">
        <v>0.9930795847750864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0.30038274600397141</v>
      </c>
      <c r="AC467">
        <v>0.6996172539960287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hidden="1" x14ac:dyDescent="0.25">
      <c r="A468" t="s">
        <v>128</v>
      </c>
      <c r="B468" t="s">
        <v>502</v>
      </c>
      <c r="C468" t="s">
        <v>109</v>
      </c>
      <c r="D468" s="12">
        <v>46243</v>
      </c>
      <c r="E468" t="s">
        <v>133</v>
      </c>
      <c r="F468" t="s">
        <v>133</v>
      </c>
      <c r="G468" t="s">
        <v>133</v>
      </c>
      <c r="J468">
        <v>22.513989193638327</v>
      </c>
      <c r="M468">
        <v>72.2</v>
      </c>
      <c r="N468">
        <v>72.2</v>
      </c>
      <c r="O468">
        <v>27.249999999999996</v>
      </c>
      <c r="S468">
        <v>0</v>
      </c>
      <c r="T468">
        <v>0</v>
      </c>
      <c r="U468">
        <v>1.9418719995470293</v>
      </c>
      <c r="V468">
        <v>0</v>
      </c>
      <c r="W468">
        <v>1.5023028207590565E-2</v>
      </c>
      <c r="X468">
        <v>0</v>
      </c>
      <c r="Y468">
        <v>0.19533555221226237</v>
      </c>
      <c r="Z468">
        <v>0</v>
      </c>
      <c r="AA468">
        <v>5.4664447787737616E-2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128</v>
      </c>
      <c r="B469" t="s">
        <v>502</v>
      </c>
      <c r="C469" t="s">
        <v>109</v>
      </c>
      <c r="D469" s="12">
        <v>46230</v>
      </c>
      <c r="E469" t="s">
        <v>133</v>
      </c>
      <c r="F469" t="s">
        <v>133</v>
      </c>
      <c r="G469" t="s">
        <v>133</v>
      </c>
      <c r="J469">
        <v>22.568767756153267</v>
      </c>
      <c r="M469">
        <v>66.5</v>
      </c>
      <c r="N469">
        <v>66.5</v>
      </c>
      <c r="O469">
        <v>28.745833333333334</v>
      </c>
      <c r="S469">
        <v>0</v>
      </c>
      <c r="T469">
        <v>0</v>
      </c>
      <c r="U469">
        <v>1.6131050028346767</v>
      </c>
      <c r="V469">
        <v>0</v>
      </c>
      <c r="W469">
        <v>8.3444880548703276E-2</v>
      </c>
      <c r="X469">
        <v>0</v>
      </c>
      <c r="Y469">
        <v>0.20084951456310679</v>
      </c>
      <c r="Z469">
        <v>0</v>
      </c>
      <c r="AA469">
        <v>4.9150485436893203E-2</v>
      </c>
      <c r="AB469">
        <v>0</v>
      </c>
      <c r="AC469">
        <v>0</v>
      </c>
      <c r="AD469">
        <v>0</v>
      </c>
      <c r="AE469">
        <v>1.0594667952540647E-2</v>
      </c>
      <c r="AF469">
        <v>0</v>
      </c>
      <c r="AG469">
        <v>0.9894053320474594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25">
      <c r="A470" t="s">
        <v>128</v>
      </c>
      <c r="B470" t="s">
        <v>502</v>
      </c>
      <c r="C470" t="s">
        <v>109</v>
      </c>
      <c r="D470" s="12">
        <v>46229</v>
      </c>
      <c r="E470" t="s">
        <v>134</v>
      </c>
      <c r="F470" t="s">
        <v>134</v>
      </c>
      <c r="G470" t="s">
        <v>134</v>
      </c>
      <c r="J470">
        <v>5.1236337828246974</v>
      </c>
      <c r="M470">
        <v>6.65</v>
      </c>
      <c r="N470">
        <v>6.65</v>
      </c>
      <c r="O470">
        <v>5.0078431372549019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0.39187873731052714</v>
      </c>
      <c r="AC470">
        <v>0.2372906997462105</v>
      </c>
      <c r="AD470">
        <v>0</v>
      </c>
      <c r="AE470">
        <v>3.4442467146433495E-3</v>
      </c>
      <c r="AF470">
        <v>0</v>
      </c>
      <c r="AG470">
        <v>0.36738631622861911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hidden="1" x14ac:dyDescent="0.25">
      <c r="A471" t="s">
        <v>128</v>
      </c>
      <c r="B471" t="s">
        <v>502</v>
      </c>
      <c r="C471" t="s">
        <v>109</v>
      </c>
      <c r="D471" s="12">
        <v>46232</v>
      </c>
      <c r="E471" t="s">
        <v>133</v>
      </c>
      <c r="F471" t="s">
        <v>133</v>
      </c>
      <c r="G471" t="s">
        <v>133</v>
      </c>
      <c r="J471">
        <v>22.568767756153267</v>
      </c>
      <c r="M471">
        <v>64.599999999999994</v>
      </c>
      <c r="N471">
        <v>64.599999999999994</v>
      </c>
      <c r="O471">
        <v>26.812499999999993</v>
      </c>
      <c r="S471">
        <v>0</v>
      </c>
      <c r="T471">
        <v>0</v>
      </c>
      <c r="U471">
        <v>1.5907866027317481</v>
      </c>
      <c r="V471">
        <v>0</v>
      </c>
      <c r="W471">
        <v>2.1576141126392733E-2</v>
      </c>
      <c r="X471">
        <v>0</v>
      </c>
      <c r="Y471">
        <v>0.18225814928290962</v>
      </c>
      <c r="Z471">
        <v>0</v>
      </c>
      <c r="AA471">
        <v>6.7741850717090393E-2</v>
      </c>
      <c r="AB471">
        <v>0</v>
      </c>
      <c r="AC471">
        <v>0</v>
      </c>
      <c r="AD471">
        <v>0</v>
      </c>
      <c r="AE471">
        <v>1.5798670135364536E-2</v>
      </c>
      <c r="AF471">
        <v>0</v>
      </c>
      <c r="AG471">
        <v>0.98420132986463538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hidden="1" x14ac:dyDescent="0.25">
      <c r="A472" t="s">
        <v>128</v>
      </c>
      <c r="B472" t="s">
        <v>502</v>
      </c>
      <c r="C472" t="s">
        <v>109</v>
      </c>
      <c r="D472" s="12">
        <v>46243</v>
      </c>
      <c r="E472" t="s">
        <v>501</v>
      </c>
      <c r="F472" t="s">
        <v>501</v>
      </c>
      <c r="G472" t="s">
        <v>501</v>
      </c>
      <c r="J472">
        <v>3.3060473611954952</v>
      </c>
      <c r="M472">
        <v>0</v>
      </c>
      <c r="N472">
        <v>0</v>
      </c>
      <c r="O472">
        <v>1.8166089965397922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0.5494806329340941</v>
      </c>
      <c r="AC472">
        <v>0.45051936706590601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hidden="1" x14ac:dyDescent="0.25">
      <c r="A473" t="s">
        <v>128</v>
      </c>
      <c r="B473" t="s">
        <v>502</v>
      </c>
      <c r="C473" t="s">
        <v>109</v>
      </c>
      <c r="D473" s="12">
        <v>46243</v>
      </c>
      <c r="E473" t="s">
        <v>134</v>
      </c>
      <c r="F473" t="s">
        <v>134</v>
      </c>
      <c r="G473" t="s">
        <v>134</v>
      </c>
      <c r="J473">
        <v>5.1236337828246974</v>
      </c>
      <c r="M473">
        <v>0</v>
      </c>
      <c r="N473">
        <v>0</v>
      </c>
      <c r="O473">
        <v>6.0009227220299888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0.78087601331730039</v>
      </c>
      <c r="AC473">
        <v>0.21912398668269975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hidden="1" x14ac:dyDescent="0.25">
      <c r="A474" t="s">
        <v>128</v>
      </c>
      <c r="B474" t="s">
        <v>502</v>
      </c>
      <c r="C474" t="s">
        <v>109</v>
      </c>
      <c r="D474" s="12">
        <v>46229</v>
      </c>
      <c r="E474" t="s">
        <v>133</v>
      </c>
      <c r="F474" t="s">
        <v>133</v>
      </c>
      <c r="G474" t="s">
        <v>133</v>
      </c>
      <c r="J474">
        <v>22.513989193638327</v>
      </c>
      <c r="M474">
        <v>53.199999999999996</v>
      </c>
      <c r="N474">
        <v>53.199999999999996</v>
      </c>
      <c r="O474">
        <v>26.874999999999996</v>
      </c>
      <c r="S474">
        <v>0</v>
      </c>
      <c r="T474">
        <v>0</v>
      </c>
      <c r="U474">
        <v>1.0878371647209928</v>
      </c>
      <c r="V474">
        <v>0</v>
      </c>
      <c r="W474">
        <v>2.5138118887674393E-2</v>
      </c>
      <c r="X474">
        <v>0</v>
      </c>
      <c r="Y474">
        <v>0.1685641507924559</v>
      </c>
      <c r="Z474">
        <v>0</v>
      </c>
      <c r="AA474">
        <v>8.1435849207544111E-2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25">
      <c r="A475" t="s">
        <v>128</v>
      </c>
      <c r="B475" t="s">
        <v>502</v>
      </c>
      <c r="C475" t="s">
        <v>109</v>
      </c>
      <c r="D475" s="12">
        <v>46228</v>
      </c>
      <c r="E475" t="s">
        <v>134</v>
      </c>
      <c r="F475" t="s">
        <v>134</v>
      </c>
      <c r="G475" t="s">
        <v>134</v>
      </c>
      <c r="J475">
        <v>5.1236337828246974</v>
      </c>
      <c r="M475">
        <v>5.6999999999999993</v>
      </c>
      <c r="N475">
        <v>5.6999999999999993</v>
      </c>
      <c r="O475">
        <v>5.0078431372549019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8.7495844414893595E-2</v>
      </c>
      <c r="AB475">
        <v>0.39187873731052714</v>
      </c>
      <c r="AC475">
        <v>0.13937126268947297</v>
      </c>
      <c r="AD475">
        <v>0</v>
      </c>
      <c r="AE475">
        <v>0.10136368377138087</v>
      </c>
      <c r="AF475">
        <v>0</v>
      </c>
      <c r="AG475">
        <v>0.36738631622861911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128</v>
      </c>
      <c r="B476" t="s">
        <v>502</v>
      </c>
      <c r="C476" t="s">
        <v>109</v>
      </c>
      <c r="D476" s="12">
        <v>46244</v>
      </c>
      <c r="E476" t="s">
        <v>133</v>
      </c>
      <c r="F476" t="s">
        <v>133</v>
      </c>
      <c r="G476" t="s">
        <v>133</v>
      </c>
      <c r="J476">
        <v>22.568767756153267</v>
      </c>
      <c r="M476">
        <v>51.3</v>
      </c>
      <c r="N476">
        <v>51.3</v>
      </c>
      <c r="O476">
        <v>26.8125</v>
      </c>
      <c r="S476">
        <v>0</v>
      </c>
      <c r="T476">
        <v>0</v>
      </c>
      <c r="U476">
        <v>1.0230527671814647</v>
      </c>
      <c r="V476">
        <v>0</v>
      </c>
      <c r="W476">
        <v>0</v>
      </c>
      <c r="X476">
        <v>0</v>
      </c>
      <c r="Y476">
        <v>0.18803562027393805</v>
      </c>
      <c r="Z476">
        <v>0</v>
      </c>
      <c r="AA476">
        <v>6.1964379726061961E-2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hidden="1" x14ac:dyDescent="0.25">
      <c r="A477" t="s">
        <v>128</v>
      </c>
      <c r="B477" t="s">
        <v>502</v>
      </c>
      <c r="C477" t="s">
        <v>109</v>
      </c>
      <c r="D477" s="12">
        <v>46244</v>
      </c>
      <c r="E477" t="s">
        <v>501</v>
      </c>
      <c r="F477" t="s">
        <v>501</v>
      </c>
      <c r="G477" t="s">
        <v>501</v>
      </c>
      <c r="J477">
        <v>3.3060473611954957</v>
      </c>
      <c r="M477">
        <v>0</v>
      </c>
      <c r="N477">
        <v>0</v>
      </c>
      <c r="O477">
        <v>0.82352941176470573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0.24909788693012258</v>
      </c>
      <c r="AC477">
        <v>0.75090211306987742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128</v>
      </c>
      <c r="B478" t="s">
        <v>502</v>
      </c>
      <c r="C478" t="s">
        <v>109</v>
      </c>
      <c r="D478" s="12">
        <v>46228</v>
      </c>
      <c r="E478" t="s">
        <v>501</v>
      </c>
      <c r="F478" t="s">
        <v>501</v>
      </c>
      <c r="G478" t="s">
        <v>501</v>
      </c>
      <c r="J478">
        <v>3.3060473611954952</v>
      </c>
      <c r="M478">
        <v>0</v>
      </c>
      <c r="N478">
        <v>0</v>
      </c>
      <c r="O478">
        <v>1.9861591695501728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0.60076549200794283</v>
      </c>
      <c r="AC478">
        <v>0.39923450799205723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128</v>
      </c>
      <c r="B479" t="s">
        <v>502</v>
      </c>
      <c r="C479" t="s">
        <v>109</v>
      </c>
      <c r="D479" s="12">
        <v>46228</v>
      </c>
      <c r="E479" t="s">
        <v>133</v>
      </c>
      <c r="F479" t="s">
        <v>133</v>
      </c>
      <c r="G479" t="s">
        <v>133</v>
      </c>
      <c r="J479">
        <v>22.513989193638327</v>
      </c>
      <c r="M479">
        <v>60.8</v>
      </c>
      <c r="N479">
        <v>60.8</v>
      </c>
      <c r="O479">
        <v>26.9375</v>
      </c>
      <c r="S479">
        <v>0</v>
      </c>
      <c r="T479">
        <v>0</v>
      </c>
      <c r="U479">
        <v>1.4227909469438338</v>
      </c>
      <c r="V479">
        <v>0</v>
      </c>
      <c r="W479">
        <v>2.7752234323214289E-2</v>
      </c>
      <c r="X479">
        <v>0</v>
      </c>
      <c r="Y479">
        <v>0.16872608714686976</v>
      </c>
      <c r="Z479">
        <v>0</v>
      </c>
      <c r="AA479">
        <v>8.1273912853130237E-2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128</v>
      </c>
      <c r="B480" t="s">
        <v>502</v>
      </c>
      <c r="C480" t="s">
        <v>109</v>
      </c>
      <c r="D480" s="12">
        <v>46227</v>
      </c>
      <c r="E480" t="s">
        <v>134</v>
      </c>
      <c r="F480" t="s">
        <v>134</v>
      </c>
      <c r="G480" t="s">
        <v>134</v>
      </c>
      <c r="J480">
        <v>9.1014549325762921</v>
      </c>
      <c r="M480">
        <v>6.6499999999999995</v>
      </c>
      <c r="N480">
        <v>6.6499999999999995</v>
      </c>
      <c r="O480">
        <v>5.066846885813149</v>
      </c>
      <c r="S480">
        <v>0</v>
      </c>
      <c r="T480">
        <v>0</v>
      </c>
      <c r="U480">
        <v>8.7664097255525888E-2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6.5970313358988467E-2</v>
      </c>
      <c r="AB480">
        <v>0.22060683177898835</v>
      </c>
      <c r="AC480">
        <v>0.20237516674720674</v>
      </c>
      <c r="AD480">
        <v>0</v>
      </c>
      <c r="AE480">
        <v>0.2409174800495503</v>
      </c>
      <c r="AF480">
        <v>0</v>
      </c>
      <c r="AG480">
        <v>0.33610052142425473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25">
      <c r="A481" t="s">
        <v>128</v>
      </c>
      <c r="B481" t="s">
        <v>502</v>
      </c>
      <c r="C481" t="s">
        <v>109</v>
      </c>
      <c r="D481" s="12">
        <v>46244</v>
      </c>
      <c r="E481" t="s">
        <v>134</v>
      </c>
      <c r="F481" t="s">
        <v>134</v>
      </c>
      <c r="G481" t="s">
        <v>134</v>
      </c>
      <c r="J481">
        <v>7.8211351396484785</v>
      </c>
      <c r="M481">
        <v>0</v>
      </c>
      <c r="N481">
        <v>0</v>
      </c>
      <c r="O481">
        <v>6.0599264705882359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0.77481418776003907</v>
      </c>
      <c r="AC481">
        <v>0.2251858122399609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hidden="1" x14ac:dyDescent="0.25">
      <c r="A482" t="s">
        <v>128</v>
      </c>
      <c r="B482" t="s">
        <v>502</v>
      </c>
      <c r="C482" t="s">
        <v>109</v>
      </c>
      <c r="D482" s="12">
        <v>46227</v>
      </c>
      <c r="E482" t="s">
        <v>501</v>
      </c>
      <c r="F482" t="s">
        <v>501</v>
      </c>
      <c r="G482" t="s">
        <v>501</v>
      </c>
      <c r="J482">
        <v>3.3060473611954952</v>
      </c>
      <c r="M482">
        <v>0</v>
      </c>
      <c r="N482">
        <v>0</v>
      </c>
      <c r="O482">
        <v>1.9861591695501728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0.60076549200794283</v>
      </c>
      <c r="AC482">
        <v>0.39923450799205723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hidden="1" x14ac:dyDescent="0.25">
      <c r="A483" t="s">
        <v>128</v>
      </c>
      <c r="B483" t="s">
        <v>502</v>
      </c>
      <c r="C483" t="s">
        <v>109</v>
      </c>
      <c r="D483" s="12">
        <v>46245</v>
      </c>
      <c r="E483" t="s">
        <v>133</v>
      </c>
      <c r="F483" t="s">
        <v>133</v>
      </c>
      <c r="G483" t="s">
        <v>133</v>
      </c>
      <c r="J483">
        <v>22.568767756153267</v>
      </c>
      <c r="M483">
        <v>72.2</v>
      </c>
      <c r="N483">
        <v>72.2</v>
      </c>
      <c r="O483">
        <v>25.875</v>
      </c>
      <c r="S483">
        <v>0</v>
      </c>
      <c r="T483">
        <v>0</v>
      </c>
      <c r="U483">
        <v>1.9491113019590982</v>
      </c>
      <c r="V483">
        <v>0</v>
      </c>
      <c r="W483">
        <v>0</v>
      </c>
      <c r="X483">
        <v>0</v>
      </c>
      <c r="Y483">
        <v>0.14649591327135275</v>
      </c>
      <c r="Z483">
        <v>0</v>
      </c>
      <c r="AA483">
        <v>0.10350408672864723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128</v>
      </c>
      <c r="B484" t="s">
        <v>502</v>
      </c>
      <c r="C484" t="s">
        <v>109</v>
      </c>
      <c r="D484" s="12">
        <v>46229</v>
      </c>
      <c r="E484" t="s">
        <v>501</v>
      </c>
      <c r="F484" t="s">
        <v>501</v>
      </c>
      <c r="G484" t="s">
        <v>501</v>
      </c>
      <c r="J484">
        <v>3.3060473611954952</v>
      </c>
      <c r="M484">
        <v>0</v>
      </c>
      <c r="N484">
        <v>0</v>
      </c>
      <c r="O484">
        <v>1.9861591695501728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0.60076549200794283</v>
      </c>
      <c r="AC484">
        <v>0.39923450799205723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hidden="1" x14ac:dyDescent="0.25">
      <c r="A485" t="s">
        <v>128</v>
      </c>
      <c r="B485" t="s">
        <v>502</v>
      </c>
      <c r="C485" t="s">
        <v>109</v>
      </c>
      <c r="D485" s="12">
        <v>46227</v>
      </c>
      <c r="E485" t="s">
        <v>133</v>
      </c>
      <c r="F485" t="s">
        <v>133</v>
      </c>
      <c r="G485" t="s">
        <v>133</v>
      </c>
      <c r="J485">
        <v>22.459210631123391</v>
      </c>
      <c r="M485">
        <v>68.400000000000006</v>
      </c>
      <c r="N485">
        <v>68.400000000000006</v>
      </c>
      <c r="O485">
        <v>27.218749999999996</v>
      </c>
      <c r="S485">
        <v>0</v>
      </c>
      <c r="T485">
        <v>0</v>
      </c>
      <c r="U485">
        <v>1.7132668761970493</v>
      </c>
      <c r="V485">
        <v>0</v>
      </c>
      <c r="W485">
        <v>8.2254229750149899E-2</v>
      </c>
      <c r="X485">
        <v>0</v>
      </c>
      <c r="Y485">
        <v>0.12966503344429917</v>
      </c>
      <c r="Z485">
        <v>0</v>
      </c>
      <c r="AA485">
        <v>0.12033496655570085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25">
      <c r="A486" t="s">
        <v>128</v>
      </c>
      <c r="B486" t="s">
        <v>502</v>
      </c>
      <c r="C486" t="s">
        <v>109</v>
      </c>
      <c r="D486" s="12">
        <v>46232</v>
      </c>
      <c r="E486" t="s">
        <v>501</v>
      </c>
      <c r="F486" t="s">
        <v>501</v>
      </c>
      <c r="G486" t="s">
        <v>501</v>
      </c>
      <c r="J486">
        <v>3.2416019935308658</v>
      </c>
      <c r="M486">
        <v>0</v>
      </c>
      <c r="N486">
        <v>0</v>
      </c>
      <c r="O486">
        <v>0.74999999999999989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0.2313670837742402</v>
      </c>
      <c r="AC486">
        <v>0.7686329162257598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hidden="1" x14ac:dyDescent="0.25">
      <c r="A487" t="s">
        <v>128</v>
      </c>
      <c r="B487" t="s">
        <v>502</v>
      </c>
      <c r="C487" t="s">
        <v>109</v>
      </c>
      <c r="D487" s="12">
        <v>46241</v>
      </c>
      <c r="E487" t="s">
        <v>501</v>
      </c>
      <c r="F487" t="s">
        <v>501</v>
      </c>
      <c r="G487" t="s">
        <v>501</v>
      </c>
      <c r="J487">
        <v>3.3060473611954952</v>
      </c>
      <c r="M487">
        <v>0</v>
      </c>
      <c r="N487">
        <v>0</v>
      </c>
      <c r="O487">
        <v>0.9930795847750864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0.30038274600397141</v>
      </c>
      <c r="AC487">
        <v>0.69961725399602859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128</v>
      </c>
      <c r="B488" t="s">
        <v>502</v>
      </c>
      <c r="C488" t="s">
        <v>109</v>
      </c>
      <c r="D488" s="12">
        <v>46237</v>
      </c>
      <c r="E488" t="s">
        <v>501</v>
      </c>
      <c r="F488" t="s">
        <v>501</v>
      </c>
      <c r="G488" t="s">
        <v>501</v>
      </c>
      <c r="J488">
        <v>3.3060473611954952</v>
      </c>
      <c r="M488">
        <v>0</v>
      </c>
      <c r="N488">
        <v>0</v>
      </c>
      <c r="O488">
        <v>1.7750865051903115</v>
      </c>
      <c r="S488">
        <v>4.6895783492724129E-2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5.3378118627883421E-2</v>
      </c>
      <c r="AC488">
        <v>0.50997470788283794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0.43664717348927873</v>
      </c>
      <c r="AL488">
        <v>0</v>
      </c>
    </row>
    <row r="489" spans="1:38" hidden="1" x14ac:dyDescent="0.25">
      <c r="A489" t="s">
        <v>128</v>
      </c>
      <c r="B489" t="s">
        <v>502</v>
      </c>
      <c r="C489" t="s">
        <v>109</v>
      </c>
      <c r="D489" s="12">
        <v>46238</v>
      </c>
      <c r="E489" t="s">
        <v>501</v>
      </c>
      <c r="F489" t="s">
        <v>501</v>
      </c>
      <c r="G489" t="s">
        <v>501</v>
      </c>
      <c r="J489">
        <v>3.3060473611954952</v>
      </c>
      <c r="M489">
        <v>0</v>
      </c>
      <c r="N489">
        <v>0</v>
      </c>
      <c r="O489">
        <v>2.8062283737024218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0.8488167491610481</v>
      </c>
      <c r="AC489">
        <v>0.15118325083895184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128</v>
      </c>
      <c r="B490" t="s">
        <v>502</v>
      </c>
      <c r="C490" t="s">
        <v>109</v>
      </c>
      <c r="D490" s="12">
        <v>46237</v>
      </c>
      <c r="E490" t="s">
        <v>133</v>
      </c>
      <c r="F490" t="s">
        <v>133</v>
      </c>
      <c r="G490" t="s">
        <v>133</v>
      </c>
      <c r="J490">
        <v>22.513989193638331</v>
      </c>
      <c r="M490">
        <v>51.3</v>
      </c>
      <c r="N490">
        <v>51.3</v>
      </c>
      <c r="O490">
        <v>26.120833333333334</v>
      </c>
      <c r="S490">
        <v>0</v>
      </c>
      <c r="T490">
        <v>0</v>
      </c>
      <c r="U490">
        <v>1.0165214028957652</v>
      </c>
      <c r="V490">
        <v>0</v>
      </c>
      <c r="W490">
        <v>1.2061906298306535E-2</v>
      </c>
      <c r="X490">
        <v>0</v>
      </c>
      <c r="Y490">
        <v>0.16266694034611756</v>
      </c>
      <c r="Z490">
        <v>0</v>
      </c>
      <c r="AA490">
        <v>8.7333059653882411E-2</v>
      </c>
      <c r="AB490">
        <v>0</v>
      </c>
      <c r="AC490">
        <v>0</v>
      </c>
      <c r="AD490">
        <v>0</v>
      </c>
      <c r="AE490">
        <v>1.4524268563069632E-2</v>
      </c>
      <c r="AF490">
        <v>0</v>
      </c>
      <c r="AG490">
        <v>0.98547573143693035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25">
      <c r="A491" t="s">
        <v>128</v>
      </c>
      <c r="B491" t="s">
        <v>502</v>
      </c>
      <c r="C491" t="s">
        <v>109</v>
      </c>
      <c r="D491" s="12">
        <v>46236</v>
      </c>
      <c r="E491" t="s">
        <v>134</v>
      </c>
      <c r="F491" t="s">
        <v>134</v>
      </c>
      <c r="G491" t="s">
        <v>134</v>
      </c>
      <c r="J491">
        <v>5.1236337828246974</v>
      </c>
      <c r="M491">
        <v>5.7</v>
      </c>
      <c r="N491">
        <v>5.7</v>
      </c>
      <c r="O491">
        <v>6.0009227220299888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0.59546073184566917</v>
      </c>
      <c r="AC491">
        <v>0.21912398668269975</v>
      </c>
      <c r="AD491">
        <v>0</v>
      </c>
      <c r="AE491">
        <v>0</v>
      </c>
      <c r="AF491">
        <v>0</v>
      </c>
      <c r="AG491">
        <v>0.18541528147163125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hidden="1" x14ac:dyDescent="0.25">
      <c r="A492" t="s">
        <v>128</v>
      </c>
      <c r="B492" t="s">
        <v>502</v>
      </c>
      <c r="C492" t="s">
        <v>109</v>
      </c>
      <c r="D492" s="12">
        <v>46238</v>
      </c>
      <c r="E492" t="s">
        <v>134</v>
      </c>
      <c r="F492" t="s">
        <v>134</v>
      </c>
      <c r="G492" t="s">
        <v>134</v>
      </c>
      <c r="J492">
        <v>9.0264017033356989</v>
      </c>
      <c r="M492">
        <v>0</v>
      </c>
      <c r="N492">
        <v>0</v>
      </c>
      <c r="O492">
        <v>6.1189302191464829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0.67789252243064224</v>
      </c>
      <c r="AC492">
        <v>0.3221074775693577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hidden="1" x14ac:dyDescent="0.25">
      <c r="A493" t="s">
        <v>128</v>
      </c>
      <c r="B493" t="s">
        <v>502</v>
      </c>
      <c r="C493" t="s">
        <v>109</v>
      </c>
      <c r="D493" s="12">
        <v>46236</v>
      </c>
      <c r="E493" t="s">
        <v>501</v>
      </c>
      <c r="F493" t="s">
        <v>501</v>
      </c>
      <c r="G493" t="s">
        <v>501</v>
      </c>
      <c r="J493">
        <v>3.3060473611954952</v>
      </c>
      <c r="M493">
        <v>0</v>
      </c>
      <c r="N493">
        <v>0</v>
      </c>
      <c r="O493">
        <v>1.9861591695501735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0.60076549200794305</v>
      </c>
      <c r="AC493">
        <v>0.39923450799205701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hidden="1" x14ac:dyDescent="0.25">
      <c r="A494" t="s">
        <v>128</v>
      </c>
      <c r="B494" t="s">
        <v>502</v>
      </c>
      <c r="C494" t="s">
        <v>109</v>
      </c>
      <c r="D494" s="12">
        <v>46239</v>
      </c>
      <c r="E494" t="s">
        <v>133</v>
      </c>
      <c r="F494" t="s">
        <v>133</v>
      </c>
      <c r="G494" t="s">
        <v>133</v>
      </c>
      <c r="J494">
        <v>22.459210631123394</v>
      </c>
      <c r="M494">
        <v>60.8</v>
      </c>
      <c r="N494">
        <v>60.8</v>
      </c>
      <c r="O494">
        <v>27.246527777777779</v>
      </c>
      <c r="S494">
        <v>0</v>
      </c>
      <c r="T494">
        <v>0</v>
      </c>
      <c r="U494">
        <v>1.4065000586753187</v>
      </c>
      <c r="V494">
        <v>0</v>
      </c>
      <c r="W494">
        <v>5.0629813277746821E-2</v>
      </c>
      <c r="X494">
        <v>0</v>
      </c>
      <c r="Y494">
        <v>0.16252625998247044</v>
      </c>
      <c r="Z494">
        <v>0</v>
      </c>
      <c r="AA494">
        <v>8.7473740017529542E-2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25">
      <c r="A495" t="s">
        <v>128</v>
      </c>
      <c r="B495" t="s">
        <v>502</v>
      </c>
      <c r="C495" t="s">
        <v>109</v>
      </c>
      <c r="D495" s="12">
        <v>46236</v>
      </c>
      <c r="E495" t="s">
        <v>133</v>
      </c>
      <c r="F495" t="s">
        <v>133</v>
      </c>
      <c r="G495" t="s">
        <v>133</v>
      </c>
      <c r="J495">
        <v>22.513989193638327</v>
      </c>
      <c r="M495">
        <v>70.3</v>
      </c>
      <c r="N495">
        <v>70.3</v>
      </c>
      <c r="O495">
        <v>26.312499999999993</v>
      </c>
      <c r="S495">
        <v>0</v>
      </c>
      <c r="T495">
        <v>0</v>
      </c>
      <c r="U495">
        <v>1.8626995587700181</v>
      </c>
      <c r="V495">
        <v>0</v>
      </c>
      <c r="W495">
        <v>9.8034945700065761E-3</v>
      </c>
      <c r="X495">
        <v>0</v>
      </c>
      <c r="Y495">
        <v>0.15891430900053938</v>
      </c>
      <c r="Z495">
        <v>0</v>
      </c>
      <c r="AA495">
        <v>9.1085690999460636E-2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128</v>
      </c>
      <c r="B496" t="s">
        <v>502</v>
      </c>
      <c r="C496" t="s">
        <v>109</v>
      </c>
      <c r="D496" s="12">
        <v>46235</v>
      </c>
      <c r="E496" t="s">
        <v>134</v>
      </c>
      <c r="F496" t="s">
        <v>134</v>
      </c>
      <c r="G496" t="s">
        <v>134</v>
      </c>
      <c r="J496">
        <v>4.9635202271114256</v>
      </c>
      <c r="M496">
        <v>5.7</v>
      </c>
      <c r="N496">
        <v>5.7</v>
      </c>
      <c r="O496">
        <v>6.0009227220299888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0.6146691425503682</v>
      </c>
      <c r="AC496">
        <v>0.19393443786601253</v>
      </c>
      <c r="AD496">
        <v>0</v>
      </c>
      <c r="AE496">
        <v>0</v>
      </c>
      <c r="AF496">
        <v>0</v>
      </c>
      <c r="AG496">
        <v>0.19139641958361936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hidden="1" x14ac:dyDescent="0.25">
      <c r="A497" t="s">
        <v>128</v>
      </c>
      <c r="B497" t="s">
        <v>502</v>
      </c>
      <c r="C497" t="s">
        <v>109</v>
      </c>
      <c r="D497" s="12">
        <v>46239</v>
      </c>
      <c r="E497" t="s">
        <v>501</v>
      </c>
      <c r="F497" t="s">
        <v>501</v>
      </c>
      <c r="G497" t="s">
        <v>501</v>
      </c>
      <c r="J497">
        <v>3.4607162435906065</v>
      </c>
      <c r="M497">
        <v>0</v>
      </c>
      <c r="N497">
        <v>0</v>
      </c>
      <c r="O497">
        <v>2.8096885813148784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0.81188065809167131</v>
      </c>
      <c r="AC497">
        <v>0.18811934190832857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hidden="1" x14ac:dyDescent="0.25">
      <c r="A498" t="s">
        <v>128</v>
      </c>
      <c r="B498" t="s">
        <v>502</v>
      </c>
      <c r="C498" t="s">
        <v>109</v>
      </c>
      <c r="D498" s="12">
        <v>46235</v>
      </c>
      <c r="E498" t="s">
        <v>501</v>
      </c>
      <c r="F498" t="s">
        <v>501</v>
      </c>
      <c r="G498" t="s">
        <v>501</v>
      </c>
      <c r="J498">
        <v>3.3060473611954952</v>
      </c>
      <c r="M498">
        <v>0</v>
      </c>
      <c r="N498">
        <v>0</v>
      </c>
      <c r="O498">
        <v>1.9861591695501735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0.60076549200794305</v>
      </c>
      <c r="AC498">
        <v>0.39923450799205701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hidden="1" x14ac:dyDescent="0.25">
      <c r="A499" t="s">
        <v>128</v>
      </c>
      <c r="B499" t="s">
        <v>502</v>
      </c>
      <c r="C499" t="s">
        <v>109</v>
      </c>
      <c r="D499" s="12">
        <v>46241</v>
      </c>
      <c r="E499" t="s">
        <v>134</v>
      </c>
      <c r="F499" t="s">
        <v>134</v>
      </c>
      <c r="G499" t="s">
        <v>134</v>
      </c>
      <c r="J499">
        <v>9.1014549325762939</v>
      </c>
      <c r="M499">
        <v>0</v>
      </c>
      <c r="N499">
        <v>0</v>
      </c>
      <c r="O499">
        <v>4.94919982698962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0.543781171653693</v>
      </c>
      <c r="AC499">
        <v>0.45621882834630706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25">
      <c r="A500" t="s">
        <v>128</v>
      </c>
      <c r="B500" t="s">
        <v>502</v>
      </c>
      <c r="C500" t="s">
        <v>109</v>
      </c>
      <c r="D500" s="12">
        <v>46239</v>
      </c>
      <c r="E500" t="s">
        <v>134</v>
      </c>
      <c r="F500" t="s">
        <v>134</v>
      </c>
      <c r="G500" t="s">
        <v>134</v>
      </c>
      <c r="J500">
        <v>7.7504968062455646</v>
      </c>
      <c r="M500">
        <v>0</v>
      </c>
      <c r="N500">
        <v>0</v>
      </c>
      <c r="O500">
        <v>6.059926470588235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0.7818758748090805</v>
      </c>
      <c r="AC500">
        <v>0.21812412519091948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25">
      <c r="A501" t="s">
        <v>128</v>
      </c>
      <c r="B501" t="s">
        <v>502</v>
      </c>
      <c r="C501" t="s">
        <v>109</v>
      </c>
      <c r="D501" s="12">
        <v>46240</v>
      </c>
      <c r="E501" t="s">
        <v>133</v>
      </c>
      <c r="F501" t="s">
        <v>133</v>
      </c>
      <c r="G501" t="s">
        <v>133</v>
      </c>
      <c r="J501">
        <v>22.404432068608457</v>
      </c>
      <c r="M501">
        <v>68.400000000000006</v>
      </c>
      <c r="N501">
        <v>68.400000000000006</v>
      </c>
      <c r="O501">
        <v>25</v>
      </c>
      <c r="S501">
        <v>0</v>
      </c>
      <c r="T501">
        <v>0</v>
      </c>
      <c r="U501">
        <v>1.8029673678199303</v>
      </c>
      <c r="V501">
        <v>0</v>
      </c>
      <c r="W501">
        <v>0</v>
      </c>
      <c r="X501">
        <v>0</v>
      </c>
      <c r="Y501">
        <v>0.11585064613301532</v>
      </c>
      <c r="Z501">
        <v>0</v>
      </c>
      <c r="AA501">
        <v>0.13414935386698468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hidden="1" x14ac:dyDescent="0.25">
      <c r="A502" t="s">
        <v>128</v>
      </c>
      <c r="B502" t="s">
        <v>502</v>
      </c>
      <c r="C502" t="s">
        <v>109</v>
      </c>
      <c r="D502" s="12">
        <v>46234</v>
      </c>
      <c r="E502" t="s">
        <v>134</v>
      </c>
      <c r="F502" t="s">
        <v>134</v>
      </c>
      <c r="G502" t="s">
        <v>134</v>
      </c>
      <c r="J502">
        <v>9.0264017033356989</v>
      </c>
      <c r="M502">
        <v>6.6499999999999995</v>
      </c>
      <c r="N502">
        <v>6.6499999999999995</v>
      </c>
      <c r="O502">
        <v>6.0599264705882359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4.96650469406048E-2</v>
      </c>
      <c r="AB502">
        <v>0.22244114579045438</v>
      </c>
      <c r="AC502">
        <v>9.0496219559988295E-2</v>
      </c>
      <c r="AD502">
        <v>0</v>
      </c>
      <c r="AE502">
        <v>0.23814805423199295</v>
      </c>
      <c r="AF502">
        <v>0</v>
      </c>
      <c r="AG502">
        <v>0.44891458041756438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hidden="1" x14ac:dyDescent="0.25">
      <c r="A503" t="s">
        <v>128</v>
      </c>
      <c r="B503" t="s">
        <v>502</v>
      </c>
      <c r="C503" t="s">
        <v>109</v>
      </c>
      <c r="D503" s="12">
        <v>46234</v>
      </c>
      <c r="E503" t="s">
        <v>501</v>
      </c>
      <c r="F503" t="s">
        <v>501</v>
      </c>
      <c r="G503" t="s">
        <v>501</v>
      </c>
      <c r="J503">
        <v>3.3060473611954952</v>
      </c>
      <c r="M503">
        <v>0</v>
      </c>
      <c r="N503">
        <v>0</v>
      </c>
      <c r="O503">
        <v>2.6920415224913499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0.8142779665194767</v>
      </c>
      <c r="AC503">
        <v>0.18572203348052338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hidden="1" x14ac:dyDescent="0.25">
      <c r="A504" t="s">
        <v>128</v>
      </c>
      <c r="B504" t="s">
        <v>502</v>
      </c>
      <c r="C504" t="s">
        <v>109</v>
      </c>
      <c r="D504" s="12">
        <v>46240</v>
      </c>
      <c r="E504" t="s">
        <v>501</v>
      </c>
      <c r="F504" t="s">
        <v>501</v>
      </c>
      <c r="G504" t="s">
        <v>501</v>
      </c>
      <c r="J504">
        <v>3.3060473611954952</v>
      </c>
      <c r="M504">
        <v>0</v>
      </c>
      <c r="N504">
        <v>0</v>
      </c>
      <c r="O504">
        <v>0.9930795847750864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0.30038274600397141</v>
      </c>
      <c r="AC504">
        <v>0.6996172539960287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25">
      <c r="A505" t="s">
        <v>128</v>
      </c>
      <c r="B505" t="s">
        <v>502</v>
      </c>
      <c r="C505" t="s">
        <v>109</v>
      </c>
      <c r="D505" s="12">
        <v>46234</v>
      </c>
      <c r="E505" t="s">
        <v>133</v>
      </c>
      <c r="F505" t="s">
        <v>133</v>
      </c>
      <c r="G505" t="s">
        <v>133</v>
      </c>
      <c r="J505">
        <v>22.459210631123394</v>
      </c>
      <c r="M505">
        <v>68.400000000000006</v>
      </c>
      <c r="N505">
        <v>68.400000000000006</v>
      </c>
      <c r="O505">
        <v>26.566666666666666</v>
      </c>
      <c r="S505">
        <v>0</v>
      </c>
      <c r="T505">
        <v>0</v>
      </c>
      <c r="U505">
        <v>1.7955211059471987</v>
      </c>
      <c r="V505">
        <v>0</v>
      </c>
      <c r="W505">
        <v>0</v>
      </c>
      <c r="X505">
        <v>0</v>
      </c>
      <c r="Y505">
        <v>0.18288514690054447</v>
      </c>
      <c r="Z505">
        <v>0</v>
      </c>
      <c r="AA505">
        <v>6.7114853099455501E-2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128</v>
      </c>
      <c r="B506" t="s">
        <v>502</v>
      </c>
      <c r="C506" t="s">
        <v>109</v>
      </c>
      <c r="D506" s="12">
        <v>46233</v>
      </c>
      <c r="E506" t="s">
        <v>134</v>
      </c>
      <c r="F506" t="s">
        <v>134</v>
      </c>
      <c r="G506" t="s">
        <v>134</v>
      </c>
      <c r="J506">
        <v>7.7504968062455646</v>
      </c>
      <c r="M506">
        <v>6.6499999999999995</v>
      </c>
      <c r="N506">
        <v>6.6499999999999995</v>
      </c>
      <c r="O506">
        <v>6.1189302191464829</v>
      </c>
      <c r="S506">
        <v>0</v>
      </c>
      <c r="T506">
        <v>0</v>
      </c>
      <c r="U506">
        <v>0.10294447573131139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0.10625935744406133</v>
      </c>
      <c r="AB506">
        <v>0.25905992705356984</v>
      </c>
      <c r="AC506">
        <v>9.2134391861859455E-2</v>
      </c>
      <c r="AD506">
        <v>0</v>
      </c>
      <c r="AE506">
        <v>0.11837683443583029</v>
      </c>
      <c r="AF506">
        <v>0</v>
      </c>
      <c r="AG506">
        <v>0.53042884664874046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hidden="1" x14ac:dyDescent="0.25">
      <c r="A507" t="s">
        <v>128</v>
      </c>
      <c r="B507" t="s">
        <v>502</v>
      </c>
      <c r="C507" t="s">
        <v>109</v>
      </c>
      <c r="D507" s="12">
        <v>46240</v>
      </c>
      <c r="E507" t="s">
        <v>134</v>
      </c>
      <c r="F507" t="s">
        <v>134</v>
      </c>
      <c r="G507" t="s">
        <v>134</v>
      </c>
      <c r="J507">
        <v>9.1765081618168907</v>
      </c>
      <c r="M507">
        <v>0</v>
      </c>
      <c r="N507">
        <v>0</v>
      </c>
      <c r="O507">
        <v>4.1256704152249135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0.44959044796491054</v>
      </c>
      <c r="AC507">
        <v>0.55040955203508946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25">
      <c r="A508" t="s">
        <v>128</v>
      </c>
      <c r="B508" t="s">
        <v>502</v>
      </c>
      <c r="C508" t="s">
        <v>109</v>
      </c>
      <c r="D508" s="12">
        <v>46233</v>
      </c>
      <c r="E508" t="s">
        <v>501</v>
      </c>
      <c r="F508" t="s">
        <v>501</v>
      </c>
      <c r="G508" t="s">
        <v>501</v>
      </c>
      <c r="J508">
        <v>3.3060473611954952</v>
      </c>
      <c r="M508">
        <v>0</v>
      </c>
      <c r="N508">
        <v>0</v>
      </c>
      <c r="O508">
        <v>1.698961937716263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0.51389522051550518</v>
      </c>
      <c r="AC508">
        <v>0.48610477948449488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hidden="1" x14ac:dyDescent="0.25">
      <c r="A509" t="s">
        <v>128</v>
      </c>
      <c r="B509" t="s">
        <v>502</v>
      </c>
      <c r="C509" t="s">
        <v>109</v>
      </c>
      <c r="D509" s="12">
        <v>46241</v>
      </c>
      <c r="E509" t="s">
        <v>133</v>
      </c>
      <c r="F509" t="s">
        <v>133</v>
      </c>
      <c r="G509" t="s">
        <v>133</v>
      </c>
      <c r="J509">
        <v>22.459210631123391</v>
      </c>
      <c r="M509">
        <v>66.5</v>
      </c>
      <c r="N509">
        <v>66.5</v>
      </c>
      <c r="O509">
        <v>26.5625</v>
      </c>
      <c r="S509">
        <v>0</v>
      </c>
      <c r="T509">
        <v>0</v>
      </c>
      <c r="U509">
        <v>1.7109232974486657</v>
      </c>
      <c r="V509">
        <v>0</v>
      </c>
      <c r="W509">
        <v>0</v>
      </c>
      <c r="X509">
        <v>0</v>
      </c>
      <c r="Y509">
        <v>0.18269962539067927</v>
      </c>
      <c r="Z509">
        <v>0</v>
      </c>
      <c r="AA509">
        <v>6.7300374609320757E-2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hidden="1" x14ac:dyDescent="0.25">
      <c r="A510" t="s">
        <v>128</v>
      </c>
      <c r="B510" t="s">
        <v>502</v>
      </c>
      <c r="C510" t="s">
        <v>109</v>
      </c>
      <c r="D510" s="12">
        <v>46233</v>
      </c>
      <c r="E510" t="s">
        <v>133</v>
      </c>
      <c r="F510" t="s">
        <v>133</v>
      </c>
      <c r="G510" t="s">
        <v>133</v>
      </c>
      <c r="J510">
        <v>22.513989193638331</v>
      </c>
      <c r="M510">
        <v>68.400000000000006</v>
      </c>
      <c r="N510">
        <v>68.400000000000006</v>
      </c>
      <c r="O510">
        <v>26.875000000000004</v>
      </c>
      <c r="S510">
        <v>0</v>
      </c>
      <c r="T510">
        <v>0</v>
      </c>
      <c r="U510">
        <v>1.7758845146533064</v>
      </c>
      <c r="V510">
        <v>0</v>
      </c>
      <c r="W510">
        <v>1.2226564272122643E-2</v>
      </c>
      <c r="X510">
        <v>0</v>
      </c>
      <c r="Y510">
        <v>0.19467828754902222</v>
      </c>
      <c r="Z510">
        <v>0</v>
      </c>
      <c r="AA510">
        <v>5.5321712450977764E-2</v>
      </c>
      <c r="AB510">
        <v>0</v>
      </c>
      <c r="AC510">
        <v>0</v>
      </c>
      <c r="AD510">
        <v>0</v>
      </c>
      <c r="AE510">
        <v>1.3202582141014406E-2</v>
      </c>
      <c r="AF510">
        <v>0</v>
      </c>
      <c r="AG510">
        <v>0.98679741785898545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25">
      <c r="A511" t="s">
        <v>128</v>
      </c>
      <c r="B511" t="s">
        <v>502</v>
      </c>
      <c r="C511" t="s">
        <v>109</v>
      </c>
      <c r="D511" s="12">
        <v>46232</v>
      </c>
      <c r="E511" t="s">
        <v>134</v>
      </c>
      <c r="F511" t="s">
        <v>134</v>
      </c>
      <c r="G511" t="s">
        <v>134</v>
      </c>
      <c r="J511">
        <v>9.1765081618168907</v>
      </c>
      <c r="M511">
        <v>8.5500000000000007</v>
      </c>
      <c r="N511">
        <v>8.5500000000000007</v>
      </c>
      <c r="O511">
        <v>5.0078431372549019</v>
      </c>
      <c r="S511">
        <v>0</v>
      </c>
      <c r="T511">
        <v>0</v>
      </c>
      <c r="U511">
        <v>0.19047232341044273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6.5430752453653207E-2</v>
      </c>
      <c r="AB511">
        <v>0.21880252290402383</v>
      </c>
      <c r="AC511">
        <v>0.10537359873839629</v>
      </c>
      <c r="AD511">
        <v>0</v>
      </c>
      <c r="AE511">
        <v>0.34890214003418479</v>
      </c>
      <c r="AF511">
        <v>0</v>
      </c>
      <c r="AG511">
        <v>0.32692173832339499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hidden="1" x14ac:dyDescent="0.25">
      <c r="A512" t="s">
        <v>128</v>
      </c>
      <c r="B512" t="s">
        <v>502</v>
      </c>
      <c r="C512" t="s">
        <v>109</v>
      </c>
      <c r="D512" s="12">
        <v>46235</v>
      </c>
      <c r="E512" t="s">
        <v>133</v>
      </c>
      <c r="F512" t="s">
        <v>133</v>
      </c>
      <c r="G512" t="s">
        <v>133</v>
      </c>
      <c r="J512">
        <v>22.404432068608457</v>
      </c>
      <c r="M512">
        <v>58.899999999999991</v>
      </c>
      <c r="N512">
        <v>58.899999999999991</v>
      </c>
      <c r="O512">
        <v>26.5</v>
      </c>
      <c r="S512">
        <v>0</v>
      </c>
      <c r="T512">
        <v>0</v>
      </c>
      <c r="U512">
        <v>1.3607238090246263</v>
      </c>
      <c r="V512">
        <v>0</v>
      </c>
      <c r="W512">
        <v>1.8220313264757707E-2</v>
      </c>
      <c r="X512">
        <v>0</v>
      </c>
      <c r="Y512">
        <v>0.16458137163623882</v>
      </c>
      <c r="Z512">
        <v>0</v>
      </c>
      <c r="AA512">
        <v>8.5418628363761212E-2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84" hidden="1" x14ac:dyDescent="0.25">
      <c r="A513" t="s">
        <v>128</v>
      </c>
      <c r="B513" t="s">
        <v>502</v>
      </c>
      <c r="C513" t="s">
        <v>109</v>
      </c>
      <c r="D513" s="12">
        <v>46245</v>
      </c>
      <c r="E513" t="s">
        <v>501</v>
      </c>
      <c r="F513" t="s">
        <v>501</v>
      </c>
      <c r="G513" t="s">
        <v>501</v>
      </c>
      <c r="J513">
        <v>3.3060473611954957</v>
      </c>
      <c r="M513">
        <v>0</v>
      </c>
      <c r="N513">
        <v>0</v>
      </c>
      <c r="O513">
        <v>1.816608996539792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0.54948063293409388</v>
      </c>
      <c r="AC513">
        <v>0.45051936706590606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84" hidden="1" x14ac:dyDescent="0.25">
      <c r="A514" t="s">
        <v>128</v>
      </c>
      <c r="B514" t="s">
        <v>502</v>
      </c>
      <c r="C514" t="s">
        <v>109</v>
      </c>
      <c r="D514" s="12">
        <v>46226</v>
      </c>
      <c r="E514" t="s">
        <v>134</v>
      </c>
      <c r="F514" t="s">
        <v>134</v>
      </c>
      <c r="G514" t="s">
        <v>134</v>
      </c>
      <c r="J514">
        <v>9.1765081618168907</v>
      </c>
      <c r="M514">
        <v>6.6499999999999995</v>
      </c>
      <c r="N514">
        <v>6.6499999999999995</v>
      </c>
      <c r="O514">
        <v>6.0599264705882359</v>
      </c>
      <c r="S514">
        <v>0</v>
      </c>
      <c r="T514">
        <v>0</v>
      </c>
      <c r="U514">
        <v>8.6947106274700814E-2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6.5430752453653235E-2</v>
      </c>
      <c r="AB514">
        <v>0.21880252290402383</v>
      </c>
      <c r="AC514">
        <v>0.20889881587413808</v>
      </c>
      <c r="AD514">
        <v>0</v>
      </c>
      <c r="AE514">
        <v>0.13072728550030802</v>
      </c>
      <c r="AF514">
        <v>0</v>
      </c>
      <c r="AG514">
        <v>0.4415713757215301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84" hidden="1" x14ac:dyDescent="0.25">
      <c r="A515" t="s">
        <v>128</v>
      </c>
      <c r="B515" t="s">
        <v>502</v>
      </c>
      <c r="C515" t="s">
        <v>109</v>
      </c>
      <c r="D515" s="12">
        <v>46226</v>
      </c>
      <c r="E515" t="s">
        <v>501</v>
      </c>
      <c r="F515" t="s">
        <v>501</v>
      </c>
      <c r="G515" t="s">
        <v>501</v>
      </c>
      <c r="J515">
        <v>3.3060473611954957</v>
      </c>
      <c r="M515">
        <v>0</v>
      </c>
      <c r="N515">
        <v>0</v>
      </c>
      <c r="O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84" hidden="1" x14ac:dyDescent="0.25">
      <c r="A516" t="s">
        <v>128</v>
      </c>
      <c r="B516" t="s">
        <v>502</v>
      </c>
      <c r="C516" t="s">
        <v>109</v>
      </c>
      <c r="D516" s="12">
        <v>46249</v>
      </c>
      <c r="E516" t="s">
        <v>134</v>
      </c>
      <c r="F516" t="s">
        <v>134</v>
      </c>
      <c r="G516" t="s">
        <v>134</v>
      </c>
      <c r="J516">
        <v>4.9635202271114256</v>
      </c>
      <c r="M516">
        <v>0</v>
      </c>
      <c r="N516">
        <v>0</v>
      </c>
      <c r="O516">
        <v>5.0078431372549019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0.78375747462105416</v>
      </c>
      <c r="AC516">
        <v>0.21624252537894575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84" hidden="1" x14ac:dyDescent="0.25">
      <c r="A517" t="s">
        <v>128</v>
      </c>
      <c r="B517" t="s">
        <v>502</v>
      </c>
      <c r="C517" t="s">
        <v>72</v>
      </c>
      <c r="D517" s="12">
        <v>46248</v>
      </c>
      <c r="E517" t="s">
        <v>134</v>
      </c>
      <c r="F517" t="s">
        <v>134</v>
      </c>
      <c r="G517" t="s">
        <v>134</v>
      </c>
      <c r="H517" t="s">
        <v>74</v>
      </c>
      <c r="I517">
        <v>10</v>
      </c>
      <c r="J517">
        <v>2.7219304471256209</v>
      </c>
      <c r="K517">
        <v>46248</v>
      </c>
      <c r="L517" t="s">
        <v>158</v>
      </c>
      <c r="M517">
        <v>0</v>
      </c>
      <c r="N517">
        <v>0</v>
      </c>
      <c r="O517">
        <v>2.0078431372549019</v>
      </c>
      <c r="P517">
        <v>0</v>
      </c>
      <c r="Q517">
        <v>0</v>
      </c>
      <c r="R517">
        <v>0.73765409376099211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0.73765409376099211</v>
      </c>
      <c r="AC517">
        <v>0.26234590623900789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J517">
        <v>0</v>
      </c>
      <c r="BK517">
        <v>0</v>
      </c>
      <c r="BL517">
        <v>1.3556489531582683</v>
      </c>
      <c r="BM517">
        <v>0.35564895315826828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</v>
      </c>
      <c r="CF517">
        <v>1</v>
      </c>
    </row>
    <row r="518" spans="1:84" hidden="1" x14ac:dyDescent="0.25">
      <c r="A518" t="s">
        <v>128</v>
      </c>
      <c r="B518" t="s">
        <v>502</v>
      </c>
      <c r="C518" t="s">
        <v>72</v>
      </c>
      <c r="D518" s="12">
        <v>46248</v>
      </c>
      <c r="E518" t="s">
        <v>134</v>
      </c>
      <c r="F518" t="s">
        <v>134</v>
      </c>
      <c r="G518" t="s">
        <v>134</v>
      </c>
      <c r="H518" t="s">
        <v>73</v>
      </c>
      <c r="I518">
        <v>10</v>
      </c>
      <c r="J518">
        <v>3.9027679205110002</v>
      </c>
      <c r="K518">
        <v>46248</v>
      </c>
      <c r="L518" t="s">
        <v>159</v>
      </c>
      <c r="M518">
        <v>0</v>
      </c>
      <c r="N518">
        <v>0</v>
      </c>
      <c r="O518">
        <v>2.003063725490196</v>
      </c>
      <c r="P518">
        <v>0</v>
      </c>
      <c r="Q518">
        <v>0</v>
      </c>
      <c r="R518">
        <v>0.51324182382536576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0.51324182382536576</v>
      </c>
      <c r="AC518">
        <v>0.48675817617463424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J518">
        <v>0</v>
      </c>
      <c r="BK518">
        <v>0</v>
      </c>
      <c r="BL518">
        <v>1.948399279985914</v>
      </c>
      <c r="BM518">
        <v>0.948399279985914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1</v>
      </c>
      <c r="CF518">
        <v>1</v>
      </c>
    </row>
    <row r="519" spans="1:84" hidden="1" x14ac:dyDescent="0.25">
      <c r="A519" t="s">
        <v>128</v>
      </c>
      <c r="B519" t="s">
        <v>502</v>
      </c>
      <c r="C519" t="s">
        <v>109</v>
      </c>
      <c r="D519" s="12">
        <v>46238</v>
      </c>
      <c r="E519" t="s">
        <v>133</v>
      </c>
      <c r="F519" t="s">
        <v>133</v>
      </c>
      <c r="G519" t="s">
        <v>133</v>
      </c>
      <c r="J519">
        <v>22.459210631123394</v>
      </c>
      <c r="M519">
        <v>74.099999999999994</v>
      </c>
      <c r="N519">
        <v>74.099999999999994</v>
      </c>
      <c r="O519">
        <v>26.566666666666666</v>
      </c>
      <c r="S519">
        <v>0</v>
      </c>
      <c r="T519">
        <v>0</v>
      </c>
      <c r="U519">
        <v>2.0243299976142306</v>
      </c>
      <c r="V519">
        <v>0</v>
      </c>
      <c r="W519">
        <v>2.4984533828567416E-2</v>
      </c>
      <c r="X519">
        <v>0</v>
      </c>
      <c r="Y519">
        <v>0.15790061307197709</v>
      </c>
      <c r="Z519">
        <v>0</v>
      </c>
      <c r="AA519">
        <v>9.2099386928022928E-2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84" hidden="1" x14ac:dyDescent="0.25">
      <c r="A520" t="s">
        <v>128</v>
      </c>
      <c r="B520" t="s">
        <v>502</v>
      </c>
      <c r="C520" t="s">
        <v>72</v>
      </c>
      <c r="D520" s="12">
        <v>46247</v>
      </c>
      <c r="E520" t="s">
        <v>134</v>
      </c>
      <c r="F520" t="s">
        <v>134</v>
      </c>
      <c r="G520" t="s">
        <v>134</v>
      </c>
      <c r="H520" t="s">
        <v>75</v>
      </c>
      <c r="I520">
        <v>10</v>
      </c>
      <c r="J520">
        <v>2.4017033356990773</v>
      </c>
      <c r="K520">
        <v>46247</v>
      </c>
      <c r="L520" t="s">
        <v>161</v>
      </c>
      <c r="M520">
        <v>0</v>
      </c>
      <c r="N520">
        <v>0</v>
      </c>
      <c r="O520">
        <v>2.0490196078431371</v>
      </c>
      <c r="P520">
        <v>0</v>
      </c>
      <c r="Q520">
        <v>0</v>
      </c>
      <c r="R520">
        <v>0.85315266768645981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0.85315266768645981</v>
      </c>
      <c r="AC520">
        <v>0.14684733231354019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J520">
        <v>0</v>
      </c>
      <c r="BK520">
        <v>0</v>
      </c>
      <c r="BL520">
        <v>1.1721231590493106</v>
      </c>
      <c r="BM520">
        <v>0.17212315904931064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1</v>
      </c>
      <c r="CF520">
        <v>1</v>
      </c>
    </row>
    <row r="521" spans="1:84" hidden="1" x14ac:dyDescent="0.25">
      <c r="A521" t="s">
        <v>128</v>
      </c>
      <c r="B521" t="s">
        <v>502</v>
      </c>
      <c r="C521" t="s">
        <v>109</v>
      </c>
      <c r="D521" s="12">
        <v>46250</v>
      </c>
      <c r="E521" t="s">
        <v>501</v>
      </c>
      <c r="F521" t="s">
        <v>501</v>
      </c>
      <c r="G521" t="s">
        <v>501</v>
      </c>
      <c r="J521">
        <v>3.3060473611954952</v>
      </c>
      <c r="M521">
        <v>0</v>
      </c>
      <c r="N521">
        <v>0</v>
      </c>
      <c r="O521">
        <v>1.9861591695501728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0.60076549200794283</v>
      </c>
      <c r="AC521">
        <v>0.39923450799205723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84" hidden="1" x14ac:dyDescent="0.25">
      <c r="A522" t="s">
        <v>128</v>
      </c>
      <c r="B522" t="s">
        <v>502</v>
      </c>
      <c r="C522" t="s">
        <v>72</v>
      </c>
      <c r="D522" s="12">
        <v>46247</v>
      </c>
      <c r="E522" t="s">
        <v>134</v>
      </c>
      <c r="F522" t="s">
        <v>134</v>
      </c>
      <c r="G522" t="s">
        <v>134</v>
      </c>
      <c r="H522" t="s">
        <v>74</v>
      </c>
      <c r="I522">
        <v>10</v>
      </c>
      <c r="J522">
        <v>2.7219304471256209</v>
      </c>
      <c r="K522">
        <v>46247</v>
      </c>
      <c r="L522" t="s">
        <v>162</v>
      </c>
      <c r="M522">
        <v>0</v>
      </c>
      <c r="N522">
        <v>0</v>
      </c>
      <c r="O522">
        <v>2.0078431372549019</v>
      </c>
      <c r="P522">
        <v>0</v>
      </c>
      <c r="Q522">
        <v>0</v>
      </c>
      <c r="R522">
        <v>0.73765409376099211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0.73765409376099211</v>
      </c>
      <c r="AC522">
        <v>0.26234590623900789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J522">
        <v>0</v>
      </c>
      <c r="BK522">
        <v>0</v>
      </c>
      <c r="BL522">
        <v>1.3556489531582683</v>
      </c>
      <c r="BM522">
        <v>0.35564895315826828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</v>
      </c>
      <c r="CF522">
        <v>1</v>
      </c>
    </row>
    <row r="523" spans="1:84" hidden="1" x14ac:dyDescent="0.25">
      <c r="A523" t="s">
        <v>128</v>
      </c>
      <c r="B523" t="s">
        <v>502</v>
      </c>
      <c r="C523" t="s">
        <v>72</v>
      </c>
      <c r="D523" s="12">
        <v>46247</v>
      </c>
      <c r="E523" t="s">
        <v>134</v>
      </c>
      <c r="F523" t="s">
        <v>134</v>
      </c>
      <c r="G523" t="s">
        <v>134</v>
      </c>
      <c r="H523" t="s">
        <v>73</v>
      </c>
      <c r="I523">
        <v>10</v>
      </c>
      <c r="J523">
        <v>2.6268630234208659</v>
      </c>
      <c r="K523">
        <v>46247</v>
      </c>
      <c r="L523" t="s">
        <v>174</v>
      </c>
      <c r="M523">
        <v>0</v>
      </c>
      <c r="N523">
        <v>0</v>
      </c>
      <c r="O523">
        <v>2.003063725490196</v>
      </c>
      <c r="P523">
        <v>0</v>
      </c>
      <c r="Q523">
        <v>0</v>
      </c>
      <c r="R523">
        <v>0.76253070968340053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0.76253070968340053</v>
      </c>
      <c r="AC523">
        <v>0.23746929031659947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J523">
        <v>0</v>
      </c>
      <c r="BK523">
        <v>0</v>
      </c>
      <c r="BL523">
        <v>1.3114225922982115</v>
      </c>
      <c r="BM523">
        <v>0.31142259229821145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1</v>
      </c>
    </row>
    <row r="524" spans="1:84" hidden="1" x14ac:dyDescent="0.25">
      <c r="A524" t="s">
        <v>128</v>
      </c>
      <c r="B524" t="s">
        <v>502</v>
      </c>
      <c r="C524" t="s">
        <v>72</v>
      </c>
      <c r="D524" s="12">
        <v>46246</v>
      </c>
      <c r="E524" t="s">
        <v>134</v>
      </c>
      <c r="F524" t="s">
        <v>134</v>
      </c>
      <c r="G524" t="s">
        <v>134</v>
      </c>
      <c r="H524" t="s">
        <v>75</v>
      </c>
      <c r="I524">
        <v>10</v>
      </c>
      <c r="J524">
        <v>2.4017033356990773</v>
      </c>
      <c r="K524">
        <v>46246</v>
      </c>
      <c r="L524" t="s">
        <v>201</v>
      </c>
      <c r="M524">
        <v>0</v>
      </c>
      <c r="N524">
        <v>0</v>
      </c>
      <c r="O524">
        <v>1.9382929642445217</v>
      </c>
      <c r="P524">
        <v>0</v>
      </c>
      <c r="Q524">
        <v>0</v>
      </c>
      <c r="R524">
        <v>0.80704928682639809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0.80704928682639809</v>
      </c>
      <c r="AC524">
        <v>0.19295071317360191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J524">
        <v>0</v>
      </c>
      <c r="BK524">
        <v>0</v>
      </c>
      <c r="BL524">
        <v>1.2390816971443617</v>
      </c>
      <c r="BM524">
        <v>0.23908169714436167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</v>
      </c>
      <c r="CF524">
        <v>1</v>
      </c>
    </row>
    <row r="525" spans="1:84" hidden="1" x14ac:dyDescent="0.25">
      <c r="A525" t="s">
        <v>128</v>
      </c>
      <c r="B525" t="s">
        <v>502</v>
      </c>
      <c r="C525" t="s">
        <v>109</v>
      </c>
      <c r="D525" s="12">
        <v>46250</v>
      </c>
      <c r="E525" t="s">
        <v>134</v>
      </c>
      <c r="F525" t="s">
        <v>134</v>
      </c>
      <c r="G525" t="s">
        <v>134</v>
      </c>
      <c r="J525">
        <v>5.1236337828246974</v>
      </c>
      <c r="M525">
        <v>0</v>
      </c>
      <c r="N525">
        <v>0</v>
      </c>
      <c r="O525">
        <v>5.0078431372549019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0.7592650535391462</v>
      </c>
      <c r="AC525">
        <v>0.24073494646085383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84" hidden="1" x14ac:dyDescent="0.25">
      <c r="A526" t="s">
        <v>128</v>
      </c>
      <c r="B526" t="s">
        <v>502</v>
      </c>
      <c r="C526" t="s">
        <v>72</v>
      </c>
      <c r="D526" s="12">
        <v>46246</v>
      </c>
      <c r="E526" t="s">
        <v>134</v>
      </c>
      <c r="F526" t="s">
        <v>134</v>
      </c>
      <c r="G526" t="s">
        <v>134</v>
      </c>
      <c r="H526" t="s">
        <v>74</v>
      </c>
      <c r="I526">
        <v>10</v>
      </c>
      <c r="J526">
        <v>2.7219304471256209</v>
      </c>
      <c r="K526">
        <v>46246</v>
      </c>
      <c r="L526" t="s">
        <v>193</v>
      </c>
      <c r="M526">
        <v>0</v>
      </c>
      <c r="N526">
        <v>0</v>
      </c>
      <c r="O526">
        <v>2.0078431372549019</v>
      </c>
      <c r="P526">
        <v>0</v>
      </c>
      <c r="Q526">
        <v>0</v>
      </c>
      <c r="R526">
        <v>0.73765409376099211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0.73765409376099211</v>
      </c>
      <c r="AC526">
        <v>0.26234590623900789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J526">
        <v>0</v>
      </c>
      <c r="BK526">
        <v>0</v>
      </c>
      <c r="BL526">
        <v>1.3556489531582683</v>
      </c>
      <c r="BM526">
        <v>0.35564895315826828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</v>
      </c>
      <c r="CF526">
        <v>1</v>
      </c>
    </row>
    <row r="527" spans="1:84" hidden="1" x14ac:dyDescent="0.25">
      <c r="A527" t="s">
        <v>128</v>
      </c>
      <c r="B527" t="s">
        <v>502</v>
      </c>
      <c r="C527" t="s">
        <v>72</v>
      </c>
      <c r="D527" s="12">
        <v>46248</v>
      </c>
      <c r="E527" t="s">
        <v>134</v>
      </c>
      <c r="F527" t="s">
        <v>134</v>
      </c>
      <c r="G527" t="s">
        <v>134</v>
      </c>
      <c r="H527" t="s">
        <v>75</v>
      </c>
      <c r="I527">
        <v>10</v>
      </c>
      <c r="J527">
        <v>2.4017033356990773</v>
      </c>
      <c r="K527">
        <v>46248</v>
      </c>
      <c r="L527" t="s">
        <v>156</v>
      </c>
      <c r="M527">
        <v>0</v>
      </c>
      <c r="N527">
        <v>0</v>
      </c>
      <c r="O527">
        <v>2.0490196078431371</v>
      </c>
      <c r="P527">
        <v>0</v>
      </c>
      <c r="Q527">
        <v>0</v>
      </c>
      <c r="R527">
        <v>0.85315266768645981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0.85315266768645981</v>
      </c>
      <c r="AC527">
        <v>0.14684733231354019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J527">
        <v>0</v>
      </c>
      <c r="BK527">
        <v>0</v>
      </c>
      <c r="BL527">
        <v>1.1721231590493106</v>
      </c>
      <c r="BM527">
        <v>0.17212315904931064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</v>
      </c>
      <c r="CF527">
        <v>1</v>
      </c>
    </row>
    <row r="528" spans="1:84" hidden="1" x14ac:dyDescent="0.25">
      <c r="A528" t="s">
        <v>128</v>
      </c>
      <c r="B528" t="s">
        <v>502</v>
      </c>
      <c r="C528" t="s">
        <v>72</v>
      </c>
      <c r="D528" s="12">
        <v>46246</v>
      </c>
      <c r="E528" t="s">
        <v>134</v>
      </c>
      <c r="F528" t="s">
        <v>134</v>
      </c>
      <c r="G528" t="s">
        <v>134</v>
      </c>
      <c r="H528" t="s">
        <v>73</v>
      </c>
      <c r="I528">
        <v>10</v>
      </c>
      <c r="J528">
        <v>4.0528743789921924</v>
      </c>
      <c r="K528">
        <v>46246</v>
      </c>
      <c r="L528" t="s">
        <v>194</v>
      </c>
      <c r="M528">
        <v>0</v>
      </c>
      <c r="N528">
        <v>0</v>
      </c>
      <c r="O528">
        <v>1.1207107843137254</v>
      </c>
      <c r="P528">
        <v>0</v>
      </c>
      <c r="Q528">
        <v>0</v>
      </c>
      <c r="R528">
        <v>0.27652245777042977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0.27652245777042977</v>
      </c>
      <c r="AC528">
        <v>0.72347754222957028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J528">
        <v>0</v>
      </c>
      <c r="BK528">
        <v>0</v>
      </c>
      <c r="BL528">
        <v>3.6163428029061011</v>
      </c>
      <c r="BM528">
        <v>2.6163428029061011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1</v>
      </c>
      <c r="CF528">
        <v>1</v>
      </c>
    </row>
    <row r="529" spans="1:84" hidden="1" x14ac:dyDescent="0.25">
      <c r="A529" t="s">
        <v>128</v>
      </c>
      <c r="B529" t="s">
        <v>502</v>
      </c>
      <c r="C529" t="s">
        <v>72</v>
      </c>
      <c r="D529" s="12">
        <v>46245</v>
      </c>
      <c r="E529" t="s">
        <v>134</v>
      </c>
      <c r="F529" t="s">
        <v>134</v>
      </c>
      <c r="G529" t="s">
        <v>134</v>
      </c>
      <c r="H529" t="s">
        <v>74</v>
      </c>
      <c r="I529">
        <v>10</v>
      </c>
      <c r="J529">
        <v>2.7219304471256209</v>
      </c>
      <c r="K529">
        <v>46245</v>
      </c>
      <c r="L529" t="s">
        <v>196</v>
      </c>
      <c r="M529">
        <v>0</v>
      </c>
      <c r="N529">
        <v>0</v>
      </c>
      <c r="O529">
        <v>2.0078431372549019</v>
      </c>
      <c r="P529">
        <v>0</v>
      </c>
      <c r="Q529">
        <v>0</v>
      </c>
      <c r="R529">
        <v>0.73765409376099211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0.73765409376099211</v>
      </c>
      <c r="AC529">
        <v>0.26234590623900789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J529">
        <v>0</v>
      </c>
      <c r="BK529">
        <v>0</v>
      </c>
      <c r="BL529">
        <v>1.3556489531582683</v>
      </c>
      <c r="BM529">
        <v>0.35564895315826828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1</v>
      </c>
      <c r="CF529">
        <v>1</v>
      </c>
    </row>
    <row r="530" spans="1:84" hidden="1" x14ac:dyDescent="0.25">
      <c r="A530" t="s">
        <v>128</v>
      </c>
      <c r="B530" t="s">
        <v>502</v>
      </c>
      <c r="C530" t="s">
        <v>72</v>
      </c>
      <c r="D530" s="12">
        <v>46245</v>
      </c>
      <c r="E530" t="s">
        <v>134</v>
      </c>
      <c r="F530" t="s">
        <v>134</v>
      </c>
      <c r="G530" t="s">
        <v>134</v>
      </c>
      <c r="H530" t="s">
        <v>73</v>
      </c>
      <c r="I530">
        <v>10</v>
      </c>
      <c r="J530">
        <v>3.9778211497515952</v>
      </c>
      <c r="K530">
        <v>46245</v>
      </c>
      <c r="L530" t="s">
        <v>197</v>
      </c>
      <c r="M530">
        <v>0</v>
      </c>
      <c r="N530">
        <v>0</v>
      </c>
      <c r="O530">
        <v>1.1207107843137254</v>
      </c>
      <c r="P530">
        <v>0</v>
      </c>
      <c r="Q530">
        <v>0</v>
      </c>
      <c r="R530">
        <v>0.2817398626340229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0.2817398626340229</v>
      </c>
      <c r="AC530">
        <v>0.71826013736597716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</v>
      </c>
      <c r="BJ530">
        <v>0</v>
      </c>
      <c r="BK530">
        <v>0</v>
      </c>
      <c r="BL530">
        <v>3.5493734917411723</v>
      </c>
      <c r="BM530">
        <v>2.5493734917411723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1</v>
      </c>
      <c r="CF530">
        <v>1</v>
      </c>
    </row>
    <row r="531" spans="1:84" hidden="1" x14ac:dyDescent="0.25">
      <c r="A531" t="s">
        <v>128</v>
      </c>
      <c r="B531" t="s">
        <v>502</v>
      </c>
      <c r="C531" t="s">
        <v>72</v>
      </c>
      <c r="D531" s="12">
        <v>46244</v>
      </c>
      <c r="E531" t="s">
        <v>134</v>
      </c>
      <c r="F531" t="s">
        <v>134</v>
      </c>
      <c r="G531" t="s">
        <v>134</v>
      </c>
      <c r="H531" t="s">
        <v>75</v>
      </c>
      <c r="I531">
        <v>10</v>
      </c>
      <c r="J531">
        <v>2.4723416691019917</v>
      </c>
      <c r="K531">
        <v>46244</v>
      </c>
      <c r="L531" t="s">
        <v>198</v>
      </c>
      <c r="M531">
        <v>0</v>
      </c>
      <c r="N531">
        <v>0</v>
      </c>
      <c r="O531">
        <v>2.049019607843138</v>
      </c>
      <c r="P531">
        <v>0</v>
      </c>
      <c r="Q531">
        <v>0</v>
      </c>
      <c r="R531">
        <v>0.82877687718113269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0.82877687718113269</v>
      </c>
      <c r="AC531">
        <v>0.17122312281886731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J531">
        <v>0</v>
      </c>
      <c r="BK531">
        <v>0</v>
      </c>
      <c r="BL531">
        <v>1.206597369609584</v>
      </c>
      <c r="BM531">
        <v>0.20659736960958397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1</v>
      </c>
    </row>
    <row r="532" spans="1:84" hidden="1" x14ac:dyDescent="0.25">
      <c r="A532" t="s">
        <v>128</v>
      </c>
      <c r="B532" t="s">
        <v>502</v>
      </c>
      <c r="C532" t="s">
        <v>72</v>
      </c>
      <c r="D532" s="12">
        <v>46244</v>
      </c>
      <c r="E532" t="s">
        <v>134</v>
      </c>
      <c r="F532" t="s">
        <v>134</v>
      </c>
      <c r="G532" t="s">
        <v>134</v>
      </c>
      <c r="H532" t="s">
        <v>74</v>
      </c>
      <c r="I532">
        <v>10</v>
      </c>
      <c r="J532">
        <v>2.7219304471256209</v>
      </c>
      <c r="K532">
        <v>46244</v>
      </c>
      <c r="L532" t="s">
        <v>199</v>
      </c>
      <c r="M532">
        <v>0</v>
      </c>
      <c r="N532">
        <v>0</v>
      </c>
      <c r="O532">
        <v>2.0078431372549019</v>
      </c>
      <c r="P532">
        <v>0</v>
      </c>
      <c r="Q532">
        <v>0</v>
      </c>
      <c r="R532">
        <v>0.73765409376099211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0.73765409376099211</v>
      </c>
      <c r="AC532">
        <v>0.26234590623900789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</v>
      </c>
      <c r="BJ532">
        <v>0</v>
      </c>
      <c r="BK532">
        <v>0</v>
      </c>
      <c r="BL532">
        <v>1.3556489531582683</v>
      </c>
      <c r="BM532">
        <v>0.35564895315826828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1</v>
      </c>
      <c r="CF532">
        <v>1</v>
      </c>
    </row>
    <row r="533" spans="1:84" hidden="1" x14ac:dyDescent="0.25">
      <c r="A533" t="s">
        <v>128</v>
      </c>
      <c r="B533" t="s">
        <v>502</v>
      </c>
      <c r="C533" t="s">
        <v>72</v>
      </c>
      <c r="D533" s="12">
        <v>46244</v>
      </c>
      <c r="E533" t="s">
        <v>134</v>
      </c>
      <c r="F533" t="s">
        <v>134</v>
      </c>
      <c r="G533" t="s">
        <v>134</v>
      </c>
      <c r="H533" t="s">
        <v>73</v>
      </c>
      <c r="I533">
        <v>10</v>
      </c>
      <c r="J533">
        <v>2.6268630234208659</v>
      </c>
      <c r="K533">
        <v>46244</v>
      </c>
      <c r="L533" t="s">
        <v>200</v>
      </c>
      <c r="M533">
        <v>0</v>
      </c>
      <c r="N533">
        <v>0</v>
      </c>
      <c r="O533">
        <v>2.003063725490196</v>
      </c>
      <c r="P533">
        <v>0</v>
      </c>
      <c r="Q533">
        <v>0</v>
      </c>
      <c r="R533">
        <v>0.76253070968340053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0.76253070968340053</v>
      </c>
      <c r="AC533">
        <v>0.23746929031659947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J533">
        <v>0</v>
      </c>
      <c r="BK533">
        <v>0</v>
      </c>
      <c r="BL533">
        <v>1.3114225922982115</v>
      </c>
      <c r="BM533">
        <v>0.31142259229821145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1</v>
      </c>
      <c r="CF533">
        <v>1</v>
      </c>
    </row>
    <row r="534" spans="1:84" hidden="1" x14ac:dyDescent="0.25">
      <c r="A534" t="s">
        <v>128</v>
      </c>
      <c r="B534" t="s">
        <v>502</v>
      </c>
      <c r="C534" t="s">
        <v>116</v>
      </c>
      <c r="D534" s="12"/>
      <c r="J534">
        <v>934.6252383985136</v>
      </c>
      <c r="M534">
        <v>1912.3499999999992</v>
      </c>
      <c r="N534">
        <v>1912.3499999999992</v>
      </c>
      <c r="O534">
        <v>955.7674868783289</v>
      </c>
      <c r="S534">
        <v>1.6588432978011312E-4</v>
      </c>
      <c r="T534">
        <v>0</v>
      </c>
      <c r="U534">
        <v>1.0942232592127803</v>
      </c>
      <c r="V534">
        <v>0</v>
      </c>
      <c r="W534">
        <v>1.7468142210842915E-2</v>
      </c>
      <c r="X534">
        <v>0</v>
      </c>
      <c r="Y534">
        <v>0.11199311559966062</v>
      </c>
      <c r="Z534">
        <v>0</v>
      </c>
      <c r="AA534">
        <v>6.6011105523851199E-2</v>
      </c>
      <c r="AB534">
        <v>0.1609222428843157</v>
      </c>
      <c r="AC534">
        <v>9.9410702184001776E-2</v>
      </c>
      <c r="AD534">
        <v>0</v>
      </c>
      <c r="AE534">
        <v>2.0938218174705741E-2</v>
      </c>
      <c r="AF534">
        <v>0</v>
      </c>
      <c r="AG534">
        <v>0.7171842858756422</v>
      </c>
      <c r="AH534">
        <v>0</v>
      </c>
      <c r="AI534">
        <v>0</v>
      </c>
      <c r="AJ534">
        <v>0</v>
      </c>
      <c r="AK534">
        <v>1.5445508813364368E-3</v>
      </c>
      <c r="AL534">
        <v>0</v>
      </c>
    </row>
    <row r="535" spans="1:84" hidden="1" x14ac:dyDescent="0.25">
      <c r="A535" t="s">
        <v>128</v>
      </c>
      <c r="B535" t="s">
        <v>502</v>
      </c>
      <c r="C535" t="s">
        <v>72</v>
      </c>
      <c r="D535" s="12">
        <v>46243</v>
      </c>
      <c r="E535" t="s">
        <v>134</v>
      </c>
      <c r="F535" t="s">
        <v>134</v>
      </c>
      <c r="G535" t="s">
        <v>134</v>
      </c>
      <c r="H535" t="s">
        <v>75</v>
      </c>
      <c r="I535">
        <v>10</v>
      </c>
      <c r="J535">
        <v>2.4017033356990769</v>
      </c>
      <c r="K535">
        <v>46243</v>
      </c>
      <c r="L535" t="s">
        <v>202</v>
      </c>
      <c r="M535">
        <v>0</v>
      </c>
      <c r="N535">
        <v>0</v>
      </c>
      <c r="O535">
        <v>1.9930795847750864</v>
      </c>
      <c r="P535">
        <v>0</v>
      </c>
      <c r="Q535">
        <v>0</v>
      </c>
      <c r="R535">
        <v>0.82986085548111621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0.82986085548111621</v>
      </c>
      <c r="AC535">
        <v>0.17013914451888379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J535">
        <v>0</v>
      </c>
      <c r="BK535">
        <v>0</v>
      </c>
      <c r="BL535">
        <v>1.2050212916962384</v>
      </c>
      <c r="BM535">
        <v>0.20502129169623839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1</v>
      </c>
      <c r="CF535">
        <v>1</v>
      </c>
    </row>
    <row r="536" spans="1:84" hidden="1" x14ac:dyDescent="0.25">
      <c r="A536" t="s">
        <v>128</v>
      </c>
      <c r="B536" t="s">
        <v>502</v>
      </c>
      <c r="C536" t="s">
        <v>72</v>
      </c>
      <c r="D536" s="12">
        <v>46243</v>
      </c>
      <c r="E536" t="s">
        <v>134</v>
      </c>
      <c r="F536" t="s">
        <v>134</v>
      </c>
      <c r="G536" t="s">
        <v>134</v>
      </c>
      <c r="H536" t="s">
        <v>74</v>
      </c>
      <c r="I536">
        <v>10</v>
      </c>
      <c r="J536">
        <v>2.7219304471256209</v>
      </c>
      <c r="K536">
        <v>46243</v>
      </c>
      <c r="L536" t="s">
        <v>211</v>
      </c>
      <c r="M536">
        <v>0</v>
      </c>
      <c r="N536">
        <v>0</v>
      </c>
      <c r="O536">
        <v>2.0078431372549019</v>
      </c>
      <c r="P536">
        <v>0</v>
      </c>
      <c r="Q536">
        <v>0</v>
      </c>
      <c r="R536">
        <v>0.73765409376099211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0.73765409376099211</v>
      </c>
      <c r="AC536">
        <v>0.26234590623900789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J536">
        <v>0</v>
      </c>
      <c r="BK536">
        <v>0</v>
      </c>
      <c r="BL536">
        <v>1.3556489531582683</v>
      </c>
      <c r="BM536">
        <v>0.35564895315826828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1</v>
      </c>
      <c r="CF536">
        <v>1</v>
      </c>
    </row>
    <row r="537" spans="1:84" hidden="1" x14ac:dyDescent="0.25">
      <c r="A537" t="s">
        <v>128</v>
      </c>
      <c r="B537" t="s">
        <v>502</v>
      </c>
      <c r="C537" t="s">
        <v>117</v>
      </c>
      <c r="D537" s="12">
        <v>46223</v>
      </c>
      <c r="J537">
        <v>33.570533361079391</v>
      </c>
      <c r="M537">
        <v>80.75</v>
      </c>
      <c r="N537">
        <v>80.75</v>
      </c>
      <c r="O537">
        <v>35.94653580182073</v>
      </c>
      <c r="S537">
        <v>0</v>
      </c>
      <c r="T537">
        <v>0</v>
      </c>
      <c r="U537">
        <v>1.3393776426112265</v>
      </c>
      <c r="V537">
        <v>0</v>
      </c>
      <c r="W537">
        <v>4.498924333632931E-2</v>
      </c>
      <c r="X537">
        <v>0</v>
      </c>
      <c r="Y537">
        <v>0.13461899335569089</v>
      </c>
      <c r="Z537">
        <v>0</v>
      </c>
      <c r="AA537">
        <v>6.5958985139352555E-2</v>
      </c>
      <c r="AB537">
        <v>0.11392288864342687</v>
      </c>
      <c r="AC537">
        <v>6.5638685296585716E-2</v>
      </c>
      <c r="AD537">
        <v>0</v>
      </c>
      <c r="AE537">
        <v>4.3193123294473647E-2</v>
      </c>
      <c r="AF537">
        <v>0</v>
      </c>
      <c r="AG537">
        <v>0.77724530276551362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84" hidden="1" x14ac:dyDescent="0.25">
      <c r="A538" t="s">
        <v>128</v>
      </c>
      <c r="B538" t="s">
        <v>502</v>
      </c>
      <c r="C538" t="s">
        <v>72</v>
      </c>
      <c r="D538" s="12">
        <v>46243</v>
      </c>
      <c r="E538" t="s">
        <v>134</v>
      </c>
      <c r="F538" t="s">
        <v>134</v>
      </c>
      <c r="G538" t="s">
        <v>134</v>
      </c>
      <c r="H538" t="s">
        <v>73</v>
      </c>
      <c r="I538">
        <v>10</v>
      </c>
      <c r="J538">
        <v>0</v>
      </c>
      <c r="K538">
        <v>46243</v>
      </c>
      <c r="L538" t="s">
        <v>203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F538">
        <v>0</v>
      </c>
    </row>
    <row r="539" spans="1:84" hidden="1" x14ac:dyDescent="0.25">
      <c r="A539" t="s">
        <v>128</v>
      </c>
      <c r="B539" t="s">
        <v>502</v>
      </c>
      <c r="C539" t="s">
        <v>117</v>
      </c>
      <c r="D539" s="12">
        <v>46224</v>
      </c>
      <c r="J539">
        <v>34.791659695654587</v>
      </c>
      <c r="M539">
        <v>80.75</v>
      </c>
      <c r="N539">
        <v>80.75</v>
      </c>
      <c r="O539">
        <v>36.560539215686283</v>
      </c>
      <c r="S539">
        <v>0</v>
      </c>
      <c r="T539">
        <v>0</v>
      </c>
      <c r="U539">
        <v>1.2902526585240648</v>
      </c>
      <c r="V539">
        <v>0</v>
      </c>
      <c r="W539">
        <v>5.6263351929675472E-2</v>
      </c>
      <c r="X539">
        <v>0</v>
      </c>
      <c r="Y539">
        <v>0.12950048391672861</v>
      </c>
      <c r="Z539">
        <v>0</v>
      </c>
      <c r="AA539">
        <v>5.9926944827975358E-2</v>
      </c>
      <c r="AB539">
        <v>0.14312084586547624</v>
      </c>
      <c r="AC539">
        <v>7.1864044463121432E-2</v>
      </c>
      <c r="AD539">
        <v>0</v>
      </c>
      <c r="AE539">
        <v>6.3057735111600344E-2</v>
      </c>
      <c r="AF539">
        <v>0</v>
      </c>
      <c r="AG539">
        <v>0.72195737455980202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84" hidden="1" x14ac:dyDescent="0.25">
      <c r="A540" t="s">
        <v>128</v>
      </c>
      <c r="B540" t="s">
        <v>502</v>
      </c>
      <c r="C540" t="s">
        <v>72</v>
      </c>
      <c r="D540" s="12">
        <v>46245</v>
      </c>
      <c r="E540" t="s">
        <v>134</v>
      </c>
      <c r="F540" t="s">
        <v>134</v>
      </c>
      <c r="G540" t="s">
        <v>134</v>
      </c>
      <c r="H540" t="s">
        <v>75</v>
      </c>
      <c r="I540">
        <v>10</v>
      </c>
      <c r="J540">
        <v>2.4017033356990773</v>
      </c>
      <c r="K540">
        <v>46245</v>
      </c>
      <c r="L540" t="s">
        <v>195</v>
      </c>
      <c r="M540">
        <v>0</v>
      </c>
      <c r="N540">
        <v>0</v>
      </c>
      <c r="O540">
        <v>1.9382929642445224</v>
      </c>
      <c r="P540">
        <v>0</v>
      </c>
      <c r="Q540">
        <v>0</v>
      </c>
      <c r="R540">
        <v>0.80704928682639832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0.80704928682639832</v>
      </c>
      <c r="AC540">
        <v>0.19295071317360168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J540">
        <v>0</v>
      </c>
      <c r="BK540">
        <v>0</v>
      </c>
      <c r="BL540">
        <v>1.2390816971443612</v>
      </c>
      <c r="BM540">
        <v>0.23908169714436123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</v>
      </c>
      <c r="CF540">
        <v>1</v>
      </c>
    </row>
    <row r="541" spans="1:84" hidden="1" x14ac:dyDescent="0.25">
      <c r="A541" t="s">
        <v>128</v>
      </c>
      <c r="B541" t="s">
        <v>502</v>
      </c>
      <c r="C541" t="s">
        <v>109</v>
      </c>
      <c r="D541" s="12">
        <v>46249</v>
      </c>
      <c r="E541" t="s">
        <v>501</v>
      </c>
      <c r="F541" t="s">
        <v>501</v>
      </c>
      <c r="G541" t="s">
        <v>501</v>
      </c>
      <c r="J541">
        <v>3.3060473611954952</v>
      </c>
      <c r="M541">
        <v>0</v>
      </c>
      <c r="N541">
        <v>0</v>
      </c>
      <c r="O541">
        <v>1.9861591695501728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0.60076549200794283</v>
      </c>
      <c r="AC541">
        <v>0.39923450799205723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84" hidden="1" x14ac:dyDescent="0.25">
      <c r="A542" t="s">
        <v>128</v>
      </c>
      <c r="B542" t="s">
        <v>502</v>
      </c>
      <c r="C542" t="s">
        <v>72</v>
      </c>
      <c r="D542" s="12">
        <v>46249</v>
      </c>
      <c r="E542" t="s">
        <v>134</v>
      </c>
      <c r="F542" t="s">
        <v>134</v>
      </c>
      <c r="G542" t="s">
        <v>134</v>
      </c>
      <c r="H542" t="s">
        <v>73</v>
      </c>
      <c r="I542">
        <v>10</v>
      </c>
      <c r="J542">
        <v>0</v>
      </c>
      <c r="K542">
        <v>46249</v>
      </c>
      <c r="L542" t="s">
        <v>155</v>
      </c>
      <c r="M542">
        <v>0</v>
      </c>
      <c r="N542">
        <v>0</v>
      </c>
      <c r="O542">
        <v>1.1176470588235294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F542">
        <v>0</v>
      </c>
    </row>
    <row r="543" spans="1:84" hidden="1" x14ac:dyDescent="0.25">
      <c r="A543" t="s">
        <v>128</v>
      </c>
      <c r="B543" t="s">
        <v>502</v>
      </c>
      <c r="C543" t="s">
        <v>109</v>
      </c>
      <c r="D543" s="12">
        <v>46249</v>
      </c>
      <c r="E543" t="s">
        <v>133</v>
      </c>
      <c r="F543" t="s">
        <v>133</v>
      </c>
      <c r="G543" t="s">
        <v>133</v>
      </c>
      <c r="J543">
        <v>22.404432068608457</v>
      </c>
      <c r="M543">
        <v>57</v>
      </c>
      <c r="N543">
        <v>57</v>
      </c>
      <c r="O543">
        <v>25.749999999999996</v>
      </c>
      <c r="S543">
        <v>0</v>
      </c>
      <c r="T543">
        <v>0</v>
      </c>
      <c r="U543">
        <v>1.2941394731832754</v>
      </c>
      <c r="V543">
        <v>0</v>
      </c>
      <c r="W543">
        <v>0</v>
      </c>
      <c r="X543">
        <v>0</v>
      </c>
      <c r="Y543">
        <v>0.14932616551700581</v>
      </c>
      <c r="Z543">
        <v>0</v>
      </c>
      <c r="AA543">
        <v>0.10067383448299419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84" hidden="1" x14ac:dyDescent="0.25">
      <c r="A544" t="s">
        <v>128</v>
      </c>
      <c r="B544" t="s">
        <v>502</v>
      </c>
      <c r="C544" t="s">
        <v>109</v>
      </c>
      <c r="D544" s="12">
        <v>46245</v>
      </c>
      <c r="E544" t="s">
        <v>134</v>
      </c>
      <c r="F544" t="s">
        <v>134</v>
      </c>
      <c r="G544" t="s">
        <v>134</v>
      </c>
      <c r="J544">
        <v>9.1014549325762939</v>
      </c>
      <c r="M544">
        <v>0</v>
      </c>
      <c r="N544">
        <v>0</v>
      </c>
      <c r="O544">
        <v>5.066846885813149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0.55670735320324305</v>
      </c>
      <c r="AC544">
        <v>0.4432926467967569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hidden="1" x14ac:dyDescent="0.25">
      <c r="A545" t="s">
        <v>128</v>
      </c>
      <c r="B545" t="s">
        <v>502</v>
      </c>
      <c r="C545" t="s">
        <v>109</v>
      </c>
      <c r="D545" s="12">
        <v>46226</v>
      </c>
      <c r="E545" t="s">
        <v>133</v>
      </c>
      <c r="F545" t="s">
        <v>133</v>
      </c>
      <c r="G545" t="s">
        <v>133</v>
      </c>
      <c r="J545">
        <v>22.404432068608465</v>
      </c>
      <c r="M545">
        <v>76</v>
      </c>
      <c r="N545">
        <v>76</v>
      </c>
      <c r="O545">
        <v>28.191666666666659</v>
      </c>
      <c r="S545">
        <v>0</v>
      </c>
      <c r="T545">
        <v>0</v>
      </c>
      <c r="U545">
        <v>2.1042384654979065</v>
      </c>
      <c r="V545">
        <v>0</v>
      </c>
      <c r="W545">
        <v>3.7947498746459328E-2</v>
      </c>
      <c r="X545">
        <v>0</v>
      </c>
      <c r="Y545">
        <v>0.22036007987620385</v>
      </c>
      <c r="Z545">
        <v>0</v>
      </c>
      <c r="AA545">
        <v>2.963992012379613E-2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hidden="1" x14ac:dyDescent="0.25">
      <c r="A546" t="s">
        <v>128</v>
      </c>
      <c r="B546" t="s">
        <v>502</v>
      </c>
      <c r="C546" t="s">
        <v>109</v>
      </c>
      <c r="D546" s="12">
        <v>46246</v>
      </c>
      <c r="E546" t="s">
        <v>133</v>
      </c>
      <c r="F546" t="s">
        <v>133</v>
      </c>
      <c r="G546" t="s">
        <v>133</v>
      </c>
      <c r="J546">
        <v>22.568767756153267</v>
      </c>
      <c r="M546">
        <v>60.8</v>
      </c>
      <c r="N546">
        <v>60.8</v>
      </c>
      <c r="O546">
        <v>24.999999999999996</v>
      </c>
      <c r="S546">
        <v>0</v>
      </c>
      <c r="T546">
        <v>0</v>
      </c>
      <c r="U546">
        <v>1.4439884648076615</v>
      </c>
      <c r="V546">
        <v>0</v>
      </c>
      <c r="W546">
        <v>0</v>
      </c>
      <c r="X546">
        <v>0</v>
      </c>
      <c r="Y546">
        <v>0.10772552006893975</v>
      </c>
      <c r="Z546">
        <v>0</v>
      </c>
      <c r="AA546">
        <v>0.14227447993106024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hidden="1" x14ac:dyDescent="0.25">
      <c r="A547" t="s">
        <v>128</v>
      </c>
      <c r="B547" t="s">
        <v>502</v>
      </c>
      <c r="C547" t="s">
        <v>109</v>
      </c>
      <c r="D547" s="12">
        <v>46225</v>
      </c>
      <c r="E547" t="s">
        <v>134</v>
      </c>
      <c r="F547" t="s">
        <v>134</v>
      </c>
      <c r="G547" t="s">
        <v>134</v>
      </c>
      <c r="J547">
        <v>7.7504968062455646</v>
      </c>
      <c r="M547">
        <v>8.5500000000000007</v>
      </c>
      <c r="N547">
        <v>8.5500000000000007</v>
      </c>
      <c r="O547">
        <v>6.1189302191464829</v>
      </c>
      <c r="S547">
        <v>0</v>
      </c>
      <c r="T547">
        <v>0</v>
      </c>
      <c r="U547">
        <v>0.29214798840707096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0.1622014202711427</v>
      </c>
      <c r="AB547">
        <v>0.25905992705356984</v>
      </c>
      <c r="AC547">
        <v>9.2134391861859455E-2</v>
      </c>
      <c r="AD547">
        <v>0</v>
      </c>
      <c r="AE547">
        <v>0.11837683443583036</v>
      </c>
      <c r="AF547">
        <v>0</v>
      </c>
      <c r="AG547">
        <v>0.53042884664874046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hidden="1" x14ac:dyDescent="0.25">
      <c r="A548" t="s">
        <v>128</v>
      </c>
      <c r="B548" t="s">
        <v>502</v>
      </c>
      <c r="C548" t="s">
        <v>109</v>
      </c>
      <c r="D548" s="12">
        <v>46225</v>
      </c>
      <c r="E548" t="s">
        <v>501</v>
      </c>
      <c r="F548" t="s">
        <v>501</v>
      </c>
      <c r="G548" t="s">
        <v>501</v>
      </c>
      <c r="J548">
        <v>3.4607162435906065</v>
      </c>
      <c r="M548">
        <v>0</v>
      </c>
      <c r="N548">
        <v>0</v>
      </c>
      <c r="O548">
        <v>1.8166089965397925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0.52492283928340833</v>
      </c>
      <c r="AC548">
        <v>0.47507716071659167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hidden="1" x14ac:dyDescent="0.25">
      <c r="A549" t="s">
        <v>128</v>
      </c>
      <c r="B549" t="s">
        <v>502</v>
      </c>
      <c r="C549" t="s">
        <v>109</v>
      </c>
      <c r="D549" s="12">
        <v>46246</v>
      </c>
      <c r="E549" t="s">
        <v>501</v>
      </c>
      <c r="F549" t="s">
        <v>501</v>
      </c>
      <c r="G549" t="s">
        <v>501</v>
      </c>
      <c r="J549">
        <v>3.2416019935308658</v>
      </c>
      <c r="M549">
        <v>0</v>
      </c>
      <c r="N549">
        <v>0</v>
      </c>
      <c r="O549">
        <v>2.5666089965397925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0.7917717849575211</v>
      </c>
      <c r="AC549">
        <v>0.20822821504247893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hidden="1" x14ac:dyDescent="0.25">
      <c r="A550" t="s">
        <v>128</v>
      </c>
      <c r="B550" t="s">
        <v>502</v>
      </c>
      <c r="C550" t="s">
        <v>109</v>
      </c>
      <c r="D550" s="12">
        <v>46225</v>
      </c>
      <c r="E550" t="s">
        <v>133</v>
      </c>
      <c r="F550" t="s">
        <v>133</v>
      </c>
      <c r="G550" t="s">
        <v>133</v>
      </c>
      <c r="J550">
        <v>22.459210631123391</v>
      </c>
      <c r="M550">
        <v>62.699999999999996</v>
      </c>
      <c r="N550">
        <v>62.699999999999996</v>
      </c>
      <c r="O550">
        <v>28.312499999999996</v>
      </c>
      <c r="S550">
        <v>0</v>
      </c>
      <c r="T550">
        <v>0</v>
      </c>
      <c r="U550">
        <v>1.4698089035016986</v>
      </c>
      <c r="V550">
        <v>0</v>
      </c>
      <c r="W550">
        <v>7.1918776949899857E-2</v>
      </c>
      <c r="X550">
        <v>0</v>
      </c>
      <c r="Y550">
        <v>0.20060975609756099</v>
      </c>
      <c r="Z550">
        <v>0</v>
      </c>
      <c r="AA550">
        <v>4.9390243902439034E-2</v>
      </c>
      <c r="AB550">
        <v>0</v>
      </c>
      <c r="AC550">
        <v>0</v>
      </c>
      <c r="AD550">
        <v>0</v>
      </c>
      <c r="AE550">
        <v>1.1909873513395711E-2</v>
      </c>
      <c r="AF550">
        <v>0</v>
      </c>
      <c r="AG550">
        <v>0.98809012648660433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hidden="1" x14ac:dyDescent="0.25">
      <c r="A551" t="s">
        <v>128</v>
      </c>
      <c r="B551" t="s">
        <v>502</v>
      </c>
      <c r="C551" t="s">
        <v>109</v>
      </c>
      <c r="D551" s="12">
        <v>46224</v>
      </c>
      <c r="E551" t="s">
        <v>134</v>
      </c>
      <c r="F551" t="s">
        <v>134</v>
      </c>
      <c r="G551" t="s">
        <v>134</v>
      </c>
      <c r="J551">
        <v>9.0264017033356989</v>
      </c>
      <c r="M551">
        <v>6.6499999999999995</v>
      </c>
      <c r="N551">
        <v>6.6499999999999995</v>
      </c>
      <c r="O551">
        <v>6.1189302191464821</v>
      </c>
      <c r="S551">
        <v>0</v>
      </c>
      <c r="T551">
        <v>0</v>
      </c>
      <c r="U551">
        <v>9.1015238005378071E-2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0.10809312638580931</v>
      </c>
      <c r="AB551">
        <v>0.35039463920570685</v>
      </c>
      <c r="AC551">
        <v>0.11198604359531843</v>
      </c>
      <c r="AD551">
        <v>0</v>
      </c>
      <c r="AE551">
        <v>0.21012143397403935</v>
      </c>
      <c r="AF551">
        <v>0</v>
      </c>
      <c r="AG551">
        <v>0.32749788322493534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25">
      <c r="A552" t="s">
        <v>128</v>
      </c>
      <c r="B552" t="s">
        <v>502</v>
      </c>
      <c r="C552" t="s">
        <v>109</v>
      </c>
      <c r="D552" s="12">
        <v>46246</v>
      </c>
      <c r="E552" t="s">
        <v>134</v>
      </c>
      <c r="F552" t="s">
        <v>134</v>
      </c>
      <c r="G552" t="s">
        <v>134</v>
      </c>
      <c r="J552">
        <v>9.1765081618168907</v>
      </c>
      <c r="M552">
        <v>0</v>
      </c>
      <c r="N552">
        <v>0</v>
      </c>
      <c r="O552">
        <v>5.066846885813149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0.55215413057617169</v>
      </c>
      <c r="AC552">
        <v>0.44784586942382826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128</v>
      </c>
      <c r="B553" t="s">
        <v>502</v>
      </c>
      <c r="C553" t="s">
        <v>109</v>
      </c>
      <c r="D553" s="12">
        <v>46224</v>
      </c>
      <c r="E553" t="s">
        <v>501</v>
      </c>
      <c r="F553" t="s">
        <v>501</v>
      </c>
      <c r="G553" t="s">
        <v>501</v>
      </c>
      <c r="J553">
        <v>3.3060473611954952</v>
      </c>
      <c r="M553">
        <v>0</v>
      </c>
      <c r="N553">
        <v>0</v>
      </c>
      <c r="O553">
        <v>1.8166089965397925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0.5494806329340941</v>
      </c>
      <c r="AC553">
        <v>0.45051936706590595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128</v>
      </c>
      <c r="B554" t="s">
        <v>502</v>
      </c>
      <c r="C554" t="s">
        <v>109</v>
      </c>
      <c r="D554" s="12">
        <v>46247</v>
      </c>
      <c r="E554" t="s">
        <v>133</v>
      </c>
      <c r="F554" t="s">
        <v>133</v>
      </c>
      <c r="G554" t="s">
        <v>133</v>
      </c>
      <c r="J554">
        <v>22.513989193638331</v>
      </c>
      <c r="M554">
        <v>74.099999999999994</v>
      </c>
      <c r="N554">
        <v>74.099999999999994</v>
      </c>
      <c r="O554">
        <v>24.124999999999996</v>
      </c>
      <c r="S554">
        <v>0</v>
      </c>
      <c r="T554">
        <v>0</v>
      </c>
      <c r="U554">
        <v>2.0412870021692147</v>
      </c>
      <c r="V554">
        <v>0</v>
      </c>
      <c r="W554">
        <v>0</v>
      </c>
      <c r="X554">
        <v>0</v>
      </c>
      <c r="Y554">
        <v>7.1555990922163415E-2</v>
      </c>
      <c r="Z554">
        <v>0</v>
      </c>
      <c r="AA554">
        <v>0.17844400907783656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128</v>
      </c>
      <c r="B555" t="s">
        <v>502</v>
      </c>
      <c r="C555" t="s">
        <v>109</v>
      </c>
      <c r="D555" s="12">
        <v>46224</v>
      </c>
      <c r="E555" t="s">
        <v>133</v>
      </c>
      <c r="F555" t="s">
        <v>133</v>
      </c>
      <c r="G555" t="s">
        <v>133</v>
      </c>
      <c r="J555">
        <v>22.459210631123394</v>
      </c>
      <c r="M555">
        <v>74.099999999999994</v>
      </c>
      <c r="N555">
        <v>74.099999999999994</v>
      </c>
      <c r="O555">
        <v>28.625000000000007</v>
      </c>
      <c r="S555">
        <v>0</v>
      </c>
      <c r="T555">
        <v>0</v>
      </c>
      <c r="U555">
        <v>1.9621567312055328</v>
      </c>
      <c r="V555">
        <v>0</v>
      </c>
      <c r="W555">
        <v>8.7157800237265395E-2</v>
      </c>
      <c r="X555">
        <v>0</v>
      </c>
      <c r="Y555">
        <v>0.20060975609756096</v>
      </c>
      <c r="Z555">
        <v>0</v>
      </c>
      <c r="AA555">
        <v>4.9390243902439027E-2</v>
      </c>
      <c r="AB555">
        <v>0</v>
      </c>
      <c r="AC555">
        <v>0</v>
      </c>
      <c r="AD555">
        <v>0</v>
      </c>
      <c r="AE555">
        <v>1.3234783560870541E-2</v>
      </c>
      <c r="AF555">
        <v>0</v>
      </c>
      <c r="AG555">
        <v>0.98676521643912951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128</v>
      </c>
      <c r="B556" t="s">
        <v>502</v>
      </c>
      <c r="C556" t="s">
        <v>109</v>
      </c>
      <c r="D556" s="12">
        <v>46223</v>
      </c>
      <c r="E556" t="s">
        <v>134</v>
      </c>
      <c r="F556" t="s">
        <v>134</v>
      </c>
      <c r="G556" t="s">
        <v>134</v>
      </c>
      <c r="J556">
        <v>7.7504968062455655</v>
      </c>
      <c r="M556">
        <v>8.5499999999999989</v>
      </c>
      <c r="N556">
        <v>8.5499999999999989</v>
      </c>
      <c r="O556">
        <v>5.8836361014994241</v>
      </c>
      <c r="S556">
        <v>0</v>
      </c>
      <c r="T556">
        <v>0</v>
      </c>
      <c r="U556">
        <v>0.31177630042717996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0.14257310825103353</v>
      </c>
      <c r="AB556">
        <v>0.25905992705356978</v>
      </c>
      <c r="AC556">
        <v>9.2134391861859441E-2</v>
      </c>
      <c r="AD556">
        <v>0</v>
      </c>
      <c r="AE556">
        <v>0.1487354196374206</v>
      </c>
      <c r="AF556">
        <v>0</v>
      </c>
      <c r="AG556">
        <v>0.50007026144715017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128</v>
      </c>
      <c r="B557" t="s">
        <v>502</v>
      </c>
      <c r="C557" t="s">
        <v>109</v>
      </c>
      <c r="D557" s="12">
        <v>46247</v>
      </c>
      <c r="E557" t="s">
        <v>501</v>
      </c>
      <c r="F557" t="s">
        <v>501</v>
      </c>
      <c r="G557" t="s">
        <v>501</v>
      </c>
      <c r="J557">
        <v>3.3060473611954952</v>
      </c>
      <c r="M557">
        <v>0</v>
      </c>
      <c r="N557">
        <v>0</v>
      </c>
      <c r="O557">
        <v>2.692041522491349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0.81427796651947648</v>
      </c>
      <c r="AC557">
        <v>0.18572203348052355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128</v>
      </c>
      <c r="B558" t="s">
        <v>502</v>
      </c>
      <c r="C558" t="s">
        <v>109</v>
      </c>
      <c r="D558" s="12">
        <v>46223</v>
      </c>
      <c r="E558" t="s">
        <v>501</v>
      </c>
      <c r="F558" t="s">
        <v>501</v>
      </c>
      <c r="G558" t="s">
        <v>501</v>
      </c>
      <c r="J558">
        <v>3.3060473611954957</v>
      </c>
      <c r="M558">
        <v>0</v>
      </c>
      <c r="N558">
        <v>0</v>
      </c>
      <c r="O558">
        <v>1.8166089965397925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0.5494806329340941</v>
      </c>
      <c r="AC558">
        <v>0.45051936706590595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128</v>
      </c>
      <c r="B559" t="s">
        <v>502</v>
      </c>
      <c r="C559" t="s">
        <v>109</v>
      </c>
      <c r="D559" s="12">
        <v>46247</v>
      </c>
      <c r="E559" t="s">
        <v>134</v>
      </c>
      <c r="F559" t="s">
        <v>134</v>
      </c>
      <c r="G559" t="s">
        <v>134</v>
      </c>
      <c r="J559">
        <v>7.7504968062455646</v>
      </c>
      <c r="M559">
        <v>0</v>
      </c>
      <c r="N559">
        <v>0</v>
      </c>
      <c r="O559">
        <v>6.059926470588235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0.7818758748090805</v>
      </c>
      <c r="AC559">
        <v>0.21812412519091948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128</v>
      </c>
      <c r="B560" t="s">
        <v>502</v>
      </c>
      <c r="C560" t="s">
        <v>109</v>
      </c>
      <c r="D560" s="12">
        <v>46223</v>
      </c>
      <c r="E560" t="s">
        <v>133</v>
      </c>
      <c r="F560" t="s">
        <v>133</v>
      </c>
      <c r="G560" t="s">
        <v>133</v>
      </c>
      <c r="J560">
        <v>22.513989193638331</v>
      </c>
      <c r="M560">
        <v>72.2</v>
      </c>
      <c r="N560">
        <v>72.2</v>
      </c>
      <c r="O560">
        <v>28.246290703781515</v>
      </c>
      <c r="S560">
        <v>0</v>
      </c>
      <c r="T560">
        <v>0</v>
      </c>
      <c r="U560">
        <v>1.8898117187362995</v>
      </c>
      <c r="V560">
        <v>0</v>
      </c>
      <c r="W560">
        <v>6.70833090183202E-2</v>
      </c>
      <c r="X560">
        <v>0</v>
      </c>
      <c r="Y560">
        <v>0.20072992700729925</v>
      </c>
      <c r="Z560">
        <v>0</v>
      </c>
      <c r="AA560">
        <v>4.9270072992700732E-2</v>
      </c>
      <c r="AB560">
        <v>0</v>
      </c>
      <c r="AC560">
        <v>0</v>
      </c>
      <c r="AD560">
        <v>0</v>
      </c>
      <c r="AE560">
        <v>1.3202582141014406E-2</v>
      </c>
      <c r="AF560">
        <v>0</v>
      </c>
      <c r="AG560">
        <v>0.98679741785898545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84" hidden="1" x14ac:dyDescent="0.25">
      <c r="A561" t="s">
        <v>128</v>
      </c>
      <c r="B561" t="s">
        <v>502</v>
      </c>
      <c r="C561" t="s">
        <v>109</v>
      </c>
      <c r="D561" s="12">
        <v>46248</v>
      </c>
      <c r="E561" t="s">
        <v>133</v>
      </c>
      <c r="F561" t="s">
        <v>133</v>
      </c>
      <c r="G561" t="s">
        <v>133</v>
      </c>
      <c r="J561">
        <v>22.459210631123394</v>
      </c>
      <c r="M561">
        <v>72.199999999999989</v>
      </c>
      <c r="N561">
        <v>72.199999999999989</v>
      </c>
      <c r="O561">
        <v>25.187499999999996</v>
      </c>
      <c r="S561">
        <v>0</v>
      </c>
      <c r="T561">
        <v>0</v>
      </c>
      <c r="U561">
        <v>1.9647167229442652</v>
      </c>
      <c r="V561">
        <v>0</v>
      </c>
      <c r="W561">
        <v>0</v>
      </c>
      <c r="X561">
        <v>0</v>
      </c>
      <c r="Y561">
        <v>0.12147752713516162</v>
      </c>
      <c r="Z561">
        <v>0</v>
      </c>
      <c r="AA561">
        <v>0.12852247286483839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84" hidden="1" x14ac:dyDescent="0.25">
      <c r="A562" t="s">
        <v>128</v>
      </c>
      <c r="B562" t="s">
        <v>502</v>
      </c>
      <c r="C562" t="s">
        <v>72</v>
      </c>
      <c r="D562" s="12">
        <v>46250</v>
      </c>
      <c r="E562" t="s">
        <v>134</v>
      </c>
      <c r="F562" t="s">
        <v>134</v>
      </c>
      <c r="G562" t="s">
        <v>134</v>
      </c>
      <c r="H562" t="s">
        <v>75</v>
      </c>
      <c r="I562">
        <v>10</v>
      </c>
      <c r="J562">
        <v>2.4017033356990769</v>
      </c>
      <c r="K562">
        <v>46250</v>
      </c>
      <c r="L562" t="s">
        <v>171</v>
      </c>
      <c r="M562">
        <v>0</v>
      </c>
      <c r="N562">
        <v>0</v>
      </c>
      <c r="O562">
        <v>1.8823529411764703</v>
      </c>
      <c r="P562">
        <v>0</v>
      </c>
      <c r="Q562">
        <v>0</v>
      </c>
      <c r="R562">
        <v>0.78375747462105416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0.78375747462105416</v>
      </c>
      <c r="AC562">
        <v>0.21624252537894584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</v>
      </c>
      <c r="BJ562">
        <v>0</v>
      </c>
      <c r="BK562">
        <v>0</v>
      </c>
      <c r="BL562">
        <v>1.2759048970901348</v>
      </c>
      <c r="BM562">
        <v>0.27590489709013477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1</v>
      </c>
    </row>
    <row r="563" spans="1:84" hidden="1" x14ac:dyDescent="0.25">
      <c r="A563" t="s">
        <v>128</v>
      </c>
      <c r="B563" t="s">
        <v>502</v>
      </c>
      <c r="C563" t="s">
        <v>109</v>
      </c>
      <c r="D563" s="12">
        <v>46248</v>
      </c>
      <c r="E563" t="s">
        <v>501</v>
      </c>
      <c r="F563" t="s">
        <v>501</v>
      </c>
      <c r="G563" t="s">
        <v>501</v>
      </c>
      <c r="J563">
        <v>3.3060473611954952</v>
      </c>
      <c r="M563">
        <v>0</v>
      </c>
      <c r="N563">
        <v>0</v>
      </c>
      <c r="O563">
        <v>2.692041522491349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0.81427796651947648</v>
      </c>
      <c r="AC563">
        <v>0.18572203348052355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84" hidden="1" x14ac:dyDescent="0.25">
      <c r="A564" t="s">
        <v>128</v>
      </c>
      <c r="B564" t="s">
        <v>502</v>
      </c>
      <c r="C564" t="s">
        <v>72</v>
      </c>
      <c r="D564" s="12">
        <v>46250</v>
      </c>
      <c r="E564" t="s">
        <v>134</v>
      </c>
      <c r="F564" t="s">
        <v>134</v>
      </c>
      <c r="G564" t="s">
        <v>134</v>
      </c>
      <c r="H564" t="s">
        <v>74</v>
      </c>
      <c r="I564">
        <v>10</v>
      </c>
      <c r="J564">
        <v>2.7219304471256209</v>
      </c>
      <c r="K564">
        <v>46250</v>
      </c>
      <c r="L564" t="s">
        <v>170</v>
      </c>
      <c r="M564">
        <v>0</v>
      </c>
      <c r="N564">
        <v>0</v>
      </c>
      <c r="O564">
        <v>2.0078431372549019</v>
      </c>
      <c r="P564">
        <v>0</v>
      </c>
      <c r="Q564">
        <v>0</v>
      </c>
      <c r="R564">
        <v>0.73765409376099211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0.73765409376099211</v>
      </c>
      <c r="AC564">
        <v>0.26234590623900789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J564">
        <v>0</v>
      </c>
      <c r="BK564">
        <v>0</v>
      </c>
      <c r="BL564">
        <v>1.3556489531582683</v>
      </c>
      <c r="BM564">
        <v>0.35564895315826828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1</v>
      </c>
    </row>
    <row r="565" spans="1:84" hidden="1" x14ac:dyDescent="0.25">
      <c r="A565" t="s">
        <v>128</v>
      </c>
      <c r="B565" t="s">
        <v>502</v>
      </c>
      <c r="C565" t="s">
        <v>72</v>
      </c>
      <c r="D565" s="12">
        <v>46250</v>
      </c>
      <c r="E565" t="s">
        <v>134</v>
      </c>
      <c r="F565" t="s">
        <v>134</v>
      </c>
      <c r="G565" t="s">
        <v>134</v>
      </c>
      <c r="H565" t="s">
        <v>73</v>
      </c>
      <c r="I565">
        <v>10</v>
      </c>
      <c r="J565">
        <v>0</v>
      </c>
      <c r="K565">
        <v>46250</v>
      </c>
      <c r="L565" t="s">
        <v>168</v>
      </c>
      <c r="M565">
        <v>0</v>
      </c>
      <c r="N565">
        <v>0</v>
      </c>
      <c r="O565">
        <v>1.1176470588235294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F565">
        <v>0</v>
      </c>
    </row>
    <row r="566" spans="1:84" hidden="1" x14ac:dyDescent="0.25">
      <c r="A566" t="s">
        <v>128</v>
      </c>
      <c r="B566" t="s">
        <v>502</v>
      </c>
      <c r="C566" t="s">
        <v>109</v>
      </c>
      <c r="D566" s="12">
        <v>46248</v>
      </c>
      <c r="E566" t="s">
        <v>134</v>
      </c>
      <c r="F566" t="s">
        <v>134</v>
      </c>
      <c r="G566" t="s">
        <v>134</v>
      </c>
      <c r="J566">
        <v>9.0264017033356989</v>
      </c>
      <c r="M566">
        <v>0</v>
      </c>
      <c r="N566">
        <v>0</v>
      </c>
      <c r="O566">
        <v>6.059926470588235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0.67135572620801864</v>
      </c>
      <c r="AC566">
        <v>0.3286442737919813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84" hidden="1" x14ac:dyDescent="0.25">
      <c r="A567" t="s">
        <v>128</v>
      </c>
      <c r="B567" t="s">
        <v>502</v>
      </c>
      <c r="C567" t="s">
        <v>72</v>
      </c>
      <c r="D567" s="12">
        <v>46249</v>
      </c>
      <c r="E567" t="s">
        <v>134</v>
      </c>
      <c r="F567" t="s">
        <v>134</v>
      </c>
      <c r="G567" t="s">
        <v>134</v>
      </c>
      <c r="H567" t="s">
        <v>75</v>
      </c>
      <c r="I567">
        <v>10</v>
      </c>
      <c r="J567">
        <v>2.4017033356990769</v>
      </c>
      <c r="K567">
        <v>46249</v>
      </c>
      <c r="L567" t="s">
        <v>167</v>
      </c>
      <c r="M567">
        <v>0</v>
      </c>
      <c r="N567">
        <v>0</v>
      </c>
      <c r="O567">
        <v>1.8823529411764703</v>
      </c>
      <c r="P567">
        <v>0</v>
      </c>
      <c r="Q567">
        <v>0</v>
      </c>
      <c r="R567">
        <v>0.78375747462105416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0.78375747462105416</v>
      </c>
      <c r="AC567">
        <v>0.21624252537894584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J567">
        <v>0</v>
      </c>
      <c r="BK567">
        <v>0</v>
      </c>
      <c r="BL567">
        <v>1.2759048970901348</v>
      </c>
      <c r="BM567">
        <v>0.27590489709013477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1</v>
      </c>
    </row>
    <row r="568" spans="1:84" hidden="1" x14ac:dyDescent="0.25">
      <c r="A568" t="s">
        <v>128</v>
      </c>
      <c r="B568" t="s">
        <v>502</v>
      </c>
      <c r="C568" t="s">
        <v>72</v>
      </c>
      <c r="D568" s="12">
        <v>46249</v>
      </c>
      <c r="E568" t="s">
        <v>134</v>
      </c>
      <c r="F568" t="s">
        <v>134</v>
      </c>
      <c r="G568" t="s">
        <v>134</v>
      </c>
      <c r="H568" t="s">
        <v>74</v>
      </c>
      <c r="I568">
        <v>10</v>
      </c>
      <c r="J568">
        <v>2.5618168914123487</v>
      </c>
      <c r="K568">
        <v>46249</v>
      </c>
      <c r="L568" t="s">
        <v>164</v>
      </c>
      <c r="M568">
        <v>0</v>
      </c>
      <c r="N568">
        <v>0</v>
      </c>
      <c r="O568">
        <v>2.0078431372549019</v>
      </c>
      <c r="P568">
        <v>0</v>
      </c>
      <c r="Q568">
        <v>0</v>
      </c>
      <c r="R568">
        <v>0.78375747462105427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0.78375747462105427</v>
      </c>
      <c r="AC568">
        <v>0.21624252537894573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J568">
        <v>0</v>
      </c>
      <c r="BK568">
        <v>0</v>
      </c>
      <c r="BL568">
        <v>1.2759048970901345</v>
      </c>
      <c r="BM568">
        <v>0.27590489709013455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1</v>
      </c>
      <c r="CF568">
        <v>1</v>
      </c>
    </row>
    <row r="569" spans="1:84" hidden="1" x14ac:dyDescent="0.25">
      <c r="A569" t="s">
        <v>128</v>
      </c>
      <c r="B569" t="s">
        <v>502</v>
      </c>
      <c r="C569" t="s">
        <v>72</v>
      </c>
      <c r="D569" s="12">
        <v>46242</v>
      </c>
      <c r="E569" t="s">
        <v>134</v>
      </c>
      <c r="F569" t="s">
        <v>134</v>
      </c>
      <c r="G569" t="s">
        <v>134</v>
      </c>
      <c r="H569" t="s">
        <v>74</v>
      </c>
      <c r="I569">
        <v>10</v>
      </c>
      <c r="J569">
        <v>2.7219304471256209</v>
      </c>
      <c r="K569">
        <v>46242</v>
      </c>
      <c r="L569" t="s">
        <v>205</v>
      </c>
      <c r="M569">
        <v>0</v>
      </c>
      <c r="N569">
        <v>0</v>
      </c>
      <c r="O569">
        <v>2.0078431372549019</v>
      </c>
      <c r="P569">
        <v>0</v>
      </c>
      <c r="Q569">
        <v>0</v>
      </c>
      <c r="R569">
        <v>0.73765409376099211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0.73765409376099211</v>
      </c>
      <c r="AC569">
        <v>0.26234590623900789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J569">
        <v>0</v>
      </c>
      <c r="BK569">
        <v>0</v>
      </c>
      <c r="BL569">
        <v>1.3556489531582683</v>
      </c>
      <c r="BM569">
        <v>0.35564895315826828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</v>
      </c>
      <c r="CF569">
        <v>1</v>
      </c>
    </row>
    <row r="570" spans="1:84" hidden="1" x14ac:dyDescent="0.25">
      <c r="A570" t="s">
        <v>128</v>
      </c>
      <c r="B570" t="s">
        <v>502</v>
      </c>
      <c r="C570" t="s">
        <v>72</v>
      </c>
      <c r="D570" s="12">
        <v>46230</v>
      </c>
      <c r="E570" t="s">
        <v>134</v>
      </c>
      <c r="F570" t="s">
        <v>134</v>
      </c>
      <c r="G570" t="s">
        <v>134</v>
      </c>
      <c r="H570" t="s">
        <v>73</v>
      </c>
      <c r="I570">
        <v>10</v>
      </c>
      <c r="J570">
        <v>2.6268630234208659</v>
      </c>
      <c r="K570">
        <v>46230</v>
      </c>
      <c r="L570" t="s">
        <v>217</v>
      </c>
      <c r="M570">
        <v>4.75</v>
      </c>
      <c r="N570">
        <v>4.75</v>
      </c>
      <c r="O570">
        <v>2.0061274509803924</v>
      </c>
      <c r="P570">
        <v>1.8082404593042891</v>
      </c>
      <c r="Q570">
        <v>1.8082404593042891</v>
      </c>
      <c r="R570">
        <v>0.76369701544920576</v>
      </c>
      <c r="S570">
        <v>0</v>
      </c>
      <c r="T570">
        <v>0</v>
      </c>
      <c r="U570">
        <v>0.55824045930428912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0.25</v>
      </c>
      <c r="AB570">
        <v>0</v>
      </c>
      <c r="AC570">
        <v>0</v>
      </c>
      <c r="AD570">
        <v>0</v>
      </c>
      <c r="AE570">
        <v>0.23630298455079424</v>
      </c>
      <c r="AF570">
        <v>0</v>
      </c>
      <c r="AG570">
        <v>0.76369701544920576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0.55302379440439287</v>
      </c>
      <c r="AN570">
        <v>0.55302379440439287</v>
      </c>
      <c r="AO570">
        <v>0.42234262125902999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0.44697620559560713</v>
      </c>
      <c r="BA570">
        <v>0</v>
      </c>
      <c r="BB570">
        <v>0.13068117314536287</v>
      </c>
      <c r="BC570">
        <v>0</v>
      </c>
      <c r="BD570">
        <v>0.42234262125902999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2.3677458766035429</v>
      </c>
      <c r="BK570">
        <v>2.3677458766035429</v>
      </c>
      <c r="BL570">
        <v>1.3094198088646465</v>
      </c>
      <c r="CC570">
        <v>0</v>
      </c>
      <c r="CD570">
        <v>0</v>
      </c>
      <c r="CE570">
        <v>0</v>
      </c>
    </row>
    <row r="571" spans="1:84" hidden="1" x14ac:dyDescent="0.25">
      <c r="A571" t="s">
        <v>128</v>
      </c>
      <c r="B571" t="s">
        <v>502</v>
      </c>
      <c r="C571" t="s">
        <v>72</v>
      </c>
      <c r="D571" s="12">
        <v>46229</v>
      </c>
      <c r="E571" t="s">
        <v>134</v>
      </c>
      <c r="F571" t="s">
        <v>134</v>
      </c>
      <c r="G571" t="s">
        <v>134</v>
      </c>
      <c r="H571" t="s">
        <v>74</v>
      </c>
      <c r="I571">
        <v>10</v>
      </c>
      <c r="J571">
        <v>2.7219304471256209</v>
      </c>
      <c r="K571">
        <v>46229</v>
      </c>
      <c r="L571" t="s">
        <v>219</v>
      </c>
      <c r="M571">
        <v>0</v>
      </c>
      <c r="N571">
        <v>0</v>
      </c>
      <c r="O571">
        <v>2.0078431372549019</v>
      </c>
      <c r="P571">
        <v>0</v>
      </c>
      <c r="Q571">
        <v>0</v>
      </c>
      <c r="R571">
        <v>0.73765409376099211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0.73765409376099211</v>
      </c>
      <c r="AC571">
        <v>0.26234590623900789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J571">
        <v>0</v>
      </c>
      <c r="BK571">
        <v>0</v>
      </c>
      <c r="BL571">
        <v>1.3556489531582683</v>
      </c>
      <c r="BM571">
        <v>0.35564895315826828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1</v>
      </c>
    </row>
    <row r="572" spans="1:84" hidden="1" x14ac:dyDescent="0.25">
      <c r="A572" t="s">
        <v>128</v>
      </c>
      <c r="B572" t="s">
        <v>502</v>
      </c>
      <c r="C572" t="s">
        <v>72</v>
      </c>
      <c r="D572" s="12">
        <v>46236</v>
      </c>
      <c r="E572" t="s">
        <v>133</v>
      </c>
      <c r="F572" t="s">
        <v>133</v>
      </c>
      <c r="G572" t="s">
        <v>133</v>
      </c>
      <c r="H572" t="s">
        <v>74</v>
      </c>
      <c r="I572">
        <v>20</v>
      </c>
      <c r="J572">
        <v>4.437063563709744</v>
      </c>
      <c r="K572">
        <v>46236</v>
      </c>
      <c r="L572" t="s">
        <v>184</v>
      </c>
      <c r="M572">
        <v>11.4</v>
      </c>
      <c r="N572">
        <v>11.4</v>
      </c>
      <c r="O572">
        <v>4.9267310049019608</v>
      </c>
      <c r="P572">
        <v>2.569266776622122</v>
      </c>
      <c r="Q572">
        <v>2.569266776622122</v>
      </c>
      <c r="R572">
        <v>1.1103584463376079</v>
      </c>
      <c r="S572">
        <v>0</v>
      </c>
      <c r="T572">
        <v>0</v>
      </c>
      <c r="U572">
        <v>1.319266776622122</v>
      </c>
      <c r="V572">
        <v>0</v>
      </c>
      <c r="W572">
        <v>0</v>
      </c>
      <c r="X572">
        <v>0</v>
      </c>
      <c r="Y572">
        <v>0.11035844633760794</v>
      </c>
      <c r="Z572">
        <v>0</v>
      </c>
      <c r="AA572">
        <v>0.13964155366239206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0.38921610207980217</v>
      </c>
      <c r="AN572">
        <v>0.38921610207980217</v>
      </c>
      <c r="AO572">
        <v>0.43216938639490887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0.56783061360509113</v>
      </c>
      <c r="BA572">
        <v>0</v>
      </c>
      <c r="BB572">
        <v>0</v>
      </c>
      <c r="BC572">
        <v>0</v>
      </c>
      <c r="BD572">
        <v>0.38921610207980217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2.3139075359822394</v>
      </c>
      <c r="BK572">
        <v>2.3139075359822394</v>
      </c>
      <c r="BL572">
        <v>0.90061007172808683</v>
      </c>
      <c r="CC572">
        <v>0</v>
      </c>
      <c r="CD572">
        <v>0</v>
      </c>
      <c r="CE572">
        <v>0</v>
      </c>
    </row>
    <row r="573" spans="1:84" hidden="1" x14ac:dyDescent="0.25">
      <c r="A573" t="s">
        <v>128</v>
      </c>
      <c r="B573" t="s">
        <v>502</v>
      </c>
      <c r="C573" t="s">
        <v>72</v>
      </c>
      <c r="D573" s="12">
        <v>46238</v>
      </c>
      <c r="E573" t="s">
        <v>501</v>
      </c>
      <c r="F573" t="s">
        <v>501</v>
      </c>
      <c r="G573" t="s">
        <v>501</v>
      </c>
      <c r="H573" t="s">
        <v>74</v>
      </c>
      <c r="I573">
        <v>0</v>
      </c>
      <c r="J573">
        <v>0</v>
      </c>
      <c r="K573">
        <v>46238</v>
      </c>
      <c r="L573" t="s">
        <v>179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F573">
        <v>0</v>
      </c>
    </row>
    <row r="574" spans="1:84" hidden="1" x14ac:dyDescent="0.25">
      <c r="A574" t="s">
        <v>128</v>
      </c>
      <c r="B574" t="s">
        <v>502</v>
      </c>
      <c r="C574" t="s">
        <v>72</v>
      </c>
      <c r="D574" s="12">
        <v>46237</v>
      </c>
      <c r="E574" t="s">
        <v>133</v>
      </c>
      <c r="F574" t="s">
        <v>133</v>
      </c>
      <c r="G574" t="s">
        <v>133</v>
      </c>
      <c r="H574" t="s">
        <v>74</v>
      </c>
      <c r="I574">
        <v>20</v>
      </c>
      <c r="J574">
        <v>4.437063563709744</v>
      </c>
      <c r="K574">
        <v>46237</v>
      </c>
      <c r="L574" t="s">
        <v>182</v>
      </c>
      <c r="M574">
        <v>7.6</v>
      </c>
      <c r="N574">
        <v>7.6</v>
      </c>
      <c r="O574">
        <v>4.1100643382352935</v>
      </c>
      <c r="P574">
        <v>1.7128445177480813</v>
      </c>
      <c r="Q574">
        <v>1.7128445177480813</v>
      </c>
      <c r="R574">
        <v>0.92630278543923927</v>
      </c>
      <c r="S574">
        <v>0</v>
      </c>
      <c r="T574">
        <v>0</v>
      </c>
      <c r="U574">
        <v>0.46284451774808133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0.25</v>
      </c>
      <c r="AB574">
        <v>0</v>
      </c>
      <c r="AC574">
        <v>0</v>
      </c>
      <c r="AD574">
        <v>0</v>
      </c>
      <c r="AE574">
        <v>7.3697214560760727E-2</v>
      </c>
      <c r="AF574">
        <v>0</v>
      </c>
      <c r="AG574">
        <v>0.92630278543923927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0.58382415311970315</v>
      </c>
      <c r="AN574">
        <v>0.58382415311970315</v>
      </c>
      <c r="AO574">
        <v>0.540797939241486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0.41617584688029685</v>
      </c>
      <c r="BA574">
        <v>0</v>
      </c>
      <c r="BB574">
        <v>4.3026213878217145E-2</v>
      </c>
      <c r="BC574">
        <v>0</v>
      </c>
      <c r="BD574">
        <v>0.540797939241486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1.8491194722424109</v>
      </c>
      <c r="BK574">
        <v>1.8491194722424109</v>
      </c>
      <c r="BL574">
        <v>1.079560609899078</v>
      </c>
      <c r="CC574">
        <v>0</v>
      </c>
      <c r="CD574">
        <v>0</v>
      </c>
      <c r="CE574">
        <v>0</v>
      </c>
    </row>
    <row r="575" spans="1:84" hidden="1" x14ac:dyDescent="0.25">
      <c r="A575" t="s">
        <v>128</v>
      </c>
      <c r="B575" t="s">
        <v>502</v>
      </c>
      <c r="C575" t="s">
        <v>72</v>
      </c>
      <c r="D575" s="12">
        <v>46238</v>
      </c>
      <c r="E575" t="s">
        <v>501</v>
      </c>
      <c r="F575" t="s">
        <v>501</v>
      </c>
      <c r="G575" t="s">
        <v>501</v>
      </c>
      <c r="H575" t="s">
        <v>73</v>
      </c>
      <c r="I575">
        <v>0</v>
      </c>
      <c r="J575">
        <v>1.8624711255077939</v>
      </c>
      <c r="K575">
        <v>46238</v>
      </c>
      <c r="L575" t="s">
        <v>180</v>
      </c>
      <c r="M575">
        <v>0</v>
      </c>
      <c r="N575">
        <v>0</v>
      </c>
      <c r="O575">
        <v>1.7058823529411764</v>
      </c>
      <c r="P575">
        <v>0</v>
      </c>
      <c r="Q575">
        <v>0</v>
      </c>
      <c r="R575">
        <v>0.91592418780509988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0.91592418780509988</v>
      </c>
      <c r="AC575">
        <v>8.4075812194900124E-2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J575">
        <v>0</v>
      </c>
      <c r="BK575">
        <v>0</v>
      </c>
      <c r="BL575">
        <v>1.0917934184011207</v>
      </c>
      <c r="BM575">
        <v>9.1793418401120652E-2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1</v>
      </c>
      <c r="CF575">
        <v>1</v>
      </c>
    </row>
    <row r="576" spans="1:84" hidden="1" x14ac:dyDescent="0.25">
      <c r="A576" t="s">
        <v>128</v>
      </c>
      <c r="B576" t="s">
        <v>502</v>
      </c>
      <c r="C576" t="s">
        <v>72</v>
      </c>
      <c r="D576" s="12">
        <v>46237</v>
      </c>
      <c r="E576" t="s">
        <v>133</v>
      </c>
      <c r="F576" t="s">
        <v>133</v>
      </c>
      <c r="G576" t="s">
        <v>133</v>
      </c>
      <c r="H576" t="s">
        <v>75</v>
      </c>
      <c r="I576">
        <v>20</v>
      </c>
      <c r="J576">
        <v>8.1620058147253296</v>
      </c>
      <c r="K576">
        <v>46237</v>
      </c>
      <c r="L576" t="s">
        <v>181</v>
      </c>
      <c r="M576">
        <v>20.9</v>
      </c>
      <c r="N576">
        <v>20.9</v>
      </c>
      <c r="O576">
        <v>9.3455575980392176</v>
      </c>
      <c r="P576">
        <v>2.5606450760294308</v>
      </c>
      <c r="Q576">
        <v>2.5606450760294308</v>
      </c>
      <c r="R576">
        <v>1.1450074663238545</v>
      </c>
      <c r="S576">
        <v>0</v>
      </c>
      <c r="T576">
        <v>0</v>
      </c>
      <c r="U576">
        <v>1.3106450760294308</v>
      </c>
      <c r="V576">
        <v>0</v>
      </c>
      <c r="W576">
        <v>0</v>
      </c>
      <c r="X576">
        <v>0</v>
      </c>
      <c r="Y576">
        <v>0.14500746632385453</v>
      </c>
      <c r="Z576">
        <v>0</v>
      </c>
      <c r="AA576">
        <v>0.10499253367614547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0.39052659400599665</v>
      </c>
      <c r="AN576">
        <v>0.39052659400599665</v>
      </c>
      <c r="AO576">
        <v>0.44715586593489082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0.55284413406510913</v>
      </c>
      <c r="BA576">
        <v>0</v>
      </c>
      <c r="BB576">
        <v>0</v>
      </c>
      <c r="BC576">
        <v>0</v>
      </c>
      <c r="BD576">
        <v>0.39052659400599665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2.2363566625906843</v>
      </c>
      <c r="BK576">
        <v>2.2363566625906843</v>
      </c>
      <c r="BL576">
        <v>0.87335675042415795</v>
      </c>
      <c r="CC576">
        <v>0</v>
      </c>
      <c r="CD576">
        <v>0</v>
      </c>
      <c r="CE576">
        <v>0</v>
      </c>
    </row>
    <row r="577" spans="1:84" hidden="1" x14ac:dyDescent="0.25">
      <c r="A577" t="s">
        <v>128</v>
      </c>
      <c r="B577" t="s">
        <v>502</v>
      </c>
      <c r="C577" t="s">
        <v>72</v>
      </c>
      <c r="D577" s="12">
        <v>46237</v>
      </c>
      <c r="E577" t="s">
        <v>501</v>
      </c>
      <c r="F577" t="s">
        <v>501</v>
      </c>
      <c r="G577" t="s">
        <v>501</v>
      </c>
      <c r="H577" t="s">
        <v>75</v>
      </c>
      <c r="I577">
        <v>0</v>
      </c>
      <c r="J577">
        <v>1.4435762356877015</v>
      </c>
      <c r="K577">
        <v>46237</v>
      </c>
      <c r="L577" t="s">
        <v>181</v>
      </c>
      <c r="M577">
        <v>0</v>
      </c>
      <c r="N577">
        <v>0</v>
      </c>
      <c r="O577">
        <v>1.5986159169550174</v>
      </c>
      <c r="P577">
        <v>0</v>
      </c>
      <c r="Q577">
        <v>0</v>
      </c>
      <c r="R577">
        <v>1.1073997184453905</v>
      </c>
      <c r="S577">
        <v>0.10739971844539054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1</v>
      </c>
      <c r="BJ577">
        <v>0</v>
      </c>
      <c r="BK577">
        <v>0</v>
      </c>
      <c r="BL577">
        <v>0.90301630327650595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9.6983696723494051E-2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0.90301630327650595</v>
      </c>
      <c r="CF577">
        <v>0</v>
      </c>
    </row>
    <row r="578" spans="1:84" hidden="1" x14ac:dyDescent="0.25">
      <c r="A578" t="s">
        <v>128</v>
      </c>
      <c r="B578" t="s">
        <v>502</v>
      </c>
      <c r="C578" t="s">
        <v>72</v>
      </c>
      <c r="D578" s="12">
        <v>46237</v>
      </c>
      <c r="E578" t="s">
        <v>501</v>
      </c>
      <c r="F578" t="s">
        <v>501</v>
      </c>
      <c r="G578" t="s">
        <v>501</v>
      </c>
      <c r="H578" t="s">
        <v>74</v>
      </c>
      <c r="I578">
        <v>0</v>
      </c>
      <c r="J578">
        <v>0</v>
      </c>
      <c r="K578">
        <v>46237</v>
      </c>
      <c r="L578" t="s">
        <v>182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F578">
        <v>0</v>
      </c>
    </row>
    <row r="579" spans="1:84" hidden="1" x14ac:dyDescent="0.25">
      <c r="A579" t="s">
        <v>128</v>
      </c>
      <c r="B579" t="s">
        <v>502</v>
      </c>
      <c r="C579" t="s">
        <v>72</v>
      </c>
      <c r="D579" s="12">
        <v>46238</v>
      </c>
      <c r="E579" t="s">
        <v>133</v>
      </c>
      <c r="F579" t="s">
        <v>133</v>
      </c>
      <c r="G579" t="s">
        <v>133</v>
      </c>
      <c r="H579" t="s">
        <v>73</v>
      </c>
      <c r="I579">
        <v>20</v>
      </c>
      <c r="J579">
        <v>9.9149198152032554</v>
      </c>
      <c r="K579">
        <v>46238</v>
      </c>
      <c r="L579" t="s">
        <v>180</v>
      </c>
      <c r="M579">
        <v>41.8</v>
      </c>
      <c r="N579">
        <v>41.8</v>
      </c>
      <c r="O579">
        <v>10.974525122549018</v>
      </c>
      <c r="P579">
        <v>4.2158686887114376</v>
      </c>
      <c r="Q579">
        <v>4.2158686887114376</v>
      </c>
      <c r="R579">
        <v>1.1068697808045804</v>
      </c>
      <c r="S579">
        <v>0</v>
      </c>
      <c r="T579">
        <v>0</v>
      </c>
      <c r="U579">
        <v>2.9658686887114376</v>
      </c>
      <c r="V579">
        <v>0</v>
      </c>
      <c r="W579">
        <v>0</v>
      </c>
      <c r="X579">
        <v>0</v>
      </c>
      <c r="Y579">
        <v>0.10686978080458043</v>
      </c>
      <c r="Z579">
        <v>0</v>
      </c>
      <c r="AA579">
        <v>0.14313021919541957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0.23719903864122621</v>
      </c>
      <c r="AN579">
        <v>0.23719903864122621</v>
      </c>
      <c r="AO579">
        <v>0.26254844790787124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0.73745155209212876</v>
      </c>
      <c r="BA579">
        <v>0</v>
      </c>
      <c r="BB579">
        <v>0</v>
      </c>
      <c r="BC579">
        <v>0</v>
      </c>
      <c r="BD579">
        <v>0.23719903864122621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3.8088208403764852</v>
      </c>
      <c r="BK579">
        <v>3.8088208403764852</v>
      </c>
      <c r="BL579">
        <v>0.90344864169396955</v>
      </c>
      <c r="CC579">
        <v>0</v>
      </c>
      <c r="CD579">
        <v>0</v>
      </c>
      <c r="CE579">
        <v>0</v>
      </c>
    </row>
    <row r="580" spans="1:84" hidden="1" x14ac:dyDescent="0.25">
      <c r="A580" t="s">
        <v>128</v>
      </c>
      <c r="B580" t="s">
        <v>502</v>
      </c>
      <c r="C580" t="s">
        <v>72</v>
      </c>
      <c r="D580" s="12">
        <v>46237</v>
      </c>
      <c r="E580" t="s">
        <v>501</v>
      </c>
      <c r="F580" t="s">
        <v>501</v>
      </c>
      <c r="G580" t="s">
        <v>501</v>
      </c>
      <c r="H580" t="s">
        <v>73</v>
      </c>
      <c r="I580">
        <v>0</v>
      </c>
      <c r="J580">
        <v>1.8624711255077939</v>
      </c>
      <c r="K580">
        <v>46237</v>
      </c>
      <c r="L580" t="s">
        <v>232</v>
      </c>
      <c r="M580">
        <v>0</v>
      </c>
      <c r="N580">
        <v>0</v>
      </c>
      <c r="O580">
        <v>0.1764705882352941</v>
      </c>
      <c r="P580">
        <v>0</v>
      </c>
      <c r="Q580">
        <v>0</v>
      </c>
      <c r="R580">
        <v>9.4750778048803427E-2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9.4750778048803427E-2</v>
      </c>
      <c r="AC580">
        <v>0.90524922195119661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J580">
        <v>0</v>
      </c>
      <c r="BK580">
        <v>0</v>
      </c>
      <c r="BL580">
        <v>10.554003044544167</v>
      </c>
      <c r="BM580">
        <v>9.5540030445441673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</row>
    <row r="581" spans="1:84" hidden="1" x14ac:dyDescent="0.25">
      <c r="A581" t="s">
        <v>128</v>
      </c>
      <c r="B581" t="s">
        <v>502</v>
      </c>
      <c r="C581" t="s">
        <v>72</v>
      </c>
      <c r="D581" s="12">
        <v>46238</v>
      </c>
      <c r="E581" t="s">
        <v>133</v>
      </c>
      <c r="F581" t="s">
        <v>133</v>
      </c>
      <c r="G581" t="s">
        <v>133</v>
      </c>
      <c r="H581" t="s">
        <v>74</v>
      </c>
      <c r="I581">
        <v>20</v>
      </c>
      <c r="J581">
        <v>4.437063563709744</v>
      </c>
      <c r="K581">
        <v>46238</v>
      </c>
      <c r="L581" t="s">
        <v>179</v>
      </c>
      <c r="M581">
        <v>9.5</v>
      </c>
      <c r="N581">
        <v>9.5</v>
      </c>
      <c r="O581">
        <v>4.8969745710784309</v>
      </c>
      <c r="P581">
        <v>2.1410556471851017</v>
      </c>
      <c r="Q581">
        <v>2.1410556471851017</v>
      </c>
      <c r="R581">
        <v>1.1036521115294018</v>
      </c>
      <c r="S581">
        <v>0</v>
      </c>
      <c r="T581">
        <v>0</v>
      </c>
      <c r="U581">
        <v>0.89105564718510166</v>
      </c>
      <c r="V581">
        <v>0</v>
      </c>
      <c r="W581">
        <v>0</v>
      </c>
      <c r="X581">
        <v>0</v>
      </c>
      <c r="Y581">
        <v>0.10365211152940179</v>
      </c>
      <c r="Z581">
        <v>0</v>
      </c>
      <c r="AA581">
        <v>0.14634788847059821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0.46705932249576254</v>
      </c>
      <c r="AN581">
        <v>0.46705932249576254</v>
      </c>
      <c r="AO581">
        <v>0.51547100748194008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0.48452899251805992</v>
      </c>
      <c r="BA581">
        <v>0</v>
      </c>
      <c r="BB581">
        <v>0</v>
      </c>
      <c r="BC581">
        <v>0</v>
      </c>
      <c r="BD581">
        <v>0.46705932249576254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1.9399733166079873</v>
      </c>
      <c r="BK581">
        <v>1.9399733166079873</v>
      </c>
      <c r="BL581">
        <v>0.90608262291478403</v>
      </c>
      <c r="CC581">
        <v>0</v>
      </c>
      <c r="CD581">
        <v>0</v>
      </c>
      <c r="CE581">
        <v>0</v>
      </c>
    </row>
    <row r="582" spans="1:84" hidden="1" x14ac:dyDescent="0.25">
      <c r="A582" t="s">
        <v>128</v>
      </c>
      <c r="B582" t="s">
        <v>502</v>
      </c>
      <c r="C582" t="s">
        <v>72</v>
      </c>
      <c r="D582" s="12">
        <v>46236</v>
      </c>
      <c r="E582" t="s">
        <v>501</v>
      </c>
      <c r="F582" t="s">
        <v>501</v>
      </c>
      <c r="G582" t="s">
        <v>501</v>
      </c>
      <c r="H582" t="s">
        <v>75</v>
      </c>
      <c r="I582">
        <v>0</v>
      </c>
      <c r="J582">
        <v>1.4435762356877015</v>
      </c>
      <c r="K582">
        <v>46236</v>
      </c>
      <c r="L582" t="s">
        <v>183</v>
      </c>
      <c r="M582">
        <v>0</v>
      </c>
      <c r="N582">
        <v>0</v>
      </c>
      <c r="O582">
        <v>0.22145328719723184</v>
      </c>
      <c r="P582">
        <v>0</v>
      </c>
      <c r="Q582">
        <v>0</v>
      </c>
      <c r="R582">
        <v>0.15340602160282465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0.15340602160282465</v>
      </c>
      <c r="AC582">
        <v>0.84659397839717532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J582">
        <v>0</v>
      </c>
      <c r="BK582">
        <v>0</v>
      </c>
      <c r="BL582">
        <v>6.5186489392772771</v>
      </c>
      <c r="BM582">
        <v>5.5186489392772771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</row>
    <row r="583" spans="1:84" hidden="1" x14ac:dyDescent="0.25">
      <c r="A583" t="s">
        <v>128</v>
      </c>
      <c r="B583" t="s">
        <v>502</v>
      </c>
      <c r="C583" t="s">
        <v>72</v>
      </c>
      <c r="D583" s="12">
        <v>46238</v>
      </c>
      <c r="E583" t="s">
        <v>133</v>
      </c>
      <c r="F583" t="s">
        <v>133</v>
      </c>
      <c r="G583" t="s">
        <v>133</v>
      </c>
      <c r="H583" t="s">
        <v>75</v>
      </c>
      <c r="I583">
        <v>20</v>
      </c>
      <c r="J583">
        <v>8.1072272522103948</v>
      </c>
      <c r="K583">
        <v>46238</v>
      </c>
      <c r="L583" t="s">
        <v>178</v>
      </c>
      <c r="M583">
        <v>22.799999999999997</v>
      </c>
      <c r="N583">
        <v>22.799999999999997</v>
      </c>
      <c r="O583">
        <v>10.695166973039218</v>
      </c>
      <c r="P583">
        <v>2.8123055257620528</v>
      </c>
      <c r="Q583">
        <v>2.8123055257620528</v>
      </c>
      <c r="R583">
        <v>1.3192139112818422</v>
      </c>
      <c r="S583">
        <v>0</v>
      </c>
      <c r="T583">
        <v>0</v>
      </c>
      <c r="U583">
        <v>1.4930916144802107</v>
      </c>
      <c r="V583">
        <v>0</v>
      </c>
      <c r="W583">
        <v>6.9213911281842178E-2</v>
      </c>
      <c r="X583">
        <v>0</v>
      </c>
      <c r="Y583">
        <v>0.25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0.35558014264080684</v>
      </c>
      <c r="AN583">
        <v>0.35558014264080684</v>
      </c>
      <c r="AO583">
        <v>0.46908627074733417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0.53091372925266578</v>
      </c>
      <c r="BA583">
        <v>0</v>
      </c>
      <c r="BB583">
        <v>0</v>
      </c>
      <c r="BC583">
        <v>0</v>
      </c>
      <c r="BD583">
        <v>0.35558014264080684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2.1318040248904109</v>
      </c>
      <c r="BK583">
        <v>2.1318040248904109</v>
      </c>
      <c r="BL583">
        <v>0.7580271792527784</v>
      </c>
      <c r="CC583">
        <v>0</v>
      </c>
      <c r="CD583">
        <v>0</v>
      </c>
      <c r="CE583">
        <v>0</v>
      </c>
    </row>
    <row r="584" spans="1:84" hidden="1" x14ac:dyDescent="0.25">
      <c r="A584" t="s">
        <v>128</v>
      </c>
      <c r="B584" t="s">
        <v>502</v>
      </c>
      <c r="C584" t="s">
        <v>72</v>
      </c>
      <c r="D584" s="12">
        <v>46236</v>
      </c>
      <c r="E584" t="s">
        <v>501</v>
      </c>
      <c r="F584" t="s">
        <v>501</v>
      </c>
      <c r="G584" t="s">
        <v>501</v>
      </c>
      <c r="H584" t="s">
        <v>74</v>
      </c>
      <c r="I584">
        <v>0</v>
      </c>
      <c r="J584">
        <v>0</v>
      </c>
      <c r="K584">
        <v>46236</v>
      </c>
      <c r="L584" t="s">
        <v>184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F584">
        <v>0</v>
      </c>
    </row>
    <row r="585" spans="1:84" hidden="1" x14ac:dyDescent="0.25">
      <c r="A585" t="s">
        <v>128</v>
      </c>
      <c r="B585" t="s">
        <v>502</v>
      </c>
      <c r="C585" t="s">
        <v>72</v>
      </c>
      <c r="D585" s="12">
        <v>46237</v>
      </c>
      <c r="E585" t="s">
        <v>133</v>
      </c>
      <c r="F585" t="s">
        <v>133</v>
      </c>
      <c r="G585" t="s">
        <v>133</v>
      </c>
      <c r="H585" t="s">
        <v>73</v>
      </c>
      <c r="I585">
        <v>20</v>
      </c>
      <c r="J585">
        <v>9.9149198152032554</v>
      </c>
      <c r="K585">
        <v>46237</v>
      </c>
      <c r="L585" t="s">
        <v>232</v>
      </c>
      <c r="M585">
        <v>22.799999999999997</v>
      </c>
      <c r="N585">
        <v>22.799999999999997</v>
      </c>
      <c r="O585">
        <v>12.665211397058821</v>
      </c>
      <c r="P585">
        <v>2.2995647392971477</v>
      </c>
      <c r="Q585">
        <v>2.2995647392971477</v>
      </c>
      <c r="R585">
        <v>1.2773891905447734</v>
      </c>
      <c r="S585">
        <v>0</v>
      </c>
      <c r="T585">
        <v>0</v>
      </c>
      <c r="U585">
        <v>1.0221755487523743</v>
      </c>
      <c r="V585">
        <v>0</v>
      </c>
      <c r="W585">
        <v>2.7389190544773401E-2</v>
      </c>
      <c r="X585">
        <v>0</v>
      </c>
      <c r="Y585">
        <v>0.25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0.43486490417558143</v>
      </c>
      <c r="AN585">
        <v>0.43486490417558143</v>
      </c>
      <c r="AO585">
        <v>0.55549172794117641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0.44450827205882359</v>
      </c>
      <c r="BA585">
        <v>0</v>
      </c>
      <c r="BB585">
        <v>0</v>
      </c>
      <c r="BC585">
        <v>0</v>
      </c>
      <c r="BD585">
        <v>0.43486490417558143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1.8002068252326786</v>
      </c>
      <c r="BK585">
        <v>1.8002068252326786</v>
      </c>
      <c r="BL585">
        <v>0.78284676855103641</v>
      </c>
      <c r="CC585">
        <v>0</v>
      </c>
      <c r="CD585">
        <v>0</v>
      </c>
      <c r="CE585">
        <v>0</v>
      </c>
    </row>
    <row r="586" spans="1:84" hidden="1" x14ac:dyDescent="0.25">
      <c r="A586" t="s">
        <v>128</v>
      </c>
      <c r="B586" t="s">
        <v>502</v>
      </c>
      <c r="C586" t="s">
        <v>72</v>
      </c>
      <c r="D586" s="12">
        <v>46236</v>
      </c>
      <c r="E586" t="s">
        <v>501</v>
      </c>
      <c r="F586" t="s">
        <v>501</v>
      </c>
      <c r="G586" t="s">
        <v>501</v>
      </c>
      <c r="H586" t="s">
        <v>73</v>
      </c>
      <c r="I586">
        <v>0</v>
      </c>
      <c r="J586">
        <v>1.8624711255077939</v>
      </c>
      <c r="K586">
        <v>46236</v>
      </c>
      <c r="L586" t="s">
        <v>185</v>
      </c>
      <c r="M586">
        <v>0</v>
      </c>
      <c r="N586">
        <v>0</v>
      </c>
      <c r="O586">
        <v>1.7647058823529416</v>
      </c>
      <c r="P586">
        <v>0</v>
      </c>
      <c r="Q586">
        <v>0</v>
      </c>
      <c r="R586">
        <v>0.94750778048803463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0.94750778048803463</v>
      </c>
      <c r="AC586">
        <v>5.2492219511965366E-2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J586">
        <v>0</v>
      </c>
      <c r="BK586">
        <v>0</v>
      </c>
      <c r="BL586">
        <v>1.0554003044544162</v>
      </c>
      <c r="BM586">
        <v>5.5400304454416238E-2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1</v>
      </c>
      <c r="CF586">
        <v>1</v>
      </c>
    </row>
    <row r="587" spans="1:84" hidden="1" x14ac:dyDescent="0.25">
      <c r="A587" t="s">
        <v>128</v>
      </c>
      <c r="B587" t="s">
        <v>502</v>
      </c>
      <c r="C587" t="s">
        <v>72</v>
      </c>
      <c r="D587" s="12">
        <v>46235</v>
      </c>
      <c r="E587" t="s">
        <v>501</v>
      </c>
      <c r="F587" t="s">
        <v>501</v>
      </c>
      <c r="G587" t="s">
        <v>501</v>
      </c>
      <c r="H587" t="s">
        <v>75</v>
      </c>
      <c r="I587">
        <v>0</v>
      </c>
      <c r="J587">
        <v>1.4435762356877015</v>
      </c>
      <c r="K587">
        <v>46235</v>
      </c>
      <c r="L587" t="s">
        <v>186</v>
      </c>
      <c r="M587">
        <v>0</v>
      </c>
      <c r="N587">
        <v>0</v>
      </c>
      <c r="O587">
        <v>0.22145328719723184</v>
      </c>
      <c r="P587">
        <v>0</v>
      </c>
      <c r="Q587">
        <v>0</v>
      </c>
      <c r="R587">
        <v>0.15340602160282465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0.15340602160282465</v>
      </c>
      <c r="AC587">
        <v>0.84659397839717532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J587">
        <v>0</v>
      </c>
      <c r="BK587">
        <v>0</v>
      </c>
      <c r="BL587">
        <v>6.5186489392772771</v>
      </c>
      <c r="BM587">
        <v>5.5186489392772771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 spans="1:84" hidden="1" x14ac:dyDescent="0.25">
      <c r="A588" t="s">
        <v>128</v>
      </c>
      <c r="B588" t="s">
        <v>502</v>
      </c>
      <c r="C588" t="s">
        <v>72</v>
      </c>
      <c r="D588" s="12">
        <v>46235</v>
      </c>
      <c r="E588" t="s">
        <v>501</v>
      </c>
      <c r="F588" t="s">
        <v>501</v>
      </c>
      <c r="G588" t="s">
        <v>501</v>
      </c>
      <c r="H588" t="s">
        <v>74</v>
      </c>
      <c r="I588">
        <v>0</v>
      </c>
      <c r="J588">
        <v>0</v>
      </c>
      <c r="K588">
        <v>46235</v>
      </c>
      <c r="L588" t="s">
        <v>187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F588">
        <v>0</v>
      </c>
    </row>
    <row r="589" spans="1:84" hidden="1" x14ac:dyDescent="0.25">
      <c r="A589" t="s">
        <v>128</v>
      </c>
      <c r="B589" t="s">
        <v>502</v>
      </c>
      <c r="C589" t="s">
        <v>72</v>
      </c>
      <c r="D589" s="12">
        <v>46239</v>
      </c>
      <c r="E589" t="s">
        <v>133</v>
      </c>
      <c r="F589" t="s">
        <v>133</v>
      </c>
      <c r="G589" t="s">
        <v>133</v>
      </c>
      <c r="H589" t="s">
        <v>74</v>
      </c>
      <c r="I589">
        <v>20</v>
      </c>
      <c r="J589">
        <v>4.437063563709744</v>
      </c>
      <c r="K589">
        <v>46239</v>
      </c>
      <c r="L589" t="s">
        <v>176</v>
      </c>
      <c r="M589">
        <v>7.6</v>
      </c>
      <c r="N589">
        <v>7.6</v>
      </c>
      <c r="O589">
        <v>4.9267310049019608</v>
      </c>
      <c r="P589">
        <v>1.7128445177480813</v>
      </c>
      <c r="Q589">
        <v>1.7128445177480813</v>
      </c>
      <c r="R589">
        <v>1.1103584463376079</v>
      </c>
      <c r="S589">
        <v>0</v>
      </c>
      <c r="T589">
        <v>0</v>
      </c>
      <c r="U589">
        <v>0.46284451774808133</v>
      </c>
      <c r="V589">
        <v>0</v>
      </c>
      <c r="W589">
        <v>0</v>
      </c>
      <c r="X589">
        <v>0</v>
      </c>
      <c r="Y589">
        <v>0.11035844633760794</v>
      </c>
      <c r="Z589">
        <v>0</v>
      </c>
      <c r="AA589">
        <v>0.13964155366239206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0.58382415311970315</v>
      </c>
      <c r="AN589">
        <v>0.58382415311970315</v>
      </c>
      <c r="AO589">
        <v>0.64825407959236325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0.35174592040763675</v>
      </c>
      <c r="BA589">
        <v>0</v>
      </c>
      <c r="BB589">
        <v>0</v>
      </c>
      <c r="BC589">
        <v>0</v>
      </c>
      <c r="BD589">
        <v>0.58382415311970315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1.5426050239881597</v>
      </c>
      <c r="BK589">
        <v>1.5426050239881597</v>
      </c>
      <c r="BL589">
        <v>0.90061007172808683</v>
      </c>
      <c r="CC589">
        <v>0</v>
      </c>
      <c r="CD589">
        <v>0</v>
      </c>
      <c r="CE589">
        <v>0</v>
      </c>
    </row>
    <row r="590" spans="1:84" hidden="1" x14ac:dyDescent="0.25">
      <c r="A590" t="s">
        <v>128</v>
      </c>
      <c r="B590" t="s">
        <v>502</v>
      </c>
      <c r="C590" t="s">
        <v>72</v>
      </c>
      <c r="D590" s="12">
        <v>46235</v>
      </c>
      <c r="E590" t="s">
        <v>501</v>
      </c>
      <c r="F590" t="s">
        <v>501</v>
      </c>
      <c r="G590" t="s">
        <v>501</v>
      </c>
      <c r="H590" t="s">
        <v>73</v>
      </c>
      <c r="I590">
        <v>0</v>
      </c>
      <c r="J590">
        <v>1.8624711255077939</v>
      </c>
      <c r="K590">
        <v>46235</v>
      </c>
      <c r="L590" t="s">
        <v>188</v>
      </c>
      <c r="M590">
        <v>0</v>
      </c>
      <c r="N590">
        <v>0</v>
      </c>
      <c r="O590">
        <v>1.7647058823529416</v>
      </c>
      <c r="P590">
        <v>0</v>
      </c>
      <c r="Q590">
        <v>0</v>
      </c>
      <c r="R590">
        <v>0.94750778048803463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0.94750778048803463</v>
      </c>
      <c r="AC590">
        <v>5.2492219511965366E-2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J590">
        <v>0</v>
      </c>
      <c r="BK590">
        <v>0</v>
      </c>
      <c r="BL590">
        <v>1.0554003044544162</v>
      </c>
      <c r="BM590">
        <v>5.5400304454416238E-2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1</v>
      </c>
    </row>
    <row r="591" spans="1:84" hidden="1" x14ac:dyDescent="0.25">
      <c r="A591" t="s">
        <v>128</v>
      </c>
      <c r="B591" t="s">
        <v>502</v>
      </c>
      <c r="C591" t="s">
        <v>72</v>
      </c>
      <c r="D591" s="12">
        <v>46239</v>
      </c>
      <c r="E591" t="s">
        <v>133</v>
      </c>
      <c r="F591" t="s">
        <v>133</v>
      </c>
      <c r="G591" t="s">
        <v>133</v>
      </c>
      <c r="H591" t="s">
        <v>75</v>
      </c>
      <c r="I591">
        <v>20</v>
      </c>
      <c r="J591">
        <v>8.1072272522103948</v>
      </c>
      <c r="K591">
        <v>46239</v>
      </c>
      <c r="L591" t="s">
        <v>175</v>
      </c>
      <c r="M591">
        <v>17.099999999999998</v>
      </c>
      <c r="N591">
        <v>17.099999999999998</v>
      </c>
      <c r="O591">
        <v>11.271139705882357</v>
      </c>
      <c r="P591">
        <v>2.1092291443215396</v>
      </c>
      <c r="Q591">
        <v>2.1092291443215396</v>
      </c>
      <c r="R591">
        <v>1.390258266512677</v>
      </c>
      <c r="S591">
        <v>0</v>
      </c>
      <c r="T591">
        <v>0</v>
      </c>
      <c r="U591">
        <v>0.7189708778088626</v>
      </c>
      <c r="V591">
        <v>0</v>
      </c>
      <c r="W591">
        <v>0.14025826651267703</v>
      </c>
      <c r="X591">
        <v>0</v>
      </c>
      <c r="Y591">
        <v>0.25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0.47410685685440912</v>
      </c>
      <c r="AN591">
        <v>0.47410685685440912</v>
      </c>
      <c r="AO591">
        <v>0.6591309769521847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0.3408690230478153</v>
      </c>
      <c r="BA591">
        <v>0</v>
      </c>
      <c r="BB591">
        <v>0</v>
      </c>
      <c r="BC591">
        <v>0</v>
      </c>
      <c r="BD591">
        <v>0.47410685685440912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1.5171491478431045</v>
      </c>
      <c r="BK591">
        <v>1.5171491478431045</v>
      </c>
      <c r="BL591">
        <v>0.71929081386323956</v>
      </c>
      <c r="CC591">
        <v>0</v>
      </c>
      <c r="CD591">
        <v>0</v>
      </c>
      <c r="CE591">
        <v>0</v>
      </c>
    </row>
    <row r="592" spans="1:84" hidden="1" x14ac:dyDescent="0.25">
      <c r="A592" t="s">
        <v>128</v>
      </c>
      <c r="B592" t="s">
        <v>502</v>
      </c>
      <c r="C592" t="s">
        <v>72</v>
      </c>
      <c r="D592" s="12">
        <v>46234</v>
      </c>
      <c r="E592" t="s">
        <v>501</v>
      </c>
      <c r="F592" t="s">
        <v>501</v>
      </c>
      <c r="G592" t="s">
        <v>501</v>
      </c>
      <c r="H592" t="s">
        <v>75</v>
      </c>
      <c r="I592">
        <v>0</v>
      </c>
      <c r="J592">
        <v>1.4435762356877015</v>
      </c>
      <c r="K592">
        <v>46234</v>
      </c>
      <c r="L592" t="s">
        <v>189</v>
      </c>
      <c r="M592">
        <v>0</v>
      </c>
      <c r="N592">
        <v>0</v>
      </c>
      <c r="O592">
        <v>0.92733564013840819</v>
      </c>
      <c r="P592">
        <v>0</v>
      </c>
      <c r="Q592">
        <v>0</v>
      </c>
      <c r="R592">
        <v>0.64238771546182816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0.64238771546182816</v>
      </c>
      <c r="AC592">
        <v>0.35761228453817184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1.5566922840065143</v>
      </c>
      <c r="BM592">
        <v>0.55669228400651427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 spans="1:84" hidden="1" x14ac:dyDescent="0.25">
      <c r="A593" t="s">
        <v>128</v>
      </c>
      <c r="B593" t="s">
        <v>502</v>
      </c>
      <c r="C593" t="s">
        <v>72</v>
      </c>
      <c r="D593" s="12">
        <v>46240</v>
      </c>
      <c r="E593" t="s">
        <v>133</v>
      </c>
      <c r="F593" t="s">
        <v>133</v>
      </c>
      <c r="G593" t="s">
        <v>133</v>
      </c>
      <c r="H593" t="s">
        <v>73</v>
      </c>
      <c r="I593">
        <v>20</v>
      </c>
      <c r="J593">
        <v>9.9149198152032554</v>
      </c>
      <c r="K593">
        <v>46240</v>
      </c>
      <c r="L593" t="s">
        <v>191</v>
      </c>
      <c r="M593">
        <v>39.9</v>
      </c>
      <c r="N593">
        <v>39.9</v>
      </c>
      <c r="O593">
        <v>11.032858455882351</v>
      </c>
      <c r="P593">
        <v>4.0242382937700087</v>
      </c>
      <c r="Q593">
        <v>4.0242382937700087</v>
      </c>
      <c r="R593">
        <v>1.1127531701229576</v>
      </c>
      <c r="S593">
        <v>0</v>
      </c>
      <c r="T593">
        <v>0</v>
      </c>
      <c r="U593">
        <v>2.7742382937700087</v>
      </c>
      <c r="V593">
        <v>0</v>
      </c>
      <c r="W593">
        <v>0</v>
      </c>
      <c r="X593">
        <v>0</v>
      </c>
      <c r="Y593">
        <v>0.1127531701229576</v>
      </c>
      <c r="Z593">
        <v>0</v>
      </c>
      <c r="AA593">
        <v>0.1372468298770424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0.24849423095747508</v>
      </c>
      <c r="AN593">
        <v>0.24849423095747508</v>
      </c>
      <c r="AO593">
        <v>0.27651274325519681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0.72348725674480319</v>
      </c>
      <c r="BA593">
        <v>0</v>
      </c>
      <c r="BB593">
        <v>0</v>
      </c>
      <c r="BC593">
        <v>0</v>
      </c>
      <c r="BD593">
        <v>0.24849423095747508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3.6164698531708845</v>
      </c>
      <c r="BK593">
        <v>3.6164698531708845</v>
      </c>
      <c r="BL593">
        <v>0.89867189494459176</v>
      </c>
      <c r="CC593">
        <v>0</v>
      </c>
      <c r="CD593">
        <v>0</v>
      </c>
      <c r="CE593">
        <v>0</v>
      </c>
    </row>
    <row r="594" spans="1:84" hidden="1" x14ac:dyDescent="0.25">
      <c r="A594" t="s">
        <v>128</v>
      </c>
      <c r="B594" t="s">
        <v>502</v>
      </c>
      <c r="C594" t="s">
        <v>72</v>
      </c>
      <c r="D594" s="12">
        <v>46234</v>
      </c>
      <c r="E594" t="s">
        <v>501</v>
      </c>
      <c r="F594" t="s">
        <v>501</v>
      </c>
      <c r="G594" t="s">
        <v>501</v>
      </c>
      <c r="H594" t="s">
        <v>74</v>
      </c>
      <c r="I594">
        <v>0</v>
      </c>
      <c r="J594">
        <v>0</v>
      </c>
      <c r="K594">
        <v>46234</v>
      </c>
      <c r="L594" t="s">
        <v>190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F594">
        <v>0</v>
      </c>
    </row>
    <row r="595" spans="1:84" hidden="1" x14ac:dyDescent="0.25">
      <c r="A595" t="s">
        <v>128</v>
      </c>
      <c r="B595" t="s">
        <v>502</v>
      </c>
      <c r="C595" t="s">
        <v>72</v>
      </c>
      <c r="D595" s="12">
        <v>46234</v>
      </c>
      <c r="E595" t="s">
        <v>501</v>
      </c>
      <c r="F595" t="s">
        <v>501</v>
      </c>
      <c r="G595" t="s">
        <v>501</v>
      </c>
      <c r="H595" t="s">
        <v>73</v>
      </c>
      <c r="I595">
        <v>0</v>
      </c>
      <c r="J595">
        <v>1.8624711255077939</v>
      </c>
      <c r="K595">
        <v>46234</v>
      </c>
      <c r="L595" t="s">
        <v>213</v>
      </c>
      <c r="M595">
        <v>0</v>
      </c>
      <c r="N595">
        <v>0</v>
      </c>
      <c r="O595">
        <v>1.7647058823529416</v>
      </c>
      <c r="P595">
        <v>0</v>
      </c>
      <c r="Q595">
        <v>0</v>
      </c>
      <c r="R595">
        <v>0.94750778048803463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0.94750778048803463</v>
      </c>
      <c r="AC595">
        <v>5.2492219511965366E-2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1</v>
      </c>
      <c r="BJ595">
        <v>0</v>
      </c>
      <c r="BK595">
        <v>0</v>
      </c>
      <c r="BL595">
        <v>1.0554003044544162</v>
      </c>
      <c r="BM595">
        <v>5.5400304454416238E-2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1</v>
      </c>
      <c r="CF595">
        <v>1</v>
      </c>
    </row>
    <row r="596" spans="1:84" hidden="1" x14ac:dyDescent="0.25">
      <c r="A596" t="s">
        <v>128</v>
      </c>
      <c r="B596" t="s">
        <v>502</v>
      </c>
      <c r="C596" t="s">
        <v>72</v>
      </c>
      <c r="D596" s="12">
        <v>46240</v>
      </c>
      <c r="E596" t="s">
        <v>133</v>
      </c>
      <c r="F596" t="s">
        <v>133</v>
      </c>
      <c r="G596" t="s">
        <v>133</v>
      </c>
      <c r="H596" t="s">
        <v>74</v>
      </c>
      <c r="I596">
        <v>20</v>
      </c>
      <c r="J596">
        <v>4.437063563709744</v>
      </c>
      <c r="K596">
        <v>46240</v>
      </c>
      <c r="L596" t="s">
        <v>192</v>
      </c>
      <c r="M596">
        <v>7.6</v>
      </c>
      <c r="N596">
        <v>7.6</v>
      </c>
      <c r="O596">
        <v>4.8388403799019599</v>
      </c>
      <c r="P596">
        <v>1.7128445177480813</v>
      </c>
      <c r="Q596">
        <v>1.7128445177480813</v>
      </c>
      <c r="R596">
        <v>1.0905501601280416</v>
      </c>
      <c r="S596">
        <v>0</v>
      </c>
      <c r="T596">
        <v>0</v>
      </c>
      <c r="U596">
        <v>0.46284451774808133</v>
      </c>
      <c r="V596">
        <v>0</v>
      </c>
      <c r="W596">
        <v>0</v>
      </c>
      <c r="X596">
        <v>0</v>
      </c>
      <c r="Y596">
        <v>9.0550160128041624E-2</v>
      </c>
      <c r="Z596">
        <v>0</v>
      </c>
      <c r="AA596">
        <v>0.15944983987195838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0.58382415311970315</v>
      </c>
      <c r="AN596">
        <v>0.58382415311970315</v>
      </c>
      <c r="AO596">
        <v>0.6366895236713106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0.3633104763286894</v>
      </c>
      <c r="BA596">
        <v>0</v>
      </c>
      <c r="BB596">
        <v>0</v>
      </c>
      <c r="BC596">
        <v>0</v>
      </c>
      <c r="BD596">
        <v>0.58382415311970315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1.570624241205903</v>
      </c>
      <c r="BK596">
        <v>1.570624241205903</v>
      </c>
      <c r="BL596">
        <v>0.91696836749131283</v>
      </c>
      <c r="CC596">
        <v>0</v>
      </c>
      <c r="CD596">
        <v>0</v>
      </c>
      <c r="CE596">
        <v>0</v>
      </c>
    </row>
    <row r="597" spans="1:84" hidden="1" x14ac:dyDescent="0.25">
      <c r="A597" t="s">
        <v>128</v>
      </c>
      <c r="B597" t="s">
        <v>502</v>
      </c>
      <c r="C597" t="s">
        <v>72</v>
      </c>
      <c r="D597" s="12">
        <v>46233</v>
      </c>
      <c r="E597" t="s">
        <v>501</v>
      </c>
      <c r="F597" t="s">
        <v>501</v>
      </c>
      <c r="G597" t="s">
        <v>501</v>
      </c>
      <c r="H597" t="s">
        <v>75</v>
      </c>
      <c r="I597">
        <v>0</v>
      </c>
      <c r="J597">
        <v>1.4435762356877015</v>
      </c>
      <c r="K597">
        <v>46233</v>
      </c>
      <c r="L597" t="s">
        <v>233</v>
      </c>
      <c r="M597">
        <v>0</v>
      </c>
      <c r="N597">
        <v>0</v>
      </c>
      <c r="O597">
        <v>0.81660899653979235</v>
      </c>
      <c r="P597">
        <v>0</v>
      </c>
      <c r="Q597">
        <v>0</v>
      </c>
      <c r="R597">
        <v>0.56568470466041587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0.56568470466041587</v>
      </c>
      <c r="AC597">
        <v>0.43431529533958413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1.767769203871804</v>
      </c>
      <c r="BM597">
        <v>0.76776920387180403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 spans="1:84" hidden="1" x14ac:dyDescent="0.25">
      <c r="A598" t="s">
        <v>128</v>
      </c>
      <c r="B598" t="s">
        <v>502</v>
      </c>
      <c r="C598" t="s">
        <v>72</v>
      </c>
      <c r="D598" s="12">
        <v>46233</v>
      </c>
      <c r="E598" t="s">
        <v>501</v>
      </c>
      <c r="F598" t="s">
        <v>501</v>
      </c>
      <c r="G598" t="s">
        <v>501</v>
      </c>
      <c r="H598" t="s">
        <v>74</v>
      </c>
      <c r="I598">
        <v>0</v>
      </c>
      <c r="J598">
        <v>0</v>
      </c>
      <c r="K598">
        <v>46233</v>
      </c>
      <c r="L598" t="s">
        <v>234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F598">
        <v>0</v>
      </c>
    </row>
    <row r="599" spans="1:84" hidden="1" x14ac:dyDescent="0.25">
      <c r="A599" t="s">
        <v>128</v>
      </c>
      <c r="B599" t="s">
        <v>502</v>
      </c>
      <c r="C599" t="s">
        <v>72</v>
      </c>
      <c r="D599" s="12">
        <v>46239</v>
      </c>
      <c r="E599" t="s">
        <v>133</v>
      </c>
      <c r="F599" t="s">
        <v>133</v>
      </c>
      <c r="G599" t="s">
        <v>133</v>
      </c>
      <c r="H599" t="s">
        <v>73</v>
      </c>
      <c r="I599">
        <v>20</v>
      </c>
      <c r="J599">
        <v>9.9149198152032554</v>
      </c>
      <c r="K599">
        <v>46239</v>
      </c>
      <c r="L599" t="s">
        <v>177</v>
      </c>
      <c r="M599">
        <v>36.1</v>
      </c>
      <c r="N599">
        <v>36.1</v>
      </c>
      <c r="O599">
        <v>11.048657066993464</v>
      </c>
      <c r="P599">
        <v>3.640977503887151</v>
      </c>
      <c r="Q599">
        <v>3.640977503887151</v>
      </c>
      <c r="R599">
        <v>1.1143465880633516</v>
      </c>
      <c r="S599">
        <v>0</v>
      </c>
      <c r="T599">
        <v>0</v>
      </c>
      <c r="U599">
        <v>2.390977503887151</v>
      </c>
      <c r="V599">
        <v>0</v>
      </c>
      <c r="W599">
        <v>0</v>
      </c>
      <c r="X599">
        <v>0</v>
      </c>
      <c r="Y599">
        <v>0.11434658806335163</v>
      </c>
      <c r="Z599">
        <v>0</v>
      </c>
      <c r="AA599">
        <v>0.13565341193664837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0.27465151842668295</v>
      </c>
      <c r="AN599">
        <v>0.27465151842668295</v>
      </c>
      <c r="AO599">
        <v>0.30605698246519286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0.69394301753480714</v>
      </c>
      <c r="BA599">
        <v>0</v>
      </c>
      <c r="BB599">
        <v>0</v>
      </c>
      <c r="BC599">
        <v>0</v>
      </c>
      <c r="BD599">
        <v>0.27465151842668295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3.2673654165486243</v>
      </c>
      <c r="BK599">
        <v>3.2673654165486243</v>
      </c>
      <c r="BL599">
        <v>0.89738687290991115</v>
      </c>
      <c r="CC599">
        <v>0</v>
      </c>
      <c r="CD599">
        <v>0</v>
      </c>
      <c r="CE599">
        <v>0</v>
      </c>
    </row>
    <row r="600" spans="1:84" hidden="1" x14ac:dyDescent="0.25">
      <c r="A600" t="s">
        <v>128</v>
      </c>
      <c r="B600" t="s">
        <v>502</v>
      </c>
      <c r="C600" t="s">
        <v>72</v>
      </c>
      <c r="D600" s="12">
        <v>46238</v>
      </c>
      <c r="E600" t="s">
        <v>501</v>
      </c>
      <c r="F600" t="s">
        <v>501</v>
      </c>
      <c r="G600" t="s">
        <v>501</v>
      </c>
      <c r="H600" t="s">
        <v>75</v>
      </c>
      <c r="I600">
        <v>0</v>
      </c>
      <c r="J600">
        <v>1.4435762356877015</v>
      </c>
      <c r="K600">
        <v>46238</v>
      </c>
      <c r="L600" t="s">
        <v>178</v>
      </c>
      <c r="M600">
        <v>0</v>
      </c>
      <c r="N600">
        <v>0</v>
      </c>
      <c r="O600">
        <v>1.1003460207612457</v>
      </c>
      <c r="P600">
        <v>0</v>
      </c>
      <c r="Q600">
        <v>0</v>
      </c>
      <c r="R600">
        <v>0.76223616983903497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0.76223616983903497</v>
      </c>
      <c r="AC600">
        <v>0.23776383016096503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</v>
      </c>
      <c r="BJ600">
        <v>0</v>
      </c>
      <c r="BK600">
        <v>0</v>
      </c>
      <c r="BL600">
        <v>1.3119293462696406</v>
      </c>
      <c r="BM600">
        <v>0.31192934626964064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>
        <v>1</v>
      </c>
    </row>
    <row r="601" spans="1:84" hidden="1" x14ac:dyDescent="0.25">
      <c r="A601" t="s">
        <v>128</v>
      </c>
      <c r="B601" t="s">
        <v>502</v>
      </c>
      <c r="C601" t="s">
        <v>72</v>
      </c>
      <c r="D601" s="12">
        <v>46239</v>
      </c>
      <c r="E601" t="s">
        <v>501</v>
      </c>
      <c r="F601" t="s">
        <v>501</v>
      </c>
      <c r="G601" t="s">
        <v>501</v>
      </c>
      <c r="H601" t="s">
        <v>73</v>
      </c>
      <c r="I601">
        <v>0</v>
      </c>
      <c r="J601">
        <v>1.8624711255077939</v>
      </c>
      <c r="K601">
        <v>46239</v>
      </c>
      <c r="L601" t="s">
        <v>177</v>
      </c>
      <c r="M601">
        <v>0</v>
      </c>
      <c r="N601">
        <v>0</v>
      </c>
      <c r="O601">
        <v>1.7647058823529409</v>
      </c>
      <c r="P601">
        <v>0</v>
      </c>
      <c r="Q601">
        <v>0</v>
      </c>
      <c r="R601">
        <v>0.9475077804880343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0.9475077804880343</v>
      </c>
      <c r="AC601">
        <v>5.2492219511965699E-2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</v>
      </c>
      <c r="BJ601">
        <v>0</v>
      </c>
      <c r="BK601">
        <v>0</v>
      </c>
      <c r="BL601">
        <v>1.0554003044544167</v>
      </c>
      <c r="BM601">
        <v>5.5400304454416682E-2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1</v>
      </c>
    </row>
    <row r="602" spans="1:84" hidden="1" x14ac:dyDescent="0.25">
      <c r="A602" t="s">
        <v>128</v>
      </c>
      <c r="B602" t="s">
        <v>502</v>
      </c>
      <c r="C602" t="s">
        <v>72</v>
      </c>
      <c r="D602" s="12">
        <v>46236</v>
      </c>
      <c r="E602" t="s">
        <v>133</v>
      </c>
      <c r="F602" t="s">
        <v>133</v>
      </c>
      <c r="G602" t="s">
        <v>133</v>
      </c>
      <c r="H602" t="s">
        <v>75</v>
      </c>
      <c r="I602">
        <v>20</v>
      </c>
      <c r="J602">
        <v>8.1620058147253278</v>
      </c>
      <c r="K602">
        <v>46236</v>
      </c>
      <c r="L602" t="s">
        <v>183</v>
      </c>
      <c r="M602">
        <v>20.9</v>
      </c>
      <c r="N602">
        <v>20.9</v>
      </c>
      <c r="O602">
        <v>10.42322303921568</v>
      </c>
      <c r="P602">
        <v>2.5606450760294313</v>
      </c>
      <c r="Q602">
        <v>2.5606450760294313</v>
      </c>
      <c r="R602">
        <v>1.2770418541494812</v>
      </c>
      <c r="S602">
        <v>0</v>
      </c>
      <c r="T602">
        <v>0</v>
      </c>
      <c r="U602">
        <v>1.28360322187995</v>
      </c>
      <c r="V602">
        <v>0</v>
      </c>
      <c r="W602">
        <v>2.7041854149481237E-2</v>
      </c>
      <c r="X602">
        <v>0</v>
      </c>
      <c r="Y602">
        <v>0.25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0.3905265940059966</v>
      </c>
      <c r="AN602">
        <v>0.3905265940059966</v>
      </c>
      <c r="AO602">
        <v>0.49871880570409954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0.50128119429590046</v>
      </c>
      <c r="BA602">
        <v>0</v>
      </c>
      <c r="BB602">
        <v>0</v>
      </c>
      <c r="BC602">
        <v>0</v>
      </c>
      <c r="BD602">
        <v>0.3905265940059966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2.0051379425890774</v>
      </c>
      <c r="BK602">
        <v>2.0051379425890774</v>
      </c>
      <c r="BL602">
        <v>0.78305969123150387</v>
      </c>
      <c r="CC602">
        <v>0</v>
      </c>
      <c r="CD602">
        <v>0</v>
      </c>
      <c r="CE602">
        <v>0</v>
      </c>
    </row>
    <row r="603" spans="1:84" hidden="1" x14ac:dyDescent="0.25">
      <c r="A603" t="s">
        <v>128</v>
      </c>
      <c r="B603" t="s">
        <v>502</v>
      </c>
      <c r="C603" t="s">
        <v>72</v>
      </c>
      <c r="D603" s="12">
        <v>46232</v>
      </c>
      <c r="E603" t="s">
        <v>133</v>
      </c>
      <c r="F603" t="s">
        <v>133</v>
      </c>
      <c r="G603" t="s">
        <v>133</v>
      </c>
      <c r="H603" t="s">
        <v>73</v>
      </c>
      <c r="I603">
        <v>20</v>
      </c>
      <c r="J603">
        <v>9.9149198152032554</v>
      </c>
      <c r="K603">
        <v>46232</v>
      </c>
      <c r="L603" t="s">
        <v>238</v>
      </c>
      <c r="M603">
        <v>36.1</v>
      </c>
      <c r="N603">
        <v>36.1</v>
      </c>
      <c r="O603">
        <v>11.974065563725487</v>
      </c>
      <c r="P603">
        <v>3.640977503887151</v>
      </c>
      <c r="Q603">
        <v>3.640977503887151</v>
      </c>
      <c r="R603">
        <v>1.2076815331743578</v>
      </c>
      <c r="S603">
        <v>0</v>
      </c>
      <c r="T603">
        <v>0</v>
      </c>
      <c r="U603">
        <v>2.390977503887151</v>
      </c>
      <c r="V603">
        <v>0</v>
      </c>
      <c r="W603">
        <v>0</v>
      </c>
      <c r="X603">
        <v>0</v>
      </c>
      <c r="Y603">
        <v>0.20768153317435778</v>
      </c>
      <c r="Z603">
        <v>0</v>
      </c>
      <c r="AA603">
        <v>4.231846682564222E-2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0.27465151842668295</v>
      </c>
      <c r="AN603">
        <v>0.27465151842668295</v>
      </c>
      <c r="AO603">
        <v>0.33169156686220186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0.6683084331377982</v>
      </c>
      <c r="BA603">
        <v>0</v>
      </c>
      <c r="BB603">
        <v>0</v>
      </c>
      <c r="BC603">
        <v>0</v>
      </c>
      <c r="BD603">
        <v>0.27465151842668295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3.0148490341795173</v>
      </c>
      <c r="BK603">
        <v>3.0148490341795173</v>
      </c>
      <c r="BL603">
        <v>0.82803286506462304</v>
      </c>
      <c r="CC603">
        <v>0</v>
      </c>
      <c r="CD603">
        <v>0</v>
      </c>
      <c r="CE603">
        <v>0</v>
      </c>
    </row>
    <row r="604" spans="1:84" hidden="1" x14ac:dyDescent="0.25">
      <c r="A604" t="s">
        <v>128</v>
      </c>
      <c r="B604" t="s">
        <v>502</v>
      </c>
      <c r="C604" t="s">
        <v>72</v>
      </c>
      <c r="D604" s="12">
        <v>46232</v>
      </c>
      <c r="E604" t="s">
        <v>133</v>
      </c>
      <c r="F604" t="s">
        <v>133</v>
      </c>
      <c r="G604" t="s">
        <v>133</v>
      </c>
      <c r="H604" t="s">
        <v>74</v>
      </c>
      <c r="I604">
        <v>20</v>
      </c>
      <c r="J604">
        <v>4.437063563709744</v>
      </c>
      <c r="K604">
        <v>46232</v>
      </c>
      <c r="L604" t="s">
        <v>237</v>
      </c>
      <c r="M604">
        <v>7.6</v>
      </c>
      <c r="N604">
        <v>7.6</v>
      </c>
      <c r="O604">
        <v>4.0805070465686271</v>
      </c>
      <c r="P604">
        <v>1.7128445177480813</v>
      </c>
      <c r="Q604">
        <v>1.7128445177480813</v>
      </c>
      <c r="R604">
        <v>0.91964133215098531</v>
      </c>
      <c r="S604">
        <v>0</v>
      </c>
      <c r="T604">
        <v>0</v>
      </c>
      <c r="U604">
        <v>0.46284451774808133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0.25</v>
      </c>
      <c r="AB604">
        <v>0</v>
      </c>
      <c r="AC604">
        <v>0</v>
      </c>
      <c r="AD604">
        <v>0</v>
      </c>
      <c r="AE604">
        <v>8.0358667849014687E-2</v>
      </c>
      <c r="AF604">
        <v>0</v>
      </c>
      <c r="AG604">
        <v>0.91964133215098531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0.58382415311970315</v>
      </c>
      <c r="AN604">
        <v>0.58382415311970315</v>
      </c>
      <c r="AO604">
        <v>0.53690882191692468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0.41617584688029685</v>
      </c>
      <c r="BA604">
        <v>0</v>
      </c>
      <c r="BB604">
        <v>4.6915331202778465E-2</v>
      </c>
      <c r="BC604">
        <v>0</v>
      </c>
      <c r="BD604">
        <v>0.53690882191692468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1.8625136320720188</v>
      </c>
      <c r="BK604">
        <v>1.8625136320720188</v>
      </c>
      <c r="BL604">
        <v>1.0873804439183488</v>
      </c>
      <c r="CC604">
        <v>0</v>
      </c>
      <c r="CD604">
        <v>0</v>
      </c>
      <c r="CE604">
        <v>0</v>
      </c>
    </row>
    <row r="605" spans="1:84" hidden="1" x14ac:dyDescent="0.25">
      <c r="A605" t="s">
        <v>128</v>
      </c>
      <c r="B605" t="s">
        <v>502</v>
      </c>
      <c r="C605" t="s">
        <v>72</v>
      </c>
      <c r="D605" s="12">
        <v>46243</v>
      </c>
      <c r="E605" t="s">
        <v>501</v>
      </c>
      <c r="F605" t="s">
        <v>501</v>
      </c>
      <c r="G605" t="s">
        <v>501</v>
      </c>
      <c r="H605" t="s">
        <v>75</v>
      </c>
      <c r="I605">
        <v>0</v>
      </c>
      <c r="J605">
        <v>1.4435762356877015</v>
      </c>
      <c r="K605">
        <v>46243</v>
      </c>
      <c r="L605" t="s">
        <v>202</v>
      </c>
      <c r="M605">
        <v>0</v>
      </c>
      <c r="N605">
        <v>0</v>
      </c>
      <c r="O605">
        <v>0.93425605536332179</v>
      </c>
      <c r="P605">
        <v>0</v>
      </c>
      <c r="Q605">
        <v>0</v>
      </c>
      <c r="R605">
        <v>0.64718165363691649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0.64718165363691649</v>
      </c>
      <c r="AC605">
        <v>0.35281834636308351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J605">
        <v>0</v>
      </c>
      <c r="BK605">
        <v>0</v>
      </c>
      <c r="BL605">
        <v>1.5451612300509101</v>
      </c>
      <c r="BM605">
        <v>0.54516123005091011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 spans="1:84" hidden="1" x14ac:dyDescent="0.25">
      <c r="A606" t="s">
        <v>128</v>
      </c>
      <c r="B606" t="s">
        <v>502</v>
      </c>
      <c r="C606" t="s">
        <v>72</v>
      </c>
      <c r="D606" s="12">
        <v>46232</v>
      </c>
      <c r="E606" t="s">
        <v>133</v>
      </c>
      <c r="F606" t="s">
        <v>133</v>
      </c>
      <c r="G606" t="s">
        <v>133</v>
      </c>
      <c r="H606" t="s">
        <v>75</v>
      </c>
      <c r="I606">
        <v>20</v>
      </c>
      <c r="J606">
        <v>8.216784377240268</v>
      </c>
      <c r="K606">
        <v>46232</v>
      </c>
      <c r="L606" t="s">
        <v>236</v>
      </c>
      <c r="M606">
        <v>20.9</v>
      </c>
      <c r="N606">
        <v>20.9</v>
      </c>
      <c r="O606">
        <v>10.75792738970588</v>
      </c>
      <c r="P606">
        <v>2.5435741088559003</v>
      </c>
      <c r="Q606">
        <v>2.5435741088559003</v>
      </c>
      <c r="R606">
        <v>1.3092624676271587</v>
      </c>
      <c r="S606">
        <v>0</v>
      </c>
      <c r="T606">
        <v>0</v>
      </c>
      <c r="U606">
        <v>1.2343116412287416</v>
      </c>
      <c r="V606">
        <v>0</v>
      </c>
      <c r="W606">
        <v>5.9262467627158699E-2</v>
      </c>
      <c r="X606">
        <v>0</v>
      </c>
      <c r="Y606">
        <v>0.25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0.39314757785838605</v>
      </c>
      <c r="AN606">
        <v>0.39314757785838605</v>
      </c>
      <c r="AO606">
        <v>0.5147333679285111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0.4852666320714889</v>
      </c>
      <c r="BA606">
        <v>0</v>
      </c>
      <c r="BB606">
        <v>0</v>
      </c>
      <c r="BC606">
        <v>0</v>
      </c>
      <c r="BD606">
        <v>0.39314757785838605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1.9427533987633097</v>
      </c>
      <c r="BK606">
        <v>1.9427533987633097</v>
      </c>
      <c r="BL606">
        <v>0.76378879309994241</v>
      </c>
      <c r="CC606">
        <v>0</v>
      </c>
      <c r="CD606">
        <v>0</v>
      </c>
      <c r="CE606">
        <v>0</v>
      </c>
    </row>
    <row r="607" spans="1:84" hidden="1" x14ac:dyDescent="0.25">
      <c r="A607" t="s">
        <v>128</v>
      </c>
      <c r="B607" t="s">
        <v>502</v>
      </c>
      <c r="C607" t="s">
        <v>72</v>
      </c>
      <c r="D607" s="12">
        <v>46243</v>
      </c>
      <c r="E607" t="s">
        <v>501</v>
      </c>
      <c r="F607" t="s">
        <v>501</v>
      </c>
      <c r="G607" t="s">
        <v>501</v>
      </c>
      <c r="H607" t="s">
        <v>74</v>
      </c>
      <c r="I607">
        <v>0</v>
      </c>
      <c r="J607">
        <v>0</v>
      </c>
      <c r="K607">
        <v>46243</v>
      </c>
      <c r="L607" t="s">
        <v>211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F607">
        <v>0</v>
      </c>
    </row>
    <row r="608" spans="1:84" hidden="1" x14ac:dyDescent="0.25">
      <c r="A608" t="s">
        <v>128</v>
      </c>
      <c r="B608" t="s">
        <v>502</v>
      </c>
      <c r="C608" t="s">
        <v>72</v>
      </c>
      <c r="D608" s="12">
        <v>46243</v>
      </c>
      <c r="E608" t="s">
        <v>501</v>
      </c>
      <c r="F608" t="s">
        <v>501</v>
      </c>
      <c r="G608" t="s">
        <v>501</v>
      </c>
      <c r="H608" t="s">
        <v>73</v>
      </c>
      <c r="I608">
        <v>0</v>
      </c>
      <c r="J608">
        <v>1.8624711255077939</v>
      </c>
      <c r="K608">
        <v>46243</v>
      </c>
      <c r="L608" t="s">
        <v>203</v>
      </c>
      <c r="M608">
        <v>0</v>
      </c>
      <c r="N608">
        <v>0</v>
      </c>
      <c r="O608">
        <v>0.88235294117647045</v>
      </c>
      <c r="P608">
        <v>0</v>
      </c>
      <c r="Q608">
        <v>0</v>
      </c>
      <c r="R608">
        <v>0.47375389024401715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0.47375389024401715</v>
      </c>
      <c r="AC608">
        <v>0.52624610975598285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J608">
        <v>0</v>
      </c>
      <c r="BK608">
        <v>0</v>
      </c>
      <c r="BL608">
        <v>2.1108006089088334</v>
      </c>
      <c r="BM608">
        <v>1.1108006089088334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</row>
    <row r="609" spans="1:84" hidden="1" x14ac:dyDescent="0.25">
      <c r="A609" t="s">
        <v>128</v>
      </c>
      <c r="B609" t="s">
        <v>502</v>
      </c>
      <c r="C609" t="s">
        <v>72</v>
      </c>
      <c r="D609" s="12">
        <v>46233</v>
      </c>
      <c r="E609" t="s">
        <v>133</v>
      </c>
      <c r="F609" t="s">
        <v>133</v>
      </c>
      <c r="G609" t="s">
        <v>133</v>
      </c>
      <c r="H609" t="s">
        <v>73</v>
      </c>
      <c r="I609">
        <v>20</v>
      </c>
      <c r="J609">
        <v>9.9149198152032554</v>
      </c>
      <c r="K609">
        <v>46233</v>
      </c>
      <c r="L609" t="s">
        <v>235</v>
      </c>
      <c r="M609">
        <v>36.1</v>
      </c>
      <c r="N609">
        <v>36.1</v>
      </c>
      <c r="O609">
        <v>12.668918504901963</v>
      </c>
      <c r="P609">
        <v>3.640977503887151</v>
      </c>
      <c r="Q609">
        <v>3.640977503887151</v>
      </c>
      <c r="R609">
        <v>1.2777630824079691</v>
      </c>
      <c r="S609">
        <v>0</v>
      </c>
      <c r="T609">
        <v>0</v>
      </c>
      <c r="U609">
        <v>2.3632144214791819</v>
      </c>
      <c r="V609">
        <v>0</v>
      </c>
      <c r="W609">
        <v>2.7763082407969097E-2</v>
      </c>
      <c r="X609">
        <v>0</v>
      </c>
      <c r="Y609">
        <v>0.25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0.27465151842668295</v>
      </c>
      <c r="AN609">
        <v>0.27465151842668295</v>
      </c>
      <c r="AO609">
        <v>0.35093957077290755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0.64906042922709251</v>
      </c>
      <c r="BA609">
        <v>0</v>
      </c>
      <c r="BB609">
        <v>0</v>
      </c>
      <c r="BC609">
        <v>0</v>
      </c>
      <c r="BD609">
        <v>0.27465151842668295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2.8494934264540333</v>
      </c>
      <c r="BK609">
        <v>2.8494934264540333</v>
      </c>
      <c r="BL609">
        <v>0.78261769632245182</v>
      </c>
      <c r="CC609">
        <v>0</v>
      </c>
      <c r="CD609">
        <v>0</v>
      </c>
      <c r="CE609">
        <v>0</v>
      </c>
    </row>
    <row r="610" spans="1:84" hidden="1" x14ac:dyDescent="0.25">
      <c r="A610" t="s">
        <v>128</v>
      </c>
      <c r="B610" t="s">
        <v>502</v>
      </c>
      <c r="C610" t="s">
        <v>72</v>
      </c>
      <c r="D610" s="12">
        <v>46242</v>
      </c>
      <c r="E610" t="s">
        <v>501</v>
      </c>
      <c r="F610" t="s">
        <v>501</v>
      </c>
      <c r="G610" t="s">
        <v>501</v>
      </c>
      <c r="H610" t="s">
        <v>75</v>
      </c>
      <c r="I610">
        <v>0</v>
      </c>
      <c r="J610">
        <v>1.4435762356877015</v>
      </c>
      <c r="K610">
        <v>46242</v>
      </c>
      <c r="L610" t="s">
        <v>204</v>
      </c>
      <c r="M610">
        <v>0</v>
      </c>
      <c r="N610">
        <v>0</v>
      </c>
      <c r="O610">
        <v>0.93425605536332179</v>
      </c>
      <c r="P610">
        <v>0</v>
      </c>
      <c r="Q610">
        <v>0</v>
      </c>
      <c r="R610">
        <v>0.64718165363691649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0.64718165363691649</v>
      </c>
      <c r="AC610">
        <v>0.35281834636308351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1.5451612300509101</v>
      </c>
      <c r="BM610">
        <v>0.54516123005091011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</row>
    <row r="611" spans="1:84" hidden="1" x14ac:dyDescent="0.25">
      <c r="A611" t="s">
        <v>128</v>
      </c>
      <c r="B611" t="s">
        <v>502</v>
      </c>
      <c r="C611" t="s">
        <v>72</v>
      </c>
      <c r="D611" s="12">
        <v>46233</v>
      </c>
      <c r="E611" t="s">
        <v>133</v>
      </c>
      <c r="F611" t="s">
        <v>133</v>
      </c>
      <c r="G611" t="s">
        <v>133</v>
      </c>
      <c r="H611" t="s">
        <v>74</v>
      </c>
      <c r="I611">
        <v>20</v>
      </c>
      <c r="J611">
        <v>4.437063563709744</v>
      </c>
      <c r="K611">
        <v>46233</v>
      </c>
      <c r="L611" t="s">
        <v>234</v>
      </c>
      <c r="M611">
        <v>9.5</v>
      </c>
      <c r="N611">
        <v>9.5</v>
      </c>
      <c r="O611">
        <v>4.1398207720588234</v>
      </c>
      <c r="P611">
        <v>2.1410556471851017</v>
      </c>
      <c r="Q611">
        <v>2.1410556471851017</v>
      </c>
      <c r="R611">
        <v>0.93300912024744542</v>
      </c>
      <c r="S611">
        <v>0</v>
      </c>
      <c r="T611">
        <v>0</v>
      </c>
      <c r="U611">
        <v>0.89105564718510166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0.25</v>
      </c>
      <c r="AB611">
        <v>0</v>
      </c>
      <c r="AC611">
        <v>0</v>
      </c>
      <c r="AD611">
        <v>0</v>
      </c>
      <c r="AE611">
        <v>6.6990879752554577E-2</v>
      </c>
      <c r="AF611">
        <v>0</v>
      </c>
      <c r="AG611">
        <v>0.93300912024744542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0.46705932249576254</v>
      </c>
      <c r="AN611">
        <v>0.46705932249576254</v>
      </c>
      <c r="AO611">
        <v>0.4357706075851393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0.53294067750423746</v>
      </c>
      <c r="BA611">
        <v>0</v>
      </c>
      <c r="BB611">
        <v>3.1288714910623239E-2</v>
      </c>
      <c r="BC611">
        <v>0</v>
      </c>
      <c r="BD611">
        <v>0.4357706075851393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2.29478533566453</v>
      </c>
      <c r="BK611">
        <v>2.29478533566453</v>
      </c>
      <c r="BL611">
        <v>1.0718008841486864</v>
      </c>
      <c r="CC611">
        <v>0</v>
      </c>
      <c r="CD611">
        <v>0</v>
      </c>
      <c r="CE611">
        <v>0</v>
      </c>
    </row>
    <row r="612" spans="1:84" hidden="1" x14ac:dyDescent="0.25">
      <c r="A612" t="s">
        <v>128</v>
      </c>
      <c r="B612" t="s">
        <v>502</v>
      </c>
      <c r="C612" t="s">
        <v>72</v>
      </c>
      <c r="D612" s="12">
        <v>46233</v>
      </c>
      <c r="E612" t="s">
        <v>133</v>
      </c>
      <c r="F612" t="s">
        <v>133</v>
      </c>
      <c r="G612" t="s">
        <v>133</v>
      </c>
      <c r="H612" t="s">
        <v>75</v>
      </c>
      <c r="I612">
        <v>20</v>
      </c>
      <c r="J612">
        <v>8.1620058147253296</v>
      </c>
      <c r="K612">
        <v>46233</v>
      </c>
      <c r="L612" t="s">
        <v>233</v>
      </c>
      <c r="M612">
        <v>22.799999999999997</v>
      </c>
      <c r="N612">
        <v>22.799999999999997</v>
      </c>
      <c r="O612">
        <v>10.066260723039218</v>
      </c>
      <c r="P612">
        <v>2.7934309920321061</v>
      </c>
      <c r="Q612">
        <v>2.7934309920321061</v>
      </c>
      <c r="R612">
        <v>1.2333072227023365</v>
      </c>
      <c r="S612">
        <v>0</v>
      </c>
      <c r="T612">
        <v>0</v>
      </c>
      <c r="U612">
        <v>1.5434309920321061</v>
      </c>
      <c r="V612">
        <v>0</v>
      </c>
      <c r="W612">
        <v>0</v>
      </c>
      <c r="X612">
        <v>0</v>
      </c>
      <c r="Y612">
        <v>0.2333072227023365</v>
      </c>
      <c r="Z612">
        <v>0</v>
      </c>
      <c r="AA612">
        <v>1.6692777297663497E-2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0.35798271117216363</v>
      </c>
      <c r="AN612">
        <v>0.35798271117216363</v>
      </c>
      <c r="AO612">
        <v>0.44150266329119381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0.55849733670880619</v>
      </c>
      <c r="BA612">
        <v>0</v>
      </c>
      <c r="BB612">
        <v>0</v>
      </c>
      <c r="BC612">
        <v>0</v>
      </c>
      <c r="BD612">
        <v>0.35798271117216363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2.2649919992451966</v>
      </c>
      <c r="BK612">
        <v>2.2649919992451966</v>
      </c>
      <c r="BL612">
        <v>0.81082797667305473</v>
      </c>
      <c r="CC612">
        <v>0</v>
      </c>
      <c r="CD612">
        <v>0</v>
      </c>
      <c r="CE612">
        <v>0</v>
      </c>
    </row>
    <row r="613" spans="1:84" hidden="1" x14ac:dyDescent="0.25">
      <c r="A613" t="s">
        <v>128</v>
      </c>
      <c r="B613" t="s">
        <v>502</v>
      </c>
      <c r="C613" t="s">
        <v>72</v>
      </c>
      <c r="D613" s="12">
        <v>46242</v>
      </c>
      <c r="E613" t="s">
        <v>501</v>
      </c>
      <c r="F613" t="s">
        <v>501</v>
      </c>
      <c r="G613" t="s">
        <v>501</v>
      </c>
      <c r="H613" t="s">
        <v>74</v>
      </c>
      <c r="I613">
        <v>0</v>
      </c>
      <c r="J613">
        <v>0</v>
      </c>
      <c r="K613">
        <v>46242</v>
      </c>
      <c r="L613" t="s">
        <v>205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F613">
        <v>0</v>
      </c>
    </row>
    <row r="614" spans="1:84" hidden="1" x14ac:dyDescent="0.25">
      <c r="A614" t="s">
        <v>128</v>
      </c>
      <c r="B614" t="s">
        <v>502</v>
      </c>
      <c r="C614" t="s">
        <v>72</v>
      </c>
      <c r="D614" s="12">
        <v>46242</v>
      </c>
      <c r="E614" t="s">
        <v>501</v>
      </c>
      <c r="F614" t="s">
        <v>501</v>
      </c>
      <c r="G614" t="s">
        <v>501</v>
      </c>
      <c r="H614" t="s">
        <v>73</v>
      </c>
      <c r="I614">
        <v>0</v>
      </c>
      <c r="J614">
        <v>1.8624711255077939</v>
      </c>
      <c r="K614">
        <v>46242</v>
      </c>
      <c r="L614" t="s">
        <v>206</v>
      </c>
      <c r="M614">
        <v>0</v>
      </c>
      <c r="N614">
        <v>0</v>
      </c>
      <c r="O614">
        <v>0.88235294117647056</v>
      </c>
      <c r="P614">
        <v>0</v>
      </c>
      <c r="Q614">
        <v>0</v>
      </c>
      <c r="R614">
        <v>0.47375389024401721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0.47375389024401721</v>
      </c>
      <c r="AC614">
        <v>0.52624610975598274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2.1108006089088334</v>
      </c>
      <c r="BM614">
        <v>1.1108006089088334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</row>
    <row r="615" spans="1:84" hidden="1" x14ac:dyDescent="0.25">
      <c r="A615" t="s">
        <v>128</v>
      </c>
      <c r="B615" t="s">
        <v>502</v>
      </c>
      <c r="C615" t="s">
        <v>72</v>
      </c>
      <c r="D615" s="12">
        <v>46234</v>
      </c>
      <c r="E615" t="s">
        <v>133</v>
      </c>
      <c r="F615" t="s">
        <v>133</v>
      </c>
      <c r="G615" t="s">
        <v>133</v>
      </c>
      <c r="H615" t="s">
        <v>73</v>
      </c>
      <c r="I615">
        <v>20</v>
      </c>
      <c r="J615">
        <v>9.9149198152032554</v>
      </c>
      <c r="K615">
        <v>46234</v>
      </c>
      <c r="L615" t="s">
        <v>213</v>
      </c>
      <c r="M615">
        <v>38</v>
      </c>
      <c r="N615">
        <v>38</v>
      </c>
      <c r="O615">
        <v>11.720389093137252</v>
      </c>
      <c r="P615">
        <v>3.8326078988285799</v>
      </c>
      <c r="Q615">
        <v>3.8326078988285799</v>
      </c>
      <c r="R615">
        <v>1.1820962056763729</v>
      </c>
      <c r="S615">
        <v>0</v>
      </c>
      <c r="T615">
        <v>0</v>
      </c>
      <c r="U615">
        <v>2.5826078988285799</v>
      </c>
      <c r="V615">
        <v>0</v>
      </c>
      <c r="W615">
        <v>0</v>
      </c>
      <c r="X615">
        <v>0</v>
      </c>
      <c r="Y615">
        <v>0.18209620567637286</v>
      </c>
      <c r="Z615">
        <v>0</v>
      </c>
      <c r="AA615">
        <v>6.7903794323627142E-2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0.26091894250534881</v>
      </c>
      <c r="AN615">
        <v>0.26091894250534881</v>
      </c>
      <c r="AO615">
        <v>0.30843129192466451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0.69156870807533544</v>
      </c>
      <c r="BA615">
        <v>0</v>
      </c>
      <c r="BB615">
        <v>0</v>
      </c>
      <c r="BC615">
        <v>0</v>
      </c>
      <c r="BD615">
        <v>0.26091894250534881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3.2422131806400944</v>
      </c>
      <c r="BK615">
        <v>3.2422131806400944</v>
      </c>
      <c r="BL615">
        <v>0.84595483446951691</v>
      </c>
      <c r="CC615">
        <v>0</v>
      </c>
      <c r="CD615">
        <v>0</v>
      </c>
      <c r="CE615">
        <v>0</v>
      </c>
    </row>
    <row r="616" spans="1:84" hidden="1" x14ac:dyDescent="0.25">
      <c r="A616" t="s">
        <v>128</v>
      </c>
      <c r="B616" t="s">
        <v>502</v>
      </c>
      <c r="C616" t="s">
        <v>72</v>
      </c>
      <c r="D616" s="12">
        <v>46241</v>
      </c>
      <c r="E616" t="s">
        <v>501</v>
      </c>
      <c r="F616" t="s">
        <v>501</v>
      </c>
      <c r="G616" t="s">
        <v>501</v>
      </c>
      <c r="H616" t="s">
        <v>75</v>
      </c>
      <c r="I616">
        <v>0</v>
      </c>
      <c r="J616">
        <v>1.4435762356877015</v>
      </c>
      <c r="K616">
        <v>46241</v>
      </c>
      <c r="L616" t="s">
        <v>207</v>
      </c>
      <c r="M616">
        <v>0</v>
      </c>
      <c r="N616">
        <v>0</v>
      </c>
      <c r="O616">
        <v>0.11072664359861592</v>
      </c>
      <c r="P616">
        <v>0</v>
      </c>
      <c r="Q616">
        <v>0</v>
      </c>
      <c r="R616">
        <v>7.6703010801412327E-2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7.6703010801412327E-2</v>
      </c>
      <c r="AC616">
        <v>0.92329698919858771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13.037297878554554</v>
      </c>
      <c r="BM616">
        <v>12.037297878554554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 spans="1:84" hidden="1" x14ac:dyDescent="0.25">
      <c r="A617" t="s">
        <v>128</v>
      </c>
      <c r="B617" t="s">
        <v>502</v>
      </c>
      <c r="C617" t="s">
        <v>72</v>
      </c>
      <c r="D617" s="12">
        <v>46234</v>
      </c>
      <c r="E617" t="s">
        <v>133</v>
      </c>
      <c r="F617" t="s">
        <v>133</v>
      </c>
      <c r="G617" t="s">
        <v>133</v>
      </c>
      <c r="H617" t="s">
        <v>74</v>
      </c>
      <c r="I617">
        <v>20</v>
      </c>
      <c r="J617">
        <v>4.437063563709744</v>
      </c>
      <c r="K617">
        <v>46234</v>
      </c>
      <c r="L617" t="s">
        <v>190</v>
      </c>
      <c r="M617">
        <v>7.6</v>
      </c>
      <c r="N617">
        <v>7.6</v>
      </c>
      <c r="O617">
        <v>4.9564874387254898</v>
      </c>
      <c r="P617">
        <v>1.7128445177480813</v>
      </c>
      <c r="Q617">
        <v>1.7128445177480813</v>
      </c>
      <c r="R617">
        <v>1.1170647811458139</v>
      </c>
      <c r="S617">
        <v>0</v>
      </c>
      <c r="T617">
        <v>0</v>
      </c>
      <c r="U617">
        <v>0.46284451774808133</v>
      </c>
      <c r="V617">
        <v>0</v>
      </c>
      <c r="W617">
        <v>0</v>
      </c>
      <c r="X617">
        <v>0</v>
      </c>
      <c r="Y617">
        <v>0.11706478114581387</v>
      </c>
      <c r="Z617">
        <v>0</v>
      </c>
      <c r="AA617">
        <v>0.13293521885418613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0.58382415311970315</v>
      </c>
      <c r="AN617">
        <v>0.58382415311970315</v>
      </c>
      <c r="AO617">
        <v>0.65216939983230127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0.34783060016769873</v>
      </c>
      <c r="BA617">
        <v>0</v>
      </c>
      <c r="BB617">
        <v>0</v>
      </c>
      <c r="BC617">
        <v>0</v>
      </c>
      <c r="BD617">
        <v>0.58382415311970315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1.5333439444677099</v>
      </c>
      <c r="BK617">
        <v>1.5333439444677099</v>
      </c>
      <c r="BL617">
        <v>0.89520322982008593</v>
      </c>
      <c r="CC617">
        <v>0</v>
      </c>
      <c r="CD617">
        <v>0</v>
      </c>
      <c r="CE617">
        <v>0</v>
      </c>
    </row>
    <row r="618" spans="1:84" hidden="1" x14ac:dyDescent="0.25">
      <c r="A618" t="s">
        <v>128</v>
      </c>
      <c r="B618" t="s">
        <v>502</v>
      </c>
      <c r="C618" t="s">
        <v>72</v>
      </c>
      <c r="D618" s="12">
        <v>46241</v>
      </c>
      <c r="E618" t="s">
        <v>501</v>
      </c>
      <c r="F618" t="s">
        <v>501</v>
      </c>
      <c r="G618" t="s">
        <v>501</v>
      </c>
      <c r="H618" t="s">
        <v>74</v>
      </c>
      <c r="I618">
        <v>0</v>
      </c>
      <c r="J618">
        <v>0</v>
      </c>
      <c r="K618">
        <v>46241</v>
      </c>
      <c r="L618" t="s">
        <v>208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F618">
        <v>0</v>
      </c>
    </row>
    <row r="619" spans="1:84" hidden="1" x14ac:dyDescent="0.25">
      <c r="A619" t="s">
        <v>128</v>
      </c>
      <c r="B619" t="s">
        <v>502</v>
      </c>
      <c r="C619" t="s">
        <v>72</v>
      </c>
      <c r="D619" s="12">
        <v>46234</v>
      </c>
      <c r="E619" t="s">
        <v>133</v>
      </c>
      <c r="F619" t="s">
        <v>133</v>
      </c>
      <c r="G619" t="s">
        <v>133</v>
      </c>
      <c r="H619" t="s">
        <v>75</v>
      </c>
      <c r="I619">
        <v>20</v>
      </c>
      <c r="J619">
        <v>8.1072272522103948</v>
      </c>
      <c r="K619">
        <v>46234</v>
      </c>
      <c r="L619" t="s">
        <v>189</v>
      </c>
      <c r="M619">
        <v>22.799999999999997</v>
      </c>
      <c r="N619">
        <v>22.799999999999997</v>
      </c>
      <c r="O619">
        <v>9.8897901348039241</v>
      </c>
      <c r="P619">
        <v>2.8123055257620528</v>
      </c>
      <c r="Q619">
        <v>2.8123055257620528</v>
      </c>
      <c r="R619">
        <v>1.2198733089796543</v>
      </c>
      <c r="S619">
        <v>0</v>
      </c>
      <c r="T619">
        <v>0</v>
      </c>
      <c r="U619">
        <v>1.5623055257620528</v>
      </c>
      <c r="V619">
        <v>0</v>
      </c>
      <c r="W619">
        <v>0</v>
      </c>
      <c r="X619">
        <v>0</v>
      </c>
      <c r="Y619">
        <v>0.21987330897965429</v>
      </c>
      <c r="Z619">
        <v>0</v>
      </c>
      <c r="AA619">
        <v>3.0126691020345708E-2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0.35558014264080684</v>
      </c>
      <c r="AN619">
        <v>0.35558014264080684</v>
      </c>
      <c r="AO619">
        <v>0.43376272521069847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0.56623727478930153</v>
      </c>
      <c r="BA619">
        <v>0</v>
      </c>
      <c r="BB619">
        <v>0</v>
      </c>
      <c r="BC619">
        <v>0</v>
      </c>
      <c r="BD619">
        <v>0.35558014264080684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2.3054078690469635</v>
      </c>
      <c r="BK619">
        <v>2.3054078690469635</v>
      </c>
      <c r="BL619">
        <v>0.81975725892095785</v>
      </c>
      <c r="CC619">
        <v>0</v>
      </c>
      <c r="CD619">
        <v>0</v>
      </c>
      <c r="CE619">
        <v>0</v>
      </c>
    </row>
    <row r="620" spans="1:84" hidden="1" x14ac:dyDescent="0.25">
      <c r="A620" t="s">
        <v>128</v>
      </c>
      <c r="B620" t="s">
        <v>502</v>
      </c>
      <c r="C620" t="s">
        <v>72</v>
      </c>
      <c r="D620" s="12">
        <v>46241</v>
      </c>
      <c r="E620" t="s">
        <v>501</v>
      </c>
      <c r="F620" t="s">
        <v>501</v>
      </c>
      <c r="G620" t="s">
        <v>501</v>
      </c>
      <c r="H620" t="s">
        <v>73</v>
      </c>
      <c r="I620">
        <v>0</v>
      </c>
      <c r="J620">
        <v>1.8624711255077937</v>
      </c>
      <c r="K620">
        <v>46241</v>
      </c>
      <c r="L620" t="s">
        <v>209</v>
      </c>
      <c r="M620">
        <v>0</v>
      </c>
      <c r="N620">
        <v>0</v>
      </c>
      <c r="O620">
        <v>0.88235294117647045</v>
      </c>
      <c r="P620">
        <v>0</v>
      </c>
      <c r="Q620">
        <v>0</v>
      </c>
      <c r="R620">
        <v>0.47375389024401721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0.47375389024401721</v>
      </c>
      <c r="AC620">
        <v>0.52624610975598274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2.1108006089088334</v>
      </c>
      <c r="BM620">
        <v>1.1108006089088334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</row>
    <row r="621" spans="1:84" hidden="1" x14ac:dyDescent="0.25">
      <c r="A621" t="s">
        <v>128</v>
      </c>
      <c r="B621" t="s">
        <v>502</v>
      </c>
      <c r="C621" t="s">
        <v>72</v>
      </c>
      <c r="D621" s="12">
        <v>46235</v>
      </c>
      <c r="E621" t="s">
        <v>133</v>
      </c>
      <c r="F621" t="s">
        <v>133</v>
      </c>
      <c r="G621" t="s">
        <v>133</v>
      </c>
      <c r="H621" t="s">
        <v>73</v>
      </c>
      <c r="I621">
        <v>20</v>
      </c>
      <c r="J621">
        <v>9.9149198152032554</v>
      </c>
      <c r="K621">
        <v>46235</v>
      </c>
      <c r="L621" t="s">
        <v>188</v>
      </c>
      <c r="M621">
        <v>32.299999999999997</v>
      </c>
      <c r="N621">
        <v>32.299999999999997</v>
      </c>
      <c r="O621">
        <v>10.962545955882351</v>
      </c>
      <c r="P621">
        <v>3.2577167140042924</v>
      </c>
      <c r="Q621">
        <v>3.2577167140042924</v>
      </c>
      <c r="R621">
        <v>1.1056615847838422</v>
      </c>
      <c r="S621">
        <v>0</v>
      </c>
      <c r="T621">
        <v>0</v>
      </c>
      <c r="U621">
        <v>2.0077167140042924</v>
      </c>
      <c r="V621">
        <v>0</v>
      </c>
      <c r="W621">
        <v>0</v>
      </c>
      <c r="X621">
        <v>0</v>
      </c>
      <c r="Y621">
        <v>0.10566158478384224</v>
      </c>
      <c r="Z621">
        <v>0</v>
      </c>
      <c r="AA621">
        <v>0.14433841521615776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0.30696346177099865</v>
      </c>
      <c r="AN621">
        <v>0.30696346177099865</v>
      </c>
      <c r="AO621">
        <v>0.33939770761245674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0.6606022923875432</v>
      </c>
      <c r="BA621">
        <v>0</v>
      </c>
      <c r="BB621">
        <v>0</v>
      </c>
      <c r="BC621">
        <v>0</v>
      </c>
      <c r="BD621">
        <v>0.30696346177099865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2.9463958582238154</v>
      </c>
      <c r="BK621">
        <v>2.9463958582238154</v>
      </c>
      <c r="BL621">
        <v>0.90443587238811485</v>
      </c>
      <c r="CC621">
        <v>0</v>
      </c>
      <c r="CD621">
        <v>0</v>
      </c>
      <c r="CE621">
        <v>0</v>
      </c>
    </row>
    <row r="622" spans="1:84" hidden="1" x14ac:dyDescent="0.25">
      <c r="A622" t="s">
        <v>128</v>
      </c>
      <c r="B622" t="s">
        <v>502</v>
      </c>
      <c r="C622" t="s">
        <v>72</v>
      </c>
      <c r="D622" s="12">
        <v>46235</v>
      </c>
      <c r="E622" t="s">
        <v>133</v>
      </c>
      <c r="F622" t="s">
        <v>133</v>
      </c>
      <c r="G622" t="s">
        <v>133</v>
      </c>
      <c r="H622" t="s">
        <v>74</v>
      </c>
      <c r="I622">
        <v>20</v>
      </c>
      <c r="J622">
        <v>4.3275064386798743</v>
      </c>
      <c r="K622">
        <v>46235</v>
      </c>
      <c r="L622" t="s">
        <v>187</v>
      </c>
      <c r="M622">
        <v>9.5</v>
      </c>
      <c r="N622">
        <v>9.5</v>
      </c>
      <c r="O622">
        <v>4.9267310049019608</v>
      </c>
      <c r="P622">
        <v>2.1952595876201673</v>
      </c>
      <c r="Q622">
        <v>2.1952595876201673</v>
      </c>
      <c r="R622">
        <v>1.138468786751218</v>
      </c>
      <c r="S622">
        <v>0</v>
      </c>
      <c r="T622">
        <v>0</v>
      </c>
      <c r="U622">
        <v>0.94525958762016726</v>
      </c>
      <c r="V622">
        <v>0</v>
      </c>
      <c r="W622">
        <v>0</v>
      </c>
      <c r="X622">
        <v>0</v>
      </c>
      <c r="Y622">
        <v>0.13846878675121799</v>
      </c>
      <c r="Z622">
        <v>0</v>
      </c>
      <c r="AA622">
        <v>0.11153121324878201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0.45552699354524995</v>
      </c>
      <c r="AN622">
        <v>0.45552699354524995</v>
      </c>
      <c r="AO622">
        <v>0.51860326367389065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0.48139673632610935</v>
      </c>
      <c r="BA622">
        <v>0</v>
      </c>
      <c r="BB622">
        <v>0</v>
      </c>
      <c r="BC622">
        <v>0</v>
      </c>
      <c r="BD622">
        <v>0.45552699354524995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1.9282562799851999</v>
      </c>
      <c r="BK622">
        <v>1.9282562799851999</v>
      </c>
      <c r="BL622">
        <v>0.87837278600640578</v>
      </c>
      <c r="CC622">
        <v>0</v>
      </c>
      <c r="CD622">
        <v>0</v>
      </c>
      <c r="CE622">
        <v>0</v>
      </c>
    </row>
    <row r="623" spans="1:84" hidden="1" x14ac:dyDescent="0.25">
      <c r="A623" t="s">
        <v>128</v>
      </c>
      <c r="B623" t="s">
        <v>502</v>
      </c>
      <c r="C623" t="s">
        <v>72</v>
      </c>
      <c r="D623" s="12">
        <v>46240</v>
      </c>
      <c r="E623" t="s">
        <v>501</v>
      </c>
      <c r="F623" t="s">
        <v>501</v>
      </c>
      <c r="G623" t="s">
        <v>501</v>
      </c>
      <c r="H623" t="s">
        <v>75</v>
      </c>
      <c r="I623">
        <v>0</v>
      </c>
      <c r="J623">
        <v>1.4435762356877015</v>
      </c>
      <c r="K623">
        <v>46240</v>
      </c>
      <c r="L623" t="s">
        <v>210</v>
      </c>
      <c r="M623">
        <v>0</v>
      </c>
      <c r="N623">
        <v>0</v>
      </c>
      <c r="O623">
        <v>0.11072664359861592</v>
      </c>
      <c r="P623">
        <v>0</v>
      </c>
      <c r="Q623">
        <v>0</v>
      </c>
      <c r="R623">
        <v>7.6703010801412327E-2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7.6703010801412327E-2</v>
      </c>
      <c r="AC623">
        <v>0.92329698919858771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J623">
        <v>0</v>
      </c>
      <c r="BK623">
        <v>0</v>
      </c>
      <c r="BL623">
        <v>13.037297878554554</v>
      </c>
      <c r="BM623">
        <v>12.037297878554554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 spans="1:84" hidden="1" x14ac:dyDescent="0.25">
      <c r="A624" t="s">
        <v>128</v>
      </c>
      <c r="B624" t="s">
        <v>502</v>
      </c>
      <c r="C624" t="s">
        <v>72</v>
      </c>
      <c r="D624" s="12">
        <v>46235</v>
      </c>
      <c r="E624" t="s">
        <v>133</v>
      </c>
      <c r="F624" t="s">
        <v>133</v>
      </c>
      <c r="G624" t="s">
        <v>133</v>
      </c>
      <c r="H624" t="s">
        <v>75</v>
      </c>
      <c r="I624">
        <v>20</v>
      </c>
      <c r="J624">
        <v>8.1620058147253278</v>
      </c>
      <c r="K624">
        <v>46235</v>
      </c>
      <c r="L624" t="s">
        <v>186</v>
      </c>
      <c r="M624">
        <v>17.099999999999998</v>
      </c>
      <c r="N624">
        <v>17.099999999999998</v>
      </c>
      <c r="O624">
        <v>10.610723039215689</v>
      </c>
      <c r="P624">
        <v>2.0950732440240802</v>
      </c>
      <c r="Q624">
        <v>2.0950732440240802</v>
      </c>
      <c r="R624">
        <v>1.3000141484918517</v>
      </c>
      <c r="S624">
        <v>0</v>
      </c>
      <c r="T624">
        <v>0</v>
      </c>
      <c r="U624">
        <v>0.79505909553222853</v>
      </c>
      <c r="V624">
        <v>0</v>
      </c>
      <c r="W624">
        <v>5.0014148491851707E-2</v>
      </c>
      <c r="X624">
        <v>0</v>
      </c>
      <c r="Y624">
        <v>0.25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0.47731028156288474</v>
      </c>
      <c r="AN624">
        <v>0.47731028156288474</v>
      </c>
      <c r="AO624">
        <v>0.62051011925237953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0.37948988074762047</v>
      </c>
      <c r="BA624">
        <v>0</v>
      </c>
      <c r="BB624">
        <v>0</v>
      </c>
      <c r="BC624">
        <v>0</v>
      </c>
      <c r="BD624">
        <v>0.47731028156288474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1.6115772635663834</v>
      </c>
      <c r="BK624">
        <v>1.6115772635663834</v>
      </c>
      <c r="BL624">
        <v>0.76922239743321374</v>
      </c>
      <c r="CC624">
        <v>0</v>
      </c>
      <c r="CD624">
        <v>0</v>
      </c>
      <c r="CE624">
        <v>0</v>
      </c>
    </row>
    <row r="625" spans="1:84" hidden="1" x14ac:dyDescent="0.25">
      <c r="A625" t="s">
        <v>128</v>
      </c>
      <c r="B625" t="s">
        <v>502</v>
      </c>
      <c r="C625" t="s">
        <v>72</v>
      </c>
      <c r="D625" s="12">
        <v>46240</v>
      </c>
      <c r="E625" t="s">
        <v>501</v>
      </c>
      <c r="F625" t="s">
        <v>501</v>
      </c>
      <c r="G625" t="s">
        <v>501</v>
      </c>
      <c r="H625" t="s">
        <v>74</v>
      </c>
      <c r="I625">
        <v>0</v>
      </c>
      <c r="J625">
        <v>0</v>
      </c>
      <c r="K625">
        <v>46240</v>
      </c>
      <c r="L625" t="s">
        <v>192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F625">
        <v>0</v>
      </c>
    </row>
    <row r="626" spans="1:84" hidden="1" x14ac:dyDescent="0.25">
      <c r="A626" t="s">
        <v>128</v>
      </c>
      <c r="B626" t="s">
        <v>502</v>
      </c>
      <c r="C626" t="s">
        <v>72</v>
      </c>
      <c r="D626" s="12">
        <v>46240</v>
      </c>
      <c r="E626" t="s">
        <v>501</v>
      </c>
      <c r="F626" t="s">
        <v>501</v>
      </c>
      <c r="G626" t="s">
        <v>501</v>
      </c>
      <c r="H626" t="s">
        <v>73</v>
      </c>
      <c r="I626">
        <v>0</v>
      </c>
      <c r="J626">
        <v>1.8624711255077939</v>
      </c>
      <c r="K626">
        <v>46240</v>
      </c>
      <c r="L626" t="s">
        <v>191</v>
      </c>
      <c r="M626">
        <v>0</v>
      </c>
      <c r="N626">
        <v>0</v>
      </c>
      <c r="O626">
        <v>0.88235294117647045</v>
      </c>
      <c r="P626">
        <v>0</v>
      </c>
      <c r="Q626">
        <v>0</v>
      </c>
      <c r="R626">
        <v>0.47375389024401715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0.47375389024401715</v>
      </c>
      <c r="AC626">
        <v>0.52624610975598285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2.1108006089088334</v>
      </c>
      <c r="BM626">
        <v>1.1108006089088334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</row>
    <row r="627" spans="1:84" hidden="1" x14ac:dyDescent="0.25">
      <c r="A627" t="s">
        <v>128</v>
      </c>
      <c r="B627" t="s">
        <v>502</v>
      </c>
      <c r="C627" t="s">
        <v>72</v>
      </c>
      <c r="D627" s="12">
        <v>46239</v>
      </c>
      <c r="E627" t="s">
        <v>501</v>
      </c>
      <c r="F627" t="s">
        <v>501</v>
      </c>
      <c r="G627" t="s">
        <v>501</v>
      </c>
      <c r="H627" t="s">
        <v>75</v>
      </c>
      <c r="I627">
        <v>0</v>
      </c>
      <c r="J627">
        <v>1.5982451180828126</v>
      </c>
      <c r="K627">
        <v>46239</v>
      </c>
      <c r="L627" t="s">
        <v>175</v>
      </c>
      <c r="M627">
        <v>0</v>
      </c>
      <c r="N627">
        <v>0</v>
      </c>
      <c r="O627">
        <v>1.0449826989619375</v>
      </c>
      <c r="P627">
        <v>0</v>
      </c>
      <c r="Q627">
        <v>0</v>
      </c>
      <c r="R627">
        <v>0.65383130981526461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0.65383130981526461</v>
      </c>
      <c r="AC627">
        <v>0.34616869018473539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J627">
        <v>0</v>
      </c>
      <c r="BK627">
        <v>0</v>
      </c>
      <c r="BL627">
        <v>1.5294464871719633</v>
      </c>
      <c r="BM627">
        <v>0.5294464871719633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1</v>
      </c>
      <c r="CF627">
        <v>1</v>
      </c>
    </row>
    <row r="628" spans="1:84" hidden="1" x14ac:dyDescent="0.25">
      <c r="A628" t="s">
        <v>128</v>
      </c>
      <c r="B628" t="s">
        <v>502</v>
      </c>
      <c r="C628" t="s">
        <v>72</v>
      </c>
      <c r="D628" s="12">
        <v>46236</v>
      </c>
      <c r="E628" t="s">
        <v>133</v>
      </c>
      <c r="F628" t="s">
        <v>133</v>
      </c>
      <c r="G628" t="s">
        <v>133</v>
      </c>
      <c r="H628" t="s">
        <v>73</v>
      </c>
      <c r="I628">
        <v>20</v>
      </c>
      <c r="J628">
        <v>9.9149198152032554</v>
      </c>
      <c r="K628">
        <v>46236</v>
      </c>
      <c r="L628" t="s">
        <v>185</v>
      </c>
      <c r="M628">
        <v>38</v>
      </c>
      <c r="N628">
        <v>38</v>
      </c>
      <c r="O628">
        <v>10.962545955882351</v>
      </c>
      <c r="P628">
        <v>3.8326078988285799</v>
      </c>
      <c r="Q628">
        <v>3.8326078988285799</v>
      </c>
      <c r="R628">
        <v>1.1056615847838422</v>
      </c>
      <c r="S628">
        <v>0</v>
      </c>
      <c r="T628">
        <v>0</v>
      </c>
      <c r="U628">
        <v>2.5826078988285799</v>
      </c>
      <c r="V628">
        <v>0</v>
      </c>
      <c r="W628">
        <v>0</v>
      </c>
      <c r="X628">
        <v>0</v>
      </c>
      <c r="Y628">
        <v>0.10566158478384224</v>
      </c>
      <c r="Z628">
        <v>0</v>
      </c>
      <c r="AA628">
        <v>0.14433841521615776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0.26091894250534881</v>
      </c>
      <c r="AN628">
        <v>0.26091894250534881</v>
      </c>
      <c r="AO628">
        <v>0.2884880514705882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0.7115119485294118</v>
      </c>
      <c r="BA628">
        <v>0</v>
      </c>
      <c r="BB628">
        <v>0</v>
      </c>
      <c r="BC628">
        <v>0</v>
      </c>
      <c r="BD628">
        <v>0.26091894250534881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3.4663480684986068</v>
      </c>
      <c r="BK628">
        <v>3.4663480684986068</v>
      </c>
      <c r="BL628">
        <v>0.90443587238811485</v>
      </c>
      <c r="CC628">
        <v>0</v>
      </c>
      <c r="CD628">
        <v>0</v>
      </c>
      <c r="CE628">
        <v>0</v>
      </c>
    </row>
    <row r="629" spans="1:84" hidden="1" x14ac:dyDescent="0.25">
      <c r="A629" t="s">
        <v>128</v>
      </c>
      <c r="B629" t="s">
        <v>502</v>
      </c>
      <c r="C629" t="s">
        <v>72</v>
      </c>
      <c r="D629" s="12">
        <v>46239</v>
      </c>
      <c r="E629" t="s">
        <v>501</v>
      </c>
      <c r="F629" t="s">
        <v>501</v>
      </c>
      <c r="G629" t="s">
        <v>501</v>
      </c>
      <c r="H629" t="s">
        <v>74</v>
      </c>
      <c r="I629">
        <v>0</v>
      </c>
      <c r="J629">
        <v>0</v>
      </c>
      <c r="K629">
        <v>46239</v>
      </c>
      <c r="L629" t="s">
        <v>176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F629">
        <v>0</v>
      </c>
    </row>
    <row r="630" spans="1:84" hidden="1" x14ac:dyDescent="0.25">
      <c r="A630" t="s">
        <v>128</v>
      </c>
      <c r="B630" t="s">
        <v>502</v>
      </c>
      <c r="C630" t="s">
        <v>72</v>
      </c>
      <c r="D630" s="12">
        <v>46240</v>
      </c>
      <c r="E630" t="s">
        <v>133</v>
      </c>
      <c r="F630" t="s">
        <v>133</v>
      </c>
      <c r="G630" t="s">
        <v>133</v>
      </c>
      <c r="H630" t="s">
        <v>75</v>
      </c>
      <c r="I630">
        <v>20</v>
      </c>
      <c r="J630">
        <v>8.0524486896954599</v>
      </c>
      <c r="K630">
        <v>46240</v>
      </c>
      <c r="L630" t="s">
        <v>210</v>
      </c>
      <c r="M630">
        <v>20.9</v>
      </c>
      <c r="N630">
        <v>20.9</v>
      </c>
      <c r="O630">
        <v>9.1283011642156868</v>
      </c>
      <c r="P630">
        <v>2.5954837845468379</v>
      </c>
      <c r="Q630">
        <v>2.5954837845468379</v>
      </c>
      <c r="R630">
        <v>1.1336056292909971</v>
      </c>
      <c r="S630">
        <v>0</v>
      </c>
      <c r="T630">
        <v>0</v>
      </c>
      <c r="U630">
        <v>1.3454837845468379</v>
      </c>
      <c r="V630">
        <v>0</v>
      </c>
      <c r="W630">
        <v>0</v>
      </c>
      <c r="X630">
        <v>0</v>
      </c>
      <c r="Y630">
        <v>0.13360562929099706</v>
      </c>
      <c r="Z630">
        <v>0</v>
      </c>
      <c r="AA630">
        <v>0.11639437070900294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0.38528462630121818</v>
      </c>
      <c r="AN630">
        <v>0.38528462630121818</v>
      </c>
      <c r="AO630">
        <v>0.43676082125433913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0.56323917874566087</v>
      </c>
      <c r="BA630">
        <v>0</v>
      </c>
      <c r="BB630">
        <v>0</v>
      </c>
      <c r="BC630">
        <v>0</v>
      </c>
      <c r="BD630">
        <v>0.38528462630121818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2.2895826533343513</v>
      </c>
      <c r="BK630">
        <v>2.2895826533343513</v>
      </c>
      <c r="BL630">
        <v>0.88214099697567705</v>
      </c>
      <c r="CC630">
        <v>0</v>
      </c>
      <c r="CD630">
        <v>0</v>
      </c>
      <c r="CE630">
        <v>0</v>
      </c>
    </row>
    <row r="631" spans="1:84" hidden="1" x14ac:dyDescent="0.25">
      <c r="A631" t="s">
        <v>128</v>
      </c>
      <c r="B631" t="s">
        <v>502</v>
      </c>
      <c r="C631" t="s">
        <v>72</v>
      </c>
      <c r="D631" s="12">
        <v>46244</v>
      </c>
      <c r="E631" t="s">
        <v>501</v>
      </c>
      <c r="F631" t="s">
        <v>501</v>
      </c>
      <c r="G631" t="s">
        <v>501</v>
      </c>
      <c r="H631" t="s">
        <v>73</v>
      </c>
      <c r="I631">
        <v>0</v>
      </c>
      <c r="J631">
        <v>1.8624711255077939</v>
      </c>
      <c r="K631">
        <v>46244</v>
      </c>
      <c r="L631" t="s">
        <v>200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</row>
    <row r="632" spans="1:84" hidden="1" x14ac:dyDescent="0.25">
      <c r="A632" t="s">
        <v>128</v>
      </c>
      <c r="B632" t="s">
        <v>502</v>
      </c>
      <c r="C632" t="s">
        <v>72</v>
      </c>
      <c r="D632" s="12">
        <v>46233</v>
      </c>
      <c r="E632" t="s">
        <v>501</v>
      </c>
      <c r="F632" t="s">
        <v>501</v>
      </c>
      <c r="G632" t="s">
        <v>501</v>
      </c>
      <c r="H632" t="s">
        <v>73</v>
      </c>
      <c r="I632">
        <v>0</v>
      </c>
      <c r="J632">
        <v>1.8624711255077939</v>
      </c>
      <c r="K632">
        <v>46233</v>
      </c>
      <c r="L632" t="s">
        <v>235</v>
      </c>
      <c r="M632">
        <v>0</v>
      </c>
      <c r="N632">
        <v>0</v>
      </c>
      <c r="O632">
        <v>0.88235294117647056</v>
      </c>
      <c r="P632">
        <v>0</v>
      </c>
      <c r="Q632">
        <v>0</v>
      </c>
      <c r="R632">
        <v>0.47375389024401721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0.47375389024401721</v>
      </c>
      <c r="AC632">
        <v>0.52624610975598274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J632">
        <v>0</v>
      </c>
      <c r="BK632">
        <v>0</v>
      </c>
      <c r="BL632">
        <v>2.1108006089088334</v>
      </c>
      <c r="BM632">
        <v>1.1108006089088334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</row>
    <row r="633" spans="1:84" hidden="1" x14ac:dyDescent="0.25">
      <c r="A633" t="s">
        <v>128</v>
      </c>
      <c r="B633" t="s">
        <v>502</v>
      </c>
      <c r="C633" t="s">
        <v>72</v>
      </c>
      <c r="D633" s="12">
        <v>46232</v>
      </c>
      <c r="E633" t="s">
        <v>501</v>
      </c>
      <c r="F633" t="s">
        <v>501</v>
      </c>
      <c r="G633" t="s">
        <v>501</v>
      </c>
      <c r="H633" t="s">
        <v>75</v>
      </c>
      <c r="I633">
        <v>0</v>
      </c>
      <c r="J633">
        <v>1.5982451180828123</v>
      </c>
      <c r="K633">
        <v>46232</v>
      </c>
      <c r="L633" t="s">
        <v>236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 spans="1:84" hidden="1" x14ac:dyDescent="0.25">
      <c r="A634" t="s">
        <v>128</v>
      </c>
      <c r="B634" t="s">
        <v>502</v>
      </c>
      <c r="C634" t="s">
        <v>72</v>
      </c>
      <c r="D634" s="12">
        <v>46226</v>
      </c>
      <c r="E634" t="s">
        <v>501</v>
      </c>
      <c r="F634" t="s">
        <v>501</v>
      </c>
      <c r="G634" t="s">
        <v>501</v>
      </c>
      <c r="H634" t="s">
        <v>74</v>
      </c>
      <c r="I634">
        <v>0</v>
      </c>
      <c r="J634">
        <v>0</v>
      </c>
      <c r="K634">
        <v>46226</v>
      </c>
      <c r="L634" t="s">
        <v>228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F634">
        <v>0</v>
      </c>
    </row>
    <row r="635" spans="1:84" hidden="1" x14ac:dyDescent="0.25">
      <c r="A635" t="s">
        <v>128</v>
      </c>
      <c r="B635" t="s">
        <v>502</v>
      </c>
      <c r="C635" t="s">
        <v>72</v>
      </c>
      <c r="D635" s="12">
        <v>46226</v>
      </c>
      <c r="E635" t="s">
        <v>501</v>
      </c>
      <c r="F635" t="s">
        <v>501</v>
      </c>
      <c r="G635" t="s">
        <v>501</v>
      </c>
      <c r="H635" t="s">
        <v>73</v>
      </c>
      <c r="I635">
        <v>0</v>
      </c>
      <c r="J635">
        <v>1.8624711255077939</v>
      </c>
      <c r="K635">
        <v>46226</v>
      </c>
      <c r="L635" t="s">
        <v>229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</row>
    <row r="636" spans="1:84" hidden="1" x14ac:dyDescent="0.25">
      <c r="A636" t="s">
        <v>128</v>
      </c>
      <c r="B636" t="s">
        <v>502</v>
      </c>
      <c r="C636" t="s">
        <v>72</v>
      </c>
      <c r="D636" s="12">
        <v>46245</v>
      </c>
      <c r="E636" t="s">
        <v>133</v>
      </c>
      <c r="F636" t="s">
        <v>133</v>
      </c>
      <c r="G636" t="s">
        <v>133</v>
      </c>
      <c r="H636" t="s">
        <v>75</v>
      </c>
      <c r="I636">
        <v>20</v>
      </c>
      <c r="J636">
        <v>8.216784377240268</v>
      </c>
      <c r="K636">
        <v>46245</v>
      </c>
      <c r="L636" t="s">
        <v>195</v>
      </c>
      <c r="M636">
        <v>20.9</v>
      </c>
      <c r="N636">
        <v>20.9</v>
      </c>
      <c r="O636">
        <v>9.9115042892156868</v>
      </c>
      <c r="P636">
        <v>2.5435741088559003</v>
      </c>
      <c r="Q636">
        <v>2.5435741088559003</v>
      </c>
      <c r="R636">
        <v>1.2062509899456089</v>
      </c>
      <c r="S636">
        <v>0</v>
      </c>
      <c r="T636">
        <v>0</v>
      </c>
      <c r="U636">
        <v>1.2935741088559003</v>
      </c>
      <c r="V636">
        <v>0</v>
      </c>
      <c r="W636">
        <v>0</v>
      </c>
      <c r="X636">
        <v>0</v>
      </c>
      <c r="Y636">
        <v>0.20625098994560886</v>
      </c>
      <c r="Z636">
        <v>0</v>
      </c>
      <c r="AA636">
        <v>4.3749010054391135E-2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0.39314757785838605</v>
      </c>
      <c r="AN636">
        <v>0.39314757785838605</v>
      </c>
      <c r="AO636">
        <v>0.47423465498639655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0.5257653450136035</v>
      </c>
      <c r="BA636">
        <v>0</v>
      </c>
      <c r="BB636">
        <v>0</v>
      </c>
      <c r="BC636">
        <v>0</v>
      </c>
      <c r="BD636">
        <v>0.39314757785838605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2.1086607431265967</v>
      </c>
      <c r="BK636">
        <v>2.1086607431265967</v>
      </c>
      <c r="BL636">
        <v>0.82901486368528576</v>
      </c>
      <c r="CC636">
        <v>0</v>
      </c>
      <c r="CD636">
        <v>0</v>
      </c>
      <c r="CE636">
        <v>0</v>
      </c>
    </row>
    <row r="637" spans="1:84" hidden="1" x14ac:dyDescent="0.25">
      <c r="A637" t="s">
        <v>128</v>
      </c>
      <c r="B637" t="s">
        <v>502</v>
      </c>
      <c r="C637" t="s">
        <v>72</v>
      </c>
      <c r="D637" s="12">
        <v>46225</v>
      </c>
      <c r="E637" t="s">
        <v>501</v>
      </c>
      <c r="F637" t="s">
        <v>501</v>
      </c>
      <c r="G637" t="s">
        <v>501</v>
      </c>
      <c r="H637" t="s">
        <v>75</v>
      </c>
      <c r="I637">
        <v>0</v>
      </c>
      <c r="J637">
        <v>1.5982451180828126</v>
      </c>
      <c r="K637">
        <v>46225</v>
      </c>
      <c r="L637" t="s">
        <v>212</v>
      </c>
      <c r="M637">
        <v>0</v>
      </c>
      <c r="N637">
        <v>0</v>
      </c>
      <c r="O637">
        <v>0.93425605536332179</v>
      </c>
      <c r="P637">
        <v>0</v>
      </c>
      <c r="Q637">
        <v>0</v>
      </c>
      <c r="R637">
        <v>0.58455117102689225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0.58455117102689225</v>
      </c>
      <c r="AC637">
        <v>0.41544882897310775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J637">
        <v>0</v>
      </c>
      <c r="BK637">
        <v>0</v>
      </c>
      <c r="BL637">
        <v>1.7107142189849365</v>
      </c>
      <c r="BM637">
        <v>0.71071421898493647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 spans="1:84" hidden="1" x14ac:dyDescent="0.25">
      <c r="A638" t="s">
        <v>128</v>
      </c>
      <c r="B638" t="s">
        <v>502</v>
      </c>
      <c r="C638" t="s">
        <v>72</v>
      </c>
      <c r="D638" s="12">
        <v>46225</v>
      </c>
      <c r="E638" t="s">
        <v>501</v>
      </c>
      <c r="F638" t="s">
        <v>501</v>
      </c>
      <c r="G638" t="s">
        <v>501</v>
      </c>
      <c r="H638" t="s">
        <v>74</v>
      </c>
      <c r="I638">
        <v>0</v>
      </c>
      <c r="J638">
        <v>0</v>
      </c>
      <c r="K638">
        <v>46225</v>
      </c>
      <c r="L638" t="s">
        <v>160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F638">
        <v>0</v>
      </c>
    </row>
    <row r="639" spans="1:84" hidden="1" x14ac:dyDescent="0.25">
      <c r="A639" t="s">
        <v>128</v>
      </c>
      <c r="B639" t="s">
        <v>502</v>
      </c>
      <c r="C639" t="s">
        <v>72</v>
      </c>
      <c r="D639" s="12">
        <v>46246</v>
      </c>
      <c r="E639" t="s">
        <v>133</v>
      </c>
      <c r="F639" t="s">
        <v>133</v>
      </c>
      <c r="G639" t="s">
        <v>133</v>
      </c>
      <c r="H639" t="s">
        <v>73</v>
      </c>
      <c r="I639">
        <v>20</v>
      </c>
      <c r="J639">
        <v>9.9149198152032554</v>
      </c>
      <c r="K639">
        <v>46246</v>
      </c>
      <c r="L639" t="s">
        <v>194</v>
      </c>
      <c r="M639">
        <v>32.299999999999997</v>
      </c>
      <c r="N639">
        <v>32.299999999999997</v>
      </c>
      <c r="O639">
        <v>10.212545955882351</v>
      </c>
      <c r="P639">
        <v>3.2577167140042924</v>
      </c>
      <c r="Q639">
        <v>3.2577167140042924</v>
      </c>
      <c r="R639">
        <v>1.0300180078332781</v>
      </c>
      <c r="S639">
        <v>0</v>
      </c>
      <c r="T639">
        <v>0</v>
      </c>
      <c r="U639">
        <v>2.0077167140042924</v>
      </c>
      <c r="V639">
        <v>0</v>
      </c>
      <c r="W639">
        <v>0</v>
      </c>
      <c r="X639">
        <v>0</v>
      </c>
      <c r="Y639">
        <v>3.0018007833278126E-2</v>
      </c>
      <c r="Z639">
        <v>0</v>
      </c>
      <c r="AA639">
        <v>0.21998199216672187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0.30696346177099865</v>
      </c>
      <c r="AN639">
        <v>0.30696346177099865</v>
      </c>
      <c r="AO639">
        <v>0.31617789337097069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0.68382210662902931</v>
      </c>
      <c r="BA639">
        <v>0</v>
      </c>
      <c r="BB639">
        <v>0</v>
      </c>
      <c r="BC639">
        <v>0</v>
      </c>
      <c r="BD639">
        <v>0.30696346177099865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3.1627764652941841</v>
      </c>
      <c r="BK639">
        <v>3.1627764652941841</v>
      </c>
      <c r="BL639">
        <v>0.97085681259454548</v>
      </c>
      <c r="CC639">
        <v>0</v>
      </c>
      <c r="CD639">
        <v>0</v>
      </c>
      <c r="CE639">
        <v>0</v>
      </c>
    </row>
    <row r="640" spans="1:84" hidden="1" x14ac:dyDescent="0.25">
      <c r="A640" t="s">
        <v>128</v>
      </c>
      <c r="B640" t="s">
        <v>502</v>
      </c>
      <c r="C640" t="s">
        <v>72</v>
      </c>
      <c r="D640" s="12">
        <v>46225</v>
      </c>
      <c r="E640" t="s">
        <v>501</v>
      </c>
      <c r="F640" t="s">
        <v>501</v>
      </c>
      <c r="G640" t="s">
        <v>501</v>
      </c>
      <c r="H640" t="s">
        <v>73</v>
      </c>
      <c r="I640">
        <v>0</v>
      </c>
      <c r="J640">
        <v>1.8624711255077939</v>
      </c>
      <c r="K640">
        <v>46225</v>
      </c>
      <c r="L640" t="s">
        <v>163</v>
      </c>
      <c r="M640">
        <v>0</v>
      </c>
      <c r="N640">
        <v>0</v>
      </c>
      <c r="O640">
        <v>0.88235294117647056</v>
      </c>
      <c r="P640">
        <v>0</v>
      </c>
      <c r="Q640">
        <v>0</v>
      </c>
      <c r="R640">
        <v>0.47375389024401721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0.47375389024401721</v>
      </c>
      <c r="AC640">
        <v>0.52624610975598274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J640">
        <v>0</v>
      </c>
      <c r="BK640">
        <v>0</v>
      </c>
      <c r="BL640">
        <v>2.1108006089088334</v>
      </c>
      <c r="BM640">
        <v>1.1108006089088334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</row>
    <row r="641" spans="1:84" hidden="1" x14ac:dyDescent="0.25">
      <c r="A641" t="s">
        <v>128</v>
      </c>
      <c r="B641" t="s">
        <v>502</v>
      </c>
      <c r="C641" t="s">
        <v>72</v>
      </c>
      <c r="D641" s="12">
        <v>46246</v>
      </c>
      <c r="E641" t="s">
        <v>133</v>
      </c>
      <c r="F641" t="s">
        <v>133</v>
      </c>
      <c r="G641" t="s">
        <v>133</v>
      </c>
      <c r="H641" t="s">
        <v>74</v>
      </c>
      <c r="I641">
        <v>20</v>
      </c>
      <c r="J641">
        <v>4.437063563709744</v>
      </c>
      <c r="K641">
        <v>46246</v>
      </c>
      <c r="L641" t="s">
        <v>193</v>
      </c>
      <c r="M641">
        <v>7.6</v>
      </c>
      <c r="N641">
        <v>7.6</v>
      </c>
      <c r="O641">
        <v>4.8983532475490188</v>
      </c>
      <c r="P641">
        <v>1.7128445177480813</v>
      </c>
      <c r="Q641">
        <v>1.7128445177480813</v>
      </c>
      <c r="R641">
        <v>1.1039628297444537</v>
      </c>
      <c r="S641">
        <v>0</v>
      </c>
      <c r="T641">
        <v>0</v>
      </c>
      <c r="U641">
        <v>0.46284451774808133</v>
      </c>
      <c r="V641">
        <v>0</v>
      </c>
      <c r="W641">
        <v>0</v>
      </c>
      <c r="X641">
        <v>0</v>
      </c>
      <c r="Y641">
        <v>0.1039628297444537</v>
      </c>
      <c r="Z641">
        <v>0</v>
      </c>
      <c r="AA641">
        <v>0.1460371702555463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0.58382415311970315</v>
      </c>
      <c r="AN641">
        <v>0.58382415311970315</v>
      </c>
      <c r="AO641">
        <v>0.64452016415118674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0.35547983584881326</v>
      </c>
      <c r="BA641">
        <v>0</v>
      </c>
      <c r="BB641">
        <v>0</v>
      </c>
      <c r="BC641">
        <v>0</v>
      </c>
      <c r="BD641">
        <v>0.58382415311970315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1.5515418378212718</v>
      </c>
      <c r="BK641">
        <v>1.5515418378212718</v>
      </c>
      <c r="BL641">
        <v>0.90582759949579184</v>
      </c>
      <c r="CC641">
        <v>0</v>
      </c>
      <c r="CD641">
        <v>0</v>
      </c>
      <c r="CE641">
        <v>0</v>
      </c>
    </row>
    <row r="642" spans="1:84" hidden="1" x14ac:dyDescent="0.25">
      <c r="A642" t="s">
        <v>128</v>
      </c>
      <c r="B642" t="s">
        <v>502</v>
      </c>
      <c r="C642" t="s">
        <v>72</v>
      </c>
      <c r="D642" s="12">
        <v>46224</v>
      </c>
      <c r="E642" t="s">
        <v>501</v>
      </c>
      <c r="F642" t="s">
        <v>501</v>
      </c>
      <c r="G642" t="s">
        <v>501</v>
      </c>
      <c r="H642" t="s">
        <v>75</v>
      </c>
      <c r="I642">
        <v>0</v>
      </c>
      <c r="J642">
        <v>1.4435762356877015</v>
      </c>
      <c r="K642">
        <v>46224</v>
      </c>
      <c r="L642" t="s">
        <v>166</v>
      </c>
      <c r="M642">
        <v>0</v>
      </c>
      <c r="N642">
        <v>0</v>
      </c>
      <c r="O642">
        <v>0.93425605536332179</v>
      </c>
      <c r="P642">
        <v>0</v>
      </c>
      <c r="Q642">
        <v>0</v>
      </c>
      <c r="R642">
        <v>0.64718165363691649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0.64718165363691649</v>
      </c>
      <c r="AC642">
        <v>0.35281834636308351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J642">
        <v>0</v>
      </c>
      <c r="BK642">
        <v>0</v>
      </c>
      <c r="BL642">
        <v>1.5451612300509101</v>
      </c>
      <c r="BM642">
        <v>0.54516123005091011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 spans="1:84" hidden="1" x14ac:dyDescent="0.25">
      <c r="A643" t="s">
        <v>128</v>
      </c>
      <c r="B643" t="s">
        <v>502</v>
      </c>
      <c r="C643" t="s">
        <v>72</v>
      </c>
      <c r="D643" s="12">
        <v>46224</v>
      </c>
      <c r="E643" t="s">
        <v>501</v>
      </c>
      <c r="F643" t="s">
        <v>501</v>
      </c>
      <c r="G643" t="s">
        <v>501</v>
      </c>
      <c r="H643" t="s">
        <v>74</v>
      </c>
      <c r="I643">
        <v>0</v>
      </c>
      <c r="J643">
        <v>0</v>
      </c>
      <c r="K643">
        <v>46224</v>
      </c>
      <c r="L643" t="s">
        <v>169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F643">
        <v>0</v>
      </c>
    </row>
    <row r="644" spans="1:84" hidden="1" x14ac:dyDescent="0.25">
      <c r="A644" t="s">
        <v>128</v>
      </c>
      <c r="B644" t="s">
        <v>502</v>
      </c>
      <c r="C644" t="s">
        <v>72</v>
      </c>
      <c r="D644" s="12">
        <v>46246</v>
      </c>
      <c r="E644" t="s">
        <v>133</v>
      </c>
      <c r="F644" t="s">
        <v>133</v>
      </c>
      <c r="G644" t="s">
        <v>133</v>
      </c>
      <c r="H644" t="s">
        <v>75</v>
      </c>
      <c r="I644">
        <v>20</v>
      </c>
      <c r="J644">
        <v>8.216784377240268</v>
      </c>
      <c r="K644">
        <v>46246</v>
      </c>
      <c r="L644" t="s">
        <v>201</v>
      </c>
      <c r="M644">
        <v>20.9</v>
      </c>
      <c r="N644">
        <v>20.9</v>
      </c>
      <c r="O644">
        <v>9.8891007965686271</v>
      </c>
      <c r="P644">
        <v>2.5435741088559003</v>
      </c>
      <c r="Q644">
        <v>2.5435741088559003</v>
      </c>
      <c r="R644">
        <v>1.2035244376085272</v>
      </c>
      <c r="S644">
        <v>0</v>
      </c>
      <c r="T644">
        <v>0</v>
      </c>
      <c r="U644">
        <v>1.2935741088559003</v>
      </c>
      <c r="V644">
        <v>0</v>
      </c>
      <c r="W644">
        <v>0</v>
      </c>
      <c r="X644">
        <v>0</v>
      </c>
      <c r="Y644">
        <v>0.20352443760852723</v>
      </c>
      <c r="Z644">
        <v>0</v>
      </c>
      <c r="AA644">
        <v>4.6475562391472769E-2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0.39314757785838605</v>
      </c>
      <c r="AN644">
        <v>0.39314757785838605</v>
      </c>
      <c r="AO644">
        <v>0.47316271753916878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0.52683728246083117</v>
      </c>
      <c r="BA644">
        <v>0</v>
      </c>
      <c r="BB644">
        <v>0</v>
      </c>
      <c r="BC644">
        <v>0</v>
      </c>
      <c r="BD644">
        <v>0.39314757785838605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2.1134378574897319</v>
      </c>
      <c r="BK644">
        <v>2.1134378574897319</v>
      </c>
      <c r="BL644">
        <v>0.83089297462630496</v>
      </c>
      <c r="CC644">
        <v>0</v>
      </c>
      <c r="CD644">
        <v>0</v>
      </c>
      <c r="CE644">
        <v>0</v>
      </c>
    </row>
    <row r="645" spans="1:84" hidden="1" x14ac:dyDescent="0.25">
      <c r="A645" t="s">
        <v>128</v>
      </c>
      <c r="B645" t="s">
        <v>502</v>
      </c>
      <c r="C645" t="s">
        <v>72</v>
      </c>
      <c r="D645" s="12">
        <v>46224</v>
      </c>
      <c r="E645" t="s">
        <v>501</v>
      </c>
      <c r="F645" t="s">
        <v>501</v>
      </c>
      <c r="G645" t="s">
        <v>501</v>
      </c>
      <c r="H645" t="s">
        <v>73</v>
      </c>
      <c r="I645">
        <v>0</v>
      </c>
      <c r="J645">
        <v>1.8624711255077939</v>
      </c>
      <c r="K645">
        <v>46224</v>
      </c>
      <c r="L645" t="s">
        <v>172</v>
      </c>
      <c r="M645">
        <v>0</v>
      </c>
      <c r="N645">
        <v>0</v>
      </c>
      <c r="O645">
        <v>0.88235294117647056</v>
      </c>
      <c r="P645">
        <v>0</v>
      </c>
      <c r="Q645">
        <v>0</v>
      </c>
      <c r="R645">
        <v>0.47375389024401721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0.47375389024401721</v>
      </c>
      <c r="AC645">
        <v>0.52624610975598274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J645">
        <v>0</v>
      </c>
      <c r="BK645">
        <v>0</v>
      </c>
      <c r="BL645">
        <v>2.1108006089088334</v>
      </c>
      <c r="BM645">
        <v>1.1108006089088334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</row>
    <row r="646" spans="1:84" hidden="1" x14ac:dyDescent="0.25">
      <c r="A646" t="s">
        <v>128</v>
      </c>
      <c r="B646" t="s">
        <v>502</v>
      </c>
      <c r="C646" t="s">
        <v>72</v>
      </c>
      <c r="D646" s="12">
        <v>46245</v>
      </c>
      <c r="E646" t="s">
        <v>133</v>
      </c>
      <c r="F646" t="s">
        <v>133</v>
      </c>
      <c r="G646" t="s">
        <v>133</v>
      </c>
      <c r="H646" t="s">
        <v>74</v>
      </c>
      <c r="I646">
        <v>20</v>
      </c>
      <c r="J646">
        <v>4.437063563709744</v>
      </c>
      <c r="K646">
        <v>46245</v>
      </c>
      <c r="L646" t="s">
        <v>196</v>
      </c>
      <c r="M646">
        <v>7.6</v>
      </c>
      <c r="N646">
        <v>7.6</v>
      </c>
      <c r="O646">
        <v>4.8685968137254898</v>
      </c>
      <c r="P646">
        <v>1.7128445177480813</v>
      </c>
      <c r="Q646">
        <v>1.7128445177480813</v>
      </c>
      <c r="R646">
        <v>1.0972564949362478</v>
      </c>
      <c r="S646">
        <v>0</v>
      </c>
      <c r="T646">
        <v>0</v>
      </c>
      <c r="U646">
        <v>0.46284451774808133</v>
      </c>
      <c r="V646">
        <v>0</v>
      </c>
      <c r="W646">
        <v>0</v>
      </c>
      <c r="X646">
        <v>0</v>
      </c>
      <c r="Y646">
        <v>9.7256494936247773E-2</v>
      </c>
      <c r="Z646">
        <v>0</v>
      </c>
      <c r="AA646">
        <v>0.15274350506375223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0.58382415311970315</v>
      </c>
      <c r="AN646">
        <v>0.58382415311970315</v>
      </c>
      <c r="AO646">
        <v>0.64060484391124872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0.35939515608875128</v>
      </c>
      <c r="BA646">
        <v>0</v>
      </c>
      <c r="BB646">
        <v>0</v>
      </c>
      <c r="BC646">
        <v>0</v>
      </c>
      <c r="BD646">
        <v>0.58382415311970315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1.5610247245313416</v>
      </c>
      <c r="BK646">
        <v>1.5610247245313416</v>
      </c>
      <c r="BL646">
        <v>0.91136393779842839</v>
      </c>
      <c r="CC646">
        <v>0</v>
      </c>
      <c r="CD646">
        <v>0</v>
      </c>
      <c r="CE646">
        <v>0</v>
      </c>
    </row>
    <row r="647" spans="1:84" hidden="1" x14ac:dyDescent="0.25">
      <c r="A647" t="s">
        <v>128</v>
      </c>
      <c r="B647" t="s">
        <v>502</v>
      </c>
      <c r="C647" t="s">
        <v>72</v>
      </c>
      <c r="D647" s="12">
        <v>46247</v>
      </c>
      <c r="E647" t="s">
        <v>133</v>
      </c>
      <c r="F647" t="s">
        <v>133</v>
      </c>
      <c r="G647" t="s">
        <v>133</v>
      </c>
      <c r="H647" t="s">
        <v>73</v>
      </c>
      <c r="I647">
        <v>20</v>
      </c>
      <c r="J647">
        <v>9.9149198152032554</v>
      </c>
      <c r="K647">
        <v>46247</v>
      </c>
      <c r="L647" t="s">
        <v>174</v>
      </c>
      <c r="M647">
        <v>41.8</v>
      </c>
      <c r="N647">
        <v>41.8</v>
      </c>
      <c r="O647">
        <v>11.032858455882351</v>
      </c>
      <c r="P647">
        <v>4.2158686887114376</v>
      </c>
      <c r="Q647">
        <v>4.2158686887114376</v>
      </c>
      <c r="R647">
        <v>1.1127531701229576</v>
      </c>
      <c r="S647">
        <v>0</v>
      </c>
      <c r="T647">
        <v>0</v>
      </c>
      <c r="U647">
        <v>2.9658686887114376</v>
      </c>
      <c r="V647">
        <v>0</v>
      </c>
      <c r="W647">
        <v>0</v>
      </c>
      <c r="X647">
        <v>0</v>
      </c>
      <c r="Y647">
        <v>0.1127531701229576</v>
      </c>
      <c r="Z647">
        <v>0</v>
      </c>
      <c r="AA647">
        <v>0.1372468298770424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0.23719903864122621</v>
      </c>
      <c r="AN647">
        <v>0.23719903864122621</v>
      </c>
      <c r="AO647">
        <v>0.26394398219814241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0.73605601780185759</v>
      </c>
      <c r="BA647">
        <v>0</v>
      </c>
      <c r="BB647">
        <v>0</v>
      </c>
      <c r="BC647">
        <v>0</v>
      </c>
      <c r="BD647">
        <v>0.23719903864122621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3.7886827033218786</v>
      </c>
      <c r="BK647">
        <v>3.7886827033218786</v>
      </c>
      <c r="BL647">
        <v>0.89867189494459176</v>
      </c>
      <c r="CC647">
        <v>0</v>
      </c>
      <c r="CD647">
        <v>0</v>
      </c>
      <c r="CE647">
        <v>0</v>
      </c>
    </row>
    <row r="648" spans="1:84" hidden="1" x14ac:dyDescent="0.25">
      <c r="A648" t="s">
        <v>128</v>
      </c>
      <c r="B648" t="s">
        <v>502</v>
      </c>
      <c r="C648" t="s">
        <v>72</v>
      </c>
      <c r="D648" s="12">
        <v>46223</v>
      </c>
      <c r="E648" t="s">
        <v>501</v>
      </c>
      <c r="F648" t="s">
        <v>501</v>
      </c>
      <c r="G648" t="s">
        <v>501</v>
      </c>
      <c r="H648" t="s">
        <v>74</v>
      </c>
      <c r="I648">
        <v>0</v>
      </c>
      <c r="J648">
        <v>0</v>
      </c>
      <c r="K648">
        <v>46223</v>
      </c>
      <c r="L648" t="s">
        <v>157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F648">
        <v>0</v>
      </c>
    </row>
    <row r="649" spans="1:84" hidden="1" x14ac:dyDescent="0.25">
      <c r="A649" t="s">
        <v>128</v>
      </c>
      <c r="B649" t="s">
        <v>502</v>
      </c>
      <c r="C649" t="s">
        <v>72</v>
      </c>
      <c r="D649" s="12">
        <v>46247</v>
      </c>
      <c r="E649" t="s">
        <v>133</v>
      </c>
      <c r="F649" t="s">
        <v>133</v>
      </c>
      <c r="G649" t="s">
        <v>133</v>
      </c>
      <c r="H649" t="s">
        <v>74</v>
      </c>
      <c r="I649">
        <v>20</v>
      </c>
      <c r="J649">
        <v>4.437063563709744</v>
      </c>
      <c r="K649">
        <v>46247</v>
      </c>
      <c r="L649" t="s">
        <v>162</v>
      </c>
      <c r="M649">
        <v>9.5</v>
      </c>
      <c r="N649">
        <v>9.5</v>
      </c>
      <c r="O649">
        <v>4.8679074754901954</v>
      </c>
      <c r="P649">
        <v>2.1410556471851017</v>
      </c>
      <c r="Q649">
        <v>2.1410556471851017</v>
      </c>
      <c r="R649">
        <v>1.0971011358287217</v>
      </c>
      <c r="S649">
        <v>0</v>
      </c>
      <c r="T649">
        <v>0</v>
      </c>
      <c r="U649">
        <v>0.89105564718510166</v>
      </c>
      <c r="V649">
        <v>0</v>
      </c>
      <c r="W649">
        <v>0</v>
      </c>
      <c r="X649">
        <v>0</v>
      </c>
      <c r="Y649">
        <v>9.7101135828721707E-2</v>
      </c>
      <c r="Z649">
        <v>0</v>
      </c>
      <c r="AA649">
        <v>0.15289886417127829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0.46705932249576254</v>
      </c>
      <c r="AN649">
        <v>0.46705932249576254</v>
      </c>
      <c r="AO649">
        <v>0.51241131320949429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0.48758868679050571</v>
      </c>
      <c r="BA649">
        <v>0</v>
      </c>
      <c r="BB649">
        <v>0</v>
      </c>
      <c r="BC649">
        <v>0</v>
      </c>
      <c r="BD649">
        <v>0.46705932249576254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1.9515572240911081</v>
      </c>
      <c r="BK649">
        <v>1.9515572240911081</v>
      </c>
      <c r="BL649">
        <v>0.91149299489570401</v>
      </c>
      <c r="CC649">
        <v>0</v>
      </c>
      <c r="CD649">
        <v>0</v>
      </c>
      <c r="CE649">
        <v>0</v>
      </c>
    </row>
    <row r="650" spans="1:84" hidden="1" x14ac:dyDescent="0.25">
      <c r="A650" t="s">
        <v>128</v>
      </c>
      <c r="B650" t="s">
        <v>502</v>
      </c>
      <c r="C650" t="s">
        <v>72</v>
      </c>
      <c r="D650" s="12">
        <v>46223</v>
      </c>
      <c r="E650" t="s">
        <v>501</v>
      </c>
      <c r="F650" t="s">
        <v>501</v>
      </c>
      <c r="G650" t="s">
        <v>501</v>
      </c>
      <c r="H650" t="s">
        <v>73</v>
      </c>
      <c r="I650">
        <v>0</v>
      </c>
      <c r="J650">
        <v>1.8624711255077939</v>
      </c>
      <c r="K650">
        <v>46223</v>
      </c>
      <c r="L650" t="s">
        <v>173</v>
      </c>
      <c r="M650">
        <v>0</v>
      </c>
      <c r="N650">
        <v>0</v>
      </c>
      <c r="O650">
        <v>0.88235294117647056</v>
      </c>
      <c r="P650">
        <v>0</v>
      </c>
      <c r="Q650">
        <v>0</v>
      </c>
      <c r="R650">
        <v>0.47375389024401721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0.47375389024401721</v>
      </c>
      <c r="AC650">
        <v>0.52624610975598274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2.1108006089088334</v>
      </c>
      <c r="BM650">
        <v>1.1108006089088334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</row>
    <row r="651" spans="1:84" hidden="1" x14ac:dyDescent="0.25">
      <c r="A651" t="s">
        <v>128</v>
      </c>
      <c r="B651" t="s">
        <v>502</v>
      </c>
      <c r="C651" t="s">
        <v>72</v>
      </c>
      <c r="D651" s="12">
        <v>46247</v>
      </c>
      <c r="E651" t="s">
        <v>133</v>
      </c>
      <c r="F651" t="s">
        <v>133</v>
      </c>
      <c r="G651" t="s">
        <v>133</v>
      </c>
      <c r="H651" t="s">
        <v>75</v>
      </c>
      <c r="I651">
        <v>20</v>
      </c>
      <c r="J651">
        <v>8.1620058147253296</v>
      </c>
      <c r="K651">
        <v>46247</v>
      </c>
      <c r="L651" t="s">
        <v>161</v>
      </c>
      <c r="M651">
        <v>22.799999999999997</v>
      </c>
      <c r="N651">
        <v>22.799999999999997</v>
      </c>
      <c r="O651">
        <v>8.2242340686274513</v>
      </c>
      <c r="P651">
        <v>2.7934309920321061</v>
      </c>
      <c r="Q651">
        <v>2.7934309920321061</v>
      </c>
      <c r="R651">
        <v>1.0076241374136066</v>
      </c>
      <c r="S651">
        <v>0</v>
      </c>
      <c r="T651">
        <v>0</v>
      </c>
      <c r="U651">
        <v>1.5434309920321061</v>
      </c>
      <c r="V651">
        <v>0</v>
      </c>
      <c r="W651">
        <v>0</v>
      </c>
      <c r="X651">
        <v>0</v>
      </c>
      <c r="Y651">
        <v>7.6241374136065687E-3</v>
      </c>
      <c r="Z651">
        <v>0</v>
      </c>
      <c r="AA651">
        <v>0.24237586258639343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0.35798271117216363</v>
      </c>
      <c r="AN651">
        <v>0.35798271117216363</v>
      </c>
      <c r="AO651">
        <v>0.36071202055383561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0.63928797944616433</v>
      </c>
      <c r="BA651">
        <v>0</v>
      </c>
      <c r="BB651">
        <v>0</v>
      </c>
      <c r="BC651">
        <v>0</v>
      </c>
      <c r="BD651">
        <v>0.35798271117216363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2.7722946367703645</v>
      </c>
      <c r="BK651">
        <v>2.7722946367703645</v>
      </c>
      <c r="BL651">
        <v>0.99243355023910362</v>
      </c>
      <c r="CC651">
        <v>0</v>
      </c>
      <c r="CD651">
        <v>0</v>
      </c>
      <c r="CE651">
        <v>0</v>
      </c>
    </row>
    <row r="652" spans="1:84" hidden="1" x14ac:dyDescent="0.25">
      <c r="A652" t="s">
        <v>128</v>
      </c>
      <c r="B652" t="s">
        <v>502</v>
      </c>
      <c r="C652" t="s">
        <v>72</v>
      </c>
      <c r="D652" s="12">
        <v>46250</v>
      </c>
      <c r="E652" t="s">
        <v>133</v>
      </c>
      <c r="F652" t="s">
        <v>133</v>
      </c>
      <c r="G652" t="s">
        <v>133</v>
      </c>
      <c r="H652" t="s">
        <v>75</v>
      </c>
      <c r="I652">
        <v>20</v>
      </c>
      <c r="J652">
        <v>8.1620058147253278</v>
      </c>
      <c r="K652">
        <v>46250</v>
      </c>
      <c r="L652" t="s">
        <v>171</v>
      </c>
      <c r="M652">
        <v>17.099999999999998</v>
      </c>
      <c r="N652">
        <v>17.099999999999998</v>
      </c>
      <c r="O652">
        <v>10.536044730392156</v>
      </c>
      <c r="P652">
        <v>2.0950732440240802</v>
      </c>
      <c r="Q652">
        <v>2.0950732440240802</v>
      </c>
      <c r="R652">
        <v>1.2908646440050007</v>
      </c>
      <c r="S652">
        <v>0</v>
      </c>
      <c r="T652">
        <v>0</v>
      </c>
      <c r="U652">
        <v>0.80420860001907957</v>
      </c>
      <c r="V652">
        <v>0</v>
      </c>
      <c r="W652">
        <v>4.0864644005000672E-2</v>
      </c>
      <c r="X652">
        <v>0</v>
      </c>
      <c r="Y652">
        <v>0.25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0.47731028156288474</v>
      </c>
      <c r="AN652">
        <v>0.47731028156288474</v>
      </c>
      <c r="AO652">
        <v>0.61614296668959989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0.38385703331040011</v>
      </c>
      <c r="BA652">
        <v>0</v>
      </c>
      <c r="BB652">
        <v>0</v>
      </c>
      <c r="BC652">
        <v>0</v>
      </c>
      <c r="BD652">
        <v>0.47731028156288474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1.6229999432968931</v>
      </c>
      <c r="BK652">
        <v>1.6229999432968931</v>
      </c>
      <c r="BL652">
        <v>0.77467455991158596</v>
      </c>
      <c r="CC652">
        <v>0</v>
      </c>
      <c r="CD652">
        <v>0</v>
      </c>
      <c r="CE652">
        <v>0</v>
      </c>
    </row>
    <row r="653" spans="1:84" hidden="1" x14ac:dyDescent="0.25">
      <c r="A653" t="s">
        <v>128</v>
      </c>
      <c r="B653" t="s">
        <v>502</v>
      </c>
      <c r="C653" t="s">
        <v>72</v>
      </c>
      <c r="D653" s="12">
        <v>46250</v>
      </c>
      <c r="E653" t="s">
        <v>133</v>
      </c>
      <c r="F653" t="s">
        <v>133</v>
      </c>
      <c r="G653" t="s">
        <v>133</v>
      </c>
      <c r="H653" t="s">
        <v>74</v>
      </c>
      <c r="I653">
        <v>20</v>
      </c>
      <c r="J653">
        <v>4.437063563709744</v>
      </c>
      <c r="K653">
        <v>46250</v>
      </c>
      <c r="L653" t="s">
        <v>170</v>
      </c>
      <c r="M653">
        <v>9.5</v>
      </c>
      <c r="N653">
        <v>9.5</v>
      </c>
      <c r="O653">
        <v>4.8685968137254898</v>
      </c>
      <c r="P653">
        <v>2.1410556471851017</v>
      </c>
      <c r="Q653">
        <v>2.1410556471851017</v>
      </c>
      <c r="R653">
        <v>1.0972564949362478</v>
      </c>
      <c r="S653">
        <v>0</v>
      </c>
      <c r="T653">
        <v>0</v>
      </c>
      <c r="U653">
        <v>0.89105564718510166</v>
      </c>
      <c r="V653">
        <v>0</v>
      </c>
      <c r="W653">
        <v>0</v>
      </c>
      <c r="X653">
        <v>0</v>
      </c>
      <c r="Y653">
        <v>9.7256494936247773E-2</v>
      </c>
      <c r="Z653">
        <v>0</v>
      </c>
      <c r="AA653">
        <v>0.15274350506375223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0.46705932249576254</v>
      </c>
      <c r="AN653">
        <v>0.46705932249576254</v>
      </c>
      <c r="AO653">
        <v>0.51248387512899896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0.48751612487100104</v>
      </c>
      <c r="BA653">
        <v>0</v>
      </c>
      <c r="BB653">
        <v>0</v>
      </c>
      <c r="BC653">
        <v>0</v>
      </c>
      <c r="BD653">
        <v>0.46705932249576254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1.9512809056641769</v>
      </c>
      <c r="BK653">
        <v>1.9512809056641769</v>
      </c>
      <c r="BL653">
        <v>0.91136393779842839</v>
      </c>
      <c r="CC653">
        <v>0</v>
      </c>
      <c r="CD653">
        <v>0</v>
      </c>
      <c r="CE653">
        <v>0</v>
      </c>
    </row>
    <row r="654" spans="1:84" hidden="1" x14ac:dyDescent="0.25">
      <c r="A654" t="s">
        <v>128</v>
      </c>
      <c r="B654" t="s">
        <v>502</v>
      </c>
      <c r="C654" t="s">
        <v>72</v>
      </c>
      <c r="D654" s="12">
        <v>46248</v>
      </c>
      <c r="E654" t="s">
        <v>133</v>
      </c>
      <c r="F654" t="s">
        <v>133</v>
      </c>
      <c r="G654" t="s">
        <v>133</v>
      </c>
      <c r="H654" t="s">
        <v>73</v>
      </c>
      <c r="I654">
        <v>20</v>
      </c>
      <c r="J654">
        <v>9.9149198152032554</v>
      </c>
      <c r="K654">
        <v>46248</v>
      </c>
      <c r="L654" t="s">
        <v>159</v>
      </c>
      <c r="M654">
        <v>38</v>
      </c>
      <c r="N654">
        <v>38</v>
      </c>
      <c r="O654">
        <v>11.032858455882351</v>
      </c>
      <c r="P654">
        <v>3.8326078988285799</v>
      </c>
      <c r="Q654">
        <v>3.8326078988285799</v>
      </c>
      <c r="R654">
        <v>1.1127531701229576</v>
      </c>
      <c r="S654">
        <v>0</v>
      </c>
      <c r="T654">
        <v>0</v>
      </c>
      <c r="U654">
        <v>2.5826078988285799</v>
      </c>
      <c r="V654">
        <v>0</v>
      </c>
      <c r="W654">
        <v>0</v>
      </c>
      <c r="X654">
        <v>0</v>
      </c>
      <c r="Y654">
        <v>0.1127531701229576</v>
      </c>
      <c r="Z654">
        <v>0</v>
      </c>
      <c r="AA654">
        <v>0.1372468298770424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0.26091894250534881</v>
      </c>
      <c r="AN654">
        <v>0.26091894250534881</v>
      </c>
      <c r="AO654">
        <v>0.29033838041795662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0.70966161958204332</v>
      </c>
      <c r="BA654">
        <v>0</v>
      </c>
      <c r="BB654">
        <v>0</v>
      </c>
      <c r="BC654">
        <v>0</v>
      </c>
      <c r="BD654">
        <v>0.26091894250534881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3.44425700301989</v>
      </c>
      <c r="BK654">
        <v>3.44425700301989</v>
      </c>
      <c r="BL654">
        <v>0.89867189494459176</v>
      </c>
      <c r="CC654">
        <v>0</v>
      </c>
      <c r="CD654">
        <v>0</v>
      </c>
      <c r="CE654">
        <v>0</v>
      </c>
    </row>
    <row r="655" spans="1:84" hidden="1" x14ac:dyDescent="0.25">
      <c r="A655" t="s">
        <v>128</v>
      </c>
      <c r="B655" t="s">
        <v>502</v>
      </c>
      <c r="C655" t="s">
        <v>72</v>
      </c>
      <c r="D655" s="12">
        <v>46250</v>
      </c>
      <c r="E655" t="s">
        <v>133</v>
      </c>
      <c r="F655" t="s">
        <v>133</v>
      </c>
      <c r="G655" t="s">
        <v>133</v>
      </c>
      <c r="H655" t="s">
        <v>73</v>
      </c>
      <c r="I655">
        <v>20</v>
      </c>
      <c r="J655">
        <v>9.9149198152032554</v>
      </c>
      <c r="K655">
        <v>46250</v>
      </c>
      <c r="L655" t="s">
        <v>168</v>
      </c>
      <c r="M655">
        <v>20.9</v>
      </c>
      <c r="N655">
        <v>20.9</v>
      </c>
      <c r="O655">
        <v>11.032858455882351</v>
      </c>
      <c r="P655">
        <v>2.1079343443557188</v>
      </c>
      <c r="Q655">
        <v>2.1079343443557188</v>
      </c>
      <c r="R655">
        <v>1.1127531701229576</v>
      </c>
      <c r="S655">
        <v>0</v>
      </c>
      <c r="T655">
        <v>0</v>
      </c>
      <c r="U655">
        <v>0.8579343443557188</v>
      </c>
      <c r="V655">
        <v>0</v>
      </c>
      <c r="W655">
        <v>0</v>
      </c>
      <c r="X655">
        <v>0</v>
      </c>
      <c r="Y655">
        <v>0.1127531701229576</v>
      </c>
      <c r="Z655">
        <v>0</v>
      </c>
      <c r="AA655">
        <v>0.1372468298770424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0.47439807728245242</v>
      </c>
      <c r="AN655">
        <v>0.47439807728245242</v>
      </c>
      <c r="AO655">
        <v>0.52788796439628483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0.47211203560371517</v>
      </c>
      <c r="BA655">
        <v>0</v>
      </c>
      <c r="BB655">
        <v>0</v>
      </c>
      <c r="BC655">
        <v>0</v>
      </c>
      <c r="BD655">
        <v>0.47439807728245242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1.8943413516609393</v>
      </c>
      <c r="BK655">
        <v>1.8943413516609393</v>
      </c>
      <c r="BL655">
        <v>0.89867189494459176</v>
      </c>
      <c r="CC655">
        <v>0</v>
      </c>
      <c r="CD655">
        <v>0</v>
      </c>
      <c r="CE655">
        <v>0</v>
      </c>
    </row>
    <row r="656" spans="1:84" hidden="1" x14ac:dyDescent="0.25">
      <c r="A656" t="s">
        <v>128</v>
      </c>
      <c r="B656" t="s">
        <v>502</v>
      </c>
      <c r="C656" t="s">
        <v>72</v>
      </c>
      <c r="D656" s="12">
        <v>46248</v>
      </c>
      <c r="E656" t="s">
        <v>133</v>
      </c>
      <c r="F656" t="s">
        <v>133</v>
      </c>
      <c r="G656" t="s">
        <v>133</v>
      </c>
      <c r="H656" t="s">
        <v>74</v>
      </c>
      <c r="I656">
        <v>20</v>
      </c>
      <c r="J656">
        <v>4.437063563709744</v>
      </c>
      <c r="K656">
        <v>46248</v>
      </c>
      <c r="L656" t="s">
        <v>158</v>
      </c>
      <c r="M656">
        <v>11.4</v>
      </c>
      <c r="N656">
        <v>11.4</v>
      </c>
      <c r="O656">
        <v>4.9857843137254898</v>
      </c>
      <c r="P656">
        <v>2.569266776622122</v>
      </c>
      <c r="Q656">
        <v>2.569266776622122</v>
      </c>
      <c r="R656">
        <v>1.1236675432156691</v>
      </c>
      <c r="S656">
        <v>0</v>
      </c>
      <c r="T656">
        <v>0</v>
      </c>
      <c r="U656">
        <v>1.319266776622122</v>
      </c>
      <c r="V656">
        <v>0</v>
      </c>
      <c r="W656">
        <v>0</v>
      </c>
      <c r="X656">
        <v>0</v>
      </c>
      <c r="Y656">
        <v>0.12366754321566908</v>
      </c>
      <c r="Z656">
        <v>0</v>
      </c>
      <c r="AA656">
        <v>0.12633245678433092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0.38921610207980217</v>
      </c>
      <c r="AN656">
        <v>0.38921610207980217</v>
      </c>
      <c r="AO656">
        <v>0.43734950120399041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0.56265049879600959</v>
      </c>
      <c r="BA656">
        <v>0</v>
      </c>
      <c r="BB656">
        <v>0</v>
      </c>
      <c r="BC656">
        <v>0</v>
      </c>
      <c r="BD656">
        <v>0.38921610207980217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2.2865008357093695</v>
      </c>
      <c r="BK656">
        <v>2.2865008357093695</v>
      </c>
      <c r="BL656">
        <v>0.88994294267701091</v>
      </c>
      <c r="CC656">
        <v>0</v>
      </c>
      <c r="CD656">
        <v>0</v>
      </c>
      <c r="CE656">
        <v>0</v>
      </c>
    </row>
    <row r="657" spans="1:84" hidden="1" x14ac:dyDescent="0.25">
      <c r="A657" t="s">
        <v>128</v>
      </c>
      <c r="B657" t="s">
        <v>502</v>
      </c>
      <c r="C657" t="s">
        <v>72</v>
      </c>
      <c r="D657" s="12">
        <v>46249</v>
      </c>
      <c r="E657" t="s">
        <v>133</v>
      </c>
      <c r="F657" t="s">
        <v>133</v>
      </c>
      <c r="G657" t="s">
        <v>133</v>
      </c>
      <c r="H657" t="s">
        <v>75</v>
      </c>
      <c r="I657">
        <v>20</v>
      </c>
      <c r="J657">
        <v>8.1620058147253278</v>
      </c>
      <c r="K657">
        <v>46249</v>
      </c>
      <c r="L657" t="s">
        <v>167</v>
      </c>
      <c r="M657">
        <v>19</v>
      </c>
      <c r="N657">
        <v>19</v>
      </c>
      <c r="O657">
        <v>9.8485447303921561</v>
      </c>
      <c r="P657">
        <v>2.327859160026756</v>
      </c>
      <c r="Q657">
        <v>2.327859160026756</v>
      </c>
      <c r="R657">
        <v>1.2066328980829799</v>
      </c>
      <c r="S657">
        <v>0</v>
      </c>
      <c r="T657">
        <v>0</v>
      </c>
      <c r="U657">
        <v>1.077859160026756</v>
      </c>
      <c r="V657">
        <v>0</v>
      </c>
      <c r="W657">
        <v>0</v>
      </c>
      <c r="X657">
        <v>0</v>
      </c>
      <c r="Y657">
        <v>0.20663289808297991</v>
      </c>
      <c r="Z657">
        <v>0</v>
      </c>
      <c r="AA657">
        <v>4.336710191702009E-2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0.4295792534065962</v>
      </c>
      <c r="AN657">
        <v>0.4295792534065962</v>
      </c>
      <c r="AO657">
        <v>0.51834445949432395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0.48165554050567605</v>
      </c>
      <c r="BA657">
        <v>0</v>
      </c>
      <c r="BB657">
        <v>0</v>
      </c>
      <c r="BC657">
        <v>0</v>
      </c>
      <c r="BD657">
        <v>0.4295792534065962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1.9292190389679476</v>
      </c>
      <c r="BK657">
        <v>1.9292190389679476</v>
      </c>
      <c r="BL657">
        <v>0.82875247441764199</v>
      </c>
      <c r="CC657">
        <v>0</v>
      </c>
      <c r="CD657">
        <v>0</v>
      </c>
      <c r="CE657">
        <v>0</v>
      </c>
    </row>
    <row r="658" spans="1:84" hidden="1" x14ac:dyDescent="0.25">
      <c r="A658" t="s">
        <v>128</v>
      </c>
      <c r="B658" t="s">
        <v>502</v>
      </c>
      <c r="C658" t="s">
        <v>72</v>
      </c>
      <c r="D658" s="12">
        <v>46248</v>
      </c>
      <c r="E658" t="s">
        <v>133</v>
      </c>
      <c r="F658" t="s">
        <v>133</v>
      </c>
      <c r="G658" t="s">
        <v>133</v>
      </c>
      <c r="H658" t="s">
        <v>75</v>
      </c>
      <c r="I658">
        <v>20</v>
      </c>
      <c r="J658">
        <v>8.1072272522103948</v>
      </c>
      <c r="K658">
        <v>46248</v>
      </c>
      <c r="L658" t="s">
        <v>156</v>
      </c>
      <c r="M658">
        <v>22.799999999999997</v>
      </c>
      <c r="N658">
        <v>22.799999999999997</v>
      </c>
      <c r="O658">
        <v>9.1688572303921561</v>
      </c>
      <c r="P658">
        <v>2.8123055257620528</v>
      </c>
      <c r="Q658">
        <v>2.8123055257620528</v>
      </c>
      <c r="R658">
        <v>1.130948590085755</v>
      </c>
      <c r="S658">
        <v>0</v>
      </c>
      <c r="T658">
        <v>0</v>
      </c>
      <c r="U658">
        <v>1.5623055257620528</v>
      </c>
      <c r="V658">
        <v>0</v>
      </c>
      <c r="W658">
        <v>0</v>
      </c>
      <c r="X658">
        <v>0</v>
      </c>
      <c r="Y658">
        <v>0.13094859008575499</v>
      </c>
      <c r="Z658">
        <v>0</v>
      </c>
      <c r="AA658">
        <v>0.11905140991424501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0.35558014264080684</v>
      </c>
      <c r="AN658">
        <v>0.35558014264080684</v>
      </c>
      <c r="AO658">
        <v>0.40214286098211216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0.59785713901788784</v>
      </c>
      <c r="BA658">
        <v>0</v>
      </c>
      <c r="BB658">
        <v>0</v>
      </c>
      <c r="BC658">
        <v>0</v>
      </c>
      <c r="BD658">
        <v>0.35558014264080684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2.4866784842525931</v>
      </c>
      <c r="BK658">
        <v>2.4866784842525931</v>
      </c>
      <c r="BL658">
        <v>0.8842134901323625</v>
      </c>
      <c r="CC658">
        <v>0</v>
      </c>
      <c r="CD658">
        <v>0</v>
      </c>
      <c r="CE658">
        <v>0</v>
      </c>
    </row>
    <row r="659" spans="1:84" hidden="1" x14ac:dyDescent="0.25">
      <c r="A659" t="s">
        <v>128</v>
      </c>
      <c r="B659" t="s">
        <v>502</v>
      </c>
      <c r="C659" t="s">
        <v>72</v>
      </c>
      <c r="D659" s="12">
        <v>46249</v>
      </c>
      <c r="E659" t="s">
        <v>133</v>
      </c>
      <c r="F659" t="s">
        <v>133</v>
      </c>
      <c r="G659" t="s">
        <v>133</v>
      </c>
      <c r="H659" t="s">
        <v>74</v>
      </c>
      <c r="I659">
        <v>20</v>
      </c>
      <c r="J659">
        <v>4.3275064386798743</v>
      </c>
      <c r="K659">
        <v>46249</v>
      </c>
      <c r="L659" t="s">
        <v>164</v>
      </c>
      <c r="M659">
        <v>9.5</v>
      </c>
      <c r="N659">
        <v>9.5</v>
      </c>
      <c r="O659">
        <v>4.8685968137254898</v>
      </c>
      <c r="P659">
        <v>2.1952595876201673</v>
      </c>
      <c r="Q659">
        <v>2.1952595876201673</v>
      </c>
      <c r="R659">
        <v>1.1250351403776715</v>
      </c>
      <c r="S659">
        <v>0</v>
      </c>
      <c r="T659">
        <v>0</v>
      </c>
      <c r="U659">
        <v>0.94525958762016726</v>
      </c>
      <c r="V659">
        <v>0</v>
      </c>
      <c r="W659">
        <v>0</v>
      </c>
      <c r="X659">
        <v>0</v>
      </c>
      <c r="Y659">
        <v>0.12503514037767149</v>
      </c>
      <c r="Z659">
        <v>0</v>
      </c>
      <c r="AA659">
        <v>0.12496485962232851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0.45552699354524995</v>
      </c>
      <c r="AN659">
        <v>0.45552699354524995</v>
      </c>
      <c r="AO659">
        <v>0.51248387512899896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0.48751612487100104</v>
      </c>
      <c r="BA659">
        <v>0</v>
      </c>
      <c r="BB659">
        <v>0</v>
      </c>
      <c r="BC659">
        <v>0</v>
      </c>
      <c r="BD659">
        <v>0.45552699354524995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1.9512809056641769</v>
      </c>
      <c r="BK659">
        <v>1.9512809056641769</v>
      </c>
      <c r="BL659">
        <v>0.88886112451945498</v>
      </c>
      <c r="CC659">
        <v>0</v>
      </c>
      <c r="CD659">
        <v>0</v>
      </c>
      <c r="CE659">
        <v>0</v>
      </c>
    </row>
    <row r="660" spans="1:84" hidden="1" x14ac:dyDescent="0.25">
      <c r="A660" t="s">
        <v>128</v>
      </c>
      <c r="B660" t="s">
        <v>502</v>
      </c>
      <c r="C660" t="s">
        <v>72</v>
      </c>
      <c r="D660" s="12">
        <v>46223</v>
      </c>
      <c r="E660" t="s">
        <v>501</v>
      </c>
      <c r="F660" t="s">
        <v>501</v>
      </c>
      <c r="G660" t="s">
        <v>501</v>
      </c>
      <c r="H660" t="s">
        <v>75</v>
      </c>
      <c r="I660">
        <v>0</v>
      </c>
      <c r="J660">
        <v>1.4435762356877018</v>
      </c>
      <c r="K660">
        <v>46223</v>
      </c>
      <c r="L660" t="s">
        <v>165</v>
      </c>
      <c r="M660">
        <v>0</v>
      </c>
      <c r="N660">
        <v>0</v>
      </c>
      <c r="O660">
        <v>0.93425605536332179</v>
      </c>
      <c r="P660">
        <v>0</v>
      </c>
      <c r="Q660">
        <v>0</v>
      </c>
      <c r="R660">
        <v>0.64718165363691638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0.64718165363691638</v>
      </c>
      <c r="AC660">
        <v>0.35281834636308362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1.5451612300509103</v>
      </c>
      <c r="BM660">
        <v>0.54516123005091033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 spans="1:84" hidden="1" x14ac:dyDescent="0.25">
      <c r="A661" t="s">
        <v>128</v>
      </c>
      <c r="B661" t="s">
        <v>502</v>
      </c>
      <c r="C661" t="s">
        <v>72</v>
      </c>
      <c r="D661" s="12">
        <v>46226</v>
      </c>
      <c r="E661" t="s">
        <v>501</v>
      </c>
      <c r="F661" t="s">
        <v>501</v>
      </c>
      <c r="G661" t="s">
        <v>501</v>
      </c>
      <c r="H661" t="s">
        <v>75</v>
      </c>
      <c r="I661">
        <v>0</v>
      </c>
      <c r="J661">
        <v>1.4435762356877018</v>
      </c>
      <c r="K661">
        <v>46226</v>
      </c>
      <c r="L661" t="s">
        <v>227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 spans="1:84" hidden="1" x14ac:dyDescent="0.25">
      <c r="A662" t="s">
        <v>128</v>
      </c>
      <c r="B662" t="s">
        <v>502</v>
      </c>
      <c r="C662" t="s">
        <v>72</v>
      </c>
      <c r="D662" s="12">
        <v>46245</v>
      </c>
      <c r="E662" t="s">
        <v>133</v>
      </c>
      <c r="F662" t="s">
        <v>133</v>
      </c>
      <c r="G662" t="s">
        <v>133</v>
      </c>
      <c r="H662" t="s">
        <v>73</v>
      </c>
      <c r="I662">
        <v>20</v>
      </c>
      <c r="J662">
        <v>9.9149198152032554</v>
      </c>
      <c r="K662">
        <v>46245</v>
      </c>
      <c r="L662" t="s">
        <v>197</v>
      </c>
      <c r="M662">
        <v>43.7</v>
      </c>
      <c r="N662">
        <v>43.7</v>
      </c>
      <c r="O662">
        <v>11.094898897058822</v>
      </c>
      <c r="P662">
        <v>4.4074990836528665</v>
      </c>
      <c r="Q662">
        <v>4.4074990836528665</v>
      </c>
      <c r="R662">
        <v>1.11901045130453</v>
      </c>
      <c r="S662">
        <v>0</v>
      </c>
      <c r="T662">
        <v>0</v>
      </c>
      <c r="U662">
        <v>3.1574990836528665</v>
      </c>
      <c r="V662">
        <v>0</v>
      </c>
      <c r="W662">
        <v>0</v>
      </c>
      <c r="X662">
        <v>0</v>
      </c>
      <c r="Y662">
        <v>0.11901045130453003</v>
      </c>
      <c r="Z662">
        <v>0</v>
      </c>
      <c r="AA662">
        <v>0.13098954869546997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0.2268860369611729</v>
      </c>
      <c r="AN662">
        <v>0.2268860369611729</v>
      </c>
      <c r="AO662">
        <v>0.25388784661461838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0.74611215338538162</v>
      </c>
      <c r="BA662">
        <v>0</v>
      </c>
      <c r="BB662">
        <v>0</v>
      </c>
      <c r="BC662">
        <v>0</v>
      </c>
      <c r="BD662">
        <v>0.2268860369611729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3.9387470228849537</v>
      </c>
      <c r="BK662">
        <v>3.9387470228849537</v>
      </c>
      <c r="BL662">
        <v>0.89364670261498547</v>
      </c>
      <c r="CC662">
        <v>0</v>
      </c>
      <c r="CD662">
        <v>0</v>
      </c>
      <c r="CE662">
        <v>0</v>
      </c>
    </row>
    <row r="663" spans="1:84" hidden="1" x14ac:dyDescent="0.25">
      <c r="A663" t="s">
        <v>128</v>
      </c>
      <c r="B663" t="s">
        <v>502</v>
      </c>
      <c r="C663" t="s">
        <v>72</v>
      </c>
      <c r="D663" s="12">
        <v>46227</v>
      </c>
      <c r="E663" t="s">
        <v>501</v>
      </c>
      <c r="F663" t="s">
        <v>501</v>
      </c>
      <c r="G663" t="s">
        <v>501</v>
      </c>
      <c r="H663" t="s">
        <v>73</v>
      </c>
      <c r="I663">
        <v>0</v>
      </c>
      <c r="J663">
        <v>1.8624711255077939</v>
      </c>
      <c r="K663">
        <v>46227</v>
      </c>
      <c r="L663" t="s">
        <v>226</v>
      </c>
      <c r="M663">
        <v>0</v>
      </c>
      <c r="N663">
        <v>0</v>
      </c>
      <c r="O663">
        <v>1.7647058823529409</v>
      </c>
      <c r="P663">
        <v>0</v>
      </c>
      <c r="Q663">
        <v>0</v>
      </c>
      <c r="R663">
        <v>0.9475077804880343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0.9475077804880343</v>
      </c>
      <c r="AC663">
        <v>5.2492219511965699E-2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J663">
        <v>0</v>
      </c>
      <c r="BK663">
        <v>0</v>
      </c>
      <c r="BL663">
        <v>1.0554003044544167</v>
      </c>
      <c r="BM663">
        <v>5.5400304454416682E-2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1</v>
      </c>
    </row>
    <row r="664" spans="1:84" hidden="1" x14ac:dyDescent="0.25">
      <c r="A664" t="s">
        <v>128</v>
      </c>
      <c r="B664" t="s">
        <v>502</v>
      </c>
      <c r="C664" t="s">
        <v>72</v>
      </c>
      <c r="D664" s="12">
        <v>46241</v>
      </c>
      <c r="E664" t="s">
        <v>133</v>
      </c>
      <c r="F664" t="s">
        <v>133</v>
      </c>
      <c r="G664" t="s">
        <v>133</v>
      </c>
      <c r="H664" t="s">
        <v>74</v>
      </c>
      <c r="I664">
        <v>20</v>
      </c>
      <c r="J664">
        <v>4.437063563709744</v>
      </c>
      <c r="K664">
        <v>46241</v>
      </c>
      <c r="L664" t="s">
        <v>208</v>
      </c>
      <c r="M664">
        <v>7.6</v>
      </c>
      <c r="N664">
        <v>7.6</v>
      </c>
      <c r="O664">
        <v>4.8388403799019599</v>
      </c>
      <c r="P664">
        <v>1.7128445177480813</v>
      </c>
      <c r="Q664">
        <v>1.7128445177480813</v>
      </c>
      <c r="R664">
        <v>1.0905501601280416</v>
      </c>
      <c r="S664">
        <v>0</v>
      </c>
      <c r="T664">
        <v>0</v>
      </c>
      <c r="U664">
        <v>0.46284451774808133</v>
      </c>
      <c r="V664">
        <v>0</v>
      </c>
      <c r="W664">
        <v>0</v>
      </c>
      <c r="X664">
        <v>0</v>
      </c>
      <c r="Y664">
        <v>9.0550160128041624E-2</v>
      </c>
      <c r="Z664">
        <v>0</v>
      </c>
      <c r="AA664">
        <v>0.15944983987195838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0.58382415311970315</v>
      </c>
      <c r="AN664">
        <v>0.58382415311970315</v>
      </c>
      <c r="AO664">
        <v>0.6366895236713106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0.3633104763286894</v>
      </c>
      <c r="BA664">
        <v>0</v>
      </c>
      <c r="BB664">
        <v>0</v>
      </c>
      <c r="BC664">
        <v>0</v>
      </c>
      <c r="BD664">
        <v>0.58382415311970315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1.570624241205903</v>
      </c>
      <c r="BK664">
        <v>1.570624241205903</v>
      </c>
      <c r="BL664">
        <v>0.91696836749131283</v>
      </c>
      <c r="CC664">
        <v>0</v>
      </c>
      <c r="CD664">
        <v>0</v>
      </c>
      <c r="CE664">
        <v>0</v>
      </c>
    </row>
    <row r="665" spans="1:84" hidden="1" x14ac:dyDescent="0.25">
      <c r="A665" t="s">
        <v>128</v>
      </c>
      <c r="B665" t="s">
        <v>502</v>
      </c>
      <c r="C665" t="s">
        <v>72</v>
      </c>
      <c r="D665" s="12">
        <v>46232</v>
      </c>
      <c r="E665" t="s">
        <v>501</v>
      </c>
      <c r="F665" t="s">
        <v>501</v>
      </c>
      <c r="G665" t="s">
        <v>501</v>
      </c>
      <c r="H665" t="s">
        <v>74</v>
      </c>
      <c r="I665">
        <v>0</v>
      </c>
      <c r="J665">
        <v>0</v>
      </c>
      <c r="K665">
        <v>46232</v>
      </c>
      <c r="L665" t="s">
        <v>237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F665">
        <v>0</v>
      </c>
    </row>
    <row r="666" spans="1:84" hidden="1" x14ac:dyDescent="0.25">
      <c r="A666" t="s">
        <v>128</v>
      </c>
      <c r="B666" t="s">
        <v>502</v>
      </c>
      <c r="C666" t="s">
        <v>72</v>
      </c>
      <c r="D666" s="12">
        <v>46232</v>
      </c>
      <c r="E666" t="s">
        <v>501</v>
      </c>
      <c r="F666" t="s">
        <v>501</v>
      </c>
      <c r="G666" t="s">
        <v>501</v>
      </c>
      <c r="H666" t="s">
        <v>73</v>
      </c>
      <c r="I666">
        <v>0</v>
      </c>
      <c r="J666">
        <v>1.6433568754480532</v>
      </c>
      <c r="K666">
        <v>46232</v>
      </c>
      <c r="L666" t="s">
        <v>238</v>
      </c>
      <c r="M666">
        <v>0</v>
      </c>
      <c r="N666">
        <v>0</v>
      </c>
      <c r="O666">
        <v>0.74999999999999989</v>
      </c>
      <c r="P666">
        <v>0</v>
      </c>
      <c r="Q666">
        <v>0</v>
      </c>
      <c r="R666">
        <v>0.45638291426840322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0.45638291426840322</v>
      </c>
      <c r="AC666">
        <v>0.54361708573159673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J666">
        <v>0</v>
      </c>
      <c r="BK666">
        <v>0</v>
      </c>
      <c r="BL666">
        <v>2.1911425005974046</v>
      </c>
      <c r="BM666">
        <v>1.1911425005974046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</row>
    <row r="667" spans="1:84" hidden="1" x14ac:dyDescent="0.25">
      <c r="A667" t="s">
        <v>128</v>
      </c>
      <c r="B667" t="s">
        <v>502</v>
      </c>
      <c r="C667" t="s">
        <v>72</v>
      </c>
      <c r="D667" s="12">
        <v>46241</v>
      </c>
      <c r="E667" t="s">
        <v>133</v>
      </c>
      <c r="F667" t="s">
        <v>133</v>
      </c>
      <c r="G667" t="s">
        <v>133</v>
      </c>
      <c r="H667" t="s">
        <v>75</v>
      </c>
      <c r="I667">
        <v>20</v>
      </c>
      <c r="J667">
        <v>8.1072272522103948</v>
      </c>
      <c r="K667">
        <v>46241</v>
      </c>
      <c r="L667" t="s">
        <v>207</v>
      </c>
      <c r="M667">
        <v>20.9</v>
      </c>
      <c r="N667">
        <v>20.9</v>
      </c>
      <c r="O667">
        <v>9.8236136642156868</v>
      </c>
      <c r="P667">
        <v>2.5779467319485487</v>
      </c>
      <c r="Q667">
        <v>2.5779467319485487</v>
      </c>
      <c r="R667">
        <v>1.2117106574923415</v>
      </c>
      <c r="S667">
        <v>0</v>
      </c>
      <c r="T667">
        <v>0</v>
      </c>
      <c r="U667">
        <v>1.3279467319485487</v>
      </c>
      <c r="V667">
        <v>0</v>
      </c>
      <c r="W667">
        <v>0</v>
      </c>
      <c r="X667">
        <v>0</v>
      </c>
      <c r="Y667">
        <v>0.21171065749234153</v>
      </c>
      <c r="Z667">
        <v>0</v>
      </c>
      <c r="AA667">
        <v>3.8289342507658475E-2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0.38790561015360742</v>
      </c>
      <c r="AN667">
        <v>0.38790561015360742</v>
      </c>
      <c r="AO667">
        <v>0.47002936192419559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0.52997063807580447</v>
      </c>
      <c r="BA667">
        <v>0</v>
      </c>
      <c r="BB667">
        <v>0</v>
      </c>
      <c r="BC667">
        <v>0</v>
      </c>
      <c r="BD667">
        <v>0.38790561015360742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2.1275266632412548</v>
      </c>
      <c r="BK667">
        <v>2.1275266632412548</v>
      </c>
      <c r="BL667">
        <v>0.8252795284226675</v>
      </c>
      <c r="CC667">
        <v>0</v>
      </c>
      <c r="CD667">
        <v>0</v>
      </c>
      <c r="CE667">
        <v>0</v>
      </c>
    </row>
    <row r="668" spans="1:84" hidden="1" x14ac:dyDescent="0.25">
      <c r="A668" t="s">
        <v>128</v>
      </c>
      <c r="B668" t="s">
        <v>502</v>
      </c>
      <c r="C668" t="s">
        <v>72</v>
      </c>
      <c r="D668" s="12">
        <v>46231</v>
      </c>
      <c r="E668" t="s">
        <v>501</v>
      </c>
      <c r="F668" t="s">
        <v>501</v>
      </c>
      <c r="G668" t="s">
        <v>501</v>
      </c>
      <c r="H668" t="s">
        <v>75</v>
      </c>
      <c r="I668">
        <v>0</v>
      </c>
      <c r="J668">
        <v>1.4435762356877015</v>
      </c>
      <c r="K668">
        <v>46231</v>
      </c>
      <c r="L668" t="s">
        <v>231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</row>
    <row r="669" spans="1:84" hidden="1" x14ac:dyDescent="0.25">
      <c r="A669" t="s">
        <v>128</v>
      </c>
      <c r="B669" t="s">
        <v>502</v>
      </c>
      <c r="C669" t="s">
        <v>72</v>
      </c>
      <c r="D669" s="12">
        <v>46231</v>
      </c>
      <c r="E669" t="s">
        <v>501</v>
      </c>
      <c r="F669" t="s">
        <v>501</v>
      </c>
      <c r="G669" t="s">
        <v>501</v>
      </c>
      <c r="H669" t="s">
        <v>74</v>
      </c>
      <c r="I669">
        <v>0</v>
      </c>
      <c r="J669">
        <v>0</v>
      </c>
      <c r="K669">
        <v>46231</v>
      </c>
      <c r="L669" t="s">
        <v>230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F669">
        <v>0</v>
      </c>
    </row>
    <row r="670" spans="1:84" hidden="1" x14ac:dyDescent="0.25">
      <c r="A670" t="s">
        <v>128</v>
      </c>
      <c r="B670" t="s">
        <v>502</v>
      </c>
      <c r="C670" t="s">
        <v>72</v>
      </c>
      <c r="D670" s="12">
        <v>46242</v>
      </c>
      <c r="E670" t="s">
        <v>133</v>
      </c>
      <c r="F670" t="s">
        <v>133</v>
      </c>
      <c r="G670" t="s">
        <v>133</v>
      </c>
      <c r="H670" t="s">
        <v>73</v>
      </c>
      <c r="I670">
        <v>20</v>
      </c>
      <c r="J670">
        <v>9.9149198152032554</v>
      </c>
      <c r="K670">
        <v>46242</v>
      </c>
      <c r="L670" t="s">
        <v>206</v>
      </c>
      <c r="M670">
        <v>30.4</v>
      </c>
      <c r="N670">
        <v>30.4</v>
      </c>
      <c r="O670">
        <v>11.024687062324928</v>
      </c>
      <c r="P670">
        <v>3.0660863190628636</v>
      </c>
      <c r="Q670">
        <v>3.0660863190628636</v>
      </c>
      <c r="R670">
        <v>1.1119290188731519</v>
      </c>
      <c r="S670">
        <v>0</v>
      </c>
      <c r="T670">
        <v>0</v>
      </c>
      <c r="U670">
        <v>1.8160863190628636</v>
      </c>
      <c r="V670">
        <v>0</v>
      </c>
      <c r="W670">
        <v>0</v>
      </c>
      <c r="X670">
        <v>0</v>
      </c>
      <c r="Y670">
        <v>0.11192901887315188</v>
      </c>
      <c r="Z670">
        <v>0</v>
      </c>
      <c r="AA670">
        <v>0.13807098112684812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0.32614867813168602</v>
      </c>
      <c r="AN670">
        <v>0.32614867813168602</v>
      </c>
      <c r="AO670">
        <v>0.36265417968174107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0.63734582031825893</v>
      </c>
      <c r="BA670">
        <v>0</v>
      </c>
      <c r="BB670">
        <v>0</v>
      </c>
      <c r="BC670">
        <v>0</v>
      </c>
      <c r="BD670">
        <v>0.32614867813168602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2.7574478829323916</v>
      </c>
      <c r="BK670">
        <v>2.7574478829323916</v>
      </c>
      <c r="BL670">
        <v>0.89933798203541571</v>
      </c>
      <c r="CC670">
        <v>0</v>
      </c>
      <c r="CD670">
        <v>0</v>
      </c>
      <c r="CE670">
        <v>0</v>
      </c>
    </row>
    <row r="671" spans="1:84" hidden="1" x14ac:dyDescent="0.25">
      <c r="A671" t="s">
        <v>128</v>
      </c>
      <c r="B671" t="s">
        <v>502</v>
      </c>
      <c r="C671" t="s">
        <v>72</v>
      </c>
      <c r="D671" s="12">
        <v>46231</v>
      </c>
      <c r="E671" t="s">
        <v>501</v>
      </c>
      <c r="F671" t="s">
        <v>501</v>
      </c>
      <c r="G671" t="s">
        <v>501</v>
      </c>
      <c r="H671" t="s">
        <v>73</v>
      </c>
      <c r="I671">
        <v>0</v>
      </c>
      <c r="J671">
        <v>1.8624711255077939</v>
      </c>
      <c r="K671">
        <v>46231</v>
      </c>
      <c r="L671" t="s">
        <v>214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</row>
    <row r="672" spans="1:84" hidden="1" x14ac:dyDescent="0.25">
      <c r="A672" t="s">
        <v>128</v>
      </c>
      <c r="B672" t="s">
        <v>502</v>
      </c>
      <c r="C672" t="s">
        <v>72</v>
      </c>
      <c r="D672" s="12">
        <v>46242</v>
      </c>
      <c r="E672" t="s">
        <v>133</v>
      </c>
      <c r="F672" t="s">
        <v>133</v>
      </c>
      <c r="G672" t="s">
        <v>133</v>
      </c>
      <c r="H672" t="s">
        <v>74</v>
      </c>
      <c r="I672">
        <v>20</v>
      </c>
      <c r="J672">
        <v>4.437063563709744</v>
      </c>
      <c r="K672">
        <v>46242</v>
      </c>
      <c r="L672" t="s">
        <v>205</v>
      </c>
      <c r="M672">
        <v>7.6</v>
      </c>
      <c r="N672">
        <v>7.6</v>
      </c>
      <c r="O672">
        <v>4.8388403799019599</v>
      </c>
      <c r="P672">
        <v>1.7128445177480813</v>
      </c>
      <c r="Q672">
        <v>1.7128445177480813</v>
      </c>
      <c r="R672">
        <v>1.0905501601280416</v>
      </c>
      <c r="S672">
        <v>0</v>
      </c>
      <c r="T672">
        <v>0</v>
      </c>
      <c r="U672">
        <v>0.46284451774808133</v>
      </c>
      <c r="V672">
        <v>0</v>
      </c>
      <c r="W672">
        <v>0</v>
      </c>
      <c r="X672">
        <v>0</v>
      </c>
      <c r="Y672">
        <v>9.0550160128041624E-2</v>
      </c>
      <c r="Z672">
        <v>0</v>
      </c>
      <c r="AA672">
        <v>0.15944983987195838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0.58382415311970315</v>
      </c>
      <c r="AN672">
        <v>0.58382415311970315</v>
      </c>
      <c r="AO672">
        <v>0.6366895236713106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0.3633104763286894</v>
      </c>
      <c r="BA672">
        <v>0</v>
      </c>
      <c r="BB672">
        <v>0</v>
      </c>
      <c r="BC672">
        <v>0</v>
      </c>
      <c r="BD672">
        <v>0.58382415311970315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1.570624241205903</v>
      </c>
      <c r="BK672">
        <v>1.570624241205903</v>
      </c>
      <c r="BL672">
        <v>0.91696836749131283</v>
      </c>
      <c r="CC672">
        <v>0</v>
      </c>
      <c r="CD672">
        <v>0</v>
      </c>
      <c r="CE672">
        <v>0</v>
      </c>
    </row>
    <row r="673" spans="1:84" hidden="1" x14ac:dyDescent="0.25">
      <c r="A673" t="s">
        <v>128</v>
      </c>
      <c r="B673" t="s">
        <v>502</v>
      </c>
      <c r="C673" t="s">
        <v>72</v>
      </c>
      <c r="D673" s="12">
        <v>46230</v>
      </c>
      <c r="E673" t="s">
        <v>501</v>
      </c>
      <c r="F673" t="s">
        <v>501</v>
      </c>
      <c r="G673" t="s">
        <v>501</v>
      </c>
      <c r="H673" t="s">
        <v>75</v>
      </c>
      <c r="I673">
        <v>0</v>
      </c>
      <c r="J673">
        <v>1.4435762356877015</v>
      </c>
      <c r="K673">
        <v>46230</v>
      </c>
      <c r="L673" t="s">
        <v>215</v>
      </c>
      <c r="M673">
        <v>0</v>
      </c>
      <c r="N673">
        <v>0</v>
      </c>
      <c r="O673">
        <v>0.11072664359861592</v>
      </c>
      <c r="P673">
        <v>0</v>
      </c>
      <c r="Q673">
        <v>0</v>
      </c>
      <c r="R673">
        <v>7.6703010801412327E-2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7.6703010801412327E-2</v>
      </c>
      <c r="AC673">
        <v>0.92329698919858771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J673">
        <v>0</v>
      </c>
      <c r="BK673">
        <v>0</v>
      </c>
      <c r="BL673">
        <v>13.037297878554554</v>
      </c>
      <c r="BM673">
        <v>12.037297878554554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</row>
    <row r="674" spans="1:84" hidden="1" x14ac:dyDescent="0.25">
      <c r="A674" t="s">
        <v>128</v>
      </c>
      <c r="B674" t="s">
        <v>502</v>
      </c>
      <c r="C674" t="s">
        <v>72</v>
      </c>
      <c r="D674" s="12">
        <v>46230</v>
      </c>
      <c r="E674" t="s">
        <v>501</v>
      </c>
      <c r="F674" t="s">
        <v>501</v>
      </c>
      <c r="G674" t="s">
        <v>501</v>
      </c>
      <c r="H674" t="s">
        <v>74</v>
      </c>
      <c r="I674">
        <v>0</v>
      </c>
      <c r="J674">
        <v>0</v>
      </c>
      <c r="K674">
        <v>46230</v>
      </c>
      <c r="L674" t="s">
        <v>216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F674">
        <v>0</v>
      </c>
    </row>
    <row r="675" spans="1:84" hidden="1" x14ac:dyDescent="0.25">
      <c r="A675" t="s">
        <v>128</v>
      </c>
      <c r="B675" t="s">
        <v>502</v>
      </c>
      <c r="C675" t="s">
        <v>72</v>
      </c>
      <c r="D675" s="12">
        <v>46242</v>
      </c>
      <c r="E675" t="s">
        <v>133</v>
      </c>
      <c r="F675" t="s">
        <v>133</v>
      </c>
      <c r="G675" t="s">
        <v>133</v>
      </c>
      <c r="H675" t="s">
        <v>75</v>
      </c>
      <c r="I675">
        <v>20</v>
      </c>
      <c r="J675">
        <v>8.1620058147253296</v>
      </c>
      <c r="K675">
        <v>46242</v>
      </c>
      <c r="L675" t="s">
        <v>204</v>
      </c>
      <c r="M675">
        <v>20.9</v>
      </c>
      <c r="N675">
        <v>20.9</v>
      </c>
      <c r="O675">
        <v>10.386472557773107</v>
      </c>
      <c r="P675">
        <v>2.5606450760294308</v>
      </c>
      <c r="Q675">
        <v>2.5606450760294308</v>
      </c>
      <c r="R675">
        <v>1.2725392254725607</v>
      </c>
      <c r="S675">
        <v>0</v>
      </c>
      <c r="T675">
        <v>0</v>
      </c>
      <c r="U675">
        <v>1.2881058505568701</v>
      </c>
      <c r="V675">
        <v>0</v>
      </c>
      <c r="W675">
        <v>2.2539225472560709E-2</v>
      </c>
      <c r="X675">
        <v>0</v>
      </c>
      <c r="Y675">
        <v>0.25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0.39052659400599665</v>
      </c>
      <c r="AN675">
        <v>0.39052659400599665</v>
      </c>
      <c r="AO675">
        <v>0.4969604094628281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0.50303959053717184</v>
      </c>
      <c r="BA675">
        <v>0</v>
      </c>
      <c r="BB675">
        <v>0</v>
      </c>
      <c r="BC675">
        <v>0</v>
      </c>
      <c r="BD675">
        <v>0.39052659400599665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2.0122327271118334</v>
      </c>
      <c r="BK675">
        <v>2.0122327271118334</v>
      </c>
      <c r="BL675">
        <v>0.78583039326638238</v>
      </c>
      <c r="CC675">
        <v>0</v>
      </c>
      <c r="CD675">
        <v>0</v>
      </c>
      <c r="CE675">
        <v>0</v>
      </c>
    </row>
    <row r="676" spans="1:84" hidden="1" x14ac:dyDescent="0.25">
      <c r="A676" t="s">
        <v>128</v>
      </c>
      <c r="B676" t="s">
        <v>502</v>
      </c>
      <c r="C676" t="s">
        <v>72</v>
      </c>
      <c r="D676" s="12">
        <v>46230</v>
      </c>
      <c r="E676" t="s">
        <v>501</v>
      </c>
      <c r="F676" t="s">
        <v>501</v>
      </c>
      <c r="G676" t="s">
        <v>501</v>
      </c>
      <c r="H676" t="s">
        <v>73</v>
      </c>
      <c r="I676">
        <v>0</v>
      </c>
      <c r="J676">
        <v>1.8624711255077939</v>
      </c>
      <c r="K676">
        <v>46230</v>
      </c>
      <c r="L676" t="s">
        <v>217</v>
      </c>
      <c r="M676">
        <v>0</v>
      </c>
      <c r="N676">
        <v>0</v>
      </c>
      <c r="O676">
        <v>0.88235294117647045</v>
      </c>
      <c r="P676">
        <v>0</v>
      </c>
      <c r="Q676">
        <v>0</v>
      </c>
      <c r="R676">
        <v>0.47375389024401715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0.47375389024401715</v>
      </c>
      <c r="AC676">
        <v>0.52624610975598285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J676">
        <v>0</v>
      </c>
      <c r="BK676">
        <v>0</v>
      </c>
      <c r="BL676">
        <v>2.1108006089088334</v>
      </c>
      <c r="BM676">
        <v>1.1108006089088334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</row>
    <row r="677" spans="1:84" hidden="1" x14ac:dyDescent="0.25">
      <c r="A677" t="s">
        <v>128</v>
      </c>
      <c r="B677" t="s">
        <v>502</v>
      </c>
      <c r="C677" t="s">
        <v>72</v>
      </c>
      <c r="D677" s="12">
        <v>46243</v>
      </c>
      <c r="E677" t="s">
        <v>133</v>
      </c>
      <c r="F677" t="s">
        <v>133</v>
      </c>
      <c r="G677" t="s">
        <v>133</v>
      </c>
      <c r="H677" t="s">
        <v>73</v>
      </c>
      <c r="I677">
        <v>20</v>
      </c>
      <c r="J677">
        <v>9.9149198152032554</v>
      </c>
      <c r="K677">
        <v>46243</v>
      </c>
      <c r="L677" t="s">
        <v>203</v>
      </c>
      <c r="M677">
        <v>20.9</v>
      </c>
      <c r="N677">
        <v>20.9</v>
      </c>
      <c r="O677">
        <v>12.731878063725487</v>
      </c>
      <c r="P677">
        <v>2.1079343443557188</v>
      </c>
      <c r="Q677">
        <v>2.1079343443557188</v>
      </c>
      <c r="R677">
        <v>1.2841130640514902</v>
      </c>
      <c r="S677">
        <v>0</v>
      </c>
      <c r="T677">
        <v>0</v>
      </c>
      <c r="U677">
        <v>0.82382128030422863</v>
      </c>
      <c r="V677">
        <v>0</v>
      </c>
      <c r="W677">
        <v>3.4113064051490172E-2</v>
      </c>
      <c r="X677">
        <v>0</v>
      </c>
      <c r="Y677">
        <v>0.25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0.47439807728245242</v>
      </c>
      <c r="AN677">
        <v>0.47439807728245242</v>
      </c>
      <c r="AO677">
        <v>0.6091807685993057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0.3908192314006943</v>
      </c>
      <c r="BA677">
        <v>0</v>
      </c>
      <c r="BB677">
        <v>0</v>
      </c>
      <c r="BC677">
        <v>0</v>
      </c>
      <c r="BD677">
        <v>0.47439807728245242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1.6415488661917352</v>
      </c>
      <c r="BK677">
        <v>1.6415488661917352</v>
      </c>
      <c r="BL677">
        <v>0.778747625886549</v>
      </c>
      <c r="CC677">
        <v>0</v>
      </c>
      <c r="CD677">
        <v>0</v>
      </c>
      <c r="CE677">
        <v>0</v>
      </c>
    </row>
    <row r="678" spans="1:84" hidden="1" x14ac:dyDescent="0.25">
      <c r="A678" t="s">
        <v>128</v>
      </c>
      <c r="B678" t="s">
        <v>502</v>
      </c>
      <c r="C678" t="s">
        <v>72</v>
      </c>
      <c r="D678" s="12">
        <v>46229</v>
      </c>
      <c r="E678" t="s">
        <v>501</v>
      </c>
      <c r="F678" t="s">
        <v>501</v>
      </c>
      <c r="G678" t="s">
        <v>501</v>
      </c>
      <c r="H678" t="s">
        <v>75</v>
      </c>
      <c r="I678">
        <v>0</v>
      </c>
      <c r="J678">
        <v>1.4435762356877015</v>
      </c>
      <c r="K678">
        <v>46229</v>
      </c>
      <c r="L678" t="s">
        <v>218</v>
      </c>
      <c r="M678">
        <v>0</v>
      </c>
      <c r="N678">
        <v>0</v>
      </c>
      <c r="O678">
        <v>0.22145328719723184</v>
      </c>
      <c r="P678">
        <v>0</v>
      </c>
      <c r="Q678">
        <v>0</v>
      </c>
      <c r="R678">
        <v>0.15340602160282465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0.15340602160282465</v>
      </c>
      <c r="AC678">
        <v>0.84659397839717532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J678">
        <v>0</v>
      </c>
      <c r="BK678">
        <v>0</v>
      </c>
      <c r="BL678">
        <v>6.5186489392772771</v>
      </c>
      <c r="BM678">
        <v>5.5186489392772771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</row>
    <row r="679" spans="1:84" hidden="1" x14ac:dyDescent="0.25">
      <c r="A679" t="s">
        <v>128</v>
      </c>
      <c r="B679" t="s">
        <v>502</v>
      </c>
      <c r="C679" t="s">
        <v>72</v>
      </c>
      <c r="D679" s="12">
        <v>46243</v>
      </c>
      <c r="E679" t="s">
        <v>133</v>
      </c>
      <c r="F679" t="s">
        <v>133</v>
      </c>
      <c r="G679" t="s">
        <v>133</v>
      </c>
      <c r="H679" t="s">
        <v>74</v>
      </c>
      <c r="I679">
        <v>20</v>
      </c>
      <c r="J679">
        <v>4.437063563709744</v>
      </c>
      <c r="K679">
        <v>46243</v>
      </c>
      <c r="L679" t="s">
        <v>211</v>
      </c>
      <c r="M679">
        <v>7.6</v>
      </c>
      <c r="N679">
        <v>7.6</v>
      </c>
      <c r="O679">
        <v>4.8388403799019599</v>
      </c>
      <c r="P679">
        <v>1.7128445177480813</v>
      </c>
      <c r="Q679">
        <v>1.7128445177480813</v>
      </c>
      <c r="R679">
        <v>1.0905501601280416</v>
      </c>
      <c r="S679">
        <v>0</v>
      </c>
      <c r="T679">
        <v>0</v>
      </c>
      <c r="U679">
        <v>0.46284451774808133</v>
      </c>
      <c r="V679">
        <v>0</v>
      </c>
      <c r="W679">
        <v>0</v>
      </c>
      <c r="X679">
        <v>0</v>
      </c>
      <c r="Y679">
        <v>9.0550160128041624E-2</v>
      </c>
      <c r="Z679">
        <v>0</v>
      </c>
      <c r="AA679">
        <v>0.15944983987195838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0.58382415311970315</v>
      </c>
      <c r="AN679">
        <v>0.58382415311970315</v>
      </c>
      <c r="AO679">
        <v>0.6366895236713106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0.3633104763286894</v>
      </c>
      <c r="BA679">
        <v>0</v>
      </c>
      <c r="BB679">
        <v>0</v>
      </c>
      <c r="BC679">
        <v>0</v>
      </c>
      <c r="BD679">
        <v>0.58382415311970315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1.570624241205903</v>
      </c>
      <c r="BK679">
        <v>1.570624241205903</v>
      </c>
      <c r="BL679">
        <v>0.91696836749131283</v>
      </c>
      <c r="CC679">
        <v>0</v>
      </c>
      <c r="CD679">
        <v>0</v>
      </c>
      <c r="CE679">
        <v>0</v>
      </c>
    </row>
    <row r="680" spans="1:84" hidden="1" x14ac:dyDescent="0.25">
      <c r="A680" t="s">
        <v>128</v>
      </c>
      <c r="B680" t="s">
        <v>502</v>
      </c>
      <c r="C680" t="s">
        <v>72</v>
      </c>
      <c r="D680" s="12">
        <v>46229</v>
      </c>
      <c r="E680" t="s">
        <v>501</v>
      </c>
      <c r="F680" t="s">
        <v>501</v>
      </c>
      <c r="G680" t="s">
        <v>501</v>
      </c>
      <c r="H680" t="s">
        <v>74</v>
      </c>
      <c r="I680">
        <v>0</v>
      </c>
      <c r="J680">
        <v>0</v>
      </c>
      <c r="K680">
        <v>46229</v>
      </c>
      <c r="L680" t="s">
        <v>219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F680">
        <v>0</v>
      </c>
    </row>
    <row r="681" spans="1:84" hidden="1" x14ac:dyDescent="0.25">
      <c r="A681" t="s">
        <v>128</v>
      </c>
      <c r="B681" t="s">
        <v>502</v>
      </c>
      <c r="C681" t="s">
        <v>72</v>
      </c>
      <c r="D681" s="12">
        <v>46229</v>
      </c>
      <c r="E681" t="s">
        <v>501</v>
      </c>
      <c r="F681" t="s">
        <v>501</v>
      </c>
      <c r="G681" t="s">
        <v>501</v>
      </c>
      <c r="H681" t="s">
        <v>73</v>
      </c>
      <c r="I681">
        <v>0</v>
      </c>
      <c r="J681">
        <v>1.8624711255077939</v>
      </c>
      <c r="K681">
        <v>46229</v>
      </c>
      <c r="L681" t="s">
        <v>220</v>
      </c>
      <c r="M681">
        <v>0</v>
      </c>
      <c r="N681">
        <v>0</v>
      </c>
      <c r="O681">
        <v>1.7647058823529409</v>
      </c>
      <c r="P681">
        <v>0</v>
      </c>
      <c r="Q681">
        <v>0</v>
      </c>
      <c r="R681">
        <v>0.9475077804880343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0.9475077804880343</v>
      </c>
      <c r="AC681">
        <v>5.2492219511965699E-2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J681">
        <v>0</v>
      </c>
      <c r="BK681">
        <v>0</v>
      </c>
      <c r="BL681">
        <v>1.0554003044544167</v>
      </c>
      <c r="BM681">
        <v>5.5400304454416682E-2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1</v>
      </c>
    </row>
    <row r="682" spans="1:84" hidden="1" x14ac:dyDescent="0.25">
      <c r="A682" t="s">
        <v>128</v>
      </c>
      <c r="B682" t="s">
        <v>502</v>
      </c>
      <c r="C682" t="s">
        <v>72</v>
      </c>
      <c r="D682" s="12">
        <v>46243</v>
      </c>
      <c r="E682" t="s">
        <v>133</v>
      </c>
      <c r="F682" t="s">
        <v>133</v>
      </c>
      <c r="G682" t="s">
        <v>133</v>
      </c>
      <c r="H682" t="s">
        <v>75</v>
      </c>
      <c r="I682">
        <v>20</v>
      </c>
      <c r="J682">
        <v>8.1620058147253278</v>
      </c>
      <c r="K682">
        <v>46243</v>
      </c>
      <c r="L682" t="s">
        <v>202</v>
      </c>
      <c r="M682">
        <v>43.7</v>
      </c>
      <c r="N682">
        <v>43.7</v>
      </c>
      <c r="O682">
        <v>9.6792815563725476</v>
      </c>
      <c r="P682">
        <v>5.3540760680615387</v>
      </c>
      <c r="Q682">
        <v>5.3540760680615387</v>
      </c>
      <c r="R682">
        <v>1.1858949596568353</v>
      </c>
      <c r="S682">
        <v>0</v>
      </c>
      <c r="T682">
        <v>0</v>
      </c>
      <c r="U682">
        <v>4.1040760680615387</v>
      </c>
      <c r="V682">
        <v>0</v>
      </c>
      <c r="W682">
        <v>0</v>
      </c>
      <c r="X682">
        <v>0</v>
      </c>
      <c r="Y682">
        <v>0.18589495965683533</v>
      </c>
      <c r="Z682">
        <v>0</v>
      </c>
      <c r="AA682">
        <v>6.4105040343164665E-2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0.18677358843765055</v>
      </c>
      <c r="AN682">
        <v>0.18677358843765055</v>
      </c>
      <c r="AO682">
        <v>0.22149385712522995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0.77850614287477005</v>
      </c>
      <c r="BA682">
        <v>0</v>
      </c>
      <c r="BB682">
        <v>0</v>
      </c>
      <c r="BC682">
        <v>0</v>
      </c>
      <c r="BD682">
        <v>0.18677358843765055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4.5147978954315295</v>
      </c>
      <c r="BK682">
        <v>4.5147978954315295</v>
      </c>
      <c r="BL682">
        <v>0.84324500400049929</v>
      </c>
      <c r="CC682">
        <v>0</v>
      </c>
      <c r="CD682">
        <v>0</v>
      </c>
      <c r="CE682">
        <v>0</v>
      </c>
    </row>
    <row r="683" spans="1:84" hidden="1" x14ac:dyDescent="0.25">
      <c r="A683" t="s">
        <v>128</v>
      </c>
      <c r="B683" t="s">
        <v>502</v>
      </c>
      <c r="C683" t="s">
        <v>72</v>
      </c>
      <c r="D683" s="12">
        <v>46228</v>
      </c>
      <c r="E683" t="s">
        <v>501</v>
      </c>
      <c r="F683" t="s">
        <v>501</v>
      </c>
      <c r="G683" t="s">
        <v>501</v>
      </c>
      <c r="H683" t="s">
        <v>75</v>
      </c>
      <c r="I683">
        <v>0</v>
      </c>
      <c r="J683">
        <v>1.4435762356877015</v>
      </c>
      <c r="K683">
        <v>46228</v>
      </c>
      <c r="L683" t="s">
        <v>221</v>
      </c>
      <c r="M683">
        <v>0</v>
      </c>
      <c r="N683">
        <v>0</v>
      </c>
      <c r="O683">
        <v>0.22145328719723184</v>
      </c>
      <c r="P683">
        <v>0</v>
      </c>
      <c r="Q683">
        <v>0</v>
      </c>
      <c r="R683">
        <v>0.15340602160282465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0.15340602160282465</v>
      </c>
      <c r="AC683">
        <v>0.84659397839717532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J683">
        <v>0</v>
      </c>
      <c r="BK683">
        <v>0</v>
      </c>
      <c r="BL683">
        <v>6.5186489392772771</v>
      </c>
      <c r="BM683">
        <v>5.5186489392772771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</row>
    <row r="684" spans="1:84" hidden="1" x14ac:dyDescent="0.25">
      <c r="A684" t="s">
        <v>128</v>
      </c>
      <c r="B684" t="s">
        <v>502</v>
      </c>
      <c r="C684" t="s">
        <v>72</v>
      </c>
      <c r="D684" s="12">
        <v>46228</v>
      </c>
      <c r="E684" t="s">
        <v>501</v>
      </c>
      <c r="F684" t="s">
        <v>501</v>
      </c>
      <c r="G684" t="s">
        <v>501</v>
      </c>
      <c r="H684" t="s">
        <v>74</v>
      </c>
      <c r="I684">
        <v>0</v>
      </c>
      <c r="J684">
        <v>0</v>
      </c>
      <c r="K684">
        <v>46228</v>
      </c>
      <c r="L684" t="s">
        <v>222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F684">
        <v>0</v>
      </c>
    </row>
    <row r="685" spans="1:84" hidden="1" x14ac:dyDescent="0.25">
      <c r="A685" t="s">
        <v>128</v>
      </c>
      <c r="B685" t="s">
        <v>502</v>
      </c>
      <c r="C685" t="s">
        <v>72</v>
      </c>
      <c r="D685" s="12">
        <v>46244</v>
      </c>
      <c r="E685" t="s">
        <v>133</v>
      </c>
      <c r="F685" t="s">
        <v>133</v>
      </c>
      <c r="G685" t="s">
        <v>133</v>
      </c>
      <c r="H685" t="s">
        <v>73</v>
      </c>
      <c r="I685">
        <v>20</v>
      </c>
      <c r="J685">
        <v>9.9149198152032554</v>
      </c>
      <c r="K685">
        <v>46244</v>
      </c>
      <c r="L685" t="s">
        <v>200</v>
      </c>
      <c r="M685">
        <v>22.799999999999997</v>
      </c>
      <c r="N685">
        <v>22.799999999999997</v>
      </c>
      <c r="O685">
        <v>11.915211397058822</v>
      </c>
      <c r="P685">
        <v>2.2995647392971477</v>
      </c>
      <c r="Q685">
        <v>2.2995647392971477</v>
      </c>
      <c r="R685">
        <v>1.2017456135942095</v>
      </c>
      <c r="S685">
        <v>0</v>
      </c>
      <c r="T685">
        <v>0</v>
      </c>
      <c r="U685">
        <v>1.0495647392971477</v>
      </c>
      <c r="V685">
        <v>0</v>
      </c>
      <c r="W685">
        <v>0</v>
      </c>
      <c r="X685">
        <v>0</v>
      </c>
      <c r="Y685">
        <v>0.20174561359420951</v>
      </c>
      <c r="Z685">
        <v>0</v>
      </c>
      <c r="AA685">
        <v>4.8254386405790495E-2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0.43486490417558143</v>
      </c>
      <c r="AN685">
        <v>0.43486490417558143</v>
      </c>
      <c r="AO685">
        <v>0.52259699109907121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0.47740300890092879</v>
      </c>
      <c r="BA685">
        <v>0</v>
      </c>
      <c r="BB685">
        <v>0</v>
      </c>
      <c r="BC685">
        <v>0</v>
      </c>
      <c r="BD685">
        <v>0.43486490417558143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1.913520393404686</v>
      </c>
      <c r="BK685">
        <v>1.913520393404686</v>
      </c>
      <c r="BL685">
        <v>0.83212286251594969</v>
      </c>
      <c r="CC685">
        <v>0</v>
      </c>
      <c r="CD685">
        <v>0</v>
      </c>
      <c r="CE685">
        <v>0</v>
      </c>
    </row>
    <row r="686" spans="1:84" hidden="1" x14ac:dyDescent="0.25">
      <c r="A686" t="s">
        <v>128</v>
      </c>
      <c r="B686" t="s">
        <v>502</v>
      </c>
      <c r="C686" t="s">
        <v>72</v>
      </c>
      <c r="D686" s="12">
        <v>46228</v>
      </c>
      <c r="E686" t="s">
        <v>501</v>
      </c>
      <c r="F686" t="s">
        <v>501</v>
      </c>
      <c r="G686" t="s">
        <v>501</v>
      </c>
      <c r="H686" t="s">
        <v>73</v>
      </c>
      <c r="I686">
        <v>0</v>
      </c>
      <c r="J686">
        <v>1.8624711255077939</v>
      </c>
      <c r="K686">
        <v>46228</v>
      </c>
      <c r="L686" t="s">
        <v>223</v>
      </c>
      <c r="M686">
        <v>0</v>
      </c>
      <c r="N686">
        <v>0</v>
      </c>
      <c r="O686">
        <v>1.7647058823529409</v>
      </c>
      <c r="P686">
        <v>0</v>
      </c>
      <c r="Q686">
        <v>0</v>
      </c>
      <c r="R686">
        <v>0.9475077804880343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0.9475077804880343</v>
      </c>
      <c r="AC686">
        <v>5.2492219511965699E-2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J686">
        <v>0</v>
      </c>
      <c r="BK686">
        <v>0</v>
      </c>
      <c r="BL686">
        <v>1.0554003044544167</v>
      </c>
      <c r="BM686">
        <v>5.5400304454416682E-2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1</v>
      </c>
      <c r="CF686">
        <v>1</v>
      </c>
    </row>
    <row r="687" spans="1:84" hidden="1" x14ac:dyDescent="0.25">
      <c r="A687" t="s">
        <v>128</v>
      </c>
      <c r="B687" t="s">
        <v>502</v>
      </c>
      <c r="C687" t="s">
        <v>72</v>
      </c>
      <c r="D687" s="12">
        <v>46244</v>
      </c>
      <c r="E687" t="s">
        <v>133</v>
      </c>
      <c r="F687" t="s">
        <v>133</v>
      </c>
      <c r="G687" t="s">
        <v>133</v>
      </c>
      <c r="H687" t="s">
        <v>74</v>
      </c>
      <c r="I687">
        <v>20</v>
      </c>
      <c r="J687">
        <v>4.437063563709744</v>
      </c>
      <c r="K687">
        <v>46244</v>
      </c>
      <c r="L687" t="s">
        <v>199</v>
      </c>
      <c r="M687">
        <v>7.6</v>
      </c>
      <c r="N687">
        <v>7.6</v>
      </c>
      <c r="O687">
        <v>4.8983532475490188</v>
      </c>
      <c r="P687">
        <v>1.7128445177480813</v>
      </c>
      <c r="Q687">
        <v>1.7128445177480813</v>
      </c>
      <c r="R687">
        <v>1.1039628297444537</v>
      </c>
      <c r="S687">
        <v>0</v>
      </c>
      <c r="T687">
        <v>0</v>
      </c>
      <c r="U687">
        <v>0.46284451774808133</v>
      </c>
      <c r="V687">
        <v>0</v>
      </c>
      <c r="W687">
        <v>0</v>
      </c>
      <c r="X687">
        <v>0</v>
      </c>
      <c r="Y687">
        <v>0.1039628297444537</v>
      </c>
      <c r="Z687">
        <v>0</v>
      </c>
      <c r="AA687">
        <v>0.1460371702555463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0.58382415311970315</v>
      </c>
      <c r="AN687">
        <v>0.58382415311970315</v>
      </c>
      <c r="AO687">
        <v>0.64452016415118674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0.35547983584881326</v>
      </c>
      <c r="BA687">
        <v>0</v>
      </c>
      <c r="BB687">
        <v>0</v>
      </c>
      <c r="BC687">
        <v>0</v>
      </c>
      <c r="BD687">
        <v>0.58382415311970315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1.5515418378212718</v>
      </c>
      <c r="BK687">
        <v>1.5515418378212718</v>
      </c>
      <c r="BL687">
        <v>0.90582759949579184</v>
      </c>
      <c r="CC687">
        <v>0</v>
      </c>
      <c r="CD687">
        <v>0</v>
      </c>
      <c r="CE687">
        <v>0</v>
      </c>
    </row>
    <row r="688" spans="1:84" hidden="1" x14ac:dyDescent="0.25">
      <c r="A688" t="s">
        <v>128</v>
      </c>
      <c r="B688" t="s">
        <v>502</v>
      </c>
      <c r="C688" t="s">
        <v>72</v>
      </c>
      <c r="D688" s="12">
        <v>46227</v>
      </c>
      <c r="E688" t="s">
        <v>501</v>
      </c>
      <c r="F688" t="s">
        <v>501</v>
      </c>
      <c r="G688" t="s">
        <v>501</v>
      </c>
      <c r="H688" t="s">
        <v>75</v>
      </c>
      <c r="I688">
        <v>0</v>
      </c>
      <c r="J688">
        <v>1.4435762356877015</v>
      </c>
      <c r="K688">
        <v>46227</v>
      </c>
      <c r="L688" t="s">
        <v>224</v>
      </c>
      <c r="M688">
        <v>0</v>
      </c>
      <c r="N688">
        <v>0</v>
      </c>
      <c r="O688">
        <v>0.22145328719723184</v>
      </c>
      <c r="P688">
        <v>0</v>
      </c>
      <c r="Q688">
        <v>0</v>
      </c>
      <c r="R688">
        <v>0.15340602160282465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0.15340602160282465</v>
      </c>
      <c r="AC688">
        <v>0.84659397839717532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J688">
        <v>0</v>
      </c>
      <c r="BK688">
        <v>0</v>
      </c>
      <c r="BL688">
        <v>6.5186489392772771</v>
      </c>
      <c r="BM688">
        <v>5.5186489392772771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 spans="1:84" hidden="1" x14ac:dyDescent="0.25">
      <c r="A689" t="s">
        <v>128</v>
      </c>
      <c r="B689" t="s">
        <v>502</v>
      </c>
      <c r="C689" t="s">
        <v>72</v>
      </c>
      <c r="D689" s="12">
        <v>46227</v>
      </c>
      <c r="E689" t="s">
        <v>501</v>
      </c>
      <c r="F689" t="s">
        <v>501</v>
      </c>
      <c r="G689" t="s">
        <v>501</v>
      </c>
      <c r="H689" t="s">
        <v>74</v>
      </c>
      <c r="I689">
        <v>0</v>
      </c>
      <c r="J689">
        <v>0</v>
      </c>
      <c r="K689">
        <v>46227</v>
      </c>
      <c r="L689" t="s">
        <v>225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F689">
        <v>0</v>
      </c>
    </row>
    <row r="690" spans="1:84" hidden="1" x14ac:dyDescent="0.25">
      <c r="A690" t="s">
        <v>128</v>
      </c>
      <c r="B690" t="s">
        <v>502</v>
      </c>
      <c r="C690" t="s">
        <v>72</v>
      </c>
      <c r="D690" s="12">
        <v>46244</v>
      </c>
      <c r="E690" t="s">
        <v>133</v>
      </c>
      <c r="F690" t="s">
        <v>133</v>
      </c>
      <c r="G690" t="s">
        <v>133</v>
      </c>
      <c r="H690" t="s">
        <v>75</v>
      </c>
      <c r="I690">
        <v>20</v>
      </c>
      <c r="J690">
        <v>8.216784377240268</v>
      </c>
      <c r="K690">
        <v>46244</v>
      </c>
      <c r="L690" t="s">
        <v>198</v>
      </c>
      <c r="M690">
        <v>20.9</v>
      </c>
      <c r="N690">
        <v>20.9</v>
      </c>
      <c r="O690">
        <v>9.9989353553921578</v>
      </c>
      <c r="P690">
        <v>2.5435741088559003</v>
      </c>
      <c r="Q690">
        <v>2.5435741088559003</v>
      </c>
      <c r="R690">
        <v>1.2168915352200653</v>
      </c>
      <c r="S690">
        <v>0</v>
      </c>
      <c r="T690">
        <v>0</v>
      </c>
      <c r="U690">
        <v>1.2935741088559003</v>
      </c>
      <c r="V690">
        <v>0</v>
      </c>
      <c r="W690">
        <v>0</v>
      </c>
      <c r="X690">
        <v>0</v>
      </c>
      <c r="Y690">
        <v>0.21689153522006532</v>
      </c>
      <c r="Z690">
        <v>0</v>
      </c>
      <c r="AA690">
        <v>3.3108464779934677E-2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0.39314757785838605</v>
      </c>
      <c r="AN690">
        <v>0.39314757785838605</v>
      </c>
      <c r="AO690">
        <v>0.47841795958814154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0.52158204041185852</v>
      </c>
      <c r="BA690">
        <v>0</v>
      </c>
      <c r="BB690">
        <v>0</v>
      </c>
      <c r="BC690">
        <v>0</v>
      </c>
      <c r="BD690">
        <v>0.39314757785838605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2.0902225344150454</v>
      </c>
      <c r="BK690">
        <v>2.0902225344150454</v>
      </c>
      <c r="BL690">
        <v>0.82176592659029213</v>
      </c>
      <c r="CC690">
        <v>0</v>
      </c>
      <c r="CD690">
        <v>0</v>
      </c>
      <c r="CE690">
        <v>0</v>
      </c>
    </row>
    <row r="691" spans="1:84" hidden="1" x14ac:dyDescent="0.25">
      <c r="A691" t="s">
        <v>128</v>
      </c>
      <c r="B691" t="s">
        <v>502</v>
      </c>
      <c r="C691" t="s">
        <v>72</v>
      </c>
      <c r="D691" s="12">
        <v>46241</v>
      </c>
      <c r="E691" t="s">
        <v>133</v>
      </c>
      <c r="F691" t="s">
        <v>133</v>
      </c>
      <c r="G691" t="s">
        <v>133</v>
      </c>
      <c r="H691" t="s">
        <v>73</v>
      </c>
      <c r="I691">
        <v>20</v>
      </c>
      <c r="J691">
        <v>9.9149198152032554</v>
      </c>
      <c r="K691">
        <v>46241</v>
      </c>
      <c r="L691" t="s">
        <v>209</v>
      </c>
      <c r="M691">
        <v>38</v>
      </c>
      <c r="N691">
        <v>38</v>
      </c>
      <c r="O691">
        <v>11.900045955882351</v>
      </c>
      <c r="P691">
        <v>3.8326078988285799</v>
      </c>
      <c r="Q691">
        <v>3.8326078988285799</v>
      </c>
      <c r="R691">
        <v>1.2002160559720474</v>
      </c>
      <c r="S691">
        <v>0</v>
      </c>
      <c r="T691">
        <v>0</v>
      </c>
      <c r="U691">
        <v>2.5826078988285799</v>
      </c>
      <c r="V691">
        <v>0</v>
      </c>
      <c r="W691">
        <v>0</v>
      </c>
      <c r="X691">
        <v>0</v>
      </c>
      <c r="Y691">
        <v>0.20021605597204739</v>
      </c>
      <c r="Z691">
        <v>0</v>
      </c>
      <c r="AA691">
        <v>4.9783944027952609E-2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0.26091894250534881</v>
      </c>
      <c r="AN691">
        <v>0.26091894250534881</v>
      </c>
      <c r="AO691">
        <v>0.31315910410216713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0.68684089589783293</v>
      </c>
      <c r="BA691">
        <v>0</v>
      </c>
      <c r="BB691">
        <v>0</v>
      </c>
      <c r="BC691">
        <v>0</v>
      </c>
      <c r="BD691">
        <v>0.26091894250534881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3.1932649790496055</v>
      </c>
      <c r="BK691">
        <v>3.1932649790496055</v>
      </c>
      <c r="BL691">
        <v>0.8331833214729879</v>
      </c>
      <c r="CC691">
        <v>0</v>
      </c>
      <c r="CD691">
        <v>0</v>
      </c>
      <c r="CE691">
        <v>0</v>
      </c>
    </row>
    <row r="692" spans="1:84" hidden="1" x14ac:dyDescent="0.25">
      <c r="A692" t="s">
        <v>128</v>
      </c>
      <c r="B692" t="s">
        <v>502</v>
      </c>
      <c r="C692" t="s">
        <v>72</v>
      </c>
      <c r="D692" s="12">
        <v>46244</v>
      </c>
      <c r="E692" t="s">
        <v>501</v>
      </c>
      <c r="F692" t="s">
        <v>501</v>
      </c>
      <c r="G692" t="s">
        <v>501</v>
      </c>
      <c r="H692" t="s">
        <v>74</v>
      </c>
      <c r="I692">
        <v>0</v>
      </c>
      <c r="J692">
        <v>0</v>
      </c>
      <c r="K692">
        <v>46244</v>
      </c>
      <c r="L692" t="s">
        <v>199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F692">
        <v>0</v>
      </c>
    </row>
    <row r="693" spans="1:84" hidden="1" x14ac:dyDescent="0.25">
      <c r="A693" t="s">
        <v>128</v>
      </c>
      <c r="B693" t="s">
        <v>502</v>
      </c>
      <c r="C693" t="s">
        <v>72</v>
      </c>
      <c r="D693" s="12">
        <v>46249</v>
      </c>
      <c r="E693" t="s">
        <v>133</v>
      </c>
      <c r="F693" t="s">
        <v>133</v>
      </c>
      <c r="G693" t="s">
        <v>133</v>
      </c>
      <c r="H693" t="s">
        <v>73</v>
      </c>
      <c r="I693">
        <v>20</v>
      </c>
      <c r="J693">
        <v>9.9149198152032554</v>
      </c>
      <c r="K693">
        <v>46249</v>
      </c>
      <c r="L693" t="s">
        <v>155</v>
      </c>
      <c r="M693">
        <v>28.5</v>
      </c>
      <c r="N693">
        <v>28.5</v>
      </c>
      <c r="O693">
        <v>11.032858455882351</v>
      </c>
      <c r="P693">
        <v>2.8744559241214347</v>
      </c>
      <c r="Q693">
        <v>2.8744559241214347</v>
      </c>
      <c r="R693">
        <v>1.1127531701229576</v>
      </c>
      <c r="S693">
        <v>0</v>
      </c>
      <c r="T693">
        <v>0</v>
      </c>
      <c r="U693">
        <v>1.6244559241214347</v>
      </c>
      <c r="V693">
        <v>0</v>
      </c>
      <c r="W693">
        <v>0</v>
      </c>
      <c r="X693">
        <v>0</v>
      </c>
      <c r="Y693">
        <v>0.1127531701229576</v>
      </c>
      <c r="Z693">
        <v>0</v>
      </c>
      <c r="AA693">
        <v>0.1372468298770424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0.34789192334046509</v>
      </c>
      <c r="AN693">
        <v>0.34789192334046509</v>
      </c>
      <c r="AO693">
        <v>0.38711784055727549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0.61288215944272451</v>
      </c>
      <c r="BA693">
        <v>0</v>
      </c>
      <c r="BB693">
        <v>0</v>
      </c>
      <c r="BC693">
        <v>0</v>
      </c>
      <c r="BD693">
        <v>0.34789192334046509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2.5831927522649174</v>
      </c>
      <c r="BK693">
        <v>2.5831927522649174</v>
      </c>
      <c r="BL693">
        <v>0.89867189494459176</v>
      </c>
      <c r="CC693">
        <v>0</v>
      </c>
      <c r="CD693">
        <v>0</v>
      </c>
      <c r="CE693">
        <v>0</v>
      </c>
    </row>
    <row r="694" spans="1:84" hidden="1" x14ac:dyDescent="0.25">
      <c r="A694" t="s">
        <v>128</v>
      </c>
      <c r="B694" t="s">
        <v>502</v>
      </c>
      <c r="C694" t="s">
        <v>72</v>
      </c>
      <c r="D694" s="12">
        <v>46229</v>
      </c>
      <c r="E694" t="s">
        <v>133</v>
      </c>
      <c r="F694" t="s">
        <v>133</v>
      </c>
      <c r="G694" t="s">
        <v>133</v>
      </c>
      <c r="H694" t="s">
        <v>73</v>
      </c>
      <c r="I694">
        <v>20</v>
      </c>
      <c r="J694">
        <v>9.9149198152032554</v>
      </c>
      <c r="K694">
        <v>46229</v>
      </c>
      <c r="L694" t="s">
        <v>220</v>
      </c>
      <c r="M694">
        <v>20.9</v>
      </c>
      <c r="N694">
        <v>20.9</v>
      </c>
      <c r="O694">
        <v>11.032858455882351</v>
      </c>
      <c r="P694">
        <v>2.1079343443557188</v>
      </c>
      <c r="Q694">
        <v>2.1079343443557188</v>
      </c>
      <c r="R694">
        <v>1.1127531701229576</v>
      </c>
      <c r="S694">
        <v>0</v>
      </c>
      <c r="T694">
        <v>0</v>
      </c>
      <c r="U694">
        <v>0.8579343443557188</v>
      </c>
      <c r="V694">
        <v>0</v>
      </c>
      <c r="W694">
        <v>0</v>
      </c>
      <c r="X694">
        <v>0</v>
      </c>
      <c r="Y694">
        <v>0.1127531701229576</v>
      </c>
      <c r="Z694">
        <v>0</v>
      </c>
      <c r="AA694">
        <v>0.1372468298770424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0.47439807728245242</v>
      </c>
      <c r="AN694">
        <v>0.47439807728245242</v>
      </c>
      <c r="AO694">
        <v>0.52788796439628483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0.47211203560371517</v>
      </c>
      <c r="BA694">
        <v>0</v>
      </c>
      <c r="BB694">
        <v>0</v>
      </c>
      <c r="BC694">
        <v>0</v>
      </c>
      <c r="BD694">
        <v>0.47439807728245242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1.8943413516609393</v>
      </c>
      <c r="BK694">
        <v>1.8943413516609393</v>
      </c>
      <c r="BL694">
        <v>0.89867189494459176</v>
      </c>
      <c r="CC694">
        <v>0</v>
      </c>
      <c r="CD694">
        <v>0</v>
      </c>
      <c r="CE694">
        <v>0</v>
      </c>
    </row>
    <row r="695" spans="1:84" hidden="1" x14ac:dyDescent="0.25">
      <c r="A695" t="s">
        <v>128</v>
      </c>
      <c r="B695" t="s">
        <v>502</v>
      </c>
      <c r="C695" t="s">
        <v>72</v>
      </c>
      <c r="D695" s="12">
        <v>46226</v>
      </c>
      <c r="E695" t="s">
        <v>134</v>
      </c>
      <c r="F695" t="s">
        <v>134</v>
      </c>
      <c r="G695" t="s">
        <v>134</v>
      </c>
      <c r="H695" t="s">
        <v>75</v>
      </c>
      <c r="I695">
        <v>10</v>
      </c>
      <c r="J695">
        <v>2.4017033356990778</v>
      </c>
      <c r="K695">
        <v>46226</v>
      </c>
      <c r="L695" t="s">
        <v>227</v>
      </c>
      <c r="M695">
        <v>3.8</v>
      </c>
      <c r="N695">
        <v>3.8</v>
      </c>
      <c r="O695">
        <v>2.0490196078431375</v>
      </c>
      <c r="P695">
        <v>1.5822104018912526</v>
      </c>
      <c r="Q695">
        <v>1.5822104018912526</v>
      </c>
      <c r="R695">
        <v>0.85315266768645992</v>
      </c>
      <c r="S695">
        <v>0</v>
      </c>
      <c r="T695">
        <v>0</v>
      </c>
      <c r="U695">
        <v>0.33221040189125262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0.25</v>
      </c>
      <c r="AB695">
        <v>0</v>
      </c>
      <c r="AC695">
        <v>0</v>
      </c>
      <c r="AD695">
        <v>0</v>
      </c>
      <c r="AE695">
        <v>0.14684733231354008</v>
      </c>
      <c r="AF695">
        <v>0</v>
      </c>
      <c r="AG695">
        <v>0.85315266768645992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0.63202719360502047</v>
      </c>
      <c r="AN695">
        <v>0.63202719360502047</v>
      </c>
      <c r="AO695">
        <v>0.53921568627450989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0.36797280639497953</v>
      </c>
      <c r="BA695">
        <v>0</v>
      </c>
      <c r="BB695">
        <v>9.2811507330510579E-2</v>
      </c>
      <c r="BC695">
        <v>0</v>
      </c>
      <c r="BD695">
        <v>0.53921568627450989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1.8545454545454543</v>
      </c>
      <c r="BK695">
        <v>1.8545454545454543</v>
      </c>
      <c r="BL695">
        <v>1.1721231590493106</v>
      </c>
      <c r="CC695">
        <v>0</v>
      </c>
      <c r="CD695">
        <v>0</v>
      </c>
      <c r="CE695">
        <v>0</v>
      </c>
    </row>
    <row r="696" spans="1:84" hidden="1" x14ac:dyDescent="0.25">
      <c r="A696" t="s">
        <v>128</v>
      </c>
      <c r="B696" t="s">
        <v>502</v>
      </c>
      <c r="C696" t="s">
        <v>72</v>
      </c>
      <c r="D696" s="12">
        <v>46228</v>
      </c>
      <c r="E696" t="s">
        <v>133</v>
      </c>
      <c r="F696" t="s">
        <v>133</v>
      </c>
      <c r="G696" t="s">
        <v>133</v>
      </c>
      <c r="H696" t="s">
        <v>74</v>
      </c>
      <c r="I696">
        <v>20</v>
      </c>
      <c r="J696">
        <v>4.437063563709744</v>
      </c>
      <c r="K696">
        <v>46228</v>
      </c>
      <c r="L696" t="s">
        <v>222</v>
      </c>
      <c r="M696">
        <v>9.5</v>
      </c>
      <c r="N696">
        <v>9.5</v>
      </c>
      <c r="O696">
        <v>5.0736749387254898</v>
      </c>
      <c r="P696">
        <v>2.1410556471851017</v>
      </c>
      <c r="Q696">
        <v>2.1410556471851017</v>
      </c>
      <c r="R696">
        <v>1.1434758294252352</v>
      </c>
      <c r="S696">
        <v>0</v>
      </c>
      <c r="T696">
        <v>0</v>
      </c>
      <c r="U696">
        <v>0.89105564718510166</v>
      </c>
      <c r="V696">
        <v>0</v>
      </c>
      <c r="W696">
        <v>0</v>
      </c>
      <c r="X696">
        <v>0</v>
      </c>
      <c r="Y696">
        <v>0.14347582942523518</v>
      </c>
      <c r="Z696">
        <v>0</v>
      </c>
      <c r="AA696">
        <v>0.10652417057476482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0.46705932249576254</v>
      </c>
      <c r="AN696">
        <v>0.46705932249576254</v>
      </c>
      <c r="AO696">
        <v>0.53407104618163048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0.46592895381836952</v>
      </c>
      <c r="BA696">
        <v>0</v>
      </c>
      <c r="BB696">
        <v>0</v>
      </c>
      <c r="BC696">
        <v>0</v>
      </c>
      <c r="BD696">
        <v>0.46705932249576254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1.8724100607017615</v>
      </c>
      <c r="BK696">
        <v>1.8724100607017615</v>
      </c>
      <c r="BL696">
        <v>0.87452657438561432</v>
      </c>
      <c r="CC696">
        <v>0</v>
      </c>
      <c r="CD696">
        <v>0</v>
      </c>
      <c r="CE696">
        <v>0</v>
      </c>
    </row>
    <row r="697" spans="1:84" hidden="1" x14ac:dyDescent="0.25">
      <c r="A697" t="s">
        <v>128</v>
      </c>
      <c r="B697" t="s">
        <v>502</v>
      </c>
      <c r="C697" t="s">
        <v>72</v>
      </c>
      <c r="D697" s="12">
        <v>46249</v>
      </c>
      <c r="E697" t="s">
        <v>501</v>
      </c>
      <c r="F697" t="s">
        <v>501</v>
      </c>
      <c r="G697" t="s">
        <v>501</v>
      </c>
      <c r="H697" t="s">
        <v>75</v>
      </c>
      <c r="I697">
        <v>0</v>
      </c>
      <c r="J697">
        <v>1.4435762356877015</v>
      </c>
      <c r="K697">
        <v>46249</v>
      </c>
      <c r="L697" t="s">
        <v>167</v>
      </c>
      <c r="M697">
        <v>0</v>
      </c>
      <c r="N697">
        <v>0</v>
      </c>
      <c r="O697">
        <v>0.22145328719723184</v>
      </c>
      <c r="P697">
        <v>0</v>
      </c>
      <c r="Q697">
        <v>0</v>
      </c>
      <c r="R697">
        <v>0.15340602160282465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0.15340602160282465</v>
      </c>
      <c r="AC697">
        <v>0.84659397839717532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J697">
        <v>0</v>
      </c>
      <c r="BK697">
        <v>0</v>
      </c>
      <c r="BL697">
        <v>6.5186489392772771</v>
      </c>
      <c r="BM697">
        <v>5.5186489392772771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 spans="1:84" hidden="1" x14ac:dyDescent="0.25">
      <c r="A698" t="s">
        <v>128</v>
      </c>
      <c r="B698" t="s">
        <v>502</v>
      </c>
      <c r="C698" t="s">
        <v>72</v>
      </c>
      <c r="D698" s="12">
        <v>46225</v>
      </c>
      <c r="E698" t="s">
        <v>133</v>
      </c>
      <c r="F698" t="s">
        <v>133</v>
      </c>
      <c r="G698" t="s">
        <v>133</v>
      </c>
      <c r="H698" t="s">
        <v>73</v>
      </c>
      <c r="I698">
        <v>20</v>
      </c>
      <c r="J698">
        <v>9.9149198152032554</v>
      </c>
      <c r="K698">
        <v>46225</v>
      </c>
      <c r="L698" t="s">
        <v>163</v>
      </c>
      <c r="M698">
        <v>32.299999999999997</v>
      </c>
      <c r="N698">
        <v>32.299999999999997</v>
      </c>
      <c r="O698">
        <v>12.890749737394955</v>
      </c>
      <c r="P698">
        <v>3.2577167140042924</v>
      </c>
      <c r="Q698">
        <v>3.2577167140042924</v>
      </c>
      <c r="R698">
        <v>1.3001365596147987</v>
      </c>
      <c r="S698">
        <v>0</v>
      </c>
      <c r="T698">
        <v>0</v>
      </c>
      <c r="U698">
        <v>1.9575801543894937</v>
      </c>
      <c r="V698">
        <v>0</v>
      </c>
      <c r="W698">
        <v>5.0136559614798681E-2</v>
      </c>
      <c r="X698">
        <v>0</v>
      </c>
      <c r="Y698">
        <v>0.25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0.30696346177099865</v>
      </c>
      <c r="AN698">
        <v>0.30696346177099865</v>
      </c>
      <c r="AO698">
        <v>0.39909441911439492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0.60090558088560508</v>
      </c>
      <c r="BA698">
        <v>0</v>
      </c>
      <c r="BB698">
        <v>0</v>
      </c>
      <c r="BC698">
        <v>0</v>
      </c>
      <c r="BD698">
        <v>0.30696346177099865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2.5056727233095279</v>
      </c>
      <c r="BK698">
        <v>2.5056727233095279</v>
      </c>
      <c r="BL698">
        <v>0.76914997321225831</v>
      </c>
      <c r="CC698">
        <v>0</v>
      </c>
      <c r="CD698">
        <v>0</v>
      </c>
      <c r="CE698">
        <v>0</v>
      </c>
    </row>
    <row r="699" spans="1:84" hidden="1" x14ac:dyDescent="0.25">
      <c r="A699" t="s">
        <v>128</v>
      </c>
      <c r="B699" t="s">
        <v>502</v>
      </c>
      <c r="C699" t="s">
        <v>72</v>
      </c>
      <c r="D699" s="12">
        <v>46227</v>
      </c>
      <c r="E699" t="s">
        <v>134</v>
      </c>
      <c r="F699" t="s">
        <v>134</v>
      </c>
      <c r="G699" t="s">
        <v>134</v>
      </c>
      <c r="H699" t="s">
        <v>73</v>
      </c>
      <c r="I699">
        <v>10</v>
      </c>
      <c r="J699">
        <v>3.9778211497515952</v>
      </c>
      <c r="K699">
        <v>46227</v>
      </c>
      <c r="L699" t="s">
        <v>226</v>
      </c>
      <c r="M699">
        <v>2.8499999999999996</v>
      </c>
      <c r="N699">
        <v>2.8499999999999996</v>
      </c>
      <c r="O699">
        <v>1.1207107843137254</v>
      </c>
      <c r="P699">
        <v>0.71647263481868084</v>
      </c>
      <c r="Q699">
        <v>0.71647263481868084</v>
      </c>
      <c r="R699">
        <v>0.2817398626340229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0.28352736518131916</v>
      </c>
      <c r="AD699">
        <v>0</v>
      </c>
      <c r="AE699">
        <v>0.43473277218465795</v>
      </c>
      <c r="AF699">
        <v>0</v>
      </c>
      <c r="AG699">
        <v>0.2817398626340229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1.3957267192110863</v>
      </c>
      <c r="AN699">
        <v>1.3957267192110863</v>
      </c>
      <c r="AO699">
        <v>0.39323185414516687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0.39572671921108626</v>
      </c>
      <c r="AY699">
        <v>0</v>
      </c>
      <c r="AZ699">
        <v>0</v>
      </c>
      <c r="BA699">
        <v>0</v>
      </c>
      <c r="BB699">
        <v>0.60676814585483307</v>
      </c>
      <c r="BC699">
        <v>0</v>
      </c>
      <c r="BD699">
        <v>0.39323185414516687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2.5430289775833788</v>
      </c>
      <c r="BK699">
        <v>2.5430289775833788</v>
      </c>
      <c r="BL699">
        <v>3.5493734917411723</v>
      </c>
      <c r="CC699">
        <v>0</v>
      </c>
      <c r="CD699">
        <v>0</v>
      </c>
      <c r="CE699">
        <v>0</v>
      </c>
    </row>
    <row r="700" spans="1:84" hidden="1" x14ac:dyDescent="0.25">
      <c r="A700" t="s">
        <v>128</v>
      </c>
      <c r="B700" t="s">
        <v>502</v>
      </c>
      <c r="C700" t="s">
        <v>72</v>
      </c>
      <c r="D700" s="12">
        <v>46249</v>
      </c>
      <c r="E700" t="s">
        <v>501</v>
      </c>
      <c r="F700" t="s">
        <v>501</v>
      </c>
      <c r="G700" t="s">
        <v>501</v>
      </c>
      <c r="H700" t="s">
        <v>74</v>
      </c>
      <c r="I700">
        <v>0</v>
      </c>
      <c r="J700">
        <v>0</v>
      </c>
      <c r="K700">
        <v>46249</v>
      </c>
      <c r="L700" t="s">
        <v>164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F700">
        <v>0</v>
      </c>
    </row>
    <row r="701" spans="1:84" hidden="1" x14ac:dyDescent="0.25">
      <c r="A701" t="s">
        <v>128</v>
      </c>
      <c r="B701" t="s">
        <v>502</v>
      </c>
      <c r="C701" t="s">
        <v>72</v>
      </c>
      <c r="D701" s="12">
        <v>46224</v>
      </c>
      <c r="E701" t="s">
        <v>133</v>
      </c>
      <c r="F701" t="s">
        <v>133</v>
      </c>
      <c r="G701" t="s">
        <v>133</v>
      </c>
      <c r="H701" t="s">
        <v>75</v>
      </c>
      <c r="I701">
        <v>20</v>
      </c>
      <c r="J701">
        <v>8.1072272522103948</v>
      </c>
      <c r="K701">
        <v>46224</v>
      </c>
      <c r="L701" t="s">
        <v>166</v>
      </c>
      <c r="M701">
        <v>30.4</v>
      </c>
      <c r="N701">
        <v>30.4</v>
      </c>
      <c r="O701">
        <v>10.933907781862748</v>
      </c>
      <c r="P701">
        <v>3.7497407010160706</v>
      </c>
      <c r="Q701">
        <v>3.7497407010160706</v>
      </c>
      <c r="R701">
        <v>1.3486618102239176</v>
      </c>
      <c r="S701">
        <v>0</v>
      </c>
      <c r="T701">
        <v>0</v>
      </c>
      <c r="U701">
        <v>2.401078890792153</v>
      </c>
      <c r="V701">
        <v>0</v>
      </c>
      <c r="W701">
        <v>9.8661810223917623E-2</v>
      </c>
      <c r="X701">
        <v>0</v>
      </c>
      <c r="Y701">
        <v>0.25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0.2666851069806051</v>
      </c>
      <c r="AN701">
        <v>0.2666851069806051</v>
      </c>
      <c r="AO701">
        <v>0.35966801914022201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0.64033198085977805</v>
      </c>
      <c r="BA701">
        <v>0</v>
      </c>
      <c r="BB701">
        <v>0</v>
      </c>
      <c r="BC701">
        <v>0</v>
      </c>
      <c r="BD701">
        <v>0.2666851069806051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2.7803417228767704</v>
      </c>
      <c r="BK701">
        <v>2.7803417228767704</v>
      </c>
      <c r="BL701">
        <v>0.74147572980803134</v>
      </c>
      <c r="CC701">
        <v>0</v>
      </c>
      <c r="CD701">
        <v>0</v>
      </c>
      <c r="CE701">
        <v>0</v>
      </c>
    </row>
    <row r="702" spans="1:84" hidden="1" x14ac:dyDescent="0.25">
      <c r="A702" t="s">
        <v>128</v>
      </c>
      <c r="B702" t="s">
        <v>502</v>
      </c>
      <c r="C702" t="s">
        <v>72</v>
      </c>
      <c r="D702" s="12">
        <v>46249</v>
      </c>
      <c r="E702" t="s">
        <v>501</v>
      </c>
      <c r="F702" t="s">
        <v>501</v>
      </c>
      <c r="G702" t="s">
        <v>501</v>
      </c>
      <c r="H702" t="s">
        <v>73</v>
      </c>
      <c r="I702">
        <v>0</v>
      </c>
      <c r="J702">
        <v>1.8624711255077939</v>
      </c>
      <c r="K702">
        <v>46249</v>
      </c>
      <c r="L702" t="s">
        <v>155</v>
      </c>
      <c r="M702">
        <v>0</v>
      </c>
      <c r="N702">
        <v>0</v>
      </c>
      <c r="O702">
        <v>1.7647058823529409</v>
      </c>
      <c r="P702">
        <v>0</v>
      </c>
      <c r="Q702">
        <v>0</v>
      </c>
      <c r="R702">
        <v>0.9475077804880343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0.9475077804880343</v>
      </c>
      <c r="AC702">
        <v>5.2492219511965699E-2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J702">
        <v>0</v>
      </c>
      <c r="BK702">
        <v>0</v>
      </c>
      <c r="BL702">
        <v>1.0554003044544167</v>
      </c>
      <c r="BM702">
        <v>5.5400304454416682E-2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1</v>
      </c>
      <c r="CF702">
        <v>1</v>
      </c>
    </row>
    <row r="703" spans="1:84" hidden="1" x14ac:dyDescent="0.25">
      <c r="A703" t="s">
        <v>128</v>
      </c>
      <c r="B703" t="s">
        <v>502</v>
      </c>
      <c r="C703" t="s">
        <v>72</v>
      </c>
      <c r="D703" s="12">
        <v>46228</v>
      </c>
      <c r="E703" t="s">
        <v>133</v>
      </c>
      <c r="F703" t="s">
        <v>133</v>
      </c>
      <c r="G703" t="s">
        <v>133</v>
      </c>
      <c r="H703" t="s">
        <v>73</v>
      </c>
      <c r="I703">
        <v>20</v>
      </c>
      <c r="J703">
        <v>9.9149198152032554</v>
      </c>
      <c r="K703">
        <v>46228</v>
      </c>
      <c r="L703" t="s">
        <v>223</v>
      </c>
      <c r="M703">
        <v>30.4</v>
      </c>
      <c r="N703">
        <v>30.4</v>
      </c>
      <c r="O703">
        <v>11.036504289215683</v>
      </c>
      <c r="P703">
        <v>3.0660863190628636</v>
      </c>
      <c r="Q703">
        <v>3.0660863190628636</v>
      </c>
      <c r="R703">
        <v>1.113120881955356</v>
      </c>
      <c r="S703">
        <v>0</v>
      </c>
      <c r="T703">
        <v>0</v>
      </c>
      <c r="U703">
        <v>1.8160863190628636</v>
      </c>
      <c r="V703">
        <v>0</v>
      </c>
      <c r="W703">
        <v>0</v>
      </c>
      <c r="X703">
        <v>0</v>
      </c>
      <c r="Y703">
        <v>0.11312088195535597</v>
      </c>
      <c r="Z703">
        <v>0</v>
      </c>
      <c r="AA703">
        <v>0.13687911804464403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0.32614867813168602</v>
      </c>
      <c r="AN703">
        <v>0.32614867813168602</v>
      </c>
      <c r="AO703">
        <v>0.36304290425051594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0.63695709574948411</v>
      </c>
      <c r="BA703">
        <v>0</v>
      </c>
      <c r="BB703">
        <v>0</v>
      </c>
      <c r="BC703">
        <v>0</v>
      </c>
      <c r="BD703">
        <v>0.32614867813168602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2.7544953731142341</v>
      </c>
      <c r="BK703">
        <v>2.7544953731142341</v>
      </c>
      <c r="BL703">
        <v>0.89837502486105281</v>
      </c>
      <c r="CC703">
        <v>0</v>
      </c>
      <c r="CD703">
        <v>0</v>
      </c>
      <c r="CE703">
        <v>0</v>
      </c>
    </row>
    <row r="704" spans="1:84" hidden="1" x14ac:dyDescent="0.25">
      <c r="A704" t="s">
        <v>128</v>
      </c>
      <c r="B704" t="s">
        <v>502</v>
      </c>
      <c r="C704" t="s">
        <v>72</v>
      </c>
      <c r="D704" s="12">
        <v>46228</v>
      </c>
      <c r="E704" t="s">
        <v>133</v>
      </c>
      <c r="F704" t="s">
        <v>133</v>
      </c>
      <c r="G704" t="s">
        <v>133</v>
      </c>
      <c r="H704" t="s">
        <v>75</v>
      </c>
      <c r="I704">
        <v>20</v>
      </c>
      <c r="J704">
        <v>8.1620058147253278</v>
      </c>
      <c r="K704">
        <v>46228</v>
      </c>
      <c r="L704" t="s">
        <v>221</v>
      </c>
      <c r="M704">
        <v>20.9</v>
      </c>
      <c r="N704">
        <v>20.9</v>
      </c>
      <c r="O704">
        <v>10.827320772058824</v>
      </c>
      <c r="P704">
        <v>2.5606450760294313</v>
      </c>
      <c r="Q704">
        <v>2.5606450760294313</v>
      </c>
      <c r="R704">
        <v>1.3265514651465844</v>
      </c>
      <c r="S704">
        <v>0</v>
      </c>
      <c r="T704">
        <v>0</v>
      </c>
      <c r="U704">
        <v>1.2340936108828469</v>
      </c>
      <c r="V704">
        <v>0</v>
      </c>
      <c r="W704">
        <v>7.6551465146584396E-2</v>
      </c>
      <c r="X704">
        <v>0</v>
      </c>
      <c r="Y704">
        <v>0.25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0.3905265940059966</v>
      </c>
      <c r="AN704">
        <v>0.3905265940059966</v>
      </c>
      <c r="AO704">
        <v>0.51805362545736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0.48194637454264</v>
      </c>
      <c r="BA704">
        <v>0</v>
      </c>
      <c r="BB704">
        <v>0</v>
      </c>
      <c r="BC704">
        <v>0</v>
      </c>
      <c r="BD704">
        <v>0.3905265940059966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1.9303020978130534</v>
      </c>
      <c r="BK704">
        <v>1.9303020978130534</v>
      </c>
      <c r="BL704">
        <v>0.75383430366156179</v>
      </c>
      <c r="CC704">
        <v>0</v>
      </c>
      <c r="CD704">
        <v>0</v>
      </c>
      <c r="CE704">
        <v>0</v>
      </c>
    </row>
    <row r="705" spans="1:84" hidden="1" x14ac:dyDescent="0.25">
      <c r="A705" t="s">
        <v>128</v>
      </c>
      <c r="B705" t="s">
        <v>502</v>
      </c>
      <c r="C705" t="s">
        <v>72</v>
      </c>
      <c r="D705" s="12">
        <v>46227</v>
      </c>
      <c r="E705" t="s">
        <v>134</v>
      </c>
      <c r="F705" t="s">
        <v>134</v>
      </c>
      <c r="G705" t="s">
        <v>134</v>
      </c>
      <c r="H705" t="s">
        <v>74</v>
      </c>
      <c r="I705">
        <v>10</v>
      </c>
      <c r="J705">
        <v>2.7219304471256209</v>
      </c>
      <c r="K705">
        <v>46227</v>
      </c>
      <c r="L705" t="s">
        <v>225</v>
      </c>
      <c r="M705">
        <v>0</v>
      </c>
      <c r="N705">
        <v>0</v>
      </c>
      <c r="O705">
        <v>2.0078431372549019</v>
      </c>
      <c r="P705">
        <v>0</v>
      </c>
      <c r="Q705">
        <v>0</v>
      </c>
      <c r="R705">
        <v>0.73765409376099211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0.73765409376099211</v>
      </c>
      <c r="AC705">
        <v>0.26234590623900789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J705">
        <v>0</v>
      </c>
      <c r="BK705">
        <v>0</v>
      </c>
      <c r="BL705">
        <v>1.3556489531582683</v>
      </c>
      <c r="BM705">
        <v>0.35564895315826828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1</v>
      </c>
      <c r="CF705">
        <v>1</v>
      </c>
    </row>
    <row r="706" spans="1:84" hidden="1" x14ac:dyDescent="0.25">
      <c r="A706" t="s">
        <v>128</v>
      </c>
      <c r="B706" t="s">
        <v>502</v>
      </c>
      <c r="C706" t="s">
        <v>72</v>
      </c>
      <c r="D706" s="12">
        <v>46248</v>
      </c>
      <c r="E706" t="s">
        <v>501</v>
      </c>
      <c r="F706" t="s">
        <v>501</v>
      </c>
      <c r="G706" t="s">
        <v>501</v>
      </c>
      <c r="H706" t="s">
        <v>74</v>
      </c>
      <c r="I706">
        <v>0</v>
      </c>
      <c r="J706">
        <v>0</v>
      </c>
      <c r="K706">
        <v>46248</v>
      </c>
      <c r="L706" t="s">
        <v>158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F706">
        <v>0</v>
      </c>
    </row>
    <row r="707" spans="1:84" hidden="1" x14ac:dyDescent="0.25">
      <c r="A707" t="s">
        <v>128</v>
      </c>
      <c r="B707" t="s">
        <v>502</v>
      </c>
      <c r="C707" t="s">
        <v>72</v>
      </c>
      <c r="D707" s="12">
        <v>46224</v>
      </c>
      <c r="E707" t="s">
        <v>133</v>
      </c>
      <c r="F707" t="s">
        <v>133</v>
      </c>
      <c r="G707" t="s">
        <v>133</v>
      </c>
      <c r="H707" t="s">
        <v>74</v>
      </c>
      <c r="I707">
        <v>20</v>
      </c>
      <c r="J707">
        <v>4.437063563709744</v>
      </c>
      <c r="K707">
        <v>46224</v>
      </c>
      <c r="L707" t="s">
        <v>169</v>
      </c>
      <c r="M707">
        <v>9.5</v>
      </c>
      <c r="N707">
        <v>9.5</v>
      </c>
      <c r="O707">
        <v>4.1398207720588234</v>
      </c>
      <c r="P707">
        <v>2.1410556471851017</v>
      </c>
      <c r="Q707">
        <v>2.1410556471851017</v>
      </c>
      <c r="R707">
        <v>0.93300912024744542</v>
      </c>
      <c r="S707">
        <v>0</v>
      </c>
      <c r="T707">
        <v>0</v>
      </c>
      <c r="U707">
        <v>0.89105564718510166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0.25</v>
      </c>
      <c r="AB707">
        <v>0</v>
      </c>
      <c r="AC707">
        <v>0</v>
      </c>
      <c r="AD707">
        <v>0</v>
      </c>
      <c r="AE707">
        <v>6.6990879752554577E-2</v>
      </c>
      <c r="AF707">
        <v>0</v>
      </c>
      <c r="AG707">
        <v>0.93300912024744542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0.46705932249576254</v>
      </c>
      <c r="AN707">
        <v>0.46705932249576254</v>
      </c>
      <c r="AO707">
        <v>0.4357706075851393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0.53294067750423746</v>
      </c>
      <c r="BA707">
        <v>0</v>
      </c>
      <c r="BB707">
        <v>3.1288714910623239E-2</v>
      </c>
      <c r="BC707">
        <v>0</v>
      </c>
      <c r="BD707">
        <v>0.4357706075851393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2.29478533566453</v>
      </c>
      <c r="BK707">
        <v>2.29478533566453</v>
      </c>
      <c r="BL707">
        <v>1.0718008841486864</v>
      </c>
      <c r="CC707">
        <v>0</v>
      </c>
      <c r="CD707">
        <v>0</v>
      </c>
      <c r="CE707">
        <v>0</v>
      </c>
    </row>
    <row r="708" spans="1:84" hidden="1" x14ac:dyDescent="0.25">
      <c r="A708" t="s">
        <v>128</v>
      </c>
      <c r="B708" t="s">
        <v>502</v>
      </c>
      <c r="C708" t="s">
        <v>72</v>
      </c>
      <c r="D708" s="12">
        <v>46229</v>
      </c>
      <c r="E708" t="s">
        <v>133</v>
      </c>
      <c r="F708" t="s">
        <v>133</v>
      </c>
      <c r="G708" t="s">
        <v>133</v>
      </c>
      <c r="H708" t="s">
        <v>74</v>
      </c>
      <c r="I708">
        <v>20</v>
      </c>
      <c r="J708">
        <v>4.437063563709744</v>
      </c>
      <c r="K708">
        <v>46229</v>
      </c>
      <c r="L708" t="s">
        <v>219</v>
      </c>
      <c r="M708">
        <v>9.5</v>
      </c>
      <c r="N708">
        <v>9.5</v>
      </c>
      <c r="O708">
        <v>5.0736749387254898</v>
      </c>
      <c r="P708">
        <v>2.1410556471851017</v>
      </c>
      <c r="Q708">
        <v>2.1410556471851017</v>
      </c>
      <c r="R708">
        <v>1.1434758294252352</v>
      </c>
      <c r="S708">
        <v>0</v>
      </c>
      <c r="T708">
        <v>0</v>
      </c>
      <c r="U708">
        <v>0.89105564718510166</v>
      </c>
      <c r="V708">
        <v>0</v>
      </c>
      <c r="W708">
        <v>0</v>
      </c>
      <c r="X708">
        <v>0</v>
      </c>
      <c r="Y708">
        <v>0.14347582942523518</v>
      </c>
      <c r="Z708">
        <v>0</v>
      </c>
      <c r="AA708">
        <v>0.10652417057476482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0.46705932249576254</v>
      </c>
      <c r="AN708">
        <v>0.46705932249576254</v>
      </c>
      <c r="AO708">
        <v>0.53407104618163048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0.46592895381836952</v>
      </c>
      <c r="BA708">
        <v>0</v>
      </c>
      <c r="BB708">
        <v>0</v>
      </c>
      <c r="BC708">
        <v>0</v>
      </c>
      <c r="BD708">
        <v>0.46705932249576254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1.8724100607017615</v>
      </c>
      <c r="BK708">
        <v>1.8724100607017615</v>
      </c>
      <c r="BL708">
        <v>0.87452657438561432</v>
      </c>
      <c r="CC708">
        <v>0</v>
      </c>
      <c r="CD708">
        <v>0</v>
      </c>
      <c r="CE708">
        <v>0</v>
      </c>
    </row>
    <row r="709" spans="1:84" hidden="1" x14ac:dyDescent="0.25">
      <c r="A709" t="s">
        <v>128</v>
      </c>
      <c r="B709" t="s">
        <v>502</v>
      </c>
      <c r="C709" t="s">
        <v>72</v>
      </c>
      <c r="D709" s="12">
        <v>46224</v>
      </c>
      <c r="E709" t="s">
        <v>133</v>
      </c>
      <c r="F709" t="s">
        <v>133</v>
      </c>
      <c r="G709" t="s">
        <v>133</v>
      </c>
      <c r="H709" t="s">
        <v>73</v>
      </c>
      <c r="I709">
        <v>20</v>
      </c>
      <c r="J709">
        <v>9.9149198152032554</v>
      </c>
      <c r="K709">
        <v>46224</v>
      </c>
      <c r="L709" t="s">
        <v>172</v>
      </c>
      <c r="M709">
        <v>34.199999999999996</v>
      </c>
      <c r="N709">
        <v>34.199999999999996</v>
      </c>
      <c r="O709">
        <v>13.551271446078434</v>
      </c>
      <c r="P709">
        <v>3.4493471089457213</v>
      </c>
      <c r="Q709">
        <v>3.4493471089457213</v>
      </c>
      <c r="R709">
        <v>1.366755525879221</v>
      </c>
      <c r="S709">
        <v>0</v>
      </c>
      <c r="T709">
        <v>0</v>
      </c>
      <c r="U709">
        <v>2.0825915830665003</v>
      </c>
      <c r="V709">
        <v>0</v>
      </c>
      <c r="W709">
        <v>0.116755525879221</v>
      </c>
      <c r="X709">
        <v>0</v>
      </c>
      <c r="Y709">
        <v>0.25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0.28990993611705429</v>
      </c>
      <c r="AN709">
        <v>0.28990993611705429</v>
      </c>
      <c r="AO709">
        <v>0.39623600719527591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0.60376399280472404</v>
      </c>
      <c r="BA709">
        <v>0</v>
      </c>
      <c r="BB709">
        <v>0</v>
      </c>
      <c r="BC709">
        <v>0</v>
      </c>
      <c r="BD709">
        <v>0.28990993611705429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2.523748427303258</v>
      </c>
      <c r="BK709">
        <v>2.523748427303258</v>
      </c>
      <c r="BL709">
        <v>0.73165974533500377</v>
      </c>
      <c r="CC709">
        <v>0</v>
      </c>
      <c r="CD709">
        <v>0</v>
      </c>
      <c r="CE709">
        <v>0</v>
      </c>
    </row>
    <row r="710" spans="1:84" hidden="1" x14ac:dyDescent="0.25">
      <c r="A710" t="s">
        <v>128</v>
      </c>
      <c r="B710" t="s">
        <v>502</v>
      </c>
      <c r="C710" t="s">
        <v>72</v>
      </c>
      <c r="D710" s="12">
        <v>46227</v>
      </c>
      <c r="E710" t="s">
        <v>134</v>
      </c>
      <c r="F710" t="s">
        <v>134</v>
      </c>
      <c r="G710" t="s">
        <v>134</v>
      </c>
      <c r="H710" t="s">
        <v>75</v>
      </c>
      <c r="I710">
        <v>10</v>
      </c>
      <c r="J710">
        <v>2.4017033356990769</v>
      </c>
      <c r="K710">
        <v>46227</v>
      </c>
      <c r="L710" t="s">
        <v>224</v>
      </c>
      <c r="M710">
        <v>3.8</v>
      </c>
      <c r="N710">
        <v>3.8</v>
      </c>
      <c r="O710">
        <v>1.9382929642445217</v>
      </c>
      <c r="P710">
        <v>1.5822104018912533</v>
      </c>
      <c r="Q710">
        <v>1.5822104018912533</v>
      </c>
      <c r="R710">
        <v>0.8070492868263982</v>
      </c>
      <c r="S710">
        <v>0</v>
      </c>
      <c r="T710">
        <v>0</v>
      </c>
      <c r="U710">
        <v>0.33221040189125328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0.25</v>
      </c>
      <c r="AB710">
        <v>0</v>
      </c>
      <c r="AC710">
        <v>0</v>
      </c>
      <c r="AD710">
        <v>0</v>
      </c>
      <c r="AE710">
        <v>0.1929507131736018</v>
      </c>
      <c r="AF710">
        <v>0</v>
      </c>
      <c r="AG710">
        <v>0.8070492868263982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0.63202719360502024</v>
      </c>
      <c r="AN710">
        <v>0.63202719360502024</v>
      </c>
      <c r="AO710">
        <v>0.51007709585382155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0.36797280639497976</v>
      </c>
      <c r="BA710">
        <v>0</v>
      </c>
      <c r="BB710">
        <v>0.12195009775119869</v>
      </c>
      <c r="BC710">
        <v>0</v>
      </c>
      <c r="BD710">
        <v>0.51007709585382155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1.960487950014876</v>
      </c>
      <c r="BK710">
        <v>1.960487950014876</v>
      </c>
      <c r="BL710">
        <v>1.2390816971443614</v>
      </c>
      <c r="CC710">
        <v>0</v>
      </c>
      <c r="CD710">
        <v>0</v>
      </c>
      <c r="CE710">
        <v>0</v>
      </c>
    </row>
    <row r="711" spans="1:84" hidden="1" x14ac:dyDescent="0.25">
      <c r="A711" t="s">
        <v>128</v>
      </c>
      <c r="B711" t="s">
        <v>502</v>
      </c>
      <c r="C711" t="s">
        <v>72</v>
      </c>
      <c r="D711" s="12">
        <v>46248</v>
      </c>
      <c r="E711" t="s">
        <v>501</v>
      </c>
      <c r="F711" t="s">
        <v>501</v>
      </c>
      <c r="G711" t="s">
        <v>501</v>
      </c>
      <c r="H711" t="s">
        <v>73</v>
      </c>
      <c r="I711">
        <v>0</v>
      </c>
      <c r="J711">
        <v>1.8624711255077939</v>
      </c>
      <c r="K711">
        <v>46248</v>
      </c>
      <c r="L711" t="s">
        <v>159</v>
      </c>
      <c r="M711">
        <v>0</v>
      </c>
      <c r="N711">
        <v>0</v>
      </c>
      <c r="O711">
        <v>1.7647058823529409</v>
      </c>
      <c r="P711">
        <v>0</v>
      </c>
      <c r="Q711">
        <v>0</v>
      </c>
      <c r="R711">
        <v>0.9475077804880343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0.9475077804880343</v>
      </c>
      <c r="AC711">
        <v>5.2492219511965699E-2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1</v>
      </c>
      <c r="BJ711">
        <v>0</v>
      </c>
      <c r="BK711">
        <v>0</v>
      </c>
      <c r="BL711">
        <v>1.0554003044544167</v>
      </c>
      <c r="BM711">
        <v>5.5400304454416682E-2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1</v>
      </c>
      <c r="CF711">
        <v>1</v>
      </c>
    </row>
    <row r="712" spans="1:84" hidden="1" x14ac:dyDescent="0.25">
      <c r="A712" t="s">
        <v>128</v>
      </c>
      <c r="B712" t="s">
        <v>502</v>
      </c>
      <c r="C712" t="s">
        <v>72</v>
      </c>
      <c r="D712" s="12">
        <v>46228</v>
      </c>
      <c r="E712" t="s">
        <v>134</v>
      </c>
      <c r="F712" t="s">
        <v>134</v>
      </c>
      <c r="G712" t="s">
        <v>134</v>
      </c>
      <c r="H712" t="s">
        <v>73</v>
      </c>
      <c r="I712">
        <v>10</v>
      </c>
      <c r="J712">
        <v>0</v>
      </c>
      <c r="K712">
        <v>46228</v>
      </c>
      <c r="L712" t="s">
        <v>223</v>
      </c>
      <c r="M712">
        <v>2.8499999999999996</v>
      </c>
      <c r="N712">
        <v>2.8499999999999996</v>
      </c>
      <c r="O712">
        <v>1.1176470588235294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0.39215686274509809</v>
      </c>
      <c r="AK712">
        <v>0</v>
      </c>
      <c r="AL712">
        <v>0</v>
      </c>
      <c r="AM712">
        <v>0</v>
      </c>
      <c r="AN712">
        <v>0</v>
      </c>
      <c r="AO712">
        <v>0.39215686274509809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0.60784313725490191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I712">
        <v>0</v>
      </c>
      <c r="BJ712">
        <v>2.5499999999999998</v>
      </c>
      <c r="BK712">
        <v>2.5499999999999998</v>
      </c>
      <c r="BL712">
        <v>0</v>
      </c>
      <c r="CC712">
        <v>0.60784313725490191</v>
      </c>
      <c r="CD712">
        <v>0.39215686274509809</v>
      </c>
    </row>
    <row r="713" spans="1:84" hidden="1" x14ac:dyDescent="0.25">
      <c r="A713" t="s">
        <v>128</v>
      </c>
      <c r="B713" t="s">
        <v>502</v>
      </c>
      <c r="C713" t="s">
        <v>72</v>
      </c>
      <c r="D713" s="12">
        <v>46248</v>
      </c>
      <c r="E713" t="s">
        <v>501</v>
      </c>
      <c r="F713" t="s">
        <v>501</v>
      </c>
      <c r="G713" t="s">
        <v>501</v>
      </c>
      <c r="H713" t="s">
        <v>75</v>
      </c>
      <c r="I713">
        <v>0</v>
      </c>
      <c r="J713">
        <v>1.4435762356877015</v>
      </c>
      <c r="K713">
        <v>46248</v>
      </c>
      <c r="L713" t="s">
        <v>156</v>
      </c>
      <c r="M713">
        <v>0</v>
      </c>
      <c r="N713">
        <v>0</v>
      </c>
      <c r="O713">
        <v>0.92733564013840819</v>
      </c>
      <c r="P713">
        <v>0</v>
      </c>
      <c r="Q713">
        <v>0</v>
      </c>
      <c r="R713">
        <v>0.64238771546182816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0.64238771546182816</v>
      </c>
      <c r="AC713">
        <v>0.35761228453817184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J713">
        <v>0</v>
      </c>
      <c r="BK713">
        <v>0</v>
      </c>
      <c r="BL713">
        <v>1.5566922840065143</v>
      </c>
      <c r="BM713">
        <v>0.55669228400651427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 spans="1:84" hidden="1" x14ac:dyDescent="0.25">
      <c r="A714" t="s">
        <v>128</v>
      </c>
      <c r="B714" t="s">
        <v>502</v>
      </c>
      <c r="C714" t="s">
        <v>72</v>
      </c>
      <c r="D714" s="12">
        <v>46229</v>
      </c>
      <c r="E714" t="s">
        <v>133</v>
      </c>
      <c r="F714" t="s">
        <v>133</v>
      </c>
      <c r="G714" t="s">
        <v>133</v>
      </c>
      <c r="H714" t="s">
        <v>75</v>
      </c>
      <c r="I714">
        <v>20</v>
      </c>
      <c r="J714">
        <v>8.1620058147253278</v>
      </c>
      <c r="K714">
        <v>46229</v>
      </c>
      <c r="L714" t="s">
        <v>218</v>
      </c>
      <c r="M714">
        <v>22.799999999999997</v>
      </c>
      <c r="N714">
        <v>22.799999999999997</v>
      </c>
      <c r="O714">
        <v>10.768466605392156</v>
      </c>
      <c r="P714">
        <v>2.793430992032107</v>
      </c>
      <c r="Q714">
        <v>2.793430992032107</v>
      </c>
      <c r="R714">
        <v>1.3193407172002294</v>
      </c>
      <c r="S714">
        <v>0</v>
      </c>
      <c r="T714">
        <v>0</v>
      </c>
      <c r="U714">
        <v>1.4740902748318776</v>
      </c>
      <c r="V714">
        <v>0</v>
      </c>
      <c r="W714">
        <v>6.9340717200229385E-2</v>
      </c>
      <c r="X714">
        <v>0</v>
      </c>
      <c r="Y714">
        <v>0.25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0.35798271117216357</v>
      </c>
      <c r="AN714">
        <v>0.35798271117216357</v>
      </c>
      <c r="AO714">
        <v>0.47230116690316482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0.52769883309683518</v>
      </c>
      <c r="BA714">
        <v>0</v>
      </c>
      <c r="BB714">
        <v>0</v>
      </c>
      <c r="BC714">
        <v>0</v>
      </c>
      <c r="BD714">
        <v>0.35798271117216357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2.117293096176128</v>
      </c>
      <c r="BK714">
        <v>2.117293096176128</v>
      </c>
      <c r="BL714">
        <v>0.75795432291523468</v>
      </c>
      <c r="CC714">
        <v>0</v>
      </c>
      <c r="CD714">
        <v>0</v>
      </c>
      <c r="CE714">
        <v>0</v>
      </c>
    </row>
    <row r="715" spans="1:84" hidden="1" x14ac:dyDescent="0.25">
      <c r="A715" t="s">
        <v>128</v>
      </c>
      <c r="B715" t="s">
        <v>502</v>
      </c>
      <c r="C715" t="s">
        <v>72</v>
      </c>
      <c r="D715" s="12">
        <v>46226</v>
      </c>
      <c r="E715" t="s">
        <v>134</v>
      </c>
      <c r="F715" t="s">
        <v>134</v>
      </c>
      <c r="G715" t="s">
        <v>134</v>
      </c>
      <c r="H715" t="s">
        <v>74</v>
      </c>
      <c r="I715">
        <v>10</v>
      </c>
      <c r="J715">
        <v>2.7219304471256209</v>
      </c>
      <c r="K715">
        <v>46226</v>
      </c>
      <c r="L715" t="s">
        <v>228</v>
      </c>
      <c r="M715">
        <v>0</v>
      </c>
      <c r="N715">
        <v>0</v>
      </c>
      <c r="O715">
        <v>2.0078431372549019</v>
      </c>
      <c r="P715">
        <v>0</v>
      </c>
      <c r="Q715">
        <v>0</v>
      </c>
      <c r="R715">
        <v>0.73765409376099211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0.73765409376099211</v>
      </c>
      <c r="AC715">
        <v>0.26234590623900789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J715">
        <v>0</v>
      </c>
      <c r="BK715">
        <v>0</v>
      </c>
      <c r="BL715">
        <v>1.3556489531582683</v>
      </c>
      <c r="BM715">
        <v>0.35564895315826828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1</v>
      </c>
      <c r="CF715">
        <v>1</v>
      </c>
    </row>
    <row r="716" spans="1:84" hidden="1" x14ac:dyDescent="0.25">
      <c r="A716" t="s">
        <v>128</v>
      </c>
      <c r="B716" t="s">
        <v>502</v>
      </c>
      <c r="C716" t="s">
        <v>72</v>
      </c>
      <c r="D716" s="12">
        <v>46227</v>
      </c>
      <c r="E716" t="s">
        <v>133</v>
      </c>
      <c r="F716" t="s">
        <v>133</v>
      </c>
      <c r="G716" t="s">
        <v>133</v>
      </c>
      <c r="H716" t="s">
        <v>75</v>
      </c>
      <c r="I716">
        <v>20</v>
      </c>
      <c r="J716">
        <v>8.107227252210393</v>
      </c>
      <c r="K716">
        <v>46227</v>
      </c>
      <c r="L716" t="s">
        <v>224</v>
      </c>
      <c r="M716">
        <v>24.7</v>
      </c>
      <c r="N716">
        <v>24.7</v>
      </c>
      <c r="O716">
        <v>11.981399136522423</v>
      </c>
      <c r="P716">
        <v>3.0466643195755583</v>
      </c>
      <c r="Q716">
        <v>3.0466643195755583</v>
      </c>
      <c r="R716">
        <v>1.4778664472808207</v>
      </c>
      <c r="S716">
        <v>0</v>
      </c>
      <c r="T716">
        <v>0</v>
      </c>
      <c r="U716">
        <v>1.5687978722947375</v>
      </c>
      <c r="V716">
        <v>0</v>
      </c>
      <c r="W716">
        <v>0.22786644728082073</v>
      </c>
      <c r="X716">
        <v>0</v>
      </c>
      <c r="Y716">
        <v>0.25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0.32822782397612926</v>
      </c>
      <c r="AN716">
        <v>0.32822782397612926</v>
      </c>
      <c r="AO716">
        <v>0.48507688811831673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0.51492311188168327</v>
      </c>
      <c r="BA716">
        <v>0</v>
      </c>
      <c r="BB716">
        <v>0</v>
      </c>
      <c r="BC716">
        <v>0</v>
      </c>
      <c r="BD716">
        <v>0.32822782397612926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2.0615288513933212</v>
      </c>
      <c r="BK716">
        <v>2.0615288513933212</v>
      </c>
      <c r="BL716">
        <v>0.67665112895683899</v>
      </c>
      <c r="CC716">
        <v>0</v>
      </c>
      <c r="CD716">
        <v>0</v>
      </c>
      <c r="CE716">
        <v>0</v>
      </c>
    </row>
    <row r="717" spans="1:84" hidden="1" x14ac:dyDescent="0.25">
      <c r="A717" t="s">
        <v>128</v>
      </c>
      <c r="B717" t="s">
        <v>502</v>
      </c>
      <c r="C717" t="s">
        <v>72</v>
      </c>
      <c r="D717" s="12">
        <v>46226</v>
      </c>
      <c r="E717" t="s">
        <v>133</v>
      </c>
      <c r="F717" t="s">
        <v>133</v>
      </c>
      <c r="G717" t="s">
        <v>133</v>
      </c>
      <c r="H717" t="s">
        <v>73</v>
      </c>
      <c r="I717">
        <v>20</v>
      </c>
      <c r="J717">
        <v>9.9149198152032554</v>
      </c>
      <c r="K717">
        <v>46226</v>
      </c>
      <c r="L717" t="s">
        <v>229</v>
      </c>
      <c r="M717">
        <v>41.8</v>
      </c>
      <c r="N717">
        <v>41.8</v>
      </c>
      <c r="O717">
        <v>12.378739933473383</v>
      </c>
      <c r="P717">
        <v>4.2158686887114376</v>
      </c>
      <c r="Q717">
        <v>4.2158686887114376</v>
      </c>
      <c r="R717">
        <v>1.2484962222782858</v>
      </c>
      <c r="S717">
        <v>0</v>
      </c>
      <c r="T717">
        <v>0</v>
      </c>
      <c r="U717">
        <v>2.9658686887114376</v>
      </c>
      <c r="V717">
        <v>0</v>
      </c>
      <c r="W717">
        <v>0</v>
      </c>
      <c r="X717">
        <v>0</v>
      </c>
      <c r="Y717">
        <v>0.24849622227828583</v>
      </c>
      <c r="Z717">
        <v>0</v>
      </c>
      <c r="AA717">
        <v>1.5037777217141723E-3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0.23719903864122621</v>
      </c>
      <c r="AN717">
        <v>0.23719903864122621</v>
      </c>
      <c r="AO717">
        <v>0.29614210367161209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0.70385789632838791</v>
      </c>
      <c r="BA717">
        <v>0</v>
      </c>
      <c r="BB717">
        <v>0</v>
      </c>
      <c r="BC717">
        <v>0</v>
      </c>
      <c r="BD717">
        <v>0.23719903864122621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3.3767572648463604</v>
      </c>
      <c r="BK717">
        <v>3.3767572648463604</v>
      </c>
      <c r="BL717">
        <v>0.80096357694633313</v>
      </c>
      <c r="CC717">
        <v>0</v>
      </c>
      <c r="CD717">
        <v>0</v>
      </c>
      <c r="CE717">
        <v>0</v>
      </c>
    </row>
    <row r="718" spans="1:84" hidden="1" x14ac:dyDescent="0.25">
      <c r="A718" t="s">
        <v>128</v>
      </c>
      <c r="B718" t="s">
        <v>502</v>
      </c>
      <c r="C718" t="s">
        <v>72</v>
      </c>
      <c r="D718" s="12">
        <v>46226</v>
      </c>
      <c r="E718" t="s">
        <v>133</v>
      </c>
      <c r="F718" t="s">
        <v>133</v>
      </c>
      <c r="G718" t="s">
        <v>133</v>
      </c>
      <c r="H718" t="s">
        <v>74</v>
      </c>
      <c r="I718">
        <v>20</v>
      </c>
      <c r="J718">
        <v>4.437063563709744</v>
      </c>
      <c r="K718">
        <v>46226</v>
      </c>
      <c r="L718" t="s">
        <v>228</v>
      </c>
      <c r="M718">
        <v>7.6</v>
      </c>
      <c r="N718">
        <v>7.6</v>
      </c>
      <c r="O718">
        <v>4.8971737132352935</v>
      </c>
      <c r="P718">
        <v>1.7128445177480813</v>
      </c>
      <c r="Q718">
        <v>1.7128445177480813</v>
      </c>
      <c r="R718">
        <v>1.1036969930493536</v>
      </c>
      <c r="S718">
        <v>0</v>
      </c>
      <c r="T718">
        <v>0</v>
      </c>
      <c r="U718">
        <v>0.46284451774808133</v>
      </c>
      <c r="V718">
        <v>0</v>
      </c>
      <c r="W718">
        <v>0</v>
      </c>
      <c r="X718">
        <v>0</v>
      </c>
      <c r="Y718">
        <v>0.10369699304935365</v>
      </c>
      <c r="Z718">
        <v>0</v>
      </c>
      <c r="AA718">
        <v>0.14630300695064635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0.58382415311970315</v>
      </c>
      <c r="AN718">
        <v>0.58382415311970315</v>
      </c>
      <c r="AO718">
        <v>0.64436496226780182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0.35563503773219818</v>
      </c>
      <c r="BA718">
        <v>0</v>
      </c>
      <c r="BB718">
        <v>0</v>
      </c>
      <c r="BC718">
        <v>0</v>
      </c>
      <c r="BD718">
        <v>0.58382415311970315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1.5519155425219942</v>
      </c>
      <c r="BK718">
        <v>1.5519155425219942</v>
      </c>
      <c r="BL718">
        <v>0.90604577732620806</v>
      </c>
      <c r="CC718">
        <v>0</v>
      </c>
      <c r="CD718">
        <v>0</v>
      </c>
      <c r="CE718">
        <v>0</v>
      </c>
    </row>
    <row r="719" spans="1:84" hidden="1" x14ac:dyDescent="0.25">
      <c r="A719" t="s">
        <v>128</v>
      </c>
      <c r="B719" t="s">
        <v>502</v>
      </c>
      <c r="C719" t="s">
        <v>72</v>
      </c>
      <c r="D719" s="12">
        <v>46224</v>
      </c>
      <c r="E719" t="s">
        <v>134</v>
      </c>
      <c r="F719" t="s">
        <v>134</v>
      </c>
      <c r="G719" t="s">
        <v>134</v>
      </c>
      <c r="H719" t="s">
        <v>74</v>
      </c>
      <c r="I719">
        <v>10</v>
      </c>
      <c r="J719">
        <v>2.7219304471256209</v>
      </c>
      <c r="K719">
        <v>46224</v>
      </c>
      <c r="L719" t="s">
        <v>169</v>
      </c>
      <c r="M719">
        <v>0</v>
      </c>
      <c r="N719">
        <v>0</v>
      </c>
      <c r="O719">
        <v>2.0078431372549019</v>
      </c>
      <c r="P719">
        <v>0</v>
      </c>
      <c r="Q719">
        <v>0</v>
      </c>
      <c r="R719">
        <v>0.73765409376099211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0.73765409376099211</v>
      </c>
      <c r="AC719">
        <v>0.26234590623900789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J719">
        <v>0</v>
      </c>
      <c r="BK719">
        <v>0</v>
      </c>
      <c r="BL719">
        <v>1.3556489531582683</v>
      </c>
      <c r="BM719">
        <v>0.35564895315826828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1</v>
      </c>
    </row>
    <row r="720" spans="1:84" hidden="1" x14ac:dyDescent="0.25">
      <c r="A720" t="s">
        <v>128</v>
      </c>
      <c r="B720" t="s">
        <v>502</v>
      </c>
      <c r="C720" t="s">
        <v>72</v>
      </c>
      <c r="D720" s="12">
        <v>46224</v>
      </c>
      <c r="E720" t="s">
        <v>134</v>
      </c>
      <c r="F720" t="s">
        <v>134</v>
      </c>
      <c r="G720" t="s">
        <v>134</v>
      </c>
      <c r="H720" t="s">
        <v>73</v>
      </c>
      <c r="I720">
        <v>10</v>
      </c>
      <c r="J720">
        <v>3.9027679205110006</v>
      </c>
      <c r="K720">
        <v>46224</v>
      </c>
      <c r="L720" t="s">
        <v>172</v>
      </c>
      <c r="M720">
        <v>5.6999999999999993</v>
      </c>
      <c r="N720">
        <v>5.6999999999999993</v>
      </c>
      <c r="O720">
        <v>2.0061274509803924</v>
      </c>
      <c r="P720">
        <v>1.4605019094380796</v>
      </c>
      <c r="Q720">
        <v>1.4605019094380796</v>
      </c>
      <c r="R720">
        <v>0.51402683732158083</v>
      </c>
      <c r="S720">
        <v>0</v>
      </c>
      <c r="T720">
        <v>0</v>
      </c>
      <c r="U720">
        <v>0.21050190943807956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0.25</v>
      </c>
      <c r="AB720">
        <v>0</v>
      </c>
      <c r="AC720">
        <v>0</v>
      </c>
      <c r="AD720">
        <v>0</v>
      </c>
      <c r="AE720">
        <v>0.48597316267841917</v>
      </c>
      <c r="AF720">
        <v>0</v>
      </c>
      <c r="AG720">
        <v>0.51402683732158083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0.68469612640543875</v>
      </c>
      <c r="AN720">
        <v>0.68469612640543875</v>
      </c>
      <c r="AO720">
        <v>0.35195218438252501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0.31530387359456125</v>
      </c>
      <c r="BA720">
        <v>0</v>
      </c>
      <c r="BB720">
        <v>0.33274394202291374</v>
      </c>
      <c r="BC720">
        <v>0</v>
      </c>
      <c r="BD720">
        <v>0.35195218438252501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2.8412950519242512</v>
      </c>
      <c r="BK720">
        <v>2.8412950519242512</v>
      </c>
      <c r="BL720">
        <v>1.9454237160274748</v>
      </c>
      <c r="CC720">
        <v>0</v>
      </c>
      <c r="CD720">
        <v>0</v>
      </c>
      <c r="CE720">
        <v>0</v>
      </c>
    </row>
    <row r="721" spans="1:84" hidden="1" x14ac:dyDescent="0.25">
      <c r="A721" t="s">
        <v>128</v>
      </c>
      <c r="B721" t="s">
        <v>502</v>
      </c>
      <c r="C721" t="s">
        <v>72</v>
      </c>
      <c r="D721" s="12">
        <v>46225</v>
      </c>
      <c r="E721" t="s">
        <v>134</v>
      </c>
      <c r="F721" t="s">
        <v>134</v>
      </c>
      <c r="G721" t="s">
        <v>134</v>
      </c>
      <c r="H721" t="s">
        <v>73</v>
      </c>
      <c r="I721">
        <v>10</v>
      </c>
      <c r="J721">
        <v>2.6268630234208659</v>
      </c>
      <c r="K721">
        <v>46225</v>
      </c>
      <c r="L721" t="s">
        <v>163</v>
      </c>
      <c r="M721">
        <v>3.8</v>
      </c>
      <c r="N721">
        <v>3.8</v>
      </c>
      <c r="O721">
        <v>2.0061274509803924</v>
      </c>
      <c r="P721">
        <v>1.4465923674434311</v>
      </c>
      <c r="Q721">
        <v>1.4465923674434311</v>
      </c>
      <c r="R721">
        <v>0.76369701544920576</v>
      </c>
      <c r="S721">
        <v>0</v>
      </c>
      <c r="T721">
        <v>0</v>
      </c>
      <c r="U721">
        <v>0.19659236744343112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0.25</v>
      </c>
      <c r="AB721">
        <v>0</v>
      </c>
      <c r="AC721">
        <v>0</v>
      </c>
      <c r="AD721">
        <v>0</v>
      </c>
      <c r="AE721">
        <v>0.23630298455079424</v>
      </c>
      <c r="AF721">
        <v>0</v>
      </c>
      <c r="AG721">
        <v>0.76369701544920576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0.691279743005491</v>
      </c>
      <c r="AN721">
        <v>0.691279743005491</v>
      </c>
      <c r="AO721">
        <v>0.52792827657378749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0.308720256994509</v>
      </c>
      <c r="BA721">
        <v>0</v>
      </c>
      <c r="BB721">
        <v>0.16335146643170351</v>
      </c>
      <c r="BC721">
        <v>0</v>
      </c>
      <c r="BD721">
        <v>0.52792827657378749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1.8941967012828342</v>
      </c>
      <c r="BK721">
        <v>1.8941967012828342</v>
      </c>
      <c r="BL721">
        <v>1.3094198088646465</v>
      </c>
      <c r="CC721">
        <v>0</v>
      </c>
      <c r="CD721">
        <v>0</v>
      </c>
      <c r="CE721">
        <v>0</v>
      </c>
    </row>
    <row r="722" spans="1:84" hidden="1" x14ac:dyDescent="0.25">
      <c r="A722" t="s">
        <v>128</v>
      </c>
      <c r="B722" t="s">
        <v>502</v>
      </c>
      <c r="C722" t="s">
        <v>72</v>
      </c>
      <c r="D722" s="12">
        <v>46223</v>
      </c>
      <c r="E722" t="s">
        <v>134</v>
      </c>
      <c r="F722" t="s">
        <v>134</v>
      </c>
      <c r="G722" t="s">
        <v>134</v>
      </c>
      <c r="H722" t="s">
        <v>75</v>
      </c>
      <c r="I722">
        <v>10</v>
      </c>
      <c r="J722">
        <v>2.4017033356990778</v>
      </c>
      <c r="K722">
        <v>46223</v>
      </c>
      <c r="L722" t="s">
        <v>165</v>
      </c>
      <c r="M722">
        <v>2.8499999999999996</v>
      </c>
      <c r="N722">
        <v>2.8499999999999996</v>
      </c>
      <c r="O722">
        <v>2.1049596309111882</v>
      </c>
      <c r="P722">
        <v>1.1866578014184395</v>
      </c>
      <c r="Q722">
        <v>1.1866578014184395</v>
      </c>
      <c r="R722">
        <v>0.87644447989180363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0.18665780141843946</v>
      </c>
      <c r="AB722">
        <v>0</v>
      </c>
      <c r="AC722">
        <v>0</v>
      </c>
      <c r="AD722">
        <v>0</v>
      </c>
      <c r="AE722">
        <v>0.12355552010819637</v>
      </c>
      <c r="AF722">
        <v>0</v>
      </c>
      <c r="AG722">
        <v>0.87644447989180363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0.84270292480669406</v>
      </c>
      <c r="AN722">
        <v>0.84270292480669406</v>
      </c>
      <c r="AO722">
        <v>0.73858232663550472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0.15729707519330594</v>
      </c>
      <c r="BA722">
        <v>0</v>
      </c>
      <c r="BB722">
        <v>0.10412059817118935</v>
      </c>
      <c r="BC722">
        <v>0</v>
      </c>
      <c r="BD722">
        <v>0.73858232663550472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1.3539452054794519</v>
      </c>
      <c r="BK722">
        <v>1.3539452054794519</v>
      </c>
      <c r="BL722">
        <v>1.1409735846855344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0.14097358468553445</v>
      </c>
      <c r="BT722">
        <v>0</v>
      </c>
      <c r="BU722">
        <v>0.2129716207939174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0</v>
      </c>
    </row>
    <row r="723" spans="1:84" hidden="1" x14ac:dyDescent="0.25">
      <c r="A723" t="s">
        <v>128</v>
      </c>
      <c r="B723" t="s">
        <v>502</v>
      </c>
      <c r="C723" t="s">
        <v>72</v>
      </c>
      <c r="D723" s="12">
        <v>46225</v>
      </c>
      <c r="E723" t="s">
        <v>133</v>
      </c>
      <c r="F723" t="s">
        <v>133</v>
      </c>
      <c r="G723" t="s">
        <v>133</v>
      </c>
      <c r="H723" t="s">
        <v>75</v>
      </c>
      <c r="I723">
        <v>20</v>
      </c>
      <c r="J723">
        <v>8.1072272522103948</v>
      </c>
      <c r="K723">
        <v>46225</v>
      </c>
      <c r="L723" t="s">
        <v>212</v>
      </c>
      <c r="M723">
        <v>22.799999999999997</v>
      </c>
      <c r="N723">
        <v>22.799999999999997</v>
      </c>
      <c r="O723">
        <v>11.25217305672269</v>
      </c>
      <c r="P723">
        <v>2.8123055257620528</v>
      </c>
      <c r="Q723">
        <v>2.8123055257620528</v>
      </c>
      <c r="R723">
        <v>1.3879187922917593</v>
      </c>
      <c r="S723">
        <v>0</v>
      </c>
      <c r="T723">
        <v>0</v>
      </c>
      <c r="U723">
        <v>1.4243867334702935</v>
      </c>
      <c r="V723">
        <v>0</v>
      </c>
      <c r="W723">
        <v>0.1379187922917593</v>
      </c>
      <c r="X723">
        <v>0</v>
      </c>
      <c r="Y723">
        <v>0.25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0.35558014264080684</v>
      </c>
      <c r="AN723">
        <v>0.35558014264080684</v>
      </c>
      <c r="AO723">
        <v>0.49351636213696015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0.50648363786303985</v>
      </c>
      <c r="BA723">
        <v>0</v>
      </c>
      <c r="BB723">
        <v>0</v>
      </c>
      <c r="BC723">
        <v>0</v>
      </c>
      <c r="BD723">
        <v>0.35558014264080684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2.0262752701246431</v>
      </c>
      <c r="BK723">
        <v>2.0262752701246431</v>
      </c>
      <c r="BL723">
        <v>0.72050324958045997</v>
      </c>
      <c r="CC723">
        <v>0</v>
      </c>
      <c r="CD723">
        <v>0</v>
      </c>
      <c r="CE723">
        <v>0</v>
      </c>
    </row>
    <row r="724" spans="1:84" hidden="1" x14ac:dyDescent="0.25">
      <c r="A724" t="s">
        <v>128</v>
      </c>
      <c r="B724" t="s">
        <v>502</v>
      </c>
      <c r="C724" t="s">
        <v>72</v>
      </c>
      <c r="D724" s="12">
        <v>46226</v>
      </c>
      <c r="E724" t="s">
        <v>133</v>
      </c>
      <c r="F724" t="s">
        <v>133</v>
      </c>
      <c r="G724" t="s">
        <v>133</v>
      </c>
      <c r="H724" t="s">
        <v>75</v>
      </c>
      <c r="I724">
        <v>20</v>
      </c>
      <c r="J724">
        <v>8.0524486896954635</v>
      </c>
      <c r="K724">
        <v>46226</v>
      </c>
      <c r="L724" t="s">
        <v>227</v>
      </c>
      <c r="M724">
        <v>26.6</v>
      </c>
      <c r="N724">
        <v>26.6</v>
      </c>
      <c r="O724">
        <v>10.915753019957982</v>
      </c>
      <c r="P724">
        <v>3.303342998514156</v>
      </c>
      <c r="Q724">
        <v>3.303342998514156</v>
      </c>
      <c r="R724">
        <v>1.3555818162401487</v>
      </c>
      <c r="S724">
        <v>0</v>
      </c>
      <c r="T724">
        <v>0</v>
      </c>
      <c r="U724">
        <v>1.9477611822740073</v>
      </c>
      <c r="V724">
        <v>0</v>
      </c>
      <c r="W724">
        <v>0.10558181624014873</v>
      </c>
      <c r="X724">
        <v>0</v>
      </c>
      <c r="Y724">
        <v>0.25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0.30272363495095728</v>
      </c>
      <c r="AN724">
        <v>0.30272363495095728</v>
      </c>
      <c r="AO724">
        <v>0.41036665488563845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0.58963334511436161</v>
      </c>
      <c r="BA724">
        <v>0</v>
      </c>
      <c r="BB724">
        <v>0</v>
      </c>
      <c r="BC724">
        <v>0</v>
      </c>
      <c r="BD724">
        <v>0.30272363495095728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2.4368451678382139</v>
      </c>
      <c r="BK724">
        <v>2.4368451678382139</v>
      </c>
      <c r="BL724">
        <v>0.73769062702065968</v>
      </c>
      <c r="CC724">
        <v>0</v>
      </c>
      <c r="CD724">
        <v>0</v>
      </c>
      <c r="CE724">
        <v>0</v>
      </c>
    </row>
    <row r="725" spans="1:84" hidden="1" x14ac:dyDescent="0.25">
      <c r="A725" t="s">
        <v>128</v>
      </c>
      <c r="B725" t="s">
        <v>502</v>
      </c>
      <c r="C725" t="s">
        <v>72</v>
      </c>
      <c r="D725" s="12">
        <v>46250</v>
      </c>
      <c r="E725" t="s">
        <v>501</v>
      </c>
      <c r="F725" t="s">
        <v>501</v>
      </c>
      <c r="G725" t="s">
        <v>501</v>
      </c>
      <c r="H725" t="s">
        <v>73</v>
      </c>
      <c r="I725">
        <v>0</v>
      </c>
      <c r="J725">
        <v>1.8624711255077939</v>
      </c>
      <c r="K725">
        <v>46250</v>
      </c>
      <c r="L725" t="s">
        <v>168</v>
      </c>
      <c r="M725">
        <v>0</v>
      </c>
      <c r="N725">
        <v>0</v>
      </c>
      <c r="O725">
        <v>1.7647058823529409</v>
      </c>
      <c r="P725">
        <v>0</v>
      </c>
      <c r="Q725">
        <v>0</v>
      </c>
      <c r="R725">
        <v>0.9475077804880343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0.9475077804880343</v>
      </c>
      <c r="AC725">
        <v>5.2492219511965699E-2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1</v>
      </c>
      <c r="BJ725">
        <v>0</v>
      </c>
      <c r="BK725">
        <v>0</v>
      </c>
      <c r="BL725">
        <v>1.0554003044544167</v>
      </c>
      <c r="BM725">
        <v>5.5400304454416682E-2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</v>
      </c>
      <c r="CF725">
        <v>1</v>
      </c>
    </row>
    <row r="726" spans="1:84" x14ac:dyDescent="0.25">
      <c r="A726" t="s">
        <v>128</v>
      </c>
      <c r="B726" t="s">
        <v>502</v>
      </c>
      <c r="C726" t="s">
        <v>72</v>
      </c>
      <c r="D726" s="12">
        <v>46227</v>
      </c>
      <c r="E726" t="s">
        <v>133</v>
      </c>
      <c r="F726" t="s">
        <v>133</v>
      </c>
      <c r="G726" t="s">
        <v>133</v>
      </c>
      <c r="H726" t="s">
        <v>73</v>
      </c>
      <c r="I726">
        <v>20</v>
      </c>
      <c r="J726">
        <v>9.9149198152032554</v>
      </c>
      <c r="K726">
        <v>46227</v>
      </c>
      <c r="L726" t="s">
        <v>226</v>
      </c>
      <c r="M726">
        <v>36.1</v>
      </c>
      <c r="N726">
        <v>36.1</v>
      </c>
      <c r="O726">
        <v>10.22313623366013</v>
      </c>
      <c r="P726">
        <v>3.640977503887151</v>
      </c>
      <c r="Q726">
        <v>3.640977503887151</v>
      </c>
      <c r="R726">
        <v>1.0310861231559598</v>
      </c>
      <c r="S726">
        <v>0</v>
      </c>
      <c r="T726">
        <v>0</v>
      </c>
      <c r="U726">
        <v>2.390977503887151</v>
      </c>
      <c r="V726">
        <v>0</v>
      </c>
      <c r="W726">
        <v>0</v>
      </c>
      <c r="X726">
        <v>0</v>
      </c>
      <c r="Y726">
        <v>3.1086123155959822E-2</v>
      </c>
      <c r="Z726">
        <v>0</v>
      </c>
      <c r="AA726">
        <v>0.21891387684404018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0.27465151842668295</v>
      </c>
      <c r="AN726">
        <v>0.27465151842668295</v>
      </c>
      <c r="AO726">
        <v>0.28318936935346617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0.71681063064653383</v>
      </c>
      <c r="BA726">
        <v>0</v>
      </c>
      <c r="BB726">
        <v>0</v>
      </c>
      <c r="BC726">
        <v>0</v>
      </c>
      <c r="BD726">
        <v>0.27465151842668295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3.5312059993037312</v>
      </c>
      <c r="BK726">
        <v>3.5312059993037312</v>
      </c>
      <c r="BL726">
        <v>0.96985108958618216</v>
      </c>
      <c r="CC726">
        <v>0</v>
      </c>
      <c r="CD726">
        <v>0</v>
      </c>
      <c r="CE726">
        <v>0</v>
      </c>
    </row>
    <row r="727" spans="1:84" hidden="1" x14ac:dyDescent="0.25">
      <c r="A727" t="s">
        <v>128</v>
      </c>
      <c r="B727" t="s">
        <v>502</v>
      </c>
      <c r="C727" t="s">
        <v>72</v>
      </c>
      <c r="D727" s="12">
        <v>46225</v>
      </c>
      <c r="E727" t="s">
        <v>134</v>
      </c>
      <c r="F727" t="s">
        <v>134</v>
      </c>
      <c r="G727" t="s">
        <v>134</v>
      </c>
      <c r="H727" t="s">
        <v>74</v>
      </c>
      <c r="I727">
        <v>10</v>
      </c>
      <c r="J727">
        <v>2.7219304471256209</v>
      </c>
      <c r="K727">
        <v>46225</v>
      </c>
      <c r="L727" t="s">
        <v>160</v>
      </c>
      <c r="M727">
        <v>0</v>
      </c>
      <c r="N727">
        <v>0</v>
      </c>
      <c r="O727">
        <v>2.0078431372549019</v>
      </c>
      <c r="P727">
        <v>0</v>
      </c>
      <c r="Q727">
        <v>0</v>
      </c>
      <c r="R727">
        <v>0.73765409376099211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0.73765409376099211</v>
      </c>
      <c r="AC727">
        <v>0.26234590623900789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1</v>
      </c>
      <c r="BJ727">
        <v>0</v>
      </c>
      <c r="BK727">
        <v>0</v>
      </c>
      <c r="BL727">
        <v>1.3556489531582683</v>
      </c>
      <c r="BM727">
        <v>0.35564895315826828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</v>
      </c>
      <c r="CF727">
        <v>1</v>
      </c>
    </row>
    <row r="728" spans="1:84" hidden="1" x14ac:dyDescent="0.25">
      <c r="A728" t="s">
        <v>128</v>
      </c>
      <c r="B728" t="s">
        <v>502</v>
      </c>
      <c r="C728" t="s">
        <v>72</v>
      </c>
      <c r="D728" s="12">
        <v>46225</v>
      </c>
      <c r="E728" t="s">
        <v>134</v>
      </c>
      <c r="F728" t="s">
        <v>134</v>
      </c>
      <c r="G728" t="s">
        <v>134</v>
      </c>
      <c r="H728" t="s">
        <v>75</v>
      </c>
      <c r="I728">
        <v>10</v>
      </c>
      <c r="J728">
        <v>2.4017033356990778</v>
      </c>
      <c r="K728">
        <v>46225</v>
      </c>
      <c r="L728" t="s">
        <v>212</v>
      </c>
      <c r="M728">
        <v>4.75</v>
      </c>
      <c r="N728">
        <v>4.75</v>
      </c>
      <c r="O728">
        <v>2.1049596309111882</v>
      </c>
      <c r="P728">
        <v>1.9777630023640658</v>
      </c>
      <c r="Q728">
        <v>1.9777630023640658</v>
      </c>
      <c r="R728">
        <v>0.87644447989180363</v>
      </c>
      <c r="S728">
        <v>0</v>
      </c>
      <c r="T728">
        <v>0</v>
      </c>
      <c r="U728">
        <v>0.72776300236406577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0.25</v>
      </c>
      <c r="AB728">
        <v>0</v>
      </c>
      <c r="AC728">
        <v>0</v>
      </c>
      <c r="AD728">
        <v>0</v>
      </c>
      <c r="AE728">
        <v>0.12355552010819637</v>
      </c>
      <c r="AF728">
        <v>0</v>
      </c>
      <c r="AG728">
        <v>0.87644447989180363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0.50562175488401639</v>
      </c>
      <c r="AN728">
        <v>0.50562175488401639</v>
      </c>
      <c r="AO728">
        <v>0.44314939598130276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0.49437824511598361</v>
      </c>
      <c r="BA728">
        <v>0</v>
      </c>
      <c r="BB728">
        <v>6.2472358902713632E-2</v>
      </c>
      <c r="BC728">
        <v>0</v>
      </c>
      <c r="BD728">
        <v>0.44314939598130276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2.2565753424657533</v>
      </c>
      <c r="BK728">
        <v>2.2565753424657533</v>
      </c>
      <c r="BL728">
        <v>1.1409735846855344</v>
      </c>
      <c r="CC728">
        <v>0</v>
      </c>
      <c r="CD728">
        <v>0</v>
      </c>
      <c r="CE728">
        <v>0</v>
      </c>
    </row>
    <row r="729" spans="1:84" hidden="1" x14ac:dyDescent="0.25">
      <c r="A729" t="s">
        <v>128</v>
      </c>
      <c r="B729" t="s">
        <v>502</v>
      </c>
      <c r="C729" t="s">
        <v>72</v>
      </c>
      <c r="D729" s="12">
        <v>46223</v>
      </c>
      <c r="E729" t="s">
        <v>134</v>
      </c>
      <c r="F729" t="s">
        <v>134</v>
      </c>
      <c r="G729" t="s">
        <v>134</v>
      </c>
      <c r="H729" t="s">
        <v>73</v>
      </c>
      <c r="I729">
        <v>10</v>
      </c>
      <c r="J729">
        <v>2.6268630234208663</v>
      </c>
      <c r="K729">
        <v>46223</v>
      </c>
      <c r="L729" t="s">
        <v>173</v>
      </c>
      <c r="M729">
        <v>5.6999999999999993</v>
      </c>
      <c r="N729">
        <v>5.6999999999999993</v>
      </c>
      <c r="O729">
        <v>1.7708333333333337</v>
      </c>
      <c r="P729">
        <v>2.1698885511651462</v>
      </c>
      <c r="Q729">
        <v>2.1698885511651462</v>
      </c>
      <c r="R729">
        <v>0.67412473263537098</v>
      </c>
      <c r="S729">
        <v>0</v>
      </c>
      <c r="T729">
        <v>0</v>
      </c>
      <c r="U729">
        <v>0.91988855116514623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0.25</v>
      </c>
      <c r="AB729">
        <v>0</v>
      </c>
      <c r="AC729">
        <v>0</v>
      </c>
      <c r="AD729">
        <v>0</v>
      </c>
      <c r="AE729">
        <v>0.32587526736462902</v>
      </c>
      <c r="AF729">
        <v>0</v>
      </c>
      <c r="AG729">
        <v>0.67412473263537098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0.46085316200366083</v>
      </c>
      <c r="AN729">
        <v>0.46085316200366083</v>
      </c>
      <c r="AO729">
        <v>0.31067251461988316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0.53914683799633911</v>
      </c>
      <c r="BA729">
        <v>0</v>
      </c>
      <c r="BB729">
        <v>0.15018064738377768</v>
      </c>
      <c r="BC729">
        <v>0</v>
      </c>
      <c r="BD729">
        <v>0.31067251461988316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3.2188235294117638</v>
      </c>
      <c r="BK729">
        <v>3.2188235294117638</v>
      </c>
      <c r="BL729">
        <v>1.4834050014611948</v>
      </c>
      <c r="CC729">
        <v>0</v>
      </c>
      <c r="CD729">
        <v>0</v>
      </c>
      <c r="CE729">
        <v>0</v>
      </c>
    </row>
    <row r="730" spans="1:84" hidden="1" x14ac:dyDescent="0.25">
      <c r="A730" t="s">
        <v>128</v>
      </c>
      <c r="B730" t="s">
        <v>502</v>
      </c>
      <c r="C730" t="s">
        <v>72</v>
      </c>
      <c r="D730" s="12">
        <v>46225</v>
      </c>
      <c r="E730" t="s">
        <v>133</v>
      </c>
      <c r="F730" t="s">
        <v>133</v>
      </c>
      <c r="G730" t="s">
        <v>133</v>
      </c>
      <c r="H730" t="s">
        <v>74</v>
      </c>
      <c r="I730">
        <v>20</v>
      </c>
      <c r="J730">
        <v>4.437063563709744</v>
      </c>
      <c r="K730">
        <v>46225</v>
      </c>
      <c r="L730" t="s">
        <v>160</v>
      </c>
      <c r="M730">
        <v>7.6</v>
      </c>
      <c r="N730">
        <v>7.6</v>
      </c>
      <c r="O730">
        <v>4.1695772058823524</v>
      </c>
      <c r="P730">
        <v>1.7128445177480813</v>
      </c>
      <c r="Q730">
        <v>1.7128445177480813</v>
      </c>
      <c r="R730">
        <v>0.93971545505565135</v>
      </c>
      <c r="S730">
        <v>0</v>
      </c>
      <c r="T730">
        <v>0</v>
      </c>
      <c r="U730">
        <v>0.46284451774808133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0.25</v>
      </c>
      <c r="AB730">
        <v>0</v>
      </c>
      <c r="AC730">
        <v>0</v>
      </c>
      <c r="AD730">
        <v>0</v>
      </c>
      <c r="AE730">
        <v>6.028454494434865E-2</v>
      </c>
      <c r="AF730">
        <v>0</v>
      </c>
      <c r="AG730">
        <v>0.93971545505565135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0.58382415311970315</v>
      </c>
      <c r="AN730">
        <v>0.58382415311970315</v>
      </c>
      <c r="AO730">
        <v>0.54862857972136214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0.41617584688029685</v>
      </c>
      <c r="BA730">
        <v>0</v>
      </c>
      <c r="BB730">
        <v>3.5195573398341007E-2</v>
      </c>
      <c r="BC730">
        <v>0</v>
      </c>
      <c r="BD730">
        <v>0.54862857972136214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1.8227267717403286</v>
      </c>
      <c r="BK730">
        <v>1.8227267717403286</v>
      </c>
      <c r="BL730">
        <v>1.0641519138799078</v>
      </c>
      <c r="CC730">
        <v>0</v>
      </c>
      <c r="CD730">
        <v>0</v>
      </c>
      <c r="CE730">
        <v>0</v>
      </c>
    </row>
    <row r="731" spans="1:84" hidden="1" x14ac:dyDescent="0.25">
      <c r="A731" t="s">
        <v>128</v>
      </c>
      <c r="B731" t="s">
        <v>502</v>
      </c>
      <c r="C731" t="s">
        <v>72</v>
      </c>
      <c r="D731" s="12">
        <v>46226</v>
      </c>
      <c r="E731" t="s">
        <v>134</v>
      </c>
      <c r="F731" t="s">
        <v>134</v>
      </c>
      <c r="G731" t="s">
        <v>134</v>
      </c>
      <c r="H731" t="s">
        <v>73</v>
      </c>
      <c r="I731">
        <v>10</v>
      </c>
      <c r="J731">
        <v>4.0528743789921924</v>
      </c>
      <c r="K731">
        <v>46226</v>
      </c>
      <c r="L731" t="s">
        <v>229</v>
      </c>
      <c r="M731">
        <v>2.8499999999999996</v>
      </c>
      <c r="N731">
        <v>2.8499999999999996</v>
      </c>
      <c r="O731">
        <v>2.0030637254901964</v>
      </c>
      <c r="P731">
        <v>0.70320462306277909</v>
      </c>
      <c r="Q731">
        <v>0.70320462306277909</v>
      </c>
      <c r="R731">
        <v>0.49423286738738942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0.29679537693722091</v>
      </c>
      <c r="AD731">
        <v>0</v>
      </c>
      <c r="AE731">
        <v>0.20897175567538967</v>
      </c>
      <c r="AF731">
        <v>0</v>
      </c>
      <c r="AG731">
        <v>0.49423286738738942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1.4220611856112957</v>
      </c>
      <c r="AN731">
        <v>1.4220611856112957</v>
      </c>
      <c r="AO731">
        <v>0.7028293773649813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0.42206118561129569</v>
      </c>
      <c r="AY731">
        <v>0</v>
      </c>
      <c r="AZ731">
        <v>0</v>
      </c>
      <c r="BA731">
        <v>0</v>
      </c>
      <c r="BB731">
        <v>0.2971706226350187</v>
      </c>
      <c r="BC731">
        <v>0</v>
      </c>
      <c r="BD731">
        <v>0.7028293773649813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1.4228204343836031</v>
      </c>
      <c r="BK731">
        <v>1.4228204343836031</v>
      </c>
      <c r="BL731">
        <v>2.0233377138315256</v>
      </c>
      <c r="BM731">
        <v>0.60051727944792255</v>
      </c>
      <c r="BN731">
        <v>0</v>
      </c>
      <c r="BO731">
        <v>0</v>
      </c>
      <c r="BP731">
        <v>0</v>
      </c>
      <c r="BQ731">
        <v>0</v>
      </c>
      <c r="BR731">
        <v>7.7179565616396939E-2</v>
      </c>
      <c r="BS731">
        <v>0.42282043438360306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 spans="1:84" hidden="1" x14ac:dyDescent="0.25">
      <c r="A732" t="s">
        <v>128</v>
      </c>
      <c r="B732" t="s">
        <v>502</v>
      </c>
      <c r="C732" t="s">
        <v>72</v>
      </c>
      <c r="D732" s="12">
        <v>46227</v>
      </c>
      <c r="E732" t="s">
        <v>133</v>
      </c>
      <c r="F732" t="s">
        <v>133</v>
      </c>
      <c r="G732" t="s">
        <v>133</v>
      </c>
      <c r="H732" t="s">
        <v>74</v>
      </c>
      <c r="I732">
        <v>20</v>
      </c>
      <c r="J732">
        <v>4.437063563709744</v>
      </c>
      <c r="K732">
        <v>46227</v>
      </c>
      <c r="L732" t="s">
        <v>225</v>
      </c>
      <c r="M732">
        <v>7.6</v>
      </c>
      <c r="N732">
        <v>7.6</v>
      </c>
      <c r="O732">
        <v>5.0142146298174444</v>
      </c>
      <c r="P732">
        <v>1.7128445177480813</v>
      </c>
      <c r="Q732">
        <v>1.7128445177480813</v>
      </c>
      <c r="R732">
        <v>1.1300750051967152</v>
      </c>
      <c r="S732">
        <v>0</v>
      </c>
      <c r="T732">
        <v>0</v>
      </c>
      <c r="U732">
        <v>0.46284451774808133</v>
      </c>
      <c r="V732">
        <v>0</v>
      </c>
      <c r="W732">
        <v>0</v>
      </c>
      <c r="X732">
        <v>0</v>
      </c>
      <c r="Y732">
        <v>0.13007500519671522</v>
      </c>
      <c r="Z732">
        <v>0</v>
      </c>
      <c r="AA732">
        <v>0.11992499480328478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0.58382415311970315</v>
      </c>
      <c r="AN732">
        <v>0.58382415311970315</v>
      </c>
      <c r="AO732">
        <v>0.65976508287071645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0.34023491712928355</v>
      </c>
      <c r="BA732">
        <v>0</v>
      </c>
      <c r="BB732">
        <v>0</v>
      </c>
      <c r="BC732">
        <v>0</v>
      </c>
      <c r="BD732">
        <v>0.58382415311970315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1.5156910026958095</v>
      </c>
      <c r="BK732">
        <v>1.5156910026958095</v>
      </c>
      <c r="BL732">
        <v>0.88489701604003479</v>
      </c>
      <c r="CC732">
        <v>0</v>
      </c>
      <c r="CD732">
        <v>0</v>
      </c>
      <c r="CE732">
        <v>0</v>
      </c>
    </row>
    <row r="733" spans="1:84" hidden="1" x14ac:dyDescent="0.25">
      <c r="A733" t="s">
        <v>128</v>
      </c>
      <c r="B733" t="s">
        <v>502</v>
      </c>
      <c r="C733" t="s">
        <v>72</v>
      </c>
      <c r="D733" s="12">
        <v>46250</v>
      </c>
      <c r="E733" t="s">
        <v>501</v>
      </c>
      <c r="F733" t="s">
        <v>501</v>
      </c>
      <c r="G733" t="s">
        <v>501</v>
      </c>
      <c r="H733" t="s">
        <v>75</v>
      </c>
      <c r="I733">
        <v>0</v>
      </c>
      <c r="J733">
        <v>1.4435762356877015</v>
      </c>
      <c r="K733">
        <v>46250</v>
      </c>
      <c r="L733" t="s">
        <v>171</v>
      </c>
      <c r="M733">
        <v>0</v>
      </c>
      <c r="N733">
        <v>0</v>
      </c>
      <c r="O733">
        <v>0.22145328719723184</v>
      </c>
      <c r="P733">
        <v>0</v>
      </c>
      <c r="Q733">
        <v>0</v>
      </c>
      <c r="R733">
        <v>0.15340602160282465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0.15340602160282465</v>
      </c>
      <c r="AC733">
        <v>0.84659397839717532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J733">
        <v>0</v>
      </c>
      <c r="BK733">
        <v>0</v>
      </c>
      <c r="BL733">
        <v>6.5186489392772771</v>
      </c>
      <c r="BM733">
        <v>5.5186489392772771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</row>
    <row r="734" spans="1:84" hidden="1" x14ac:dyDescent="0.25">
      <c r="A734" t="s">
        <v>128</v>
      </c>
      <c r="B734" t="s">
        <v>502</v>
      </c>
      <c r="C734" t="s">
        <v>72</v>
      </c>
      <c r="D734" s="12">
        <v>46250</v>
      </c>
      <c r="E734" t="s">
        <v>501</v>
      </c>
      <c r="F734" t="s">
        <v>501</v>
      </c>
      <c r="G734" t="s">
        <v>501</v>
      </c>
      <c r="H734" t="s">
        <v>74</v>
      </c>
      <c r="I734">
        <v>0</v>
      </c>
      <c r="J734">
        <v>0</v>
      </c>
      <c r="K734">
        <v>46250</v>
      </c>
      <c r="L734" t="s">
        <v>170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F734">
        <v>0</v>
      </c>
    </row>
    <row r="735" spans="1:84" hidden="1" x14ac:dyDescent="0.25">
      <c r="A735" t="s">
        <v>128</v>
      </c>
      <c r="B735" t="s">
        <v>502</v>
      </c>
      <c r="C735" t="s">
        <v>72</v>
      </c>
      <c r="D735" s="12">
        <v>46223</v>
      </c>
      <c r="E735" t="s">
        <v>134</v>
      </c>
      <c r="F735" t="s">
        <v>134</v>
      </c>
      <c r="G735" t="s">
        <v>134</v>
      </c>
      <c r="H735" t="s">
        <v>74</v>
      </c>
      <c r="I735">
        <v>10</v>
      </c>
      <c r="J735">
        <v>2.7219304471256209</v>
      </c>
      <c r="K735">
        <v>46223</v>
      </c>
      <c r="L735" t="s">
        <v>157</v>
      </c>
      <c r="M735">
        <v>0</v>
      </c>
      <c r="N735">
        <v>0</v>
      </c>
      <c r="O735">
        <v>2.0078431372549019</v>
      </c>
      <c r="P735">
        <v>0</v>
      </c>
      <c r="Q735">
        <v>0</v>
      </c>
      <c r="R735">
        <v>0.73765409376099211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0.73765409376099211</v>
      </c>
      <c r="AC735">
        <v>0.26234590623900789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1</v>
      </c>
      <c r="BJ735">
        <v>0</v>
      </c>
      <c r="BK735">
        <v>0</v>
      </c>
      <c r="BL735">
        <v>1.3556489531582683</v>
      </c>
      <c r="BM735">
        <v>0.35564895315826828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1</v>
      </c>
      <c r="CF735">
        <v>1</v>
      </c>
    </row>
    <row r="736" spans="1:84" hidden="1" x14ac:dyDescent="0.25">
      <c r="A736" t="s">
        <v>128</v>
      </c>
      <c r="B736" t="s">
        <v>502</v>
      </c>
      <c r="C736" t="s">
        <v>72</v>
      </c>
      <c r="D736" s="12">
        <v>46247</v>
      </c>
      <c r="E736" t="s">
        <v>501</v>
      </c>
      <c r="F736" t="s">
        <v>501</v>
      </c>
      <c r="G736" t="s">
        <v>501</v>
      </c>
      <c r="H736" t="s">
        <v>75</v>
      </c>
      <c r="I736">
        <v>0</v>
      </c>
      <c r="J736">
        <v>1.4435762356877015</v>
      </c>
      <c r="K736">
        <v>46247</v>
      </c>
      <c r="L736" t="s">
        <v>161</v>
      </c>
      <c r="M736">
        <v>0</v>
      </c>
      <c r="N736">
        <v>0</v>
      </c>
      <c r="O736">
        <v>0.92733564013840819</v>
      </c>
      <c r="P736">
        <v>0</v>
      </c>
      <c r="Q736">
        <v>0</v>
      </c>
      <c r="R736">
        <v>0.64238771546182816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0.64238771546182816</v>
      </c>
      <c r="AC736">
        <v>0.35761228453817184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J736">
        <v>0</v>
      </c>
      <c r="BK736">
        <v>0</v>
      </c>
      <c r="BL736">
        <v>1.5566922840065143</v>
      </c>
      <c r="BM736">
        <v>0.55669228400651427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 spans="1:84" hidden="1" x14ac:dyDescent="0.25">
      <c r="A737" t="s">
        <v>128</v>
      </c>
      <c r="B737" t="s">
        <v>502</v>
      </c>
      <c r="C737" t="s">
        <v>72</v>
      </c>
      <c r="D737" s="12">
        <v>46224</v>
      </c>
      <c r="E737" t="s">
        <v>134</v>
      </c>
      <c r="F737" t="s">
        <v>134</v>
      </c>
      <c r="G737" t="s">
        <v>134</v>
      </c>
      <c r="H737" t="s">
        <v>75</v>
      </c>
      <c r="I737">
        <v>10</v>
      </c>
      <c r="J737">
        <v>2.4017033356990773</v>
      </c>
      <c r="K737">
        <v>46224</v>
      </c>
      <c r="L737" t="s">
        <v>166</v>
      </c>
      <c r="M737">
        <v>0.95</v>
      </c>
      <c r="N737">
        <v>0.95</v>
      </c>
      <c r="O737">
        <v>2.1049596309111882</v>
      </c>
      <c r="P737">
        <v>0.39555260047281321</v>
      </c>
      <c r="Q737">
        <v>0.39555260047281321</v>
      </c>
      <c r="R737">
        <v>0.87644447989180385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0.48089187941899064</v>
      </c>
      <c r="AC737">
        <v>0.12355552010819615</v>
      </c>
      <c r="AD737">
        <v>0</v>
      </c>
      <c r="AE737">
        <v>0</v>
      </c>
      <c r="AF737">
        <v>0</v>
      </c>
      <c r="AG737">
        <v>0.39555260047281321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2.5281087744200814</v>
      </c>
      <c r="AN737">
        <v>2.5281087744200814</v>
      </c>
      <c r="AO737">
        <v>2.2157469799065139</v>
      </c>
      <c r="BF737">
        <v>0</v>
      </c>
      <c r="BG737">
        <v>0</v>
      </c>
      <c r="BH737">
        <v>0</v>
      </c>
      <c r="BJ737">
        <v>0.45131506849315062</v>
      </c>
      <c r="BK737">
        <v>0.45131506849315062</v>
      </c>
      <c r="BL737">
        <v>1.1409735846855342</v>
      </c>
      <c r="BM737">
        <v>0.14097358468553423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0.60444739952718685</v>
      </c>
      <c r="BW737">
        <v>0</v>
      </c>
      <c r="BX737">
        <v>0</v>
      </c>
      <c r="BY737">
        <v>0</v>
      </c>
      <c r="BZ737">
        <v>0</v>
      </c>
      <c r="CA737">
        <v>0.45131506849315062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 spans="1:84" hidden="1" x14ac:dyDescent="0.25">
      <c r="A738" t="s">
        <v>128</v>
      </c>
      <c r="B738" t="s">
        <v>502</v>
      </c>
      <c r="C738" t="s">
        <v>72</v>
      </c>
      <c r="D738" s="12">
        <v>46228</v>
      </c>
      <c r="E738" t="s">
        <v>134</v>
      </c>
      <c r="F738" t="s">
        <v>134</v>
      </c>
      <c r="G738" t="s">
        <v>134</v>
      </c>
      <c r="H738" t="s">
        <v>75</v>
      </c>
      <c r="I738">
        <v>10</v>
      </c>
      <c r="J738">
        <v>2.4017033356990769</v>
      </c>
      <c r="K738">
        <v>46228</v>
      </c>
      <c r="L738" t="s">
        <v>221</v>
      </c>
      <c r="M738">
        <v>2.8499999999999996</v>
      </c>
      <c r="N738">
        <v>2.8499999999999996</v>
      </c>
      <c r="O738">
        <v>1.8823529411764703</v>
      </c>
      <c r="P738">
        <v>1.1866578014184397</v>
      </c>
      <c r="Q738">
        <v>1.1866578014184397</v>
      </c>
      <c r="R738">
        <v>0.78375747462105416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0.18665780141843968</v>
      </c>
      <c r="AB738">
        <v>0</v>
      </c>
      <c r="AC738">
        <v>0</v>
      </c>
      <c r="AD738">
        <v>0</v>
      </c>
      <c r="AE738">
        <v>0.21624252537894584</v>
      </c>
      <c r="AF738">
        <v>0</v>
      </c>
      <c r="AG738">
        <v>0.78375747462105416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0.84270292480669373</v>
      </c>
      <c r="AN738">
        <v>0.84270292480669373</v>
      </c>
      <c r="AO738">
        <v>0.66047471620227038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0.15729707519330627</v>
      </c>
      <c r="BA738">
        <v>0</v>
      </c>
      <c r="BB738">
        <v>0.18222820860442335</v>
      </c>
      <c r="BC738">
        <v>0</v>
      </c>
      <c r="BD738">
        <v>0.66047471620227038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1.5140625000000001</v>
      </c>
      <c r="BK738">
        <v>1.5140625000000001</v>
      </c>
      <c r="BL738">
        <v>1.2759048970901348</v>
      </c>
      <c r="CC738">
        <v>0</v>
      </c>
      <c r="CD738">
        <v>0</v>
      </c>
      <c r="CE738">
        <v>0</v>
      </c>
    </row>
    <row r="739" spans="1:84" hidden="1" x14ac:dyDescent="0.25">
      <c r="A739" t="s">
        <v>128</v>
      </c>
      <c r="B739" t="s">
        <v>502</v>
      </c>
      <c r="C739" t="s">
        <v>72</v>
      </c>
      <c r="D739" s="12">
        <v>46245</v>
      </c>
      <c r="E739" t="s">
        <v>501</v>
      </c>
      <c r="F739" t="s">
        <v>501</v>
      </c>
      <c r="G739" t="s">
        <v>501</v>
      </c>
      <c r="H739" t="s">
        <v>74</v>
      </c>
      <c r="I739">
        <v>0</v>
      </c>
      <c r="J739">
        <v>0</v>
      </c>
      <c r="K739">
        <v>46245</v>
      </c>
      <c r="L739" t="s">
        <v>196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F739">
        <v>0</v>
      </c>
    </row>
    <row r="740" spans="1:84" hidden="1" x14ac:dyDescent="0.25">
      <c r="A740" t="s">
        <v>128</v>
      </c>
      <c r="B740" t="s">
        <v>502</v>
      </c>
      <c r="C740" t="s">
        <v>72</v>
      </c>
      <c r="D740" s="12">
        <v>46246</v>
      </c>
      <c r="E740" t="s">
        <v>501</v>
      </c>
      <c r="F740" t="s">
        <v>501</v>
      </c>
      <c r="G740" t="s">
        <v>501</v>
      </c>
      <c r="H740" t="s">
        <v>74</v>
      </c>
      <c r="I740">
        <v>0</v>
      </c>
      <c r="J740">
        <v>0</v>
      </c>
      <c r="K740">
        <v>46246</v>
      </c>
      <c r="L740" t="s">
        <v>193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F740">
        <v>0</v>
      </c>
    </row>
    <row r="741" spans="1:84" hidden="1" x14ac:dyDescent="0.25">
      <c r="A741" t="s">
        <v>128</v>
      </c>
      <c r="B741" t="s">
        <v>502</v>
      </c>
      <c r="C741" t="s">
        <v>72</v>
      </c>
      <c r="D741" s="12">
        <v>46246</v>
      </c>
      <c r="E741" t="s">
        <v>501</v>
      </c>
      <c r="F741" t="s">
        <v>501</v>
      </c>
      <c r="G741" t="s">
        <v>501</v>
      </c>
      <c r="H741" t="s">
        <v>75</v>
      </c>
      <c r="I741">
        <v>0</v>
      </c>
      <c r="J741">
        <v>1.5982451180828126</v>
      </c>
      <c r="K741">
        <v>46246</v>
      </c>
      <c r="L741" t="s">
        <v>201</v>
      </c>
      <c r="M741">
        <v>0</v>
      </c>
      <c r="N741">
        <v>0</v>
      </c>
      <c r="O741">
        <v>0.93425605536332179</v>
      </c>
      <c r="P741">
        <v>0</v>
      </c>
      <c r="Q741">
        <v>0</v>
      </c>
      <c r="R741">
        <v>0.58455117102689225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0.58455117102689225</v>
      </c>
      <c r="AC741">
        <v>0.41544882897310775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J741">
        <v>0</v>
      </c>
      <c r="BK741">
        <v>0</v>
      </c>
      <c r="BL741">
        <v>1.7107142189849365</v>
      </c>
      <c r="BM741">
        <v>0.71071421898493647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</row>
    <row r="742" spans="1:84" hidden="1" x14ac:dyDescent="0.25">
      <c r="A742" t="s">
        <v>128</v>
      </c>
      <c r="B742" t="s">
        <v>502</v>
      </c>
      <c r="C742" t="s">
        <v>72</v>
      </c>
      <c r="D742" s="12">
        <v>46245</v>
      </c>
      <c r="E742" t="s">
        <v>501</v>
      </c>
      <c r="F742" t="s">
        <v>501</v>
      </c>
      <c r="G742" t="s">
        <v>501</v>
      </c>
      <c r="H742" t="s">
        <v>75</v>
      </c>
      <c r="I742">
        <v>0</v>
      </c>
      <c r="J742">
        <v>1.4435762356877018</v>
      </c>
      <c r="K742">
        <v>46245</v>
      </c>
      <c r="L742" t="s">
        <v>195</v>
      </c>
      <c r="M742">
        <v>0</v>
      </c>
      <c r="N742">
        <v>0</v>
      </c>
      <c r="O742">
        <v>0.93425605536332157</v>
      </c>
      <c r="P742">
        <v>0</v>
      </c>
      <c r="Q742">
        <v>0</v>
      </c>
      <c r="R742">
        <v>0.64718165363691627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0.64718165363691627</v>
      </c>
      <c r="AC742">
        <v>0.35281834636308373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J742">
        <v>0</v>
      </c>
      <c r="BK742">
        <v>0</v>
      </c>
      <c r="BL742">
        <v>1.5451612300509108</v>
      </c>
      <c r="BM742">
        <v>0.54516123005091077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</row>
    <row r="743" spans="1:84" hidden="1" x14ac:dyDescent="0.25">
      <c r="A743" t="s">
        <v>128</v>
      </c>
      <c r="B743" t="s">
        <v>502</v>
      </c>
      <c r="C743" t="s">
        <v>72</v>
      </c>
      <c r="D743" s="12">
        <v>46231</v>
      </c>
      <c r="E743" t="s">
        <v>133</v>
      </c>
      <c r="F743" t="s">
        <v>133</v>
      </c>
      <c r="G743" t="s">
        <v>133</v>
      </c>
      <c r="H743" t="s">
        <v>74</v>
      </c>
      <c r="I743">
        <v>20</v>
      </c>
      <c r="J743">
        <v>4.437063563709744</v>
      </c>
      <c r="K743">
        <v>46231</v>
      </c>
      <c r="L743" t="s">
        <v>230</v>
      </c>
      <c r="M743">
        <v>7.6</v>
      </c>
      <c r="N743">
        <v>7.6</v>
      </c>
      <c r="O743">
        <v>4.0805070465686271</v>
      </c>
      <c r="P743">
        <v>1.7128445177480813</v>
      </c>
      <c r="Q743">
        <v>1.7128445177480813</v>
      </c>
      <c r="R743">
        <v>0.91964133215098531</v>
      </c>
      <c r="S743">
        <v>0</v>
      </c>
      <c r="T743">
        <v>0</v>
      </c>
      <c r="U743">
        <v>0.46284451774808133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0.25</v>
      </c>
      <c r="AB743">
        <v>0</v>
      </c>
      <c r="AC743">
        <v>0</v>
      </c>
      <c r="AD743">
        <v>0</v>
      </c>
      <c r="AE743">
        <v>8.0358667849014687E-2</v>
      </c>
      <c r="AF743">
        <v>0</v>
      </c>
      <c r="AG743">
        <v>0.91964133215098531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0.58382415311970315</v>
      </c>
      <c r="AN743">
        <v>0.58382415311970315</v>
      </c>
      <c r="AO743">
        <v>0.53690882191692468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0.41617584688029685</v>
      </c>
      <c r="BA743">
        <v>0</v>
      </c>
      <c r="BB743">
        <v>4.6915331202778465E-2</v>
      </c>
      <c r="BC743">
        <v>0</v>
      </c>
      <c r="BD743">
        <v>0.53690882191692468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1.8625136320720188</v>
      </c>
      <c r="BK743">
        <v>1.8625136320720188</v>
      </c>
      <c r="BL743">
        <v>1.0873804439183488</v>
      </c>
      <c r="CC743">
        <v>0</v>
      </c>
      <c r="CD743">
        <v>0</v>
      </c>
      <c r="CE743">
        <v>0</v>
      </c>
    </row>
    <row r="744" spans="1:84" hidden="1" x14ac:dyDescent="0.25">
      <c r="A744" t="s">
        <v>128</v>
      </c>
      <c r="B744" t="s">
        <v>502</v>
      </c>
      <c r="C744" t="s">
        <v>72</v>
      </c>
      <c r="D744" s="12">
        <v>46230</v>
      </c>
      <c r="E744" t="s">
        <v>133</v>
      </c>
      <c r="F744" t="s">
        <v>133</v>
      </c>
      <c r="G744" t="s">
        <v>133</v>
      </c>
      <c r="H744" t="s">
        <v>74</v>
      </c>
      <c r="I744">
        <v>20</v>
      </c>
      <c r="J744">
        <v>4.437063563709744</v>
      </c>
      <c r="K744">
        <v>46230</v>
      </c>
      <c r="L744" t="s">
        <v>216</v>
      </c>
      <c r="M744">
        <v>9.5</v>
      </c>
      <c r="N744">
        <v>9.5</v>
      </c>
      <c r="O744">
        <v>4.1979549632352944</v>
      </c>
      <c r="P744">
        <v>2.1410556471851017</v>
      </c>
      <c r="Q744">
        <v>2.1410556471851017</v>
      </c>
      <c r="R744">
        <v>0.94611107164880559</v>
      </c>
      <c r="S744">
        <v>0</v>
      </c>
      <c r="T744">
        <v>0</v>
      </c>
      <c r="U744">
        <v>0.89105564718510166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0.25</v>
      </c>
      <c r="AB744">
        <v>0</v>
      </c>
      <c r="AC744">
        <v>0</v>
      </c>
      <c r="AD744">
        <v>0</v>
      </c>
      <c r="AE744">
        <v>5.3888928351194409E-2</v>
      </c>
      <c r="AF744">
        <v>0</v>
      </c>
      <c r="AG744">
        <v>0.94611107164880559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0.46705932249576254</v>
      </c>
      <c r="AN744">
        <v>0.46705932249576254</v>
      </c>
      <c r="AO744">
        <v>0.44188999613003099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0.53294067750423746</v>
      </c>
      <c r="BA744">
        <v>0</v>
      </c>
      <c r="BB744">
        <v>2.5169326365731548E-2</v>
      </c>
      <c r="BC744">
        <v>0</v>
      </c>
      <c r="BD744">
        <v>0.44188999613003099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2.2630066504283093</v>
      </c>
      <c r="BK744">
        <v>2.2630066504283093</v>
      </c>
      <c r="BL744">
        <v>1.0569583529524511</v>
      </c>
      <c r="CC744">
        <v>0</v>
      </c>
      <c r="CD744">
        <v>0</v>
      </c>
      <c r="CE744">
        <v>0</v>
      </c>
    </row>
    <row r="745" spans="1:84" hidden="1" x14ac:dyDescent="0.25">
      <c r="A745" t="s">
        <v>128</v>
      </c>
      <c r="B745" t="s">
        <v>502</v>
      </c>
      <c r="C745" t="s">
        <v>72</v>
      </c>
      <c r="D745" s="12">
        <v>46246</v>
      </c>
      <c r="E745" t="s">
        <v>501</v>
      </c>
      <c r="F745" t="s">
        <v>501</v>
      </c>
      <c r="G745" t="s">
        <v>501</v>
      </c>
      <c r="H745" t="s">
        <v>73</v>
      </c>
      <c r="I745">
        <v>0</v>
      </c>
      <c r="J745">
        <v>1.6433568754480532</v>
      </c>
      <c r="K745">
        <v>46246</v>
      </c>
      <c r="L745" t="s">
        <v>194</v>
      </c>
      <c r="M745">
        <v>0</v>
      </c>
      <c r="N745">
        <v>0</v>
      </c>
      <c r="O745">
        <v>1.6323529411764706</v>
      </c>
      <c r="P745">
        <v>0</v>
      </c>
      <c r="Q745">
        <v>0</v>
      </c>
      <c r="R745">
        <v>0.99330398987828949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0.99330398987828949</v>
      </c>
      <c r="AC745">
        <v>6.696010121710505E-3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J745">
        <v>0</v>
      </c>
      <c r="BK745">
        <v>0</v>
      </c>
      <c r="BL745">
        <v>1.0067411489231317</v>
      </c>
      <c r="BM745">
        <v>6.7411489231317123E-3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>
        <v>1</v>
      </c>
    </row>
    <row r="746" spans="1:84" hidden="1" x14ac:dyDescent="0.25">
      <c r="A746" t="s">
        <v>128</v>
      </c>
      <c r="B746" t="s">
        <v>502</v>
      </c>
      <c r="C746" t="s">
        <v>72</v>
      </c>
      <c r="D746" s="12">
        <v>46245</v>
      </c>
      <c r="E746" t="s">
        <v>501</v>
      </c>
      <c r="F746" t="s">
        <v>501</v>
      </c>
      <c r="G746" t="s">
        <v>501</v>
      </c>
      <c r="H746" t="s">
        <v>73</v>
      </c>
      <c r="I746">
        <v>0</v>
      </c>
      <c r="J746">
        <v>1.8624711255077939</v>
      </c>
      <c r="K746">
        <v>46245</v>
      </c>
      <c r="L746" t="s">
        <v>197</v>
      </c>
      <c r="M746">
        <v>0</v>
      </c>
      <c r="N746">
        <v>0</v>
      </c>
      <c r="O746">
        <v>0.88235294117647045</v>
      </c>
      <c r="P746">
        <v>0</v>
      </c>
      <c r="Q746">
        <v>0</v>
      </c>
      <c r="R746">
        <v>0.47375389024401715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0.47375389024401715</v>
      </c>
      <c r="AC746">
        <v>0.52624610975598285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J746">
        <v>0</v>
      </c>
      <c r="BK746">
        <v>0</v>
      </c>
      <c r="BL746">
        <v>2.1108006089088334</v>
      </c>
      <c r="BM746">
        <v>1.1108006089088334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 spans="1:84" hidden="1" x14ac:dyDescent="0.25">
      <c r="A747" t="s">
        <v>128</v>
      </c>
      <c r="B747" t="s">
        <v>502</v>
      </c>
      <c r="C747" t="s">
        <v>72</v>
      </c>
      <c r="D747" s="12">
        <v>46223</v>
      </c>
      <c r="E747" t="s">
        <v>133</v>
      </c>
      <c r="F747" t="s">
        <v>133</v>
      </c>
      <c r="G747" t="s">
        <v>133</v>
      </c>
      <c r="H747" t="s">
        <v>75</v>
      </c>
      <c r="I747">
        <v>20</v>
      </c>
      <c r="J747">
        <v>8.1620058147253296</v>
      </c>
      <c r="K747">
        <v>46223</v>
      </c>
      <c r="L747" t="s">
        <v>165</v>
      </c>
      <c r="M747">
        <v>26.6</v>
      </c>
      <c r="N747">
        <v>26.6</v>
      </c>
      <c r="O747">
        <v>10.505467655812325</v>
      </c>
      <c r="P747">
        <v>3.2590028240374576</v>
      </c>
      <c r="Q747">
        <v>3.2590028240374576</v>
      </c>
      <c r="R747">
        <v>1.2871183743656593</v>
      </c>
      <c r="S747">
        <v>0</v>
      </c>
      <c r="T747">
        <v>0</v>
      </c>
      <c r="U747">
        <v>1.9718844496717982</v>
      </c>
      <c r="V747">
        <v>0</v>
      </c>
      <c r="W747">
        <v>3.7118374365659346E-2</v>
      </c>
      <c r="X747">
        <v>0</v>
      </c>
      <c r="Y747">
        <v>0.25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0.3068423238618545</v>
      </c>
      <c r="AN747">
        <v>0.3068423238618545</v>
      </c>
      <c r="AO747">
        <v>0.39494239307565132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0.60505760692434873</v>
      </c>
      <c r="BA747">
        <v>0</v>
      </c>
      <c r="BB747">
        <v>0</v>
      </c>
      <c r="BC747">
        <v>0</v>
      </c>
      <c r="BD747">
        <v>0.3068423238618545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2.5320148394615356</v>
      </c>
      <c r="BK747">
        <v>2.5320148394615356</v>
      </c>
      <c r="BL747">
        <v>0.77692931739307802</v>
      </c>
      <c r="CC747">
        <v>0</v>
      </c>
      <c r="CD747">
        <v>0</v>
      </c>
      <c r="CE747">
        <v>0</v>
      </c>
    </row>
    <row r="748" spans="1:84" hidden="1" x14ac:dyDescent="0.25">
      <c r="A748" t="s">
        <v>128</v>
      </c>
      <c r="B748" t="s">
        <v>502</v>
      </c>
      <c r="C748" t="s">
        <v>72</v>
      </c>
      <c r="D748" s="12">
        <v>46229</v>
      </c>
      <c r="E748" t="s">
        <v>134</v>
      </c>
      <c r="F748" t="s">
        <v>134</v>
      </c>
      <c r="G748" t="s">
        <v>134</v>
      </c>
      <c r="H748" t="s">
        <v>73</v>
      </c>
      <c r="I748">
        <v>10</v>
      </c>
      <c r="J748">
        <v>0</v>
      </c>
      <c r="K748">
        <v>46229</v>
      </c>
      <c r="L748" t="s">
        <v>220</v>
      </c>
      <c r="M748">
        <v>4.75</v>
      </c>
      <c r="N748">
        <v>4.75</v>
      </c>
      <c r="O748">
        <v>1.1176470588235294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0.23529411764705882</v>
      </c>
      <c r="AK748">
        <v>0</v>
      </c>
      <c r="AL748">
        <v>0</v>
      </c>
      <c r="AM748">
        <v>0</v>
      </c>
      <c r="AN748">
        <v>0</v>
      </c>
      <c r="AO748">
        <v>0.23529411764705882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0.76470588235294112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I748">
        <v>0</v>
      </c>
      <c r="BJ748">
        <v>4.25</v>
      </c>
      <c r="BK748">
        <v>4.25</v>
      </c>
      <c r="BL748">
        <v>0</v>
      </c>
      <c r="CC748">
        <v>0.76470588235294112</v>
      </c>
      <c r="CD748">
        <v>0.23529411764705882</v>
      </c>
    </row>
    <row r="749" spans="1:84" hidden="1" x14ac:dyDescent="0.25">
      <c r="A749" t="s">
        <v>128</v>
      </c>
      <c r="B749" t="s">
        <v>502</v>
      </c>
      <c r="C749" t="s">
        <v>72</v>
      </c>
      <c r="D749" s="12">
        <v>46244</v>
      </c>
      <c r="E749" t="s">
        <v>501</v>
      </c>
      <c r="F749" t="s">
        <v>501</v>
      </c>
      <c r="G749" t="s">
        <v>501</v>
      </c>
      <c r="H749" t="s">
        <v>75</v>
      </c>
      <c r="I749">
        <v>0</v>
      </c>
      <c r="J749">
        <v>1.4435762356877018</v>
      </c>
      <c r="K749">
        <v>46244</v>
      </c>
      <c r="L749" t="s">
        <v>198</v>
      </c>
      <c r="M749">
        <v>0</v>
      </c>
      <c r="N749">
        <v>0</v>
      </c>
      <c r="O749">
        <v>0.82352941176470573</v>
      </c>
      <c r="P749">
        <v>0</v>
      </c>
      <c r="Q749">
        <v>0</v>
      </c>
      <c r="R749">
        <v>0.57047864283550398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0.57047864283550398</v>
      </c>
      <c r="AC749">
        <v>0.42952135716449602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J749">
        <v>0</v>
      </c>
      <c r="BK749">
        <v>0</v>
      </c>
      <c r="BL749">
        <v>1.752914000477924</v>
      </c>
      <c r="BM749">
        <v>0.75291400047792401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</row>
    <row r="750" spans="1:84" hidden="1" x14ac:dyDescent="0.25">
      <c r="A750" t="s">
        <v>128</v>
      </c>
      <c r="B750" t="s">
        <v>502</v>
      </c>
      <c r="C750" t="s">
        <v>72</v>
      </c>
      <c r="D750" s="12">
        <v>46229</v>
      </c>
      <c r="E750" t="s">
        <v>134</v>
      </c>
      <c r="F750" t="s">
        <v>134</v>
      </c>
      <c r="G750" t="s">
        <v>134</v>
      </c>
      <c r="H750" t="s">
        <v>75</v>
      </c>
      <c r="I750">
        <v>10</v>
      </c>
      <c r="J750">
        <v>2.4017033356990769</v>
      </c>
      <c r="K750">
        <v>46229</v>
      </c>
      <c r="L750" t="s">
        <v>218</v>
      </c>
      <c r="M750">
        <v>1.9</v>
      </c>
      <c r="N750">
        <v>1.9</v>
      </c>
      <c r="O750">
        <v>1.8823529411764703</v>
      </c>
      <c r="P750">
        <v>0.79110520094562664</v>
      </c>
      <c r="Q750">
        <v>0.79110520094562664</v>
      </c>
      <c r="R750">
        <v>0.78375747462105416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0.20889479905437336</v>
      </c>
      <c r="AD750">
        <v>0</v>
      </c>
      <c r="AE750">
        <v>7.3477263245724789E-3</v>
      </c>
      <c r="AF750">
        <v>0</v>
      </c>
      <c r="AG750">
        <v>0.78375747462105416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1.2640543872100405</v>
      </c>
      <c r="AN750">
        <v>1.2640543872100405</v>
      </c>
      <c r="AO750">
        <v>0.99071207430340547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0.26405438721004049</v>
      </c>
      <c r="AY750">
        <v>0</v>
      </c>
      <c r="AZ750">
        <v>0</v>
      </c>
      <c r="BA750">
        <v>0</v>
      </c>
      <c r="BB750">
        <v>9.2879256965945345E-3</v>
      </c>
      <c r="BC750">
        <v>0</v>
      </c>
      <c r="BD750">
        <v>0.99071207430340547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1.0093750000000001</v>
      </c>
      <c r="BK750">
        <v>1.0093750000000001</v>
      </c>
      <c r="BL750">
        <v>1.2759048970901348</v>
      </c>
      <c r="BM750">
        <v>0.26652989709013464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9.3750000000001332E-3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0</v>
      </c>
      <c r="CD750">
        <v>0</v>
      </c>
      <c r="CE750">
        <v>0</v>
      </c>
      <c r="CF750">
        <v>0</v>
      </c>
    </row>
    <row r="751" spans="1:84" hidden="1" x14ac:dyDescent="0.25">
      <c r="A751" t="s">
        <v>128</v>
      </c>
      <c r="B751" t="s">
        <v>502</v>
      </c>
      <c r="C751" t="s">
        <v>72</v>
      </c>
      <c r="D751" s="12">
        <v>46247</v>
      </c>
      <c r="E751" t="s">
        <v>501</v>
      </c>
      <c r="F751" t="s">
        <v>501</v>
      </c>
      <c r="G751" t="s">
        <v>501</v>
      </c>
      <c r="H751" t="s">
        <v>73</v>
      </c>
      <c r="I751">
        <v>0</v>
      </c>
      <c r="J751">
        <v>1.8624711255077939</v>
      </c>
      <c r="K751">
        <v>46247</v>
      </c>
      <c r="L751" t="s">
        <v>174</v>
      </c>
      <c r="M751">
        <v>0</v>
      </c>
      <c r="N751">
        <v>0</v>
      </c>
      <c r="O751">
        <v>1.7647058823529409</v>
      </c>
      <c r="P751">
        <v>0</v>
      </c>
      <c r="Q751">
        <v>0</v>
      </c>
      <c r="R751">
        <v>0.9475077804880343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0.9475077804880343</v>
      </c>
      <c r="AC751">
        <v>5.2492219511965699E-2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</v>
      </c>
      <c r="BJ751">
        <v>0</v>
      </c>
      <c r="BK751">
        <v>0</v>
      </c>
      <c r="BL751">
        <v>1.0554003044544167</v>
      </c>
      <c r="BM751">
        <v>5.5400304454416682E-2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1</v>
      </c>
      <c r="CF751">
        <v>1</v>
      </c>
    </row>
    <row r="752" spans="1:84" hidden="1" x14ac:dyDescent="0.25">
      <c r="A752" t="s">
        <v>128</v>
      </c>
      <c r="B752" t="s">
        <v>502</v>
      </c>
      <c r="C752" t="s">
        <v>72</v>
      </c>
      <c r="D752" s="12">
        <v>46231</v>
      </c>
      <c r="E752" t="s">
        <v>133</v>
      </c>
      <c r="F752" t="s">
        <v>133</v>
      </c>
      <c r="G752" t="s">
        <v>133</v>
      </c>
      <c r="H752" t="s">
        <v>75</v>
      </c>
      <c r="I752">
        <v>20</v>
      </c>
      <c r="J752">
        <v>8.216784377240268</v>
      </c>
      <c r="K752">
        <v>46231</v>
      </c>
      <c r="L752" t="s">
        <v>231</v>
      </c>
      <c r="M752">
        <v>20.9</v>
      </c>
      <c r="N752">
        <v>20.9</v>
      </c>
      <c r="O752">
        <v>10.297909007352942</v>
      </c>
      <c r="P752">
        <v>2.5435741088559003</v>
      </c>
      <c r="Q752">
        <v>2.5435741088559003</v>
      </c>
      <c r="R752">
        <v>1.2532772596390866</v>
      </c>
      <c r="S752">
        <v>0</v>
      </c>
      <c r="T752">
        <v>0</v>
      </c>
      <c r="U752">
        <v>1.2902968492168136</v>
      </c>
      <c r="V752">
        <v>0</v>
      </c>
      <c r="W752">
        <v>3.2772596390866493E-3</v>
      </c>
      <c r="X752">
        <v>0</v>
      </c>
      <c r="Y752">
        <v>0.25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0.39314757785838605</v>
      </c>
      <c r="AN752">
        <v>0.39314757785838605</v>
      </c>
      <c r="AO752">
        <v>0.49272291901210252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0.50727708098789748</v>
      </c>
      <c r="BA752">
        <v>0</v>
      </c>
      <c r="BB752">
        <v>0</v>
      </c>
      <c r="BC752">
        <v>0</v>
      </c>
      <c r="BD752">
        <v>0.39314757785838605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2.0295382281079508</v>
      </c>
      <c r="BK752">
        <v>2.0295382281079508</v>
      </c>
      <c r="BL752">
        <v>0.7979080385516415</v>
      </c>
      <c r="CC752">
        <v>0</v>
      </c>
      <c r="CD752">
        <v>0</v>
      </c>
      <c r="CE752">
        <v>0</v>
      </c>
    </row>
    <row r="753" spans="1:84" hidden="1" x14ac:dyDescent="0.25">
      <c r="A753" t="s">
        <v>128</v>
      </c>
      <c r="B753" t="s">
        <v>502</v>
      </c>
      <c r="C753" t="s">
        <v>72</v>
      </c>
      <c r="D753" s="12">
        <v>46247</v>
      </c>
      <c r="E753" t="s">
        <v>501</v>
      </c>
      <c r="F753" t="s">
        <v>501</v>
      </c>
      <c r="G753" t="s">
        <v>501</v>
      </c>
      <c r="H753" t="s">
        <v>74</v>
      </c>
      <c r="I753">
        <v>0</v>
      </c>
      <c r="J753">
        <v>0</v>
      </c>
      <c r="K753">
        <v>46247</v>
      </c>
      <c r="L753" t="s">
        <v>162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F753">
        <v>0</v>
      </c>
    </row>
    <row r="754" spans="1:84" hidden="1" x14ac:dyDescent="0.25">
      <c r="A754" t="s">
        <v>128</v>
      </c>
      <c r="B754" t="s">
        <v>502</v>
      </c>
      <c r="C754" t="s">
        <v>72</v>
      </c>
      <c r="D754" s="12">
        <v>46230</v>
      </c>
      <c r="E754" t="s">
        <v>133</v>
      </c>
      <c r="F754" t="s">
        <v>133</v>
      </c>
      <c r="G754" t="s">
        <v>133</v>
      </c>
      <c r="H754" t="s">
        <v>75</v>
      </c>
      <c r="I754">
        <v>20</v>
      </c>
      <c r="J754">
        <v>8.216784377240268</v>
      </c>
      <c r="K754">
        <v>46230</v>
      </c>
      <c r="L754" t="s">
        <v>215</v>
      </c>
      <c r="M754">
        <v>20.9</v>
      </c>
      <c r="N754">
        <v>20.9</v>
      </c>
      <c r="O754">
        <v>11.812354473039218</v>
      </c>
      <c r="P754">
        <v>2.5435741088559003</v>
      </c>
      <c r="Q754">
        <v>2.5435741088559003</v>
      </c>
      <c r="R754">
        <v>1.4375884690072123</v>
      </c>
      <c r="S754">
        <v>0</v>
      </c>
      <c r="T754">
        <v>0</v>
      </c>
      <c r="U754">
        <v>1.105985639848688</v>
      </c>
      <c r="V754">
        <v>0</v>
      </c>
      <c r="W754">
        <v>0.18758846900721227</v>
      </c>
      <c r="X754">
        <v>0</v>
      </c>
      <c r="Y754">
        <v>0.25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0.39314757785838605</v>
      </c>
      <c r="AN754">
        <v>0.39314757785838605</v>
      </c>
      <c r="AO754">
        <v>0.56518442454733098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0.43481557545266902</v>
      </c>
      <c r="BA754">
        <v>0</v>
      </c>
      <c r="BB754">
        <v>0</v>
      </c>
      <c r="BC754">
        <v>0</v>
      </c>
      <c r="BD754">
        <v>0.39314757785838605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1.7693339670514143</v>
      </c>
      <c r="BK754">
        <v>1.7693339670514143</v>
      </c>
      <c r="BL754">
        <v>0.69560936356883296</v>
      </c>
      <c r="CC754">
        <v>0</v>
      </c>
      <c r="CD754">
        <v>0</v>
      </c>
      <c r="CE754">
        <v>0</v>
      </c>
    </row>
    <row r="755" spans="1:84" hidden="1" x14ac:dyDescent="0.25">
      <c r="A755" t="s">
        <v>128</v>
      </c>
      <c r="B755" t="s">
        <v>502</v>
      </c>
      <c r="C755" t="s">
        <v>72</v>
      </c>
      <c r="D755" s="12">
        <v>46231</v>
      </c>
      <c r="E755" t="s">
        <v>133</v>
      </c>
      <c r="F755" t="s">
        <v>133</v>
      </c>
      <c r="G755" t="s">
        <v>133</v>
      </c>
      <c r="H755" t="s">
        <v>73</v>
      </c>
      <c r="I755">
        <v>20</v>
      </c>
      <c r="J755">
        <v>9.9149198152032554</v>
      </c>
      <c r="K755">
        <v>46231</v>
      </c>
      <c r="L755" t="s">
        <v>214</v>
      </c>
      <c r="M755">
        <v>34.199999999999996</v>
      </c>
      <c r="N755">
        <v>34.199999999999996</v>
      </c>
      <c r="O755">
        <v>13.621583946078427</v>
      </c>
      <c r="P755">
        <v>3.4493471089457213</v>
      </c>
      <c r="Q755">
        <v>3.4493471089457213</v>
      </c>
      <c r="R755">
        <v>1.3738471112183357</v>
      </c>
      <c r="S755">
        <v>0</v>
      </c>
      <c r="T755">
        <v>0</v>
      </c>
      <c r="U755">
        <v>2.0754999977273858</v>
      </c>
      <c r="V755">
        <v>0</v>
      </c>
      <c r="W755">
        <v>0.12384711121833569</v>
      </c>
      <c r="X755">
        <v>0</v>
      </c>
      <c r="Y755">
        <v>0.25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0.28990993611705429</v>
      </c>
      <c r="AN755">
        <v>0.28990993611705429</v>
      </c>
      <c r="AO755">
        <v>0.39829192824790727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0.60170807175209273</v>
      </c>
      <c r="BA755">
        <v>0</v>
      </c>
      <c r="BB755">
        <v>0</v>
      </c>
      <c r="BC755">
        <v>0</v>
      </c>
      <c r="BD755">
        <v>0.28990993611705429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2.5107212300259669</v>
      </c>
      <c r="BK755">
        <v>2.5107212300259669</v>
      </c>
      <c r="BL755">
        <v>0.72788303140456012</v>
      </c>
      <c r="CC755">
        <v>0</v>
      </c>
      <c r="CD755">
        <v>0</v>
      </c>
      <c r="CE755">
        <v>0</v>
      </c>
    </row>
    <row r="756" spans="1:84" hidden="1" x14ac:dyDescent="0.25">
      <c r="A756" t="s">
        <v>128</v>
      </c>
      <c r="B756" t="s">
        <v>502</v>
      </c>
      <c r="C756" t="s">
        <v>72</v>
      </c>
      <c r="D756" s="12">
        <v>46223</v>
      </c>
      <c r="E756" t="s">
        <v>133</v>
      </c>
      <c r="F756" t="s">
        <v>133</v>
      </c>
      <c r="G756" t="s">
        <v>133</v>
      </c>
      <c r="H756" t="s">
        <v>73</v>
      </c>
      <c r="I756">
        <v>20</v>
      </c>
      <c r="J756">
        <v>9.9149198152032554</v>
      </c>
      <c r="K756">
        <v>46223</v>
      </c>
      <c r="L756" t="s">
        <v>173</v>
      </c>
      <c r="M756">
        <v>36.1</v>
      </c>
      <c r="N756">
        <v>36.1</v>
      </c>
      <c r="O756">
        <v>13.601002275910368</v>
      </c>
      <c r="P756">
        <v>3.640977503887151</v>
      </c>
      <c r="Q756">
        <v>3.640977503887151</v>
      </c>
      <c r="R756">
        <v>1.3717712830168307</v>
      </c>
      <c r="S756">
        <v>0</v>
      </c>
      <c r="T756">
        <v>0</v>
      </c>
      <c r="U756">
        <v>2.2692062208703203</v>
      </c>
      <c r="V756">
        <v>0</v>
      </c>
      <c r="W756">
        <v>0.12177128301683071</v>
      </c>
      <c r="X756">
        <v>0</v>
      </c>
      <c r="Y756">
        <v>0.25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0.27465151842668295</v>
      </c>
      <c r="AN756">
        <v>0.27465151842668295</v>
      </c>
      <c r="AO756">
        <v>0.3767590658146916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0.62324093418530846</v>
      </c>
      <c r="BA756">
        <v>0</v>
      </c>
      <c r="BB756">
        <v>0</v>
      </c>
      <c r="BC756">
        <v>0</v>
      </c>
      <c r="BD756">
        <v>0.27465151842668295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2.6542161575797318</v>
      </c>
      <c r="BK756">
        <v>2.6542161575797318</v>
      </c>
      <c r="BL756">
        <v>0.72898449791190933</v>
      </c>
      <c r="CC756">
        <v>0</v>
      </c>
      <c r="CD756">
        <v>0</v>
      </c>
      <c r="CE756">
        <v>0</v>
      </c>
    </row>
    <row r="757" spans="1:84" hidden="1" x14ac:dyDescent="0.25">
      <c r="A757" t="s">
        <v>128</v>
      </c>
      <c r="B757" t="s">
        <v>502</v>
      </c>
      <c r="C757" t="s">
        <v>72</v>
      </c>
      <c r="D757" s="12">
        <v>46223</v>
      </c>
      <c r="E757" t="s">
        <v>133</v>
      </c>
      <c r="F757" t="s">
        <v>133</v>
      </c>
      <c r="G757" t="s">
        <v>133</v>
      </c>
      <c r="H757" t="s">
        <v>74</v>
      </c>
      <c r="I757">
        <v>20</v>
      </c>
      <c r="J757">
        <v>4.437063563709744</v>
      </c>
      <c r="K757">
        <v>46223</v>
      </c>
      <c r="L757" t="s">
        <v>157</v>
      </c>
      <c r="M757">
        <v>9.5</v>
      </c>
      <c r="N757">
        <v>9.5</v>
      </c>
      <c r="O757">
        <v>4.1398207720588234</v>
      </c>
      <c r="P757">
        <v>2.1410556471851017</v>
      </c>
      <c r="Q757">
        <v>2.1410556471851017</v>
      </c>
      <c r="R757">
        <v>0.93300912024744542</v>
      </c>
      <c r="S757">
        <v>0</v>
      </c>
      <c r="T757">
        <v>0</v>
      </c>
      <c r="U757">
        <v>0.89105564718510166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0.25</v>
      </c>
      <c r="AB757">
        <v>0</v>
      </c>
      <c r="AC757">
        <v>0</v>
      </c>
      <c r="AD757">
        <v>0</v>
      </c>
      <c r="AE757">
        <v>6.6990879752554577E-2</v>
      </c>
      <c r="AF757">
        <v>0</v>
      </c>
      <c r="AG757">
        <v>0.93300912024744542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0.46705932249576254</v>
      </c>
      <c r="AN757">
        <v>0.46705932249576254</v>
      </c>
      <c r="AO757">
        <v>0.4357706075851393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0.53294067750423746</v>
      </c>
      <c r="BA757">
        <v>0</v>
      </c>
      <c r="BB757">
        <v>3.1288714910623239E-2</v>
      </c>
      <c r="BC757">
        <v>0</v>
      </c>
      <c r="BD757">
        <v>0.4357706075851393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2.29478533566453</v>
      </c>
      <c r="BK757">
        <v>2.29478533566453</v>
      </c>
      <c r="BL757">
        <v>1.0718008841486864</v>
      </c>
      <c r="CC757">
        <v>0</v>
      </c>
      <c r="CD757">
        <v>0</v>
      </c>
      <c r="CE757">
        <v>0</v>
      </c>
    </row>
    <row r="758" spans="1:84" hidden="1" x14ac:dyDescent="0.25">
      <c r="A758" t="s">
        <v>128</v>
      </c>
      <c r="B758" t="s">
        <v>502</v>
      </c>
      <c r="C758" t="s">
        <v>72</v>
      </c>
      <c r="D758" s="12">
        <v>46230</v>
      </c>
      <c r="E758" t="s">
        <v>133</v>
      </c>
      <c r="F758" t="s">
        <v>133</v>
      </c>
      <c r="G758" t="s">
        <v>133</v>
      </c>
      <c r="H758" t="s">
        <v>73</v>
      </c>
      <c r="I758">
        <v>20</v>
      </c>
      <c r="J758">
        <v>9.9149198152032554</v>
      </c>
      <c r="K758">
        <v>46230</v>
      </c>
      <c r="L758" t="s">
        <v>217</v>
      </c>
      <c r="M758">
        <v>36.1</v>
      </c>
      <c r="N758">
        <v>36.1</v>
      </c>
      <c r="O758">
        <v>12.735523897058822</v>
      </c>
      <c r="P758">
        <v>3.640977503887151</v>
      </c>
      <c r="Q758">
        <v>3.640977503887151</v>
      </c>
      <c r="R758">
        <v>1.284480775883889</v>
      </c>
      <c r="S758">
        <v>0</v>
      </c>
      <c r="T758">
        <v>0</v>
      </c>
      <c r="U758">
        <v>2.356496728003262</v>
      </c>
      <c r="V758">
        <v>0</v>
      </c>
      <c r="W758">
        <v>3.4480775883888981E-2</v>
      </c>
      <c r="X758">
        <v>0</v>
      </c>
      <c r="Y758">
        <v>0.25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0.27465151842668295</v>
      </c>
      <c r="AN758">
        <v>0.27465151842668295</v>
      </c>
      <c r="AO758">
        <v>0.35278459548639396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0.64721540451360604</v>
      </c>
      <c r="BA758">
        <v>0</v>
      </c>
      <c r="BB758">
        <v>0</v>
      </c>
      <c r="BC758">
        <v>0</v>
      </c>
      <c r="BD758">
        <v>0.27465151842668295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2.8345908885881825</v>
      </c>
      <c r="BK758">
        <v>2.8345908885881825</v>
      </c>
      <c r="BL758">
        <v>0.77852469166918481</v>
      </c>
      <c r="CC758">
        <v>0</v>
      </c>
      <c r="CD758">
        <v>0</v>
      </c>
      <c r="CE758">
        <v>0</v>
      </c>
    </row>
    <row r="759" spans="1:84" hidden="1" x14ac:dyDescent="0.25">
      <c r="A759" t="s">
        <v>128</v>
      </c>
      <c r="B759" t="s">
        <v>502</v>
      </c>
      <c r="C759" t="s">
        <v>72</v>
      </c>
      <c r="D759" s="12">
        <v>46228</v>
      </c>
      <c r="E759" t="s">
        <v>134</v>
      </c>
      <c r="F759" t="s">
        <v>134</v>
      </c>
      <c r="G759" t="s">
        <v>134</v>
      </c>
      <c r="H759" t="s">
        <v>74</v>
      </c>
      <c r="I759">
        <v>10</v>
      </c>
      <c r="J759">
        <v>2.7219304471256209</v>
      </c>
      <c r="K759">
        <v>46228</v>
      </c>
      <c r="L759" t="s">
        <v>222</v>
      </c>
      <c r="M759">
        <v>0</v>
      </c>
      <c r="N759">
        <v>0</v>
      </c>
      <c r="O759">
        <v>2.0078431372549019</v>
      </c>
      <c r="P759">
        <v>0</v>
      </c>
      <c r="Q759">
        <v>0</v>
      </c>
      <c r="R759">
        <v>0.73765409376099211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0.73765409376099211</v>
      </c>
      <c r="AC759">
        <v>0.26234590623900789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</v>
      </c>
      <c r="BJ759">
        <v>0</v>
      </c>
      <c r="BK759">
        <v>0</v>
      </c>
      <c r="BL759">
        <v>1.3556489531582683</v>
      </c>
      <c r="BM759">
        <v>0.35564895315826828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1</v>
      </c>
    </row>
    <row r="760" spans="1:84" hidden="1" x14ac:dyDescent="0.25">
      <c r="A760" t="s">
        <v>128</v>
      </c>
      <c r="B760" t="s">
        <v>502</v>
      </c>
      <c r="C760" t="s">
        <v>117</v>
      </c>
      <c r="D760" s="12">
        <v>46250</v>
      </c>
      <c r="J760">
        <v>30.943670337658524</v>
      </c>
      <c r="M760">
        <v>47.5</v>
      </c>
      <c r="N760">
        <v>47.5</v>
      </c>
      <c r="O760">
        <v>33.431502306805072</v>
      </c>
      <c r="S760">
        <v>0</v>
      </c>
      <c r="T760">
        <v>0</v>
      </c>
      <c r="U760">
        <v>0.614793779741583</v>
      </c>
      <c r="V760">
        <v>0</v>
      </c>
      <c r="W760">
        <v>1.0778859079932094E-2</v>
      </c>
      <c r="X760">
        <v>0</v>
      </c>
      <c r="Y760">
        <v>0.11601640352299022</v>
      </c>
      <c r="Z760">
        <v>0</v>
      </c>
      <c r="AA760">
        <v>6.5878544199474573E-2</v>
      </c>
      <c r="AB760">
        <v>0.18990492025860312</v>
      </c>
      <c r="AC760">
        <v>8.2515288851537583E-2</v>
      </c>
      <c r="AD760">
        <v>0</v>
      </c>
      <c r="AE760">
        <v>0</v>
      </c>
      <c r="AF760">
        <v>0</v>
      </c>
      <c r="AG760">
        <v>0.72757979088985913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84" hidden="1" x14ac:dyDescent="0.25">
      <c r="A761" t="s">
        <v>128</v>
      </c>
      <c r="B761" t="s">
        <v>503</v>
      </c>
      <c r="C761" t="s">
        <v>72</v>
      </c>
      <c r="D761" s="12">
        <v>46225</v>
      </c>
      <c r="E761" t="s">
        <v>133</v>
      </c>
      <c r="F761" t="s">
        <v>133</v>
      </c>
      <c r="G761" t="s">
        <v>133</v>
      </c>
      <c r="H761" t="s">
        <v>75</v>
      </c>
      <c r="I761">
        <v>20</v>
      </c>
      <c r="J761">
        <v>6.6721453955500643</v>
      </c>
      <c r="K761">
        <v>46225</v>
      </c>
      <c r="L761" t="s">
        <v>212</v>
      </c>
      <c r="M761">
        <v>22.799999999999997</v>
      </c>
      <c r="N761">
        <v>22.799999999999997</v>
      </c>
      <c r="O761">
        <v>6.6307438192668346</v>
      </c>
      <c r="P761">
        <v>3.4171917199535669</v>
      </c>
      <c r="Q761">
        <v>3.4171917199535669</v>
      </c>
      <c r="R761">
        <v>0.99379486299701414</v>
      </c>
      <c r="S761">
        <v>0</v>
      </c>
      <c r="T761">
        <v>0</v>
      </c>
      <c r="U761">
        <v>2.1671917199535669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0.25</v>
      </c>
      <c r="AB761">
        <v>0</v>
      </c>
      <c r="AC761">
        <v>0</v>
      </c>
      <c r="AD761">
        <v>0</v>
      </c>
      <c r="AE761">
        <v>6.205137002985861E-3</v>
      </c>
      <c r="AF761">
        <v>0</v>
      </c>
      <c r="AG761">
        <v>0.99379486299701414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0.29263795594517827</v>
      </c>
      <c r="AN761">
        <v>0.29263795594517827</v>
      </c>
      <c r="AO761">
        <v>0.29082209733626474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0.70736204405482173</v>
      </c>
      <c r="BA761">
        <v>0</v>
      </c>
      <c r="BB761">
        <v>1.8158586089135342E-3</v>
      </c>
      <c r="BC761">
        <v>0</v>
      </c>
      <c r="BD761">
        <v>0.29082209733626474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3.4385282588886095</v>
      </c>
      <c r="BK761">
        <v>3.4385282588886095</v>
      </c>
      <c r="BL761">
        <v>1.0062438811408956</v>
      </c>
      <c r="CC761">
        <v>0</v>
      </c>
      <c r="CD761">
        <v>0</v>
      </c>
      <c r="CE761">
        <v>0</v>
      </c>
    </row>
    <row r="762" spans="1:84" hidden="1" x14ac:dyDescent="0.25">
      <c r="A762" t="s">
        <v>128</v>
      </c>
      <c r="B762" t="s">
        <v>503</v>
      </c>
      <c r="C762" t="s">
        <v>109</v>
      </c>
      <c r="D762" s="12">
        <v>46239</v>
      </c>
      <c r="E762" t="s">
        <v>134</v>
      </c>
      <c r="F762" t="s">
        <v>134</v>
      </c>
      <c r="G762" t="s">
        <v>134</v>
      </c>
      <c r="J762">
        <v>7.1997319034852563</v>
      </c>
      <c r="M762">
        <v>0</v>
      </c>
      <c r="N762">
        <v>0</v>
      </c>
      <c r="O762">
        <v>4.6157128914914392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0.64109510650765456</v>
      </c>
      <c r="AC762">
        <v>0.35890489349234533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84" hidden="1" x14ac:dyDescent="0.25">
      <c r="A763" t="s">
        <v>128</v>
      </c>
      <c r="B763" t="s">
        <v>503</v>
      </c>
      <c r="C763" t="s">
        <v>117</v>
      </c>
      <c r="D763" s="12">
        <v>46242</v>
      </c>
      <c r="J763">
        <v>27.328541674261082</v>
      </c>
      <c r="M763">
        <v>58.9</v>
      </c>
      <c r="N763">
        <v>58.9</v>
      </c>
      <c r="O763">
        <v>24.361620530565165</v>
      </c>
      <c r="S763">
        <v>8.9863665476746565E-3</v>
      </c>
      <c r="T763">
        <v>0</v>
      </c>
      <c r="U763">
        <v>1.2140640197116588</v>
      </c>
      <c r="V763">
        <v>0</v>
      </c>
      <c r="W763">
        <v>0</v>
      </c>
      <c r="X763">
        <v>0</v>
      </c>
      <c r="Y763">
        <v>1.3312678035617751E-2</v>
      </c>
      <c r="Z763">
        <v>0</v>
      </c>
      <c r="AA763">
        <v>0.17492569303205077</v>
      </c>
      <c r="AB763">
        <v>7.2693982512657518E-2</v>
      </c>
      <c r="AC763">
        <v>0.12307008472249743</v>
      </c>
      <c r="AD763">
        <v>0</v>
      </c>
      <c r="AE763">
        <v>7.7938872930649683E-3</v>
      </c>
      <c r="AF763">
        <v>0</v>
      </c>
      <c r="AG763">
        <v>0.74515959697760925</v>
      </c>
      <c r="AH763">
        <v>0</v>
      </c>
      <c r="AI763">
        <v>0</v>
      </c>
      <c r="AJ763">
        <v>0</v>
      </c>
      <c r="AK763">
        <v>5.128244849417099E-2</v>
      </c>
      <c r="AL763">
        <v>0</v>
      </c>
    </row>
    <row r="764" spans="1:84" hidden="1" x14ac:dyDescent="0.25">
      <c r="A764" t="s">
        <v>128</v>
      </c>
      <c r="B764" t="s">
        <v>503</v>
      </c>
      <c r="C764" t="s">
        <v>109</v>
      </c>
      <c r="D764" s="12">
        <v>46243</v>
      </c>
      <c r="E764" t="s">
        <v>134</v>
      </c>
      <c r="F764" t="s">
        <v>134</v>
      </c>
      <c r="G764" t="s">
        <v>134</v>
      </c>
      <c r="J764">
        <v>5.798257372654156</v>
      </c>
      <c r="M764">
        <v>0</v>
      </c>
      <c r="N764">
        <v>0</v>
      </c>
      <c r="O764">
        <v>3.636274509803922</v>
      </c>
      <c r="S764">
        <v>4.9963622022615478E-2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0.33546252161713147</v>
      </c>
      <c r="AC764">
        <v>0.42283131724542777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0.24170616113744081</v>
      </c>
      <c r="AL764">
        <v>0</v>
      </c>
    </row>
    <row r="765" spans="1:84" hidden="1" x14ac:dyDescent="0.25">
      <c r="A765" t="s">
        <v>128</v>
      </c>
      <c r="B765" t="s">
        <v>503</v>
      </c>
      <c r="C765" t="s">
        <v>72</v>
      </c>
      <c r="D765" s="12">
        <v>46244</v>
      </c>
      <c r="E765" t="s">
        <v>133</v>
      </c>
      <c r="F765" t="s">
        <v>133</v>
      </c>
      <c r="G765" t="s">
        <v>133</v>
      </c>
      <c r="H765" t="s">
        <v>73</v>
      </c>
      <c r="I765">
        <v>20</v>
      </c>
      <c r="J765">
        <v>10.316594561186651</v>
      </c>
      <c r="K765">
        <v>46244</v>
      </c>
      <c r="L765" t="s">
        <v>200</v>
      </c>
      <c r="M765">
        <v>22.799999999999997</v>
      </c>
      <c r="N765">
        <v>22.799999999999997</v>
      </c>
      <c r="O765">
        <v>8.5892156862745086</v>
      </c>
      <c r="P765">
        <v>2.2100316014917096</v>
      </c>
      <c r="Q765">
        <v>2.2100316014917096</v>
      </c>
      <c r="R765">
        <v>0.83256307450416533</v>
      </c>
      <c r="S765">
        <v>0</v>
      </c>
      <c r="T765">
        <v>0</v>
      </c>
      <c r="U765">
        <v>0.96003160149170963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0.25</v>
      </c>
      <c r="AB765">
        <v>0</v>
      </c>
      <c r="AC765">
        <v>0</v>
      </c>
      <c r="AD765">
        <v>0</v>
      </c>
      <c r="AE765">
        <v>0.16743692549583467</v>
      </c>
      <c r="AF765">
        <v>0</v>
      </c>
      <c r="AG765">
        <v>0.83256307450416533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0.45248221759590579</v>
      </c>
      <c r="AN765">
        <v>0.45248221759590579</v>
      </c>
      <c r="AO765">
        <v>0.37671998624011005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0.54751778240409421</v>
      </c>
      <c r="BA765">
        <v>0</v>
      </c>
      <c r="BB765">
        <v>7.5762231355795739E-2</v>
      </c>
      <c r="BC765">
        <v>0</v>
      </c>
      <c r="BD765">
        <v>0.37671998624011005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2.6544914964045199</v>
      </c>
      <c r="BK765">
        <v>2.6544914964045199</v>
      </c>
      <c r="BL765">
        <v>1.2011101988825916</v>
      </c>
      <c r="CC765">
        <v>0</v>
      </c>
      <c r="CD765">
        <v>0</v>
      </c>
      <c r="CE765">
        <v>0</v>
      </c>
    </row>
    <row r="766" spans="1:84" hidden="1" x14ac:dyDescent="0.25">
      <c r="A766" t="s">
        <v>128</v>
      </c>
      <c r="B766" t="s">
        <v>503</v>
      </c>
      <c r="C766" t="s">
        <v>72</v>
      </c>
      <c r="D766" s="12">
        <v>46244</v>
      </c>
      <c r="E766" t="s">
        <v>133</v>
      </c>
      <c r="F766" t="s">
        <v>133</v>
      </c>
      <c r="G766" t="s">
        <v>133</v>
      </c>
      <c r="H766" t="s">
        <v>74</v>
      </c>
      <c r="I766">
        <v>20</v>
      </c>
      <c r="J766">
        <v>3.8126545117428936</v>
      </c>
      <c r="K766">
        <v>46244</v>
      </c>
      <c r="L766" t="s">
        <v>199</v>
      </c>
      <c r="M766">
        <v>7.6</v>
      </c>
      <c r="N766">
        <v>7.6</v>
      </c>
      <c r="O766">
        <v>4.1764705882352935</v>
      </c>
      <c r="P766">
        <v>1.9933618366395811</v>
      </c>
      <c r="Q766">
        <v>1.9933618366395811</v>
      </c>
      <c r="R766">
        <v>1.0954233003205127</v>
      </c>
      <c r="S766">
        <v>0</v>
      </c>
      <c r="T766">
        <v>0</v>
      </c>
      <c r="U766">
        <v>0.74336183663958111</v>
      </c>
      <c r="V766">
        <v>0</v>
      </c>
      <c r="W766">
        <v>0</v>
      </c>
      <c r="X766">
        <v>0</v>
      </c>
      <c r="Y766">
        <v>9.5423300320512716E-2</v>
      </c>
      <c r="Z766">
        <v>0</v>
      </c>
      <c r="AA766">
        <v>0.15457669967948728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0.50166506733459126</v>
      </c>
      <c r="AN766">
        <v>0.50166506733459126</v>
      </c>
      <c r="AO766">
        <v>0.54953560371517018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0.45046439628482982</v>
      </c>
      <c r="BA766">
        <v>0</v>
      </c>
      <c r="BB766">
        <v>0</v>
      </c>
      <c r="BC766">
        <v>0</v>
      </c>
      <c r="BD766">
        <v>0.50166506733459126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1.8197183098591552</v>
      </c>
      <c r="BK766">
        <v>1.8197183098591552</v>
      </c>
      <c r="BL766">
        <v>0.91288910844548166</v>
      </c>
      <c r="CC766">
        <v>0</v>
      </c>
      <c r="CD766">
        <v>0</v>
      </c>
      <c r="CE766">
        <v>0</v>
      </c>
    </row>
    <row r="767" spans="1:84" hidden="1" x14ac:dyDescent="0.25">
      <c r="A767" t="s">
        <v>128</v>
      </c>
      <c r="B767" t="s">
        <v>503</v>
      </c>
      <c r="C767" t="s">
        <v>109</v>
      </c>
      <c r="D767" s="12">
        <v>46244</v>
      </c>
      <c r="E767" t="s">
        <v>133</v>
      </c>
      <c r="F767" t="s">
        <v>133</v>
      </c>
      <c r="G767" t="s">
        <v>133</v>
      </c>
      <c r="J767">
        <v>21.530284301606926</v>
      </c>
      <c r="M767">
        <v>51.3</v>
      </c>
      <c r="N767">
        <v>51.3</v>
      </c>
      <c r="O767">
        <v>20.75</v>
      </c>
      <c r="S767">
        <v>0</v>
      </c>
      <c r="T767">
        <v>0</v>
      </c>
      <c r="U767">
        <v>1.1326903203582495</v>
      </c>
      <c r="V767">
        <v>0</v>
      </c>
      <c r="W767">
        <v>0</v>
      </c>
      <c r="X767">
        <v>0</v>
      </c>
      <c r="Y767">
        <v>4.3988948777352072E-2</v>
      </c>
      <c r="Z767">
        <v>0</v>
      </c>
      <c r="AA767">
        <v>0.20601105122264793</v>
      </c>
      <c r="AB767">
        <v>0</v>
      </c>
      <c r="AC767">
        <v>0</v>
      </c>
      <c r="AD767">
        <v>0</v>
      </c>
      <c r="AE767">
        <v>8.0230193466754099E-2</v>
      </c>
      <c r="AF767">
        <v>0</v>
      </c>
      <c r="AG767">
        <v>0.91976980653324603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84" hidden="1" x14ac:dyDescent="0.25">
      <c r="A768" t="s">
        <v>128</v>
      </c>
      <c r="B768" t="s">
        <v>503</v>
      </c>
      <c r="C768" t="s">
        <v>109</v>
      </c>
      <c r="D768" s="12">
        <v>46241</v>
      </c>
      <c r="E768" t="s">
        <v>133</v>
      </c>
      <c r="F768" t="s">
        <v>133</v>
      </c>
      <c r="G768" t="s">
        <v>133</v>
      </c>
      <c r="J768">
        <v>20.577120673671203</v>
      </c>
      <c r="M768">
        <v>66.5</v>
      </c>
      <c r="N768">
        <v>66.5</v>
      </c>
      <c r="O768">
        <v>18.624999999999993</v>
      </c>
      <c r="S768">
        <v>0</v>
      </c>
      <c r="T768">
        <v>0</v>
      </c>
      <c r="U768">
        <v>1.9817446670314736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0.25</v>
      </c>
      <c r="AB768">
        <v>0</v>
      </c>
      <c r="AC768">
        <v>0</v>
      </c>
      <c r="AD768">
        <v>0</v>
      </c>
      <c r="AE768">
        <v>9.486850491035824E-2</v>
      </c>
      <c r="AF768">
        <v>0</v>
      </c>
      <c r="AG768">
        <v>0.90513149508964175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83" hidden="1" x14ac:dyDescent="0.25">
      <c r="A769" t="s">
        <v>128</v>
      </c>
      <c r="B769" t="s">
        <v>503</v>
      </c>
      <c r="C769" t="s">
        <v>72</v>
      </c>
      <c r="D769" s="12">
        <v>46223</v>
      </c>
      <c r="E769" t="s">
        <v>133</v>
      </c>
      <c r="F769" t="s">
        <v>133</v>
      </c>
      <c r="G769" t="s">
        <v>133</v>
      </c>
      <c r="H769" t="s">
        <v>73</v>
      </c>
      <c r="I769">
        <v>20</v>
      </c>
      <c r="J769">
        <v>10.316594561186651</v>
      </c>
      <c r="K769">
        <v>46223</v>
      </c>
      <c r="L769" t="s">
        <v>173</v>
      </c>
      <c r="M769">
        <v>36.1</v>
      </c>
      <c r="N769">
        <v>36.1</v>
      </c>
      <c r="O769">
        <v>8.7959033613445357</v>
      </c>
      <c r="P769">
        <v>3.4992167023618741</v>
      </c>
      <c r="Q769">
        <v>3.4992167023618741</v>
      </c>
      <c r="R769">
        <v>0.85259756106309559</v>
      </c>
      <c r="S769">
        <v>0</v>
      </c>
      <c r="T769">
        <v>0</v>
      </c>
      <c r="U769">
        <v>2.2492167023618741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0.25</v>
      </c>
      <c r="AB769">
        <v>0</v>
      </c>
      <c r="AC769">
        <v>0</v>
      </c>
      <c r="AD769">
        <v>0</v>
      </c>
      <c r="AE769">
        <v>0.14740243893690441</v>
      </c>
      <c r="AF769">
        <v>0</v>
      </c>
      <c r="AG769">
        <v>0.85259756106309559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0.28577824269215102</v>
      </c>
      <c r="AN769">
        <v>0.28577824269215102</v>
      </c>
      <c r="AO769">
        <v>0.24365383272422536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0.71422175730784898</v>
      </c>
      <c r="BA769">
        <v>0</v>
      </c>
      <c r="BB769">
        <v>4.2124409967925658E-2</v>
      </c>
      <c r="BC769">
        <v>0</v>
      </c>
      <c r="BD769">
        <v>0.24365383272422536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4.1041833359208004</v>
      </c>
      <c r="BK769">
        <v>4.1041833359208004</v>
      </c>
      <c r="BL769">
        <v>1.1728863014258564</v>
      </c>
      <c r="CC769">
        <v>0</v>
      </c>
      <c r="CD769">
        <v>0</v>
      </c>
      <c r="CE769">
        <v>0</v>
      </c>
    </row>
    <row r="770" spans="1:83" hidden="1" x14ac:dyDescent="0.25">
      <c r="A770" t="s">
        <v>128</v>
      </c>
      <c r="B770" t="s">
        <v>503</v>
      </c>
      <c r="C770" t="s">
        <v>117</v>
      </c>
      <c r="D770" s="12">
        <v>46241</v>
      </c>
      <c r="J770">
        <v>32.175767752914361</v>
      </c>
      <c r="M770">
        <v>66.5</v>
      </c>
      <c r="N770">
        <v>66.5</v>
      </c>
      <c r="O770">
        <v>24.987053056516714</v>
      </c>
      <c r="S770">
        <v>0</v>
      </c>
      <c r="T770">
        <v>0</v>
      </c>
      <c r="U770">
        <v>1.2673698875209409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0.15988057248305601</v>
      </c>
      <c r="AB770">
        <v>0.1977280885843189</v>
      </c>
      <c r="AC770">
        <v>0.16274962148345698</v>
      </c>
      <c r="AD770">
        <v>0</v>
      </c>
      <c r="AE770">
        <v>6.0670523502718746E-2</v>
      </c>
      <c r="AF770">
        <v>0</v>
      </c>
      <c r="AG770">
        <v>0.57885176642950531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83" hidden="1" x14ac:dyDescent="0.25">
      <c r="A771" t="s">
        <v>128</v>
      </c>
      <c r="B771" t="s">
        <v>503</v>
      </c>
      <c r="C771" t="s">
        <v>72</v>
      </c>
      <c r="D771" s="12">
        <v>46248</v>
      </c>
      <c r="E771" t="s">
        <v>133</v>
      </c>
      <c r="F771" t="s">
        <v>133</v>
      </c>
      <c r="G771" t="s">
        <v>133</v>
      </c>
      <c r="H771" t="s">
        <v>74</v>
      </c>
      <c r="I771">
        <v>20</v>
      </c>
      <c r="J771">
        <v>3.8126545117428936</v>
      </c>
      <c r="K771">
        <v>46248</v>
      </c>
      <c r="L771" t="s">
        <v>158</v>
      </c>
      <c r="M771">
        <v>11.4</v>
      </c>
      <c r="N771">
        <v>11.4</v>
      </c>
      <c r="O771">
        <v>3.2058823529411757</v>
      </c>
      <c r="P771">
        <v>2.9900427549593713</v>
      </c>
      <c r="Q771">
        <v>2.9900427549593713</v>
      </c>
      <c r="R771">
        <v>0.8408530967249005</v>
      </c>
      <c r="S771">
        <v>0</v>
      </c>
      <c r="T771">
        <v>0</v>
      </c>
      <c r="U771">
        <v>1.7400427549593713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0.25</v>
      </c>
      <c r="AB771">
        <v>0</v>
      </c>
      <c r="AC771">
        <v>0</v>
      </c>
      <c r="AD771">
        <v>0</v>
      </c>
      <c r="AE771">
        <v>0.1591469032750995</v>
      </c>
      <c r="AF771">
        <v>0</v>
      </c>
      <c r="AG771">
        <v>0.8408530967249005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0.33444337822306086</v>
      </c>
      <c r="AN771">
        <v>0.33444337822306086</v>
      </c>
      <c r="AO771">
        <v>0.28121775025799789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0.66555662177693908</v>
      </c>
      <c r="BA771">
        <v>0</v>
      </c>
      <c r="BB771">
        <v>5.3225627965062972E-2</v>
      </c>
      <c r="BC771">
        <v>0</v>
      </c>
      <c r="BD771">
        <v>0.28121775025799789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3.5559633027522941</v>
      </c>
      <c r="BK771">
        <v>3.5559633027522941</v>
      </c>
      <c r="BL771">
        <v>1.1892683798097101</v>
      </c>
      <c r="CC771">
        <v>0</v>
      </c>
      <c r="CD771">
        <v>0</v>
      </c>
      <c r="CE771">
        <v>0</v>
      </c>
    </row>
    <row r="772" spans="1:83" hidden="1" x14ac:dyDescent="0.25">
      <c r="A772" t="s">
        <v>128</v>
      </c>
      <c r="B772" t="s">
        <v>503</v>
      </c>
      <c r="C772" t="s">
        <v>109</v>
      </c>
      <c r="D772" s="12">
        <v>46244</v>
      </c>
      <c r="E772" t="s">
        <v>501</v>
      </c>
      <c r="F772" t="s">
        <v>501</v>
      </c>
      <c r="G772" t="s">
        <v>501</v>
      </c>
      <c r="J772">
        <v>0</v>
      </c>
      <c r="M772">
        <v>0</v>
      </c>
      <c r="N772">
        <v>0</v>
      </c>
      <c r="O772">
        <v>0.98961937716262982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83" hidden="1" x14ac:dyDescent="0.25">
      <c r="A773" t="s">
        <v>128</v>
      </c>
      <c r="B773" t="s">
        <v>503</v>
      </c>
      <c r="C773" t="s">
        <v>72</v>
      </c>
      <c r="D773" s="12">
        <v>46243</v>
      </c>
      <c r="E773" t="s">
        <v>133</v>
      </c>
      <c r="F773" t="s">
        <v>133</v>
      </c>
      <c r="G773" t="s">
        <v>133</v>
      </c>
      <c r="H773" t="s">
        <v>74</v>
      </c>
      <c r="I773">
        <v>20</v>
      </c>
      <c r="J773">
        <v>3.8126545117428936</v>
      </c>
      <c r="K773">
        <v>46243</v>
      </c>
      <c r="L773" t="s">
        <v>211</v>
      </c>
      <c r="M773">
        <v>7.6</v>
      </c>
      <c r="N773">
        <v>7.6</v>
      </c>
      <c r="O773">
        <v>4.0588235294117636</v>
      </c>
      <c r="P773">
        <v>1.9933618366395811</v>
      </c>
      <c r="Q773">
        <v>1.9933618366395811</v>
      </c>
      <c r="R773">
        <v>1.0645663059452868</v>
      </c>
      <c r="S773">
        <v>0</v>
      </c>
      <c r="T773">
        <v>0</v>
      </c>
      <c r="U773">
        <v>0.74336183663958111</v>
      </c>
      <c r="V773">
        <v>0</v>
      </c>
      <c r="W773">
        <v>0</v>
      </c>
      <c r="X773">
        <v>0</v>
      </c>
      <c r="Y773">
        <v>6.4566305945286784E-2</v>
      </c>
      <c r="Z773">
        <v>0</v>
      </c>
      <c r="AA773">
        <v>0.18543369405471322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0.50166506733459126</v>
      </c>
      <c r="AN773">
        <v>0.50166506733459126</v>
      </c>
      <c r="AO773">
        <v>0.5340557275541794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0.4659442724458206</v>
      </c>
      <c r="BA773">
        <v>0</v>
      </c>
      <c r="BB773">
        <v>0</v>
      </c>
      <c r="BC773">
        <v>0</v>
      </c>
      <c r="BD773">
        <v>0.50166506733459126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1.8724637681159424</v>
      </c>
      <c r="BK773">
        <v>1.8724637681159424</v>
      </c>
      <c r="BL773">
        <v>0.93934966231346684</v>
      </c>
      <c r="CC773">
        <v>0</v>
      </c>
      <c r="CD773">
        <v>0</v>
      </c>
      <c r="CE773">
        <v>0</v>
      </c>
    </row>
    <row r="774" spans="1:83" hidden="1" x14ac:dyDescent="0.25">
      <c r="A774" t="s">
        <v>128</v>
      </c>
      <c r="B774" t="s">
        <v>503</v>
      </c>
      <c r="C774" t="s">
        <v>117</v>
      </c>
      <c r="D774" s="12">
        <v>46249</v>
      </c>
      <c r="J774">
        <v>26.793906737676934</v>
      </c>
      <c r="M774">
        <v>57</v>
      </c>
      <c r="N774">
        <v>57</v>
      </c>
      <c r="O774">
        <v>23.261274509803915</v>
      </c>
      <c r="S774">
        <v>1.0812232146414245E-2</v>
      </c>
      <c r="T774">
        <v>0</v>
      </c>
      <c r="U774">
        <v>1.1333728658463917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0.19879529621597261</v>
      </c>
      <c r="AB774">
        <v>7.2594790235667186E-2</v>
      </c>
      <c r="AC774">
        <v>7.9918306867156022E-2</v>
      </c>
      <c r="AD774">
        <v>0</v>
      </c>
      <c r="AE774">
        <v>6.2738536909017997E-2</v>
      </c>
      <c r="AF774">
        <v>0</v>
      </c>
      <c r="AG774">
        <v>0.73244264795487246</v>
      </c>
      <c r="AH774">
        <v>0</v>
      </c>
      <c r="AI774">
        <v>0</v>
      </c>
      <c r="AJ774">
        <v>0</v>
      </c>
      <c r="AK774">
        <v>5.2305718033286298E-2</v>
      </c>
      <c r="AL774">
        <v>0</v>
      </c>
    </row>
    <row r="775" spans="1:83" hidden="1" x14ac:dyDescent="0.25">
      <c r="A775" t="s">
        <v>128</v>
      </c>
      <c r="B775" t="s">
        <v>503</v>
      </c>
      <c r="C775" t="s">
        <v>109</v>
      </c>
      <c r="D775" s="12">
        <v>46239</v>
      </c>
      <c r="E775" t="s">
        <v>501</v>
      </c>
      <c r="F775" t="s">
        <v>501</v>
      </c>
      <c r="G775" t="s">
        <v>501</v>
      </c>
      <c r="J775">
        <v>3.5455048443975872</v>
      </c>
      <c r="M775">
        <v>0</v>
      </c>
      <c r="N775">
        <v>0</v>
      </c>
      <c r="O775">
        <v>2.803086869422692</v>
      </c>
      <c r="S775">
        <v>0.13103807469919151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0.46607658223818593</v>
      </c>
      <c r="AC775">
        <v>0.34043504566879074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0.19348837209302328</v>
      </c>
      <c r="AL775">
        <v>0</v>
      </c>
    </row>
    <row r="776" spans="1:83" hidden="1" x14ac:dyDescent="0.25">
      <c r="A776" t="s">
        <v>128</v>
      </c>
      <c r="B776" t="s">
        <v>503</v>
      </c>
      <c r="C776" t="s">
        <v>109</v>
      </c>
      <c r="D776" s="12">
        <v>46244</v>
      </c>
      <c r="E776" t="s">
        <v>134</v>
      </c>
      <c r="F776" t="s">
        <v>134</v>
      </c>
      <c r="G776" t="s">
        <v>134</v>
      </c>
      <c r="J776">
        <v>5.4684986595174259</v>
      </c>
      <c r="M776">
        <v>0</v>
      </c>
      <c r="N776">
        <v>0</v>
      </c>
      <c r="O776">
        <v>4.6674163783160312</v>
      </c>
      <c r="S776">
        <v>0.39295473061145031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0.26457502014814266</v>
      </c>
      <c r="AC776">
        <v>0.53944508035437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0.19597989949748737</v>
      </c>
      <c r="AL776">
        <v>0</v>
      </c>
    </row>
    <row r="777" spans="1:83" hidden="1" x14ac:dyDescent="0.25">
      <c r="A777" t="s">
        <v>128</v>
      </c>
      <c r="B777" t="s">
        <v>503</v>
      </c>
      <c r="C777" t="s">
        <v>72</v>
      </c>
      <c r="D777" s="12">
        <v>46226</v>
      </c>
      <c r="E777" t="s">
        <v>133</v>
      </c>
      <c r="F777" t="s">
        <v>133</v>
      </c>
      <c r="G777" t="s">
        <v>133</v>
      </c>
      <c r="H777" t="s">
        <v>73</v>
      </c>
      <c r="I777">
        <v>20</v>
      </c>
      <c r="J777">
        <v>10.316594561186651</v>
      </c>
      <c r="K777">
        <v>46226</v>
      </c>
      <c r="L777" t="s">
        <v>229</v>
      </c>
      <c r="M777">
        <v>41.8</v>
      </c>
      <c r="N777">
        <v>41.8</v>
      </c>
      <c r="O777">
        <v>9.1269607843137184</v>
      </c>
      <c r="P777">
        <v>4.0517246027348017</v>
      </c>
      <c r="Q777">
        <v>4.0517246027348017</v>
      </c>
      <c r="R777">
        <v>0.88468735784688068</v>
      </c>
      <c r="S777">
        <v>0</v>
      </c>
      <c r="T777">
        <v>0</v>
      </c>
      <c r="U777">
        <v>2.8017246027348017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0.25</v>
      </c>
      <c r="AB777">
        <v>0</v>
      </c>
      <c r="AC777">
        <v>0</v>
      </c>
      <c r="AD777">
        <v>0</v>
      </c>
      <c r="AE777">
        <v>0.11531264215311932</v>
      </c>
      <c r="AF777">
        <v>0</v>
      </c>
      <c r="AG777">
        <v>0.88468735784688068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0.24680848232503952</v>
      </c>
      <c r="AN777">
        <v>0.24680848232503952</v>
      </c>
      <c r="AO777">
        <v>0.21834834412233778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0.75319151767496051</v>
      </c>
      <c r="BA777">
        <v>0</v>
      </c>
      <c r="BB777">
        <v>2.846013820270174E-2</v>
      </c>
      <c r="BC777">
        <v>0</v>
      </c>
      <c r="BD777">
        <v>0.21834834412233778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4.5798378000966791</v>
      </c>
      <c r="BK777">
        <v>4.5798378000966791</v>
      </c>
      <c r="BL777">
        <v>1.1303428167367089</v>
      </c>
      <c r="CC777">
        <v>0</v>
      </c>
      <c r="CD777">
        <v>0</v>
      </c>
      <c r="CE777">
        <v>0</v>
      </c>
    </row>
    <row r="778" spans="1:83" hidden="1" x14ac:dyDescent="0.25">
      <c r="A778" t="s">
        <v>128</v>
      </c>
      <c r="B778" t="s">
        <v>503</v>
      </c>
      <c r="C778" t="s">
        <v>72</v>
      </c>
      <c r="D778" s="12">
        <v>46243</v>
      </c>
      <c r="E778" t="s">
        <v>133</v>
      </c>
      <c r="F778" t="s">
        <v>133</v>
      </c>
      <c r="G778" t="s">
        <v>133</v>
      </c>
      <c r="H778" t="s">
        <v>73</v>
      </c>
      <c r="I778">
        <v>20</v>
      </c>
      <c r="J778">
        <v>9.4755678306551339</v>
      </c>
      <c r="K778">
        <v>46243</v>
      </c>
      <c r="L778" t="s">
        <v>203</v>
      </c>
      <c r="M778">
        <v>20.9</v>
      </c>
      <c r="N778">
        <v>20.9</v>
      </c>
      <c r="O778">
        <v>8.582352941176465</v>
      </c>
      <c r="P778">
        <v>2.2056725648023763</v>
      </c>
      <c r="Q778">
        <v>2.2056725648023763</v>
      </c>
      <c r="R778">
        <v>0.90573494850736425</v>
      </c>
      <c r="S778">
        <v>0</v>
      </c>
      <c r="T778">
        <v>0</v>
      </c>
      <c r="U778">
        <v>0.95567256480237628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0.25</v>
      </c>
      <c r="AB778">
        <v>0</v>
      </c>
      <c r="AC778">
        <v>0</v>
      </c>
      <c r="AD778">
        <v>0</v>
      </c>
      <c r="AE778">
        <v>9.4265051492635754E-2</v>
      </c>
      <c r="AF778">
        <v>0</v>
      </c>
      <c r="AG778">
        <v>0.90573494850736425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0.45337645122751841</v>
      </c>
      <c r="AN778">
        <v>0.45337645122751841</v>
      </c>
      <c r="AO778">
        <v>0.41063889670700793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0.54662354877248154</v>
      </c>
      <c r="BA778">
        <v>0</v>
      </c>
      <c r="BB778">
        <v>4.2737554520510479E-2</v>
      </c>
      <c r="BC778">
        <v>0</v>
      </c>
      <c r="BD778">
        <v>0.41063889670700793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2.4352296093214543</v>
      </c>
      <c r="BK778">
        <v>2.4352296093214543</v>
      </c>
      <c r="BL778">
        <v>1.1040757581983371</v>
      </c>
      <c r="CC778">
        <v>0</v>
      </c>
      <c r="CD778">
        <v>0</v>
      </c>
      <c r="CE778">
        <v>0</v>
      </c>
    </row>
    <row r="779" spans="1:83" hidden="1" x14ac:dyDescent="0.25">
      <c r="A779" t="s">
        <v>128</v>
      </c>
      <c r="B779" t="s">
        <v>503</v>
      </c>
      <c r="C779" t="s">
        <v>117</v>
      </c>
      <c r="D779" s="12">
        <v>46240</v>
      </c>
      <c r="J779">
        <v>29.877671416292504</v>
      </c>
      <c r="M779">
        <v>68.400000000000006</v>
      </c>
      <c r="N779">
        <v>68.400000000000006</v>
      </c>
      <c r="O779">
        <v>25.326039579918646</v>
      </c>
      <c r="S779">
        <v>3.7259642360039799E-2</v>
      </c>
      <c r="T779">
        <v>0</v>
      </c>
      <c r="U779">
        <v>1.3885668680447469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0.1801536338091789</v>
      </c>
      <c r="AB779">
        <v>0.12596914707171644</v>
      </c>
      <c r="AC779">
        <v>0.10650923074680479</v>
      </c>
      <c r="AD779">
        <v>0</v>
      </c>
      <c r="AE779">
        <v>9.7977619619313533E-2</v>
      </c>
      <c r="AF779">
        <v>0</v>
      </c>
      <c r="AG779">
        <v>0.62263691561740198</v>
      </c>
      <c r="AH779">
        <v>0</v>
      </c>
      <c r="AI779">
        <v>0</v>
      </c>
      <c r="AJ779">
        <v>0</v>
      </c>
      <c r="AK779">
        <v>4.6907086944763227E-2</v>
      </c>
      <c r="AL779">
        <v>0</v>
      </c>
    </row>
    <row r="780" spans="1:83" hidden="1" x14ac:dyDescent="0.25">
      <c r="A780" t="s">
        <v>128</v>
      </c>
      <c r="B780" t="s">
        <v>503</v>
      </c>
      <c r="C780" t="s">
        <v>72</v>
      </c>
      <c r="D780" s="12">
        <v>46248</v>
      </c>
      <c r="E780" t="s">
        <v>133</v>
      </c>
      <c r="F780" t="s">
        <v>133</v>
      </c>
      <c r="G780" t="s">
        <v>133</v>
      </c>
      <c r="H780" t="s">
        <v>75</v>
      </c>
      <c r="I780">
        <v>20</v>
      </c>
      <c r="J780">
        <v>7.4010352286773822</v>
      </c>
      <c r="K780">
        <v>46248</v>
      </c>
      <c r="L780" t="s">
        <v>156</v>
      </c>
      <c r="M780">
        <v>22.799999999999997</v>
      </c>
      <c r="N780">
        <v>22.799999999999997</v>
      </c>
      <c r="O780">
        <v>7.1602941176470605</v>
      </c>
      <c r="P780">
        <v>3.0806501111702613</v>
      </c>
      <c r="Q780">
        <v>3.0806501111702613</v>
      </c>
      <c r="R780">
        <v>0.96747196796233281</v>
      </c>
      <c r="S780">
        <v>0</v>
      </c>
      <c r="T780">
        <v>0</v>
      </c>
      <c r="U780">
        <v>1.8306501111702613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0.25</v>
      </c>
      <c r="AB780">
        <v>0</v>
      </c>
      <c r="AC780">
        <v>0</v>
      </c>
      <c r="AD780">
        <v>0</v>
      </c>
      <c r="AE780">
        <v>3.2528032037667187E-2</v>
      </c>
      <c r="AF780">
        <v>0</v>
      </c>
      <c r="AG780">
        <v>0.96747196796233281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0.32460680827532384</v>
      </c>
      <c r="AN780">
        <v>0.32460680827532384</v>
      </c>
      <c r="AO780">
        <v>0.3140479876160992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0.67539319172467616</v>
      </c>
      <c r="BA780">
        <v>0</v>
      </c>
      <c r="BB780">
        <v>1.0558820659224644E-2</v>
      </c>
      <c r="BC780">
        <v>0</v>
      </c>
      <c r="BD780">
        <v>0.3140479876160992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3.1842267406038189</v>
      </c>
      <c r="BK780">
        <v>3.1842267406038189</v>
      </c>
      <c r="BL780">
        <v>1.0336216790923431</v>
      </c>
      <c r="CC780">
        <v>0</v>
      </c>
      <c r="CD780">
        <v>0</v>
      </c>
      <c r="CE780">
        <v>0</v>
      </c>
    </row>
    <row r="781" spans="1:83" hidden="1" x14ac:dyDescent="0.25">
      <c r="A781" t="s">
        <v>128</v>
      </c>
      <c r="B781" t="s">
        <v>503</v>
      </c>
      <c r="C781" t="s">
        <v>109</v>
      </c>
      <c r="D781" s="12">
        <v>46245</v>
      </c>
      <c r="E781" t="s">
        <v>133</v>
      </c>
      <c r="F781" t="s">
        <v>133</v>
      </c>
      <c r="G781" t="s">
        <v>133</v>
      </c>
      <c r="J781">
        <v>20.521052224969104</v>
      </c>
      <c r="M781">
        <v>72.2</v>
      </c>
      <c r="N781">
        <v>72.2</v>
      </c>
      <c r="O781">
        <v>19.874999999999996</v>
      </c>
      <c r="S781">
        <v>0</v>
      </c>
      <c r="T781">
        <v>0</v>
      </c>
      <c r="U781">
        <v>2.2683381051070199</v>
      </c>
      <c r="V781">
        <v>0</v>
      </c>
      <c r="W781">
        <v>0</v>
      </c>
      <c r="X781">
        <v>0</v>
      </c>
      <c r="Y781">
        <v>1.4064602253091911E-2</v>
      </c>
      <c r="Z781">
        <v>0</v>
      </c>
      <c r="AA781">
        <v>0.23593539774690811</v>
      </c>
      <c r="AB781">
        <v>0</v>
      </c>
      <c r="AC781">
        <v>0</v>
      </c>
      <c r="AD781">
        <v>0</v>
      </c>
      <c r="AE781">
        <v>4.5547014455280067E-2</v>
      </c>
      <c r="AF781">
        <v>0</v>
      </c>
      <c r="AG781">
        <v>0.95445298554471991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83" hidden="1" x14ac:dyDescent="0.25">
      <c r="A782" t="s">
        <v>128</v>
      </c>
      <c r="B782" t="s">
        <v>503</v>
      </c>
      <c r="C782" t="s">
        <v>72</v>
      </c>
      <c r="D782" s="12">
        <v>46243</v>
      </c>
      <c r="E782" t="s">
        <v>133</v>
      </c>
      <c r="F782" t="s">
        <v>133</v>
      </c>
      <c r="G782" t="s">
        <v>133</v>
      </c>
      <c r="H782" t="s">
        <v>75</v>
      </c>
      <c r="I782">
        <v>20</v>
      </c>
      <c r="J782">
        <v>7.4010352286773822</v>
      </c>
      <c r="K782">
        <v>46243</v>
      </c>
      <c r="L782" t="s">
        <v>202</v>
      </c>
      <c r="M782">
        <v>43.7</v>
      </c>
      <c r="N782">
        <v>43.7</v>
      </c>
      <c r="O782">
        <v>6.9838235294117634</v>
      </c>
      <c r="P782">
        <v>5.9045793797430006</v>
      </c>
      <c r="Q782">
        <v>5.9045793797430006</v>
      </c>
      <c r="R782">
        <v>0.94362792685420338</v>
      </c>
      <c r="S782">
        <v>0</v>
      </c>
      <c r="T782">
        <v>0</v>
      </c>
      <c r="U782">
        <v>4.6545793797430006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0.25</v>
      </c>
      <c r="AB782">
        <v>0</v>
      </c>
      <c r="AC782">
        <v>0</v>
      </c>
      <c r="AD782">
        <v>0</v>
      </c>
      <c r="AE782">
        <v>5.637207314579662E-2</v>
      </c>
      <c r="AF782">
        <v>0</v>
      </c>
      <c r="AG782">
        <v>0.94362792685420338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0.16936007388277763</v>
      </c>
      <c r="AN782">
        <v>0.16936007388277763</v>
      </c>
      <c r="AO782">
        <v>0.1598128954098802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0.83063992611722237</v>
      </c>
      <c r="BA782">
        <v>0</v>
      </c>
      <c r="BB782">
        <v>9.5471784728974329E-3</v>
      </c>
      <c r="BC782">
        <v>0</v>
      </c>
      <c r="BD782">
        <v>0.1598128954098802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6.2573173299642031</v>
      </c>
      <c r="BK782">
        <v>6.2573173299642031</v>
      </c>
      <c r="BL782">
        <v>1.0597397253107224</v>
      </c>
      <c r="CC782">
        <v>0</v>
      </c>
      <c r="CD782">
        <v>0</v>
      </c>
      <c r="CE782">
        <v>0</v>
      </c>
    </row>
    <row r="783" spans="1:83" hidden="1" x14ac:dyDescent="0.25">
      <c r="A783" t="s">
        <v>128</v>
      </c>
      <c r="B783" t="s">
        <v>503</v>
      </c>
      <c r="C783" t="s">
        <v>72</v>
      </c>
      <c r="D783" s="12">
        <v>46225</v>
      </c>
      <c r="E783" t="s">
        <v>133</v>
      </c>
      <c r="F783" t="s">
        <v>133</v>
      </c>
      <c r="G783" t="s">
        <v>133</v>
      </c>
      <c r="H783" t="s">
        <v>74</v>
      </c>
      <c r="I783">
        <v>20</v>
      </c>
      <c r="J783">
        <v>3.8126545117428936</v>
      </c>
      <c r="K783">
        <v>46225</v>
      </c>
      <c r="L783" t="s">
        <v>160</v>
      </c>
      <c r="M783">
        <v>7.6</v>
      </c>
      <c r="N783">
        <v>7.6</v>
      </c>
      <c r="O783">
        <v>3.2058823529411757</v>
      </c>
      <c r="P783">
        <v>1.9933618366395811</v>
      </c>
      <c r="Q783">
        <v>1.9933618366395811</v>
      </c>
      <c r="R783">
        <v>0.8408530967249005</v>
      </c>
      <c r="S783">
        <v>0</v>
      </c>
      <c r="T783">
        <v>0</v>
      </c>
      <c r="U783">
        <v>0.74336183663958111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0.25</v>
      </c>
      <c r="AB783">
        <v>0</v>
      </c>
      <c r="AC783">
        <v>0</v>
      </c>
      <c r="AD783">
        <v>0</v>
      </c>
      <c r="AE783">
        <v>0.1591469032750995</v>
      </c>
      <c r="AF783">
        <v>0</v>
      </c>
      <c r="AG783">
        <v>0.8408530967249005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0.50166506733459126</v>
      </c>
      <c r="AN783">
        <v>0.50166506733459126</v>
      </c>
      <c r="AO783">
        <v>0.42182662538699683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0.49833493266540874</v>
      </c>
      <c r="BA783">
        <v>0</v>
      </c>
      <c r="BB783">
        <v>7.983844194759443E-2</v>
      </c>
      <c r="BC783">
        <v>0</v>
      </c>
      <c r="BD783">
        <v>0.42182662538699683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2.3706422018348627</v>
      </c>
      <c r="BK783">
        <v>2.3706422018348627</v>
      </c>
      <c r="BL783">
        <v>1.1892683798097101</v>
      </c>
      <c r="CC783">
        <v>0</v>
      </c>
      <c r="CD783">
        <v>0</v>
      </c>
      <c r="CE783">
        <v>0</v>
      </c>
    </row>
    <row r="784" spans="1:83" hidden="1" x14ac:dyDescent="0.25">
      <c r="A784" t="s">
        <v>128</v>
      </c>
      <c r="B784" t="s">
        <v>503</v>
      </c>
      <c r="C784" t="s">
        <v>109</v>
      </c>
      <c r="D784" s="12">
        <v>46240</v>
      </c>
      <c r="E784" t="s">
        <v>133</v>
      </c>
      <c r="F784" t="s">
        <v>133</v>
      </c>
      <c r="G784" t="s">
        <v>133</v>
      </c>
      <c r="J784">
        <v>21.530284301606926</v>
      </c>
      <c r="M784">
        <v>68.400000000000006</v>
      </c>
      <c r="N784">
        <v>68.400000000000006</v>
      </c>
      <c r="O784">
        <v>18.60294117647058</v>
      </c>
      <c r="S784">
        <v>0</v>
      </c>
      <c r="T784">
        <v>0</v>
      </c>
      <c r="U784">
        <v>1.9269204271443325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0.25</v>
      </c>
      <c r="AB784">
        <v>0</v>
      </c>
      <c r="AC784">
        <v>0</v>
      </c>
      <c r="AD784">
        <v>0</v>
      </c>
      <c r="AE784">
        <v>0.13596397911558741</v>
      </c>
      <c r="AF784">
        <v>0</v>
      </c>
      <c r="AG784">
        <v>0.86403602088441245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83" hidden="1" x14ac:dyDescent="0.25">
      <c r="A785" t="s">
        <v>128</v>
      </c>
      <c r="B785" t="s">
        <v>503</v>
      </c>
      <c r="C785" t="s">
        <v>109</v>
      </c>
      <c r="D785" s="12">
        <v>46243</v>
      </c>
      <c r="E785" t="s">
        <v>501</v>
      </c>
      <c r="F785" t="s">
        <v>501</v>
      </c>
      <c r="G785" t="s">
        <v>501</v>
      </c>
      <c r="J785">
        <v>0.95316362793572373</v>
      </c>
      <c r="M785">
        <v>0</v>
      </c>
      <c r="N785">
        <v>0</v>
      </c>
      <c r="O785">
        <v>0.98961937716262982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0.86399584250631978</v>
      </c>
      <c r="AC785">
        <v>0.13600415749368022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83" hidden="1" x14ac:dyDescent="0.25">
      <c r="A786" t="s">
        <v>128</v>
      </c>
      <c r="B786" t="s">
        <v>503</v>
      </c>
      <c r="C786" t="s">
        <v>72</v>
      </c>
      <c r="D786" s="12">
        <v>46224</v>
      </c>
      <c r="E786" t="s">
        <v>133</v>
      </c>
      <c r="F786" t="s">
        <v>133</v>
      </c>
      <c r="G786" t="s">
        <v>133</v>
      </c>
      <c r="H786" t="s">
        <v>73</v>
      </c>
      <c r="I786">
        <v>20</v>
      </c>
      <c r="J786">
        <v>10.316594561186651</v>
      </c>
      <c r="K786">
        <v>46224</v>
      </c>
      <c r="L786" t="s">
        <v>172</v>
      </c>
      <c r="M786">
        <v>34.199999999999996</v>
      </c>
      <c r="N786">
        <v>34.199999999999996</v>
      </c>
      <c r="O786">
        <v>9.4058823529411733</v>
      </c>
      <c r="P786">
        <v>3.3150474022375644</v>
      </c>
      <c r="Q786">
        <v>3.3150474022375644</v>
      </c>
      <c r="R786">
        <v>0.91172356315408754</v>
      </c>
      <c r="S786">
        <v>0</v>
      </c>
      <c r="T786">
        <v>0</v>
      </c>
      <c r="U786">
        <v>2.0650474022375644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0.25</v>
      </c>
      <c r="AB786">
        <v>0</v>
      </c>
      <c r="AC786">
        <v>0</v>
      </c>
      <c r="AD786">
        <v>0</v>
      </c>
      <c r="AE786">
        <v>8.8276436845912465E-2</v>
      </c>
      <c r="AF786">
        <v>0</v>
      </c>
      <c r="AG786">
        <v>0.91172356315408754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0.30165481173060388</v>
      </c>
      <c r="AN786">
        <v>0.30165481173060388</v>
      </c>
      <c r="AO786">
        <v>0.27502579979360159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0.69834518826939607</v>
      </c>
      <c r="BA786">
        <v>0</v>
      </c>
      <c r="BB786">
        <v>2.6629011937002289E-2</v>
      </c>
      <c r="BC786">
        <v>0</v>
      </c>
      <c r="BD786">
        <v>0.27502579979360159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3.6360225140712954</v>
      </c>
      <c r="BK786">
        <v>3.6360225140712954</v>
      </c>
      <c r="BL786">
        <v>1.0968236869304135</v>
      </c>
      <c r="CC786">
        <v>0</v>
      </c>
      <c r="CD786">
        <v>0</v>
      </c>
      <c r="CE786">
        <v>0</v>
      </c>
    </row>
    <row r="787" spans="1:83" hidden="1" x14ac:dyDescent="0.25">
      <c r="A787" t="s">
        <v>128</v>
      </c>
      <c r="B787" t="s">
        <v>503</v>
      </c>
      <c r="C787" t="s">
        <v>72</v>
      </c>
      <c r="D787" s="12">
        <v>46246</v>
      </c>
      <c r="E787" t="s">
        <v>133</v>
      </c>
      <c r="F787" t="s">
        <v>133</v>
      </c>
      <c r="G787" t="s">
        <v>133</v>
      </c>
      <c r="H787" t="s">
        <v>75</v>
      </c>
      <c r="I787">
        <v>20</v>
      </c>
      <c r="J787">
        <v>6.6721453955500643</v>
      </c>
      <c r="K787">
        <v>46246</v>
      </c>
      <c r="L787" t="s">
        <v>201</v>
      </c>
      <c r="M787">
        <v>20.9</v>
      </c>
      <c r="N787">
        <v>20.9</v>
      </c>
      <c r="O787">
        <v>5.4696078431372541</v>
      </c>
      <c r="P787">
        <v>3.1324257432907698</v>
      </c>
      <c r="Q787">
        <v>3.1324257432907698</v>
      </c>
      <c r="R787">
        <v>0.81976748390182963</v>
      </c>
      <c r="S787">
        <v>0</v>
      </c>
      <c r="T787">
        <v>0</v>
      </c>
      <c r="U787">
        <v>1.8824257432907698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0.25</v>
      </c>
      <c r="AB787">
        <v>0</v>
      </c>
      <c r="AC787">
        <v>0</v>
      </c>
      <c r="AD787">
        <v>0</v>
      </c>
      <c r="AE787">
        <v>0.18023251609817037</v>
      </c>
      <c r="AF787">
        <v>0</v>
      </c>
      <c r="AG787">
        <v>0.81976748390182963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0.31924140648564903</v>
      </c>
      <c r="AN787">
        <v>0.31924140648564903</v>
      </c>
      <c r="AO787">
        <v>0.26170372455202173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0.68075859351435097</v>
      </c>
      <c r="BA787">
        <v>0</v>
      </c>
      <c r="BB787">
        <v>5.7537681933627294E-2</v>
      </c>
      <c r="BC787">
        <v>0</v>
      </c>
      <c r="BD787">
        <v>0.26170372455202173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3.8211148951424989</v>
      </c>
      <c r="BK787">
        <v>3.8211148951424989</v>
      </c>
      <c r="BL787">
        <v>1.2198580934685546</v>
      </c>
      <c r="CC787">
        <v>0</v>
      </c>
      <c r="CD787">
        <v>0</v>
      </c>
      <c r="CE787">
        <v>0</v>
      </c>
    </row>
    <row r="788" spans="1:83" hidden="1" x14ac:dyDescent="0.25">
      <c r="A788" t="s">
        <v>128</v>
      </c>
      <c r="B788" t="s">
        <v>503</v>
      </c>
      <c r="C788" t="s">
        <v>109</v>
      </c>
      <c r="D788" s="12">
        <v>46241</v>
      </c>
      <c r="E788" t="s">
        <v>501</v>
      </c>
      <c r="F788" t="s">
        <v>501</v>
      </c>
      <c r="G788" t="s">
        <v>501</v>
      </c>
      <c r="J788">
        <v>1.906327255871447</v>
      </c>
      <c r="M788">
        <v>0</v>
      </c>
      <c r="N788">
        <v>0</v>
      </c>
      <c r="O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83" hidden="1" x14ac:dyDescent="0.25">
      <c r="A789" t="s">
        <v>128</v>
      </c>
      <c r="B789" t="s">
        <v>503</v>
      </c>
      <c r="C789" t="s">
        <v>72</v>
      </c>
      <c r="D789" s="12">
        <v>46247</v>
      </c>
      <c r="E789" t="s">
        <v>133</v>
      </c>
      <c r="F789" t="s">
        <v>133</v>
      </c>
      <c r="G789" t="s">
        <v>133</v>
      </c>
      <c r="H789" t="s">
        <v>73</v>
      </c>
      <c r="I789">
        <v>20</v>
      </c>
      <c r="J789">
        <v>10.316594561186651</v>
      </c>
      <c r="K789">
        <v>46247</v>
      </c>
      <c r="L789" t="s">
        <v>174</v>
      </c>
      <c r="M789">
        <v>41.8</v>
      </c>
      <c r="N789">
        <v>41.8</v>
      </c>
      <c r="O789">
        <v>10.075490196078428</v>
      </c>
      <c r="P789">
        <v>4.0517246027348017</v>
      </c>
      <c r="Q789">
        <v>4.0517246027348017</v>
      </c>
      <c r="R789">
        <v>0.97662946201110667</v>
      </c>
      <c r="S789">
        <v>0</v>
      </c>
      <c r="T789">
        <v>0</v>
      </c>
      <c r="U789">
        <v>2.8017246027348017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0.25</v>
      </c>
      <c r="AB789">
        <v>0</v>
      </c>
      <c r="AC789">
        <v>0</v>
      </c>
      <c r="AD789">
        <v>0</v>
      </c>
      <c r="AE789">
        <v>2.3370537988893325E-2</v>
      </c>
      <c r="AF789">
        <v>0</v>
      </c>
      <c r="AG789">
        <v>0.97662946201110667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0.24680848232503952</v>
      </c>
      <c r="AN789">
        <v>0.24680848232503952</v>
      </c>
      <c r="AO789">
        <v>0.24104043531288108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0.75319151767496051</v>
      </c>
      <c r="BA789">
        <v>0</v>
      </c>
      <c r="BB789">
        <v>5.7680470121584393E-3</v>
      </c>
      <c r="BC789">
        <v>0</v>
      </c>
      <c r="BD789">
        <v>0.24104043531288108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4.1486815218448969</v>
      </c>
      <c r="BK789">
        <v>4.1486815218448969</v>
      </c>
      <c r="BL789">
        <v>1.0239297900564743</v>
      </c>
      <c r="CC789">
        <v>0</v>
      </c>
      <c r="CD789">
        <v>0</v>
      </c>
      <c r="CE789">
        <v>0</v>
      </c>
    </row>
    <row r="790" spans="1:83" hidden="1" x14ac:dyDescent="0.25">
      <c r="A790" t="s">
        <v>128</v>
      </c>
      <c r="B790" t="s">
        <v>503</v>
      </c>
      <c r="C790" t="s">
        <v>72</v>
      </c>
      <c r="D790" s="12">
        <v>46223</v>
      </c>
      <c r="E790" t="s">
        <v>133</v>
      </c>
      <c r="F790" t="s">
        <v>133</v>
      </c>
      <c r="G790" t="s">
        <v>133</v>
      </c>
      <c r="H790" t="s">
        <v>75</v>
      </c>
      <c r="I790">
        <v>20</v>
      </c>
      <c r="J790">
        <v>7.4010352286773822</v>
      </c>
      <c r="K790">
        <v>46223</v>
      </c>
      <c r="L790" t="s">
        <v>165</v>
      </c>
      <c r="M790">
        <v>26.6</v>
      </c>
      <c r="N790">
        <v>26.6</v>
      </c>
      <c r="O790">
        <v>8.3768907563025117</v>
      </c>
      <c r="P790">
        <v>3.594091796365305</v>
      </c>
      <c r="Q790">
        <v>3.594091796365305</v>
      </c>
      <c r="R790">
        <v>1.1318539227923012</v>
      </c>
      <c r="S790">
        <v>0</v>
      </c>
      <c r="T790">
        <v>0</v>
      </c>
      <c r="U790">
        <v>2.344091796365305</v>
      </c>
      <c r="V790">
        <v>0</v>
      </c>
      <c r="W790">
        <v>0</v>
      </c>
      <c r="X790">
        <v>0</v>
      </c>
      <c r="Y790">
        <v>0.13185392279230124</v>
      </c>
      <c r="Z790">
        <v>0</v>
      </c>
      <c r="AA790">
        <v>0.11814607720769876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0.27823440709313468</v>
      </c>
      <c r="AN790">
        <v>0.27823440709313468</v>
      </c>
      <c r="AO790">
        <v>0.3149207051241546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0.6850792948758454</v>
      </c>
      <c r="BA790">
        <v>0</v>
      </c>
      <c r="BB790">
        <v>0</v>
      </c>
      <c r="BC790">
        <v>0</v>
      </c>
      <c r="BD790">
        <v>0.27823440709313468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3.1754025179314875</v>
      </c>
      <c r="BK790">
        <v>3.1754025179314875</v>
      </c>
      <c r="BL790">
        <v>0.88350623685871443</v>
      </c>
      <c r="CC790">
        <v>0</v>
      </c>
      <c r="CD790">
        <v>0</v>
      </c>
      <c r="CE790">
        <v>0</v>
      </c>
    </row>
    <row r="791" spans="1:83" hidden="1" x14ac:dyDescent="0.25">
      <c r="A791" t="s">
        <v>128</v>
      </c>
      <c r="B791" t="s">
        <v>503</v>
      </c>
      <c r="C791" t="s">
        <v>72</v>
      </c>
      <c r="D791" s="12">
        <v>46246</v>
      </c>
      <c r="E791" t="s">
        <v>133</v>
      </c>
      <c r="F791" t="s">
        <v>133</v>
      </c>
      <c r="G791" t="s">
        <v>133</v>
      </c>
      <c r="H791" t="s">
        <v>74</v>
      </c>
      <c r="I791">
        <v>20</v>
      </c>
      <c r="J791">
        <v>3.8126545117428936</v>
      </c>
      <c r="K791">
        <v>46246</v>
      </c>
      <c r="L791" t="s">
        <v>193</v>
      </c>
      <c r="M791">
        <v>7.6</v>
      </c>
      <c r="N791">
        <v>7.6</v>
      </c>
      <c r="O791">
        <v>3.0882352941176467</v>
      </c>
      <c r="P791">
        <v>1.9933618366395811</v>
      </c>
      <c r="Q791">
        <v>1.9933618366395811</v>
      </c>
      <c r="R791">
        <v>0.8099961023496749</v>
      </c>
      <c r="S791">
        <v>0</v>
      </c>
      <c r="T791">
        <v>0</v>
      </c>
      <c r="U791">
        <v>0.74336183663958111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0.25</v>
      </c>
      <c r="AB791">
        <v>0</v>
      </c>
      <c r="AC791">
        <v>0</v>
      </c>
      <c r="AD791">
        <v>0</v>
      </c>
      <c r="AE791">
        <v>0.1900038976503251</v>
      </c>
      <c r="AF791">
        <v>0</v>
      </c>
      <c r="AG791">
        <v>0.8099961023496749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0.50166506733459126</v>
      </c>
      <c r="AN791">
        <v>0.50166506733459126</v>
      </c>
      <c r="AO791">
        <v>0.40634674922600617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0.49833493266540874</v>
      </c>
      <c r="BA791">
        <v>0</v>
      </c>
      <c r="BB791">
        <v>9.5318318108585098E-2</v>
      </c>
      <c r="BC791">
        <v>0</v>
      </c>
      <c r="BD791">
        <v>0.40634674922600617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2.460952380952381</v>
      </c>
      <c r="BK791">
        <v>2.460952380952381</v>
      </c>
      <c r="BL791">
        <v>1.234573841897699</v>
      </c>
      <c r="CC791">
        <v>0</v>
      </c>
      <c r="CD791">
        <v>0</v>
      </c>
      <c r="CE791">
        <v>0</v>
      </c>
    </row>
    <row r="792" spans="1:83" hidden="1" x14ac:dyDescent="0.25">
      <c r="A792" t="s">
        <v>128</v>
      </c>
      <c r="B792" t="s">
        <v>503</v>
      </c>
      <c r="C792" t="s">
        <v>109</v>
      </c>
      <c r="D792" s="12">
        <v>46241</v>
      </c>
      <c r="E792" t="s">
        <v>134</v>
      </c>
      <c r="F792" t="s">
        <v>134</v>
      </c>
      <c r="G792" t="s">
        <v>134</v>
      </c>
      <c r="J792">
        <v>9.6923198233717081</v>
      </c>
      <c r="M792">
        <v>0</v>
      </c>
      <c r="N792">
        <v>0</v>
      </c>
      <c r="O792">
        <v>6.3620530565167224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0.6564014779181655</v>
      </c>
      <c r="AC792">
        <v>0.34359852208183456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83" hidden="1" x14ac:dyDescent="0.25">
      <c r="A793" t="s">
        <v>128</v>
      </c>
      <c r="B793" t="s">
        <v>503</v>
      </c>
      <c r="C793" t="s">
        <v>72</v>
      </c>
      <c r="D793" s="12">
        <v>46246</v>
      </c>
      <c r="E793" t="s">
        <v>133</v>
      </c>
      <c r="F793" t="s">
        <v>133</v>
      </c>
      <c r="G793" t="s">
        <v>133</v>
      </c>
      <c r="H793" t="s">
        <v>73</v>
      </c>
      <c r="I793">
        <v>20</v>
      </c>
      <c r="J793">
        <v>9.36343093325093</v>
      </c>
      <c r="K793">
        <v>46246</v>
      </c>
      <c r="L793" t="s">
        <v>194</v>
      </c>
      <c r="M793">
        <v>32.299999999999997</v>
      </c>
      <c r="N793">
        <v>32.299999999999997</v>
      </c>
      <c r="O793">
        <v>7.8392156862745086</v>
      </c>
      <c r="P793">
        <v>3.4495902442445443</v>
      </c>
      <c r="Q793">
        <v>3.4495902442445443</v>
      </c>
      <c r="R793">
        <v>0.83721615956350925</v>
      </c>
      <c r="S793">
        <v>0</v>
      </c>
      <c r="T793">
        <v>0</v>
      </c>
      <c r="U793">
        <v>2.1995902442445443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0.25</v>
      </c>
      <c r="AB793">
        <v>0</v>
      </c>
      <c r="AC793">
        <v>0</v>
      </c>
      <c r="AD793">
        <v>0</v>
      </c>
      <c r="AE793">
        <v>0.16278384043649075</v>
      </c>
      <c r="AF793">
        <v>0</v>
      </c>
      <c r="AG793">
        <v>0.83721615956350925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0.28988950257742818</v>
      </c>
      <c r="AN793">
        <v>0.28988950257742818</v>
      </c>
      <c r="AO793">
        <v>0.24270017604565045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0.71011049742257182</v>
      </c>
      <c r="BA793">
        <v>0</v>
      </c>
      <c r="BB793">
        <v>4.7189326531777737E-2</v>
      </c>
      <c r="BC793">
        <v>0</v>
      </c>
      <c r="BD793">
        <v>0.24270017604565045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4.1203101550775392</v>
      </c>
      <c r="BK793">
        <v>4.1203101550775392</v>
      </c>
      <c r="BL793">
        <v>1.1944346613201537</v>
      </c>
      <c r="CC793">
        <v>0</v>
      </c>
      <c r="CD793">
        <v>0</v>
      </c>
      <c r="CE793">
        <v>0</v>
      </c>
    </row>
    <row r="794" spans="1:83" hidden="1" x14ac:dyDescent="0.25">
      <c r="A794" t="s">
        <v>128</v>
      </c>
      <c r="B794" t="s">
        <v>503</v>
      </c>
      <c r="C794" t="s">
        <v>117</v>
      </c>
      <c r="D794" s="12">
        <v>46245</v>
      </c>
      <c r="J794">
        <v>28.225636853494706</v>
      </c>
      <c r="M794">
        <v>72.2</v>
      </c>
      <c r="N794">
        <v>72.2</v>
      </c>
      <c r="O794">
        <v>25.292416378316027</v>
      </c>
      <c r="S794">
        <v>6.1843929395066437E-2</v>
      </c>
      <c r="T794">
        <v>0</v>
      </c>
      <c r="U794">
        <v>1.6491633106597301</v>
      </c>
      <c r="V794">
        <v>0</v>
      </c>
      <c r="W794">
        <v>0</v>
      </c>
      <c r="X794">
        <v>0</v>
      </c>
      <c r="Y794">
        <v>1.0225471221684134E-2</v>
      </c>
      <c r="Z794">
        <v>0</v>
      </c>
      <c r="AA794">
        <v>0.17153351203424486</v>
      </c>
      <c r="AB794">
        <v>7.4551642547904459E-2</v>
      </c>
      <c r="AC794">
        <v>0.1487598855643158</v>
      </c>
      <c r="AD794">
        <v>0</v>
      </c>
      <c r="AE794">
        <v>3.3114316150939217E-2</v>
      </c>
      <c r="AF794">
        <v>0</v>
      </c>
      <c r="AG794">
        <v>0.69392161687277665</v>
      </c>
      <c r="AH794">
        <v>0</v>
      </c>
      <c r="AI794">
        <v>0</v>
      </c>
      <c r="AJ794">
        <v>0</v>
      </c>
      <c r="AK794">
        <v>4.9652538864063872E-2</v>
      </c>
      <c r="AL794">
        <v>0</v>
      </c>
    </row>
    <row r="795" spans="1:83" hidden="1" x14ac:dyDescent="0.25">
      <c r="A795" t="s">
        <v>128</v>
      </c>
      <c r="B795" t="s">
        <v>503</v>
      </c>
      <c r="C795" t="s">
        <v>109</v>
      </c>
      <c r="D795" s="12">
        <v>46240</v>
      </c>
      <c r="E795" t="s">
        <v>134</v>
      </c>
      <c r="F795" t="s">
        <v>134</v>
      </c>
      <c r="G795" t="s">
        <v>134</v>
      </c>
      <c r="J795">
        <v>5.4878962308784107</v>
      </c>
      <c r="M795">
        <v>0</v>
      </c>
      <c r="N795">
        <v>0</v>
      </c>
      <c r="O795">
        <v>4.6258938869665513</v>
      </c>
      <c r="S795">
        <v>0.20285211394087438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0.38469896583224689</v>
      </c>
      <c r="AC795">
        <v>0.35992548188498424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0.25537555228276881</v>
      </c>
      <c r="AL795">
        <v>0</v>
      </c>
    </row>
    <row r="796" spans="1:83" hidden="1" x14ac:dyDescent="0.25">
      <c r="A796" t="s">
        <v>128</v>
      </c>
      <c r="B796" t="s">
        <v>503</v>
      </c>
      <c r="C796" t="s">
        <v>72</v>
      </c>
      <c r="D796" s="12">
        <v>46247</v>
      </c>
      <c r="E796" t="s">
        <v>133</v>
      </c>
      <c r="F796" t="s">
        <v>133</v>
      </c>
      <c r="G796" t="s">
        <v>133</v>
      </c>
      <c r="H796" t="s">
        <v>74</v>
      </c>
      <c r="I796">
        <v>20</v>
      </c>
      <c r="J796">
        <v>3.8126545117428936</v>
      </c>
      <c r="K796">
        <v>46247</v>
      </c>
      <c r="L796" t="s">
        <v>162</v>
      </c>
      <c r="M796">
        <v>9.5</v>
      </c>
      <c r="N796">
        <v>9.5</v>
      </c>
      <c r="O796">
        <v>3.2058823529411757</v>
      </c>
      <c r="P796">
        <v>2.4917022957994766</v>
      </c>
      <c r="Q796">
        <v>2.4917022957994766</v>
      </c>
      <c r="R796">
        <v>0.8408530967249005</v>
      </c>
      <c r="S796">
        <v>0</v>
      </c>
      <c r="T796">
        <v>0</v>
      </c>
      <c r="U796">
        <v>1.2417022957994766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0.25</v>
      </c>
      <c r="AB796">
        <v>0</v>
      </c>
      <c r="AC796">
        <v>0</v>
      </c>
      <c r="AD796">
        <v>0</v>
      </c>
      <c r="AE796">
        <v>0.1591469032750995</v>
      </c>
      <c r="AF796">
        <v>0</v>
      </c>
      <c r="AG796">
        <v>0.8408530967249005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0.40133205386767301</v>
      </c>
      <c r="AN796">
        <v>0.40133205386767301</v>
      </c>
      <c r="AO796">
        <v>0.33746130030959742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0.59866794613232699</v>
      </c>
      <c r="BA796">
        <v>0</v>
      </c>
      <c r="BB796">
        <v>6.3870753558075588E-2</v>
      </c>
      <c r="BC796">
        <v>0</v>
      </c>
      <c r="BD796">
        <v>0.33746130030959742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2.9633027522935786</v>
      </c>
      <c r="BK796">
        <v>2.9633027522935786</v>
      </c>
      <c r="BL796">
        <v>1.1892683798097101</v>
      </c>
      <c r="CC796">
        <v>0</v>
      </c>
      <c r="CD796">
        <v>0</v>
      </c>
      <c r="CE796">
        <v>0</v>
      </c>
    </row>
    <row r="797" spans="1:83" hidden="1" x14ac:dyDescent="0.25">
      <c r="A797" t="s">
        <v>128</v>
      </c>
      <c r="B797" t="s">
        <v>503</v>
      </c>
      <c r="C797" t="s">
        <v>117</v>
      </c>
      <c r="D797" s="12">
        <v>46247</v>
      </c>
      <c r="J797">
        <v>31.27914594712361</v>
      </c>
      <c r="M797">
        <v>74.099999999999994</v>
      </c>
      <c r="N797">
        <v>74.099999999999994</v>
      </c>
      <c r="O797">
        <v>27.542848904267586</v>
      </c>
      <c r="S797">
        <v>2.2931384918769136E-2</v>
      </c>
      <c r="T797">
        <v>0</v>
      </c>
      <c r="U797">
        <v>1.508581618652878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0.17208177884718448</v>
      </c>
      <c r="AB797">
        <v>0.14117029544139026</v>
      </c>
      <c r="AC797">
        <v>9.6085321919256741E-2</v>
      </c>
      <c r="AD797">
        <v>0</v>
      </c>
      <c r="AE797">
        <v>5.6916013775326402E-2</v>
      </c>
      <c r="AF797">
        <v>0</v>
      </c>
      <c r="AG797">
        <v>0.63141110161341152</v>
      </c>
      <c r="AH797">
        <v>0</v>
      </c>
      <c r="AI797">
        <v>0</v>
      </c>
      <c r="AJ797">
        <v>0</v>
      </c>
      <c r="AK797">
        <v>7.4417267250614996E-2</v>
      </c>
      <c r="AL797">
        <v>0</v>
      </c>
    </row>
    <row r="798" spans="1:83" hidden="1" x14ac:dyDescent="0.25">
      <c r="A798" t="s">
        <v>128</v>
      </c>
      <c r="B798" t="s">
        <v>503</v>
      </c>
      <c r="C798" t="s">
        <v>109</v>
      </c>
      <c r="D798" s="12">
        <v>46242</v>
      </c>
      <c r="E798" t="s">
        <v>133</v>
      </c>
      <c r="F798" t="s">
        <v>133</v>
      </c>
      <c r="G798" t="s">
        <v>133</v>
      </c>
      <c r="J798">
        <v>20.577120673671203</v>
      </c>
      <c r="M798">
        <v>58.9</v>
      </c>
      <c r="N798">
        <v>58.9</v>
      </c>
      <c r="O798">
        <v>20.727941176470587</v>
      </c>
      <c r="S798">
        <v>0</v>
      </c>
      <c r="T798">
        <v>0</v>
      </c>
      <c r="U798">
        <v>1.612402419370734</v>
      </c>
      <c r="V798">
        <v>0</v>
      </c>
      <c r="W798">
        <v>0</v>
      </c>
      <c r="X798">
        <v>0</v>
      </c>
      <c r="Y798">
        <v>1.7680611503528242E-2</v>
      </c>
      <c r="Z798">
        <v>0</v>
      </c>
      <c r="AA798">
        <v>0.23231938849647177</v>
      </c>
      <c r="AB798">
        <v>0</v>
      </c>
      <c r="AC798">
        <v>0</v>
      </c>
      <c r="AD798">
        <v>0</v>
      </c>
      <c r="AE798">
        <v>1.035108735915378E-2</v>
      </c>
      <c r="AF798">
        <v>0</v>
      </c>
      <c r="AG798">
        <v>0.98964891264084631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83" hidden="1" x14ac:dyDescent="0.25">
      <c r="A799" t="s">
        <v>128</v>
      </c>
      <c r="B799" t="s">
        <v>503</v>
      </c>
      <c r="C799" t="s">
        <v>72</v>
      </c>
      <c r="D799" s="12">
        <v>46242</v>
      </c>
      <c r="E799" t="s">
        <v>133</v>
      </c>
      <c r="F799" t="s">
        <v>133</v>
      </c>
      <c r="G799" t="s">
        <v>133</v>
      </c>
      <c r="H799" t="s">
        <v>75</v>
      </c>
      <c r="I799">
        <v>20</v>
      </c>
      <c r="J799">
        <v>7.4010352286773822</v>
      </c>
      <c r="K799">
        <v>46242</v>
      </c>
      <c r="L799" t="s">
        <v>204</v>
      </c>
      <c r="M799">
        <v>20.9</v>
      </c>
      <c r="N799">
        <v>20.9</v>
      </c>
      <c r="O799">
        <v>7.2926470588235297</v>
      </c>
      <c r="P799">
        <v>2.8239292685727397</v>
      </c>
      <c r="Q799">
        <v>2.8239292685727397</v>
      </c>
      <c r="R799">
        <v>0.98535499879342936</v>
      </c>
      <c r="S799">
        <v>0</v>
      </c>
      <c r="T799">
        <v>0</v>
      </c>
      <c r="U799">
        <v>1.5739292685727397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0.25</v>
      </c>
      <c r="AB799">
        <v>0</v>
      </c>
      <c r="AC799">
        <v>0</v>
      </c>
      <c r="AD799">
        <v>0</v>
      </c>
      <c r="AE799">
        <v>1.464500120657064E-2</v>
      </c>
      <c r="AF799">
        <v>0</v>
      </c>
      <c r="AG799">
        <v>0.98535499879342936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0.35411651811853506</v>
      </c>
      <c r="AN799">
        <v>0.35411651811853506</v>
      </c>
      <c r="AO799">
        <v>0.34893048128342252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0.64588348188146494</v>
      </c>
      <c r="BA799">
        <v>0</v>
      </c>
      <c r="BB799">
        <v>5.1860368351125397E-3</v>
      </c>
      <c r="BC799">
        <v>0</v>
      </c>
      <c r="BD799">
        <v>0.34893048128342252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2.8659003831417622</v>
      </c>
      <c r="BK799">
        <v>2.8659003831417622</v>
      </c>
      <c r="BL799">
        <v>1.0148626649527364</v>
      </c>
      <c r="CC799">
        <v>0</v>
      </c>
      <c r="CD799">
        <v>0</v>
      </c>
      <c r="CE799">
        <v>0</v>
      </c>
    </row>
    <row r="800" spans="1:83" hidden="1" x14ac:dyDescent="0.25">
      <c r="A800" t="s">
        <v>128</v>
      </c>
      <c r="B800" t="s">
        <v>503</v>
      </c>
      <c r="C800" t="s">
        <v>72</v>
      </c>
      <c r="D800" s="12">
        <v>46245</v>
      </c>
      <c r="E800" t="s">
        <v>133</v>
      </c>
      <c r="F800" t="s">
        <v>133</v>
      </c>
      <c r="G800" t="s">
        <v>133</v>
      </c>
      <c r="H800" t="s">
        <v>75</v>
      </c>
      <c r="I800">
        <v>20</v>
      </c>
      <c r="J800">
        <v>7.344966779975282</v>
      </c>
      <c r="K800">
        <v>46245</v>
      </c>
      <c r="L800" t="s">
        <v>195</v>
      </c>
      <c r="M800">
        <v>20.9</v>
      </c>
      <c r="N800">
        <v>20.9</v>
      </c>
      <c r="O800">
        <v>6.4102941176470569</v>
      </c>
      <c r="P800">
        <v>2.8454859805465769</v>
      </c>
      <c r="Q800">
        <v>2.8454859805465769</v>
      </c>
      <c r="R800">
        <v>0.87274650923181296</v>
      </c>
      <c r="S800">
        <v>0</v>
      </c>
      <c r="T800">
        <v>0</v>
      </c>
      <c r="U800">
        <v>1.5954859805465769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0.25</v>
      </c>
      <c r="AB800">
        <v>0</v>
      </c>
      <c r="AC800">
        <v>0</v>
      </c>
      <c r="AD800">
        <v>0</v>
      </c>
      <c r="AE800">
        <v>0.12725349076818704</v>
      </c>
      <c r="AF800">
        <v>0</v>
      </c>
      <c r="AG800">
        <v>0.87274650923181296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0.35143381722369771</v>
      </c>
      <c r="AN800">
        <v>0.35143381722369771</v>
      </c>
      <c r="AO800">
        <v>0.30671263720799319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0.64856618277630229</v>
      </c>
      <c r="BA800">
        <v>0</v>
      </c>
      <c r="BB800">
        <v>4.472118001570452E-2</v>
      </c>
      <c r="BC800">
        <v>0</v>
      </c>
      <c r="BD800">
        <v>0.30671263720799319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3.2603808212892873</v>
      </c>
      <c r="BK800">
        <v>3.2603808212892873</v>
      </c>
      <c r="BL800">
        <v>1.1458080776286288</v>
      </c>
      <c r="CC800">
        <v>0</v>
      </c>
      <c r="CD800">
        <v>0</v>
      </c>
      <c r="CE800">
        <v>0</v>
      </c>
    </row>
    <row r="801" spans="1:83" hidden="1" x14ac:dyDescent="0.25">
      <c r="A801" t="s">
        <v>128</v>
      </c>
      <c r="B801" t="s">
        <v>503</v>
      </c>
      <c r="C801" t="s">
        <v>72</v>
      </c>
      <c r="D801" s="12">
        <v>46224</v>
      </c>
      <c r="E801" t="s">
        <v>133</v>
      </c>
      <c r="F801" t="s">
        <v>133</v>
      </c>
      <c r="G801" t="s">
        <v>133</v>
      </c>
      <c r="H801" t="s">
        <v>74</v>
      </c>
      <c r="I801">
        <v>20</v>
      </c>
      <c r="J801">
        <v>3.8126545117428936</v>
      </c>
      <c r="K801">
        <v>46224</v>
      </c>
      <c r="L801" t="s">
        <v>169</v>
      </c>
      <c r="M801">
        <v>9.5</v>
      </c>
      <c r="N801">
        <v>9.5</v>
      </c>
      <c r="O801">
        <v>3.2058823529411757</v>
      </c>
      <c r="P801">
        <v>2.4917022957994766</v>
      </c>
      <c r="Q801">
        <v>2.4917022957994766</v>
      </c>
      <c r="R801">
        <v>0.8408530967249005</v>
      </c>
      <c r="S801">
        <v>0</v>
      </c>
      <c r="T801">
        <v>0</v>
      </c>
      <c r="U801">
        <v>1.2417022957994766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0.25</v>
      </c>
      <c r="AB801">
        <v>0</v>
      </c>
      <c r="AC801">
        <v>0</v>
      </c>
      <c r="AD801">
        <v>0</v>
      </c>
      <c r="AE801">
        <v>0.1591469032750995</v>
      </c>
      <c r="AF801">
        <v>0</v>
      </c>
      <c r="AG801">
        <v>0.8408530967249005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0.40133205386767301</v>
      </c>
      <c r="AN801">
        <v>0.40133205386767301</v>
      </c>
      <c r="AO801">
        <v>0.33746130030959742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0.59866794613232699</v>
      </c>
      <c r="BA801">
        <v>0</v>
      </c>
      <c r="BB801">
        <v>6.3870753558075588E-2</v>
      </c>
      <c r="BC801">
        <v>0</v>
      </c>
      <c r="BD801">
        <v>0.33746130030959742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2.9633027522935786</v>
      </c>
      <c r="BK801">
        <v>2.9633027522935786</v>
      </c>
      <c r="BL801">
        <v>1.1892683798097101</v>
      </c>
      <c r="CC801">
        <v>0</v>
      </c>
      <c r="CD801">
        <v>0</v>
      </c>
      <c r="CE801">
        <v>0</v>
      </c>
    </row>
    <row r="802" spans="1:83" hidden="1" x14ac:dyDescent="0.25">
      <c r="A802" t="s">
        <v>128</v>
      </c>
      <c r="B802" t="s">
        <v>503</v>
      </c>
      <c r="C802" t="s">
        <v>117</v>
      </c>
      <c r="D802" s="12">
        <v>46244</v>
      </c>
      <c r="J802">
        <v>26.998782961124352</v>
      </c>
      <c r="M802">
        <v>51.3</v>
      </c>
      <c r="N802">
        <v>51.3</v>
      </c>
      <c r="O802">
        <v>26.40703575547866</v>
      </c>
      <c r="S802">
        <v>7.9591454944243842E-2</v>
      </c>
      <c r="T802">
        <v>0</v>
      </c>
      <c r="U802">
        <v>0.90326829391185803</v>
      </c>
      <c r="V802">
        <v>0</v>
      </c>
      <c r="W802">
        <v>0</v>
      </c>
      <c r="X802">
        <v>0</v>
      </c>
      <c r="Y802">
        <v>3.5079158000156506E-2</v>
      </c>
      <c r="Z802">
        <v>0</v>
      </c>
      <c r="AA802">
        <v>0.16428431268487828</v>
      </c>
      <c r="AB802">
        <v>5.3588643054955747E-2</v>
      </c>
      <c r="AC802">
        <v>0.10926250650071129</v>
      </c>
      <c r="AD802">
        <v>0</v>
      </c>
      <c r="AE802">
        <v>6.3979879293055597E-2</v>
      </c>
      <c r="AF802">
        <v>0</v>
      </c>
      <c r="AG802">
        <v>0.73347400344708358</v>
      </c>
      <c r="AH802">
        <v>0</v>
      </c>
      <c r="AI802">
        <v>0</v>
      </c>
      <c r="AJ802">
        <v>0</v>
      </c>
      <c r="AK802">
        <v>3.9694967704193819E-2</v>
      </c>
      <c r="AL802">
        <v>0</v>
      </c>
    </row>
    <row r="803" spans="1:83" hidden="1" x14ac:dyDescent="0.25">
      <c r="A803" t="s">
        <v>128</v>
      </c>
      <c r="B803" t="s">
        <v>503</v>
      </c>
      <c r="C803" t="s">
        <v>72</v>
      </c>
      <c r="D803" s="12">
        <v>46225</v>
      </c>
      <c r="E803" t="s">
        <v>133</v>
      </c>
      <c r="F803" t="s">
        <v>133</v>
      </c>
      <c r="G803" t="s">
        <v>133</v>
      </c>
      <c r="H803" t="s">
        <v>73</v>
      </c>
      <c r="I803">
        <v>20</v>
      </c>
      <c r="J803">
        <v>9.36343093325093</v>
      </c>
      <c r="K803">
        <v>46225</v>
      </c>
      <c r="L803" t="s">
        <v>163</v>
      </c>
      <c r="M803">
        <v>32.299999999999997</v>
      </c>
      <c r="N803">
        <v>32.299999999999997</v>
      </c>
      <c r="O803">
        <v>7.4758738277919807</v>
      </c>
      <c r="P803">
        <v>3.4495902442445443</v>
      </c>
      <c r="Q803">
        <v>3.4495902442445443</v>
      </c>
      <c r="R803">
        <v>0.79841180877877205</v>
      </c>
      <c r="S803">
        <v>0</v>
      </c>
      <c r="T803">
        <v>0</v>
      </c>
      <c r="U803">
        <v>2.1995902442445443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0.25</v>
      </c>
      <c r="AB803">
        <v>0</v>
      </c>
      <c r="AC803">
        <v>0</v>
      </c>
      <c r="AD803">
        <v>0</v>
      </c>
      <c r="AE803">
        <v>0.20158819122122795</v>
      </c>
      <c r="AF803">
        <v>0</v>
      </c>
      <c r="AG803">
        <v>0.79841180877877205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0.28988950257742818</v>
      </c>
      <c r="AN803">
        <v>0.28988950257742818</v>
      </c>
      <c r="AO803">
        <v>0.23145120209882294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0.71011049742257182</v>
      </c>
      <c r="BA803">
        <v>0</v>
      </c>
      <c r="BB803">
        <v>5.8438300478605237E-2</v>
      </c>
      <c r="BC803">
        <v>0</v>
      </c>
      <c r="BD803">
        <v>0.23145120209882294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4.3205651598777566</v>
      </c>
      <c r="BK803">
        <v>4.3205651598777566</v>
      </c>
      <c r="BL803">
        <v>1.2524864850503294</v>
      </c>
      <c r="CC803">
        <v>0</v>
      </c>
      <c r="CD803">
        <v>0</v>
      </c>
      <c r="CE803">
        <v>0</v>
      </c>
    </row>
    <row r="804" spans="1:83" hidden="1" x14ac:dyDescent="0.25">
      <c r="A804" t="s">
        <v>128</v>
      </c>
      <c r="B804" t="s">
        <v>503</v>
      </c>
      <c r="C804" t="s">
        <v>117</v>
      </c>
      <c r="D804" s="12">
        <v>46248</v>
      </c>
      <c r="J804">
        <v>32.156370181553378</v>
      </c>
      <c r="M804">
        <v>72.199999999999989</v>
      </c>
      <c r="N804">
        <v>72.199999999999989</v>
      </c>
      <c r="O804">
        <v>27.174769319492498</v>
      </c>
      <c r="S804">
        <v>1.4375886117040573E-2</v>
      </c>
      <c r="T804">
        <v>0</v>
      </c>
      <c r="U804">
        <v>1.4453932112205132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0.15997701666492309</v>
      </c>
      <c r="AB804">
        <v>0.13320325985643999</v>
      </c>
      <c r="AC804">
        <v>0.14484988334059531</v>
      </c>
      <c r="AD804">
        <v>0</v>
      </c>
      <c r="AE804">
        <v>2.9609084243513117E-2</v>
      </c>
      <c r="AF804">
        <v>0</v>
      </c>
      <c r="AG804">
        <v>0.61029898241617941</v>
      </c>
      <c r="AH804">
        <v>0</v>
      </c>
      <c r="AI804">
        <v>0</v>
      </c>
      <c r="AJ804">
        <v>0</v>
      </c>
      <c r="AK804">
        <v>8.2038790143272228E-2</v>
      </c>
      <c r="AL804">
        <v>0</v>
      </c>
    </row>
    <row r="805" spans="1:83" hidden="1" x14ac:dyDescent="0.25">
      <c r="A805" t="s">
        <v>128</v>
      </c>
      <c r="B805" t="s">
        <v>503</v>
      </c>
      <c r="C805" t="s">
        <v>72</v>
      </c>
      <c r="D805" s="12">
        <v>46244</v>
      </c>
      <c r="E805" t="s">
        <v>133</v>
      </c>
      <c r="F805" t="s">
        <v>133</v>
      </c>
      <c r="G805" t="s">
        <v>133</v>
      </c>
      <c r="H805" t="s">
        <v>75</v>
      </c>
      <c r="I805">
        <v>20</v>
      </c>
      <c r="J805">
        <v>7.4010352286773822</v>
      </c>
      <c r="K805">
        <v>46244</v>
      </c>
      <c r="L805" t="s">
        <v>198</v>
      </c>
      <c r="M805">
        <v>20.9</v>
      </c>
      <c r="N805">
        <v>20.9</v>
      </c>
      <c r="O805">
        <v>7.984313725490197</v>
      </c>
      <c r="P805">
        <v>2.8239292685727397</v>
      </c>
      <c r="Q805">
        <v>2.8239292685727397</v>
      </c>
      <c r="R805">
        <v>1.0788103932477904</v>
      </c>
      <c r="S805">
        <v>0</v>
      </c>
      <c r="T805">
        <v>0</v>
      </c>
      <c r="U805">
        <v>1.5739292685727397</v>
      </c>
      <c r="V805">
        <v>0</v>
      </c>
      <c r="W805">
        <v>0</v>
      </c>
      <c r="X805">
        <v>0</v>
      </c>
      <c r="Y805">
        <v>7.8810393247790378E-2</v>
      </c>
      <c r="Z805">
        <v>0</v>
      </c>
      <c r="AA805">
        <v>0.17118960675220962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0.35411651811853506</v>
      </c>
      <c r="AN805">
        <v>0.35411651811853506</v>
      </c>
      <c r="AO805">
        <v>0.38202458016699509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0.61797541983300497</v>
      </c>
      <c r="BA805">
        <v>0</v>
      </c>
      <c r="BB805">
        <v>0</v>
      </c>
      <c r="BC805">
        <v>0</v>
      </c>
      <c r="BD805">
        <v>0.35411651811853506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2.6176326129666005</v>
      </c>
      <c r="BK805">
        <v>2.6176326129666005</v>
      </c>
      <c r="BL805">
        <v>0.92694694661725552</v>
      </c>
      <c r="CC805">
        <v>0</v>
      </c>
      <c r="CD805">
        <v>0</v>
      </c>
      <c r="CE805">
        <v>0</v>
      </c>
    </row>
    <row r="806" spans="1:83" hidden="1" x14ac:dyDescent="0.25">
      <c r="A806" t="s">
        <v>128</v>
      </c>
      <c r="B806" t="s">
        <v>503</v>
      </c>
      <c r="C806" t="s">
        <v>117</v>
      </c>
      <c r="D806" s="12">
        <v>46246</v>
      </c>
      <c r="J806">
        <v>30.283106446650983</v>
      </c>
      <c r="M806">
        <v>60.8</v>
      </c>
      <c r="N806">
        <v>60.8</v>
      </c>
      <c r="O806">
        <v>23.749596309111876</v>
      </c>
      <c r="S806">
        <v>2.5416398351815889E-2</v>
      </c>
      <c r="T806">
        <v>0</v>
      </c>
      <c r="U806">
        <v>1.1884418632124925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0.16385563742866041</v>
      </c>
      <c r="AB806">
        <v>0.10216544237301918</v>
      </c>
      <c r="AC806">
        <v>0.12720047806486351</v>
      </c>
      <c r="AD806">
        <v>0</v>
      </c>
      <c r="AE806">
        <v>0.11396360618070424</v>
      </c>
      <c r="AF806">
        <v>0</v>
      </c>
      <c r="AG806">
        <v>0.54145894353393742</v>
      </c>
      <c r="AH806">
        <v>0</v>
      </c>
      <c r="AI806">
        <v>0</v>
      </c>
      <c r="AJ806">
        <v>0</v>
      </c>
      <c r="AK806">
        <v>0.11521152984747578</v>
      </c>
      <c r="AL806">
        <v>0</v>
      </c>
    </row>
    <row r="807" spans="1:83" hidden="1" x14ac:dyDescent="0.25">
      <c r="A807" t="s">
        <v>128</v>
      </c>
      <c r="B807" t="s">
        <v>503</v>
      </c>
      <c r="C807" t="s">
        <v>109</v>
      </c>
      <c r="D807" s="12">
        <v>46243</v>
      </c>
      <c r="E807" t="s">
        <v>133</v>
      </c>
      <c r="F807" t="s">
        <v>133</v>
      </c>
      <c r="G807" t="s">
        <v>133</v>
      </c>
      <c r="J807">
        <v>20.689257571075409</v>
      </c>
      <c r="M807">
        <v>72.2</v>
      </c>
      <c r="N807">
        <v>72.2</v>
      </c>
      <c r="O807">
        <v>19.624999999999993</v>
      </c>
      <c r="S807">
        <v>0</v>
      </c>
      <c r="T807">
        <v>0</v>
      </c>
      <c r="U807">
        <v>2.2397337302687514</v>
      </c>
      <c r="V807">
        <v>0</v>
      </c>
      <c r="W807">
        <v>0</v>
      </c>
      <c r="X807">
        <v>0</v>
      </c>
      <c r="Y807">
        <v>1.1898397843575884E-2</v>
      </c>
      <c r="Z807">
        <v>0</v>
      </c>
      <c r="AA807">
        <v>0.23810160215642415</v>
      </c>
      <c r="AB807">
        <v>0</v>
      </c>
      <c r="AC807">
        <v>0</v>
      </c>
      <c r="AD807">
        <v>0</v>
      </c>
      <c r="AE807">
        <v>6.3338502323849855E-2</v>
      </c>
      <c r="AF807">
        <v>0</v>
      </c>
      <c r="AG807">
        <v>0.93666149767615026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83" hidden="1" x14ac:dyDescent="0.25">
      <c r="A808" t="s">
        <v>128</v>
      </c>
      <c r="B808" t="s">
        <v>503</v>
      </c>
      <c r="C808" t="s">
        <v>117</v>
      </c>
      <c r="D808" s="12">
        <v>46243</v>
      </c>
      <c r="J808">
        <v>27.440678571665288</v>
      </c>
      <c r="M808">
        <v>72.2</v>
      </c>
      <c r="N808">
        <v>72.2</v>
      </c>
      <c r="O808">
        <v>24.250893886966544</v>
      </c>
      <c r="S808">
        <v>1.0557389789051221E-2</v>
      </c>
      <c r="T808">
        <v>0</v>
      </c>
      <c r="U808">
        <v>1.6886764631252194</v>
      </c>
      <c r="V808">
        <v>0</v>
      </c>
      <c r="W808">
        <v>0</v>
      </c>
      <c r="X808">
        <v>0</v>
      </c>
      <c r="Y808">
        <v>8.9709522680338893E-3</v>
      </c>
      <c r="Z808">
        <v>0</v>
      </c>
      <c r="AA808">
        <v>0.17951980896662756</v>
      </c>
      <c r="AB808">
        <v>0.10089500679619576</v>
      </c>
      <c r="AC808">
        <v>9.4069066551576014E-2</v>
      </c>
      <c r="AD808">
        <v>0</v>
      </c>
      <c r="AE808">
        <v>4.7754890073943332E-2</v>
      </c>
      <c r="AF808">
        <v>0</v>
      </c>
      <c r="AG808">
        <v>0.70620815486470256</v>
      </c>
      <c r="AH808">
        <v>0</v>
      </c>
      <c r="AI808">
        <v>0</v>
      </c>
      <c r="AJ808">
        <v>0</v>
      </c>
      <c r="AK808">
        <v>5.1072881713582513E-2</v>
      </c>
      <c r="AL808">
        <v>0</v>
      </c>
    </row>
    <row r="809" spans="1:83" hidden="1" x14ac:dyDescent="0.25">
      <c r="A809" t="s">
        <v>128</v>
      </c>
      <c r="B809" t="s">
        <v>503</v>
      </c>
      <c r="C809" t="s">
        <v>72</v>
      </c>
      <c r="D809" s="12">
        <v>46248</v>
      </c>
      <c r="E809" t="s">
        <v>133</v>
      </c>
      <c r="F809" t="s">
        <v>133</v>
      </c>
      <c r="G809" t="s">
        <v>133</v>
      </c>
      <c r="H809" t="s">
        <v>73</v>
      </c>
      <c r="I809">
        <v>20</v>
      </c>
      <c r="J809">
        <v>9.36343093325093</v>
      </c>
      <c r="K809">
        <v>46248</v>
      </c>
      <c r="L809" t="s">
        <v>159</v>
      </c>
      <c r="M809">
        <v>38</v>
      </c>
      <c r="N809">
        <v>38</v>
      </c>
      <c r="O809">
        <v>9.258823529411762</v>
      </c>
      <c r="P809">
        <v>4.0583414638171114</v>
      </c>
      <c r="Q809">
        <v>4.0583414638171114</v>
      </c>
      <c r="R809">
        <v>0.98882809040992747</v>
      </c>
      <c r="S809">
        <v>0</v>
      </c>
      <c r="T809">
        <v>0</v>
      </c>
      <c r="U809">
        <v>2.8083414638171114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0.25</v>
      </c>
      <c r="AB809">
        <v>0</v>
      </c>
      <c r="AC809">
        <v>0</v>
      </c>
      <c r="AD809">
        <v>0</v>
      </c>
      <c r="AE809">
        <v>1.1171909590072526E-2</v>
      </c>
      <c r="AF809">
        <v>0</v>
      </c>
      <c r="AG809">
        <v>0.98882809040992747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0.24640607719081395</v>
      </c>
      <c r="AN809">
        <v>0.24640607719081395</v>
      </c>
      <c r="AO809">
        <v>0.24365325077399375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0.75359392280918602</v>
      </c>
      <c r="BA809">
        <v>0</v>
      </c>
      <c r="BB809">
        <v>2.7528264168202032E-3</v>
      </c>
      <c r="BC809">
        <v>0</v>
      </c>
      <c r="BD809">
        <v>0.24365325077399375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4.1041931385006363</v>
      </c>
      <c r="BK809">
        <v>4.1041931385006363</v>
      </c>
      <c r="BL809">
        <v>1.0112981312913969</v>
      </c>
      <c r="CC809">
        <v>0</v>
      </c>
      <c r="CD809">
        <v>0</v>
      </c>
      <c r="CE809">
        <v>0</v>
      </c>
    </row>
    <row r="810" spans="1:83" hidden="1" x14ac:dyDescent="0.25">
      <c r="A810" t="s">
        <v>128</v>
      </c>
      <c r="B810" t="s">
        <v>503</v>
      </c>
      <c r="C810" t="s">
        <v>72</v>
      </c>
      <c r="D810" s="12">
        <v>46245</v>
      </c>
      <c r="E810" t="s">
        <v>133</v>
      </c>
      <c r="F810" t="s">
        <v>133</v>
      </c>
      <c r="G810" t="s">
        <v>133</v>
      </c>
      <c r="H810" t="s">
        <v>73</v>
      </c>
      <c r="I810">
        <v>20</v>
      </c>
      <c r="J810">
        <v>9.36343093325093</v>
      </c>
      <c r="K810">
        <v>46245</v>
      </c>
      <c r="L810" t="s">
        <v>197</v>
      </c>
      <c r="M810">
        <v>43.7</v>
      </c>
      <c r="N810">
        <v>43.7</v>
      </c>
      <c r="O810">
        <v>9.4058823529411768</v>
      </c>
      <c r="P810">
        <v>4.6670926833896775</v>
      </c>
      <c r="Q810">
        <v>4.6670926833896775</v>
      </c>
      <c r="R810">
        <v>1.0045337462296535</v>
      </c>
      <c r="S810">
        <v>0</v>
      </c>
      <c r="T810">
        <v>0</v>
      </c>
      <c r="U810">
        <v>3.4170926833896775</v>
      </c>
      <c r="V810">
        <v>0</v>
      </c>
      <c r="W810">
        <v>0</v>
      </c>
      <c r="X810">
        <v>0</v>
      </c>
      <c r="Y810">
        <v>4.5337462296535236E-3</v>
      </c>
      <c r="Z810">
        <v>0</v>
      </c>
      <c r="AA810">
        <v>0.24546625377034648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0.21426615407896868</v>
      </c>
      <c r="AN810">
        <v>0.21426615407896868</v>
      </c>
      <c r="AO810">
        <v>0.21523758244716654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0.78476241755283349</v>
      </c>
      <c r="BA810">
        <v>0</v>
      </c>
      <c r="BB810">
        <v>0</v>
      </c>
      <c r="BC810">
        <v>0</v>
      </c>
      <c r="BD810">
        <v>0.21426615407896868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4.6460287679799865</v>
      </c>
      <c r="BK810">
        <v>4.6460287679799865</v>
      </c>
      <c r="BL810">
        <v>0.99548671585532089</v>
      </c>
      <c r="CC810">
        <v>0</v>
      </c>
      <c r="CD810">
        <v>0</v>
      </c>
      <c r="CE810">
        <v>0</v>
      </c>
    </row>
    <row r="811" spans="1:83" hidden="1" x14ac:dyDescent="0.25">
      <c r="A811" t="s">
        <v>128</v>
      </c>
      <c r="B811" t="s">
        <v>503</v>
      </c>
      <c r="C811" t="s">
        <v>72</v>
      </c>
      <c r="D811" s="12">
        <v>46247</v>
      </c>
      <c r="E811" t="s">
        <v>133</v>
      </c>
      <c r="F811" t="s">
        <v>133</v>
      </c>
      <c r="G811" t="s">
        <v>133</v>
      </c>
      <c r="H811" t="s">
        <v>75</v>
      </c>
      <c r="I811">
        <v>20</v>
      </c>
      <c r="J811">
        <v>7.4010352286773822</v>
      </c>
      <c r="K811">
        <v>46247</v>
      </c>
      <c r="L811" t="s">
        <v>161</v>
      </c>
      <c r="M811">
        <v>22.799999999999997</v>
      </c>
      <c r="N811">
        <v>22.799999999999997</v>
      </c>
      <c r="O811">
        <v>6.4686274509803905</v>
      </c>
      <c r="P811">
        <v>3.0806501111702613</v>
      </c>
      <c r="Q811">
        <v>3.0806501111702613</v>
      </c>
      <c r="R811">
        <v>0.87401657350797135</v>
      </c>
      <c r="S811">
        <v>0</v>
      </c>
      <c r="T811">
        <v>0</v>
      </c>
      <c r="U811">
        <v>1.8306501111702613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0.25</v>
      </c>
      <c r="AB811">
        <v>0</v>
      </c>
      <c r="AC811">
        <v>0</v>
      </c>
      <c r="AD811">
        <v>0</v>
      </c>
      <c r="AE811">
        <v>0.12598342649202865</v>
      </c>
      <c r="AF811">
        <v>0</v>
      </c>
      <c r="AG811">
        <v>0.87401657350797135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0.32460680827532384</v>
      </c>
      <c r="AN811">
        <v>0.32460680827532384</v>
      </c>
      <c r="AO811">
        <v>0.28371173030615754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0.67539319172467616</v>
      </c>
      <c r="BA811">
        <v>0</v>
      </c>
      <c r="BB811">
        <v>4.0895077969166305E-2</v>
      </c>
      <c r="BC811">
        <v>0</v>
      </c>
      <c r="BD811">
        <v>0.28371173030615754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3.5247044558957263</v>
      </c>
      <c r="BK811">
        <v>3.5247044558957263</v>
      </c>
      <c r="BL811">
        <v>1.1441430635421237</v>
      </c>
      <c r="CC811">
        <v>0</v>
      </c>
      <c r="CD811">
        <v>0</v>
      </c>
      <c r="CE811">
        <v>0</v>
      </c>
    </row>
    <row r="812" spans="1:83" hidden="1" x14ac:dyDescent="0.25">
      <c r="A812" t="s">
        <v>128</v>
      </c>
      <c r="B812" t="s">
        <v>503</v>
      </c>
      <c r="C812" t="s">
        <v>109</v>
      </c>
      <c r="D812" s="12">
        <v>46242</v>
      </c>
      <c r="E812" t="s">
        <v>134</v>
      </c>
      <c r="F812" t="s">
        <v>134</v>
      </c>
      <c r="G812" t="s">
        <v>134</v>
      </c>
      <c r="J812">
        <v>5.798257372654156</v>
      </c>
      <c r="M812">
        <v>0</v>
      </c>
      <c r="N812">
        <v>0</v>
      </c>
      <c r="O812">
        <v>3.6336793540945793</v>
      </c>
      <c r="S812">
        <v>4.2354845070614065E-2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0.34262372345430925</v>
      </c>
      <c r="AC812">
        <v>0.41567011540825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0.24170616113744078</v>
      </c>
      <c r="AL812">
        <v>0</v>
      </c>
    </row>
    <row r="813" spans="1:83" hidden="1" x14ac:dyDescent="0.25">
      <c r="A813" t="s">
        <v>128</v>
      </c>
      <c r="B813" t="s">
        <v>503</v>
      </c>
      <c r="C813" t="s">
        <v>72</v>
      </c>
      <c r="D813" s="12">
        <v>46224</v>
      </c>
      <c r="E813" t="s">
        <v>133</v>
      </c>
      <c r="F813" t="s">
        <v>133</v>
      </c>
      <c r="G813" t="s">
        <v>133</v>
      </c>
      <c r="H813" t="s">
        <v>75</v>
      </c>
      <c r="I813">
        <v>20</v>
      </c>
      <c r="J813">
        <v>7.4010352286773822</v>
      </c>
      <c r="K813">
        <v>46224</v>
      </c>
      <c r="L813" t="s">
        <v>166</v>
      </c>
      <c r="M813">
        <v>30.4</v>
      </c>
      <c r="N813">
        <v>30.4</v>
      </c>
      <c r="O813">
        <v>7.6602941176470525</v>
      </c>
      <c r="P813">
        <v>4.107533481560349</v>
      </c>
      <c r="Q813">
        <v>4.107533481560349</v>
      </c>
      <c r="R813">
        <v>1.0350300844353637</v>
      </c>
      <c r="S813">
        <v>0</v>
      </c>
      <c r="T813">
        <v>0</v>
      </c>
      <c r="U813">
        <v>2.857533481560349</v>
      </c>
      <c r="V813">
        <v>0</v>
      </c>
      <c r="W813">
        <v>0</v>
      </c>
      <c r="X813">
        <v>0</v>
      </c>
      <c r="Y813">
        <v>3.5030084435363706E-2</v>
      </c>
      <c r="Z813">
        <v>0</v>
      </c>
      <c r="AA813">
        <v>0.21496991556463629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0.24345510620649286</v>
      </c>
      <c r="AN813">
        <v>0.24345510620649286</v>
      </c>
      <c r="AO813">
        <v>0.25198335913312675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0.74801664086687325</v>
      </c>
      <c r="BA813">
        <v>0</v>
      </c>
      <c r="BB813">
        <v>0</v>
      </c>
      <c r="BC813">
        <v>0</v>
      </c>
      <c r="BD813">
        <v>0.24345510620649286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3.9685160299481699</v>
      </c>
      <c r="BK813">
        <v>3.9685160299481699</v>
      </c>
      <c r="BL813">
        <v>0.96615549155320102</v>
      </c>
      <c r="CC813">
        <v>0</v>
      </c>
      <c r="CD813">
        <v>0</v>
      </c>
      <c r="CE813">
        <v>0</v>
      </c>
    </row>
    <row r="814" spans="1:83" hidden="1" x14ac:dyDescent="0.25">
      <c r="A814" t="s">
        <v>128</v>
      </c>
      <c r="B814" t="s">
        <v>503</v>
      </c>
      <c r="C814" t="s">
        <v>109</v>
      </c>
      <c r="D814" s="12">
        <v>46240</v>
      </c>
      <c r="E814" t="s">
        <v>501</v>
      </c>
      <c r="F814" t="s">
        <v>501</v>
      </c>
      <c r="G814" t="s">
        <v>501</v>
      </c>
      <c r="J814">
        <v>2.8594908838071702</v>
      </c>
      <c r="M814">
        <v>0</v>
      </c>
      <c r="N814">
        <v>0</v>
      </c>
      <c r="O814">
        <v>2.097204516481515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0.57789195606234123</v>
      </c>
      <c r="AC814">
        <v>0.42210804393765877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83" hidden="1" x14ac:dyDescent="0.25">
      <c r="A815" t="s">
        <v>128</v>
      </c>
      <c r="B815" t="s">
        <v>503</v>
      </c>
      <c r="C815" t="s">
        <v>72</v>
      </c>
      <c r="D815" s="12">
        <v>46245</v>
      </c>
      <c r="E815" t="s">
        <v>133</v>
      </c>
      <c r="F815" t="s">
        <v>133</v>
      </c>
      <c r="G815" t="s">
        <v>133</v>
      </c>
      <c r="H815" t="s">
        <v>74</v>
      </c>
      <c r="I815">
        <v>20</v>
      </c>
      <c r="J815">
        <v>3.8126545117428936</v>
      </c>
      <c r="K815">
        <v>46245</v>
      </c>
      <c r="L815" t="s">
        <v>196</v>
      </c>
      <c r="M815">
        <v>7.6</v>
      </c>
      <c r="N815">
        <v>7.6</v>
      </c>
      <c r="O815">
        <v>4.0588235294117636</v>
      </c>
      <c r="P815">
        <v>1.9933618366395811</v>
      </c>
      <c r="Q815">
        <v>1.9933618366395811</v>
      </c>
      <c r="R815">
        <v>1.0645663059452868</v>
      </c>
      <c r="S815">
        <v>0</v>
      </c>
      <c r="T815">
        <v>0</v>
      </c>
      <c r="U815">
        <v>0.74336183663958111</v>
      </c>
      <c r="V815">
        <v>0</v>
      </c>
      <c r="W815">
        <v>0</v>
      </c>
      <c r="X815">
        <v>0</v>
      </c>
      <c r="Y815">
        <v>6.4566305945286784E-2</v>
      </c>
      <c r="Z815">
        <v>0</v>
      </c>
      <c r="AA815">
        <v>0.18543369405471322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0.50166506733459126</v>
      </c>
      <c r="AN815">
        <v>0.50166506733459126</v>
      </c>
      <c r="AO815">
        <v>0.5340557275541794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0.4659442724458206</v>
      </c>
      <c r="BA815">
        <v>0</v>
      </c>
      <c r="BB815">
        <v>0</v>
      </c>
      <c r="BC815">
        <v>0</v>
      </c>
      <c r="BD815">
        <v>0.50166506733459126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1.8724637681159424</v>
      </c>
      <c r="BK815">
        <v>1.8724637681159424</v>
      </c>
      <c r="BL815">
        <v>0.93934966231346684</v>
      </c>
      <c r="CC815">
        <v>0</v>
      </c>
      <c r="CD815">
        <v>0</v>
      </c>
      <c r="CE815">
        <v>0</v>
      </c>
    </row>
    <row r="816" spans="1:83" hidden="1" x14ac:dyDescent="0.25">
      <c r="A816" t="s">
        <v>128</v>
      </c>
      <c r="B816" t="s">
        <v>503</v>
      </c>
      <c r="C816" t="s">
        <v>109</v>
      </c>
      <c r="D816" s="12">
        <v>46242</v>
      </c>
      <c r="E816" t="s">
        <v>501</v>
      </c>
      <c r="F816" t="s">
        <v>501</v>
      </c>
      <c r="G816" t="s">
        <v>501</v>
      </c>
      <c r="J816">
        <v>0.95316362793572351</v>
      </c>
      <c r="M816">
        <v>0</v>
      </c>
      <c r="N816">
        <v>0</v>
      </c>
      <c r="O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83" hidden="1" x14ac:dyDescent="0.25">
      <c r="A817" t="s">
        <v>128</v>
      </c>
      <c r="B817" t="s">
        <v>503</v>
      </c>
      <c r="C817" t="s">
        <v>72</v>
      </c>
      <c r="D817" s="12">
        <v>46223</v>
      </c>
      <c r="E817" t="s">
        <v>133</v>
      </c>
      <c r="F817" t="s">
        <v>133</v>
      </c>
      <c r="G817" t="s">
        <v>133</v>
      </c>
      <c r="H817" t="s">
        <v>74</v>
      </c>
      <c r="I817">
        <v>20</v>
      </c>
      <c r="J817">
        <v>3.8126545117428936</v>
      </c>
      <c r="K817">
        <v>46223</v>
      </c>
      <c r="L817" t="s">
        <v>157</v>
      </c>
      <c r="M817">
        <v>9.5</v>
      </c>
      <c r="N817">
        <v>9.5</v>
      </c>
      <c r="O817">
        <v>4.1764705882352935</v>
      </c>
      <c r="P817">
        <v>2.4917022957994766</v>
      </c>
      <c r="Q817">
        <v>2.4917022957994766</v>
      </c>
      <c r="R817">
        <v>1.0954233003205127</v>
      </c>
      <c r="S817">
        <v>0</v>
      </c>
      <c r="T817">
        <v>0</v>
      </c>
      <c r="U817">
        <v>1.2417022957994766</v>
      </c>
      <c r="V817">
        <v>0</v>
      </c>
      <c r="W817">
        <v>0</v>
      </c>
      <c r="X817">
        <v>0</v>
      </c>
      <c r="Y817">
        <v>9.5423300320512716E-2</v>
      </c>
      <c r="Z817">
        <v>0</v>
      </c>
      <c r="AA817">
        <v>0.15457669967948728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0.40133205386767301</v>
      </c>
      <c r="AN817">
        <v>0.40133205386767301</v>
      </c>
      <c r="AO817">
        <v>0.43962848297213614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0.56037151702786381</v>
      </c>
      <c r="BA817">
        <v>0</v>
      </c>
      <c r="BB817">
        <v>0</v>
      </c>
      <c r="BC817">
        <v>0</v>
      </c>
      <c r="BD817">
        <v>0.40133205386767301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2.274647887323944</v>
      </c>
      <c r="BK817">
        <v>2.274647887323944</v>
      </c>
      <c r="BL817">
        <v>0.91288910844548166</v>
      </c>
      <c r="CC817">
        <v>0</v>
      </c>
      <c r="CD817">
        <v>0</v>
      </c>
      <c r="CE817">
        <v>0</v>
      </c>
    </row>
    <row r="818" spans="1:83" hidden="1" x14ac:dyDescent="0.25">
      <c r="A818" t="s">
        <v>128</v>
      </c>
      <c r="B818" t="s">
        <v>503</v>
      </c>
      <c r="C818" t="s">
        <v>117</v>
      </c>
      <c r="D818" s="12">
        <v>46223</v>
      </c>
      <c r="J818">
        <v>28.281705302196805</v>
      </c>
      <c r="M818">
        <v>80.75</v>
      </c>
      <c r="N818">
        <v>80.75</v>
      </c>
      <c r="O818">
        <v>26.314864475201833</v>
      </c>
      <c r="S818">
        <v>0</v>
      </c>
      <c r="T818">
        <v>0</v>
      </c>
      <c r="U818">
        <v>1.7408887099756345</v>
      </c>
      <c r="V818">
        <v>0</v>
      </c>
      <c r="W818">
        <v>0</v>
      </c>
      <c r="X818">
        <v>0</v>
      </c>
      <c r="Y818">
        <v>4.7368841086589952E-2</v>
      </c>
      <c r="Z818">
        <v>0</v>
      </c>
      <c r="AA818">
        <v>0.16283312302743042</v>
      </c>
      <c r="AB818">
        <v>6.4927998159336142E-2</v>
      </c>
      <c r="AC818">
        <v>3.0960023290851971E-2</v>
      </c>
      <c r="AD818">
        <v>0</v>
      </c>
      <c r="AE818">
        <v>9.1826151001144815E-2</v>
      </c>
      <c r="AF818">
        <v>0</v>
      </c>
      <c r="AG818">
        <v>0.81228582754866718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83" hidden="1" x14ac:dyDescent="0.25">
      <c r="A819" t="s">
        <v>128</v>
      </c>
      <c r="B819" t="s">
        <v>503</v>
      </c>
      <c r="C819" t="s">
        <v>117</v>
      </c>
      <c r="D819" s="12">
        <v>46237</v>
      </c>
      <c r="J819">
        <v>28.281705302196805</v>
      </c>
      <c r="M819">
        <v>51.3</v>
      </c>
      <c r="N819">
        <v>51.3</v>
      </c>
      <c r="O819">
        <v>26.311014994232984</v>
      </c>
      <c r="S819">
        <v>4.1962135967606076E-2</v>
      </c>
      <c r="T819">
        <v>0</v>
      </c>
      <c r="U819">
        <v>0.86229399402931506</v>
      </c>
      <c r="V819">
        <v>0</v>
      </c>
      <c r="W819">
        <v>0</v>
      </c>
      <c r="X819">
        <v>0</v>
      </c>
      <c r="Y819">
        <v>1.2864007760668525E-2</v>
      </c>
      <c r="Z819">
        <v>0</v>
      </c>
      <c r="AA819">
        <v>0.17745588341589486</v>
      </c>
      <c r="AB819">
        <v>0.10964004287023607</v>
      </c>
      <c r="AC819">
        <v>7.9526289661459568E-2</v>
      </c>
      <c r="AD819">
        <v>0</v>
      </c>
      <c r="AE819">
        <v>5.0853299325145096E-2</v>
      </c>
      <c r="AF819">
        <v>0</v>
      </c>
      <c r="AG819">
        <v>0.71042626538110842</v>
      </c>
      <c r="AH819">
        <v>0</v>
      </c>
      <c r="AI819">
        <v>0</v>
      </c>
      <c r="AJ819">
        <v>0</v>
      </c>
      <c r="AK819">
        <v>4.9554102762050876E-2</v>
      </c>
      <c r="AL819">
        <v>0</v>
      </c>
    </row>
    <row r="820" spans="1:83" hidden="1" x14ac:dyDescent="0.25">
      <c r="A820" t="s">
        <v>128</v>
      </c>
      <c r="B820" t="s">
        <v>503</v>
      </c>
      <c r="C820" t="s">
        <v>109</v>
      </c>
      <c r="D820" s="12">
        <v>46245</v>
      </c>
      <c r="E820" t="s">
        <v>501</v>
      </c>
      <c r="F820" t="s">
        <v>501</v>
      </c>
      <c r="G820" t="s">
        <v>501</v>
      </c>
      <c r="J820">
        <v>1.906327255871447</v>
      </c>
      <c r="M820">
        <v>0</v>
      </c>
      <c r="N820">
        <v>0</v>
      </c>
      <c r="O820">
        <v>0.98961937716262982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0.43199792125316</v>
      </c>
      <c r="AC820">
        <v>0.56800207874684006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83" hidden="1" x14ac:dyDescent="0.25">
      <c r="A821" t="s">
        <v>128</v>
      </c>
      <c r="B821" t="s">
        <v>503</v>
      </c>
      <c r="C821" t="s">
        <v>72</v>
      </c>
      <c r="D821" s="12">
        <v>46235</v>
      </c>
      <c r="E821" t="s">
        <v>133</v>
      </c>
      <c r="F821" t="s">
        <v>133</v>
      </c>
      <c r="G821" t="s">
        <v>133</v>
      </c>
      <c r="H821" t="s">
        <v>74</v>
      </c>
      <c r="I821">
        <v>20</v>
      </c>
      <c r="J821">
        <v>3.588380716934489</v>
      </c>
      <c r="K821">
        <v>46235</v>
      </c>
      <c r="L821" t="s">
        <v>187</v>
      </c>
      <c r="M821">
        <v>9.5</v>
      </c>
      <c r="N821">
        <v>9.5</v>
      </c>
      <c r="O821">
        <v>2.4705882352941178</v>
      </c>
      <c r="P821">
        <v>2.647433689286943</v>
      </c>
      <c r="Q821">
        <v>2.647433689286943</v>
      </c>
      <c r="R821">
        <v>0.68849668699722366</v>
      </c>
      <c r="S821">
        <v>0</v>
      </c>
      <c r="T821">
        <v>0</v>
      </c>
      <c r="U821">
        <v>1.397433689286943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0.25</v>
      </c>
      <c r="AB821">
        <v>0</v>
      </c>
      <c r="AC821">
        <v>0</v>
      </c>
      <c r="AD821">
        <v>0</v>
      </c>
      <c r="AE821">
        <v>0.31150331300277634</v>
      </c>
      <c r="AF821">
        <v>0</v>
      </c>
      <c r="AG821">
        <v>0.68849668699722366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0.37772428599310409</v>
      </c>
      <c r="AN821">
        <v>0.37772428599310409</v>
      </c>
      <c r="AO821">
        <v>0.26006191950464397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0.62227571400689596</v>
      </c>
      <c r="BA821">
        <v>0</v>
      </c>
      <c r="BB821">
        <v>0.11766236648846012</v>
      </c>
      <c r="BC821">
        <v>0</v>
      </c>
      <c r="BD821">
        <v>0.26006191950464397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3.8452380952380949</v>
      </c>
      <c r="BK821">
        <v>3.8452380952380949</v>
      </c>
      <c r="BL821">
        <v>1.4524398139972932</v>
      </c>
      <c r="CC821">
        <v>0</v>
      </c>
      <c r="CD821">
        <v>0</v>
      </c>
      <c r="CE821">
        <v>0</v>
      </c>
    </row>
    <row r="822" spans="1:83" hidden="1" x14ac:dyDescent="0.25">
      <c r="A822" t="s">
        <v>128</v>
      </c>
      <c r="B822" t="s">
        <v>503</v>
      </c>
      <c r="C822" t="s">
        <v>72</v>
      </c>
      <c r="D822" s="12">
        <v>46235</v>
      </c>
      <c r="E822" t="s">
        <v>133</v>
      </c>
      <c r="F822" t="s">
        <v>133</v>
      </c>
      <c r="G822" t="s">
        <v>133</v>
      </c>
      <c r="H822" t="s">
        <v>75</v>
      </c>
      <c r="I822">
        <v>20</v>
      </c>
      <c r="J822">
        <v>7.4010352286773822</v>
      </c>
      <c r="K822">
        <v>46235</v>
      </c>
      <c r="L822" t="s">
        <v>186</v>
      </c>
      <c r="M822">
        <v>17.099999999999998</v>
      </c>
      <c r="N822">
        <v>17.099999999999998</v>
      </c>
      <c r="O822">
        <v>8.1009803921568615</v>
      </c>
      <c r="P822">
        <v>2.3104875833776961</v>
      </c>
      <c r="Q822">
        <v>2.3104875833776961</v>
      </c>
      <c r="R822">
        <v>1.0945739537581642</v>
      </c>
      <c r="S822">
        <v>0</v>
      </c>
      <c r="T822">
        <v>0</v>
      </c>
      <c r="U822">
        <v>1.0604875833776961</v>
      </c>
      <c r="V822">
        <v>0</v>
      </c>
      <c r="W822">
        <v>0</v>
      </c>
      <c r="X822">
        <v>0</v>
      </c>
      <c r="Y822">
        <v>9.4573953758164242E-2</v>
      </c>
      <c r="Z822">
        <v>0</v>
      </c>
      <c r="AA822">
        <v>0.15542604624183576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0.43280907770043175</v>
      </c>
      <c r="AN822">
        <v>0.43280907770043175</v>
      </c>
      <c r="AO822">
        <v>0.47374154340098612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0.52625845659901382</v>
      </c>
      <c r="BA822">
        <v>0</v>
      </c>
      <c r="BB822">
        <v>0</v>
      </c>
      <c r="BC822">
        <v>0</v>
      </c>
      <c r="BD822">
        <v>0.43280907770043175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2.1108556214449958</v>
      </c>
      <c r="BK822">
        <v>2.1108556214449958</v>
      </c>
      <c r="BL822">
        <v>0.91359747467638042</v>
      </c>
      <c r="CC822">
        <v>0</v>
      </c>
      <c r="CD822">
        <v>0</v>
      </c>
      <c r="CE822">
        <v>0</v>
      </c>
    </row>
    <row r="823" spans="1:83" hidden="1" x14ac:dyDescent="0.25">
      <c r="A823" t="s">
        <v>128</v>
      </c>
      <c r="B823" t="s">
        <v>503</v>
      </c>
      <c r="C823" t="s">
        <v>72</v>
      </c>
      <c r="D823" s="12">
        <v>46236</v>
      </c>
      <c r="E823" t="s">
        <v>133</v>
      </c>
      <c r="F823" t="s">
        <v>133</v>
      </c>
      <c r="G823" t="s">
        <v>133</v>
      </c>
      <c r="H823" t="s">
        <v>73</v>
      </c>
      <c r="I823">
        <v>20</v>
      </c>
      <c r="J823">
        <v>10.316594561186657</v>
      </c>
      <c r="K823">
        <v>46236</v>
      </c>
      <c r="L823" t="s">
        <v>185</v>
      </c>
      <c r="M823">
        <v>38</v>
      </c>
      <c r="N823">
        <v>38</v>
      </c>
      <c r="O823">
        <v>10.553431372549014</v>
      </c>
      <c r="P823">
        <v>3.6833860024861815</v>
      </c>
      <c r="Q823">
        <v>3.6833860024861815</v>
      </c>
      <c r="R823">
        <v>1.0229568788380412</v>
      </c>
      <c r="S823">
        <v>0</v>
      </c>
      <c r="T823">
        <v>0</v>
      </c>
      <c r="U823">
        <v>2.4333860024861815</v>
      </c>
      <c r="V823">
        <v>0</v>
      </c>
      <c r="W823">
        <v>0</v>
      </c>
      <c r="X823">
        <v>0</v>
      </c>
      <c r="Y823">
        <v>2.2956878838041206E-2</v>
      </c>
      <c r="Z823">
        <v>0</v>
      </c>
      <c r="AA823">
        <v>0.22704312116195879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0.2714893305575436</v>
      </c>
      <c r="AN823">
        <v>0.2714893305575436</v>
      </c>
      <c r="AO823">
        <v>0.27772187822497402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0.72227812177502604</v>
      </c>
      <c r="BA823">
        <v>0</v>
      </c>
      <c r="BB823">
        <v>0</v>
      </c>
      <c r="BC823">
        <v>0</v>
      </c>
      <c r="BD823">
        <v>0.2714893305575436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3.6007246040224832</v>
      </c>
      <c r="BK823">
        <v>3.6007246040224832</v>
      </c>
      <c r="BL823">
        <v>0.97755831226814027</v>
      </c>
      <c r="CC823">
        <v>0</v>
      </c>
      <c r="CD823">
        <v>0</v>
      </c>
      <c r="CE823">
        <v>0</v>
      </c>
    </row>
    <row r="824" spans="1:83" hidden="1" x14ac:dyDescent="0.25">
      <c r="A824" t="s">
        <v>128</v>
      </c>
      <c r="B824" t="s">
        <v>503</v>
      </c>
      <c r="C824" t="s">
        <v>72</v>
      </c>
      <c r="D824" s="12">
        <v>46229</v>
      </c>
      <c r="E824" t="s">
        <v>133</v>
      </c>
      <c r="F824" t="s">
        <v>133</v>
      </c>
      <c r="G824" t="s">
        <v>133</v>
      </c>
      <c r="H824" t="s">
        <v>75</v>
      </c>
      <c r="I824">
        <v>20</v>
      </c>
      <c r="J824">
        <v>7.4010352286773822</v>
      </c>
      <c r="K824">
        <v>46229</v>
      </c>
      <c r="L824" t="s">
        <v>218</v>
      </c>
      <c r="M824">
        <v>22.799999999999997</v>
      </c>
      <c r="N824">
        <v>22.799999999999997</v>
      </c>
      <c r="O824">
        <v>8.6051470588235244</v>
      </c>
      <c r="P824">
        <v>3.0806501111702613</v>
      </c>
      <c r="Q824">
        <v>3.0806501111702613</v>
      </c>
      <c r="R824">
        <v>1.1626950545351378</v>
      </c>
      <c r="S824">
        <v>0</v>
      </c>
      <c r="T824">
        <v>0</v>
      </c>
      <c r="U824">
        <v>1.8306501111702613</v>
      </c>
      <c r="V824">
        <v>0</v>
      </c>
      <c r="W824">
        <v>0</v>
      </c>
      <c r="X824">
        <v>0</v>
      </c>
      <c r="Y824">
        <v>0.16269505453513777</v>
      </c>
      <c r="Z824">
        <v>0</v>
      </c>
      <c r="AA824">
        <v>8.7304945464862227E-2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0.32460680827532384</v>
      </c>
      <c r="AN824">
        <v>0.32460680827532384</v>
      </c>
      <c r="AO824">
        <v>0.37741873065015463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0.62258126934984537</v>
      </c>
      <c r="BA824">
        <v>0</v>
      </c>
      <c r="BB824">
        <v>0</v>
      </c>
      <c r="BC824">
        <v>0</v>
      </c>
      <c r="BD824">
        <v>0.32460680827532384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2.6495770315303782</v>
      </c>
      <c r="BK824">
        <v>2.6495770315303782</v>
      </c>
      <c r="BL824">
        <v>0.86007074348468304</v>
      </c>
      <c r="CC824">
        <v>0</v>
      </c>
      <c r="CD824">
        <v>0</v>
      </c>
      <c r="CE824">
        <v>0</v>
      </c>
    </row>
    <row r="825" spans="1:83" hidden="1" x14ac:dyDescent="0.25">
      <c r="A825" t="s">
        <v>128</v>
      </c>
      <c r="B825" t="s">
        <v>503</v>
      </c>
      <c r="C825" t="s">
        <v>117</v>
      </c>
      <c r="D825" s="12">
        <v>46229</v>
      </c>
      <c r="J825">
        <v>27.440678571665288</v>
      </c>
      <c r="M825">
        <v>59.849999999999994</v>
      </c>
      <c r="N825">
        <v>59.849999999999994</v>
      </c>
      <c r="O825">
        <v>24.186096092848896</v>
      </c>
      <c r="S825">
        <v>0</v>
      </c>
      <c r="T825">
        <v>0</v>
      </c>
      <c r="U825">
        <v>1.0996551916526294</v>
      </c>
      <c r="V825">
        <v>0</v>
      </c>
      <c r="W825">
        <v>5.8781424953762802E-3</v>
      </c>
      <c r="X825">
        <v>0</v>
      </c>
      <c r="Y825">
        <v>5.6648761756899257E-2</v>
      </c>
      <c r="Z825">
        <v>0</v>
      </c>
      <c r="AA825">
        <v>0.14461021990615783</v>
      </c>
      <c r="AB825">
        <v>7.6961655325710147E-3</v>
      </c>
      <c r="AC825">
        <v>0.11802763757050269</v>
      </c>
      <c r="AD825">
        <v>0</v>
      </c>
      <c r="AE825">
        <v>6.3103566874881487E-2</v>
      </c>
      <c r="AF825">
        <v>0</v>
      </c>
      <c r="AG825">
        <v>0.81117263002204476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83" hidden="1" x14ac:dyDescent="0.25">
      <c r="A826" t="s">
        <v>128</v>
      </c>
      <c r="B826" t="s">
        <v>503</v>
      </c>
      <c r="C826" t="s">
        <v>72</v>
      </c>
      <c r="D826" s="12">
        <v>46236</v>
      </c>
      <c r="E826" t="s">
        <v>133</v>
      </c>
      <c r="F826" t="s">
        <v>133</v>
      </c>
      <c r="G826" t="s">
        <v>133</v>
      </c>
      <c r="H826" t="s">
        <v>74</v>
      </c>
      <c r="I826">
        <v>20</v>
      </c>
      <c r="J826">
        <v>3.8126545117428936</v>
      </c>
      <c r="K826">
        <v>46236</v>
      </c>
      <c r="L826" t="s">
        <v>184</v>
      </c>
      <c r="M826">
        <v>11.4</v>
      </c>
      <c r="N826">
        <v>11.4</v>
      </c>
      <c r="O826">
        <v>2.5</v>
      </c>
      <c r="P826">
        <v>2.9900427549593713</v>
      </c>
      <c r="Q826">
        <v>2.9900427549593713</v>
      </c>
      <c r="R826">
        <v>0.65571113047354646</v>
      </c>
      <c r="S826">
        <v>0</v>
      </c>
      <c r="T826">
        <v>0</v>
      </c>
      <c r="U826">
        <v>1.7400427549593713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0.25</v>
      </c>
      <c r="AB826">
        <v>0</v>
      </c>
      <c r="AC826">
        <v>0</v>
      </c>
      <c r="AD826">
        <v>0</v>
      </c>
      <c r="AE826">
        <v>0.34428886952645354</v>
      </c>
      <c r="AF826">
        <v>0</v>
      </c>
      <c r="AG826">
        <v>0.65571113047354646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0.33444337822306086</v>
      </c>
      <c r="AN826">
        <v>0.33444337822306086</v>
      </c>
      <c r="AO826">
        <v>0.2192982456140351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0.66555662177693908</v>
      </c>
      <c r="BA826">
        <v>0</v>
      </c>
      <c r="BB826">
        <v>0.11514513260902576</v>
      </c>
      <c r="BC826">
        <v>0</v>
      </c>
      <c r="BD826">
        <v>0.2192982456140351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4.5599999999999996</v>
      </c>
      <c r="BK826">
        <v>4.5599999999999996</v>
      </c>
      <c r="BL826">
        <v>1.5250618046971574</v>
      </c>
      <c r="CC826">
        <v>0</v>
      </c>
      <c r="CD826">
        <v>0</v>
      </c>
      <c r="CE826">
        <v>0</v>
      </c>
    </row>
    <row r="827" spans="1:83" hidden="1" x14ac:dyDescent="0.25">
      <c r="A827" t="s">
        <v>128</v>
      </c>
      <c r="B827" t="s">
        <v>503</v>
      </c>
      <c r="C827" t="s">
        <v>109</v>
      </c>
      <c r="D827" s="12">
        <v>46239</v>
      </c>
      <c r="E827" t="s">
        <v>133</v>
      </c>
      <c r="F827" t="s">
        <v>133</v>
      </c>
      <c r="G827" t="s">
        <v>133</v>
      </c>
      <c r="J827">
        <v>19.848230840543891</v>
      </c>
      <c r="M827">
        <v>60.8</v>
      </c>
      <c r="N827">
        <v>60.8</v>
      </c>
      <c r="O827">
        <v>19.169117647058812</v>
      </c>
      <c r="S827">
        <v>0</v>
      </c>
      <c r="T827">
        <v>0</v>
      </c>
      <c r="U827">
        <v>1.8132453082822939</v>
      </c>
      <c r="V827">
        <v>0</v>
      </c>
      <c r="W827">
        <v>0</v>
      </c>
      <c r="X827">
        <v>0</v>
      </c>
      <c r="Y827">
        <v>3.3401117121707756E-2</v>
      </c>
      <c r="Z827">
        <v>0</v>
      </c>
      <c r="AA827">
        <v>0.21659888287829221</v>
      </c>
      <c r="AB827">
        <v>0</v>
      </c>
      <c r="AC827">
        <v>0</v>
      </c>
      <c r="AD827">
        <v>0</v>
      </c>
      <c r="AE827">
        <v>6.761641816999342E-2</v>
      </c>
      <c r="AF827">
        <v>0</v>
      </c>
      <c r="AG827">
        <v>0.93238358183000658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83" hidden="1" x14ac:dyDescent="0.25">
      <c r="A828" t="s">
        <v>128</v>
      </c>
      <c r="B828" t="s">
        <v>503</v>
      </c>
      <c r="C828" t="s">
        <v>72</v>
      </c>
      <c r="D828" s="12">
        <v>46229</v>
      </c>
      <c r="E828" t="s">
        <v>133</v>
      </c>
      <c r="F828" t="s">
        <v>133</v>
      </c>
      <c r="G828" t="s">
        <v>133</v>
      </c>
      <c r="H828" t="s">
        <v>74</v>
      </c>
      <c r="I828">
        <v>20</v>
      </c>
      <c r="J828">
        <v>3.8126545117428936</v>
      </c>
      <c r="K828">
        <v>46229</v>
      </c>
      <c r="L828" t="s">
        <v>219</v>
      </c>
      <c r="M828">
        <v>9.5</v>
      </c>
      <c r="N828">
        <v>9.5</v>
      </c>
      <c r="O828">
        <v>2.5294117647058822</v>
      </c>
      <c r="P828">
        <v>2.4917022957994766</v>
      </c>
      <c r="Q828">
        <v>2.4917022957994766</v>
      </c>
      <c r="R828">
        <v>0.66342537906735288</v>
      </c>
      <c r="S828">
        <v>0</v>
      </c>
      <c r="T828">
        <v>0</v>
      </c>
      <c r="U828">
        <v>1.2417022957994766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0.25</v>
      </c>
      <c r="AB828">
        <v>0</v>
      </c>
      <c r="AC828">
        <v>0</v>
      </c>
      <c r="AD828">
        <v>0</v>
      </c>
      <c r="AE828">
        <v>0.33657462093264712</v>
      </c>
      <c r="AF828">
        <v>0</v>
      </c>
      <c r="AG828">
        <v>0.66342537906735288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0.40133205386767301</v>
      </c>
      <c r="AN828">
        <v>0.40133205386767301</v>
      </c>
      <c r="AO828">
        <v>0.26625386996904021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0.59866794613232699</v>
      </c>
      <c r="BA828">
        <v>0</v>
      </c>
      <c r="BB828">
        <v>0.1350781838986328</v>
      </c>
      <c r="BC828">
        <v>0</v>
      </c>
      <c r="BD828">
        <v>0.26625386996904021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3.7558139534883721</v>
      </c>
      <c r="BK828">
        <v>3.7558139534883721</v>
      </c>
      <c r="BL828">
        <v>1.5073285278983533</v>
      </c>
      <c r="CC828">
        <v>0</v>
      </c>
      <c r="CD828">
        <v>0</v>
      </c>
      <c r="CE828">
        <v>0</v>
      </c>
    </row>
    <row r="829" spans="1:83" hidden="1" x14ac:dyDescent="0.25">
      <c r="A829" t="s">
        <v>128</v>
      </c>
      <c r="B829" t="s">
        <v>503</v>
      </c>
      <c r="C829" t="s">
        <v>72</v>
      </c>
      <c r="D829" s="12">
        <v>46236</v>
      </c>
      <c r="E829" t="s">
        <v>133</v>
      </c>
      <c r="F829" t="s">
        <v>133</v>
      </c>
      <c r="G829" t="s">
        <v>133</v>
      </c>
      <c r="H829" t="s">
        <v>75</v>
      </c>
      <c r="I829">
        <v>20</v>
      </c>
      <c r="J829">
        <v>7.4010352286773804</v>
      </c>
      <c r="K829">
        <v>46236</v>
      </c>
      <c r="L829" t="s">
        <v>183</v>
      </c>
      <c r="M829">
        <v>20.9</v>
      </c>
      <c r="N829">
        <v>20.9</v>
      </c>
      <c r="O829">
        <v>8.6009803921568544</v>
      </c>
      <c r="P829">
        <v>2.8239292685727402</v>
      </c>
      <c r="Q829">
        <v>2.8239292685727402</v>
      </c>
      <c r="R829">
        <v>1.1621320702311957</v>
      </c>
      <c r="S829">
        <v>0</v>
      </c>
      <c r="T829">
        <v>0</v>
      </c>
      <c r="U829">
        <v>1.5739292685727402</v>
      </c>
      <c r="V829">
        <v>0</v>
      </c>
      <c r="W829">
        <v>0</v>
      </c>
      <c r="X829">
        <v>0</v>
      </c>
      <c r="Y829">
        <v>0.16213207023119569</v>
      </c>
      <c r="Z829">
        <v>0</v>
      </c>
      <c r="AA829">
        <v>8.7867929768804309E-2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0.35411651811853495</v>
      </c>
      <c r="AN829">
        <v>0.35411651811853495</v>
      </c>
      <c r="AO829">
        <v>0.41153016230415573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0.58846983769584427</v>
      </c>
      <c r="BA829">
        <v>0</v>
      </c>
      <c r="BB829">
        <v>0</v>
      </c>
      <c r="BC829">
        <v>0</v>
      </c>
      <c r="BD829">
        <v>0.35411651811853495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2.4299555454234607</v>
      </c>
      <c r="BK829">
        <v>2.4299555454234607</v>
      </c>
      <c r="BL829">
        <v>0.86048739692818144</v>
      </c>
      <c r="CC829">
        <v>0</v>
      </c>
      <c r="CD829">
        <v>0</v>
      </c>
      <c r="CE829">
        <v>0</v>
      </c>
    </row>
    <row r="830" spans="1:83" hidden="1" x14ac:dyDescent="0.25">
      <c r="A830" t="s">
        <v>128</v>
      </c>
      <c r="B830" t="s">
        <v>503</v>
      </c>
      <c r="C830" t="s">
        <v>72</v>
      </c>
      <c r="D830" s="12">
        <v>46237</v>
      </c>
      <c r="E830" t="s">
        <v>133</v>
      </c>
      <c r="F830" t="s">
        <v>133</v>
      </c>
      <c r="G830" t="s">
        <v>133</v>
      </c>
      <c r="H830" t="s">
        <v>73</v>
      </c>
      <c r="I830">
        <v>20</v>
      </c>
      <c r="J830">
        <v>10.316594561186651</v>
      </c>
      <c r="K830">
        <v>46237</v>
      </c>
      <c r="L830" t="s">
        <v>232</v>
      </c>
      <c r="M830">
        <v>22.799999999999997</v>
      </c>
      <c r="N830">
        <v>22.799999999999997</v>
      </c>
      <c r="O830">
        <v>9.1049019607843089</v>
      </c>
      <c r="P830">
        <v>2.2100316014917096</v>
      </c>
      <c r="Q830">
        <v>2.2100316014917096</v>
      </c>
      <c r="R830">
        <v>0.88254916937794547</v>
      </c>
      <c r="S830">
        <v>0</v>
      </c>
      <c r="T830">
        <v>0</v>
      </c>
      <c r="U830">
        <v>0.96003160149170963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0.25</v>
      </c>
      <c r="AB830">
        <v>0</v>
      </c>
      <c r="AC830">
        <v>0</v>
      </c>
      <c r="AD830">
        <v>0</v>
      </c>
      <c r="AE830">
        <v>0.11745083062205453</v>
      </c>
      <c r="AF830">
        <v>0</v>
      </c>
      <c r="AG830">
        <v>0.88254916937794547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0.45248221759590579</v>
      </c>
      <c r="AN830">
        <v>0.45248221759590579</v>
      </c>
      <c r="AO830">
        <v>0.39933780529755747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0.54751778240409421</v>
      </c>
      <c r="BA830">
        <v>0</v>
      </c>
      <c r="BB830">
        <v>5.314441229834832E-2</v>
      </c>
      <c r="BC830">
        <v>0</v>
      </c>
      <c r="BD830">
        <v>0.39933780529755747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2.5041455798427918</v>
      </c>
      <c r="BK830">
        <v>2.5041455798427918</v>
      </c>
      <c r="BL830">
        <v>1.1330813451502519</v>
      </c>
      <c r="CC830">
        <v>0</v>
      </c>
      <c r="CD830">
        <v>0</v>
      </c>
      <c r="CE830">
        <v>0</v>
      </c>
    </row>
    <row r="831" spans="1:83" hidden="1" x14ac:dyDescent="0.25">
      <c r="A831" t="s">
        <v>128</v>
      </c>
      <c r="B831" t="s">
        <v>503</v>
      </c>
      <c r="C831" t="s">
        <v>117</v>
      </c>
      <c r="D831" s="12">
        <v>46230</v>
      </c>
      <c r="J831">
        <v>26.998782961124352</v>
      </c>
      <c r="M831">
        <v>75.05</v>
      </c>
      <c r="N831">
        <v>75.05</v>
      </c>
      <c r="O831">
        <v>21.342156862745089</v>
      </c>
      <c r="S831">
        <v>0</v>
      </c>
      <c r="T831">
        <v>0</v>
      </c>
      <c r="U831">
        <v>1.6111805032894178</v>
      </c>
      <c r="V831">
        <v>0</v>
      </c>
      <c r="W831">
        <v>0</v>
      </c>
      <c r="X831">
        <v>0</v>
      </c>
      <c r="Y831">
        <v>9.117782013482954E-3</v>
      </c>
      <c r="Z831">
        <v>0</v>
      </c>
      <c r="AA831">
        <v>0.22459710303095035</v>
      </c>
      <c r="AB831">
        <v>2.3239972753424697E-3</v>
      </c>
      <c r="AC831">
        <v>6.2816462546924343E-2</v>
      </c>
      <c r="AD831">
        <v>0</v>
      </c>
      <c r="AE831">
        <v>0.19246965546569772</v>
      </c>
      <c r="AF831">
        <v>0</v>
      </c>
      <c r="AG831">
        <v>0.7423898847120356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83" hidden="1" x14ac:dyDescent="0.25">
      <c r="A832" t="s">
        <v>128</v>
      </c>
      <c r="B832" t="s">
        <v>503</v>
      </c>
      <c r="C832" t="s">
        <v>109</v>
      </c>
      <c r="D832" s="12">
        <v>46250</v>
      </c>
      <c r="E832" t="s">
        <v>134</v>
      </c>
      <c r="F832" t="s">
        <v>134</v>
      </c>
      <c r="G832" t="s">
        <v>134</v>
      </c>
      <c r="J832">
        <v>5.798257372654156</v>
      </c>
      <c r="M832">
        <v>0</v>
      </c>
      <c r="N832">
        <v>0</v>
      </c>
      <c r="O832">
        <v>3.8758938869665522</v>
      </c>
      <c r="S832">
        <v>6.2644916942617951E-2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0.3641073289658428</v>
      </c>
      <c r="AC832">
        <v>0.39418650989671639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0.24170616113744081</v>
      </c>
      <c r="AL832">
        <v>0</v>
      </c>
    </row>
    <row r="833" spans="1:83" hidden="1" x14ac:dyDescent="0.25">
      <c r="A833" t="s">
        <v>128</v>
      </c>
      <c r="B833" t="s">
        <v>503</v>
      </c>
      <c r="C833" t="s">
        <v>72</v>
      </c>
      <c r="D833" s="12">
        <v>46237</v>
      </c>
      <c r="E833" t="s">
        <v>133</v>
      </c>
      <c r="F833" t="s">
        <v>133</v>
      </c>
      <c r="G833" t="s">
        <v>133</v>
      </c>
      <c r="H833" t="s">
        <v>74</v>
      </c>
      <c r="I833">
        <v>20</v>
      </c>
      <c r="J833">
        <v>3.8126545117428936</v>
      </c>
      <c r="K833">
        <v>46237</v>
      </c>
      <c r="L833" t="s">
        <v>182</v>
      </c>
      <c r="M833">
        <v>7.6</v>
      </c>
      <c r="N833">
        <v>7.6</v>
      </c>
      <c r="O833">
        <v>4.1764705882352935</v>
      </c>
      <c r="P833">
        <v>1.9933618366395811</v>
      </c>
      <c r="Q833">
        <v>1.9933618366395811</v>
      </c>
      <c r="R833">
        <v>1.0954233003205127</v>
      </c>
      <c r="S833">
        <v>0</v>
      </c>
      <c r="T833">
        <v>0</v>
      </c>
      <c r="U833">
        <v>0.74336183663958111</v>
      </c>
      <c r="V833">
        <v>0</v>
      </c>
      <c r="W833">
        <v>0</v>
      </c>
      <c r="X833">
        <v>0</v>
      </c>
      <c r="Y833">
        <v>9.5423300320512716E-2</v>
      </c>
      <c r="Z833">
        <v>0</v>
      </c>
      <c r="AA833">
        <v>0.15457669967948728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0.50166506733459126</v>
      </c>
      <c r="AN833">
        <v>0.50166506733459126</v>
      </c>
      <c r="AO833">
        <v>0.54953560371517018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0.45046439628482982</v>
      </c>
      <c r="BA833">
        <v>0</v>
      </c>
      <c r="BB833">
        <v>0</v>
      </c>
      <c r="BC833">
        <v>0</v>
      </c>
      <c r="BD833">
        <v>0.50166506733459126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1.8197183098591552</v>
      </c>
      <c r="BK833">
        <v>1.8197183098591552</v>
      </c>
      <c r="BL833">
        <v>0.91288910844548166</v>
      </c>
      <c r="CC833">
        <v>0</v>
      </c>
      <c r="CD833">
        <v>0</v>
      </c>
      <c r="CE833">
        <v>0</v>
      </c>
    </row>
    <row r="834" spans="1:83" hidden="1" x14ac:dyDescent="0.25">
      <c r="A834" t="s">
        <v>128</v>
      </c>
      <c r="B834" t="s">
        <v>503</v>
      </c>
      <c r="C834" t="s">
        <v>72</v>
      </c>
      <c r="D834" s="12">
        <v>46229</v>
      </c>
      <c r="E834" t="s">
        <v>133</v>
      </c>
      <c r="F834" t="s">
        <v>133</v>
      </c>
      <c r="G834" t="s">
        <v>133</v>
      </c>
      <c r="H834" t="s">
        <v>73</v>
      </c>
      <c r="I834">
        <v>20</v>
      </c>
      <c r="J834">
        <v>9.4755678306551339</v>
      </c>
      <c r="K834">
        <v>46229</v>
      </c>
      <c r="L834" t="s">
        <v>220</v>
      </c>
      <c r="M834">
        <v>20.9</v>
      </c>
      <c r="N834">
        <v>20.9</v>
      </c>
      <c r="O834">
        <v>9.0272058823529377</v>
      </c>
      <c r="P834">
        <v>2.2056725648023763</v>
      </c>
      <c r="Q834">
        <v>2.2056725648023763</v>
      </c>
      <c r="R834">
        <v>0.95268231347026333</v>
      </c>
      <c r="S834">
        <v>0</v>
      </c>
      <c r="T834">
        <v>0</v>
      </c>
      <c r="U834">
        <v>0.95567256480237628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0.25</v>
      </c>
      <c r="AB834">
        <v>0</v>
      </c>
      <c r="AC834">
        <v>0</v>
      </c>
      <c r="AD834">
        <v>0</v>
      </c>
      <c r="AE834">
        <v>4.7317686529736669E-2</v>
      </c>
      <c r="AF834">
        <v>0</v>
      </c>
      <c r="AG834">
        <v>0.95268231347026333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0.45337645122751841</v>
      </c>
      <c r="AN834">
        <v>0.45337645122751841</v>
      </c>
      <c r="AO834">
        <v>0.43192372642837024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0.54662354877248154</v>
      </c>
      <c r="BA834">
        <v>0</v>
      </c>
      <c r="BB834">
        <v>2.1452724799148171E-2</v>
      </c>
      <c r="BC834">
        <v>0</v>
      </c>
      <c r="BD834">
        <v>0.43192372642837024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2.3152235888246322</v>
      </c>
      <c r="BK834">
        <v>2.3152235888246322</v>
      </c>
      <c r="BL834">
        <v>1.049667854499551</v>
      </c>
      <c r="CC834">
        <v>0</v>
      </c>
      <c r="CD834">
        <v>0</v>
      </c>
      <c r="CE834">
        <v>0</v>
      </c>
    </row>
    <row r="835" spans="1:83" hidden="1" x14ac:dyDescent="0.25">
      <c r="A835" t="s">
        <v>128</v>
      </c>
      <c r="B835" t="s">
        <v>503</v>
      </c>
      <c r="C835" t="s">
        <v>117</v>
      </c>
      <c r="D835" s="12">
        <v>46231</v>
      </c>
      <c r="J835">
        <v>28.225636853494709</v>
      </c>
      <c r="M835">
        <v>69.349999999999994</v>
      </c>
      <c r="N835">
        <v>69.349999999999994</v>
      </c>
      <c r="O835">
        <v>25.625893886966544</v>
      </c>
      <c r="S835">
        <v>0</v>
      </c>
      <c r="T835">
        <v>0</v>
      </c>
      <c r="U835">
        <v>1.3881365321652235</v>
      </c>
      <c r="V835">
        <v>0</v>
      </c>
      <c r="W835">
        <v>3.0674379457888368E-2</v>
      </c>
      <c r="X835">
        <v>0</v>
      </c>
      <c r="Y835">
        <v>1.6966511474614362E-2</v>
      </c>
      <c r="Z835">
        <v>0</v>
      </c>
      <c r="AA835">
        <v>0.17720560649733058</v>
      </c>
      <c r="AB835">
        <v>6.0576274343901337E-2</v>
      </c>
      <c r="AC835">
        <v>9.5420563585703777E-2</v>
      </c>
      <c r="AD835">
        <v>0</v>
      </c>
      <c r="AE835">
        <v>5.609479127978928E-2</v>
      </c>
      <c r="AF835">
        <v>0</v>
      </c>
      <c r="AG835">
        <v>0.78790837079060561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83" hidden="1" x14ac:dyDescent="0.25">
      <c r="A836" t="s">
        <v>128</v>
      </c>
      <c r="B836" t="s">
        <v>503</v>
      </c>
      <c r="C836" t="s">
        <v>109</v>
      </c>
      <c r="D836" s="12">
        <v>46250</v>
      </c>
      <c r="E836" t="s">
        <v>501</v>
      </c>
      <c r="F836" t="s">
        <v>501</v>
      </c>
      <c r="G836" t="s">
        <v>501</v>
      </c>
      <c r="J836">
        <v>0.44854758961681102</v>
      </c>
      <c r="M836">
        <v>0</v>
      </c>
      <c r="N836">
        <v>0</v>
      </c>
      <c r="O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83" hidden="1" x14ac:dyDescent="0.25">
      <c r="A837" t="s">
        <v>128</v>
      </c>
      <c r="B837" t="s">
        <v>503</v>
      </c>
      <c r="C837" t="s">
        <v>72</v>
      </c>
      <c r="D837" s="12">
        <v>46237</v>
      </c>
      <c r="E837" t="s">
        <v>133</v>
      </c>
      <c r="F837" t="s">
        <v>133</v>
      </c>
      <c r="G837" t="s">
        <v>133</v>
      </c>
      <c r="H837" t="s">
        <v>75</v>
      </c>
      <c r="I837">
        <v>20</v>
      </c>
      <c r="J837">
        <v>7.4010352286773822</v>
      </c>
      <c r="K837">
        <v>46237</v>
      </c>
      <c r="L837" t="s">
        <v>181</v>
      </c>
      <c r="M837">
        <v>20.9</v>
      </c>
      <c r="N837">
        <v>20.9</v>
      </c>
      <c r="O837">
        <v>7.1745098039215671</v>
      </c>
      <c r="P837">
        <v>2.8239292685727397</v>
      </c>
      <c r="Q837">
        <v>2.8239292685727397</v>
      </c>
      <c r="R837">
        <v>0.96939273794048719</v>
      </c>
      <c r="S837">
        <v>0</v>
      </c>
      <c r="T837">
        <v>0</v>
      </c>
      <c r="U837">
        <v>1.5739292685727397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0.25</v>
      </c>
      <c r="AB837">
        <v>0</v>
      </c>
      <c r="AC837">
        <v>0</v>
      </c>
      <c r="AD837">
        <v>0</v>
      </c>
      <c r="AE837">
        <v>3.0607262059512808E-2</v>
      </c>
      <c r="AF837">
        <v>0</v>
      </c>
      <c r="AG837">
        <v>0.96939273794048719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0.35411651811853506</v>
      </c>
      <c r="AN837">
        <v>0.35411651811853506</v>
      </c>
      <c r="AO837">
        <v>0.34327798104887886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0.64588348188146494</v>
      </c>
      <c r="BA837">
        <v>0</v>
      </c>
      <c r="BB837">
        <v>1.0838537069656207E-2</v>
      </c>
      <c r="BC837">
        <v>0</v>
      </c>
      <c r="BD837">
        <v>0.34327798104887886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2.9130910084722608</v>
      </c>
      <c r="BK837">
        <v>2.9130910084722608</v>
      </c>
      <c r="BL837">
        <v>1.0315736448826087</v>
      </c>
      <c r="CC837">
        <v>0</v>
      </c>
      <c r="CD837">
        <v>0</v>
      </c>
      <c r="CE837">
        <v>0</v>
      </c>
    </row>
    <row r="838" spans="1:83" hidden="1" x14ac:dyDescent="0.25">
      <c r="A838" t="s">
        <v>128</v>
      </c>
      <c r="B838" t="s">
        <v>503</v>
      </c>
      <c r="C838" t="s">
        <v>117</v>
      </c>
      <c r="D838" s="12">
        <v>46228</v>
      </c>
      <c r="J838">
        <v>27.328541674261086</v>
      </c>
      <c r="M838">
        <v>66.5</v>
      </c>
      <c r="N838">
        <v>66.5</v>
      </c>
      <c r="O838">
        <v>25.629824466551309</v>
      </c>
      <c r="S838">
        <v>0</v>
      </c>
      <c r="T838">
        <v>0</v>
      </c>
      <c r="U838">
        <v>1.3221745699080942</v>
      </c>
      <c r="V838">
        <v>0</v>
      </c>
      <c r="W838">
        <v>1.5973468511732447E-3</v>
      </c>
      <c r="X838">
        <v>0</v>
      </c>
      <c r="Y838">
        <v>6.6775354527368228E-2</v>
      </c>
      <c r="Z838">
        <v>0</v>
      </c>
      <c r="AA838">
        <v>0.14203853550930301</v>
      </c>
      <c r="AB838">
        <v>6.7192553912724315E-2</v>
      </c>
      <c r="AC838">
        <v>3.2039845568696976E-2</v>
      </c>
      <c r="AD838">
        <v>0</v>
      </c>
      <c r="AE838">
        <v>0.10456947067700498</v>
      </c>
      <c r="AF838">
        <v>0</v>
      </c>
      <c r="AG838">
        <v>0.79619812984157368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83" hidden="1" x14ac:dyDescent="0.25">
      <c r="A839" t="s">
        <v>128</v>
      </c>
      <c r="B839" t="s">
        <v>503</v>
      </c>
      <c r="C839" t="s">
        <v>109</v>
      </c>
      <c r="D839" s="12">
        <v>46250</v>
      </c>
      <c r="E839" t="s">
        <v>133</v>
      </c>
      <c r="F839" t="s">
        <v>133</v>
      </c>
      <c r="G839" t="s">
        <v>133</v>
      </c>
      <c r="J839">
        <v>21.530284301606926</v>
      </c>
      <c r="M839">
        <v>47.5</v>
      </c>
      <c r="N839">
        <v>47.5</v>
      </c>
      <c r="O839">
        <v>19.749999999999996</v>
      </c>
      <c r="S839">
        <v>0</v>
      </c>
      <c r="T839">
        <v>0</v>
      </c>
      <c r="U839">
        <v>0.95619474107245317</v>
      </c>
      <c r="V839">
        <v>0</v>
      </c>
      <c r="W839">
        <v>0</v>
      </c>
      <c r="X839">
        <v>0</v>
      </c>
      <c r="Y839">
        <v>2.7091072678927946E-2</v>
      </c>
      <c r="Z839">
        <v>0</v>
      </c>
      <c r="AA839">
        <v>0.22290892732107204</v>
      </c>
      <c r="AB839">
        <v>0</v>
      </c>
      <c r="AC839">
        <v>0</v>
      </c>
      <c r="AD839">
        <v>0</v>
      </c>
      <c r="AE839">
        <v>0.10977852244353965</v>
      </c>
      <c r="AF839">
        <v>0</v>
      </c>
      <c r="AG839">
        <v>0.89022147755646042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83" hidden="1" x14ac:dyDescent="0.25">
      <c r="A840" t="s">
        <v>128</v>
      </c>
      <c r="B840" t="s">
        <v>503</v>
      </c>
      <c r="C840" t="s">
        <v>72</v>
      </c>
      <c r="D840" s="12">
        <v>46230</v>
      </c>
      <c r="E840" t="s">
        <v>133</v>
      </c>
      <c r="F840" t="s">
        <v>133</v>
      </c>
      <c r="G840" t="s">
        <v>133</v>
      </c>
      <c r="H840" t="s">
        <v>73</v>
      </c>
      <c r="I840">
        <v>20</v>
      </c>
      <c r="J840">
        <v>10.316594561186651</v>
      </c>
      <c r="K840">
        <v>46230</v>
      </c>
      <c r="L840" t="s">
        <v>217</v>
      </c>
      <c r="M840">
        <v>36.1</v>
      </c>
      <c r="N840">
        <v>36.1</v>
      </c>
      <c r="O840">
        <v>7.4715686274509761</v>
      </c>
      <c r="P840">
        <v>3.4992167023618741</v>
      </c>
      <c r="Q840">
        <v>3.4992167023618741</v>
      </c>
      <c r="R840">
        <v>0.72422819207810085</v>
      </c>
      <c r="S840">
        <v>0</v>
      </c>
      <c r="T840">
        <v>0</v>
      </c>
      <c r="U840">
        <v>2.2492167023618741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0.25</v>
      </c>
      <c r="AB840">
        <v>0</v>
      </c>
      <c r="AC840">
        <v>0</v>
      </c>
      <c r="AD840">
        <v>0</v>
      </c>
      <c r="AE840">
        <v>0.27577180792189915</v>
      </c>
      <c r="AF840">
        <v>0</v>
      </c>
      <c r="AG840">
        <v>0.72422819207810085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0.28577824269215102</v>
      </c>
      <c r="AN840">
        <v>0.28577824269215102</v>
      </c>
      <c r="AO840">
        <v>0.20696866004019324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0.71422175730784898</v>
      </c>
      <c r="BA840">
        <v>0</v>
      </c>
      <c r="BB840">
        <v>7.8809582651957782E-2</v>
      </c>
      <c r="BC840">
        <v>0</v>
      </c>
      <c r="BD840">
        <v>0.20696866004019324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4.8316493898438555</v>
      </c>
      <c r="BK840">
        <v>4.8316493898438555</v>
      </c>
      <c r="BL840">
        <v>1.3807802719341806</v>
      </c>
      <c r="CC840">
        <v>0</v>
      </c>
      <c r="CD840">
        <v>0</v>
      </c>
      <c r="CE840">
        <v>0</v>
      </c>
    </row>
    <row r="841" spans="1:83" hidden="1" x14ac:dyDescent="0.25">
      <c r="A841" t="s">
        <v>128</v>
      </c>
      <c r="B841" t="s">
        <v>503</v>
      </c>
      <c r="C841" t="s">
        <v>72</v>
      </c>
      <c r="D841" s="12">
        <v>46234</v>
      </c>
      <c r="E841" t="s">
        <v>133</v>
      </c>
      <c r="F841" t="s">
        <v>133</v>
      </c>
      <c r="G841" t="s">
        <v>133</v>
      </c>
      <c r="H841" t="s">
        <v>75</v>
      </c>
      <c r="I841">
        <v>20</v>
      </c>
      <c r="J841">
        <v>7.4010352286773822</v>
      </c>
      <c r="K841">
        <v>46234</v>
      </c>
      <c r="L841" t="s">
        <v>189</v>
      </c>
      <c r="M841">
        <v>22.799999999999997</v>
      </c>
      <c r="N841">
        <v>22.799999999999997</v>
      </c>
      <c r="O841">
        <v>8.5426470588235226</v>
      </c>
      <c r="P841">
        <v>3.0806501111702613</v>
      </c>
      <c r="Q841">
        <v>3.0806501111702613</v>
      </c>
      <c r="R841">
        <v>1.1542502899760085</v>
      </c>
      <c r="S841">
        <v>0</v>
      </c>
      <c r="T841">
        <v>0</v>
      </c>
      <c r="U841">
        <v>1.8306501111702613</v>
      </c>
      <c r="V841">
        <v>0</v>
      </c>
      <c r="W841">
        <v>0</v>
      </c>
      <c r="X841">
        <v>0</v>
      </c>
      <c r="Y841">
        <v>0.15425028997600854</v>
      </c>
      <c r="Z841">
        <v>0</v>
      </c>
      <c r="AA841">
        <v>9.5749710023991463E-2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0.32460680827532384</v>
      </c>
      <c r="AN841">
        <v>0.32460680827532384</v>
      </c>
      <c r="AO841">
        <v>0.37467750257997912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0.62532249742002088</v>
      </c>
      <c r="BA841">
        <v>0</v>
      </c>
      <c r="BB841">
        <v>0</v>
      </c>
      <c r="BC841">
        <v>0</v>
      </c>
      <c r="BD841">
        <v>0.32460680827532384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2.6689619555861612</v>
      </c>
      <c r="BK841">
        <v>2.6689619555861612</v>
      </c>
      <c r="BL841">
        <v>0.86636322181109038</v>
      </c>
      <c r="CC841">
        <v>0</v>
      </c>
      <c r="CD841">
        <v>0</v>
      </c>
      <c r="CE841">
        <v>0</v>
      </c>
    </row>
    <row r="842" spans="1:83" hidden="1" x14ac:dyDescent="0.25">
      <c r="A842" t="s">
        <v>128</v>
      </c>
      <c r="B842" t="s">
        <v>503</v>
      </c>
      <c r="C842" t="s">
        <v>72</v>
      </c>
      <c r="D842" s="12">
        <v>46232</v>
      </c>
      <c r="E842" t="s">
        <v>133</v>
      </c>
      <c r="F842" t="s">
        <v>133</v>
      </c>
      <c r="G842" t="s">
        <v>133</v>
      </c>
      <c r="H842" t="s">
        <v>73</v>
      </c>
      <c r="I842">
        <v>20</v>
      </c>
      <c r="J842">
        <v>9.36343093325093</v>
      </c>
      <c r="K842">
        <v>46232</v>
      </c>
      <c r="L842" t="s">
        <v>238</v>
      </c>
      <c r="M842">
        <v>36.1</v>
      </c>
      <c r="N842">
        <v>36.1</v>
      </c>
      <c r="O842">
        <v>8.5823529411764667</v>
      </c>
      <c r="P842">
        <v>3.855424390626256</v>
      </c>
      <c r="Q842">
        <v>3.855424390626256</v>
      </c>
      <c r="R842">
        <v>0.91658207363918931</v>
      </c>
      <c r="S842">
        <v>0</v>
      </c>
      <c r="T842">
        <v>0</v>
      </c>
      <c r="U842">
        <v>2.605424390626256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0.25</v>
      </c>
      <c r="AB842">
        <v>0</v>
      </c>
      <c r="AC842">
        <v>0</v>
      </c>
      <c r="AD842">
        <v>0</v>
      </c>
      <c r="AE842">
        <v>8.341792636081069E-2</v>
      </c>
      <c r="AF842">
        <v>0</v>
      </c>
      <c r="AG842">
        <v>0.91658207363918931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0.2593748180955936</v>
      </c>
      <c r="AN842">
        <v>0.2593748180955936</v>
      </c>
      <c r="AO842">
        <v>0.23773830861984671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0.7406251819044064</v>
      </c>
      <c r="BA842">
        <v>0</v>
      </c>
      <c r="BB842">
        <v>2.1636509475746885E-2</v>
      </c>
      <c r="BC842">
        <v>0</v>
      </c>
      <c r="BD842">
        <v>0.23773830861984671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4.2063056888279666</v>
      </c>
      <c r="BK842">
        <v>4.2063056888279666</v>
      </c>
      <c r="BL842">
        <v>1.0910097728942143</v>
      </c>
      <c r="CC842">
        <v>0</v>
      </c>
      <c r="CD842">
        <v>0</v>
      </c>
      <c r="CE842">
        <v>0</v>
      </c>
    </row>
    <row r="843" spans="1:83" hidden="1" x14ac:dyDescent="0.25">
      <c r="A843" t="s">
        <v>128</v>
      </c>
      <c r="B843" t="s">
        <v>503</v>
      </c>
      <c r="C843" t="s">
        <v>116</v>
      </c>
      <c r="D843" s="12"/>
      <c r="J843">
        <v>814.98715199891001</v>
      </c>
      <c r="M843">
        <v>1912.3499999999992</v>
      </c>
      <c r="N843">
        <v>1912.3499999999992</v>
      </c>
      <c r="O843">
        <v>709.83821875335786</v>
      </c>
      <c r="S843">
        <v>1.6143784293818287E-2</v>
      </c>
      <c r="T843">
        <v>0</v>
      </c>
      <c r="U843">
        <v>1.3656595355007461</v>
      </c>
      <c r="V843">
        <v>0</v>
      </c>
      <c r="W843">
        <v>1.527533542907998E-3</v>
      </c>
      <c r="X843">
        <v>0</v>
      </c>
      <c r="Y843">
        <v>1.9243933305039294E-2</v>
      </c>
      <c r="Z843">
        <v>0</v>
      </c>
      <c r="AA843">
        <v>0.17139080530656872</v>
      </c>
      <c r="AB843">
        <v>8.8980510271873509E-2</v>
      </c>
      <c r="AC843">
        <v>9.4391233366471053E-2</v>
      </c>
      <c r="AD843">
        <v>0</v>
      </c>
      <c r="AE843">
        <v>7.9073268088728776E-2</v>
      </c>
      <c r="AF843">
        <v>0</v>
      </c>
      <c r="AG843">
        <v>0.70958363291982063</v>
      </c>
      <c r="AH843">
        <v>0</v>
      </c>
      <c r="AI843">
        <v>0</v>
      </c>
      <c r="AJ843">
        <v>0</v>
      </c>
      <c r="AK843">
        <v>2.7971355353107998E-2</v>
      </c>
      <c r="AL843">
        <v>0</v>
      </c>
    </row>
    <row r="844" spans="1:83" hidden="1" x14ac:dyDescent="0.25">
      <c r="A844" t="s">
        <v>128</v>
      </c>
      <c r="B844" t="s">
        <v>503</v>
      </c>
      <c r="C844" t="s">
        <v>72</v>
      </c>
      <c r="D844" s="12">
        <v>46231</v>
      </c>
      <c r="E844" t="s">
        <v>133</v>
      </c>
      <c r="F844" t="s">
        <v>133</v>
      </c>
      <c r="G844" t="s">
        <v>133</v>
      </c>
      <c r="H844" t="s">
        <v>74</v>
      </c>
      <c r="I844">
        <v>20</v>
      </c>
      <c r="J844">
        <v>3.8126545117428936</v>
      </c>
      <c r="K844">
        <v>46231</v>
      </c>
      <c r="L844" t="s">
        <v>230</v>
      </c>
      <c r="M844">
        <v>7.6</v>
      </c>
      <c r="N844">
        <v>7.6</v>
      </c>
      <c r="O844">
        <v>3.9411764705882346</v>
      </c>
      <c r="P844">
        <v>1.9933618366395811</v>
      </c>
      <c r="Q844">
        <v>1.9933618366395811</v>
      </c>
      <c r="R844">
        <v>1.0337093115700613</v>
      </c>
      <c r="S844">
        <v>0</v>
      </c>
      <c r="T844">
        <v>0</v>
      </c>
      <c r="U844">
        <v>0.74336183663958111</v>
      </c>
      <c r="V844">
        <v>0</v>
      </c>
      <c r="W844">
        <v>0</v>
      </c>
      <c r="X844">
        <v>0</v>
      </c>
      <c r="Y844">
        <v>3.3709311570061296E-2</v>
      </c>
      <c r="Z844">
        <v>0</v>
      </c>
      <c r="AA844">
        <v>0.2162906884299387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0.50166506733459126</v>
      </c>
      <c r="AN844">
        <v>0.50166506733459126</v>
      </c>
      <c r="AO844">
        <v>0.51857585139318874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0.48142414860681126</v>
      </c>
      <c r="BA844">
        <v>0</v>
      </c>
      <c r="BB844">
        <v>0</v>
      </c>
      <c r="BC844">
        <v>0</v>
      </c>
      <c r="BD844">
        <v>0.50166506733459126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1.928358208955224</v>
      </c>
      <c r="BK844">
        <v>1.928358208955224</v>
      </c>
      <c r="BL844">
        <v>0.96738995074073442</v>
      </c>
      <c r="CC844">
        <v>0</v>
      </c>
      <c r="CD844">
        <v>0</v>
      </c>
      <c r="CE844">
        <v>0</v>
      </c>
    </row>
    <row r="845" spans="1:83" hidden="1" x14ac:dyDescent="0.25">
      <c r="A845" t="s">
        <v>128</v>
      </c>
      <c r="B845" t="s">
        <v>503</v>
      </c>
      <c r="C845" t="s">
        <v>117</v>
      </c>
      <c r="D845" s="12">
        <v>46224</v>
      </c>
      <c r="J845">
        <v>28.281705302196805</v>
      </c>
      <c r="M845">
        <v>80.75</v>
      </c>
      <c r="N845">
        <v>80.75</v>
      </c>
      <c r="O845">
        <v>24.437537846020749</v>
      </c>
      <c r="S845">
        <v>0</v>
      </c>
      <c r="T845">
        <v>0</v>
      </c>
      <c r="U845">
        <v>1.8080699488612693</v>
      </c>
      <c r="V845">
        <v>0</v>
      </c>
      <c r="W845">
        <v>0</v>
      </c>
      <c r="X845">
        <v>0</v>
      </c>
      <c r="Y845">
        <v>9.1670175542608416E-3</v>
      </c>
      <c r="Z845">
        <v>0</v>
      </c>
      <c r="AA845">
        <v>0.19354139931281525</v>
      </c>
      <c r="AB845">
        <v>6.9294799078221184E-2</v>
      </c>
      <c r="AC845">
        <v>8.628091401065717E-2</v>
      </c>
      <c r="AD845">
        <v>0</v>
      </c>
      <c r="AE845">
        <v>6.4682978191840643E-2</v>
      </c>
      <c r="AF845">
        <v>0</v>
      </c>
      <c r="AG845">
        <v>0.77974130871928105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83" hidden="1" x14ac:dyDescent="0.25">
      <c r="A846" t="s">
        <v>128</v>
      </c>
      <c r="B846" t="s">
        <v>503</v>
      </c>
      <c r="C846" t="s">
        <v>72</v>
      </c>
      <c r="D846" s="12">
        <v>46232</v>
      </c>
      <c r="E846" t="s">
        <v>133</v>
      </c>
      <c r="F846" t="s">
        <v>133</v>
      </c>
      <c r="G846" t="s">
        <v>133</v>
      </c>
      <c r="H846" t="s">
        <v>74</v>
      </c>
      <c r="I846">
        <v>20</v>
      </c>
      <c r="J846">
        <v>3.8126545117428936</v>
      </c>
      <c r="K846">
        <v>46232</v>
      </c>
      <c r="L846" t="s">
        <v>237</v>
      </c>
      <c r="M846">
        <v>7.6</v>
      </c>
      <c r="N846">
        <v>7.6</v>
      </c>
      <c r="O846">
        <v>3.0882352941176467</v>
      </c>
      <c r="P846">
        <v>1.9933618366395811</v>
      </c>
      <c r="Q846">
        <v>1.9933618366395811</v>
      </c>
      <c r="R846">
        <v>0.8099961023496749</v>
      </c>
      <c r="S846">
        <v>0</v>
      </c>
      <c r="T846">
        <v>0</v>
      </c>
      <c r="U846">
        <v>0.74336183663958111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0.25</v>
      </c>
      <c r="AB846">
        <v>0</v>
      </c>
      <c r="AC846">
        <v>0</v>
      </c>
      <c r="AD846">
        <v>0</v>
      </c>
      <c r="AE846">
        <v>0.1900038976503251</v>
      </c>
      <c r="AF846">
        <v>0</v>
      </c>
      <c r="AG846">
        <v>0.8099961023496749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0.50166506733459126</v>
      </c>
      <c r="AN846">
        <v>0.50166506733459126</v>
      </c>
      <c r="AO846">
        <v>0.40634674922600617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0.49833493266540874</v>
      </c>
      <c r="BA846">
        <v>0</v>
      </c>
      <c r="BB846">
        <v>9.5318318108585098E-2</v>
      </c>
      <c r="BC846">
        <v>0</v>
      </c>
      <c r="BD846">
        <v>0.40634674922600617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2.460952380952381</v>
      </c>
      <c r="BK846">
        <v>2.460952380952381</v>
      </c>
      <c r="BL846">
        <v>1.234573841897699</v>
      </c>
      <c r="CC846">
        <v>0</v>
      </c>
      <c r="CD846">
        <v>0</v>
      </c>
      <c r="CE846">
        <v>0</v>
      </c>
    </row>
    <row r="847" spans="1:83" hidden="1" x14ac:dyDescent="0.25">
      <c r="A847" t="s">
        <v>128</v>
      </c>
      <c r="B847" t="s">
        <v>503</v>
      </c>
      <c r="C847" t="s">
        <v>72</v>
      </c>
      <c r="D847" s="12">
        <v>46232</v>
      </c>
      <c r="E847" t="s">
        <v>133</v>
      </c>
      <c r="F847" t="s">
        <v>133</v>
      </c>
      <c r="G847" t="s">
        <v>133</v>
      </c>
      <c r="H847" t="s">
        <v>75</v>
      </c>
      <c r="I847">
        <v>20</v>
      </c>
      <c r="J847">
        <v>6.6721453955500643</v>
      </c>
      <c r="K847">
        <v>46232</v>
      </c>
      <c r="L847" t="s">
        <v>236</v>
      </c>
      <c r="M847">
        <v>20.9</v>
      </c>
      <c r="N847">
        <v>20.9</v>
      </c>
      <c r="O847">
        <v>5.3514705882352898</v>
      </c>
      <c r="P847">
        <v>3.1324257432907698</v>
      </c>
      <c r="Q847">
        <v>3.1324257432907698</v>
      </c>
      <c r="R847">
        <v>0.80206144665318768</v>
      </c>
      <c r="S847">
        <v>0</v>
      </c>
      <c r="T847">
        <v>0</v>
      </c>
      <c r="U847">
        <v>1.8824257432907698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0.25</v>
      </c>
      <c r="AB847">
        <v>0</v>
      </c>
      <c r="AC847">
        <v>0</v>
      </c>
      <c r="AD847">
        <v>0</v>
      </c>
      <c r="AE847">
        <v>0.19793855334681232</v>
      </c>
      <c r="AF847">
        <v>0</v>
      </c>
      <c r="AG847">
        <v>0.80206144665318768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0.31924140648564903</v>
      </c>
      <c r="AN847">
        <v>0.31924140648564903</v>
      </c>
      <c r="AO847">
        <v>0.25605122431747801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0.68075859351435097</v>
      </c>
      <c r="BA847">
        <v>0</v>
      </c>
      <c r="BB847">
        <v>6.3190182168171016E-2</v>
      </c>
      <c r="BC847">
        <v>0</v>
      </c>
      <c r="BD847">
        <v>0.25605122431747801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3.9054685353119019</v>
      </c>
      <c r="BK847">
        <v>3.9054685353119019</v>
      </c>
      <c r="BL847">
        <v>1.2467872681984191</v>
      </c>
      <c r="CC847">
        <v>0</v>
      </c>
      <c r="CD847">
        <v>0</v>
      </c>
      <c r="CE847">
        <v>0</v>
      </c>
    </row>
    <row r="848" spans="1:83" hidden="1" x14ac:dyDescent="0.25">
      <c r="A848" t="s">
        <v>128</v>
      </c>
      <c r="B848" t="s">
        <v>503</v>
      </c>
      <c r="C848" t="s">
        <v>72</v>
      </c>
      <c r="D848" s="12">
        <v>46233</v>
      </c>
      <c r="E848" t="s">
        <v>133</v>
      </c>
      <c r="F848" t="s">
        <v>133</v>
      </c>
      <c r="G848" t="s">
        <v>133</v>
      </c>
      <c r="H848" t="s">
        <v>73</v>
      </c>
      <c r="I848">
        <v>20</v>
      </c>
      <c r="J848">
        <v>10.316594561186651</v>
      </c>
      <c r="K848">
        <v>46233</v>
      </c>
      <c r="L848" t="s">
        <v>235</v>
      </c>
      <c r="M848">
        <v>36.1</v>
      </c>
      <c r="N848">
        <v>36.1</v>
      </c>
      <c r="O848">
        <v>9.3254901960784284</v>
      </c>
      <c r="P848">
        <v>3.4992167023618741</v>
      </c>
      <c r="Q848">
        <v>3.4992167023618741</v>
      </c>
      <c r="R848">
        <v>0.90393105406730045</v>
      </c>
      <c r="S848">
        <v>0</v>
      </c>
      <c r="T848">
        <v>0</v>
      </c>
      <c r="U848">
        <v>2.2492167023618741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0.25</v>
      </c>
      <c r="AB848">
        <v>0</v>
      </c>
      <c r="AC848">
        <v>0</v>
      </c>
      <c r="AD848">
        <v>0</v>
      </c>
      <c r="AE848">
        <v>9.6068945932699545E-2</v>
      </c>
      <c r="AF848">
        <v>0</v>
      </c>
      <c r="AG848">
        <v>0.90393105406730045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0.28577824269215102</v>
      </c>
      <c r="AN848">
        <v>0.28577824269215102</v>
      </c>
      <c r="AO848">
        <v>0.25832382814621685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0.71422175730784898</v>
      </c>
      <c r="BA848">
        <v>0</v>
      </c>
      <c r="BB848">
        <v>2.7454414545934169E-2</v>
      </c>
      <c r="BC848">
        <v>0</v>
      </c>
      <c r="BD848">
        <v>0.25832382814621685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3.871110176619009</v>
      </c>
      <c r="BK848">
        <v>3.871110176619009</v>
      </c>
      <c r="BL848">
        <v>1.1062790635418827</v>
      </c>
      <c r="CC848">
        <v>0</v>
      </c>
      <c r="CD848">
        <v>0</v>
      </c>
      <c r="CE848">
        <v>0</v>
      </c>
    </row>
    <row r="849" spans="1:83" hidden="1" x14ac:dyDescent="0.25">
      <c r="A849" t="s">
        <v>128</v>
      </c>
      <c r="B849" t="s">
        <v>503</v>
      </c>
      <c r="C849" t="s">
        <v>72</v>
      </c>
      <c r="D849" s="12">
        <v>46231</v>
      </c>
      <c r="E849" t="s">
        <v>133</v>
      </c>
      <c r="F849" t="s">
        <v>133</v>
      </c>
      <c r="G849" t="s">
        <v>133</v>
      </c>
      <c r="H849" t="s">
        <v>73</v>
      </c>
      <c r="I849">
        <v>20</v>
      </c>
      <c r="J849">
        <v>9.3634309332509318</v>
      </c>
      <c r="K849">
        <v>46231</v>
      </c>
      <c r="L849" t="s">
        <v>214</v>
      </c>
      <c r="M849">
        <v>34.199999999999996</v>
      </c>
      <c r="N849">
        <v>34.199999999999996</v>
      </c>
      <c r="O849">
        <v>8.6490196078431296</v>
      </c>
      <c r="P849">
        <v>3.6525073174353992</v>
      </c>
      <c r="Q849">
        <v>3.6525073174353992</v>
      </c>
      <c r="R849">
        <v>0.92370197094413098</v>
      </c>
      <c r="S849">
        <v>0</v>
      </c>
      <c r="T849">
        <v>0</v>
      </c>
      <c r="U849">
        <v>2.4025073174353992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0.25</v>
      </c>
      <c r="AB849">
        <v>0</v>
      </c>
      <c r="AC849">
        <v>0</v>
      </c>
      <c r="AD849">
        <v>0</v>
      </c>
      <c r="AE849">
        <v>7.6298029055869021E-2</v>
      </c>
      <c r="AF849">
        <v>0</v>
      </c>
      <c r="AG849">
        <v>0.92370197094413098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0.2737845302120156</v>
      </c>
      <c r="AN849">
        <v>0.2737845302120156</v>
      </c>
      <c r="AO849">
        <v>0.25289531017085176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0.72621546978798435</v>
      </c>
      <c r="BA849">
        <v>0</v>
      </c>
      <c r="BB849">
        <v>2.0889220041163836E-2</v>
      </c>
      <c r="BC849">
        <v>0</v>
      </c>
      <c r="BD849">
        <v>0.25289531017085176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3.9542053956019072</v>
      </c>
      <c r="BK849">
        <v>3.9542053956019072</v>
      </c>
      <c r="BL849">
        <v>1.0826002665966854</v>
      </c>
      <c r="CC849">
        <v>0</v>
      </c>
      <c r="CD849">
        <v>0</v>
      </c>
      <c r="CE849">
        <v>0</v>
      </c>
    </row>
    <row r="850" spans="1:83" hidden="1" x14ac:dyDescent="0.25">
      <c r="A850" t="s">
        <v>128</v>
      </c>
      <c r="B850" t="s">
        <v>503</v>
      </c>
      <c r="C850" t="s">
        <v>72</v>
      </c>
      <c r="D850" s="12">
        <v>46233</v>
      </c>
      <c r="E850" t="s">
        <v>133</v>
      </c>
      <c r="F850" t="s">
        <v>133</v>
      </c>
      <c r="G850" t="s">
        <v>133</v>
      </c>
      <c r="H850" t="s">
        <v>74</v>
      </c>
      <c r="I850">
        <v>20</v>
      </c>
      <c r="J850">
        <v>3.8126545117428936</v>
      </c>
      <c r="K850">
        <v>46233</v>
      </c>
      <c r="L850" t="s">
        <v>234</v>
      </c>
      <c r="M850">
        <v>9.5</v>
      </c>
      <c r="N850">
        <v>9.5</v>
      </c>
      <c r="O850">
        <v>2.4705882352941178</v>
      </c>
      <c r="P850">
        <v>2.4917022957994766</v>
      </c>
      <c r="Q850">
        <v>2.4917022957994766</v>
      </c>
      <c r="R850">
        <v>0.64799688187974003</v>
      </c>
      <c r="S850">
        <v>0</v>
      </c>
      <c r="T850">
        <v>0</v>
      </c>
      <c r="U850">
        <v>1.2417022957994766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0.25</v>
      </c>
      <c r="AB850">
        <v>0</v>
      </c>
      <c r="AC850">
        <v>0</v>
      </c>
      <c r="AD850">
        <v>0</v>
      </c>
      <c r="AE850">
        <v>0.35200311812025997</v>
      </c>
      <c r="AF850">
        <v>0</v>
      </c>
      <c r="AG850">
        <v>0.64799688187974003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0.40133205386767301</v>
      </c>
      <c r="AN850">
        <v>0.40133205386767301</v>
      </c>
      <c r="AO850">
        <v>0.26006191950464397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0.59866794613232699</v>
      </c>
      <c r="BA850">
        <v>0</v>
      </c>
      <c r="BB850">
        <v>0.14127013436302904</v>
      </c>
      <c r="BC850">
        <v>0</v>
      </c>
      <c r="BD850">
        <v>0.26006191950464397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3.8452380952380949</v>
      </c>
      <c r="BK850">
        <v>3.8452380952380949</v>
      </c>
      <c r="BL850">
        <v>1.5432173023721236</v>
      </c>
      <c r="CC850">
        <v>0</v>
      </c>
      <c r="CD850">
        <v>0</v>
      </c>
      <c r="CE850">
        <v>0</v>
      </c>
    </row>
    <row r="851" spans="1:83" hidden="1" x14ac:dyDescent="0.25">
      <c r="A851" t="s">
        <v>128</v>
      </c>
      <c r="B851" t="s">
        <v>503</v>
      </c>
      <c r="C851" t="s">
        <v>117</v>
      </c>
      <c r="D851" s="12">
        <v>46225</v>
      </c>
      <c r="J851">
        <v>30.593467588426726</v>
      </c>
      <c r="M851">
        <v>71.249999999999986</v>
      </c>
      <c r="N851">
        <v>71.249999999999986</v>
      </c>
      <c r="O851">
        <v>24.139918256389237</v>
      </c>
      <c r="S851">
        <v>2.0615057519109851E-2</v>
      </c>
      <c r="T851">
        <v>0</v>
      </c>
      <c r="U851">
        <v>1.2956503827591614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0.20665563272783963</v>
      </c>
      <c r="AB851">
        <v>8.2983443529300052E-2</v>
      </c>
      <c r="AC851">
        <v>6.7970481755175519E-2</v>
      </c>
      <c r="AD851">
        <v>0</v>
      </c>
      <c r="AE851">
        <v>0.16358991281617569</v>
      </c>
      <c r="AF851">
        <v>0</v>
      </c>
      <c r="AG851">
        <v>0.6630326180951831</v>
      </c>
      <c r="AH851">
        <v>0</v>
      </c>
      <c r="AI851">
        <v>0</v>
      </c>
      <c r="AJ851">
        <v>0</v>
      </c>
      <c r="AK851">
        <v>2.2423543804165919E-2</v>
      </c>
      <c r="AL851">
        <v>0</v>
      </c>
    </row>
    <row r="852" spans="1:83" hidden="1" x14ac:dyDescent="0.25">
      <c r="A852" t="s">
        <v>128</v>
      </c>
      <c r="B852" t="s">
        <v>503</v>
      </c>
      <c r="C852" t="s">
        <v>72</v>
      </c>
      <c r="D852" s="12">
        <v>46230</v>
      </c>
      <c r="E852" t="s">
        <v>133</v>
      </c>
      <c r="F852" t="s">
        <v>133</v>
      </c>
      <c r="G852" t="s">
        <v>133</v>
      </c>
      <c r="H852" t="s">
        <v>75</v>
      </c>
      <c r="I852">
        <v>20</v>
      </c>
      <c r="J852">
        <v>7.4010352286773822</v>
      </c>
      <c r="K852">
        <v>46230</v>
      </c>
      <c r="L852" t="s">
        <v>215</v>
      </c>
      <c r="M852">
        <v>20.9</v>
      </c>
      <c r="N852">
        <v>20.9</v>
      </c>
      <c r="O852">
        <v>6.9254901960784299</v>
      </c>
      <c r="P852">
        <v>2.8239292685727397</v>
      </c>
      <c r="Q852">
        <v>2.8239292685727397</v>
      </c>
      <c r="R852">
        <v>0.93574614659901634</v>
      </c>
      <c r="S852">
        <v>0</v>
      </c>
      <c r="T852">
        <v>0</v>
      </c>
      <c r="U852">
        <v>1.5739292685727397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0.25</v>
      </c>
      <c r="AB852">
        <v>0</v>
      </c>
      <c r="AC852">
        <v>0</v>
      </c>
      <c r="AD852">
        <v>0</v>
      </c>
      <c r="AE852">
        <v>6.4253853400983663E-2</v>
      </c>
      <c r="AF852">
        <v>0</v>
      </c>
      <c r="AG852">
        <v>0.93574614659901634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0.35411651811853506</v>
      </c>
      <c r="AN852">
        <v>0.35411651811853506</v>
      </c>
      <c r="AO852">
        <v>0.33136316727647991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0.64588348188146494</v>
      </c>
      <c r="BA852">
        <v>0</v>
      </c>
      <c r="BB852">
        <v>2.2753350842055153E-2</v>
      </c>
      <c r="BC852">
        <v>0</v>
      </c>
      <c r="BD852">
        <v>0.33136316727647991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3.0178369195922996</v>
      </c>
      <c r="BK852">
        <v>3.0178369195922996</v>
      </c>
      <c r="BL852">
        <v>1.0686659022155904</v>
      </c>
      <c r="CC852">
        <v>0</v>
      </c>
      <c r="CD852">
        <v>0</v>
      </c>
      <c r="CE852">
        <v>0</v>
      </c>
    </row>
    <row r="853" spans="1:83" hidden="1" x14ac:dyDescent="0.25">
      <c r="A853" t="s">
        <v>128</v>
      </c>
      <c r="B853" t="s">
        <v>503</v>
      </c>
      <c r="C853" t="s">
        <v>72</v>
      </c>
      <c r="D853" s="12">
        <v>46233</v>
      </c>
      <c r="E853" t="s">
        <v>133</v>
      </c>
      <c r="F853" t="s">
        <v>133</v>
      </c>
      <c r="G853" t="s">
        <v>133</v>
      </c>
      <c r="H853" t="s">
        <v>75</v>
      </c>
      <c r="I853">
        <v>20</v>
      </c>
      <c r="J853">
        <v>7.4010352286773839</v>
      </c>
      <c r="K853">
        <v>46233</v>
      </c>
      <c r="L853" t="s">
        <v>233</v>
      </c>
      <c r="M853">
        <v>22.799999999999997</v>
      </c>
      <c r="N853">
        <v>22.799999999999997</v>
      </c>
      <c r="O853">
        <v>8.1009803921568597</v>
      </c>
      <c r="P853">
        <v>3.0806501111702604</v>
      </c>
      <c r="Q853">
        <v>3.0806501111702604</v>
      </c>
      <c r="R853">
        <v>1.0945739537581638</v>
      </c>
      <c r="S853">
        <v>0</v>
      </c>
      <c r="T853">
        <v>0</v>
      </c>
      <c r="U853">
        <v>1.8306501111702604</v>
      </c>
      <c r="V853">
        <v>0</v>
      </c>
      <c r="W853">
        <v>0</v>
      </c>
      <c r="X853">
        <v>0</v>
      </c>
      <c r="Y853">
        <v>9.4573953758163798E-2</v>
      </c>
      <c r="Z853">
        <v>0</v>
      </c>
      <c r="AA853">
        <v>0.1554260462418362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0.3246068082753239</v>
      </c>
      <c r="AN853">
        <v>0.3246068082753239</v>
      </c>
      <c r="AO853">
        <v>0.35530615755073952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0.64469384244926053</v>
      </c>
      <c r="BA853">
        <v>0</v>
      </c>
      <c r="BB853">
        <v>0</v>
      </c>
      <c r="BC853">
        <v>0</v>
      </c>
      <c r="BD853">
        <v>0.3246068082753239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2.8144741619266616</v>
      </c>
      <c r="BK853">
        <v>2.8144741619266616</v>
      </c>
      <c r="BL853">
        <v>0.91359747467638075</v>
      </c>
      <c r="CC853">
        <v>0</v>
      </c>
      <c r="CD853">
        <v>0</v>
      </c>
      <c r="CE853">
        <v>0</v>
      </c>
    </row>
    <row r="854" spans="1:83" hidden="1" x14ac:dyDescent="0.25">
      <c r="A854" t="s">
        <v>128</v>
      </c>
      <c r="B854" t="s">
        <v>503</v>
      </c>
      <c r="C854" t="s">
        <v>117</v>
      </c>
      <c r="D854" s="12">
        <v>46226</v>
      </c>
      <c r="J854">
        <v>29.877671416292504</v>
      </c>
      <c r="M854">
        <v>82.649999999999991</v>
      </c>
      <c r="N854">
        <v>82.649999999999991</v>
      </c>
      <c r="O854">
        <v>24.484776604140098</v>
      </c>
      <c r="S854">
        <v>0</v>
      </c>
      <c r="T854">
        <v>0</v>
      </c>
      <c r="U854">
        <v>1.7090623404019996</v>
      </c>
      <c r="V854">
        <v>0</v>
      </c>
      <c r="W854">
        <v>4.3051276101299749E-4</v>
      </c>
      <c r="X854">
        <v>0</v>
      </c>
      <c r="Y854">
        <v>1.1726771736190805E-2</v>
      </c>
      <c r="Z854">
        <v>0</v>
      </c>
      <c r="AA854">
        <v>0.19963062492811171</v>
      </c>
      <c r="AB854">
        <v>8.4971524541409937E-2</v>
      </c>
      <c r="AC854">
        <v>6.9598888801380016E-2</v>
      </c>
      <c r="AD854">
        <v>0</v>
      </c>
      <c r="AE854">
        <v>0.14350151573335862</v>
      </c>
      <c r="AF854">
        <v>0</v>
      </c>
      <c r="AG854">
        <v>0.70192807092385145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83" hidden="1" x14ac:dyDescent="0.25">
      <c r="A855" t="s">
        <v>128</v>
      </c>
      <c r="B855" t="s">
        <v>503</v>
      </c>
      <c r="C855" t="s">
        <v>72</v>
      </c>
      <c r="D855" s="12">
        <v>46234</v>
      </c>
      <c r="E855" t="s">
        <v>133</v>
      </c>
      <c r="F855" t="s">
        <v>133</v>
      </c>
      <c r="G855" t="s">
        <v>133</v>
      </c>
      <c r="H855" t="s">
        <v>73</v>
      </c>
      <c r="I855">
        <v>20</v>
      </c>
      <c r="J855">
        <v>9.3634309332509318</v>
      </c>
      <c r="K855">
        <v>46234</v>
      </c>
      <c r="L855" t="s">
        <v>213</v>
      </c>
      <c r="M855">
        <v>38</v>
      </c>
      <c r="N855">
        <v>38</v>
      </c>
      <c r="O855">
        <v>9.7367647058823472</v>
      </c>
      <c r="P855">
        <v>4.0583414638171105</v>
      </c>
      <c r="Q855">
        <v>4.0583414638171105</v>
      </c>
      <c r="R855">
        <v>1.0398714718240354</v>
      </c>
      <c r="S855">
        <v>0</v>
      </c>
      <c r="T855">
        <v>0</v>
      </c>
      <c r="U855">
        <v>2.8083414638171105</v>
      </c>
      <c r="V855">
        <v>0</v>
      </c>
      <c r="W855">
        <v>0</v>
      </c>
      <c r="X855">
        <v>0</v>
      </c>
      <c r="Y855">
        <v>3.9871471824035387E-2</v>
      </c>
      <c r="Z855">
        <v>0</v>
      </c>
      <c r="AA855">
        <v>0.21012852817596461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0.246406077190814</v>
      </c>
      <c r="AN855">
        <v>0.246406077190814</v>
      </c>
      <c r="AO855">
        <v>0.25623065015479862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0.74376934984520138</v>
      </c>
      <c r="BA855">
        <v>0</v>
      </c>
      <c r="BB855">
        <v>0</v>
      </c>
      <c r="BC855">
        <v>0</v>
      </c>
      <c r="BD855">
        <v>0.246406077190814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3.9027337260232615</v>
      </c>
      <c r="BK855">
        <v>3.9027337260232615</v>
      </c>
      <c r="BL855">
        <v>0.96165730774968095</v>
      </c>
      <c r="CC855">
        <v>0</v>
      </c>
      <c r="CD855">
        <v>0</v>
      </c>
      <c r="CE855">
        <v>0</v>
      </c>
    </row>
    <row r="856" spans="1:83" hidden="1" x14ac:dyDescent="0.25">
      <c r="A856" t="s">
        <v>128</v>
      </c>
      <c r="B856" t="s">
        <v>503</v>
      </c>
      <c r="C856" t="s">
        <v>72</v>
      </c>
      <c r="D856" s="12">
        <v>46230</v>
      </c>
      <c r="E856" t="s">
        <v>133</v>
      </c>
      <c r="F856" t="s">
        <v>133</v>
      </c>
      <c r="G856" t="s">
        <v>133</v>
      </c>
      <c r="H856" t="s">
        <v>74</v>
      </c>
      <c r="I856">
        <v>20</v>
      </c>
      <c r="J856">
        <v>3.8126545117428936</v>
      </c>
      <c r="K856">
        <v>46230</v>
      </c>
      <c r="L856" t="s">
        <v>216</v>
      </c>
      <c r="M856">
        <v>9.5</v>
      </c>
      <c r="N856">
        <v>9.5</v>
      </c>
      <c r="O856">
        <v>4.0588235294117636</v>
      </c>
      <c r="P856">
        <v>2.4917022957994766</v>
      </c>
      <c r="Q856">
        <v>2.4917022957994766</v>
      </c>
      <c r="R856">
        <v>1.0645663059452868</v>
      </c>
      <c r="S856">
        <v>0</v>
      </c>
      <c r="T856">
        <v>0</v>
      </c>
      <c r="U856">
        <v>1.2417022957994766</v>
      </c>
      <c r="V856">
        <v>0</v>
      </c>
      <c r="W856">
        <v>0</v>
      </c>
      <c r="X856">
        <v>0</v>
      </c>
      <c r="Y856">
        <v>6.4566305945286784E-2</v>
      </c>
      <c r="Z856">
        <v>0</v>
      </c>
      <c r="AA856">
        <v>0.18543369405471322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0.40133205386767301</v>
      </c>
      <c r="AN856">
        <v>0.40133205386767301</v>
      </c>
      <c r="AO856">
        <v>0.42724458204334353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0.57275541795665652</v>
      </c>
      <c r="BA856">
        <v>0</v>
      </c>
      <c r="BB856">
        <v>0</v>
      </c>
      <c r="BC856">
        <v>0</v>
      </c>
      <c r="BD856">
        <v>0.40133205386767301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2.3405797101449282</v>
      </c>
      <c r="BK856">
        <v>2.3405797101449282</v>
      </c>
      <c r="BL856">
        <v>0.93934966231346684</v>
      </c>
      <c r="CC856">
        <v>0</v>
      </c>
      <c r="CD856">
        <v>0</v>
      </c>
      <c r="CE856">
        <v>0</v>
      </c>
    </row>
    <row r="857" spans="1:83" hidden="1" x14ac:dyDescent="0.25">
      <c r="A857" t="s">
        <v>128</v>
      </c>
      <c r="B857" t="s">
        <v>503</v>
      </c>
      <c r="C857" t="s">
        <v>72</v>
      </c>
      <c r="D857" s="12">
        <v>46234</v>
      </c>
      <c r="E857" t="s">
        <v>133</v>
      </c>
      <c r="F857" t="s">
        <v>133</v>
      </c>
      <c r="G857" t="s">
        <v>133</v>
      </c>
      <c r="H857" t="s">
        <v>74</v>
      </c>
      <c r="I857">
        <v>20</v>
      </c>
      <c r="J857">
        <v>3.8126545117428936</v>
      </c>
      <c r="K857">
        <v>46234</v>
      </c>
      <c r="L857" t="s">
        <v>190</v>
      </c>
      <c r="M857">
        <v>7.6</v>
      </c>
      <c r="N857">
        <v>7.6</v>
      </c>
      <c r="O857">
        <v>3.3235294117647056</v>
      </c>
      <c r="P857">
        <v>1.9933618366395811</v>
      </c>
      <c r="Q857">
        <v>1.9933618366395811</v>
      </c>
      <c r="R857">
        <v>0.87171009110012643</v>
      </c>
      <c r="S857">
        <v>0</v>
      </c>
      <c r="T857">
        <v>0</v>
      </c>
      <c r="U857">
        <v>0.74336183663958111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0.25</v>
      </c>
      <c r="AB857">
        <v>0</v>
      </c>
      <c r="AC857">
        <v>0</v>
      </c>
      <c r="AD857">
        <v>0</v>
      </c>
      <c r="AE857">
        <v>0.12828990889987357</v>
      </c>
      <c r="AF857">
        <v>0</v>
      </c>
      <c r="AG857">
        <v>0.87171009110012643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0.50166506733459126</v>
      </c>
      <c r="AN857">
        <v>0.50166506733459126</v>
      </c>
      <c r="AO857">
        <v>0.43730650154798761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0.49833493266540874</v>
      </c>
      <c r="BA857">
        <v>0</v>
      </c>
      <c r="BB857">
        <v>6.435856578660365E-2</v>
      </c>
      <c r="BC857">
        <v>0</v>
      </c>
      <c r="BD857">
        <v>0.43730650154798761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2.2867256637168141</v>
      </c>
      <c r="BK857">
        <v>2.2867256637168141</v>
      </c>
      <c r="BL857">
        <v>1.1471703840642336</v>
      </c>
      <c r="CC857">
        <v>0</v>
      </c>
      <c r="CD857">
        <v>0</v>
      </c>
      <c r="CE857">
        <v>0</v>
      </c>
    </row>
    <row r="858" spans="1:83" hidden="1" x14ac:dyDescent="0.25">
      <c r="A858" t="s">
        <v>128</v>
      </c>
      <c r="B858" t="s">
        <v>503</v>
      </c>
      <c r="C858" t="s">
        <v>117</v>
      </c>
      <c r="D858" s="12">
        <v>46227</v>
      </c>
      <c r="J858">
        <v>32.175767752914368</v>
      </c>
      <c r="M858">
        <v>75.05</v>
      </c>
      <c r="N858">
        <v>75.05</v>
      </c>
      <c r="O858">
        <v>24.933160322952702</v>
      </c>
      <c r="S858">
        <v>0</v>
      </c>
      <c r="T858">
        <v>0</v>
      </c>
      <c r="U858">
        <v>1.3540924272060939</v>
      </c>
      <c r="V858">
        <v>0</v>
      </c>
      <c r="W858">
        <v>0</v>
      </c>
      <c r="X858">
        <v>0</v>
      </c>
      <c r="Y858">
        <v>2.5730015634787612E-3</v>
      </c>
      <c r="Z858">
        <v>0</v>
      </c>
      <c r="AA858">
        <v>0.17539345298145323</v>
      </c>
      <c r="AB858">
        <v>5.7070107041582496E-2</v>
      </c>
      <c r="AC858">
        <v>0.14248809978142279</v>
      </c>
      <c r="AD858">
        <v>0</v>
      </c>
      <c r="AE858">
        <v>9.0341952748261151E-2</v>
      </c>
      <c r="AF858">
        <v>0</v>
      </c>
      <c r="AG858">
        <v>0.71009984042873342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83" hidden="1" x14ac:dyDescent="0.25">
      <c r="A859" t="s">
        <v>128</v>
      </c>
      <c r="B859" t="s">
        <v>503</v>
      </c>
      <c r="C859" t="s">
        <v>72</v>
      </c>
      <c r="D859" s="12">
        <v>46235</v>
      </c>
      <c r="E859" t="s">
        <v>133</v>
      </c>
      <c r="F859" t="s">
        <v>133</v>
      </c>
      <c r="G859" t="s">
        <v>133</v>
      </c>
      <c r="H859" t="s">
        <v>73</v>
      </c>
      <c r="I859">
        <v>20</v>
      </c>
      <c r="J859">
        <v>10.316594561186657</v>
      </c>
      <c r="K859">
        <v>46235</v>
      </c>
      <c r="L859" t="s">
        <v>188</v>
      </c>
      <c r="M859">
        <v>32.299999999999997</v>
      </c>
      <c r="N859">
        <v>32.299999999999997</v>
      </c>
      <c r="O859">
        <v>10.700490196078425</v>
      </c>
      <c r="P859">
        <v>3.1308781021132539</v>
      </c>
      <c r="Q859">
        <v>3.1308781021132539</v>
      </c>
      <c r="R859">
        <v>1.0372114686309444</v>
      </c>
      <c r="S859">
        <v>0</v>
      </c>
      <c r="T859">
        <v>0</v>
      </c>
      <c r="U859">
        <v>1.8808781021132539</v>
      </c>
      <c r="V859">
        <v>0</v>
      </c>
      <c r="W859">
        <v>0</v>
      </c>
      <c r="X859">
        <v>0</v>
      </c>
      <c r="Y859">
        <v>3.7211468630944378E-2</v>
      </c>
      <c r="Z859">
        <v>0</v>
      </c>
      <c r="AA859">
        <v>0.21278853136905562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0.31939921242063957</v>
      </c>
      <c r="AN859">
        <v>0.31939921242063957</v>
      </c>
      <c r="AO859">
        <v>0.33128452619437848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0.66871547380562157</v>
      </c>
      <c r="BA859">
        <v>0</v>
      </c>
      <c r="BB859">
        <v>0</v>
      </c>
      <c r="BC859">
        <v>0</v>
      </c>
      <c r="BD859">
        <v>0.31939921242063957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3.0185533006550935</v>
      </c>
      <c r="BK859">
        <v>3.0185533006550935</v>
      </c>
      <c r="BL859">
        <v>0.96412354687895885</v>
      </c>
      <c r="CC859">
        <v>0</v>
      </c>
      <c r="CD859">
        <v>0</v>
      </c>
      <c r="CE859">
        <v>0</v>
      </c>
    </row>
    <row r="860" spans="1:83" hidden="1" x14ac:dyDescent="0.25">
      <c r="A860" t="s">
        <v>128</v>
      </c>
      <c r="B860" t="s">
        <v>503</v>
      </c>
      <c r="C860" t="s">
        <v>72</v>
      </c>
      <c r="D860" s="12">
        <v>46238</v>
      </c>
      <c r="E860" t="s">
        <v>133</v>
      </c>
      <c r="F860" t="s">
        <v>133</v>
      </c>
      <c r="G860" t="s">
        <v>133</v>
      </c>
      <c r="H860" t="s">
        <v>73</v>
      </c>
      <c r="I860">
        <v>20</v>
      </c>
      <c r="J860">
        <v>10.316594561186651</v>
      </c>
      <c r="K860">
        <v>46238</v>
      </c>
      <c r="L860" t="s">
        <v>180</v>
      </c>
      <c r="M860">
        <v>41.8</v>
      </c>
      <c r="N860">
        <v>41.8</v>
      </c>
      <c r="O860">
        <v>9.4058823529411733</v>
      </c>
      <c r="P860">
        <v>4.0517246027348017</v>
      </c>
      <c r="Q860">
        <v>4.0517246027348017</v>
      </c>
      <c r="R860">
        <v>0.91172356315408754</v>
      </c>
      <c r="S860">
        <v>0</v>
      </c>
      <c r="T860">
        <v>0</v>
      </c>
      <c r="U860">
        <v>2.8017246027348017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0.25</v>
      </c>
      <c r="AB860">
        <v>0</v>
      </c>
      <c r="AC860">
        <v>0</v>
      </c>
      <c r="AD860">
        <v>0</v>
      </c>
      <c r="AE860">
        <v>8.8276436845912465E-2</v>
      </c>
      <c r="AF860">
        <v>0</v>
      </c>
      <c r="AG860">
        <v>0.91172356315408754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0.24680848232503952</v>
      </c>
      <c r="AN860">
        <v>0.24680848232503952</v>
      </c>
      <c r="AO860">
        <v>0.22502110892203767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0.75319151767496051</v>
      </c>
      <c r="BA860">
        <v>0</v>
      </c>
      <c r="BB860">
        <v>2.1787373403001853E-2</v>
      </c>
      <c r="BC860">
        <v>0</v>
      </c>
      <c r="BD860">
        <v>0.22502110892203767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4.4440275171982497</v>
      </c>
      <c r="BK860">
        <v>4.4440275171982497</v>
      </c>
      <c r="BL860">
        <v>1.0968236869304135</v>
      </c>
      <c r="CC860">
        <v>0</v>
      </c>
      <c r="CD860">
        <v>0</v>
      </c>
      <c r="CE860">
        <v>0</v>
      </c>
    </row>
    <row r="861" spans="1:83" hidden="1" x14ac:dyDescent="0.25">
      <c r="A861" t="s">
        <v>128</v>
      </c>
      <c r="B861" t="s">
        <v>503</v>
      </c>
      <c r="C861" t="s">
        <v>117</v>
      </c>
      <c r="D861" s="12">
        <v>46232</v>
      </c>
      <c r="J861">
        <v>30.283106446650986</v>
      </c>
      <c r="M861">
        <v>73.149999999999991</v>
      </c>
      <c r="N861">
        <v>73.149999999999991</v>
      </c>
      <c r="O861">
        <v>24.865255266193156</v>
      </c>
      <c r="S861">
        <v>2.7643965447505768E-2</v>
      </c>
      <c r="T861">
        <v>0</v>
      </c>
      <c r="U861">
        <v>1.3844811295022021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0.20621141121642256</v>
      </c>
      <c r="AB861">
        <v>8.2781749927404766E-2</v>
      </c>
      <c r="AC861">
        <v>6.9719250215106054E-2</v>
      </c>
      <c r="AD861">
        <v>0</v>
      </c>
      <c r="AE861">
        <v>0.13683143307531076</v>
      </c>
      <c r="AF861">
        <v>0</v>
      </c>
      <c r="AG861">
        <v>0.68801421179037947</v>
      </c>
      <c r="AH861">
        <v>0</v>
      </c>
      <c r="AI861">
        <v>0</v>
      </c>
      <c r="AJ861">
        <v>0</v>
      </c>
      <c r="AK861">
        <v>2.2653354991798848E-2</v>
      </c>
      <c r="AL861">
        <v>0</v>
      </c>
    </row>
    <row r="862" spans="1:83" hidden="1" x14ac:dyDescent="0.25">
      <c r="A862" t="s">
        <v>128</v>
      </c>
      <c r="B862" t="s">
        <v>503</v>
      </c>
      <c r="C862" t="s">
        <v>109</v>
      </c>
      <c r="D862" s="12">
        <v>46249</v>
      </c>
      <c r="E862" t="s">
        <v>134</v>
      </c>
      <c r="F862" t="s">
        <v>134</v>
      </c>
      <c r="G862" t="s">
        <v>134</v>
      </c>
      <c r="J862">
        <v>5.4878962308784107</v>
      </c>
      <c r="M862">
        <v>0</v>
      </c>
      <c r="N862">
        <v>0</v>
      </c>
      <c r="O862">
        <v>3.636274509803922</v>
      </c>
      <c r="S862">
        <v>5.2789252487517445E-2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0.35443418705173801</v>
      </c>
      <c r="AC862">
        <v>0.39019026066549312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0.25537555228276881</v>
      </c>
      <c r="AL862">
        <v>0</v>
      </c>
    </row>
    <row r="863" spans="1:83" hidden="1" x14ac:dyDescent="0.25">
      <c r="A863" t="s">
        <v>128</v>
      </c>
      <c r="B863" t="s">
        <v>503</v>
      </c>
      <c r="C863" t="s">
        <v>72</v>
      </c>
      <c r="D863" s="12">
        <v>46240</v>
      </c>
      <c r="E863" t="s">
        <v>133</v>
      </c>
      <c r="F863" t="s">
        <v>133</v>
      </c>
      <c r="G863" t="s">
        <v>133</v>
      </c>
      <c r="H863" t="s">
        <v>75</v>
      </c>
      <c r="I863">
        <v>20</v>
      </c>
      <c r="J863">
        <v>7.4010352286773804</v>
      </c>
      <c r="K863">
        <v>46240</v>
      </c>
      <c r="L863" t="s">
        <v>210</v>
      </c>
      <c r="M863">
        <v>20.9</v>
      </c>
      <c r="N863">
        <v>20.9</v>
      </c>
      <c r="O863">
        <v>5.5862745098039195</v>
      </c>
      <c r="P863">
        <v>2.8239292685727402</v>
      </c>
      <c r="Q863">
        <v>2.8239292685727402</v>
      </c>
      <c r="R863">
        <v>0.75479636796732663</v>
      </c>
      <c r="S863">
        <v>0</v>
      </c>
      <c r="T863">
        <v>0</v>
      </c>
      <c r="U863">
        <v>1.5739292685727402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0.25</v>
      </c>
      <c r="AB863">
        <v>0</v>
      </c>
      <c r="AC863">
        <v>0</v>
      </c>
      <c r="AD863">
        <v>0</v>
      </c>
      <c r="AE863">
        <v>0.24520363203267337</v>
      </c>
      <c r="AF863">
        <v>0</v>
      </c>
      <c r="AG863">
        <v>0.75479636796732663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0.35411651811853495</v>
      </c>
      <c r="AN863">
        <v>0.35411651811853495</v>
      </c>
      <c r="AO863">
        <v>0.2672858617131062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0.64588348188146505</v>
      </c>
      <c r="BA863">
        <v>0</v>
      </c>
      <c r="BB863">
        <v>8.6830656405428752E-2</v>
      </c>
      <c r="BC863">
        <v>0</v>
      </c>
      <c r="BD863">
        <v>0.2672858617131062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3.7413127413127425</v>
      </c>
      <c r="BK863">
        <v>3.7413127413127425</v>
      </c>
      <c r="BL863">
        <v>1.3248606411461794</v>
      </c>
      <c r="CC863">
        <v>0</v>
      </c>
      <c r="CD863">
        <v>0</v>
      </c>
      <c r="CE863">
        <v>0</v>
      </c>
    </row>
    <row r="864" spans="1:83" hidden="1" x14ac:dyDescent="0.25">
      <c r="A864" t="s">
        <v>128</v>
      </c>
      <c r="B864" t="s">
        <v>503</v>
      </c>
      <c r="C864" t="s">
        <v>72</v>
      </c>
      <c r="D864" s="12">
        <v>46227</v>
      </c>
      <c r="E864" t="s">
        <v>133</v>
      </c>
      <c r="F864" t="s">
        <v>133</v>
      </c>
      <c r="G864" t="s">
        <v>133</v>
      </c>
      <c r="H864" t="s">
        <v>74</v>
      </c>
      <c r="I864">
        <v>20</v>
      </c>
      <c r="J864">
        <v>3.8126545117428936</v>
      </c>
      <c r="K864">
        <v>46227</v>
      </c>
      <c r="L864" t="s">
        <v>225</v>
      </c>
      <c r="M864">
        <v>7.6</v>
      </c>
      <c r="N864">
        <v>7.6</v>
      </c>
      <c r="O864">
        <v>3.2058823529411757</v>
      </c>
      <c r="P864">
        <v>1.9933618366395811</v>
      </c>
      <c r="Q864">
        <v>1.9933618366395811</v>
      </c>
      <c r="R864">
        <v>0.8408530967249005</v>
      </c>
      <c r="S864">
        <v>0</v>
      </c>
      <c r="T864">
        <v>0</v>
      </c>
      <c r="U864">
        <v>0.74336183663958111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0.25</v>
      </c>
      <c r="AB864">
        <v>0</v>
      </c>
      <c r="AC864">
        <v>0</v>
      </c>
      <c r="AD864">
        <v>0</v>
      </c>
      <c r="AE864">
        <v>0.1591469032750995</v>
      </c>
      <c r="AF864">
        <v>0</v>
      </c>
      <c r="AG864">
        <v>0.8408530967249005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0.50166506733459126</v>
      </c>
      <c r="AN864">
        <v>0.50166506733459126</v>
      </c>
      <c r="AO864">
        <v>0.42182662538699683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0.49833493266540874</v>
      </c>
      <c r="BA864">
        <v>0</v>
      </c>
      <c r="BB864">
        <v>7.983844194759443E-2</v>
      </c>
      <c r="BC864">
        <v>0</v>
      </c>
      <c r="BD864">
        <v>0.42182662538699683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2.3706422018348627</v>
      </c>
      <c r="BK864">
        <v>2.3706422018348627</v>
      </c>
      <c r="BL864">
        <v>1.1892683798097101</v>
      </c>
      <c r="CC864">
        <v>0</v>
      </c>
      <c r="CD864">
        <v>0</v>
      </c>
      <c r="CE864">
        <v>0</v>
      </c>
    </row>
    <row r="865" spans="1:83" hidden="1" x14ac:dyDescent="0.25">
      <c r="A865" t="s">
        <v>128</v>
      </c>
      <c r="B865" t="s">
        <v>503</v>
      </c>
      <c r="C865" t="s">
        <v>109</v>
      </c>
      <c r="D865" s="12">
        <v>46247</v>
      </c>
      <c r="E865" t="s">
        <v>133</v>
      </c>
      <c r="F865" t="s">
        <v>133</v>
      </c>
      <c r="G865" t="s">
        <v>133</v>
      </c>
      <c r="J865">
        <v>21.530284301606926</v>
      </c>
      <c r="M865">
        <v>74.099999999999994</v>
      </c>
      <c r="N865">
        <v>74.099999999999994</v>
      </c>
      <c r="O865">
        <v>19.749999999999993</v>
      </c>
      <c r="S865">
        <v>0</v>
      </c>
      <c r="T865">
        <v>0</v>
      </c>
      <c r="U865">
        <v>2.1916637960730272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0.25</v>
      </c>
      <c r="AB865">
        <v>0</v>
      </c>
      <c r="AC865">
        <v>0</v>
      </c>
      <c r="AD865">
        <v>0</v>
      </c>
      <c r="AE865">
        <v>8.2687449764611773E-2</v>
      </c>
      <c r="AF865">
        <v>0</v>
      </c>
      <c r="AG865">
        <v>0.91731255023538816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83" hidden="1" x14ac:dyDescent="0.25">
      <c r="A866" t="s">
        <v>128</v>
      </c>
      <c r="B866" t="s">
        <v>503</v>
      </c>
      <c r="C866" t="s">
        <v>72</v>
      </c>
      <c r="D866" s="12">
        <v>46241</v>
      </c>
      <c r="E866" t="s">
        <v>133</v>
      </c>
      <c r="F866" t="s">
        <v>133</v>
      </c>
      <c r="G866" t="s">
        <v>133</v>
      </c>
      <c r="H866" t="s">
        <v>73</v>
      </c>
      <c r="I866">
        <v>20</v>
      </c>
      <c r="J866">
        <v>9.36343093325093</v>
      </c>
      <c r="K866">
        <v>46241</v>
      </c>
      <c r="L866" t="s">
        <v>209</v>
      </c>
      <c r="M866">
        <v>38</v>
      </c>
      <c r="N866">
        <v>38</v>
      </c>
      <c r="O866">
        <v>9.2588235294117602</v>
      </c>
      <c r="P866">
        <v>4.0583414638171114</v>
      </c>
      <c r="Q866">
        <v>4.0583414638171114</v>
      </c>
      <c r="R866">
        <v>0.98882809040992725</v>
      </c>
      <c r="S866">
        <v>0</v>
      </c>
      <c r="T866">
        <v>0</v>
      </c>
      <c r="U866">
        <v>2.8083414638171114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0.25</v>
      </c>
      <c r="AB866">
        <v>0</v>
      </c>
      <c r="AC866">
        <v>0</v>
      </c>
      <c r="AD866">
        <v>0</v>
      </c>
      <c r="AE866">
        <v>1.1171909590072748E-2</v>
      </c>
      <c r="AF866">
        <v>0</v>
      </c>
      <c r="AG866">
        <v>0.98882809040992725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0.24640607719081395</v>
      </c>
      <c r="AN866">
        <v>0.24640607719081395</v>
      </c>
      <c r="AO866">
        <v>0.24365325077399369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0.75359392280918602</v>
      </c>
      <c r="BA866">
        <v>0</v>
      </c>
      <c r="BB866">
        <v>2.7528264168202587E-3</v>
      </c>
      <c r="BC866">
        <v>0</v>
      </c>
      <c r="BD866">
        <v>0.24365325077399369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4.1041931385006372</v>
      </c>
      <c r="BK866">
        <v>4.1041931385006372</v>
      </c>
      <c r="BL866">
        <v>1.0112981312913969</v>
      </c>
      <c r="CC866">
        <v>0</v>
      </c>
      <c r="CD866">
        <v>0</v>
      </c>
      <c r="CE866">
        <v>0</v>
      </c>
    </row>
    <row r="867" spans="1:83" x14ac:dyDescent="0.25">
      <c r="A867" t="s">
        <v>128</v>
      </c>
      <c r="B867" t="s">
        <v>503</v>
      </c>
      <c r="C867" t="s">
        <v>72</v>
      </c>
      <c r="D867" s="12">
        <v>46227</v>
      </c>
      <c r="E867" t="s">
        <v>133</v>
      </c>
      <c r="F867" t="s">
        <v>133</v>
      </c>
      <c r="G867" t="s">
        <v>133</v>
      </c>
      <c r="H867" t="s">
        <v>73</v>
      </c>
      <c r="I867">
        <v>20</v>
      </c>
      <c r="J867">
        <v>9.36343093325093</v>
      </c>
      <c r="K867">
        <v>46227</v>
      </c>
      <c r="L867" t="s">
        <v>226</v>
      </c>
      <c r="M867">
        <v>36.1</v>
      </c>
      <c r="N867">
        <v>36.1</v>
      </c>
      <c r="O867">
        <v>8.2882352941176443</v>
      </c>
      <c r="P867">
        <v>3.855424390626256</v>
      </c>
      <c r="Q867">
        <v>3.855424390626256</v>
      </c>
      <c r="R867">
        <v>0.8851707619997381</v>
      </c>
      <c r="S867">
        <v>0</v>
      </c>
      <c r="T867">
        <v>0</v>
      </c>
      <c r="U867">
        <v>2.605424390626256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0.25</v>
      </c>
      <c r="AB867">
        <v>0</v>
      </c>
      <c r="AC867">
        <v>0</v>
      </c>
      <c r="AD867">
        <v>0</v>
      </c>
      <c r="AE867">
        <v>0.1148292380002619</v>
      </c>
      <c r="AF867">
        <v>0</v>
      </c>
      <c r="AG867">
        <v>0.8851707619997381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0.2593748180955936</v>
      </c>
      <c r="AN867">
        <v>0.2593748180955936</v>
      </c>
      <c r="AO867">
        <v>0.22959100537722005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0.7406251819044064</v>
      </c>
      <c r="BA867">
        <v>0</v>
      </c>
      <c r="BB867">
        <v>2.9783812718373548E-2</v>
      </c>
      <c r="BC867">
        <v>0</v>
      </c>
      <c r="BD867">
        <v>0.22959100537722005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4.3555713271824006</v>
      </c>
      <c r="BK867">
        <v>4.3555713271824006</v>
      </c>
      <c r="BL867">
        <v>1.1297255206903185</v>
      </c>
      <c r="CC867">
        <v>0</v>
      </c>
      <c r="CD867">
        <v>0</v>
      </c>
      <c r="CE867">
        <v>0</v>
      </c>
    </row>
    <row r="868" spans="1:83" hidden="1" x14ac:dyDescent="0.25">
      <c r="A868" t="s">
        <v>128</v>
      </c>
      <c r="B868" t="s">
        <v>503</v>
      </c>
      <c r="C868" t="s">
        <v>72</v>
      </c>
      <c r="D868" s="12">
        <v>46231</v>
      </c>
      <c r="E868" t="s">
        <v>133</v>
      </c>
      <c r="F868" t="s">
        <v>133</v>
      </c>
      <c r="G868" t="s">
        <v>133</v>
      </c>
      <c r="H868" t="s">
        <v>75</v>
      </c>
      <c r="I868">
        <v>20</v>
      </c>
      <c r="J868">
        <v>7.3449667799752829</v>
      </c>
      <c r="K868">
        <v>46231</v>
      </c>
      <c r="L868" t="s">
        <v>231</v>
      </c>
      <c r="M868">
        <v>20.9</v>
      </c>
      <c r="N868">
        <v>20.9</v>
      </c>
      <c r="O868">
        <v>6.6598039215686242</v>
      </c>
      <c r="P868">
        <v>2.8454859805465764</v>
      </c>
      <c r="Q868">
        <v>2.8454859805465764</v>
      </c>
      <c r="R868">
        <v>0.90671668382835569</v>
      </c>
      <c r="S868">
        <v>0</v>
      </c>
      <c r="T868">
        <v>0</v>
      </c>
      <c r="U868">
        <v>1.5954859805465764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0.25</v>
      </c>
      <c r="AB868">
        <v>0</v>
      </c>
      <c r="AC868">
        <v>0</v>
      </c>
      <c r="AD868">
        <v>0</v>
      </c>
      <c r="AE868">
        <v>9.3283316171644315E-2</v>
      </c>
      <c r="AF868">
        <v>0</v>
      </c>
      <c r="AG868">
        <v>0.90671668382835569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0.35143381722369776</v>
      </c>
      <c r="AN868">
        <v>0.35143381722369776</v>
      </c>
      <c r="AO868">
        <v>0.31865090533821172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0.64856618277630229</v>
      </c>
      <c r="BA868">
        <v>0</v>
      </c>
      <c r="BB868">
        <v>3.2782911885486044E-2</v>
      </c>
      <c r="BC868">
        <v>0</v>
      </c>
      <c r="BD868">
        <v>0.31865090533821172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3.1382305314294139</v>
      </c>
      <c r="BK868">
        <v>3.1382305314294139</v>
      </c>
      <c r="BL868">
        <v>1.1028803349881926</v>
      </c>
      <c r="CC868">
        <v>0</v>
      </c>
      <c r="CD868">
        <v>0</v>
      </c>
      <c r="CE868">
        <v>0</v>
      </c>
    </row>
    <row r="869" spans="1:83" hidden="1" x14ac:dyDescent="0.25">
      <c r="A869" t="s">
        <v>128</v>
      </c>
      <c r="B869" t="s">
        <v>503</v>
      </c>
      <c r="C869" t="s">
        <v>109</v>
      </c>
      <c r="D869" s="12">
        <v>46246</v>
      </c>
      <c r="E869" t="s">
        <v>134</v>
      </c>
      <c r="F869" t="s">
        <v>134</v>
      </c>
      <c r="G869" t="s">
        <v>134</v>
      </c>
      <c r="J869">
        <v>6.8893707617095101</v>
      </c>
      <c r="M869">
        <v>0</v>
      </c>
      <c r="N869">
        <v>0</v>
      </c>
      <c r="O869">
        <v>4.6674163783160312</v>
      </c>
      <c r="S869">
        <v>6.0620800952260877E-2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0.2100087501551306</v>
      </c>
      <c r="AC869">
        <v>0.38314000629723916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0.40685124354763025</v>
      </c>
      <c r="AL869">
        <v>0</v>
      </c>
    </row>
    <row r="870" spans="1:83" hidden="1" x14ac:dyDescent="0.25">
      <c r="A870" t="s">
        <v>128</v>
      </c>
      <c r="B870" t="s">
        <v>503</v>
      </c>
      <c r="C870" t="s">
        <v>72</v>
      </c>
      <c r="D870" s="12">
        <v>46241</v>
      </c>
      <c r="E870" t="s">
        <v>133</v>
      </c>
      <c r="F870" t="s">
        <v>133</v>
      </c>
      <c r="G870" t="s">
        <v>133</v>
      </c>
      <c r="H870" t="s">
        <v>74</v>
      </c>
      <c r="I870">
        <v>20</v>
      </c>
      <c r="J870">
        <v>3.8126545117428936</v>
      </c>
      <c r="K870">
        <v>46241</v>
      </c>
      <c r="L870" t="s">
        <v>208</v>
      </c>
      <c r="M870">
        <v>7.6</v>
      </c>
      <c r="N870">
        <v>7.6</v>
      </c>
      <c r="O870">
        <v>3.0882352941176467</v>
      </c>
      <c r="P870">
        <v>1.9933618366395811</v>
      </c>
      <c r="Q870">
        <v>1.9933618366395811</v>
      </c>
      <c r="R870">
        <v>0.8099961023496749</v>
      </c>
      <c r="S870">
        <v>0</v>
      </c>
      <c r="T870">
        <v>0</v>
      </c>
      <c r="U870">
        <v>0.74336183663958111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0.25</v>
      </c>
      <c r="AB870">
        <v>0</v>
      </c>
      <c r="AC870">
        <v>0</v>
      </c>
      <c r="AD870">
        <v>0</v>
      </c>
      <c r="AE870">
        <v>0.1900038976503251</v>
      </c>
      <c r="AF870">
        <v>0</v>
      </c>
      <c r="AG870">
        <v>0.8099961023496749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0.50166506733459126</v>
      </c>
      <c r="AN870">
        <v>0.50166506733459126</v>
      </c>
      <c r="AO870">
        <v>0.40634674922600617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0.49833493266540874</v>
      </c>
      <c r="BA870">
        <v>0</v>
      </c>
      <c r="BB870">
        <v>9.5318318108585098E-2</v>
      </c>
      <c r="BC870">
        <v>0</v>
      </c>
      <c r="BD870">
        <v>0.40634674922600617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2.460952380952381</v>
      </c>
      <c r="BK870">
        <v>2.460952380952381</v>
      </c>
      <c r="BL870">
        <v>1.234573841897699</v>
      </c>
      <c r="CC870">
        <v>0</v>
      </c>
      <c r="CD870">
        <v>0</v>
      </c>
      <c r="CE870">
        <v>0</v>
      </c>
    </row>
    <row r="871" spans="1:83" hidden="1" x14ac:dyDescent="0.25">
      <c r="A871" t="s">
        <v>128</v>
      </c>
      <c r="B871" t="s">
        <v>503</v>
      </c>
      <c r="C871" t="s">
        <v>109</v>
      </c>
      <c r="D871" s="12">
        <v>46246</v>
      </c>
      <c r="E871" t="s">
        <v>501</v>
      </c>
      <c r="F871" t="s">
        <v>501</v>
      </c>
      <c r="G871" t="s">
        <v>501</v>
      </c>
      <c r="J871">
        <v>3.5455048443975872</v>
      </c>
      <c r="M871">
        <v>0</v>
      </c>
      <c r="N871">
        <v>0</v>
      </c>
      <c r="O871">
        <v>2.6851211072664358</v>
      </c>
      <c r="S871">
        <v>9.9294272211443879E-2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0.46454846229642138</v>
      </c>
      <c r="AC871">
        <v>0.34196316561055534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0.19348837209302328</v>
      </c>
      <c r="AL871">
        <v>0</v>
      </c>
    </row>
    <row r="872" spans="1:83" hidden="1" x14ac:dyDescent="0.25">
      <c r="A872" t="s">
        <v>128</v>
      </c>
      <c r="B872" t="s">
        <v>503</v>
      </c>
      <c r="C872" t="s">
        <v>72</v>
      </c>
      <c r="D872" s="12">
        <v>46241</v>
      </c>
      <c r="E872" t="s">
        <v>133</v>
      </c>
      <c r="F872" t="s">
        <v>133</v>
      </c>
      <c r="G872" t="s">
        <v>133</v>
      </c>
      <c r="H872" t="s">
        <v>75</v>
      </c>
      <c r="I872">
        <v>20</v>
      </c>
      <c r="J872">
        <v>7.4010352286773822</v>
      </c>
      <c r="K872">
        <v>46241</v>
      </c>
      <c r="L872" t="s">
        <v>207</v>
      </c>
      <c r="M872">
        <v>20.9</v>
      </c>
      <c r="N872">
        <v>20.9</v>
      </c>
      <c r="O872">
        <v>6.2779411764705886</v>
      </c>
      <c r="P872">
        <v>2.8239292685727397</v>
      </c>
      <c r="Q872">
        <v>2.8239292685727397</v>
      </c>
      <c r="R872">
        <v>0.84825176242168776</v>
      </c>
      <c r="S872">
        <v>0</v>
      </c>
      <c r="T872">
        <v>0</v>
      </c>
      <c r="U872">
        <v>1.5739292685727397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0.25</v>
      </c>
      <c r="AB872">
        <v>0</v>
      </c>
      <c r="AC872">
        <v>0</v>
      </c>
      <c r="AD872">
        <v>0</v>
      </c>
      <c r="AE872">
        <v>0.15174823757831224</v>
      </c>
      <c r="AF872">
        <v>0</v>
      </c>
      <c r="AG872">
        <v>0.84825176242168776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0.35411651811853506</v>
      </c>
      <c r="AN872">
        <v>0.35411651811853506</v>
      </c>
      <c r="AO872">
        <v>0.30037996059667887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0.64588348188146494</v>
      </c>
      <c r="BA872">
        <v>0</v>
      </c>
      <c r="BB872">
        <v>5.3736557521856188E-2</v>
      </c>
      <c r="BC872">
        <v>0</v>
      </c>
      <c r="BD872">
        <v>0.30037996059667887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3.3291168892012175</v>
      </c>
      <c r="BK872">
        <v>3.3291168892012175</v>
      </c>
      <c r="BL872">
        <v>1.178895281213544</v>
      </c>
      <c r="CC872">
        <v>0</v>
      </c>
      <c r="CD872">
        <v>0</v>
      </c>
      <c r="CE872">
        <v>0</v>
      </c>
    </row>
    <row r="873" spans="1:83" hidden="1" x14ac:dyDescent="0.25">
      <c r="A873" t="s">
        <v>128</v>
      </c>
      <c r="B873" t="s">
        <v>503</v>
      </c>
      <c r="C873" t="s">
        <v>117</v>
      </c>
      <c r="D873" s="12">
        <v>46238</v>
      </c>
      <c r="J873">
        <v>28.281705302196805</v>
      </c>
      <c r="M873">
        <v>74.099999999999994</v>
      </c>
      <c r="N873">
        <v>74.099999999999994</v>
      </c>
      <c r="O873">
        <v>27.521655132641285</v>
      </c>
      <c r="S873">
        <v>6.6921110166603376E-2</v>
      </c>
      <c r="T873">
        <v>0</v>
      </c>
      <c r="U873">
        <v>1.6684688606569293</v>
      </c>
      <c r="V873">
        <v>0</v>
      </c>
      <c r="W873">
        <v>0</v>
      </c>
      <c r="X873">
        <v>0</v>
      </c>
      <c r="Y873">
        <v>3.5550469672719825E-2</v>
      </c>
      <c r="Z873">
        <v>0</v>
      </c>
      <c r="AA873">
        <v>0.15476942150384357</v>
      </c>
      <c r="AB873">
        <v>8.6149243624120908E-2</v>
      </c>
      <c r="AC873">
        <v>0.10301708890757472</v>
      </c>
      <c r="AD873">
        <v>0</v>
      </c>
      <c r="AE873">
        <v>3.220146022010692E-2</v>
      </c>
      <c r="AF873">
        <v>0</v>
      </c>
      <c r="AG873">
        <v>0.72907810448614663</v>
      </c>
      <c r="AH873">
        <v>0</v>
      </c>
      <c r="AI873">
        <v>0</v>
      </c>
      <c r="AJ873">
        <v>0</v>
      </c>
      <c r="AK873">
        <v>4.955410276205087E-2</v>
      </c>
      <c r="AL873">
        <v>0</v>
      </c>
    </row>
    <row r="874" spans="1:83" hidden="1" x14ac:dyDescent="0.25">
      <c r="A874" t="s">
        <v>128</v>
      </c>
      <c r="B874" t="s">
        <v>503</v>
      </c>
      <c r="C874" t="s">
        <v>109</v>
      </c>
      <c r="D874" s="12">
        <v>46246</v>
      </c>
      <c r="E874" t="s">
        <v>133</v>
      </c>
      <c r="F874" t="s">
        <v>133</v>
      </c>
      <c r="G874" t="s">
        <v>133</v>
      </c>
      <c r="J874">
        <v>19.848230840543888</v>
      </c>
      <c r="M874">
        <v>60.8</v>
      </c>
      <c r="N874">
        <v>60.8</v>
      </c>
      <c r="O874">
        <v>16.397058823529409</v>
      </c>
      <c r="S874">
        <v>0</v>
      </c>
      <c r="T874">
        <v>0</v>
      </c>
      <c r="U874">
        <v>1.8132453082822937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0.25</v>
      </c>
      <c r="AB874">
        <v>0</v>
      </c>
      <c r="AC874">
        <v>0</v>
      </c>
      <c r="AD874">
        <v>0</v>
      </c>
      <c r="AE874">
        <v>0.17387806725649249</v>
      </c>
      <c r="AF874">
        <v>0</v>
      </c>
      <c r="AG874">
        <v>0.82612193274350754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83" hidden="1" x14ac:dyDescent="0.25">
      <c r="A875" t="s">
        <v>128</v>
      </c>
      <c r="B875" t="s">
        <v>503</v>
      </c>
      <c r="C875" t="s">
        <v>72</v>
      </c>
      <c r="D875" s="12">
        <v>46242</v>
      </c>
      <c r="E875" t="s">
        <v>133</v>
      </c>
      <c r="F875" t="s">
        <v>133</v>
      </c>
      <c r="G875" t="s">
        <v>133</v>
      </c>
      <c r="H875" t="s">
        <v>73</v>
      </c>
      <c r="I875">
        <v>20</v>
      </c>
      <c r="J875">
        <v>9.36343093325093</v>
      </c>
      <c r="K875">
        <v>46242</v>
      </c>
      <c r="L875" t="s">
        <v>206</v>
      </c>
      <c r="M875">
        <v>30.4</v>
      </c>
      <c r="N875">
        <v>30.4</v>
      </c>
      <c r="O875">
        <v>9.258823529411762</v>
      </c>
      <c r="P875">
        <v>3.2466731710536889</v>
      </c>
      <c r="Q875">
        <v>3.2466731710536889</v>
      </c>
      <c r="R875">
        <v>0.98882809040992747</v>
      </c>
      <c r="S875">
        <v>0</v>
      </c>
      <c r="T875">
        <v>0</v>
      </c>
      <c r="U875">
        <v>1.9966731710536889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0.25</v>
      </c>
      <c r="AB875">
        <v>0</v>
      </c>
      <c r="AC875">
        <v>0</v>
      </c>
      <c r="AD875">
        <v>0</v>
      </c>
      <c r="AE875">
        <v>1.1171909590072526E-2</v>
      </c>
      <c r="AF875">
        <v>0</v>
      </c>
      <c r="AG875">
        <v>0.98882809040992747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0.30800759648851744</v>
      </c>
      <c r="AN875">
        <v>0.30800759648851744</v>
      </c>
      <c r="AO875">
        <v>0.30456656346749217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0.69199240351148261</v>
      </c>
      <c r="BA875">
        <v>0</v>
      </c>
      <c r="BB875">
        <v>3.4410330210252749E-3</v>
      </c>
      <c r="BC875">
        <v>0</v>
      </c>
      <c r="BD875">
        <v>0.30456656346749217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3.2833545108005091</v>
      </c>
      <c r="BK875">
        <v>3.2833545108005091</v>
      </c>
      <c r="BL875">
        <v>1.0112981312913969</v>
      </c>
      <c r="CC875">
        <v>0</v>
      </c>
      <c r="CD875">
        <v>0</v>
      </c>
      <c r="CE875">
        <v>0</v>
      </c>
    </row>
    <row r="876" spans="1:83" hidden="1" x14ac:dyDescent="0.25">
      <c r="A876" t="s">
        <v>128</v>
      </c>
      <c r="B876" t="s">
        <v>503</v>
      </c>
      <c r="C876" t="s">
        <v>72</v>
      </c>
      <c r="D876" s="12">
        <v>46226</v>
      </c>
      <c r="E876" t="s">
        <v>133</v>
      </c>
      <c r="F876" t="s">
        <v>133</v>
      </c>
      <c r="G876" t="s">
        <v>133</v>
      </c>
      <c r="H876" t="s">
        <v>75</v>
      </c>
      <c r="I876">
        <v>20</v>
      </c>
      <c r="J876">
        <v>7.4010352286773804</v>
      </c>
      <c r="K876">
        <v>46226</v>
      </c>
      <c r="L876" t="s">
        <v>227</v>
      </c>
      <c r="M876">
        <v>26.6</v>
      </c>
      <c r="N876">
        <v>26.6</v>
      </c>
      <c r="O876">
        <v>6.159803921568626</v>
      </c>
      <c r="P876">
        <v>3.5940917963653058</v>
      </c>
      <c r="Q876">
        <v>3.5940917963653058</v>
      </c>
      <c r="R876">
        <v>0.83228950156874582</v>
      </c>
      <c r="S876">
        <v>0</v>
      </c>
      <c r="T876">
        <v>0</v>
      </c>
      <c r="U876">
        <v>2.3440917963653058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0.25</v>
      </c>
      <c r="AB876">
        <v>0</v>
      </c>
      <c r="AC876">
        <v>0</v>
      </c>
      <c r="AD876">
        <v>0</v>
      </c>
      <c r="AE876">
        <v>0.16771049843125418</v>
      </c>
      <c r="AF876">
        <v>0</v>
      </c>
      <c r="AG876">
        <v>0.83228950156874582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0.27823440709313463</v>
      </c>
      <c r="AN876">
        <v>0.27823440709313463</v>
      </c>
      <c r="AO876">
        <v>0.23157157599882056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0.72176559290686537</v>
      </c>
      <c r="BA876">
        <v>0</v>
      </c>
      <c r="BB876">
        <v>4.6662831094314072E-2</v>
      </c>
      <c r="BC876">
        <v>0</v>
      </c>
      <c r="BD876">
        <v>0.23157157599882056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4.3183192742320555</v>
      </c>
      <c r="BK876">
        <v>4.3183192742320555</v>
      </c>
      <c r="BL876">
        <v>1.2015050029048113</v>
      </c>
      <c r="CC876">
        <v>0</v>
      </c>
      <c r="CD876">
        <v>0</v>
      </c>
      <c r="CE876">
        <v>0</v>
      </c>
    </row>
    <row r="877" spans="1:83" hidden="1" x14ac:dyDescent="0.25">
      <c r="A877" t="s">
        <v>128</v>
      </c>
      <c r="B877" t="s">
        <v>503</v>
      </c>
      <c r="C877" t="s">
        <v>109</v>
      </c>
      <c r="D877" s="12">
        <v>46245</v>
      </c>
      <c r="E877" t="s">
        <v>134</v>
      </c>
      <c r="F877" t="s">
        <v>134</v>
      </c>
      <c r="G877" t="s">
        <v>134</v>
      </c>
      <c r="J877">
        <v>5.798257372654156</v>
      </c>
      <c r="M877">
        <v>0</v>
      </c>
      <c r="N877">
        <v>0</v>
      </c>
      <c r="O877">
        <v>4.4277970011534018</v>
      </c>
      <c r="S877">
        <v>0.30105326143866384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0.22088329222228573</v>
      </c>
      <c r="AC877">
        <v>0.53741054664027355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0.24170616113744078</v>
      </c>
      <c r="AL877">
        <v>0</v>
      </c>
    </row>
    <row r="878" spans="1:83" hidden="1" x14ac:dyDescent="0.25">
      <c r="A878" t="s">
        <v>128</v>
      </c>
      <c r="B878" t="s">
        <v>503</v>
      </c>
      <c r="C878" t="s">
        <v>117</v>
      </c>
      <c r="D878" s="12">
        <v>46239</v>
      </c>
      <c r="J878">
        <v>30.593467588426734</v>
      </c>
      <c r="M878">
        <v>60.8</v>
      </c>
      <c r="N878">
        <v>60.8</v>
      </c>
      <c r="O878">
        <v>26.587917407972942</v>
      </c>
      <c r="S878">
        <v>1.5186121916505778E-2</v>
      </c>
      <c r="T878">
        <v>0</v>
      </c>
      <c r="U878">
        <v>1.1763854929257762</v>
      </c>
      <c r="V878">
        <v>0</v>
      </c>
      <c r="W878">
        <v>0</v>
      </c>
      <c r="X878">
        <v>0</v>
      </c>
      <c r="Y878">
        <v>2.1669759436308174E-2</v>
      </c>
      <c r="Z878">
        <v>0</v>
      </c>
      <c r="AA878">
        <v>0.14052361389718998</v>
      </c>
      <c r="AB878">
        <v>0.20488653839450366</v>
      </c>
      <c r="AC878">
        <v>0.12391642446733779</v>
      </c>
      <c r="AD878">
        <v>0</v>
      </c>
      <c r="AE878">
        <v>4.3867739822878692E-2</v>
      </c>
      <c r="AF878">
        <v>0</v>
      </c>
      <c r="AG878">
        <v>0.60490575351111397</v>
      </c>
      <c r="AH878">
        <v>0</v>
      </c>
      <c r="AI878">
        <v>0</v>
      </c>
      <c r="AJ878">
        <v>0</v>
      </c>
      <c r="AK878">
        <v>2.2423543804165915E-2</v>
      </c>
      <c r="AL878">
        <v>0</v>
      </c>
    </row>
    <row r="879" spans="1:83" hidden="1" x14ac:dyDescent="0.25">
      <c r="A879" t="s">
        <v>128</v>
      </c>
      <c r="B879" t="s">
        <v>503</v>
      </c>
      <c r="C879" t="s">
        <v>72</v>
      </c>
      <c r="D879" s="12">
        <v>46242</v>
      </c>
      <c r="E879" t="s">
        <v>133</v>
      </c>
      <c r="F879" t="s">
        <v>133</v>
      </c>
      <c r="G879" t="s">
        <v>133</v>
      </c>
      <c r="H879" t="s">
        <v>74</v>
      </c>
      <c r="I879">
        <v>20</v>
      </c>
      <c r="J879">
        <v>3.8126545117428936</v>
      </c>
      <c r="K879">
        <v>46242</v>
      </c>
      <c r="L879" t="s">
        <v>205</v>
      </c>
      <c r="M879">
        <v>7.6</v>
      </c>
      <c r="N879">
        <v>7.6</v>
      </c>
      <c r="O879">
        <v>4.1764705882352935</v>
      </c>
      <c r="P879">
        <v>1.9933618366395811</v>
      </c>
      <c r="Q879">
        <v>1.9933618366395811</v>
      </c>
      <c r="R879">
        <v>1.0954233003205127</v>
      </c>
      <c r="S879">
        <v>0</v>
      </c>
      <c r="T879">
        <v>0</v>
      </c>
      <c r="U879">
        <v>0.74336183663958111</v>
      </c>
      <c r="V879">
        <v>0</v>
      </c>
      <c r="W879">
        <v>0</v>
      </c>
      <c r="X879">
        <v>0</v>
      </c>
      <c r="Y879">
        <v>9.5423300320512716E-2</v>
      </c>
      <c r="Z879">
        <v>0</v>
      </c>
      <c r="AA879">
        <v>0.15457669967948728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0.50166506733459126</v>
      </c>
      <c r="AN879">
        <v>0.50166506733459126</v>
      </c>
      <c r="AO879">
        <v>0.54953560371517018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0.45046439628482982</v>
      </c>
      <c r="BA879">
        <v>0</v>
      </c>
      <c r="BB879">
        <v>0</v>
      </c>
      <c r="BC879">
        <v>0</v>
      </c>
      <c r="BD879">
        <v>0.50166506733459126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1.8197183098591552</v>
      </c>
      <c r="BK879">
        <v>1.8197183098591552</v>
      </c>
      <c r="BL879">
        <v>0.91288910844548166</v>
      </c>
      <c r="CC879">
        <v>0</v>
      </c>
      <c r="CD879">
        <v>0</v>
      </c>
      <c r="CE879">
        <v>0</v>
      </c>
    </row>
    <row r="880" spans="1:83" hidden="1" x14ac:dyDescent="0.25">
      <c r="A880" t="s">
        <v>128</v>
      </c>
      <c r="B880" t="s">
        <v>503</v>
      </c>
      <c r="C880" t="s">
        <v>117</v>
      </c>
      <c r="D880" s="12">
        <v>46236</v>
      </c>
      <c r="J880">
        <v>27.777089263877901</v>
      </c>
      <c r="M880">
        <v>76</v>
      </c>
      <c r="N880">
        <v>76</v>
      </c>
      <c r="O880">
        <v>24.689123774509792</v>
      </c>
      <c r="S880">
        <v>0</v>
      </c>
      <c r="T880">
        <v>0</v>
      </c>
      <c r="U880">
        <v>1.6699122438207805</v>
      </c>
      <c r="V880">
        <v>0</v>
      </c>
      <c r="W880">
        <v>0</v>
      </c>
      <c r="X880">
        <v>0</v>
      </c>
      <c r="Y880">
        <v>5.1725433186776075E-2</v>
      </c>
      <c r="Z880">
        <v>0</v>
      </c>
      <c r="AA880">
        <v>0.15466551201441106</v>
      </c>
      <c r="AB880">
        <v>3.5824417373700096E-2</v>
      </c>
      <c r="AC880">
        <v>0.10441095410222569</v>
      </c>
      <c r="AD880">
        <v>0</v>
      </c>
      <c r="AE880">
        <v>5.8483992204983223E-2</v>
      </c>
      <c r="AF880">
        <v>0</v>
      </c>
      <c r="AG880">
        <v>0.80128063631909074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83" hidden="1" x14ac:dyDescent="0.25">
      <c r="A881" t="s">
        <v>128</v>
      </c>
      <c r="B881" t="s">
        <v>503</v>
      </c>
      <c r="C881" t="s">
        <v>109</v>
      </c>
      <c r="D881" s="12">
        <v>46247</v>
      </c>
      <c r="E881" t="s">
        <v>501</v>
      </c>
      <c r="F881" t="s">
        <v>501</v>
      </c>
      <c r="G881" t="s">
        <v>501</v>
      </c>
      <c r="J881">
        <v>2.8594908838071702</v>
      </c>
      <c r="M881">
        <v>0</v>
      </c>
      <c r="N881">
        <v>0</v>
      </c>
      <c r="O881">
        <v>1.9792387543252596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0.57599722833754674</v>
      </c>
      <c r="AC881">
        <v>0.42400277166245326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83" hidden="1" x14ac:dyDescent="0.25">
      <c r="A882" t="s">
        <v>128</v>
      </c>
      <c r="B882" t="s">
        <v>503</v>
      </c>
      <c r="C882" t="s">
        <v>72</v>
      </c>
      <c r="D882" s="12">
        <v>46240</v>
      </c>
      <c r="E882" t="s">
        <v>133</v>
      </c>
      <c r="F882" t="s">
        <v>133</v>
      </c>
      <c r="G882" t="s">
        <v>133</v>
      </c>
      <c r="H882" t="s">
        <v>74</v>
      </c>
      <c r="I882">
        <v>20</v>
      </c>
      <c r="J882">
        <v>3.8126545117428936</v>
      </c>
      <c r="K882">
        <v>46240</v>
      </c>
      <c r="L882" t="s">
        <v>192</v>
      </c>
      <c r="M882">
        <v>7.6</v>
      </c>
      <c r="N882">
        <v>7.6</v>
      </c>
      <c r="O882">
        <v>3.0882352941176467</v>
      </c>
      <c r="P882">
        <v>1.9933618366395811</v>
      </c>
      <c r="Q882">
        <v>1.9933618366395811</v>
      </c>
      <c r="R882">
        <v>0.8099961023496749</v>
      </c>
      <c r="S882">
        <v>0</v>
      </c>
      <c r="T882">
        <v>0</v>
      </c>
      <c r="U882">
        <v>0.74336183663958111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0.25</v>
      </c>
      <c r="AB882">
        <v>0</v>
      </c>
      <c r="AC882">
        <v>0</v>
      </c>
      <c r="AD882">
        <v>0</v>
      </c>
      <c r="AE882">
        <v>0.1900038976503251</v>
      </c>
      <c r="AF882">
        <v>0</v>
      </c>
      <c r="AG882">
        <v>0.8099961023496749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0.50166506733459126</v>
      </c>
      <c r="AN882">
        <v>0.50166506733459126</v>
      </c>
      <c r="AO882">
        <v>0.40634674922600617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0.49833493266540874</v>
      </c>
      <c r="BA882">
        <v>0</v>
      </c>
      <c r="BB882">
        <v>9.5318318108585098E-2</v>
      </c>
      <c r="BC882">
        <v>0</v>
      </c>
      <c r="BD882">
        <v>0.40634674922600617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2.460952380952381</v>
      </c>
      <c r="BK882">
        <v>2.460952380952381</v>
      </c>
      <c r="BL882">
        <v>1.234573841897699</v>
      </c>
      <c r="CC882">
        <v>0</v>
      </c>
      <c r="CD882">
        <v>0</v>
      </c>
      <c r="CE882">
        <v>0</v>
      </c>
    </row>
    <row r="883" spans="1:83" hidden="1" x14ac:dyDescent="0.25">
      <c r="A883" t="s">
        <v>128</v>
      </c>
      <c r="B883" t="s">
        <v>503</v>
      </c>
      <c r="C883" t="s">
        <v>72</v>
      </c>
      <c r="D883" s="12">
        <v>46227</v>
      </c>
      <c r="E883" t="s">
        <v>133</v>
      </c>
      <c r="F883" t="s">
        <v>133</v>
      </c>
      <c r="G883" t="s">
        <v>133</v>
      </c>
      <c r="H883" t="s">
        <v>75</v>
      </c>
      <c r="I883">
        <v>20</v>
      </c>
      <c r="J883">
        <v>7.4010352286773822</v>
      </c>
      <c r="K883">
        <v>46227</v>
      </c>
      <c r="L883" t="s">
        <v>224</v>
      </c>
      <c r="M883">
        <v>24.7</v>
      </c>
      <c r="N883">
        <v>24.7</v>
      </c>
      <c r="O883">
        <v>7.4838235294117599</v>
      </c>
      <c r="P883">
        <v>3.3373709537677834</v>
      </c>
      <c r="Q883">
        <v>3.3373709537677834</v>
      </c>
      <c r="R883">
        <v>1.0111860433272351</v>
      </c>
      <c r="S883">
        <v>0</v>
      </c>
      <c r="T883">
        <v>0</v>
      </c>
      <c r="U883">
        <v>2.0873709537677834</v>
      </c>
      <c r="V883">
        <v>0</v>
      </c>
      <c r="W883">
        <v>0</v>
      </c>
      <c r="X883">
        <v>0</v>
      </c>
      <c r="Y883">
        <v>1.1186043327235051E-2</v>
      </c>
      <c r="Z883">
        <v>0</v>
      </c>
      <c r="AA883">
        <v>0.23881395667276495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0.29963705379260658</v>
      </c>
      <c r="AN883">
        <v>0.29963705379260658</v>
      </c>
      <c r="AO883">
        <v>0.30298880685877572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0.69701119314122428</v>
      </c>
      <c r="BA883">
        <v>0</v>
      </c>
      <c r="BB883">
        <v>0</v>
      </c>
      <c r="BC883">
        <v>0</v>
      </c>
      <c r="BD883">
        <v>0.29963705379260658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3.3004519551974867</v>
      </c>
      <c r="BK883">
        <v>3.3004519551974867</v>
      </c>
      <c r="BL883">
        <v>0.98893770003942294</v>
      </c>
      <c r="CC883">
        <v>0</v>
      </c>
      <c r="CD883">
        <v>0</v>
      </c>
      <c r="CE883">
        <v>0</v>
      </c>
    </row>
    <row r="884" spans="1:83" hidden="1" x14ac:dyDescent="0.25">
      <c r="A884" t="s">
        <v>128</v>
      </c>
      <c r="B884" t="s">
        <v>503</v>
      </c>
      <c r="C884" t="s">
        <v>72</v>
      </c>
      <c r="D884" s="12">
        <v>46228</v>
      </c>
      <c r="E884" t="s">
        <v>133</v>
      </c>
      <c r="F884" t="s">
        <v>133</v>
      </c>
      <c r="G884" t="s">
        <v>133</v>
      </c>
      <c r="H884" t="s">
        <v>75</v>
      </c>
      <c r="I884">
        <v>20</v>
      </c>
      <c r="J884">
        <v>7.4010352286773822</v>
      </c>
      <c r="K884">
        <v>46228</v>
      </c>
      <c r="L884" t="s">
        <v>221</v>
      </c>
      <c r="M884">
        <v>20.9</v>
      </c>
      <c r="N884">
        <v>20.9</v>
      </c>
      <c r="O884">
        <v>8.3967320261437859</v>
      </c>
      <c r="P884">
        <v>2.8239292685727397</v>
      </c>
      <c r="Q884">
        <v>2.8239292685727397</v>
      </c>
      <c r="R884">
        <v>1.1345348004301206</v>
      </c>
      <c r="S884">
        <v>0</v>
      </c>
      <c r="T884">
        <v>0</v>
      </c>
      <c r="U884">
        <v>1.5739292685727397</v>
      </c>
      <c r="V884">
        <v>0</v>
      </c>
      <c r="W884">
        <v>0</v>
      </c>
      <c r="X884">
        <v>0</v>
      </c>
      <c r="Y884">
        <v>0.13453480043012056</v>
      </c>
      <c r="Z884">
        <v>0</v>
      </c>
      <c r="AA884">
        <v>0.11546519956987944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0.35411651811853506</v>
      </c>
      <c r="AN884">
        <v>0.35411651811853506</v>
      </c>
      <c r="AO884">
        <v>0.40175751321262138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0.59824248678737857</v>
      </c>
      <c r="BA884">
        <v>0</v>
      </c>
      <c r="BB884">
        <v>0</v>
      </c>
      <c r="BC884">
        <v>0</v>
      </c>
      <c r="BD884">
        <v>0.35411651811853506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2.4890635946135298</v>
      </c>
      <c r="BK884">
        <v>2.4890635946135298</v>
      </c>
      <c r="BL884">
        <v>0.88141853350014798</v>
      </c>
      <c r="CC884">
        <v>0</v>
      </c>
      <c r="CD884">
        <v>0</v>
      </c>
      <c r="CE884">
        <v>0</v>
      </c>
    </row>
    <row r="885" spans="1:83" hidden="1" x14ac:dyDescent="0.25">
      <c r="A885" t="s">
        <v>128</v>
      </c>
      <c r="B885" t="s">
        <v>503</v>
      </c>
      <c r="C885" t="s">
        <v>72</v>
      </c>
      <c r="D885" s="12">
        <v>46238</v>
      </c>
      <c r="E885" t="s">
        <v>133</v>
      </c>
      <c r="F885" t="s">
        <v>133</v>
      </c>
      <c r="G885" t="s">
        <v>133</v>
      </c>
      <c r="H885" t="s">
        <v>74</v>
      </c>
      <c r="I885">
        <v>20</v>
      </c>
      <c r="J885">
        <v>3.8126545117428936</v>
      </c>
      <c r="K885">
        <v>46238</v>
      </c>
      <c r="L885" t="s">
        <v>179</v>
      </c>
      <c r="M885">
        <v>9.5</v>
      </c>
      <c r="N885">
        <v>9.5</v>
      </c>
      <c r="O885">
        <v>4.1764705882352935</v>
      </c>
      <c r="P885">
        <v>2.4917022957994766</v>
      </c>
      <c r="Q885">
        <v>2.4917022957994766</v>
      </c>
      <c r="R885">
        <v>1.0954233003205127</v>
      </c>
      <c r="S885">
        <v>0</v>
      </c>
      <c r="T885">
        <v>0</v>
      </c>
      <c r="U885">
        <v>1.2417022957994766</v>
      </c>
      <c r="V885">
        <v>0</v>
      </c>
      <c r="W885">
        <v>0</v>
      </c>
      <c r="X885">
        <v>0</v>
      </c>
      <c r="Y885">
        <v>9.5423300320512716E-2</v>
      </c>
      <c r="Z885">
        <v>0</v>
      </c>
      <c r="AA885">
        <v>0.15457669967948728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0.40133205386767301</v>
      </c>
      <c r="AN885">
        <v>0.40133205386767301</v>
      </c>
      <c r="AO885">
        <v>0.43962848297213614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0.56037151702786381</v>
      </c>
      <c r="BA885">
        <v>0</v>
      </c>
      <c r="BB885">
        <v>0</v>
      </c>
      <c r="BC885">
        <v>0</v>
      </c>
      <c r="BD885">
        <v>0.40133205386767301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2.274647887323944</v>
      </c>
      <c r="BK885">
        <v>2.274647887323944</v>
      </c>
      <c r="BL885">
        <v>0.91288910844548166</v>
      </c>
      <c r="CC885">
        <v>0</v>
      </c>
      <c r="CD885">
        <v>0</v>
      </c>
      <c r="CE885">
        <v>0</v>
      </c>
    </row>
    <row r="886" spans="1:83" hidden="1" x14ac:dyDescent="0.25">
      <c r="A886" t="s">
        <v>128</v>
      </c>
      <c r="B886" t="s">
        <v>503</v>
      </c>
      <c r="C886" t="s">
        <v>109</v>
      </c>
      <c r="D886" s="12">
        <v>46249</v>
      </c>
      <c r="E886" t="s">
        <v>501</v>
      </c>
      <c r="F886" t="s">
        <v>501</v>
      </c>
      <c r="G886" t="s">
        <v>501</v>
      </c>
      <c r="J886">
        <v>0</v>
      </c>
      <c r="M886">
        <v>0</v>
      </c>
      <c r="N886">
        <v>0</v>
      </c>
      <c r="O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83" hidden="1" x14ac:dyDescent="0.25">
      <c r="A887" t="s">
        <v>128</v>
      </c>
      <c r="B887" t="s">
        <v>503</v>
      </c>
      <c r="C887" t="s">
        <v>72</v>
      </c>
      <c r="D887" s="12">
        <v>46228</v>
      </c>
      <c r="E887" t="s">
        <v>133</v>
      </c>
      <c r="F887" t="s">
        <v>133</v>
      </c>
      <c r="G887" t="s">
        <v>133</v>
      </c>
      <c r="H887" t="s">
        <v>74</v>
      </c>
      <c r="I887">
        <v>20</v>
      </c>
      <c r="J887">
        <v>3.8126545117428936</v>
      </c>
      <c r="K887">
        <v>46228</v>
      </c>
      <c r="L887" t="s">
        <v>222</v>
      </c>
      <c r="M887">
        <v>9.5</v>
      </c>
      <c r="N887">
        <v>9.5</v>
      </c>
      <c r="O887">
        <v>1.5294117647058818</v>
      </c>
      <c r="P887">
        <v>2.4917022957994766</v>
      </c>
      <c r="Q887">
        <v>2.4917022957994766</v>
      </c>
      <c r="R887">
        <v>0.40114092687793412</v>
      </c>
      <c r="S887">
        <v>0</v>
      </c>
      <c r="T887">
        <v>0</v>
      </c>
      <c r="U887">
        <v>1.2417022957994766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0.25</v>
      </c>
      <c r="AB887">
        <v>0</v>
      </c>
      <c r="AC887">
        <v>0</v>
      </c>
      <c r="AD887">
        <v>0</v>
      </c>
      <c r="AE887">
        <v>0.59885907312206588</v>
      </c>
      <c r="AF887">
        <v>0</v>
      </c>
      <c r="AG887">
        <v>0.40114092687793412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0.40133205386767301</v>
      </c>
      <c r="AN887">
        <v>0.40133205386767301</v>
      </c>
      <c r="AO887">
        <v>0.16099071207430335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0.59866794613232699</v>
      </c>
      <c r="BA887">
        <v>0</v>
      </c>
      <c r="BB887">
        <v>0.24034134179336966</v>
      </c>
      <c r="BC887">
        <v>0</v>
      </c>
      <c r="BD887">
        <v>0.16099071207430335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6.2115384615384635</v>
      </c>
      <c r="BK887">
        <v>6.2115384615384635</v>
      </c>
      <c r="BL887">
        <v>2.4928894884472776</v>
      </c>
      <c r="CC887">
        <v>0</v>
      </c>
      <c r="CD887">
        <v>0</v>
      </c>
      <c r="CE887">
        <v>0</v>
      </c>
    </row>
    <row r="888" spans="1:83" hidden="1" x14ac:dyDescent="0.25">
      <c r="A888" t="s">
        <v>128</v>
      </c>
      <c r="B888" t="s">
        <v>503</v>
      </c>
      <c r="C888" t="s">
        <v>72</v>
      </c>
      <c r="D888" s="12">
        <v>46238</v>
      </c>
      <c r="E888" t="s">
        <v>133</v>
      </c>
      <c r="F888" t="s">
        <v>133</v>
      </c>
      <c r="G888" t="s">
        <v>133</v>
      </c>
      <c r="H888" t="s">
        <v>75</v>
      </c>
      <c r="I888">
        <v>20</v>
      </c>
      <c r="J888">
        <v>7.4010352286773822</v>
      </c>
      <c r="K888">
        <v>46238</v>
      </c>
      <c r="L888" t="s">
        <v>178</v>
      </c>
      <c r="M888">
        <v>22.799999999999997</v>
      </c>
      <c r="N888">
        <v>22.799999999999997</v>
      </c>
      <c r="O888">
        <v>8.0426470588235297</v>
      </c>
      <c r="P888">
        <v>3.0806501111702613</v>
      </c>
      <c r="Q888">
        <v>3.0806501111702613</v>
      </c>
      <c r="R888">
        <v>1.0866921735029773</v>
      </c>
      <c r="S888">
        <v>0</v>
      </c>
      <c r="T888">
        <v>0</v>
      </c>
      <c r="U888">
        <v>1.8306501111702613</v>
      </c>
      <c r="V888">
        <v>0</v>
      </c>
      <c r="W888">
        <v>0</v>
      </c>
      <c r="X888">
        <v>0</v>
      </c>
      <c r="Y888">
        <v>8.669217350297731E-2</v>
      </c>
      <c r="Z888">
        <v>0</v>
      </c>
      <c r="AA888">
        <v>0.16330782649702269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0.32460680827532384</v>
      </c>
      <c r="AN888">
        <v>0.32460680827532384</v>
      </c>
      <c r="AO888">
        <v>0.35274767801857593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0.64725232198142413</v>
      </c>
      <c r="BA888">
        <v>0</v>
      </c>
      <c r="BB888">
        <v>0</v>
      </c>
      <c r="BC888">
        <v>0</v>
      </c>
      <c r="BD888">
        <v>0.32460680827532384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2.8348875479978055</v>
      </c>
      <c r="BK888">
        <v>2.8348875479978055</v>
      </c>
      <c r="BL888">
        <v>0.92022379877502647</v>
      </c>
      <c r="CC888">
        <v>0</v>
      </c>
      <c r="CD888">
        <v>0</v>
      </c>
      <c r="CE888">
        <v>0</v>
      </c>
    </row>
    <row r="889" spans="1:83" hidden="1" x14ac:dyDescent="0.25">
      <c r="A889" t="s">
        <v>128</v>
      </c>
      <c r="B889" t="s">
        <v>503</v>
      </c>
      <c r="C889" t="s">
        <v>117</v>
      </c>
      <c r="D889" s="12">
        <v>46233</v>
      </c>
      <c r="J889">
        <v>31.27914594712361</v>
      </c>
      <c r="M889">
        <v>75.05</v>
      </c>
      <c r="N889">
        <v>75.05</v>
      </c>
      <c r="O889">
        <v>27.70726795362107</v>
      </c>
      <c r="S889">
        <v>0</v>
      </c>
      <c r="T889">
        <v>0</v>
      </c>
      <c r="U889">
        <v>1.3548166881052808</v>
      </c>
      <c r="V889">
        <v>0</v>
      </c>
      <c r="W889">
        <v>0</v>
      </c>
      <c r="X889">
        <v>0</v>
      </c>
      <c r="Y889">
        <v>2.2377374518559773E-2</v>
      </c>
      <c r="Z889">
        <v>0</v>
      </c>
      <c r="AA889">
        <v>0.16981294822015525</v>
      </c>
      <c r="AB889">
        <v>0.11153601495025797</v>
      </c>
      <c r="AC889">
        <v>3.6108809762773447E-2</v>
      </c>
      <c r="AD889">
        <v>0</v>
      </c>
      <c r="AE889">
        <v>0.11999010888831893</v>
      </c>
      <c r="AF889">
        <v>0</v>
      </c>
      <c r="AG889">
        <v>0.73236506639864962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83" hidden="1" x14ac:dyDescent="0.25">
      <c r="A890" t="s">
        <v>128</v>
      </c>
      <c r="B890" t="s">
        <v>503</v>
      </c>
      <c r="C890" t="s">
        <v>109</v>
      </c>
      <c r="D890" s="12">
        <v>46249</v>
      </c>
      <c r="E890" t="s">
        <v>133</v>
      </c>
      <c r="F890" t="s">
        <v>133</v>
      </c>
      <c r="G890" t="s">
        <v>133</v>
      </c>
      <c r="J890">
        <v>21.306010506798522</v>
      </c>
      <c r="M890">
        <v>57</v>
      </c>
      <c r="N890">
        <v>57</v>
      </c>
      <c r="O890">
        <v>19.624999999999993</v>
      </c>
      <c r="S890">
        <v>0</v>
      </c>
      <c r="T890">
        <v>0</v>
      </c>
      <c r="U890">
        <v>1.4253014123320698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0.25</v>
      </c>
      <c r="AB890">
        <v>0</v>
      </c>
      <c r="AC890">
        <v>0</v>
      </c>
      <c r="AD890">
        <v>0</v>
      </c>
      <c r="AE890">
        <v>7.8898417245318528E-2</v>
      </c>
      <c r="AF890">
        <v>0</v>
      </c>
      <c r="AG890">
        <v>0.92110158275468157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83" hidden="1" x14ac:dyDescent="0.25">
      <c r="A891" t="s">
        <v>128</v>
      </c>
      <c r="B891" t="s">
        <v>503</v>
      </c>
      <c r="C891" t="s">
        <v>72</v>
      </c>
      <c r="D891" s="12">
        <v>46239</v>
      </c>
      <c r="E891" t="s">
        <v>133</v>
      </c>
      <c r="F891" t="s">
        <v>133</v>
      </c>
      <c r="G891" t="s">
        <v>133</v>
      </c>
      <c r="H891" t="s">
        <v>73</v>
      </c>
      <c r="I891">
        <v>20</v>
      </c>
      <c r="J891">
        <v>9.3634309332509318</v>
      </c>
      <c r="K891">
        <v>46239</v>
      </c>
      <c r="L891" t="s">
        <v>177</v>
      </c>
      <c r="M891">
        <v>36.1</v>
      </c>
      <c r="N891">
        <v>36.1</v>
      </c>
      <c r="O891">
        <v>9.4058823529411679</v>
      </c>
      <c r="P891">
        <v>3.8554243906262551</v>
      </c>
      <c r="Q891">
        <v>3.8554243906262551</v>
      </c>
      <c r="R891">
        <v>1.0045337462296522</v>
      </c>
      <c r="S891">
        <v>0</v>
      </c>
      <c r="T891">
        <v>0</v>
      </c>
      <c r="U891">
        <v>2.6054243906262551</v>
      </c>
      <c r="V891">
        <v>0</v>
      </c>
      <c r="W891">
        <v>0</v>
      </c>
      <c r="X891">
        <v>0</v>
      </c>
      <c r="Y891">
        <v>4.5337462296521913E-3</v>
      </c>
      <c r="Z891">
        <v>0</v>
      </c>
      <c r="AA891">
        <v>0.24546625377034781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0.25937481809559365</v>
      </c>
      <c r="AN891">
        <v>0.25937481809559365</v>
      </c>
      <c r="AO891">
        <v>0.26055075769920133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0.73944924230079867</v>
      </c>
      <c r="BA891">
        <v>0</v>
      </c>
      <c r="BB891">
        <v>0</v>
      </c>
      <c r="BC891">
        <v>0</v>
      </c>
      <c r="BD891">
        <v>0.25937481809559365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3.8380237648530366</v>
      </c>
      <c r="BK891">
        <v>3.8380237648530366</v>
      </c>
      <c r="BL891">
        <v>0.995486715855322</v>
      </c>
      <c r="CC891">
        <v>0</v>
      </c>
      <c r="CD891">
        <v>0</v>
      </c>
      <c r="CE891">
        <v>0</v>
      </c>
    </row>
    <row r="892" spans="1:83" hidden="1" x14ac:dyDescent="0.25">
      <c r="A892" t="s">
        <v>128</v>
      </c>
      <c r="B892" t="s">
        <v>503</v>
      </c>
      <c r="C892" t="s">
        <v>72</v>
      </c>
      <c r="D892" s="12">
        <v>46226</v>
      </c>
      <c r="E892" t="s">
        <v>133</v>
      </c>
      <c r="F892" t="s">
        <v>133</v>
      </c>
      <c r="G892" t="s">
        <v>133</v>
      </c>
      <c r="H892" t="s">
        <v>74</v>
      </c>
      <c r="I892">
        <v>20</v>
      </c>
      <c r="J892">
        <v>3.8126545117428936</v>
      </c>
      <c r="K892">
        <v>46226</v>
      </c>
      <c r="L892" t="s">
        <v>228</v>
      </c>
      <c r="M892">
        <v>7.6</v>
      </c>
      <c r="N892">
        <v>7.6</v>
      </c>
      <c r="O892">
        <v>2.235294117647058</v>
      </c>
      <c r="P892">
        <v>1.9933618366395811</v>
      </c>
      <c r="Q892">
        <v>1.9933618366395811</v>
      </c>
      <c r="R892">
        <v>0.58628289312928838</v>
      </c>
      <c r="S892">
        <v>0</v>
      </c>
      <c r="T892">
        <v>0</v>
      </c>
      <c r="U892">
        <v>0.74336183663958111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0.25</v>
      </c>
      <c r="AB892">
        <v>0</v>
      </c>
      <c r="AC892">
        <v>0</v>
      </c>
      <c r="AD892">
        <v>0</v>
      </c>
      <c r="AE892">
        <v>0.41371710687071162</v>
      </c>
      <c r="AF892">
        <v>0</v>
      </c>
      <c r="AG892">
        <v>0.58628289312928838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0.50166506733459126</v>
      </c>
      <c r="AN892">
        <v>0.50166506733459126</v>
      </c>
      <c r="AO892">
        <v>0.29411764705882343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0.49833493266540874</v>
      </c>
      <c r="BA892">
        <v>0</v>
      </c>
      <c r="BB892">
        <v>0.20754742027576784</v>
      </c>
      <c r="BC892">
        <v>0</v>
      </c>
      <c r="BD892">
        <v>0.29411764705882343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3.4000000000000012</v>
      </c>
      <c r="BK892">
        <v>3.4000000000000012</v>
      </c>
      <c r="BL892">
        <v>1.705661228937611</v>
      </c>
      <c r="CC892">
        <v>0</v>
      </c>
      <c r="CD892">
        <v>0</v>
      </c>
      <c r="CE892">
        <v>0</v>
      </c>
    </row>
    <row r="893" spans="1:83" hidden="1" x14ac:dyDescent="0.25">
      <c r="A893" t="s">
        <v>128</v>
      </c>
      <c r="B893" t="s">
        <v>503</v>
      </c>
      <c r="C893" t="s">
        <v>109</v>
      </c>
      <c r="D893" s="12">
        <v>46248</v>
      </c>
      <c r="E893" t="s">
        <v>134</v>
      </c>
      <c r="F893" t="s">
        <v>134</v>
      </c>
      <c r="G893" t="s">
        <v>134</v>
      </c>
      <c r="J893">
        <v>9.672922252010725</v>
      </c>
      <c r="M893">
        <v>0</v>
      </c>
      <c r="N893">
        <v>0</v>
      </c>
      <c r="O893">
        <v>6.5601499423298719</v>
      </c>
      <c r="S893">
        <v>4.7790761015505584E-2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0.35767928568323115</v>
      </c>
      <c r="AC893">
        <v>0.36959344158949614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0.27272727272727276</v>
      </c>
      <c r="AL893">
        <v>0</v>
      </c>
    </row>
    <row r="894" spans="1:83" hidden="1" x14ac:dyDescent="0.25">
      <c r="A894" t="s">
        <v>128</v>
      </c>
      <c r="B894" t="s">
        <v>503</v>
      </c>
      <c r="C894" t="s">
        <v>72</v>
      </c>
      <c r="D894" s="12">
        <v>46239</v>
      </c>
      <c r="E894" t="s">
        <v>133</v>
      </c>
      <c r="F894" t="s">
        <v>133</v>
      </c>
      <c r="G894" t="s">
        <v>133</v>
      </c>
      <c r="H894" t="s">
        <v>74</v>
      </c>
      <c r="I894">
        <v>20</v>
      </c>
      <c r="J894">
        <v>3.8126545117428936</v>
      </c>
      <c r="K894">
        <v>46239</v>
      </c>
      <c r="L894" t="s">
        <v>176</v>
      </c>
      <c r="M894">
        <v>7.6</v>
      </c>
      <c r="N894">
        <v>7.6</v>
      </c>
      <c r="O894">
        <v>2.4705882352941178</v>
      </c>
      <c r="P894">
        <v>1.9933618366395811</v>
      </c>
      <c r="Q894">
        <v>1.9933618366395811</v>
      </c>
      <c r="R894">
        <v>0.64799688187974003</v>
      </c>
      <c r="S894">
        <v>0</v>
      </c>
      <c r="T894">
        <v>0</v>
      </c>
      <c r="U894">
        <v>0.74336183663958111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0.25</v>
      </c>
      <c r="AB894">
        <v>0</v>
      </c>
      <c r="AC894">
        <v>0</v>
      </c>
      <c r="AD894">
        <v>0</v>
      </c>
      <c r="AE894">
        <v>0.35200311812025997</v>
      </c>
      <c r="AF894">
        <v>0</v>
      </c>
      <c r="AG894">
        <v>0.64799688187974003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0.50166506733459126</v>
      </c>
      <c r="AN894">
        <v>0.50166506733459126</v>
      </c>
      <c r="AO894">
        <v>0.32507739938080499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0.49833493266540874</v>
      </c>
      <c r="BA894">
        <v>0</v>
      </c>
      <c r="BB894">
        <v>0.17658766795378628</v>
      </c>
      <c r="BC894">
        <v>0</v>
      </c>
      <c r="BD894">
        <v>0.32507739938080499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3.0761904761904759</v>
      </c>
      <c r="BK894">
        <v>3.0761904761904759</v>
      </c>
      <c r="BL894">
        <v>1.5432173023721236</v>
      </c>
      <c r="CC894">
        <v>0</v>
      </c>
      <c r="CD894">
        <v>0</v>
      </c>
      <c r="CE894">
        <v>0</v>
      </c>
    </row>
    <row r="895" spans="1:83" hidden="1" x14ac:dyDescent="0.25">
      <c r="A895" t="s">
        <v>128</v>
      </c>
      <c r="B895" t="s">
        <v>503</v>
      </c>
      <c r="C895" t="s">
        <v>117</v>
      </c>
      <c r="D895" s="12">
        <v>46234</v>
      </c>
      <c r="J895">
        <v>32.156370181553385</v>
      </c>
      <c r="M895">
        <v>75.05</v>
      </c>
      <c r="N895">
        <v>75.05</v>
      </c>
      <c r="O895">
        <v>28.696217200115331</v>
      </c>
      <c r="S895">
        <v>0</v>
      </c>
      <c r="T895">
        <v>0</v>
      </c>
      <c r="U895">
        <v>1.3272206694023481</v>
      </c>
      <c r="V895">
        <v>0</v>
      </c>
      <c r="W895">
        <v>0</v>
      </c>
      <c r="X895">
        <v>0</v>
      </c>
      <c r="Y895">
        <v>4.7111834893809337E-2</v>
      </c>
      <c r="Z895">
        <v>0</v>
      </c>
      <c r="AA895">
        <v>0.11945579799146502</v>
      </c>
      <c r="AB895">
        <v>8.271468161833867E-2</v>
      </c>
      <c r="AC895">
        <v>7.7165919760531998E-2</v>
      </c>
      <c r="AD895">
        <v>0</v>
      </c>
      <c r="AE895">
        <v>8.7880025569951711E-2</v>
      </c>
      <c r="AF895">
        <v>0</v>
      </c>
      <c r="AG895">
        <v>0.75223937305117761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83" hidden="1" x14ac:dyDescent="0.25">
      <c r="A896" t="s">
        <v>128</v>
      </c>
      <c r="B896" t="s">
        <v>503</v>
      </c>
      <c r="C896" t="s">
        <v>109</v>
      </c>
      <c r="D896" s="12">
        <v>46248</v>
      </c>
      <c r="E896" t="s">
        <v>501</v>
      </c>
      <c r="F896" t="s">
        <v>501</v>
      </c>
      <c r="G896" t="s">
        <v>501</v>
      </c>
      <c r="J896">
        <v>1.906327255871447</v>
      </c>
      <c r="M896">
        <v>0</v>
      </c>
      <c r="N896">
        <v>0</v>
      </c>
      <c r="O896">
        <v>0.98961937716262982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0.43199792125316</v>
      </c>
      <c r="AC896">
        <v>0.56800207874684006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84" hidden="1" x14ac:dyDescent="0.25">
      <c r="A897" t="s">
        <v>128</v>
      </c>
      <c r="B897" t="s">
        <v>503</v>
      </c>
      <c r="C897" t="s">
        <v>72</v>
      </c>
      <c r="D897" s="12">
        <v>46239</v>
      </c>
      <c r="E897" t="s">
        <v>133</v>
      </c>
      <c r="F897" t="s">
        <v>133</v>
      </c>
      <c r="G897" t="s">
        <v>133</v>
      </c>
      <c r="H897" t="s">
        <v>75</v>
      </c>
      <c r="I897">
        <v>20</v>
      </c>
      <c r="J897">
        <v>6.6721453955500643</v>
      </c>
      <c r="K897">
        <v>46239</v>
      </c>
      <c r="L897" t="s">
        <v>175</v>
      </c>
      <c r="M897">
        <v>17.099999999999998</v>
      </c>
      <c r="N897">
        <v>17.099999999999998</v>
      </c>
      <c r="O897">
        <v>7.2926470588235279</v>
      </c>
      <c r="P897">
        <v>2.5628937899651754</v>
      </c>
      <c r="Q897">
        <v>2.5628937899651754</v>
      </c>
      <c r="R897">
        <v>1.0929988221910305</v>
      </c>
      <c r="S897">
        <v>0</v>
      </c>
      <c r="T897">
        <v>0</v>
      </c>
      <c r="U897">
        <v>1.3128937899651754</v>
      </c>
      <c r="V897">
        <v>0</v>
      </c>
      <c r="W897">
        <v>0</v>
      </c>
      <c r="X897">
        <v>0</v>
      </c>
      <c r="Y897">
        <v>9.2998822191030506E-2</v>
      </c>
      <c r="Z897">
        <v>0</v>
      </c>
      <c r="AA897">
        <v>0.15700117780896949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0.3901839412602377</v>
      </c>
      <c r="AN897">
        <v>0.3901839412602377</v>
      </c>
      <c r="AO897">
        <v>0.4264705882352941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0.57352941176470584</v>
      </c>
      <c r="BA897">
        <v>0</v>
      </c>
      <c r="BB897">
        <v>0</v>
      </c>
      <c r="BC897">
        <v>0</v>
      </c>
      <c r="BD897">
        <v>0.3901839412602377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2.3448275862068968</v>
      </c>
      <c r="BK897">
        <v>2.3448275862068968</v>
      </c>
      <c r="BL897">
        <v>0.91491406916193685</v>
      </c>
      <c r="CC897">
        <v>0</v>
      </c>
      <c r="CD897">
        <v>0</v>
      </c>
      <c r="CE897">
        <v>0</v>
      </c>
    </row>
    <row r="898" spans="1:84" hidden="1" x14ac:dyDescent="0.25">
      <c r="A898" t="s">
        <v>128</v>
      </c>
      <c r="B898" t="s">
        <v>503</v>
      </c>
      <c r="C898" t="s">
        <v>109</v>
      </c>
      <c r="D898" s="12">
        <v>46248</v>
      </c>
      <c r="E898" t="s">
        <v>133</v>
      </c>
      <c r="F898" t="s">
        <v>133</v>
      </c>
      <c r="G898" t="s">
        <v>133</v>
      </c>
      <c r="J898">
        <v>20.577120673671203</v>
      </c>
      <c r="M898">
        <v>72.199999999999989</v>
      </c>
      <c r="N898">
        <v>72.199999999999989</v>
      </c>
      <c r="O898">
        <v>19.625</v>
      </c>
      <c r="S898">
        <v>0</v>
      </c>
      <c r="T898">
        <v>0</v>
      </c>
      <c r="U898">
        <v>2.2587513527770287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</v>
      </c>
      <c r="AC898">
        <v>0</v>
      </c>
      <c r="AD898">
        <v>0</v>
      </c>
      <c r="AE898">
        <v>4.6270840744471249E-2</v>
      </c>
      <c r="AF898">
        <v>0</v>
      </c>
      <c r="AG898">
        <v>0.95372915925552892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84" hidden="1" x14ac:dyDescent="0.25">
      <c r="A899" t="s">
        <v>128</v>
      </c>
      <c r="B899" t="s">
        <v>503</v>
      </c>
      <c r="C899" t="s">
        <v>117</v>
      </c>
      <c r="D899" s="12">
        <v>46235</v>
      </c>
      <c r="J899">
        <v>26.793906737676934</v>
      </c>
      <c r="M899">
        <v>64.599999999999994</v>
      </c>
      <c r="N899">
        <v>64.599999999999994</v>
      </c>
      <c r="O899">
        <v>26.386096092848899</v>
      </c>
      <c r="S899">
        <v>0</v>
      </c>
      <c r="T899">
        <v>0</v>
      </c>
      <c r="U899">
        <v>1.3101614418470013</v>
      </c>
      <c r="V899">
        <v>0</v>
      </c>
      <c r="W899">
        <v>6.0200335991783894E-3</v>
      </c>
      <c r="X899">
        <v>0</v>
      </c>
      <c r="Y899">
        <v>5.3527447308095347E-2</v>
      </c>
      <c r="Z899">
        <v>0</v>
      </c>
      <c r="AA899">
        <v>0.15834427841619889</v>
      </c>
      <c r="AB899">
        <v>8.4007677902431396E-2</v>
      </c>
      <c r="AC899">
        <v>3.304959675162087E-2</v>
      </c>
      <c r="AD899">
        <v>0</v>
      </c>
      <c r="AE899">
        <v>4.171815975117054E-2</v>
      </c>
      <c r="AF899">
        <v>0</v>
      </c>
      <c r="AG899">
        <v>0.84122456559477732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84" hidden="1" x14ac:dyDescent="0.25">
      <c r="A900" t="s">
        <v>128</v>
      </c>
      <c r="B900" t="s">
        <v>503</v>
      </c>
      <c r="C900" t="s">
        <v>72</v>
      </c>
      <c r="D900" s="12">
        <v>46240</v>
      </c>
      <c r="E900" t="s">
        <v>133</v>
      </c>
      <c r="F900" t="s">
        <v>133</v>
      </c>
      <c r="G900" t="s">
        <v>133</v>
      </c>
      <c r="H900" t="s">
        <v>73</v>
      </c>
      <c r="I900">
        <v>20</v>
      </c>
      <c r="J900">
        <v>10.316594561186651</v>
      </c>
      <c r="K900">
        <v>46240</v>
      </c>
      <c r="L900" t="s">
        <v>191</v>
      </c>
      <c r="M900">
        <v>39.9</v>
      </c>
      <c r="N900">
        <v>39.9</v>
      </c>
      <c r="O900">
        <v>9.9284313725490154</v>
      </c>
      <c r="P900">
        <v>3.8675553026104925</v>
      </c>
      <c r="Q900">
        <v>3.8675553026104925</v>
      </c>
      <c r="R900">
        <v>0.96237487221820339</v>
      </c>
      <c r="S900">
        <v>0</v>
      </c>
      <c r="T900">
        <v>0</v>
      </c>
      <c r="U900">
        <v>2.6175553026104925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0.25</v>
      </c>
      <c r="AB900">
        <v>0</v>
      </c>
      <c r="AC900">
        <v>0</v>
      </c>
      <c r="AD900">
        <v>0</v>
      </c>
      <c r="AE900">
        <v>3.7625127781796608E-2</v>
      </c>
      <c r="AF900">
        <v>0</v>
      </c>
      <c r="AG900">
        <v>0.96237487221820339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0.25856126719766043</v>
      </c>
      <c r="AN900">
        <v>0.25856126719766043</v>
      </c>
      <c r="AO900">
        <v>0.2488328664799252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0.74143873280233952</v>
      </c>
      <c r="BA900">
        <v>0</v>
      </c>
      <c r="BB900">
        <v>9.7284007177352305E-3</v>
      </c>
      <c r="BC900">
        <v>0</v>
      </c>
      <c r="BD900">
        <v>0.2488328664799252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4.0187617260788011</v>
      </c>
      <c r="BK900">
        <v>4.0187617260788011</v>
      </c>
      <c r="BL900">
        <v>1.0390961244603918</v>
      </c>
      <c r="CC900">
        <v>0</v>
      </c>
      <c r="CD900">
        <v>0</v>
      </c>
      <c r="CE900">
        <v>0</v>
      </c>
    </row>
    <row r="901" spans="1:84" hidden="1" x14ac:dyDescent="0.25">
      <c r="A901" t="s">
        <v>128</v>
      </c>
      <c r="B901" t="s">
        <v>503</v>
      </c>
      <c r="C901" t="s">
        <v>109</v>
      </c>
      <c r="D901" s="12">
        <v>46247</v>
      </c>
      <c r="E901" t="s">
        <v>134</v>
      </c>
      <c r="F901" t="s">
        <v>134</v>
      </c>
      <c r="G901" t="s">
        <v>134</v>
      </c>
      <c r="J901">
        <v>6.889370761709511</v>
      </c>
      <c r="M901">
        <v>0</v>
      </c>
      <c r="N901">
        <v>0</v>
      </c>
      <c r="O901">
        <v>5.8136101499423312</v>
      </c>
      <c r="S901">
        <v>0.10411315640470285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0.40186942272989135</v>
      </c>
      <c r="AC901">
        <v>0.26026103245546761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0.33786954481464093</v>
      </c>
      <c r="AL901">
        <v>0</v>
      </c>
    </row>
    <row r="902" spans="1:84" hidden="1" x14ac:dyDescent="0.25">
      <c r="A902" t="s">
        <v>128</v>
      </c>
      <c r="B902" t="s">
        <v>503</v>
      </c>
      <c r="C902" t="s">
        <v>72</v>
      </c>
      <c r="D902" s="12">
        <v>46228</v>
      </c>
      <c r="E902" t="s">
        <v>133</v>
      </c>
      <c r="F902" t="s">
        <v>133</v>
      </c>
      <c r="G902" t="s">
        <v>133</v>
      </c>
      <c r="H902" t="s">
        <v>73</v>
      </c>
      <c r="I902">
        <v>20</v>
      </c>
      <c r="J902">
        <v>9.36343093325093</v>
      </c>
      <c r="K902">
        <v>46228</v>
      </c>
      <c r="L902" t="s">
        <v>223</v>
      </c>
      <c r="M902">
        <v>30.4</v>
      </c>
      <c r="N902">
        <v>30.4</v>
      </c>
      <c r="O902">
        <v>9.8422385620914934</v>
      </c>
      <c r="P902">
        <v>3.2466731710536889</v>
      </c>
      <c r="Q902">
        <v>3.2466731710536889</v>
      </c>
      <c r="R902">
        <v>1.0511359171925161</v>
      </c>
      <c r="S902">
        <v>0</v>
      </c>
      <c r="T902">
        <v>0</v>
      </c>
      <c r="U902">
        <v>1.9966731710536889</v>
      </c>
      <c r="V902">
        <v>0</v>
      </c>
      <c r="W902">
        <v>0</v>
      </c>
      <c r="X902">
        <v>0</v>
      </c>
      <c r="Y902">
        <v>5.1135917192516089E-2</v>
      </c>
      <c r="Z902">
        <v>0</v>
      </c>
      <c r="AA902">
        <v>0.19886408280748391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0.30800759648851744</v>
      </c>
      <c r="AN902">
        <v>0.30800759648851744</v>
      </c>
      <c r="AO902">
        <v>0.32375784743722019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0.67624215256277975</v>
      </c>
      <c r="BA902">
        <v>0</v>
      </c>
      <c r="BB902">
        <v>0</v>
      </c>
      <c r="BC902">
        <v>0</v>
      </c>
      <c r="BD902">
        <v>0.30800759648851744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3.0887282205380666</v>
      </c>
      <c r="BK902">
        <v>3.0887282205380666</v>
      </c>
      <c r="BL902">
        <v>0.95135175541418537</v>
      </c>
      <c r="CC902">
        <v>0</v>
      </c>
      <c r="CD902">
        <v>0</v>
      </c>
      <c r="CE902">
        <v>0</v>
      </c>
    </row>
    <row r="903" spans="1:84" hidden="1" x14ac:dyDescent="0.25">
      <c r="A903" t="s">
        <v>128</v>
      </c>
      <c r="B903" t="s">
        <v>503</v>
      </c>
      <c r="C903" t="s">
        <v>72</v>
      </c>
      <c r="D903" s="12">
        <v>46230</v>
      </c>
      <c r="E903" t="s">
        <v>134</v>
      </c>
      <c r="F903" t="s">
        <v>134</v>
      </c>
      <c r="G903" t="s">
        <v>134</v>
      </c>
      <c r="H903" t="s">
        <v>74</v>
      </c>
      <c r="I903">
        <v>10</v>
      </c>
      <c r="J903">
        <v>1.7587131367292226</v>
      </c>
      <c r="K903">
        <v>46230</v>
      </c>
      <c r="L903" t="s">
        <v>216</v>
      </c>
      <c r="M903">
        <v>0</v>
      </c>
      <c r="N903">
        <v>0</v>
      </c>
      <c r="O903">
        <v>6.2745098039215685E-2</v>
      </c>
      <c r="P903">
        <v>0</v>
      </c>
      <c r="Q903">
        <v>0</v>
      </c>
      <c r="R903">
        <v>3.5676709708273552E-2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3.5676709708273552E-2</v>
      </c>
      <c r="AC903">
        <v>0.96432329029172648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J903">
        <v>0</v>
      </c>
      <c r="BK903">
        <v>0</v>
      </c>
      <c r="BL903">
        <v>28.029490616621985</v>
      </c>
      <c r="BM903">
        <v>27.029490616621985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</row>
    <row r="904" spans="1:84" hidden="1" x14ac:dyDescent="0.25">
      <c r="A904" t="s">
        <v>128</v>
      </c>
      <c r="B904" t="s">
        <v>503</v>
      </c>
      <c r="C904" t="s">
        <v>72</v>
      </c>
      <c r="D904" s="12">
        <v>46227</v>
      </c>
      <c r="E904" t="s">
        <v>501</v>
      </c>
      <c r="F904" t="s">
        <v>501</v>
      </c>
      <c r="G904" t="s">
        <v>501</v>
      </c>
      <c r="H904" t="s">
        <v>73</v>
      </c>
      <c r="I904">
        <v>0</v>
      </c>
      <c r="J904">
        <v>1.9063272558714477</v>
      </c>
      <c r="K904">
        <v>46227</v>
      </c>
      <c r="L904" t="s">
        <v>226</v>
      </c>
      <c r="M904">
        <v>0</v>
      </c>
      <c r="N904">
        <v>0</v>
      </c>
      <c r="O904">
        <v>0.82352941176470595</v>
      </c>
      <c r="P904">
        <v>0</v>
      </c>
      <c r="Q904">
        <v>0</v>
      </c>
      <c r="R904">
        <v>0.43199792125315983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0.43199792125315983</v>
      </c>
      <c r="AC904">
        <v>0.56800207874684017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J904">
        <v>0</v>
      </c>
      <c r="BK904">
        <v>0</v>
      </c>
      <c r="BL904">
        <v>2.3148259535581861</v>
      </c>
      <c r="BM904">
        <v>1.3148259535581861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</row>
    <row r="905" spans="1:84" hidden="1" x14ac:dyDescent="0.25">
      <c r="A905" t="s">
        <v>128</v>
      </c>
      <c r="B905" t="s">
        <v>503</v>
      </c>
      <c r="C905" t="s">
        <v>109</v>
      </c>
      <c r="D905" s="12">
        <v>46238</v>
      </c>
      <c r="E905" t="s">
        <v>134</v>
      </c>
      <c r="F905" t="s">
        <v>134</v>
      </c>
      <c r="G905" t="s">
        <v>134</v>
      </c>
      <c r="J905">
        <v>5.798257372654156</v>
      </c>
      <c r="M905">
        <v>0</v>
      </c>
      <c r="N905">
        <v>0</v>
      </c>
      <c r="O905">
        <v>4.9070357554786614</v>
      </c>
      <c r="S905">
        <v>0.32641585127866868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0.27817290691970864</v>
      </c>
      <c r="AC905">
        <v>0.48012093194285055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0.24170616113744078</v>
      </c>
      <c r="AL905">
        <v>0</v>
      </c>
    </row>
    <row r="906" spans="1:84" hidden="1" x14ac:dyDescent="0.25">
      <c r="A906" t="s">
        <v>128</v>
      </c>
      <c r="B906" t="s">
        <v>503</v>
      </c>
      <c r="C906" t="s">
        <v>72</v>
      </c>
      <c r="D906" s="12">
        <v>46243</v>
      </c>
      <c r="E906" t="s">
        <v>134</v>
      </c>
      <c r="F906" t="s">
        <v>134</v>
      </c>
      <c r="G906" t="s">
        <v>134</v>
      </c>
      <c r="H906" t="s">
        <v>74</v>
      </c>
      <c r="I906">
        <v>10</v>
      </c>
      <c r="J906">
        <v>1.7587131367292226</v>
      </c>
      <c r="K906">
        <v>46243</v>
      </c>
      <c r="L906" t="s">
        <v>211</v>
      </c>
      <c r="M906">
        <v>0</v>
      </c>
      <c r="N906">
        <v>0</v>
      </c>
      <c r="O906">
        <v>6.2745098039215685E-2</v>
      </c>
      <c r="P906">
        <v>0</v>
      </c>
      <c r="Q906">
        <v>0</v>
      </c>
      <c r="R906">
        <v>3.5676709708273552E-2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3.5676709708273552E-2</v>
      </c>
      <c r="AC906">
        <v>0.96432329029172648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J906">
        <v>0</v>
      </c>
      <c r="BK906">
        <v>0</v>
      </c>
      <c r="BL906">
        <v>28.029490616621985</v>
      </c>
      <c r="BM906">
        <v>27.029490616621985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</row>
    <row r="907" spans="1:84" hidden="1" x14ac:dyDescent="0.25">
      <c r="A907" t="s">
        <v>128</v>
      </c>
      <c r="B907" t="s">
        <v>503</v>
      </c>
      <c r="C907" t="s">
        <v>72</v>
      </c>
      <c r="D907" s="12">
        <v>46244</v>
      </c>
      <c r="E907" t="s">
        <v>501</v>
      </c>
      <c r="F907" t="s">
        <v>501</v>
      </c>
      <c r="G907" t="s">
        <v>501</v>
      </c>
      <c r="H907" t="s">
        <v>75</v>
      </c>
      <c r="I907">
        <v>0</v>
      </c>
      <c r="J907">
        <v>0</v>
      </c>
      <c r="K907">
        <v>46244</v>
      </c>
      <c r="L907" t="s">
        <v>198</v>
      </c>
      <c r="M907">
        <v>0</v>
      </c>
      <c r="N907">
        <v>0</v>
      </c>
      <c r="O907">
        <v>0.16608996539792387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F907">
        <v>0</v>
      </c>
    </row>
    <row r="908" spans="1:84" hidden="1" x14ac:dyDescent="0.25">
      <c r="A908" t="s">
        <v>128</v>
      </c>
      <c r="B908" t="s">
        <v>503</v>
      </c>
      <c r="C908" t="s">
        <v>72</v>
      </c>
      <c r="D908" s="12">
        <v>46245</v>
      </c>
      <c r="E908" t="s">
        <v>501</v>
      </c>
      <c r="F908" t="s">
        <v>501</v>
      </c>
      <c r="G908" t="s">
        <v>501</v>
      </c>
      <c r="H908" t="s">
        <v>73</v>
      </c>
      <c r="I908">
        <v>0</v>
      </c>
      <c r="J908">
        <v>1.906327255871447</v>
      </c>
      <c r="K908">
        <v>46245</v>
      </c>
      <c r="L908" t="s">
        <v>197</v>
      </c>
      <c r="M908">
        <v>0</v>
      </c>
      <c r="N908">
        <v>0</v>
      </c>
      <c r="O908">
        <v>0.82352941176470595</v>
      </c>
      <c r="P908">
        <v>0</v>
      </c>
      <c r="Q908">
        <v>0</v>
      </c>
      <c r="R908">
        <v>0.43199792125316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0.43199792125316</v>
      </c>
      <c r="AC908">
        <v>0.56800207874684006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J908">
        <v>0</v>
      </c>
      <c r="BK908">
        <v>0</v>
      </c>
      <c r="BL908">
        <v>2.3148259535581857</v>
      </c>
      <c r="BM908">
        <v>1.3148259535581857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</row>
    <row r="909" spans="1:84" hidden="1" x14ac:dyDescent="0.25">
      <c r="A909" t="s">
        <v>128</v>
      </c>
      <c r="B909" t="s">
        <v>503</v>
      </c>
      <c r="C909" t="s">
        <v>72</v>
      </c>
      <c r="D909" s="12">
        <v>46243</v>
      </c>
      <c r="E909" t="s">
        <v>134</v>
      </c>
      <c r="F909" t="s">
        <v>134</v>
      </c>
      <c r="G909" t="s">
        <v>134</v>
      </c>
      <c r="H909" t="s">
        <v>73</v>
      </c>
      <c r="I909">
        <v>10</v>
      </c>
      <c r="J909">
        <v>1.4014745308310996</v>
      </c>
      <c r="K909">
        <v>46243</v>
      </c>
      <c r="L909" t="s">
        <v>203</v>
      </c>
      <c r="M909">
        <v>0</v>
      </c>
      <c r="N909">
        <v>0</v>
      </c>
      <c r="O909">
        <v>1.6911764705882355</v>
      </c>
      <c r="P909">
        <v>0</v>
      </c>
      <c r="Q909">
        <v>0</v>
      </c>
      <c r="R909">
        <v>1.2067122401327817</v>
      </c>
      <c r="S909">
        <v>0.20671224013278167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1</v>
      </c>
      <c r="BI909">
        <v>1</v>
      </c>
      <c r="BJ909">
        <v>0</v>
      </c>
      <c r="BK909">
        <v>0</v>
      </c>
      <c r="BL909">
        <v>0.82869798344795442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0.17130201655204558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0.82869798344795442</v>
      </c>
      <c r="CF909">
        <v>0</v>
      </c>
    </row>
    <row r="910" spans="1:84" hidden="1" x14ac:dyDescent="0.25">
      <c r="A910" t="s">
        <v>128</v>
      </c>
      <c r="B910" t="s">
        <v>503</v>
      </c>
      <c r="C910" t="s">
        <v>72</v>
      </c>
      <c r="D910" s="12">
        <v>46242</v>
      </c>
      <c r="E910" t="s">
        <v>134</v>
      </c>
      <c r="F910" t="s">
        <v>134</v>
      </c>
      <c r="G910" t="s">
        <v>134</v>
      </c>
      <c r="H910" t="s">
        <v>75</v>
      </c>
      <c r="I910">
        <v>10</v>
      </c>
      <c r="J910">
        <v>2.6380697050938342</v>
      </c>
      <c r="K910">
        <v>46242</v>
      </c>
      <c r="L910" t="s">
        <v>204</v>
      </c>
      <c r="M910">
        <v>0</v>
      </c>
      <c r="N910">
        <v>0</v>
      </c>
      <c r="O910">
        <v>1.9238754325259515</v>
      </c>
      <c r="P910">
        <v>0</v>
      </c>
      <c r="Q910">
        <v>0</v>
      </c>
      <c r="R910">
        <v>0.72927391903676808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0.72927391903676808</v>
      </c>
      <c r="AC910">
        <v>0.27072608096323192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</v>
      </c>
      <c r="BJ910">
        <v>0</v>
      </c>
      <c r="BK910">
        <v>0</v>
      </c>
      <c r="BL910">
        <v>1.3712268790865434</v>
      </c>
      <c r="BM910">
        <v>0.37122687908654339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1</v>
      </c>
      <c r="CF910">
        <v>1</v>
      </c>
    </row>
    <row r="911" spans="1:84" hidden="1" x14ac:dyDescent="0.25">
      <c r="A911" t="s">
        <v>128</v>
      </c>
      <c r="B911" t="s">
        <v>503</v>
      </c>
      <c r="C911" t="s">
        <v>72</v>
      </c>
      <c r="D911" s="12">
        <v>46245</v>
      </c>
      <c r="E911" t="s">
        <v>501</v>
      </c>
      <c r="F911" t="s">
        <v>501</v>
      </c>
      <c r="G911" t="s">
        <v>501</v>
      </c>
      <c r="H911" t="s">
        <v>74</v>
      </c>
      <c r="I911">
        <v>0</v>
      </c>
      <c r="J911">
        <v>0</v>
      </c>
      <c r="K911">
        <v>46245</v>
      </c>
      <c r="L911" t="s">
        <v>196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F911">
        <v>0</v>
      </c>
    </row>
    <row r="912" spans="1:84" hidden="1" x14ac:dyDescent="0.25">
      <c r="A912" t="s">
        <v>128</v>
      </c>
      <c r="B912" t="s">
        <v>503</v>
      </c>
      <c r="C912" t="s">
        <v>72</v>
      </c>
      <c r="D912" s="12">
        <v>46242</v>
      </c>
      <c r="E912" t="s">
        <v>134</v>
      </c>
      <c r="F912" t="s">
        <v>134</v>
      </c>
      <c r="G912" t="s">
        <v>134</v>
      </c>
      <c r="H912" t="s">
        <v>74</v>
      </c>
      <c r="I912">
        <v>10</v>
      </c>
      <c r="J912">
        <v>1.7587131367292226</v>
      </c>
      <c r="K912">
        <v>46242</v>
      </c>
      <c r="L912" t="s">
        <v>205</v>
      </c>
      <c r="M912">
        <v>0</v>
      </c>
      <c r="N912">
        <v>0</v>
      </c>
      <c r="O912">
        <v>6.2745098039215685E-2</v>
      </c>
      <c r="P912">
        <v>0</v>
      </c>
      <c r="Q912">
        <v>0</v>
      </c>
      <c r="R912">
        <v>3.5676709708273552E-2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3.5676709708273552E-2</v>
      </c>
      <c r="AC912">
        <v>0.96432329029172648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J912">
        <v>0</v>
      </c>
      <c r="BK912">
        <v>0</v>
      </c>
      <c r="BL912">
        <v>28.029490616621985</v>
      </c>
      <c r="BM912">
        <v>27.029490616621985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</row>
    <row r="913" spans="1:84" hidden="1" x14ac:dyDescent="0.25">
      <c r="A913" t="s">
        <v>128</v>
      </c>
      <c r="B913" t="s">
        <v>503</v>
      </c>
      <c r="C913" t="s">
        <v>72</v>
      </c>
      <c r="D913" s="12">
        <v>46245</v>
      </c>
      <c r="E913" t="s">
        <v>501</v>
      </c>
      <c r="F913" t="s">
        <v>501</v>
      </c>
      <c r="G913" t="s">
        <v>501</v>
      </c>
      <c r="H913" t="s">
        <v>75</v>
      </c>
      <c r="I913">
        <v>0</v>
      </c>
      <c r="J913">
        <v>0</v>
      </c>
      <c r="K913">
        <v>46245</v>
      </c>
      <c r="L913" t="s">
        <v>195</v>
      </c>
      <c r="M913">
        <v>0</v>
      </c>
      <c r="N913">
        <v>0</v>
      </c>
      <c r="O913">
        <v>0.16608996539792387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F913">
        <v>0</v>
      </c>
    </row>
    <row r="914" spans="1:84" hidden="1" x14ac:dyDescent="0.25">
      <c r="A914" t="s">
        <v>128</v>
      </c>
      <c r="B914" t="s">
        <v>503</v>
      </c>
      <c r="C914" t="s">
        <v>72</v>
      </c>
      <c r="D914" s="12">
        <v>46242</v>
      </c>
      <c r="E914" t="s">
        <v>134</v>
      </c>
      <c r="F914" t="s">
        <v>134</v>
      </c>
      <c r="G914" t="s">
        <v>134</v>
      </c>
      <c r="H914" t="s">
        <v>73</v>
      </c>
      <c r="I914">
        <v>10</v>
      </c>
      <c r="J914">
        <v>1.4014745308310994</v>
      </c>
      <c r="K914">
        <v>46242</v>
      </c>
      <c r="L914" t="s">
        <v>206</v>
      </c>
      <c r="M914">
        <v>0</v>
      </c>
      <c r="N914">
        <v>0</v>
      </c>
      <c r="O914">
        <v>1.6470588235294119</v>
      </c>
      <c r="P914">
        <v>0</v>
      </c>
      <c r="Q914">
        <v>0</v>
      </c>
      <c r="R914">
        <v>1.1752327903901876</v>
      </c>
      <c r="S914">
        <v>0.17523279039018758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1</v>
      </c>
      <c r="BI914">
        <v>1</v>
      </c>
      <c r="BJ914">
        <v>0</v>
      </c>
      <c r="BK914">
        <v>0</v>
      </c>
      <c r="BL914">
        <v>0.85089525086173889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0.14910474913826111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0.85089525086173889</v>
      </c>
      <c r="CF914">
        <v>0</v>
      </c>
    </row>
    <row r="915" spans="1:84" hidden="1" x14ac:dyDescent="0.25">
      <c r="A915" t="s">
        <v>128</v>
      </c>
      <c r="B915" t="s">
        <v>503</v>
      </c>
      <c r="C915" t="s">
        <v>72</v>
      </c>
      <c r="D915" s="12">
        <v>46246</v>
      </c>
      <c r="E915" t="s">
        <v>501</v>
      </c>
      <c r="F915" t="s">
        <v>501</v>
      </c>
      <c r="G915" t="s">
        <v>501</v>
      </c>
      <c r="H915" t="s">
        <v>73</v>
      </c>
      <c r="I915">
        <v>0</v>
      </c>
      <c r="J915">
        <v>2.8594908838071702</v>
      </c>
      <c r="K915">
        <v>46246</v>
      </c>
      <c r="L915" t="s">
        <v>194</v>
      </c>
      <c r="M915">
        <v>0</v>
      </c>
      <c r="N915">
        <v>0</v>
      </c>
      <c r="O915">
        <v>1.6470588235294119</v>
      </c>
      <c r="P915">
        <v>0</v>
      </c>
      <c r="Q915">
        <v>0</v>
      </c>
      <c r="R915">
        <v>0.57599722833754674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0.57599722833754674</v>
      </c>
      <c r="AC915">
        <v>0.42400277166245326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J915">
        <v>0</v>
      </c>
      <c r="BK915">
        <v>0</v>
      </c>
      <c r="BL915">
        <v>1.7361194651686389</v>
      </c>
      <c r="BM915">
        <v>0.73611946516863891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1</v>
      </c>
      <c r="CF915">
        <v>1</v>
      </c>
    </row>
    <row r="916" spans="1:84" hidden="1" x14ac:dyDescent="0.25">
      <c r="A916" t="s">
        <v>128</v>
      </c>
      <c r="B916" t="s">
        <v>503</v>
      </c>
      <c r="C916" t="s">
        <v>72</v>
      </c>
      <c r="D916" s="12">
        <v>46246</v>
      </c>
      <c r="E916" t="s">
        <v>501</v>
      </c>
      <c r="F916" t="s">
        <v>501</v>
      </c>
      <c r="G916" t="s">
        <v>501</v>
      </c>
      <c r="H916" t="s">
        <v>74</v>
      </c>
      <c r="I916">
        <v>0</v>
      </c>
      <c r="J916">
        <v>0</v>
      </c>
      <c r="K916">
        <v>46246</v>
      </c>
      <c r="L916" t="s">
        <v>193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F916">
        <v>0</v>
      </c>
    </row>
    <row r="917" spans="1:84" hidden="1" x14ac:dyDescent="0.25">
      <c r="A917" t="s">
        <v>128</v>
      </c>
      <c r="B917" t="s">
        <v>503</v>
      </c>
      <c r="C917" t="s">
        <v>72</v>
      </c>
      <c r="D917" s="12">
        <v>46241</v>
      </c>
      <c r="E917" t="s">
        <v>134</v>
      </c>
      <c r="F917" t="s">
        <v>134</v>
      </c>
      <c r="G917" t="s">
        <v>134</v>
      </c>
      <c r="H917" t="s">
        <v>75</v>
      </c>
      <c r="I917">
        <v>10</v>
      </c>
      <c r="J917">
        <v>2.3277085633180885</v>
      </c>
      <c r="K917">
        <v>46241</v>
      </c>
      <c r="L917" t="s">
        <v>207</v>
      </c>
      <c r="M917">
        <v>0</v>
      </c>
      <c r="N917">
        <v>0</v>
      </c>
      <c r="O917">
        <v>2.269896193771626</v>
      </c>
      <c r="P917">
        <v>0</v>
      </c>
      <c r="Q917">
        <v>0</v>
      </c>
      <c r="R917">
        <v>0.97516339869281032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0.97516339869281032</v>
      </c>
      <c r="AC917">
        <v>2.4836601307189676E-2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1</v>
      </c>
      <c r="BJ917">
        <v>0</v>
      </c>
      <c r="BK917">
        <v>0</v>
      </c>
      <c r="BL917">
        <v>1.0254691689008044</v>
      </c>
      <c r="BM917">
        <v>2.5469168900804418E-2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1</v>
      </c>
      <c r="CF917">
        <v>1</v>
      </c>
    </row>
    <row r="918" spans="1:84" hidden="1" x14ac:dyDescent="0.25">
      <c r="A918" t="s">
        <v>128</v>
      </c>
      <c r="B918" t="s">
        <v>503</v>
      </c>
      <c r="C918" t="s">
        <v>72</v>
      </c>
      <c r="D918" s="12">
        <v>46241</v>
      </c>
      <c r="E918" t="s">
        <v>134</v>
      </c>
      <c r="F918" t="s">
        <v>134</v>
      </c>
      <c r="G918" t="s">
        <v>134</v>
      </c>
      <c r="H918" t="s">
        <v>74</v>
      </c>
      <c r="I918">
        <v>10</v>
      </c>
      <c r="J918">
        <v>1.7587131367292226</v>
      </c>
      <c r="K918">
        <v>46241</v>
      </c>
      <c r="L918" t="s">
        <v>208</v>
      </c>
      <c r="M918">
        <v>0</v>
      </c>
      <c r="N918">
        <v>0</v>
      </c>
      <c r="O918">
        <v>6.2745098039215685E-2</v>
      </c>
      <c r="P918">
        <v>0</v>
      </c>
      <c r="Q918">
        <v>0</v>
      </c>
      <c r="R918">
        <v>3.5676709708273552E-2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3.5676709708273552E-2</v>
      </c>
      <c r="AC918">
        <v>0.96432329029172648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J918">
        <v>0</v>
      </c>
      <c r="BK918">
        <v>0</v>
      </c>
      <c r="BL918">
        <v>28.029490616621985</v>
      </c>
      <c r="BM918">
        <v>27.029490616621985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</row>
    <row r="919" spans="1:84" hidden="1" x14ac:dyDescent="0.25">
      <c r="A919" t="s">
        <v>128</v>
      </c>
      <c r="B919" t="s">
        <v>503</v>
      </c>
      <c r="C919" t="s">
        <v>72</v>
      </c>
      <c r="D919" s="12">
        <v>46246</v>
      </c>
      <c r="E919" t="s">
        <v>501</v>
      </c>
      <c r="F919" t="s">
        <v>501</v>
      </c>
      <c r="G919" t="s">
        <v>501</v>
      </c>
      <c r="H919" t="s">
        <v>75</v>
      </c>
      <c r="I919">
        <v>0</v>
      </c>
      <c r="J919">
        <v>0.68601396059041697</v>
      </c>
      <c r="K919">
        <v>46246</v>
      </c>
      <c r="L919" t="s">
        <v>201</v>
      </c>
      <c r="M919">
        <v>0</v>
      </c>
      <c r="N919">
        <v>0</v>
      </c>
      <c r="O919">
        <v>1.0380622837370239</v>
      </c>
      <c r="P919">
        <v>0</v>
      </c>
      <c r="Q919">
        <v>0</v>
      </c>
      <c r="R919">
        <v>1.5131795318620296</v>
      </c>
      <c r="S919">
        <v>0.51317953186202958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</v>
      </c>
      <c r="BI919">
        <v>1</v>
      </c>
      <c r="BJ919">
        <v>0</v>
      </c>
      <c r="BK919">
        <v>0</v>
      </c>
      <c r="BL919">
        <v>0.66086011536876854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0.33913988463123146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0.66086011536876854</v>
      </c>
      <c r="CF919">
        <v>0</v>
      </c>
    </row>
    <row r="920" spans="1:84" hidden="1" x14ac:dyDescent="0.25">
      <c r="A920" t="s">
        <v>128</v>
      </c>
      <c r="B920" t="s">
        <v>503</v>
      </c>
      <c r="C920" t="s">
        <v>72</v>
      </c>
      <c r="D920" s="12">
        <v>46247</v>
      </c>
      <c r="E920" t="s">
        <v>501</v>
      </c>
      <c r="F920" t="s">
        <v>501</v>
      </c>
      <c r="G920" t="s">
        <v>501</v>
      </c>
      <c r="H920" t="s">
        <v>73</v>
      </c>
      <c r="I920">
        <v>0</v>
      </c>
      <c r="J920">
        <v>2.8594908838071702</v>
      </c>
      <c r="K920">
        <v>46247</v>
      </c>
      <c r="L920" t="s">
        <v>174</v>
      </c>
      <c r="M920">
        <v>0</v>
      </c>
      <c r="N920">
        <v>0</v>
      </c>
      <c r="O920">
        <v>1.6470588235294119</v>
      </c>
      <c r="P920">
        <v>0</v>
      </c>
      <c r="Q920">
        <v>0</v>
      </c>
      <c r="R920">
        <v>0.57599722833754674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0.57599722833754674</v>
      </c>
      <c r="AC920">
        <v>0.42400277166245326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</v>
      </c>
      <c r="BJ920">
        <v>0</v>
      </c>
      <c r="BK920">
        <v>0</v>
      </c>
      <c r="BL920">
        <v>1.7361194651686389</v>
      </c>
      <c r="BM920">
        <v>0.73611946516863891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1</v>
      </c>
      <c r="CF920">
        <v>1</v>
      </c>
    </row>
    <row r="921" spans="1:84" hidden="1" x14ac:dyDescent="0.25">
      <c r="A921" t="s">
        <v>128</v>
      </c>
      <c r="B921" t="s">
        <v>503</v>
      </c>
      <c r="C921" t="s">
        <v>72</v>
      </c>
      <c r="D921" s="12">
        <v>46241</v>
      </c>
      <c r="E921" t="s">
        <v>134</v>
      </c>
      <c r="F921" t="s">
        <v>134</v>
      </c>
      <c r="G921" t="s">
        <v>134</v>
      </c>
      <c r="H921" t="s">
        <v>73</v>
      </c>
      <c r="I921">
        <v>10</v>
      </c>
      <c r="J921">
        <v>5.6058981233243976</v>
      </c>
      <c r="K921">
        <v>46241</v>
      </c>
      <c r="L921" t="s">
        <v>209</v>
      </c>
      <c r="M921">
        <v>0</v>
      </c>
      <c r="N921">
        <v>0</v>
      </c>
      <c r="O921">
        <v>4.0294117647058805</v>
      </c>
      <c r="P921">
        <v>0</v>
      </c>
      <c r="Q921">
        <v>0</v>
      </c>
      <c r="R921">
        <v>0.71878076912256972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0.71878076912256972</v>
      </c>
      <c r="AC921">
        <v>0.28121923087743028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J921">
        <v>0</v>
      </c>
      <c r="BK921">
        <v>0</v>
      </c>
      <c r="BL921">
        <v>1.3912447897301432</v>
      </c>
      <c r="BM921">
        <v>0.39124478973014321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1</v>
      </c>
      <c r="CF921">
        <v>1</v>
      </c>
    </row>
    <row r="922" spans="1:84" hidden="1" x14ac:dyDescent="0.25">
      <c r="A922" t="s">
        <v>128</v>
      </c>
      <c r="B922" t="s">
        <v>503</v>
      </c>
      <c r="C922" t="s">
        <v>72</v>
      </c>
      <c r="D922" s="12">
        <v>46240</v>
      </c>
      <c r="E922" t="s">
        <v>134</v>
      </c>
      <c r="F922" t="s">
        <v>134</v>
      </c>
      <c r="G922" t="s">
        <v>134</v>
      </c>
      <c r="H922" t="s">
        <v>75</v>
      </c>
      <c r="I922">
        <v>10</v>
      </c>
      <c r="J922">
        <v>2.3277085633180881</v>
      </c>
      <c r="K922">
        <v>46240</v>
      </c>
      <c r="L922" t="s">
        <v>210</v>
      </c>
      <c r="M922">
        <v>0</v>
      </c>
      <c r="N922">
        <v>0</v>
      </c>
      <c r="O922">
        <v>2.0484429065743943</v>
      </c>
      <c r="P922">
        <v>0</v>
      </c>
      <c r="Q922">
        <v>0</v>
      </c>
      <c r="R922">
        <v>0.88002550613741448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0.88002550613741448</v>
      </c>
      <c r="AC922">
        <v>0.11997449386258552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</v>
      </c>
      <c r="BJ922">
        <v>0</v>
      </c>
      <c r="BK922">
        <v>0</v>
      </c>
      <c r="BL922">
        <v>1.1363307006738641</v>
      </c>
      <c r="BM922">
        <v>0.1363307006738641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1</v>
      </c>
      <c r="CF922">
        <v>1</v>
      </c>
    </row>
    <row r="923" spans="1:84" hidden="1" x14ac:dyDescent="0.25">
      <c r="A923" t="s">
        <v>128</v>
      </c>
      <c r="B923" t="s">
        <v>503</v>
      </c>
      <c r="C923" t="s">
        <v>72</v>
      </c>
      <c r="D923" s="12">
        <v>46247</v>
      </c>
      <c r="E923" t="s">
        <v>501</v>
      </c>
      <c r="F923" t="s">
        <v>501</v>
      </c>
      <c r="G923" t="s">
        <v>501</v>
      </c>
      <c r="H923" t="s">
        <v>74</v>
      </c>
      <c r="I923">
        <v>0</v>
      </c>
      <c r="J923">
        <v>0</v>
      </c>
      <c r="K923">
        <v>46247</v>
      </c>
      <c r="L923" t="s">
        <v>162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F923">
        <v>0</v>
      </c>
    </row>
    <row r="924" spans="1:84" hidden="1" x14ac:dyDescent="0.25">
      <c r="A924" t="s">
        <v>128</v>
      </c>
      <c r="B924" t="s">
        <v>503</v>
      </c>
      <c r="C924" t="s">
        <v>72</v>
      </c>
      <c r="D924" s="12">
        <v>46247</v>
      </c>
      <c r="E924" t="s">
        <v>501</v>
      </c>
      <c r="F924" t="s">
        <v>501</v>
      </c>
      <c r="G924" t="s">
        <v>501</v>
      </c>
      <c r="H924" t="s">
        <v>75</v>
      </c>
      <c r="I924">
        <v>0</v>
      </c>
      <c r="J924">
        <v>0</v>
      </c>
      <c r="K924">
        <v>46247</v>
      </c>
      <c r="L924" t="s">
        <v>161</v>
      </c>
      <c r="M924">
        <v>0</v>
      </c>
      <c r="N924">
        <v>0</v>
      </c>
      <c r="O924">
        <v>0.33217993079584773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F924">
        <v>0</v>
      </c>
    </row>
    <row r="925" spans="1:84" hidden="1" x14ac:dyDescent="0.25">
      <c r="A925" t="s">
        <v>128</v>
      </c>
      <c r="B925" t="s">
        <v>503</v>
      </c>
      <c r="C925" t="s">
        <v>72</v>
      </c>
      <c r="D925" s="12">
        <v>46240</v>
      </c>
      <c r="E925" t="s">
        <v>134</v>
      </c>
      <c r="F925" t="s">
        <v>134</v>
      </c>
      <c r="G925" t="s">
        <v>134</v>
      </c>
      <c r="H925" t="s">
        <v>74</v>
      </c>
      <c r="I925">
        <v>10</v>
      </c>
      <c r="J925">
        <v>1.7587131367292226</v>
      </c>
      <c r="K925">
        <v>46240</v>
      </c>
      <c r="L925" t="s">
        <v>192</v>
      </c>
      <c r="M925">
        <v>0</v>
      </c>
      <c r="N925">
        <v>0</v>
      </c>
      <c r="O925">
        <v>6.2745098039215685E-2</v>
      </c>
      <c r="P925">
        <v>0</v>
      </c>
      <c r="Q925">
        <v>0</v>
      </c>
      <c r="R925">
        <v>3.5676709708273552E-2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3.5676709708273552E-2</v>
      </c>
      <c r="AC925">
        <v>0.96432329029172648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J925">
        <v>0</v>
      </c>
      <c r="BK925">
        <v>0</v>
      </c>
      <c r="BL925">
        <v>28.029490616621985</v>
      </c>
      <c r="BM925">
        <v>27.029490616621985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 spans="1:84" hidden="1" x14ac:dyDescent="0.25">
      <c r="A926" t="s">
        <v>128</v>
      </c>
      <c r="B926" t="s">
        <v>503</v>
      </c>
      <c r="C926" t="s">
        <v>72</v>
      </c>
      <c r="D926" s="12">
        <v>46248</v>
      </c>
      <c r="E926" t="s">
        <v>501</v>
      </c>
      <c r="F926" t="s">
        <v>501</v>
      </c>
      <c r="G926" t="s">
        <v>501</v>
      </c>
      <c r="H926" t="s">
        <v>73</v>
      </c>
      <c r="I926">
        <v>0</v>
      </c>
      <c r="J926">
        <v>1.906327255871447</v>
      </c>
      <c r="K926">
        <v>46248</v>
      </c>
      <c r="L926" t="s">
        <v>159</v>
      </c>
      <c r="M926">
        <v>0</v>
      </c>
      <c r="N926">
        <v>0</v>
      </c>
      <c r="O926">
        <v>0.82352941176470595</v>
      </c>
      <c r="P926">
        <v>0</v>
      </c>
      <c r="Q926">
        <v>0</v>
      </c>
      <c r="R926">
        <v>0.43199792125316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0.43199792125316</v>
      </c>
      <c r="AC926">
        <v>0.56800207874684006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J926">
        <v>0</v>
      </c>
      <c r="BK926">
        <v>0</v>
      </c>
      <c r="BL926">
        <v>2.3148259535581857</v>
      </c>
      <c r="BM926">
        <v>1.3148259535581857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 spans="1:84" hidden="1" x14ac:dyDescent="0.25">
      <c r="A927" t="s">
        <v>128</v>
      </c>
      <c r="B927" t="s">
        <v>503</v>
      </c>
      <c r="C927" t="s">
        <v>72</v>
      </c>
      <c r="D927" s="12">
        <v>46240</v>
      </c>
      <c r="E927" t="s">
        <v>134</v>
      </c>
      <c r="F927" t="s">
        <v>134</v>
      </c>
      <c r="G927" t="s">
        <v>134</v>
      </c>
      <c r="H927" t="s">
        <v>73</v>
      </c>
      <c r="I927">
        <v>10</v>
      </c>
      <c r="J927">
        <v>1.4014745308310996</v>
      </c>
      <c r="K927">
        <v>46240</v>
      </c>
      <c r="L927" t="s">
        <v>191</v>
      </c>
      <c r="M927">
        <v>0</v>
      </c>
      <c r="N927">
        <v>0</v>
      </c>
      <c r="O927">
        <v>2.514705882352942</v>
      </c>
      <c r="P927">
        <v>0</v>
      </c>
      <c r="Q927">
        <v>0</v>
      </c>
      <c r="R927">
        <v>1.7943286353278758</v>
      </c>
      <c r="S927">
        <v>0.79432863532787579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1</v>
      </c>
      <c r="BJ927">
        <v>0</v>
      </c>
      <c r="BK927">
        <v>0</v>
      </c>
      <c r="BL927">
        <v>0.55731150933634355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0.44268849066365645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0.55731150933634355</v>
      </c>
      <c r="CF927">
        <v>0</v>
      </c>
    </row>
    <row r="928" spans="1:84" hidden="1" x14ac:dyDescent="0.25">
      <c r="A928" t="s">
        <v>128</v>
      </c>
      <c r="B928" t="s">
        <v>503</v>
      </c>
      <c r="C928" t="s">
        <v>72</v>
      </c>
      <c r="D928" s="12">
        <v>46248</v>
      </c>
      <c r="E928" t="s">
        <v>501</v>
      </c>
      <c r="F928" t="s">
        <v>501</v>
      </c>
      <c r="G928" t="s">
        <v>501</v>
      </c>
      <c r="H928" t="s">
        <v>74</v>
      </c>
      <c r="I928">
        <v>0</v>
      </c>
      <c r="J928">
        <v>0</v>
      </c>
      <c r="K928">
        <v>46248</v>
      </c>
      <c r="L928" t="s">
        <v>158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F928">
        <v>0</v>
      </c>
    </row>
    <row r="929" spans="1:84" hidden="1" x14ac:dyDescent="0.25">
      <c r="A929" t="s">
        <v>128</v>
      </c>
      <c r="B929" t="s">
        <v>503</v>
      </c>
      <c r="C929" t="s">
        <v>72</v>
      </c>
      <c r="D929" s="12">
        <v>46244</v>
      </c>
      <c r="E929" t="s">
        <v>501</v>
      </c>
      <c r="F929" t="s">
        <v>501</v>
      </c>
      <c r="G929" t="s">
        <v>501</v>
      </c>
      <c r="H929" t="s">
        <v>74</v>
      </c>
      <c r="I929">
        <v>0</v>
      </c>
      <c r="J929">
        <v>0</v>
      </c>
      <c r="K929">
        <v>46244</v>
      </c>
      <c r="L929" t="s">
        <v>199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F929">
        <v>0</v>
      </c>
    </row>
    <row r="930" spans="1:84" hidden="1" x14ac:dyDescent="0.25">
      <c r="A930" t="s">
        <v>128</v>
      </c>
      <c r="B930" t="s">
        <v>503</v>
      </c>
      <c r="C930" t="s">
        <v>72</v>
      </c>
      <c r="D930" s="12">
        <v>46243</v>
      </c>
      <c r="E930" t="s">
        <v>134</v>
      </c>
      <c r="F930" t="s">
        <v>134</v>
      </c>
      <c r="G930" t="s">
        <v>134</v>
      </c>
      <c r="H930" t="s">
        <v>75</v>
      </c>
      <c r="I930">
        <v>10</v>
      </c>
      <c r="J930">
        <v>2.6380697050938342</v>
      </c>
      <c r="K930">
        <v>46243</v>
      </c>
      <c r="L930" t="s">
        <v>202</v>
      </c>
      <c r="M930">
        <v>0</v>
      </c>
      <c r="N930">
        <v>0</v>
      </c>
      <c r="O930">
        <v>1.882352941176471</v>
      </c>
      <c r="P930">
        <v>0</v>
      </c>
      <c r="Q930">
        <v>0</v>
      </c>
      <c r="R930">
        <v>0.71353419416547115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0.71353419416547115</v>
      </c>
      <c r="AC930">
        <v>0.28646580583452885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1</v>
      </c>
      <c r="BJ930">
        <v>0</v>
      </c>
      <c r="BK930">
        <v>0</v>
      </c>
      <c r="BL930">
        <v>1.4014745308310992</v>
      </c>
      <c r="BM930">
        <v>0.40147453083109919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1</v>
      </c>
      <c r="CF930">
        <v>1</v>
      </c>
    </row>
    <row r="931" spans="1:84" hidden="1" x14ac:dyDescent="0.25">
      <c r="A931" t="s">
        <v>128</v>
      </c>
      <c r="B931" t="s">
        <v>503</v>
      </c>
      <c r="C931" t="s">
        <v>72</v>
      </c>
      <c r="D931" s="12">
        <v>46244</v>
      </c>
      <c r="E931" t="s">
        <v>134</v>
      </c>
      <c r="F931" t="s">
        <v>134</v>
      </c>
      <c r="G931" t="s">
        <v>134</v>
      </c>
      <c r="H931" t="s">
        <v>73</v>
      </c>
      <c r="I931">
        <v>10</v>
      </c>
      <c r="J931">
        <v>1.0717158176943695</v>
      </c>
      <c r="K931">
        <v>46244</v>
      </c>
      <c r="L931" t="s">
        <v>200</v>
      </c>
      <c r="M931">
        <v>0</v>
      </c>
      <c r="N931">
        <v>0</v>
      </c>
      <c r="O931">
        <v>3.2205882352941169</v>
      </c>
      <c r="P931">
        <v>0</v>
      </c>
      <c r="Q931">
        <v>0</v>
      </c>
      <c r="R931">
        <v>3.0050767023507343</v>
      </c>
      <c r="S931">
        <v>2.0050767023507343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</v>
      </c>
      <c r="BI931">
        <v>1</v>
      </c>
      <c r="BJ931">
        <v>0</v>
      </c>
      <c r="BK931">
        <v>0</v>
      </c>
      <c r="BL931">
        <v>0.33277020823386827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0.66722979176613173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0.33277020823386827</v>
      </c>
      <c r="CF931">
        <v>0</v>
      </c>
    </row>
    <row r="932" spans="1:84" hidden="1" x14ac:dyDescent="0.25">
      <c r="A932" t="s">
        <v>128</v>
      </c>
      <c r="B932" t="s">
        <v>503</v>
      </c>
      <c r="C932" t="s">
        <v>72</v>
      </c>
      <c r="D932" s="12">
        <v>46244</v>
      </c>
      <c r="E932" t="s">
        <v>501</v>
      </c>
      <c r="F932" t="s">
        <v>501</v>
      </c>
      <c r="G932" t="s">
        <v>501</v>
      </c>
      <c r="H932" t="s">
        <v>73</v>
      </c>
      <c r="I932">
        <v>0</v>
      </c>
      <c r="J932">
        <v>0</v>
      </c>
      <c r="K932">
        <v>46244</v>
      </c>
      <c r="L932" t="s">
        <v>200</v>
      </c>
      <c r="M932">
        <v>0</v>
      </c>
      <c r="N932">
        <v>0</v>
      </c>
      <c r="O932">
        <v>0.82352941176470595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F932">
        <v>0</v>
      </c>
    </row>
    <row r="933" spans="1:84" hidden="1" x14ac:dyDescent="0.25">
      <c r="A933" t="s">
        <v>128</v>
      </c>
      <c r="B933" t="s">
        <v>503</v>
      </c>
      <c r="C933" t="s">
        <v>72</v>
      </c>
      <c r="D933" s="12">
        <v>46248</v>
      </c>
      <c r="E933" t="s">
        <v>134</v>
      </c>
      <c r="F933" t="s">
        <v>134</v>
      </c>
      <c r="G933" t="s">
        <v>134</v>
      </c>
      <c r="H933" t="s">
        <v>73</v>
      </c>
      <c r="I933">
        <v>10</v>
      </c>
      <c r="J933">
        <v>5.2761394101876684</v>
      </c>
      <c r="K933">
        <v>46248</v>
      </c>
      <c r="L933" t="s">
        <v>159</v>
      </c>
      <c r="M933">
        <v>0</v>
      </c>
      <c r="N933">
        <v>0</v>
      </c>
      <c r="O933">
        <v>3.3970588235294112</v>
      </c>
      <c r="P933">
        <v>0</v>
      </c>
      <c r="Q933">
        <v>0</v>
      </c>
      <c r="R933">
        <v>0.64385312051649912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0.64385312051649912</v>
      </c>
      <c r="AC933">
        <v>0.35614687948350088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1</v>
      </c>
      <c r="BJ933">
        <v>0</v>
      </c>
      <c r="BK933">
        <v>0</v>
      </c>
      <c r="BL933">
        <v>1.5531492636050281</v>
      </c>
      <c r="BM933">
        <v>0.55314926360502814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1</v>
      </c>
      <c r="CF933">
        <v>1</v>
      </c>
    </row>
    <row r="934" spans="1:84" hidden="1" x14ac:dyDescent="0.25">
      <c r="A934" t="s">
        <v>128</v>
      </c>
      <c r="B934" t="s">
        <v>503</v>
      </c>
      <c r="C934" t="s">
        <v>72</v>
      </c>
      <c r="D934" s="12">
        <v>46240</v>
      </c>
      <c r="E934" t="s">
        <v>501</v>
      </c>
      <c r="F934" t="s">
        <v>501</v>
      </c>
      <c r="G934" t="s">
        <v>501</v>
      </c>
      <c r="H934" t="s">
        <v>73</v>
      </c>
      <c r="I934">
        <v>0</v>
      </c>
      <c r="J934">
        <v>2.8594908838071702</v>
      </c>
      <c r="K934">
        <v>46240</v>
      </c>
      <c r="L934" t="s">
        <v>191</v>
      </c>
      <c r="M934">
        <v>0</v>
      </c>
      <c r="N934">
        <v>0</v>
      </c>
      <c r="O934">
        <v>1.6524767801857585</v>
      </c>
      <c r="P934">
        <v>0</v>
      </c>
      <c r="Q934">
        <v>0</v>
      </c>
      <c r="R934">
        <v>0.57789195606234123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0.57789195606234123</v>
      </c>
      <c r="AC934">
        <v>0.42210804393765877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J934">
        <v>0</v>
      </c>
      <c r="BK934">
        <v>0</v>
      </c>
      <c r="BL934">
        <v>1.7304272702008729</v>
      </c>
      <c r="BM934">
        <v>0.73042727020087295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1</v>
      </c>
      <c r="CF934">
        <v>1</v>
      </c>
    </row>
    <row r="935" spans="1:84" hidden="1" x14ac:dyDescent="0.25">
      <c r="A935" t="s">
        <v>128</v>
      </c>
      <c r="B935" t="s">
        <v>503</v>
      </c>
      <c r="C935" t="s">
        <v>72</v>
      </c>
      <c r="D935" s="12">
        <v>46247</v>
      </c>
      <c r="E935" t="s">
        <v>134</v>
      </c>
      <c r="F935" t="s">
        <v>134</v>
      </c>
      <c r="G935" t="s">
        <v>134</v>
      </c>
      <c r="H935" t="s">
        <v>75</v>
      </c>
      <c r="I935">
        <v>10</v>
      </c>
      <c r="J935">
        <v>2.3277085633180885</v>
      </c>
      <c r="K935">
        <v>46247</v>
      </c>
      <c r="L935" t="s">
        <v>161</v>
      </c>
      <c r="M935">
        <v>0</v>
      </c>
      <c r="N935">
        <v>0</v>
      </c>
      <c r="O935">
        <v>3.0449826989619377</v>
      </c>
      <c r="P935">
        <v>0</v>
      </c>
      <c r="Q935">
        <v>0</v>
      </c>
      <c r="R935">
        <v>1.308146022636697</v>
      </c>
      <c r="S935">
        <v>0.30814602263669699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1</v>
      </c>
      <c r="BJ935">
        <v>0</v>
      </c>
      <c r="BK935">
        <v>0</v>
      </c>
      <c r="BL935">
        <v>0.76444065318059951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0.23555934681940049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0.76444065318059951</v>
      </c>
      <c r="CF935">
        <v>0</v>
      </c>
    </row>
    <row r="936" spans="1:84" hidden="1" x14ac:dyDescent="0.25">
      <c r="A936" t="s">
        <v>128</v>
      </c>
      <c r="B936" t="s">
        <v>503</v>
      </c>
      <c r="C936" t="s">
        <v>72</v>
      </c>
      <c r="D936" s="12">
        <v>46240</v>
      </c>
      <c r="E936" t="s">
        <v>501</v>
      </c>
      <c r="F936" t="s">
        <v>501</v>
      </c>
      <c r="G936" t="s">
        <v>501</v>
      </c>
      <c r="H936" t="s">
        <v>74</v>
      </c>
      <c r="I936">
        <v>0</v>
      </c>
      <c r="J936">
        <v>0</v>
      </c>
      <c r="K936">
        <v>46240</v>
      </c>
      <c r="L936" t="s">
        <v>192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F936">
        <v>0</v>
      </c>
    </row>
    <row r="937" spans="1:84" hidden="1" x14ac:dyDescent="0.25">
      <c r="A937" t="s">
        <v>128</v>
      </c>
      <c r="B937" t="s">
        <v>503</v>
      </c>
      <c r="C937" t="s">
        <v>72</v>
      </c>
      <c r="D937" s="12">
        <v>46240</v>
      </c>
      <c r="E937" t="s">
        <v>501</v>
      </c>
      <c r="F937" t="s">
        <v>501</v>
      </c>
      <c r="G937" t="s">
        <v>501</v>
      </c>
      <c r="H937" t="s">
        <v>75</v>
      </c>
      <c r="I937">
        <v>0</v>
      </c>
      <c r="J937">
        <v>0</v>
      </c>
      <c r="K937">
        <v>46240</v>
      </c>
      <c r="L937" t="s">
        <v>210</v>
      </c>
      <c r="M937">
        <v>0</v>
      </c>
      <c r="N937">
        <v>0</v>
      </c>
      <c r="O937">
        <v>0.44472773629575663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F937">
        <v>0</v>
      </c>
    </row>
    <row r="938" spans="1:84" hidden="1" x14ac:dyDescent="0.25">
      <c r="A938" t="s">
        <v>128</v>
      </c>
      <c r="B938" t="s">
        <v>503</v>
      </c>
      <c r="C938" t="s">
        <v>72</v>
      </c>
      <c r="D938" s="12">
        <v>46247</v>
      </c>
      <c r="E938" t="s">
        <v>134</v>
      </c>
      <c r="F938" t="s">
        <v>134</v>
      </c>
      <c r="G938" t="s">
        <v>134</v>
      </c>
      <c r="H938" t="s">
        <v>74</v>
      </c>
      <c r="I938">
        <v>10</v>
      </c>
      <c r="J938">
        <v>1.7587131367292226</v>
      </c>
      <c r="K938">
        <v>46247</v>
      </c>
      <c r="L938" t="s">
        <v>162</v>
      </c>
      <c r="M938">
        <v>0</v>
      </c>
      <c r="N938">
        <v>0</v>
      </c>
      <c r="O938">
        <v>6.2745098039215685E-2</v>
      </c>
      <c r="P938">
        <v>0</v>
      </c>
      <c r="Q938">
        <v>0</v>
      </c>
      <c r="R938">
        <v>3.5676709708273552E-2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3.5676709708273552E-2</v>
      </c>
      <c r="AC938">
        <v>0.96432329029172648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J938">
        <v>0</v>
      </c>
      <c r="BK938">
        <v>0</v>
      </c>
      <c r="BL938">
        <v>28.029490616621985</v>
      </c>
      <c r="BM938">
        <v>27.029490616621985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</row>
    <row r="939" spans="1:84" hidden="1" x14ac:dyDescent="0.25">
      <c r="A939" t="s">
        <v>128</v>
      </c>
      <c r="B939" t="s">
        <v>503</v>
      </c>
      <c r="C939" t="s">
        <v>72</v>
      </c>
      <c r="D939" s="12">
        <v>46241</v>
      </c>
      <c r="E939" t="s">
        <v>501</v>
      </c>
      <c r="F939" t="s">
        <v>501</v>
      </c>
      <c r="G939" t="s">
        <v>501</v>
      </c>
      <c r="H939" t="s">
        <v>73</v>
      </c>
      <c r="I939">
        <v>0</v>
      </c>
      <c r="J939">
        <v>1.906327255871447</v>
      </c>
      <c r="K939">
        <v>46241</v>
      </c>
      <c r="L939" t="s">
        <v>209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</row>
    <row r="940" spans="1:84" hidden="1" x14ac:dyDescent="0.25">
      <c r="A940" t="s">
        <v>128</v>
      </c>
      <c r="B940" t="s">
        <v>503</v>
      </c>
      <c r="C940" t="s">
        <v>72</v>
      </c>
      <c r="D940" s="12">
        <v>46247</v>
      </c>
      <c r="E940" t="s">
        <v>134</v>
      </c>
      <c r="F940" t="s">
        <v>134</v>
      </c>
      <c r="G940" t="s">
        <v>134</v>
      </c>
      <c r="H940" t="s">
        <v>73</v>
      </c>
      <c r="I940">
        <v>10</v>
      </c>
      <c r="J940">
        <v>2.8029490616621993</v>
      </c>
      <c r="K940">
        <v>46247</v>
      </c>
      <c r="L940" t="s">
        <v>174</v>
      </c>
      <c r="M940">
        <v>0</v>
      </c>
      <c r="N940">
        <v>0</v>
      </c>
      <c r="O940">
        <v>2.7058823529411775</v>
      </c>
      <c r="P940">
        <v>0</v>
      </c>
      <c r="Q940">
        <v>0</v>
      </c>
      <c r="R940">
        <v>0.96536979210622564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0.96536979210622564</v>
      </c>
      <c r="AC940">
        <v>3.4630207893774356E-2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1</v>
      </c>
      <c r="BJ940">
        <v>0</v>
      </c>
      <c r="BK940">
        <v>0</v>
      </c>
      <c r="BL940">
        <v>1.0358724793099428</v>
      </c>
      <c r="BM940">
        <v>3.5872479309942751E-2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1</v>
      </c>
      <c r="CF940">
        <v>1</v>
      </c>
    </row>
    <row r="941" spans="1:84" hidden="1" x14ac:dyDescent="0.25">
      <c r="A941" t="s">
        <v>128</v>
      </c>
      <c r="B941" t="s">
        <v>503</v>
      </c>
      <c r="C941" t="s">
        <v>72</v>
      </c>
      <c r="D941" s="12">
        <v>46246</v>
      </c>
      <c r="E941" t="s">
        <v>134</v>
      </c>
      <c r="F941" t="s">
        <v>134</v>
      </c>
      <c r="G941" t="s">
        <v>134</v>
      </c>
      <c r="H941" t="s">
        <v>75</v>
      </c>
      <c r="I941">
        <v>10</v>
      </c>
      <c r="J941">
        <v>2.3277085633180885</v>
      </c>
      <c r="K941">
        <v>46246</v>
      </c>
      <c r="L941" t="s">
        <v>201</v>
      </c>
      <c r="M941">
        <v>0</v>
      </c>
      <c r="N941">
        <v>0</v>
      </c>
      <c r="O941">
        <v>1.3840830449826986</v>
      </c>
      <c r="P941">
        <v>0</v>
      </c>
      <c r="Q941">
        <v>0</v>
      </c>
      <c r="R941">
        <v>0.59461182847122573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0.59461182847122573</v>
      </c>
      <c r="AC941">
        <v>0.40538817152877427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J941">
        <v>0</v>
      </c>
      <c r="BK941">
        <v>0</v>
      </c>
      <c r="BL941">
        <v>1.6817694369973193</v>
      </c>
      <c r="BM941">
        <v>0.68176943699731929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1</v>
      </c>
      <c r="CF941">
        <v>1</v>
      </c>
    </row>
    <row r="942" spans="1:84" hidden="1" x14ac:dyDescent="0.25">
      <c r="A942" t="s">
        <v>128</v>
      </c>
      <c r="B942" t="s">
        <v>503</v>
      </c>
      <c r="C942" t="s">
        <v>72</v>
      </c>
      <c r="D942" s="12">
        <v>46241</v>
      </c>
      <c r="E942" t="s">
        <v>501</v>
      </c>
      <c r="F942" t="s">
        <v>501</v>
      </c>
      <c r="G942" t="s">
        <v>501</v>
      </c>
      <c r="H942" t="s">
        <v>74</v>
      </c>
      <c r="I942">
        <v>0</v>
      </c>
      <c r="J942">
        <v>0</v>
      </c>
      <c r="K942">
        <v>46241</v>
      </c>
      <c r="L942" t="s">
        <v>208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F942">
        <v>0</v>
      </c>
    </row>
    <row r="943" spans="1:84" hidden="1" x14ac:dyDescent="0.25">
      <c r="A943" t="s">
        <v>128</v>
      </c>
      <c r="B943" t="s">
        <v>503</v>
      </c>
      <c r="C943" t="s">
        <v>72</v>
      </c>
      <c r="D943" s="12">
        <v>46246</v>
      </c>
      <c r="E943" t="s">
        <v>134</v>
      </c>
      <c r="F943" t="s">
        <v>134</v>
      </c>
      <c r="G943" t="s">
        <v>134</v>
      </c>
      <c r="H943" t="s">
        <v>74</v>
      </c>
      <c r="I943">
        <v>10</v>
      </c>
      <c r="J943">
        <v>1.7587131367292226</v>
      </c>
      <c r="K943">
        <v>46246</v>
      </c>
      <c r="L943" t="s">
        <v>193</v>
      </c>
      <c r="M943">
        <v>0</v>
      </c>
      <c r="N943">
        <v>0</v>
      </c>
      <c r="O943">
        <v>6.2745098039215685E-2</v>
      </c>
      <c r="P943">
        <v>0</v>
      </c>
      <c r="Q943">
        <v>0</v>
      </c>
      <c r="R943">
        <v>3.5676709708273552E-2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3.5676709708273552E-2</v>
      </c>
      <c r="AC943">
        <v>0.96432329029172648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J943">
        <v>0</v>
      </c>
      <c r="BK943">
        <v>0</v>
      </c>
      <c r="BL943">
        <v>28.029490616621985</v>
      </c>
      <c r="BM943">
        <v>27.029490616621985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</row>
    <row r="944" spans="1:84" hidden="1" x14ac:dyDescent="0.25">
      <c r="A944" t="s">
        <v>128</v>
      </c>
      <c r="B944" t="s">
        <v>503</v>
      </c>
      <c r="C944" t="s">
        <v>72</v>
      </c>
      <c r="D944" s="12">
        <v>46239</v>
      </c>
      <c r="E944" t="s">
        <v>134</v>
      </c>
      <c r="F944" t="s">
        <v>134</v>
      </c>
      <c r="G944" t="s">
        <v>134</v>
      </c>
      <c r="H944" t="s">
        <v>75</v>
      </c>
      <c r="I944">
        <v>10</v>
      </c>
      <c r="J944">
        <v>2.6380697050938338</v>
      </c>
      <c r="K944">
        <v>46239</v>
      </c>
      <c r="L944" t="s">
        <v>175</v>
      </c>
      <c r="M944">
        <v>0</v>
      </c>
      <c r="N944">
        <v>0</v>
      </c>
      <c r="O944">
        <v>2.2113388341762041</v>
      </c>
      <c r="P944">
        <v>0</v>
      </c>
      <c r="Q944">
        <v>0</v>
      </c>
      <c r="R944">
        <v>0.83824124506882536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0.83824124506882536</v>
      </c>
      <c r="AC944">
        <v>0.16175875493117464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1</v>
      </c>
      <c r="BJ944">
        <v>0</v>
      </c>
      <c r="BK944">
        <v>0</v>
      </c>
      <c r="BL944">
        <v>1.1929739867642675</v>
      </c>
      <c r="BM944">
        <v>0.19297398676426747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1</v>
      </c>
      <c r="CF944">
        <v>1</v>
      </c>
    </row>
    <row r="945" spans="1:84" hidden="1" x14ac:dyDescent="0.25">
      <c r="A945" t="s">
        <v>128</v>
      </c>
      <c r="B945" t="s">
        <v>503</v>
      </c>
      <c r="C945" t="s">
        <v>72</v>
      </c>
      <c r="D945" s="12">
        <v>46241</v>
      </c>
      <c r="E945" t="s">
        <v>501</v>
      </c>
      <c r="F945" t="s">
        <v>501</v>
      </c>
      <c r="G945" t="s">
        <v>501</v>
      </c>
      <c r="H945" t="s">
        <v>75</v>
      </c>
      <c r="I945">
        <v>0</v>
      </c>
      <c r="J945">
        <v>0</v>
      </c>
      <c r="K945">
        <v>46241</v>
      </c>
      <c r="L945" t="s">
        <v>207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F945">
        <v>0</v>
      </c>
    </row>
    <row r="946" spans="1:84" hidden="1" x14ac:dyDescent="0.25">
      <c r="A946" t="s">
        <v>128</v>
      </c>
      <c r="B946" t="s">
        <v>503</v>
      </c>
      <c r="C946" t="s">
        <v>72</v>
      </c>
      <c r="D946" s="12">
        <v>46242</v>
      </c>
      <c r="E946" t="s">
        <v>501</v>
      </c>
      <c r="F946" t="s">
        <v>501</v>
      </c>
      <c r="G946" t="s">
        <v>501</v>
      </c>
      <c r="H946" t="s">
        <v>73</v>
      </c>
      <c r="I946">
        <v>0</v>
      </c>
      <c r="J946">
        <v>0.95316362793572351</v>
      </c>
      <c r="K946">
        <v>46242</v>
      </c>
      <c r="L946" t="s">
        <v>206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</row>
    <row r="947" spans="1:84" hidden="1" x14ac:dyDescent="0.25">
      <c r="A947" t="s">
        <v>128</v>
      </c>
      <c r="B947" t="s">
        <v>503</v>
      </c>
      <c r="C947" t="s">
        <v>72</v>
      </c>
      <c r="D947" s="12">
        <v>46242</v>
      </c>
      <c r="E947" t="s">
        <v>501</v>
      </c>
      <c r="F947" t="s">
        <v>501</v>
      </c>
      <c r="G947" t="s">
        <v>501</v>
      </c>
      <c r="H947" t="s">
        <v>74</v>
      </c>
      <c r="I947">
        <v>0</v>
      </c>
      <c r="J947">
        <v>0</v>
      </c>
      <c r="K947">
        <v>46242</v>
      </c>
      <c r="L947" t="s">
        <v>205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F947">
        <v>0</v>
      </c>
    </row>
    <row r="948" spans="1:84" hidden="1" x14ac:dyDescent="0.25">
      <c r="A948" t="s">
        <v>128</v>
      </c>
      <c r="B948" t="s">
        <v>503</v>
      </c>
      <c r="C948" t="s">
        <v>72</v>
      </c>
      <c r="D948" s="12">
        <v>46245</v>
      </c>
      <c r="E948" t="s">
        <v>134</v>
      </c>
      <c r="F948" t="s">
        <v>134</v>
      </c>
      <c r="G948" t="s">
        <v>134</v>
      </c>
      <c r="H948" t="s">
        <v>75</v>
      </c>
      <c r="I948">
        <v>10</v>
      </c>
      <c r="J948">
        <v>2.6380697050938338</v>
      </c>
      <c r="K948">
        <v>46245</v>
      </c>
      <c r="L948" t="s">
        <v>195</v>
      </c>
      <c r="M948">
        <v>0</v>
      </c>
      <c r="N948">
        <v>0</v>
      </c>
      <c r="O948">
        <v>1.2179930795847749</v>
      </c>
      <c r="P948">
        <v>0</v>
      </c>
      <c r="Q948">
        <v>0</v>
      </c>
      <c r="R948">
        <v>0.46169859622471648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0.46169859622471648</v>
      </c>
      <c r="AC948">
        <v>0.53830140377528357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J948">
        <v>0</v>
      </c>
      <c r="BK948">
        <v>0</v>
      </c>
      <c r="BL948">
        <v>2.1659151840116992</v>
      </c>
      <c r="BM948">
        <v>1.1659151840116992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1</v>
      </c>
      <c r="CF948">
        <v>1</v>
      </c>
    </row>
    <row r="949" spans="1:84" hidden="1" x14ac:dyDescent="0.25">
      <c r="A949" t="s">
        <v>128</v>
      </c>
      <c r="B949" t="s">
        <v>503</v>
      </c>
      <c r="C949" t="s">
        <v>72</v>
      </c>
      <c r="D949" s="12">
        <v>46245</v>
      </c>
      <c r="E949" t="s">
        <v>134</v>
      </c>
      <c r="F949" t="s">
        <v>134</v>
      </c>
      <c r="G949" t="s">
        <v>134</v>
      </c>
      <c r="H949" t="s">
        <v>74</v>
      </c>
      <c r="I949">
        <v>10</v>
      </c>
      <c r="J949">
        <v>1.7587131367292226</v>
      </c>
      <c r="K949">
        <v>46245</v>
      </c>
      <c r="L949" t="s">
        <v>196</v>
      </c>
      <c r="M949">
        <v>0</v>
      </c>
      <c r="N949">
        <v>0</v>
      </c>
      <c r="O949">
        <v>6.2745098039215685E-2</v>
      </c>
      <c r="P949">
        <v>0</v>
      </c>
      <c r="Q949">
        <v>0</v>
      </c>
      <c r="R949">
        <v>3.5676709708273552E-2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3.5676709708273552E-2</v>
      </c>
      <c r="AC949">
        <v>0.96432329029172648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J949">
        <v>0</v>
      </c>
      <c r="BK949">
        <v>0</v>
      </c>
      <c r="BL949">
        <v>28.029490616621985</v>
      </c>
      <c r="BM949">
        <v>27.029490616621985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 spans="1:84" hidden="1" x14ac:dyDescent="0.25">
      <c r="A950" t="s">
        <v>128</v>
      </c>
      <c r="B950" t="s">
        <v>503</v>
      </c>
      <c r="C950" t="s">
        <v>72</v>
      </c>
      <c r="D950" s="12">
        <v>46242</v>
      </c>
      <c r="E950" t="s">
        <v>501</v>
      </c>
      <c r="F950" t="s">
        <v>501</v>
      </c>
      <c r="G950" t="s">
        <v>501</v>
      </c>
      <c r="H950" t="s">
        <v>75</v>
      </c>
      <c r="I950">
        <v>0</v>
      </c>
      <c r="J950">
        <v>0</v>
      </c>
      <c r="K950">
        <v>46242</v>
      </c>
      <c r="L950" t="s">
        <v>204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F950">
        <v>0</v>
      </c>
    </row>
    <row r="951" spans="1:84" hidden="1" x14ac:dyDescent="0.25">
      <c r="A951" t="s">
        <v>128</v>
      </c>
      <c r="B951" t="s">
        <v>503</v>
      </c>
      <c r="C951" t="s">
        <v>72</v>
      </c>
      <c r="D951" s="12">
        <v>46245</v>
      </c>
      <c r="E951" t="s">
        <v>134</v>
      </c>
      <c r="F951" t="s">
        <v>134</v>
      </c>
      <c r="G951" t="s">
        <v>134</v>
      </c>
      <c r="H951" t="s">
        <v>73</v>
      </c>
      <c r="I951">
        <v>10</v>
      </c>
      <c r="J951">
        <v>1.4014745308310994</v>
      </c>
      <c r="K951">
        <v>46245</v>
      </c>
      <c r="L951" t="s">
        <v>197</v>
      </c>
      <c r="M951">
        <v>0</v>
      </c>
      <c r="N951">
        <v>0</v>
      </c>
      <c r="O951">
        <v>3.1470588235294112</v>
      </c>
      <c r="P951">
        <v>0</v>
      </c>
      <c r="Q951">
        <v>0</v>
      </c>
      <c r="R951">
        <v>2.2455340816383935</v>
      </c>
      <c r="S951">
        <v>1.2455340816383935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I951">
        <v>1</v>
      </c>
      <c r="BJ951">
        <v>0</v>
      </c>
      <c r="BK951">
        <v>0</v>
      </c>
      <c r="BL951">
        <v>0.44532835559119055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0.55467164440880945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0.44532835559119055</v>
      </c>
      <c r="CF951">
        <v>0</v>
      </c>
    </row>
    <row r="952" spans="1:84" hidden="1" x14ac:dyDescent="0.25">
      <c r="A952" t="s">
        <v>128</v>
      </c>
      <c r="B952" t="s">
        <v>503</v>
      </c>
      <c r="C952" t="s">
        <v>72</v>
      </c>
      <c r="D952" s="12">
        <v>46243</v>
      </c>
      <c r="E952" t="s">
        <v>501</v>
      </c>
      <c r="F952" t="s">
        <v>501</v>
      </c>
      <c r="G952" t="s">
        <v>501</v>
      </c>
      <c r="H952" t="s">
        <v>73</v>
      </c>
      <c r="I952">
        <v>0</v>
      </c>
      <c r="J952">
        <v>0.95316362793572373</v>
      </c>
      <c r="K952">
        <v>46243</v>
      </c>
      <c r="L952" t="s">
        <v>203</v>
      </c>
      <c r="M952">
        <v>0</v>
      </c>
      <c r="N952">
        <v>0</v>
      </c>
      <c r="O952">
        <v>0.82352941176470595</v>
      </c>
      <c r="P952">
        <v>0</v>
      </c>
      <c r="Q952">
        <v>0</v>
      </c>
      <c r="R952">
        <v>0.86399584250631978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0.86399584250631978</v>
      </c>
      <c r="AC952">
        <v>0.13600415749368022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J952">
        <v>0</v>
      </c>
      <c r="BK952">
        <v>0</v>
      </c>
      <c r="BL952">
        <v>1.1574129767790931</v>
      </c>
      <c r="BM952">
        <v>0.15741297677909305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</row>
    <row r="953" spans="1:84" hidden="1" x14ac:dyDescent="0.25">
      <c r="A953" t="s">
        <v>128</v>
      </c>
      <c r="B953" t="s">
        <v>503</v>
      </c>
      <c r="C953" t="s">
        <v>72</v>
      </c>
      <c r="D953" s="12">
        <v>46244</v>
      </c>
      <c r="E953" t="s">
        <v>134</v>
      </c>
      <c r="F953" t="s">
        <v>134</v>
      </c>
      <c r="G953" t="s">
        <v>134</v>
      </c>
      <c r="H953" t="s">
        <v>75</v>
      </c>
      <c r="I953">
        <v>10</v>
      </c>
      <c r="J953">
        <v>2.6380697050938342</v>
      </c>
      <c r="K953">
        <v>46244</v>
      </c>
      <c r="L953" t="s">
        <v>198</v>
      </c>
      <c r="M953">
        <v>0</v>
      </c>
      <c r="N953">
        <v>0</v>
      </c>
      <c r="O953">
        <v>1.3840830449826986</v>
      </c>
      <c r="P953">
        <v>0</v>
      </c>
      <c r="Q953">
        <v>0</v>
      </c>
      <c r="R953">
        <v>0.52465749570990494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0.52465749570990494</v>
      </c>
      <c r="AC953">
        <v>0.47534250429009506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1</v>
      </c>
      <c r="BJ953">
        <v>0</v>
      </c>
      <c r="BK953">
        <v>0</v>
      </c>
      <c r="BL953">
        <v>1.9060053619302957</v>
      </c>
      <c r="BM953">
        <v>0.90600536193029568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1</v>
      </c>
      <c r="CF953">
        <v>1</v>
      </c>
    </row>
    <row r="954" spans="1:84" hidden="1" x14ac:dyDescent="0.25">
      <c r="A954" t="s">
        <v>128</v>
      </c>
      <c r="B954" t="s">
        <v>503</v>
      </c>
      <c r="C954" t="s">
        <v>72</v>
      </c>
      <c r="D954" s="12">
        <v>46243</v>
      </c>
      <c r="E954" t="s">
        <v>501</v>
      </c>
      <c r="F954" t="s">
        <v>501</v>
      </c>
      <c r="G954" t="s">
        <v>501</v>
      </c>
      <c r="H954" t="s">
        <v>74</v>
      </c>
      <c r="I954">
        <v>0</v>
      </c>
      <c r="J954">
        <v>0</v>
      </c>
      <c r="K954">
        <v>46243</v>
      </c>
      <c r="L954" t="s">
        <v>211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F954">
        <v>0</v>
      </c>
    </row>
    <row r="955" spans="1:84" hidden="1" x14ac:dyDescent="0.25">
      <c r="A955" t="s">
        <v>128</v>
      </c>
      <c r="B955" t="s">
        <v>503</v>
      </c>
      <c r="C955" t="s">
        <v>72</v>
      </c>
      <c r="D955" s="12">
        <v>46243</v>
      </c>
      <c r="E955" t="s">
        <v>501</v>
      </c>
      <c r="F955" t="s">
        <v>501</v>
      </c>
      <c r="G955" t="s">
        <v>501</v>
      </c>
      <c r="H955" t="s">
        <v>75</v>
      </c>
      <c r="I955">
        <v>0</v>
      </c>
      <c r="J955">
        <v>0</v>
      </c>
      <c r="K955">
        <v>46243</v>
      </c>
      <c r="L955" t="s">
        <v>202</v>
      </c>
      <c r="M955">
        <v>0</v>
      </c>
      <c r="N955">
        <v>0</v>
      </c>
      <c r="O955">
        <v>0.16608996539792387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F955">
        <v>0</v>
      </c>
    </row>
    <row r="956" spans="1:84" hidden="1" x14ac:dyDescent="0.25">
      <c r="A956" t="s">
        <v>128</v>
      </c>
      <c r="B956" t="s">
        <v>503</v>
      </c>
      <c r="C956" t="s">
        <v>72</v>
      </c>
      <c r="D956" s="12">
        <v>46244</v>
      </c>
      <c r="E956" t="s">
        <v>134</v>
      </c>
      <c r="F956" t="s">
        <v>134</v>
      </c>
      <c r="G956" t="s">
        <v>134</v>
      </c>
      <c r="H956" t="s">
        <v>74</v>
      </c>
      <c r="I956">
        <v>10</v>
      </c>
      <c r="J956">
        <v>1.7587131367292226</v>
      </c>
      <c r="K956">
        <v>46244</v>
      </c>
      <c r="L956" t="s">
        <v>199</v>
      </c>
      <c r="M956">
        <v>0</v>
      </c>
      <c r="N956">
        <v>0</v>
      </c>
      <c r="O956">
        <v>6.2745098039215685E-2</v>
      </c>
      <c r="P956">
        <v>0</v>
      </c>
      <c r="Q956">
        <v>0</v>
      </c>
      <c r="R956">
        <v>3.5676709708273552E-2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3.5676709708273552E-2</v>
      </c>
      <c r="AC956">
        <v>0.96432329029172648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J956">
        <v>0</v>
      </c>
      <c r="BK956">
        <v>0</v>
      </c>
      <c r="BL956">
        <v>28.029490616621985</v>
      </c>
      <c r="BM956">
        <v>27.029490616621985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 spans="1:84" hidden="1" x14ac:dyDescent="0.25">
      <c r="A957" t="s">
        <v>128</v>
      </c>
      <c r="B957" t="s">
        <v>503</v>
      </c>
      <c r="C957" t="s">
        <v>72</v>
      </c>
      <c r="D957" s="12">
        <v>46246</v>
      </c>
      <c r="E957" t="s">
        <v>134</v>
      </c>
      <c r="F957" t="s">
        <v>134</v>
      </c>
      <c r="G957" t="s">
        <v>134</v>
      </c>
      <c r="H957" t="s">
        <v>73</v>
      </c>
      <c r="I957">
        <v>10</v>
      </c>
      <c r="J957">
        <v>2.8029490616621988</v>
      </c>
      <c r="K957">
        <v>46246</v>
      </c>
      <c r="L957" t="s">
        <v>194</v>
      </c>
      <c r="M957">
        <v>0</v>
      </c>
      <c r="N957">
        <v>0</v>
      </c>
      <c r="O957">
        <v>3.2205882352941169</v>
      </c>
      <c r="P957">
        <v>0</v>
      </c>
      <c r="Q957">
        <v>0</v>
      </c>
      <c r="R957">
        <v>1.1489999156046919</v>
      </c>
      <c r="S957">
        <v>0.14899991560469195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1</v>
      </c>
      <c r="BJ957">
        <v>0</v>
      </c>
      <c r="BK957">
        <v>0</v>
      </c>
      <c r="BL957">
        <v>0.87032208307319436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0.12967791692680564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0.87032208307319436</v>
      </c>
      <c r="CF957">
        <v>0</v>
      </c>
    </row>
    <row r="958" spans="1:84" hidden="1" x14ac:dyDescent="0.25">
      <c r="A958" t="s">
        <v>128</v>
      </c>
      <c r="B958" t="s">
        <v>503</v>
      </c>
      <c r="C958" t="s">
        <v>72</v>
      </c>
      <c r="D958" s="12">
        <v>46248</v>
      </c>
      <c r="E958" t="s">
        <v>501</v>
      </c>
      <c r="F958" t="s">
        <v>501</v>
      </c>
      <c r="G958" t="s">
        <v>501</v>
      </c>
      <c r="H958" t="s">
        <v>75</v>
      </c>
      <c r="I958">
        <v>0</v>
      </c>
      <c r="J958">
        <v>0</v>
      </c>
      <c r="K958">
        <v>46248</v>
      </c>
      <c r="L958" t="s">
        <v>156</v>
      </c>
      <c r="M958">
        <v>0</v>
      </c>
      <c r="N958">
        <v>0</v>
      </c>
      <c r="O958">
        <v>0.16608996539792387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F958">
        <v>0</v>
      </c>
    </row>
    <row r="959" spans="1:84" hidden="1" x14ac:dyDescent="0.25">
      <c r="A959" t="s">
        <v>128</v>
      </c>
      <c r="B959" t="s">
        <v>503</v>
      </c>
      <c r="C959" t="s">
        <v>72</v>
      </c>
      <c r="D959" s="12">
        <v>46239</v>
      </c>
      <c r="E959" t="s">
        <v>134</v>
      </c>
      <c r="F959" t="s">
        <v>134</v>
      </c>
      <c r="G959" t="s">
        <v>134</v>
      </c>
      <c r="H959" t="s">
        <v>74</v>
      </c>
      <c r="I959">
        <v>10</v>
      </c>
      <c r="J959">
        <v>1.7587131367292226</v>
      </c>
      <c r="K959">
        <v>46239</v>
      </c>
      <c r="L959" t="s">
        <v>176</v>
      </c>
      <c r="M959">
        <v>0</v>
      </c>
      <c r="N959">
        <v>0</v>
      </c>
      <c r="O959">
        <v>6.2745098039215685E-2</v>
      </c>
      <c r="P959">
        <v>0</v>
      </c>
      <c r="Q959">
        <v>0</v>
      </c>
      <c r="R959">
        <v>3.5676709708273552E-2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3.5676709708273552E-2</v>
      </c>
      <c r="AC959">
        <v>0.96432329029172648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J959">
        <v>0</v>
      </c>
      <c r="BK959">
        <v>0</v>
      </c>
      <c r="BL959">
        <v>28.029490616621985</v>
      </c>
      <c r="BM959">
        <v>27.029490616621985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</row>
    <row r="960" spans="1:84" hidden="1" x14ac:dyDescent="0.25">
      <c r="A960" t="s">
        <v>128</v>
      </c>
      <c r="B960" t="s">
        <v>503</v>
      </c>
      <c r="C960" t="s">
        <v>72</v>
      </c>
      <c r="D960" s="12">
        <v>46249</v>
      </c>
      <c r="E960" t="s">
        <v>501</v>
      </c>
      <c r="F960" t="s">
        <v>501</v>
      </c>
      <c r="G960" t="s">
        <v>501</v>
      </c>
      <c r="H960" t="s">
        <v>73</v>
      </c>
      <c r="I960">
        <v>0</v>
      </c>
      <c r="J960">
        <v>0</v>
      </c>
      <c r="K960">
        <v>46249</v>
      </c>
      <c r="L960" t="s">
        <v>155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F960">
        <v>0</v>
      </c>
    </row>
    <row r="961" spans="1:84" hidden="1" x14ac:dyDescent="0.25">
      <c r="A961" t="s">
        <v>128</v>
      </c>
      <c r="B961" t="s">
        <v>503</v>
      </c>
      <c r="C961" t="s">
        <v>72</v>
      </c>
      <c r="D961" s="12">
        <v>46225</v>
      </c>
      <c r="E961" t="s">
        <v>134</v>
      </c>
      <c r="F961" t="s">
        <v>134</v>
      </c>
      <c r="G961" t="s">
        <v>134</v>
      </c>
      <c r="H961" t="s">
        <v>75</v>
      </c>
      <c r="I961">
        <v>10</v>
      </c>
      <c r="J961">
        <v>2.6380697050938338</v>
      </c>
      <c r="K961">
        <v>46225</v>
      </c>
      <c r="L961" t="s">
        <v>212</v>
      </c>
      <c r="M961">
        <v>4.75</v>
      </c>
      <c r="N961">
        <v>4.75</v>
      </c>
      <c r="O961">
        <v>1.8823529411764703</v>
      </c>
      <c r="P961">
        <v>1.8005589430894309</v>
      </c>
      <c r="Q961">
        <v>1.8005589430894309</v>
      </c>
      <c r="R961">
        <v>0.71353419416547093</v>
      </c>
      <c r="S961">
        <v>0</v>
      </c>
      <c r="T961">
        <v>0</v>
      </c>
      <c r="U961">
        <v>0.55055894308943087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0.25</v>
      </c>
      <c r="AB961">
        <v>0</v>
      </c>
      <c r="AC961">
        <v>0</v>
      </c>
      <c r="AD961">
        <v>0</v>
      </c>
      <c r="AE961">
        <v>0.28646580583452907</v>
      </c>
      <c r="AF961">
        <v>0</v>
      </c>
      <c r="AG961">
        <v>0.71353419416547093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0.55538309580922818</v>
      </c>
      <c r="AN961">
        <v>0.55538309580922818</v>
      </c>
      <c r="AO961">
        <v>0.3962848297213622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0.44461690419077182</v>
      </c>
      <c r="BA961">
        <v>0</v>
      </c>
      <c r="BB961">
        <v>0.15909826608786598</v>
      </c>
      <c r="BC961">
        <v>0</v>
      </c>
      <c r="BD961">
        <v>0.3962848297213622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2.5234375000000004</v>
      </c>
      <c r="BK961">
        <v>2.5234375000000004</v>
      </c>
      <c r="BL961">
        <v>1.4014745308310994</v>
      </c>
      <c r="CC961">
        <v>0</v>
      </c>
      <c r="CD961">
        <v>0</v>
      </c>
      <c r="CE961">
        <v>0</v>
      </c>
    </row>
    <row r="962" spans="1:84" hidden="1" x14ac:dyDescent="0.25">
      <c r="A962" t="s">
        <v>128</v>
      </c>
      <c r="B962" t="s">
        <v>503</v>
      </c>
      <c r="C962" t="s">
        <v>72</v>
      </c>
      <c r="D962" s="12">
        <v>46234</v>
      </c>
      <c r="E962" t="s">
        <v>134</v>
      </c>
      <c r="F962" t="s">
        <v>134</v>
      </c>
      <c r="G962" t="s">
        <v>134</v>
      </c>
      <c r="H962" t="s">
        <v>73</v>
      </c>
      <c r="I962">
        <v>10</v>
      </c>
      <c r="J962">
        <v>5.2761394101876693</v>
      </c>
      <c r="K962">
        <v>46234</v>
      </c>
      <c r="L962" t="s">
        <v>213</v>
      </c>
      <c r="M962">
        <v>3.8</v>
      </c>
      <c r="N962">
        <v>3.8</v>
      </c>
      <c r="O962">
        <v>1.9131433823529425</v>
      </c>
      <c r="P962">
        <v>0.72022357723577213</v>
      </c>
      <c r="Q962">
        <v>0.72022357723577213</v>
      </c>
      <c r="R962">
        <v>0.36260288700083704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0.27977642276422787</v>
      </c>
      <c r="AD962">
        <v>0</v>
      </c>
      <c r="AE962">
        <v>0.35762069023493509</v>
      </c>
      <c r="AF962">
        <v>0</v>
      </c>
      <c r="AG962">
        <v>0.36260288700083704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1.3884577395230708</v>
      </c>
      <c r="AN962">
        <v>1.3884577395230708</v>
      </c>
      <c r="AO962">
        <v>0.50345878482972173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0.38845773952307083</v>
      </c>
      <c r="AY962">
        <v>0</v>
      </c>
      <c r="AZ962">
        <v>0</v>
      </c>
      <c r="BA962">
        <v>0</v>
      </c>
      <c r="BB962">
        <v>0.49654121517027827</v>
      </c>
      <c r="BC962">
        <v>0</v>
      </c>
      <c r="BD962">
        <v>0.50345878482972173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1.986259908719672</v>
      </c>
      <c r="BK962">
        <v>1.986259908719672</v>
      </c>
      <c r="BL962">
        <v>2.757837942966217</v>
      </c>
      <c r="CC962">
        <v>0</v>
      </c>
      <c r="CD962">
        <v>0</v>
      </c>
      <c r="CE962">
        <v>0</v>
      </c>
    </row>
    <row r="963" spans="1:84" hidden="1" x14ac:dyDescent="0.25">
      <c r="A963" t="s">
        <v>128</v>
      </c>
      <c r="B963" t="s">
        <v>503</v>
      </c>
      <c r="C963" t="s">
        <v>72</v>
      </c>
      <c r="D963" s="12">
        <v>46226</v>
      </c>
      <c r="E963" t="s">
        <v>134</v>
      </c>
      <c r="F963" t="s">
        <v>134</v>
      </c>
      <c r="G963" t="s">
        <v>134</v>
      </c>
      <c r="H963" t="s">
        <v>73</v>
      </c>
      <c r="I963">
        <v>10</v>
      </c>
      <c r="J963">
        <v>1.4014745308310994</v>
      </c>
      <c r="K963">
        <v>46226</v>
      </c>
      <c r="L963" t="s">
        <v>229</v>
      </c>
      <c r="M963">
        <v>2.8499999999999996</v>
      </c>
      <c r="N963">
        <v>2.8499999999999996</v>
      </c>
      <c r="O963">
        <v>1.7647058823529416</v>
      </c>
      <c r="P963">
        <v>2.0335724533715918</v>
      </c>
      <c r="Q963">
        <v>2.0335724533715918</v>
      </c>
      <c r="R963">
        <v>1.2591779897037725</v>
      </c>
      <c r="S963">
        <v>0</v>
      </c>
      <c r="T963">
        <v>0</v>
      </c>
      <c r="U963">
        <v>0.77439446366781928</v>
      </c>
      <c r="V963">
        <v>0</v>
      </c>
      <c r="W963">
        <v>9.1779897037724822E-3</v>
      </c>
      <c r="X963">
        <v>0</v>
      </c>
      <c r="Y963">
        <v>0.25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0.49174544941442089</v>
      </c>
      <c r="AN963">
        <v>0.49174544941442089</v>
      </c>
      <c r="AO963">
        <v>0.61919504643962875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0.38080495356037125</v>
      </c>
      <c r="BA963">
        <v>0</v>
      </c>
      <c r="BB963">
        <v>0</v>
      </c>
      <c r="BC963">
        <v>0</v>
      </c>
      <c r="BD963">
        <v>0.49174544941442089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1.6149999999999995</v>
      </c>
      <c r="BK963">
        <v>1.6149999999999995</v>
      </c>
      <c r="BL963">
        <v>0.79416890080428948</v>
      </c>
      <c r="CC963">
        <v>0</v>
      </c>
      <c r="CD963">
        <v>0</v>
      </c>
      <c r="CE963">
        <v>0</v>
      </c>
    </row>
    <row r="964" spans="1:84" hidden="1" x14ac:dyDescent="0.25">
      <c r="A964" t="s">
        <v>128</v>
      </c>
      <c r="B964" t="s">
        <v>503</v>
      </c>
      <c r="C964" t="s">
        <v>72</v>
      </c>
      <c r="D964" s="12">
        <v>46226</v>
      </c>
      <c r="E964" t="s">
        <v>134</v>
      </c>
      <c r="F964" t="s">
        <v>134</v>
      </c>
      <c r="G964" t="s">
        <v>134</v>
      </c>
      <c r="H964" t="s">
        <v>74</v>
      </c>
      <c r="I964">
        <v>10</v>
      </c>
      <c r="J964">
        <v>1.7587131367292226</v>
      </c>
      <c r="K964">
        <v>46226</v>
      </c>
      <c r="L964" t="s">
        <v>228</v>
      </c>
      <c r="M964">
        <v>0</v>
      </c>
      <c r="N964">
        <v>0</v>
      </c>
      <c r="O964">
        <v>6.2745098039215685E-2</v>
      </c>
      <c r="P964">
        <v>0</v>
      </c>
      <c r="Q964">
        <v>0</v>
      </c>
      <c r="R964">
        <v>3.5676709708273552E-2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3.5676709708273552E-2</v>
      </c>
      <c r="AC964">
        <v>0.96432329029172648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J964">
        <v>0</v>
      </c>
      <c r="BK964">
        <v>0</v>
      </c>
      <c r="BL964">
        <v>28.029490616621985</v>
      </c>
      <c r="BM964">
        <v>27.029490616621985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</row>
    <row r="965" spans="1:84" hidden="1" x14ac:dyDescent="0.25">
      <c r="A965" t="s">
        <v>128</v>
      </c>
      <c r="B965" t="s">
        <v>503</v>
      </c>
      <c r="C965" t="s">
        <v>72</v>
      </c>
      <c r="D965" s="12">
        <v>46233</v>
      </c>
      <c r="E965" t="s">
        <v>134</v>
      </c>
      <c r="F965" t="s">
        <v>134</v>
      </c>
      <c r="G965" t="s">
        <v>134</v>
      </c>
      <c r="H965" t="s">
        <v>75</v>
      </c>
      <c r="I965">
        <v>10</v>
      </c>
      <c r="J965">
        <v>2.3277085633180885</v>
      </c>
      <c r="K965">
        <v>46233</v>
      </c>
      <c r="L965" t="s">
        <v>233</v>
      </c>
      <c r="M965">
        <v>3.8</v>
      </c>
      <c r="N965">
        <v>3.8</v>
      </c>
      <c r="O965">
        <v>2.0635813148788924</v>
      </c>
      <c r="P965">
        <v>1.6325067750677507</v>
      </c>
      <c r="Q965">
        <v>1.6325067750677507</v>
      </c>
      <c r="R965">
        <v>0.88652907301131822</v>
      </c>
      <c r="S965">
        <v>0</v>
      </c>
      <c r="T965">
        <v>0</v>
      </c>
      <c r="U965">
        <v>0.38250677506775066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0.25</v>
      </c>
      <c r="AB965">
        <v>0</v>
      </c>
      <c r="AC965">
        <v>0</v>
      </c>
      <c r="AD965">
        <v>0</v>
      </c>
      <c r="AE965">
        <v>0.11347092698868178</v>
      </c>
      <c r="AF965">
        <v>0</v>
      </c>
      <c r="AG965">
        <v>0.88652907301131822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0.61255488508370748</v>
      </c>
      <c r="AN965">
        <v>0.61255488508370748</v>
      </c>
      <c r="AO965">
        <v>0.54304771444181377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0.38744511491629252</v>
      </c>
      <c r="BA965">
        <v>0</v>
      </c>
      <c r="BB965">
        <v>6.9507170641893712E-2</v>
      </c>
      <c r="BC965">
        <v>0</v>
      </c>
      <c r="BD965">
        <v>0.54304771444181377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1.8414588136658983</v>
      </c>
      <c r="BK965">
        <v>1.8414588136658983</v>
      </c>
      <c r="BL965">
        <v>1.1279945919914947</v>
      </c>
      <c r="CC965">
        <v>0</v>
      </c>
      <c r="CD965">
        <v>0</v>
      </c>
      <c r="CE965">
        <v>0</v>
      </c>
    </row>
    <row r="966" spans="1:84" hidden="1" x14ac:dyDescent="0.25">
      <c r="A966" t="s">
        <v>128</v>
      </c>
      <c r="B966" t="s">
        <v>503</v>
      </c>
      <c r="C966" t="s">
        <v>72</v>
      </c>
      <c r="D966" s="12">
        <v>46226</v>
      </c>
      <c r="E966" t="s">
        <v>134</v>
      </c>
      <c r="F966" t="s">
        <v>134</v>
      </c>
      <c r="G966" t="s">
        <v>134</v>
      </c>
      <c r="H966" t="s">
        <v>75</v>
      </c>
      <c r="I966">
        <v>10</v>
      </c>
      <c r="J966">
        <v>2.3277085633180881</v>
      </c>
      <c r="K966">
        <v>46226</v>
      </c>
      <c r="L966" t="s">
        <v>227</v>
      </c>
      <c r="M966">
        <v>3.8</v>
      </c>
      <c r="N966">
        <v>3.8</v>
      </c>
      <c r="O966">
        <v>2.0484429065743943</v>
      </c>
      <c r="P966">
        <v>1.6325067750677511</v>
      </c>
      <c r="Q966">
        <v>1.6325067750677511</v>
      </c>
      <c r="R966">
        <v>0.88002550613741448</v>
      </c>
      <c r="S966">
        <v>0</v>
      </c>
      <c r="T966">
        <v>0</v>
      </c>
      <c r="U966">
        <v>0.3825067750677511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0.25</v>
      </c>
      <c r="AB966">
        <v>0</v>
      </c>
      <c r="AC966">
        <v>0</v>
      </c>
      <c r="AD966">
        <v>0</v>
      </c>
      <c r="AE966">
        <v>0.11997449386258552</v>
      </c>
      <c r="AF966">
        <v>0</v>
      </c>
      <c r="AG966">
        <v>0.88002550613741448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0.61255488508370737</v>
      </c>
      <c r="AN966">
        <v>0.61255488508370737</v>
      </c>
      <c r="AO966">
        <v>0.53906392278273541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0.38744511491629263</v>
      </c>
      <c r="BA966">
        <v>0</v>
      </c>
      <c r="BB966">
        <v>7.3490962300971963E-2</v>
      </c>
      <c r="BC966">
        <v>0</v>
      </c>
      <c r="BD966">
        <v>0.53906392278273541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1.8550675675675676</v>
      </c>
      <c r="BK966">
        <v>1.8550675675675676</v>
      </c>
      <c r="BL966">
        <v>1.1363307006738641</v>
      </c>
      <c r="CC966">
        <v>0</v>
      </c>
      <c r="CD966">
        <v>0</v>
      </c>
      <c r="CE966">
        <v>0</v>
      </c>
    </row>
    <row r="967" spans="1:84" hidden="1" x14ac:dyDescent="0.25">
      <c r="A967" t="s">
        <v>128</v>
      </c>
      <c r="B967" t="s">
        <v>503</v>
      </c>
      <c r="C967" t="s">
        <v>72</v>
      </c>
      <c r="D967" s="12">
        <v>46233</v>
      </c>
      <c r="E967" t="s">
        <v>134</v>
      </c>
      <c r="F967" t="s">
        <v>134</v>
      </c>
      <c r="G967" t="s">
        <v>134</v>
      </c>
      <c r="H967" t="s">
        <v>74</v>
      </c>
      <c r="I967">
        <v>10</v>
      </c>
      <c r="J967">
        <v>1.7587131367292226</v>
      </c>
      <c r="K967">
        <v>46233</v>
      </c>
      <c r="L967" t="s">
        <v>234</v>
      </c>
      <c r="M967">
        <v>0</v>
      </c>
      <c r="N967">
        <v>0</v>
      </c>
      <c r="O967">
        <v>1.0127450980392154</v>
      </c>
      <c r="P967">
        <v>0</v>
      </c>
      <c r="Q967">
        <v>0</v>
      </c>
      <c r="R967">
        <v>0.57584439263510268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0.57584439263510268</v>
      </c>
      <c r="AC967">
        <v>0.42415560736489732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J967">
        <v>0</v>
      </c>
      <c r="BK967">
        <v>0</v>
      </c>
      <c r="BL967">
        <v>1.7365802511750315</v>
      </c>
      <c r="BM967">
        <v>0.73658025117503145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1</v>
      </c>
    </row>
    <row r="968" spans="1:84" hidden="1" x14ac:dyDescent="0.25">
      <c r="A968" t="s">
        <v>128</v>
      </c>
      <c r="B968" t="s">
        <v>503</v>
      </c>
      <c r="C968" t="s">
        <v>72</v>
      </c>
      <c r="D968" s="12">
        <v>46227</v>
      </c>
      <c r="E968" t="s">
        <v>134</v>
      </c>
      <c r="F968" t="s">
        <v>134</v>
      </c>
      <c r="G968" t="s">
        <v>134</v>
      </c>
      <c r="H968" t="s">
        <v>73</v>
      </c>
      <c r="I968">
        <v>10</v>
      </c>
      <c r="J968">
        <v>5.6058981233243985</v>
      </c>
      <c r="K968">
        <v>46227</v>
      </c>
      <c r="L968" t="s">
        <v>226</v>
      </c>
      <c r="M968">
        <v>2.8499999999999996</v>
      </c>
      <c r="N968">
        <v>2.8499999999999996</v>
      </c>
      <c r="O968">
        <v>1.7647058823529416</v>
      </c>
      <c r="P968">
        <v>0.50839311334289794</v>
      </c>
      <c r="Q968">
        <v>0.50839311334289794</v>
      </c>
      <c r="R968">
        <v>0.31479449742594307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0.49160688665710206</v>
      </c>
      <c r="AD968">
        <v>0</v>
      </c>
      <c r="AE968">
        <v>0.19359861591695487</v>
      </c>
      <c r="AF968">
        <v>0</v>
      </c>
      <c r="AG968">
        <v>0.31479449742594307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1.966981797657684</v>
      </c>
      <c r="AN968">
        <v>1.966981797657684</v>
      </c>
      <c r="AO968">
        <v>0.61919504643962875</v>
      </c>
      <c r="BF968">
        <v>0</v>
      </c>
      <c r="BG968">
        <v>0</v>
      </c>
      <c r="BH968">
        <v>0</v>
      </c>
      <c r="BJ968">
        <v>1.6149999999999995</v>
      </c>
      <c r="BK968">
        <v>1.6149999999999995</v>
      </c>
      <c r="BL968">
        <v>3.1766756032171584</v>
      </c>
      <c r="CC968">
        <v>0</v>
      </c>
      <c r="CD968">
        <v>0</v>
      </c>
      <c r="CE968">
        <v>0</v>
      </c>
    </row>
    <row r="969" spans="1:84" hidden="1" x14ac:dyDescent="0.25">
      <c r="A969" t="s">
        <v>128</v>
      </c>
      <c r="B969" t="s">
        <v>503</v>
      </c>
      <c r="C969" t="s">
        <v>72</v>
      </c>
      <c r="D969" s="12">
        <v>46233</v>
      </c>
      <c r="E969" t="s">
        <v>134</v>
      </c>
      <c r="F969" t="s">
        <v>134</v>
      </c>
      <c r="G969" t="s">
        <v>134</v>
      </c>
      <c r="H969" t="s">
        <v>73</v>
      </c>
      <c r="I969">
        <v>10</v>
      </c>
      <c r="J969">
        <v>2.8029490616621988</v>
      </c>
      <c r="K969">
        <v>46233</v>
      </c>
      <c r="L969" t="s">
        <v>235</v>
      </c>
      <c r="M969">
        <v>2.8499999999999996</v>
      </c>
      <c r="N969">
        <v>2.8499999999999996</v>
      </c>
      <c r="O969">
        <v>1.6470588235294119</v>
      </c>
      <c r="P969">
        <v>1.0167862266857959</v>
      </c>
      <c r="Q969">
        <v>1.0167862266857959</v>
      </c>
      <c r="R969">
        <v>0.58761639519509379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1.678622668579588E-2</v>
      </c>
      <c r="AB969">
        <v>0</v>
      </c>
      <c r="AC969">
        <v>0</v>
      </c>
      <c r="AD969">
        <v>0</v>
      </c>
      <c r="AE969">
        <v>0.41238360480490621</v>
      </c>
      <c r="AF969">
        <v>0</v>
      </c>
      <c r="AG969">
        <v>0.58761639519509379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0.98349089882884178</v>
      </c>
      <c r="AN969">
        <v>0.98349089882884178</v>
      </c>
      <c r="AO969">
        <v>0.57791537667698667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1.6509101171158225E-2</v>
      </c>
      <c r="BA969">
        <v>0</v>
      </c>
      <c r="BB969">
        <v>0.40557552215185511</v>
      </c>
      <c r="BC969">
        <v>0</v>
      </c>
      <c r="BD969">
        <v>0.57791537667698667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1.7303571428571425</v>
      </c>
      <c r="BK969">
        <v>1.7303571428571425</v>
      </c>
      <c r="BL969">
        <v>1.7017905017234778</v>
      </c>
      <c r="CC969">
        <v>0</v>
      </c>
      <c r="CD969">
        <v>0</v>
      </c>
      <c r="CE969">
        <v>0</v>
      </c>
    </row>
    <row r="970" spans="1:84" hidden="1" x14ac:dyDescent="0.25">
      <c r="A970" t="s">
        <v>128</v>
      </c>
      <c r="B970" t="s">
        <v>503</v>
      </c>
      <c r="C970" t="s">
        <v>72</v>
      </c>
      <c r="D970" s="12">
        <v>46227</v>
      </c>
      <c r="E970" t="s">
        <v>134</v>
      </c>
      <c r="F970" t="s">
        <v>134</v>
      </c>
      <c r="G970" t="s">
        <v>134</v>
      </c>
      <c r="H970" t="s">
        <v>74</v>
      </c>
      <c r="I970">
        <v>10</v>
      </c>
      <c r="J970">
        <v>1.7587131367292226</v>
      </c>
      <c r="K970">
        <v>46227</v>
      </c>
      <c r="L970" t="s">
        <v>225</v>
      </c>
      <c r="M970">
        <v>0</v>
      </c>
      <c r="N970">
        <v>0</v>
      </c>
      <c r="O970">
        <v>1.0127450980392154</v>
      </c>
      <c r="P970">
        <v>0</v>
      </c>
      <c r="Q970">
        <v>0</v>
      </c>
      <c r="R970">
        <v>0.57584439263510268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0.57584439263510268</v>
      </c>
      <c r="AC970">
        <v>0.42415560736489732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1</v>
      </c>
      <c r="BJ970">
        <v>0</v>
      </c>
      <c r="BK970">
        <v>0</v>
      </c>
      <c r="BL970">
        <v>1.7365802511750315</v>
      </c>
      <c r="BM970">
        <v>0.73658025117503145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1</v>
      </c>
      <c r="CF970">
        <v>1</v>
      </c>
    </row>
    <row r="971" spans="1:84" hidden="1" x14ac:dyDescent="0.25">
      <c r="A971" t="s">
        <v>128</v>
      </c>
      <c r="B971" t="s">
        <v>503</v>
      </c>
      <c r="C971" t="s">
        <v>72</v>
      </c>
      <c r="D971" s="12">
        <v>46232</v>
      </c>
      <c r="E971" t="s">
        <v>134</v>
      </c>
      <c r="F971" t="s">
        <v>134</v>
      </c>
      <c r="G971" t="s">
        <v>134</v>
      </c>
      <c r="H971" t="s">
        <v>75</v>
      </c>
      <c r="I971">
        <v>10</v>
      </c>
      <c r="J971">
        <v>2.3277085633180881</v>
      </c>
      <c r="K971">
        <v>46232</v>
      </c>
      <c r="L971" t="s">
        <v>236</v>
      </c>
      <c r="M971">
        <v>4.75</v>
      </c>
      <c r="N971">
        <v>4.75</v>
      </c>
      <c r="O971">
        <v>2.0484429065743943</v>
      </c>
      <c r="P971">
        <v>2.040633468834689</v>
      </c>
      <c r="Q971">
        <v>2.040633468834689</v>
      </c>
      <c r="R971">
        <v>0.88002550613741448</v>
      </c>
      <c r="S971">
        <v>0</v>
      </c>
      <c r="T971">
        <v>0</v>
      </c>
      <c r="U971">
        <v>0.79063346883468899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0.25</v>
      </c>
      <c r="AB971">
        <v>0</v>
      </c>
      <c r="AC971">
        <v>0</v>
      </c>
      <c r="AD971">
        <v>0</v>
      </c>
      <c r="AE971">
        <v>0.11997449386258552</v>
      </c>
      <c r="AF971">
        <v>0</v>
      </c>
      <c r="AG971">
        <v>0.88002550613741448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0.49004390806696591</v>
      </c>
      <c r="AN971">
        <v>0.49004390806696591</v>
      </c>
      <c r="AO971">
        <v>0.43125113822618827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0.50995609193303415</v>
      </c>
      <c r="BA971">
        <v>0</v>
      </c>
      <c r="BB971">
        <v>5.8792769840777637E-2</v>
      </c>
      <c r="BC971">
        <v>0</v>
      </c>
      <c r="BD971">
        <v>0.43125113822618827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2.3188344594594597</v>
      </c>
      <c r="BK971">
        <v>2.3188344594594597</v>
      </c>
      <c r="BL971">
        <v>1.1363307006738641</v>
      </c>
      <c r="CC971">
        <v>0</v>
      </c>
      <c r="CD971">
        <v>0</v>
      </c>
      <c r="CE971">
        <v>0</v>
      </c>
    </row>
    <row r="972" spans="1:84" hidden="1" x14ac:dyDescent="0.25">
      <c r="A972" t="s">
        <v>128</v>
      </c>
      <c r="B972" t="s">
        <v>503</v>
      </c>
      <c r="C972" t="s">
        <v>72</v>
      </c>
      <c r="D972" s="12">
        <v>46234</v>
      </c>
      <c r="E972" t="s">
        <v>134</v>
      </c>
      <c r="F972" t="s">
        <v>134</v>
      </c>
      <c r="G972" t="s">
        <v>134</v>
      </c>
      <c r="H972" t="s">
        <v>74</v>
      </c>
      <c r="I972">
        <v>10</v>
      </c>
      <c r="J972">
        <v>1.7587131367292226</v>
      </c>
      <c r="K972">
        <v>46234</v>
      </c>
      <c r="L972" t="s">
        <v>190</v>
      </c>
      <c r="M972">
        <v>0</v>
      </c>
      <c r="N972">
        <v>0</v>
      </c>
      <c r="O972">
        <v>1.0127450980392154</v>
      </c>
      <c r="P972">
        <v>0</v>
      </c>
      <c r="Q972">
        <v>0</v>
      </c>
      <c r="R972">
        <v>0.57584439263510268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0.57584439263510268</v>
      </c>
      <c r="AC972">
        <v>0.42415560736489732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1</v>
      </c>
      <c r="BJ972">
        <v>0</v>
      </c>
      <c r="BK972">
        <v>0</v>
      </c>
      <c r="BL972">
        <v>1.7365802511750315</v>
      </c>
      <c r="BM972">
        <v>0.73658025117503145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1</v>
      </c>
      <c r="CF972">
        <v>1</v>
      </c>
    </row>
    <row r="973" spans="1:84" hidden="1" x14ac:dyDescent="0.25">
      <c r="A973" t="s">
        <v>128</v>
      </c>
      <c r="B973" t="s">
        <v>503</v>
      </c>
      <c r="C973" t="s">
        <v>72</v>
      </c>
      <c r="D973" s="12">
        <v>46227</v>
      </c>
      <c r="E973" t="s">
        <v>134</v>
      </c>
      <c r="F973" t="s">
        <v>134</v>
      </c>
      <c r="G973" t="s">
        <v>134</v>
      </c>
      <c r="H973" t="s">
        <v>75</v>
      </c>
      <c r="I973">
        <v>10</v>
      </c>
      <c r="J973">
        <v>2.3277085633180885</v>
      </c>
      <c r="K973">
        <v>46227</v>
      </c>
      <c r="L973" t="s">
        <v>224</v>
      </c>
      <c r="M973">
        <v>3.8</v>
      </c>
      <c r="N973">
        <v>3.8</v>
      </c>
      <c r="O973">
        <v>2.1881487889273359</v>
      </c>
      <c r="P973">
        <v>1.6325067750677507</v>
      </c>
      <c r="Q973">
        <v>1.6325067750677507</v>
      </c>
      <c r="R973">
        <v>0.94004413757372884</v>
      </c>
      <c r="S973">
        <v>0</v>
      </c>
      <c r="T973">
        <v>0</v>
      </c>
      <c r="U973">
        <v>0.38250677506775066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0.25</v>
      </c>
      <c r="AB973">
        <v>0</v>
      </c>
      <c r="AC973">
        <v>0</v>
      </c>
      <c r="AD973">
        <v>0</v>
      </c>
      <c r="AE973">
        <v>5.9955862426271156E-2</v>
      </c>
      <c r="AF973">
        <v>0</v>
      </c>
      <c r="AG973">
        <v>0.94004413757372884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0.61255488508370748</v>
      </c>
      <c r="AN973">
        <v>0.61255488508370748</v>
      </c>
      <c r="AO973">
        <v>0.57582862866508844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0.38744511491629252</v>
      </c>
      <c r="BA973">
        <v>0</v>
      </c>
      <c r="BB973">
        <v>3.6726256418619041E-2</v>
      </c>
      <c r="BC973">
        <v>0</v>
      </c>
      <c r="BD973">
        <v>0.57582862866508844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1.7366277920537654</v>
      </c>
      <c r="BK973">
        <v>1.7366277920537654</v>
      </c>
      <c r="BL973">
        <v>1.063779837594667</v>
      </c>
      <c r="CC973">
        <v>0</v>
      </c>
      <c r="CD973">
        <v>0</v>
      </c>
      <c r="CE973">
        <v>0</v>
      </c>
    </row>
    <row r="974" spans="1:84" hidden="1" x14ac:dyDescent="0.25">
      <c r="A974" t="s">
        <v>128</v>
      </c>
      <c r="B974" t="s">
        <v>503</v>
      </c>
      <c r="C974" t="s">
        <v>72</v>
      </c>
      <c r="D974" s="12">
        <v>46228</v>
      </c>
      <c r="E974" t="s">
        <v>134</v>
      </c>
      <c r="F974" t="s">
        <v>134</v>
      </c>
      <c r="G974" t="s">
        <v>134</v>
      </c>
      <c r="H974" t="s">
        <v>73</v>
      </c>
      <c r="I974">
        <v>10</v>
      </c>
      <c r="J974">
        <v>1.4014745308310994</v>
      </c>
      <c r="K974">
        <v>46228</v>
      </c>
      <c r="L974" t="s">
        <v>223</v>
      </c>
      <c r="M974">
        <v>2.8499999999999996</v>
      </c>
      <c r="N974">
        <v>2.8499999999999996</v>
      </c>
      <c r="O974">
        <v>1.7954963235294119</v>
      </c>
      <c r="P974">
        <v>2.0335724533715918</v>
      </c>
      <c r="Q974">
        <v>2.0335724533715918</v>
      </c>
      <c r="R974">
        <v>1.2811480223366247</v>
      </c>
      <c r="S974">
        <v>0</v>
      </c>
      <c r="T974">
        <v>0</v>
      </c>
      <c r="U974">
        <v>0.75242443103496703</v>
      </c>
      <c r="V974">
        <v>0</v>
      </c>
      <c r="W974">
        <v>3.1148022336624726E-2</v>
      </c>
      <c r="X974">
        <v>0</v>
      </c>
      <c r="Y974">
        <v>0.25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0.49174544941442089</v>
      </c>
      <c r="AN974">
        <v>0.49174544941442089</v>
      </c>
      <c r="AO974">
        <v>0.62999871001032004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0.37000128998967996</v>
      </c>
      <c r="BA974">
        <v>0</v>
      </c>
      <c r="BB974">
        <v>0</v>
      </c>
      <c r="BC974">
        <v>0</v>
      </c>
      <c r="BD974">
        <v>0.49174544941442089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1.5873048374712051</v>
      </c>
      <c r="BK974">
        <v>1.5873048374712051</v>
      </c>
      <c r="BL974">
        <v>0.78054993065996214</v>
      </c>
      <c r="CC974">
        <v>0</v>
      </c>
      <c r="CD974">
        <v>0</v>
      </c>
      <c r="CE974">
        <v>0</v>
      </c>
    </row>
    <row r="975" spans="1:84" hidden="1" x14ac:dyDescent="0.25">
      <c r="A975" t="s">
        <v>128</v>
      </c>
      <c r="B975" t="s">
        <v>503</v>
      </c>
      <c r="C975" t="s">
        <v>72</v>
      </c>
      <c r="D975" s="12">
        <v>46232</v>
      </c>
      <c r="E975" t="s">
        <v>134</v>
      </c>
      <c r="F975" t="s">
        <v>134</v>
      </c>
      <c r="G975" t="s">
        <v>134</v>
      </c>
      <c r="H975" t="s">
        <v>73</v>
      </c>
      <c r="I975">
        <v>10</v>
      </c>
      <c r="J975">
        <v>2.8029490616621993</v>
      </c>
      <c r="K975">
        <v>46232</v>
      </c>
      <c r="L975" t="s">
        <v>238</v>
      </c>
      <c r="M975">
        <v>3.8</v>
      </c>
      <c r="N975">
        <v>3.8</v>
      </c>
      <c r="O975">
        <v>1.7647058823529416</v>
      </c>
      <c r="P975">
        <v>1.3557149689143946</v>
      </c>
      <c r="Q975">
        <v>1.3557149689143946</v>
      </c>
      <c r="R975">
        <v>0.62958899485188613</v>
      </c>
      <c r="S975">
        <v>0</v>
      </c>
      <c r="T975">
        <v>0</v>
      </c>
      <c r="U975">
        <v>0.10571496891439458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0.25</v>
      </c>
      <c r="AB975">
        <v>0</v>
      </c>
      <c r="AC975">
        <v>0</v>
      </c>
      <c r="AD975">
        <v>0</v>
      </c>
      <c r="AE975">
        <v>0.37041100514811387</v>
      </c>
      <c r="AF975">
        <v>0</v>
      </c>
      <c r="AG975">
        <v>0.62958899485188613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0.73761817412163144</v>
      </c>
      <c r="AN975">
        <v>0.73761817412163144</v>
      </c>
      <c r="AO975">
        <v>0.46439628482972151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0.26238182587836856</v>
      </c>
      <c r="BA975">
        <v>0</v>
      </c>
      <c r="BB975">
        <v>0.27322188929190994</v>
      </c>
      <c r="BC975">
        <v>0</v>
      </c>
      <c r="BD975">
        <v>0.46439628482972151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2.1533333333333329</v>
      </c>
      <c r="BK975">
        <v>2.1533333333333329</v>
      </c>
      <c r="BL975">
        <v>1.5883378016085792</v>
      </c>
      <c r="CC975">
        <v>0</v>
      </c>
      <c r="CD975">
        <v>0</v>
      </c>
      <c r="CE975">
        <v>0</v>
      </c>
    </row>
    <row r="976" spans="1:84" hidden="1" x14ac:dyDescent="0.25">
      <c r="A976" t="s">
        <v>128</v>
      </c>
      <c r="B976" t="s">
        <v>503</v>
      </c>
      <c r="C976" t="s">
        <v>72</v>
      </c>
      <c r="D976" s="12">
        <v>46228</v>
      </c>
      <c r="E976" t="s">
        <v>134</v>
      </c>
      <c r="F976" t="s">
        <v>134</v>
      </c>
      <c r="G976" t="s">
        <v>134</v>
      </c>
      <c r="H976" t="s">
        <v>74</v>
      </c>
      <c r="I976">
        <v>10</v>
      </c>
      <c r="J976">
        <v>1.7587131367292226</v>
      </c>
      <c r="K976">
        <v>46228</v>
      </c>
      <c r="L976" t="s">
        <v>222</v>
      </c>
      <c r="M976">
        <v>0</v>
      </c>
      <c r="N976">
        <v>0</v>
      </c>
      <c r="O976">
        <v>1.0127450980392154</v>
      </c>
      <c r="P976">
        <v>0</v>
      </c>
      <c r="Q976">
        <v>0</v>
      </c>
      <c r="R976">
        <v>0.57584439263510268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0.57584439263510268</v>
      </c>
      <c r="AC976">
        <v>0.42415560736489732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</v>
      </c>
      <c r="BJ976">
        <v>0</v>
      </c>
      <c r="BK976">
        <v>0</v>
      </c>
      <c r="BL976">
        <v>1.7365802511750315</v>
      </c>
      <c r="BM976">
        <v>0.73658025117503145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1</v>
      </c>
      <c r="CF976">
        <v>1</v>
      </c>
    </row>
    <row r="977" spans="1:84" hidden="1" x14ac:dyDescent="0.25">
      <c r="A977" t="s">
        <v>128</v>
      </c>
      <c r="B977" t="s">
        <v>503</v>
      </c>
      <c r="C977" t="s">
        <v>72</v>
      </c>
      <c r="D977" s="12">
        <v>46231</v>
      </c>
      <c r="E977" t="s">
        <v>134</v>
      </c>
      <c r="F977" t="s">
        <v>134</v>
      </c>
      <c r="G977" t="s">
        <v>134</v>
      </c>
      <c r="H977" t="s">
        <v>75</v>
      </c>
      <c r="I977">
        <v>10</v>
      </c>
      <c r="J977">
        <v>2.6380697050938338</v>
      </c>
      <c r="K977">
        <v>46231</v>
      </c>
      <c r="L977" t="s">
        <v>231</v>
      </c>
      <c r="M977">
        <v>1.9</v>
      </c>
      <c r="N977">
        <v>1.9</v>
      </c>
      <c r="O977">
        <v>1.7162629757785468</v>
      </c>
      <c r="P977">
        <v>0.72022357723577235</v>
      </c>
      <c r="Q977">
        <v>0.72022357723577235</v>
      </c>
      <c r="R977">
        <v>0.65057529468028252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0.27977642276422765</v>
      </c>
      <c r="AD977">
        <v>0</v>
      </c>
      <c r="AE977">
        <v>6.9648282555489827E-2</v>
      </c>
      <c r="AF977">
        <v>0</v>
      </c>
      <c r="AG977">
        <v>0.65057529468028252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1.3884577395230704</v>
      </c>
      <c r="AN977">
        <v>1.3884577395230704</v>
      </c>
      <c r="AO977">
        <v>0.90329630304134045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0.38845773952307039</v>
      </c>
      <c r="AY977">
        <v>0</v>
      </c>
      <c r="AZ977">
        <v>0</v>
      </c>
      <c r="BA977">
        <v>0</v>
      </c>
      <c r="BB977">
        <v>9.6703696958659546E-2</v>
      </c>
      <c r="BC977">
        <v>0</v>
      </c>
      <c r="BD977">
        <v>0.90329630304134045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1.1070564516129031</v>
      </c>
      <c r="BK977">
        <v>1.1070564516129031</v>
      </c>
      <c r="BL977">
        <v>1.5371010983308828</v>
      </c>
      <c r="BM977">
        <v>0.43004464671797971</v>
      </c>
      <c r="BN977">
        <v>0</v>
      </c>
      <c r="BO977">
        <v>0</v>
      </c>
      <c r="BP977">
        <v>0</v>
      </c>
      <c r="BQ977">
        <v>0</v>
      </c>
      <c r="BR977">
        <v>0.39294354838709689</v>
      </c>
      <c r="BS977">
        <v>0.10705645161290311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</row>
    <row r="978" spans="1:84" hidden="1" x14ac:dyDescent="0.25">
      <c r="A978" t="s">
        <v>128</v>
      </c>
      <c r="B978" t="s">
        <v>503</v>
      </c>
      <c r="C978" t="s">
        <v>72</v>
      </c>
      <c r="D978" s="12">
        <v>46231</v>
      </c>
      <c r="E978" t="s">
        <v>134</v>
      </c>
      <c r="F978" t="s">
        <v>134</v>
      </c>
      <c r="G978" t="s">
        <v>134</v>
      </c>
      <c r="H978" t="s">
        <v>74</v>
      </c>
      <c r="I978">
        <v>10</v>
      </c>
      <c r="J978">
        <v>1.7587131367292226</v>
      </c>
      <c r="K978">
        <v>46231</v>
      </c>
      <c r="L978" t="s">
        <v>230</v>
      </c>
      <c r="M978">
        <v>0</v>
      </c>
      <c r="N978">
        <v>0</v>
      </c>
      <c r="O978">
        <v>6.2745098039215685E-2</v>
      </c>
      <c r="P978">
        <v>0</v>
      </c>
      <c r="Q978">
        <v>0</v>
      </c>
      <c r="R978">
        <v>3.5676709708273552E-2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3.5676709708273552E-2</v>
      </c>
      <c r="AC978">
        <v>0.96432329029172648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J978">
        <v>0</v>
      </c>
      <c r="BK978">
        <v>0</v>
      </c>
      <c r="BL978">
        <v>28.029490616621985</v>
      </c>
      <c r="BM978">
        <v>27.029490616621985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</row>
    <row r="979" spans="1:84" hidden="1" x14ac:dyDescent="0.25">
      <c r="A979" t="s">
        <v>128</v>
      </c>
      <c r="B979" t="s">
        <v>503</v>
      </c>
      <c r="C979" t="s">
        <v>72</v>
      </c>
      <c r="D979" s="12">
        <v>46228</v>
      </c>
      <c r="E979" t="s">
        <v>134</v>
      </c>
      <c r="F979" t="s">
        <v>134</v>
      </c>
      <c r="G979" t="s">
        <v>134</v>
      </c>
      <c r="H979" t="s">
        <v>75</v>
      </c>
      <c r="I979">
        <v>10</v>
      </c>
      <c r="J979">
        <v>2.6380697050938338</v>
      </c>
      <c r="K979">
        <v>46228</v>
      </c>
      <c r="L979" t="s">
        <v>221</v>
      </c>
      <c r="M979">
        <v>2.8499999999999996</v>
      </c>
      <c r="N979">
        <v>2.8499999999999996</v>
      </c>
      <c r="O979">
        <v>2.0635813148788924</v>
      </c>
      <c r="P979">
        <v>1.0803353658536583</v>
      </c>
      <c r="Q979">
        <v>1.0803353658536583</v>
      </c>
      <c r="R979">
        <v>0.78223153500998666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8.0335365853658303E-2</v>
      </c>
      <c r="AB979">
        <v>0</v>
      </c>
      <c r="AC979">
        <v>0</v>
      </c>
      <c r="AD979">
        <v>0</v>
      </c>
      <c r="AE979">
        <v>0.21776846499001334</v>
      </c>
      <c r="AF979">
        <v>0</v>
      </c>
      <c r="AG979">
        <v>0.78223153500998666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0.92563849301538037</v>
      </c>
      <c r="AN979">
        <v>0.92563849301538037</v>
      </c>
      <c r="AO979">
        <v>0.7240636192557518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7.436150698461963E-2</v>
      </c>
      <c r="BA979">
        <v>0</v>
      </c>
      <c r="BB979">
        <v>0.20157487375962857</v>
      </c>
      <c r="BC979">
        <v>0</v>
      </c>
      <c r="BD979">
        <v>0.7240636192557518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1.3810941102494236</v>
      </c>
      <c r="BK979">
        <v>1.3810941102494236</v>
      </c>
      <c r="BL979">
        <v>1.2783938709236942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0.27839387092369416</v>
      </c>
      <c r="BT979">
        <v>0</v>
      </c>
      <c r="BU979">
        <v>0.10270023932572947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0</v>
      </c>
      <c r="CC979">
        <v>0</v>
      </c>
      <c r="CD979">
        <v>0</v>
      </c>
      <c r="CE979">
        <v>0</v>
      </c>
      <c r="CF979">
        <v>0</v>
      </c>
    </row>
    <row r="980" spans="1:84" hidden="1" x14ac:dyDescent="0.25">
      <c r="A980" t="s">
        <v>128</v>
      </c>
      <c r="B980" t="s">
        <v>503</v>
      </c>
      <c r="C980" t="s">
        <v>72</v>
      </c>
      <c r="D980" s="12">
        <v>46231</v>
      </c>
      <c r="E980" t="s">
        <v>134</v>
      </c>
      <c r="F980" t="s">
        <v>134</v>
      </c>
      <c r="G980" t="s">
        <v>134</v>
      </c>
      <c r="H980" t="s">
        <v>73</v>
      </c>
      <c r="I980">
        <v>10</v>
      </c>
      <c r="J980">
        <v>1.4014745308310996</v>
      </c>
      <c r="K980">
        <v>46231</v>
      </c>
      <c r="L980" t="s">
        <v>214</v>
      </c>
      <c r="M980">
        <v>4.75</v>
      </c>
      <c r="N980">
        <v>4.75</v>
      </c>
      <c r="O980">
        <v>2.6176470588235294</v>
      </c>
      <c r="P980">
        <v>3.3892874222859866</v>
      </c>
      <c r="Q980">
        <v>3.3892874222859866</v>
      </c>
      <c r="R980">
        <v>1.867780684727262</v>
      </c>
      <c r="S980">
        <v>0</v>
      </c>
      <c r="T980">
        <v>0</v>
      </c>
      <c r="U980">
        <v>1.5215067375587246</v>
      </c>
      <c r="V980">
        <v>0</v>
      </c>
      <c r="W980">
        <v>0.617780684727262</v>
      </c>
      <c r="X980">
        <v>0</v>
      </c>
      <c r="Y980">
        <v>0.25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0.29504726964865258</v>
      </c>
      <c r="AN980">
        <v>0.29504726964865258</v>
      </c>
      <c r="AO980">
        <v>0.55108359133126938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0.44891640866873062</v>
      </c>
      <c r="BA980">
        <v>0</v>
      </c>
      <c r="BB980">
        <v>0</v>
      </c>
      <c r="BC980">
        <v>0</v>
      </c>
      <c r="BD980">
        <v>0.29504726964865258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1.8146067415730336</v>
      </c>
      <c r="BK980">
        <v>1.8146067415730336</v>
      </c>
      <c r="BL980">
        <v>0.53539476458716162</v>
      </c>
      <c r="CC980">
        <v>0</v>
      </c>
      <c r="CD980">
        <v>0</v>
      </c>
      <c r="CE980">
        <v>0</v>
      </c>
    </row>
    <row r="981" spans="1:84" hidden="1" x14ac:dyDescent="0.25">
      <c r="A981" t="s">
        <v>128</v>
      </c>
      <c r="B981" t="s">
        <v>503</v>
      </c>
      <c r="C981" t="s">
        <v>72</v>
      </c>
      <c r="D981" s="12">
        <v>46229</v>
      </c>
      <c r="E981" t="s">
        <v>134</v>
      </c>
      <c r="F981" t="s">
        <v>134</v>
      </c>
      <c r="G981" t="s">
        <v>134</v>
      </c>
      <c r="H981" t="s">
        <v>73</v>
      </c>
      <c r="I981">
        <v>10</v>
      </c>
      <c r="J981">
        <v>1.4014745308310996</v>
      </c>
      <c r="K981">
        <v>46229</v>
      </c>
      <c r="L981" t="s">
        <v>220</v>
      </c>
      <c r="M981">
        <v>4.75</v>
      </c>
      <c r="N981">
        <v>4.75</v>
      </c>
      <c r="O981">
        <v>1.9131433823529416</v>
      </c>
      <c r="P981">
        <v>3.3892874222859866</v>
      </c>
      <c r="Q981">
        <v>3.3892874222859866</v>
      </c>
      <c r="R981">
        <v>1.3650932216502094</v>
      </c>
      <c r="S981">
        <v>0</v>
      </c>
      <c r="T981">
        <v>0</v>
      </c>
      <c r="U981">
        <v>2.0241942006357769</v>
      </c>
      <c r="V981">
        <v>0</v>
      </c>
      <c r="W981">
        <v>0.11509322165020941</v>
      </c>
      <c r="X981">
        <v>0</v>
      </c>
      <c r="Y981">
        <v>0.25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0.29504726964865258</v>
      </c>
      <c r="AN981">
        <v>0.29504726964865258</v>
      </c>
      <c r="AO981">
        <v>0.40276702786377716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0.59723297213622284</v>
      </c>
      <c r="BA981">
        <v>0</v>
      </c>
      <c r="BB981">
        <v>0</v>
      </c>
      <c r="BC981">
        <v>0</v>
      </c>
      <c r="BD981">
        <v>0.29504726964865258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2.4828248858995909</v>
      </c>
      <c r="BK981">
        <v>2.4828248858995909</v>
      </c>
      <c r="BL981">
        <v>0.73255070360040164</v>
      </c>
      <c r="CC981">
        <v>0</v>
      </c>
      <c r="CD981">
        <v>0</v>
      </c>
      <c r="CE981">
        <v>0</v>
      </c>
    </row>
    <row r="982" spans="1:84" hidden="1" x14ac:dyDescent="0.25">
      <c r="A982" t="s">
        <v>128</v>
      </c>
      <c r="B982" t="s">
        <v>503</v>
      </c>
      <c r="C982" t="s">
        <v>72</v>
      </c>
      <c r="D982" s="12">
        <v>46229</v>
      </c>
      <c r="E982" t="s">
        <v>134</v>
      </c>
      <c r="F982" t="s">
        <v>134</v>
      </c>
      <c r="G982" t="s">
        <v>134</v>
      </c>
      <c r="H982" t="s">
        <v>74</v>
      </c>
      <c r="I982">
        <v>10</v>
      </c>
      <c r="J982">
        <v>1.7587131367292226</v>
      </c>
      <c r="K982">
        <v>46229</v>
      </c>
      <c r="L982" t="s">
        <v>219</v>
      </c>
      <c r="M982">
        <v>0</v>
      </c>
      <c r="N982">
        <v>0</v>
      </c>
      <c r="O982">
        <v>6.2745098039215685E-2</v>
      </c>
      <c r="P982">
        <v>0</v>
      </c>
      <c r="Q982">
        <v>0</v>
      </c>
      <c r="R982">
        <v>3.5676709708273552E-2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3.5676709708273552E-2</v>
      </c>
      <c r="AC982">
        <v>0.96432329029172648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J982">
        <v>0</v>
      </c>
      <c r="BK982">
        <v>0</v>
      </c>
      <c r="BL982">
        <v>28.029490616621985</v>
      </c>
      <c r="BM982">
        <v>27.029490616621985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</row>
    <row r="983" spans="1:84" hidden="1" x14ac:dyDescent="0.25">
      <c r="A983" t="s">
        <v>128</v>
      </c>
      <c r="B983" t="s">
        <v>503</v>
      </c>
      <c r="C983" t="s">
        <v>72</v>
      </c>
      <c r="D983" s="12">
        <v>46230</v>
      </c>
      <c r="E983" t="s">
        <v>134</v>
      </c>
      <c r="F983" t="s">
        <v>134</v>
      </c>
      <c r="G983" t="s">
        <v>134</v>
      </c>
      <c r="H983" t="s">
        <v>75</v>
      </c>
      <c r="I983">
        <v>10</v>
      </c>
      <c r="J983">
        <v>2.6380697050938342</v>
      </c>
      <c r="K983">
        <v>46230</v>
      </c>
      <c r="L983" t="s">
        <v>215</v>
      </c>
      <c r="M983">
        <v>3.8</v>
      </c>
      <c r="N983">
        <v>3.8</v>
      </c>
      <c r="O983">
        <v>1.7162629757785473</v>
      </c>
      <c r="P983">
        <v>1.4404471544715445</v>
      </c>
      <c r="Q983">
        <v>1.4404471544715445</v>
      </c>
      <c r="R983">
        <v>0.65057529468028252</v>
      </c>
      <c r="S983">
        <v>0</v>
      </c>
      <c r="T983">
        <v>0</v>
      </c>
      <c r="U983">
        <v>0.19044715447154448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0.25</v>
      </c>
      <c r="AB983">
        <v>0</v>
      </c>
      <c r="AC983">
        <v>0</v>
      </c>
      <c r="AD983">
        <v>0</v>
      </c>
      <c r="AE983">
        <v>0.34942470531971748</v>
      </c>
      <c r="AF983">
        <v>0</v>
      </c>
      <c r="AG983">
        <v>0.65057529468028252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0.69422886976153531</v>
      </c>
      <c r="AN983">
        <v>0.69422886976153531</v>
      </c>
      <c r="AO983">
        <v>0.45164815152067034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0.30577113023846469</v>
      </c>
      <c r="BA983">
        <v>0</v>
      </c>
      <c r="BB983">
        <v>0.24258071824086497</v>
      </c>
      <c r="BC983">
        <v>0</v>
      </c>
      <c r="BD983">
        <v>0.45164815152067034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2.2141129032258058</v>
      </c>
      <c r="BK983">
        <v>2.2141129032258058</v>
      </c>
      <c r="BL983">
        <v>1.5371010983308828</v>
      </c>
      <c r="CC983">
        <v>0</v>
      </c>
      <c r="CD983">
        <v>0</v>
      </c>
      <c r="CE983">
        <v>0</v>
      </c>
    </row>
    <row r="984" spans="1:84" hidden="1" x14ac:dyDescent="0.25">
      <c r="A984" t="s">
        <v>128</v>
      </c>
      <c r="B984" t="s">
        <v>503</v>
      </c>
      <c r="C984" t="s">
        <v>72</v>
      </c>
      <c r="D984" s="12">
        <v>46229</v>
      </c>
      <c r="E984" t="s">
        <v>134</v>
      </c>
      <c r="F984" t="s">
        <v>134</v>
      </c>
      <c r="G984" t="s">
        <v>134</v>
      </c>
      <c r="H984" t="s">
        <v>75</v>
      </c>
      <c r="I984">
        <v>10</v>
      </c>
      <c r="J984">
        <v>2.6380697050938342</v>
      </c>
      <c r="K984">
        <v>46229</v>
      </c>
      <c r="L984" t="s">
        <v>218</v>
      </c>
      <c r="M984">
        <v>1.9</v>
      </c>
      <c r="N984">
        <v>1.9</v>
      </c>
      <c r="O984">
        <v>2.0484429065743948</v>
      </c>
      <c r="P984">
        <v>0.72022357723577224</v>
      </c>
      <c r="Q984">
        <v>0.72022357723577224</v>
      </c>
      <c r="R984">
        <v>0.77649309365065966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5.6269516414887422E-2</v>
      </c>
      <c r="AC984">
        <v>0.22350690634934034</v>
      </c>
      <c r="AD984">
        <v>0</v>
      </c>
      <c r="AE984">
        <v>0</v>
      </c>
      <c r="AF984">
        <v>0</v>
      </c>
      <c r="AG984">
        <v>0.72022357723577224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1.3884577395230706</v>
      </c>
      <c r="AN984">
        <v>1.3884577395230706</v>
      </c>
      <c r="AO984">
        <v>1.078127845565471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7.8127845565471032E-2</v>
      </c>
      <c r="AW984">
        <v>0</v>
      </c>
      <c r="AX984">
        <v>0.31032989395759958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0.92753378378378359</v>
      </c>
      <c r="BK984">
        <v>0.92753378378378359</v>
      </c>
      <c r="BL984">
        <v>1.2878414607637128</v>
      </c>
      <c r="BM984">
        <v>0.28784146076371275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0.27977642276422776</v>
      </c>
      <c r="BW984">
        <v>0</v>
      </c>
      <c r="BX984">
        <v>0</v>
      </c>
      <c r="BY984">
        <v>0</v>
      </c>
      <c r="BZ984">
        <v>0</v>
      </c>
      <c r="CA984">
        <v>0.92753378378378359</v>
      </c>
      <c r="CB984">
        <v>0</v>
      </c>
      <c r="CC984">
        <v>0</v>
      </c>
      <c r="CD984">
        <v>0</v>
      </c>
      <c r="CE984">
        <v>0</v>
      </c>
      <c r="CF984">
        <v>0</v>
      </c>
    </row>
    <row r="985" spans="1:84" hidden="1" x14ac:dyDescent="0.25">
      <c r="A985" t="s">
        <v>128</v>
      </c>
      <c r="B985" t="s">
        <v>503</v>
      </c>
      <c r="C985" t="s">
        <v>72</v>
      </c>
      <c r="D985" s="12">
        <v>46232</v>
      </c>
      <c r="E985" t="s">
        <v>134</v>
      </c>
      <c r="F985" t="s">
        <v>134</v>
      </c>
      <c r="G985" t="s">
        <v>134</v>
      </c>
      <c r="H985" t="s">
        <v>74</v>
      </c>
      <c r="I985">
        <v>10</v>
      </c>
      <c r="J985">
        <v>1.7587131367292226</v>
      </c>
      <c r="K985">
        <v>46232</v>
      </c>
      <c r="L985" t="s">
        <v>237</v>
      </c>
      <c r="M985">
        <v>0</v>
      </c>
      <c r="N985">
        <v>0</v>
      </c>
      <c r="O985">
        <v>6.2745098039215685E-2</v>
      </c>
      <c r="P985">
        <v>0</v>
      </c>
      <c r="Q985">
        <v>0</v>
      </c>
      <c r="R985">
        <v>3.5676709708273552E-2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3.5676709708273552E-2</v>
      </c>
      <c r="AC985">
        <v>0.96432329029172648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J985">
        <v>0</v>
      </c>
      <c r="BK985">
        <v>0</v>
      </c>
      <c r="BL985">
        <v>28.029490616621985</v>
      </c>
      <c r="BM985">
        <v>27.029490616621985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 spans="1:84" hidden="1" x14ac:dyDescent="0.25">
      <c r="A986" t="s">
        <v>128</v>
      </c>
      <c r="B986" t="s">
        <v>503</v>
      </c>
      <c r="C986" t="s">
        <v>72</v>
      </c>
      <c r="D986" s="12">
        <v>46248</v>
      </c>
      <c r="E986" t="s">
        <v>134</v>
      </c>
      <c r="F986" t="s">
        <v>134</v>
      </c>
      <c r="G986" t="s">
        <v>134</v>
      </c>
      <c r="H986" t="s">
        <v>74</v>
      </c>
      <c r="I986">
        <v>10</v>
      </c>
      <c r="J986">
        <v>1.7587131367292226</v>
      </c>
      <c r="K986">
        <v>46248</v>
      </c>
      <c r="L986" t="s">
        <v>158</v>
      </c>
      <c r="M986">
        <v>0</v>
      </c>
      <c r="N986">
        <v>0</v>
      </c>
      <c r="O986">
        <v>6.2745098039215685E-2</v>
      </c>
      <c r="P986">
        <v>0</v>
      </c>
      <c r="Q986">
        <v>0</v>
      </c>
      <c r="R986">
        <v>3.5676709708273552E-2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3.5676709708273552E-2</v>
      </c>
      <c r="AC986">
        <v>0.96432329029172648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J986">
        <v>0</v>
      </c>
      <c r="BK986">
        <v>0</v>
      </c>
      <c r="BL986">
        <v>28.029490616621985</v>
      </c>
      <c r="BM986">
        <v>27.029490616621985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 spans="1:84" hidden="1" x14ac:dyDescent="0.25">
      <c r="A987" t="s">
        <v>128</v>
      </c>
      <c r="B987" t="s">
        <v>503</v>
      </c>
      <c r="C987" t="s">
        <v>72</v>
      </c>
      <c r="D987" s="12">
        <v>46225</v>
      </c>
      <c r="E987" t="s">
        <v>134</v>
      </c>
      <c r="F987" t="s">
        <v>134</v>
      </c>
      <c r="G987" t="s">
        <v>134</v>
      </c>
      <c r="H987" t="s">
        <v>74</v>
      </c>
      <c r="I987">
        <v>10</v>
      </c>
      <c r="J987">
        <v>1.7587131367292226</v>
      </c>
      <c r="K987">
        <v>46225</v>
      </c>
      <c r="L987" t="s">
        <v>160</v>
      </c>
      <c r="M987">
        <v>0</v>
      </c>
      <c r="N987">
        <v>0</v>
      </c>
      <c r="O987">
        <v>6.2745098039215685E-2</v>
      </c>
      <c r="P987">
        <v>0</v>
      </c>
      <c r="Q987">
        <v>0</v>
      </c>
      <c r="R987">
        <v>3.5676709708273552E-2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3.5676709708273552E-2</v>
      </c>
      <c r="AC987">
        <v>0.96432329029172648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J987">
        <v>0</v>
      </c>
      <c r="BK987">
        <v>0</v>
      </c>
      <c r="BL987">
        <v>28.029490616621985</v>
      </c>
      <c r="BM987">
        <v>27.029490616621985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</row>
    <row r="988" spans="1:84" hidden="1" x14ac:dyDescent="0.25">
      <c r="A988" t="s">
        <v>128</v>
      </c>
      <c r="B988" t="s">
        <v>503</v>
      </c>
      <c r="C988" t="s">
        <v>72</v>
      </c>
      <c r="D988" s="12">
        <v>46235</v>
      </c>
      <c r="E988" t="s">
        <v>134</v>
      </c>
      <c r="F988" t="s">
        <v>134</v>
      </c>
      <c r="G988" t="s">
        <v>134</v>
      </c>
      <c r="H988" t="s">
        <v>73</v>
      </c>
      <c r="I988">
        <v>10</v>
      </c>
      <c r="J988">
        <v>1.4014745308311001</v>
      </c>
      <c r="K988">
        <v>46235</v>
      </c>
      <c r="L988" t="s">
        <v>188</v>
      </c>
      <c r="M988">
        <v>4.75</v>
      </c>
      <c r="N988">
        <v>4.75</v>
      </c>
      <c r="O988">
        <v>1.9131433823529425</v>
      </c>
      <c r="P988">
        <v>3.3892874222859852</v>
      </c>
      <c r="Q988">
        <v>3.3892874222859852</v>
      </c>
      <c r="R988">
        <v>1.3650932216502096</v>
      </c>
      <c r="S988">
        <v>0</v>
      </c>
      <c r="T988">
        <v>0</v>
      </c>
      <c r="U988">
        <v>2.0241942006357756</v>
      </c>
      <c r="V988">
        <v>0</v>
      </c>
      <c r="W988">
        <v>0.11509322165020963</v>
      </c>
      <c r="X988">
        <v>0</v>
      </c>
      <c r="Y988">
        <v>0.25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0.29504726964865263</v>
      </c>
      <c r="AN988">
        <v>0.29504726964865263</v>
      </c>
      <c r="AO988">
        <v>0.40276702786377738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0.59723297213622262</v>
      </c>
      <c r="BA988">
        <v>0</v>
      </c>
      <c r="BB988">
        <v>0</v>
      </c>
      <c r="BC988">
        <v>0</v>
      </c>
      <c r="BD988">
        <v>0.29504726964865263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2.4828248858995901</v>
      </c>
      <c r="BK988">
        <v>2.4828248858995901</v>
      </c>
      <c r="BL988">
        <v>0.73255070360040153</v>
      </c>
      <c r="CC988">
        <v>0</v>
      </c>
      <c r="CD988">
        <v>0</v>
      </c>
      <c r="CE988">
        <v>0</v>
      </c>
    </row>
    <row r="989" spans="1:84" hidden="1" x14ac:dyDescent="0.25">
      <c r="A989" t="s">
        <v>128</v>
      </c>
      <c r="B989" t="s">
        <v>503</v>
      </c>
      <c r="C989" t="s">
        <v>72</v>
      </c>
      <c r="D989" s="12">
        <v>46239</v>
      </c>
      <c r="E989" t="s">
        <v>134</v>
      </c>
      <c r="F989" t="s">
        <v>134</v>
      </c>
      <c r="G989" t="s">
        <v>134</v>
      </c>
      <c r="H989" t="s">
        <v>73</v>
      </c>
      <c r="I989">
        <v>10</v>
      </c>
      <c r="J989">
        <v>2.8029490616621993</v>
      </c>
      <c r="K989">
        <v>46239</v>
      </c>
      <c r="L989" t="s">
        <v>177</v>
      </c>
      <c r="M989">
        <v>0</v>
      </c>
      <c r="N989">
        <v>0</v>
      </c>
      <c r="O989">
        <v>2.3416289592760191</v>
      </c>
      <c r="P989">
        <v>0</v>
      </c>
      <c r="Q989">
        <v>0</v>
      </c>
      <c r="R989">
        <v>0.8354161662457722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0.8354161662457722</v>
      </c>
      <c r="AC989">
        <v>0.1645838337542278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1</v>
      </c>
      <c r="BJ989">
        <v>0</v>
      </c>
      <c r="BK989">
        <v>0</v>
      </c>
      <c r="BL989">
        <v>1.1970081983137115</v>
      </c>
      <c r="BM989">
        <v>0.19700819831371152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1</v>
      </c>
      <c r="CF989">
        <v>1</v>
      </c>
    </row>
    <row r="990" spans="1:84" hidden="1" x14ac:dyDescent="0.25">
      <c r="A990" t="s">
        <v>128</v>
      </c>
      <c r="B990" t="s">
        <v>503</v>
      </c>
      <c r="C990" t="s">
        <v>72</v>
      </c>
      <c r="D990" s="12">
        <v>46238</v>
      </c>
      <c r="E990" t="s">
        <v>134</v>
      </c>
      <c r="F990" t="s">
        <v>134</v>
      </c>
      <c r="G990" t="s">
        <v>134</v>
      </c>
      <c r="H990" t="s">
        <v>75</v>
      </c>
      <c r="I990">
        <v>10</v>
      </c>
      <c r="J990">
        <v>2.6380697050938342</v>
      </c>
      <c r="K990">
        <v>46238</v>
      </c>
      <c r="L990" t="s">
        <v>178</v>
      </c>
      <c r="M990">
        <v>0</v>
      </c>
      <c r="N990">
        <v>0</v>
      </c>
      <c r="O990">
        <v>1.5501730103806233</v>
      </c>
      <c r="P990">
        <v>0</v>
      </c>
      <c r="Q990">
        <v>0</v>
      </c>
      <c r="R990">
        <v>0.5876163951950939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0.5876163951950939</v>
      </c>
      <c r="AC990">
        <v>0.4123836048049061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1</v>
      </c>
      <c r="BJ990">
        <v>0</v>
      </c>
      <c r="BK990">
        <v>0</v>
      </c>
      <c r="BL990">
        <v>1.7017905017234773</v>
      </c>
      <c r="BM990">
        <v>0.70179050172347734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1</v>
      </c>
      <c r="CF990">
        <v>1</v>
      </c>
    </row>
    <row r="991" spans="1:84" hidden="1" x14ac:dyDescent="0.25">
      <c r="A991" t="s">
        <v>128</v>
      </c>
      <c r="B991" t="s">
        <v>503</v>
      </c>
      <c r="C991" t="s">
        <v>72</v>
      </c>
      <c r="D991" s="12">
        <v>46249</v>
      </c>
      <c r="E991" t="s">
        <v>501</v>
      </c>
      <c r="F991" t="s">
        <v>501</v>
      </c>
      <c r="G991" t="s">
        <v>501</v>
      </c>
      <c r="H991" t="s">
        <v>74</v>
      </c>
      <c r="I991">
        <v>0</v>
      </c>
      <c r="J991">
        <v>0</v>
      </c>
      <c r="K991">
        <v>46249</v>
      </c>
      <c r="L991" t="s">
        <v>164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F991">
        <v>0</v>
      </c>
    </row>
    <row r="992" spans="1:84" hidden="1" x14ac:dyDescent="0.25">
      <c r="A992" t="s">
        <v>128</v>
      </c>
      <c r="B992" t="s">
        <v>503</v>
      </c>
      <c r="C992" t="s">
        <v>72</v>
      </c>
      <c r="D992" s="12">
        <v>46238</v>
      </c>
      <c r="E992" t="s">
        <v>134</v>
      </c>
      <c r="F992" t="s">
        <v>134</v>
      </c>
      <c r="G992" t="s">
        <v>134</v>
      </c>
      <c r="H992" t="s">
        <v>74</v>
      </c>
      <c r="I992">
        <v>10</v>
      </c>
      <c r="J992">
        <v>1.7587131367292226</v>
      </c>
      <c r="K992">
        <v>46238</v>
      </c>
      <c r="L992" t="s">
        <v>179</v>
      </c>
      <c r="M992">
        <v>0</v>
      </c>
      <c r="N992">
        <v>0</v>
      </c>
      <c r="O992">
        <v>6.2745098039215685E-2</v>
      </c>
      <c r="P992">
        <v>0</v>
      </c>
      <c r="Q992">
        <v>0</v>
      </c>
      <c r="R992">
        <v>3.5676709708273552E-2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3.5676709708273552E-2</v>
      </c>
      <c r="AC992">
        <v>0.96432329029172648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J992">
        <v>0</v>
      </c>
      <c r="BK992">
        <v>0</v>
      </c>
      <c r="BL992">
        <v>28.029490616621985</v>
      </c>
      <c r="BM992">
        <v>27.029490616621985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 spans="1:84" hidden="1" x14ac:dyDescent="0.25">
      <c r="A993" t="s">
        <v>128</v>
      </c>
      <c r="B993" t="s">
        <v>503</v>
      </c>
      <c r="C993" t="s">
        <v>72</v>
      </c>
      <c r="D993" s="12">
        <v>46249</v>
      </c>
      <c r="E993" t="s">
        <v>501</v>
      </c>
      <c r="F993" t="s">
        <v>501</v>
      </c>
      <c r="G993" t="s">
        <v>501</v>
      </c>
      <c r="H993" t="s">
        <v>75</v>
      </c>
      <c r="I993">
        <v>0</v>
      </c>
      <c r="J993">
        <v>0</v>
      </c>
      <c r="K993">
        <v>46249</v>
      </c>
      <c r="L993" t="s">
        <v>167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F993">
        <v>0</v>
      </c>
    </row>
    <row r="994" spans="1:84" hidden="1" x14ac:dyDescent="0.25">
      <c r="A994" t="s">
        <v>128</v>
      </c>
      <c r="B994" t="s">
        <v>503</v>
      </c>
      <c r="C994" t="s">
        <v>72</v>
      </c>
      <c r="D994" s="12">
        <v>46238</v>
      </c>
      <c r="E994" t="s">
        <v>134</v>
      </c>
      <c r="F994" t="s">
        <v>134</v>
      </c>
      <c r="G994" t="s">
        <v>134</v>
      </c>
      <c r="H994" t="s">
        <v>73</v>
      </c>
      <c r="I994">
        <v>10</v>
      </c>
      <c r="J994">
        <v>1.4014745308310994</v>
      </c>
      <c r="K994">
        <v>46238</v>
      </c>
      <c r="L994" t="s">
        <v>180</v>
      </c>
      <c r="M994">
        <v>0</v>
      </c>
      <c r="N994">
        <v>0</v>
      </c>
      <c r="O994">
        <v>3.2941176470588225</v>
      </c>
      <c r="P994">
        <v>0</v>
      </c>
      <c r="Q994">
        <v>0</v>
      </c>
      <c r="R994">
        <v>2.3504655807803743</v>
      </c>
      <c r="S994">
        <v>1.3504655807803743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1</v>
      </c>
      <c r="BI994">
        <v>1</v>
      </c>
      <c r="BJ994">
        <v>0</v>
      </c>
      <c r="BK994">
        <v>0</v>
      </c>
      <c r="BL994">
        <v>0.42544762543086961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0.57455237456913033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0.42544762543086967</v>
      </c>
      <c r="CF994">
        <v>0</v>
      </c>
    </row>
    <row r="995" spans="1:84" hidden="1" x14ac:dyDescent="0.25">
      <c r="A995" t="s">
        <v>128</v>
      </c>
      <c r="B995" t="s">
        <v>503</v>
      </c>
      <c r="C995" t="s">
        <v>72</v>
      </c>
      <c r="D995" s="12">
        <v>46250</v>
      </c>
      <c r="E995" t="s">
        <v>501</v>
      </c>
      <c r="F995" t="s">
        <v>501</v>
      </c>
      <c r="G995" t="s">
        <v>501</v>
      </c>
      <c r="H995" t="s">
        <v>73</v>
      </c>
      <c r="I995">
        <v>0</v>
      </c>
      <c r="J995">
        <v>0.44854758961681102</v>
      </c>
      <c r="K995">
        <v>46250</v>
      </c>
      <c r="L995" t="s">
        <v>168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</row>
    <row r="996" spans="1:84" hidden="1" x14ac:dyDescent="0.25">
      <c r="A996" t="s">
        <v>128</v>
      </c>
      <c r="B996" t="s">
        <v>503</v>
      </c>
      <c r="C996" t="s">
        <v>72</v>
      </c>
      <c r="D996" s="12">
        <v>46237</v>
      </c>
      <c r="E996" t="s">
        <v>134</v>
      </c>
      <c r="F996" t="s">
        <v>134</v>
      </c>
      <c r="G996" t="s">
        <v>134</v>
      </c>
      <c r="H996" t="s">
        <v>75</v>
      </c>
      <c r="I996">
        <v>10</v>
      </c>
      <c r="J996">
        <v>2.6380697050938342</v>
      </c>
      <c r="K996">
        <v>46237</v>
      </c>
      <c r="L996" t="s">
        <v>181</v>
      </c>
      <c r="M996">
        <v>0</v>
      </c>
      <c r="N996">
        <v>0</v>
      </c>
      <c r="O996">
        <v>2.214532871972319</v>
      </c>
      <c r="P996">
        <v>0</v>
      </c>
      <c r="Q996">
        <v>0</v>
      </c>
      <c r="R996">
        <v>0.8394519931358484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0.8394519931358484</v>
      </c>
      <c r="AC996">
        <v>0.1605480068641516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J996">
        <v>0</v>
      </c>
      <c r="BK996">
        <v>0</v>
      </c>
      <c r="BL996">
        <v>1.1912533512064343</v>
      </c>
      <c r="BM996">
        <v>0.19125335120643427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1</v>
      </c>
    </row>
    <row r="997" spans="1:84" hidden="1" x14ac:dyDescent="0.25">
      <c r="A997" t="s">
        <v>128</v>
      </c>
      <c r="B997" t="s">
        <v>503</v>
      </c>
      <c r="C997" t="s">
        <v>72</v>
      </c>
      <c r="D997" s="12">
        <v>46250</v>
      </c>
      <c r="E997" t="s">
        <v>501</v>
      </c>
      <c r="F997" t="s">
        <v>501</v>
      </c>
      <c r="G997" t="s">
        <v>501</v>
      </c>
      <c r="H997" t="s">
        <v>74</v>
      </c>
      <c r="I997">
        <v>0</v>
      </c>
      <c r="J997">
        <v>0</v>
      </c>
      <c r="K997">
        <v>46250</v>
      </c>
      <c r="L997" t="s">
        <v>170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F997">
        <v>0</v>
      </c>
    </row>
    <row r="998" spans="1:84" hidden="1" x14ac:dyDescent="0.25">
      <c r="A998" t="s">
        <v>128</v>
      </c>
      <c r="B998" t="s">
        <v>503</v>
      </c>
      <c r="C998" t="s">
        <v>72</v>
      </c>
      <c r="D998" s="12">
        <v>46250</v>
      </c>
      <c r="E998" t="s">
        <v>501</v>
      </c>
      <c r="F998" t="s">
        <v>501</v>
      </c>
      <c r="G998" t="s">
        <v>501</v>
      </c>
      <c r="H998" t="s">
        <v>75</v>
      </c>
      <c r="I998">
        <v>0</v>
      </c>
      <c r="J998">
        <v>0</v>
      </c>
      <c r="K998">
        <v>46250</v>
      </c>
      <c r="L998" t="s">
        <v>171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F998">
        <v>0</v>
      </c>
    </row>
    <row r="999" spans="1:84" hidden="1" x14ac:dyDescent="0.25">
      <c r="A999" t="s">
        <v>128</v>
      </c>
      <c r="B999" t="s">
        <v>503</v>
      </c>
      <c r="C999" t="s">
        <v>72</v>
      </c>
      <c r="D999" s="12">
        <v>46237</v>
      </c>
      <c r="E999" t="s">
        <v>134</v>
      </c>
      <c r="F999" t="s">
        <v>134</v>
      </c>
      <c r="G999" t="s">
        <v>134</v>
      </c>
      <c r="H999" t="s">
        <v>74</v>
      </c>
      <c r="I999">
        <v>10</v>
      </c>
      <c r="J999">
        <v>1.7587131367292226</v>
      </c>
      <c r="K999">
        <v>46237</v>
      </c>
      <c r="L999" t="s">
        <v>182</v>
      </c>
      <c r="M999">
        <v>0</v>
      </c>
      <c r="N999">
        <v>0</v>
      </c>
      <c r="O999">
        <v>6.2745098039215685E-2</v>
      </c>
      <c r="P999">
        <v>0</v>
      </c>
      <c r="Q999">
        <v>0</v>
      </c>
      <c r="R999">
        <v>3.5676709708273552E-2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3.5676709708273552E-2</v>
      </c>
      <c r="AC999">
        <v>0.96432329029172648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J999">
        <v>0</v>
      </c>
      <c r="BK999">
        <v>0</v>
      </c>
      <c r="BL999">
        <v>28.029490616621985</v>
      </c>
      <c r="BM999">
        <v>27.029490616621985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</row>
    <row r="1000" spans="1:84" hidden="1" x14ac:dyDescent="0.25">
      <c r="A1000" t="s">
        <v>128</v>
      </c>
      <c r="B1000" t="s">
        <v>503</v>
      </c>
      <c r="C1000" t="s">
        <v>72</v>
      </c>
      <c r="D1000" s="12">
        <v>46234</v>
      </c>
      <c r="E1000" t="s">
        <v>134</v>
      </c>
      <c r="F1000" t="s">
        <v>134</v>
      </c>
      <c r="G1000" t="s">
        <v>134</v>
      </c>
      <c r="H1000" t="s">
        <v>75</v>
      </c>
      <c r="I1000">
        <v>10</v>
      </c>
      <c r="J1000">
        <v>2.6380697050938338</v>
      </c>
      <c r="K1000">
        <v>46234</v>
      </c>
      <c r="L1000" t="s">
        <v>189</v>
      </c>
      <c r="M1000">
        <v>2.8499999999999996</v>
      </c>
      <c r="N1000">
        <v>2.8499999999999996</v>
      </c>
      <c r="O1000">
        <v>2.188148788927335</v>
      </c>
      <c r="P1000">
        <v>1.0803353658536583</v>
      </c>
      <c r="Q1000">
        <v>1.0803353658536583</v>
      </c>
      <c r="R1000">
        <v>0.82945070962387801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8.0335365853658303E-2</v>
      </c>
      <c r="AB1000">
        <v>0</v>
      </c>
      <c r="AC1000">
        <v>0</v>
      </c>
      <c r="AD1000">
        <v>0</v>
      </c>
      <c r="AE1000">
        <v>0.17054929037612199</v>
      </c>
      <c r="AF1000">
        <v>0</v>
      </c>
      <c r="AG1000">
        <v>0.82945070962387801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0.92563849301538037</v>
      </c>
      <c r="AN1000">
        <v>0.92563849301538037</v>
      </c>
      <c r="AO1000">
        <v>0.76777150488678425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7.436150698461963E-2</v>
      </c>
      <c r="BA1000">
        <v>0</v>
      </c>
      <c r="BB1000">
        <v>0.15786698812859612</v>
      </c>
      <c r="BC1000">
        <v>0</v>
      </c>
      <c r="BD1000">
        <v>0.76777150488678425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1.3024708440403243</v>
      </c>
      <c r="BK1000">
        <v>1.3024708440403243</v>
      </c>
      <c r="BL1000">
        <v>1.2056171492739565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0.20561714927395647</v>
      </c>
      <c r="BT1000">
        <v>0</v>
      </c>
      <c r="BU1000">
        <v>9.6853694766367848E-2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0</v>
      </c>
      <c r="CC1000">
        <v>0</v>
      </c>
      <c r="CD1000">
        <v>0</v>
      </c>
      <c r="CE1000">
        <v>0</v>
      </c>
      <c r="CF1000">
        <v>0</v>
      </c>
    </row>
    <row r="1001" spans="1:84" hidden="1" x14ac:dyDescent="0.25">
      <c r="A1001" t="s">
        <v>128</v>
      </c>
      <c r="B1001" t="s">
        <v>503</v>
      </c>
      <c r="C1001" t="s">
        <v>72</v>
      </c>
      <c r="D1001" s="12">
        <v>46223</v>
      </c>
      <c r="E1001" t="s">
        <v>134</v>
      </c>
      <c r="F1001" t="s">
        <v>134</v>
      </c>
      <c r="G1001" t="s">
        <v>134</v>
      </c>
      <c r="H1001" t="s">
        <v>73</v>
      </c>
      <c r="I1001">
        <v>10</v>
      </c>
      <c r="J1001">
        <v>1.4014745308310994</v>
      </c>
      <c r="K1001">
        <v>46223</v>
      </c>
      <c r="L1001" t="s">
        <v>173</v>
      </c>
      <c r="M1001">
        <v>5.6999999999999993</v>
      </c>
      <c r="N1001">
        <v>5.6999999999999993</v>
      </c>
      <c r="O1001">
        <v>0.94117647058823517</v>
      </c>
      <c r="P1001">
        <v>4.0671449067431835</v>
      </c>
      <c r="Q1001">
        <v>4.0671449067431835</v>
      </c>
      <c r="R1001">
        <v>0.67156159450867847</v>
      </c>
      <c r="S1001">
        <v>0</v>
      </c>
      <c r="T1001">
        <v>0</v>
      </c>
      <c r="U1001">
        <v>2.8171449067431835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0.25</v>
      </c>
      <c r="AB1001">
        <v>0</v>
      </c>
      <c r="AC1001">
        <v>0</v>
      </c>
      <c r="AD1001">
        <v>0</v>
      </c>
      <c r="AE1001">
        <v>0.32843840549132153</v>
      </c>
      <c r="AF1001">
        <v>0</v>
      </c>
      <c r="AG1001">
        <v>0.67156159450867847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0.24587272470721044</v>
      </c>
      <c r="AN1001">
        <v>0.24587272470721044</v>
      </c>
      <c r="AO1001">
        <v>0.1651186790505676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0.75412727529278956</v>
      </c>
      <c r="BA1001">
        <v>0</v>
      </c>
      <c r="BB1001">
        <v>8.0754045656642848E-2</v>
      </c>
      <c r="BC1001">
        <v>0</v>
      </c>
      <c r="BD1001">
        <v>0.1651186790505676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6.0562500000000004</v>
      </c>
      <c r="BK1001">
        <v>6.0562500000000004</v>
      </c>
      <c r="BL1001">
        <v>1.4890666890080433</v>
      </c>
      <c r="CC1001">
        <v>0</v>
      </c>
      <c r="CD1001">
        <v>0</v>
      </c>
      <c r="CE1001">
        <v>0</v>
      </c>
    </row>
    <row r="1002" spans="1:84" hidden="1" x14ac:dyDescent="0.25">
      <c r="A1002" t="s">
        <v>128</v>
      </c>
      <c r="B1002" t="s">
        <v>503</v>
      </c>
      <c r="C1002" t="s">
        <v>72</v>
      </c>
      <c r="D1002" s="12">
        <v>46236</v>
      </c>
      <c r="E1002" t="s">
        <v>134</v>
      </c>
      <c r="F1002" t="s">
        <v>134</v>
      </c>
      <c r="G1002" t="s">
        <v>134</v>
      </c>
      <c r="H1002" t="s">
        <v>75</v>
      </c>
      <c r="I1002">
        <v>10</v>
      </c>
      <c r="J1002">
        <v>2.6380697050938338</v>
      </c>
      <c r="K1002">
        <v>46236</v>
      </c>
      <c r="L1002" t="s">
        <v>183</v>
      </c>
      <c r="M1002">
        <v>0.95</v>
      </c>
      <c r="N1002">
        <v>0.95</v>
      </c>
      <c r="O1002">
        <v>1.8823529411764703</v>
      </c>
      <c r="P1002">
        <v>0.36011178861788617</v>
      </c>
      <c r="Q1002">
        <v>0.36011178861788617</v>
      </c>
      <c r="R1002">
        <v>0.71353419416547093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0.35342240554758475</v>
      </c>
      <c r="AC1002">
        <v>0.28646580583452907</v>
      </c>
      <c r="AD1002">
        <v>0</v>
      </c>
      <c r="AE1002">
        <v>0</v>
      </c>
      <c r="AF1002">
        <v>0</v>
      </c>
      <c r="AG1002">
        <v>0.36011178861788617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2.7769154790461408</v>
      </c>
      <c r="AN1002">
        <v>2.7769154790461408</v>
      </c>
      <c r="AO1002">
        <v>1.9814241486068109</v>
      </c>
      <c r="BF1002">
        <v>0</v>
      </c>
      <c r="BG1002">
        <v>0</v>
      </c>
      <c r="BH1002">
        <v>0</v>
      </c>
      <c r="BJ1002">
        <v>0.50468750000000007</v>
      </c>
      <c r="BK1002">
        <v>0.50468750000000007</v>
      </c>
      <c r="BL1002">
        <v>1.4014745308310994</v>
      </c>
      <c r="BM1002">
        <v>0.40147453083109941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0.63988821138211383</v>
      </c>
      <c r="BW1002">
        <v>0</v>
      </c>
      <c r="BX1002">
        <v>0</v>
      </c>
      <c r="BY1002">
        <v>0</v>
      </c>
      <c r="BZ1002">
        <v>0</v>
      </c>
      <c r="CA1002">
        <v>0.50468750000000007</v>
      </c>
      <c r="CB1002">
        <v>0</v>
      </c>
      <c r="CC1002">
        <v>0</v>
      </c>
      <c r="CD1002">
        <v>0</v>
      </c>
      <c r="CE1002">
        <v>0</v>
      </c>
      <c r="CF1002">
        <v>0</v>
      </c>
    </row>
    <row r="1003" spans="1:84" hidden="1" x14ac:dyDescent="0.25">
      <c r="A1003" t="s">
        <v>128</v>
      </c>
      <c r="B1003" t="s">
        <v>503</v>
      </c>
      <c r="C1003" t="s">
        <v>72</v>
      </c>
      <c r="D1003" s="12">
        <v>46223</v>
      </c>
      <c r="E1003" t="s">
        <v>134</v>
      </c>
      <c r="F1003" t="s">
        <v>134</v>
      </c>
      <c r="G1003" t="s">
        <v>134</v>
      </c>
      <c r="H1003" t="s">
        <v>74</v>
      </c>
      <c r="I1003">
        <v>10</v>
      </c>
      <c r="J1003">
        <v>1.7587131367292226</v>
      </c>
      <c r="K1003">
        <v>46223</v>
      </c>
      <c r="L1003" t="s">
        <v>157</v>
      </c>
      <c r="M1003">
        <v>0</v>
      </c>
      <c r="N1003">
        <v>0</v>
      </c>
      <c r="O1003">
        <v>1.0127450980392154</v>
      </c>
      <c r="P1003">
        <v>0</v>
      </c>
      <c r="Q1003">
        <v>0</v>
      </c>
      <c r="R1003">
        <v>0.57584439263510268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0.57584439263510268</v>
      </c>
      <c r="AC1003">
        <v>0.42415560736489732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</v>
      </c>
      <c r="BJ1003">
        <v>0</v>
      </c>
      <c r="BK1003">
        <v>0</v>
      </c>
      <c r="BL1003">
        <v>1.7365802511750315</v>
      </c>
      <c r="BM1003">
        <v>0.73658025117503145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1</v>
      </c>
      <c r="CF1003">
        <v>1</v>
      </c>
    </row>
    <row r="1004" spans="1:84" hidden="1" x14ac:dyDescent="0.25">
      <c r="A1004" t="s">
        <v>128</v>
      </c>
      <c r="B1004" t="s">
        <v>503</v>
      </c>
      <c r="C1004" t="s">
        <v>72</v>
      </c>
      <c r="D1004" s="12">
        <v>46236</v>
      </c>
      <c r="E1004" t="s">
        <v>134</v>
      </c>
      <c r="F1004" t="s">
        <v>134</v>
      </c>
      <c r="G1004" t="s">
        <v>134</v>
      </c>
      <c r="H1004" t="s">
        <v>74</v>
      </c>
      <c r="I1004">
        <v>10</v>
      </c>
      <c r="J1004">
        <v>1.7587131367292226</v>
      </c>
      <c r="K1004">
        <v>46236</v>
      </c>
      <c r="L1004" t="s">
        <v>184</v>
      </c>
      <c r="M1004">
        <v>0</v>
      </c>
      <c r="N1004">
        <v>0</v>
      </c>
      <c r="O1004">
        <v>6.2745098039215685E-2</v>
      </c>
      <c r="P1004">
        <v>0</v>
      </c>
      <c r="Q1004">
        <v>0</v>
      </c>
      <c r="R1004">
        <v>3.5676709708273552E-2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3.5676709708273552E-2</v>
      </c>
      <c r="AC1004">
        <v>0.96432329029172648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J1004">
        <v>0</v>
      </c>
      <c r="BK1004">
        <v>0</v>
      </c>
      <c r="BL1004">
        <v>28.029490616621985</v>
      </c>
      <c r="BM1004">
        <v>27.029490616621985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 spans="1:84" hidden="1" x14ac:dyDescent="0.25">
      <c r="A1005" t="s">
        <v>128</v>
      </c>
      <c r="B1005" t="s">
        <v>503</v>
      </c>
      <c r="C1005" t="s">
        <v>72</v>
      </c>
      <c r="D1005" s="12">
        <v>46223</v>
      </c>
      <c r="E1005" t="s">
        <v>134</v>
      </c>
      <c r="F1005" t="s">
        <v>134</v>
      </c>
      <c r="G1005" t="s">
        <v>134</v>
      </c>
      <c r="H1005" t="s">
        <v>75</v>
      </c>
      <c r="I1005">
        <v>10</v>
      </c>
      <c r="J1005">
        <v>2.6380697050938338</v>
      </c>
      <c r="K1005">
        <v>46223</v>
      </c>
      <c r="L1005" t="s">
        <v>165</v>
      </c>
      <c r="M1005">
        <v>2.8499999999999996</v>
      </c>
      <c r="N1005">
        <v>2.8499999999999996</v>
      </c>
      <c r="O1005">
        <v>2.0220588235294117</v>
      </c>
      <c r="P1005">
        <v>1.0803353658536583</v>
      </c>
      <c r="Q1005">
        <v>1.0803353658536583</v>
      </c>
      <c r="R1005">
        <v>0.76649181013868961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8.0335365853658303E-2</v>
      </c>
      <c r="AB1005">
        <v>0</v>
      </c>
      <c r="AC1005">
        <v>0</v>
      </c>
      <c r="AD1005">
        <v>0</v>
      </c>
      <c r="AE1005">
        <v>0.23350818986131039</v>
      </c>
      <c r="AF1005">
        <v>0</v>
      </c>
      <c r="AG1005">
        <v>0.76649181013868961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0.92563849301538037</v>
      </c>
      <c r="AN1005">
        <v>0.92563849301538037</v>
      </c>
      <c r="AO1005">
        <v>0.70949432404540769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7.436150698461963E-2</v>
      </c>
      <c r="BA1005">
        <v>0</v>
      </c>
      <c r="BB1005">
        <v>0.21614416896997268</v>
      </c>
      <c r="BC1005">
        <v>0</v>
      </c>
      <c r="BD1005">
        <v>0.70949432404540769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1.4094545454545453</v>
      </c>
      <c r="BK1005">
        <v>1.4094545454545453</v>
      </c>
      <c r="BL1005">
        <v>1.3046453814282233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0.30464538142822328</v>
      </c>
      <c r="BT1005">
        <v>0</v>
      </c>
      <c r="BU1005">
        <v>0.10480916402632201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0</v>
      </c>
      <c r="CC1005">
        <v>0</v>
      </c>
      <c r="CD1005">
        <v>0</v>
      </c>
      <c r="CE1005">
        <v>0</v>
      </c>
      <c r="CF1005">
        <v>0</v>
      </c>
    </row>
    <row r="1006" spans="1:84" hidden="1" x14ac:dyDescent="0.25">
      <c r="A1006" t="s">
        <v>128</v>
      </c>
      <c r="B1006" t="s">
        <v>503</v>
      </c>
      <c r="C1006" t="s">
        <v>72</v>
      </c>
      <c r="D1006" s="12">
        <v>46236</v>
      </c>
      <c r="E1006" t="s">
        <v>134</v>
      </c>
      <c r="F1006" t="s">
        <v>134</v>
      </c>
      <c r="G1006" t="s">
        <v>134</v>
      </c>
      <c r="H1006" t="s">
        <v>73</v>
      </c>
      <c r="I1006">
        <v>10</v>
      </c>
      <c r="J1006">
        <v>1.4014745308311001</v>
      </c>
      <c r="K1006">
        <v>46236</v>
      </c>
      <c r="L1006" t="s">
        <v>185</v>
      </c>
      <c r="M1006">
        <v>4.75</v>
      </c>
      <c r="N1006">
        <v>4.75</v>
      </c>
      <c r="O1006">
        <v>1.0896139705882353</v>
      </c>
      <c r="P1006">
        <v>3.3892874222859852</v>
      </c>
      <c r="Q1006">
        <v>3.3892874222859852</v>
      </c>
      <c r="R1006">
        <v>0.77747682645511529</v>
      </c>
      <c r="S1006">
        <v>0</v>
      </c>
      <c r="T1006">
        <v>0</v>
      </c>
      <c r="U1006">
        <v>2.1392874222859852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0.25</v>
      </c>
      <c r="AB1006">
        <v>0</v>
      </c>
      <c r="AC1006">
        <v>0</v>
      </c>
      <c r="AD1006">
        <v>0</v>
      </c>
      <c r="AE1006">
        <v>0.22252317354488471</v>
      </c>
      <c r="AF1006">
        <v>0</v>
      </c>
      <c r="AG1006">
        <v>0.77747682645511529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0.29504726964865263</v>
      </c>
      <c r="AN1006">
        <v>0.29504726964865263</v>
      </c>
      <c r="AO1006">
        <v>0.2293924148606811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0.70495273035134742</v>
      </c>
      <c r="BA1006">
        <v>0</v>
      </c>
      <c r="BB1006">
        <v>6.5654854787971534E-2</v>
      </c>
      <c r="BC1006">
        <v>0</v>
      </c>
      <c r="BD1006">
        <v>0.2293924148606811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4.3593420497680304</v>
      </c>
      <c r="BK1006">
        <v>4.3593420497680304</v>
      </c>
      <c r="BL1006">
        <v>1.2862119692486182</v>
      </c>
      <c r="CC1006">
        <v>0</v>
      </c>
      <c r="CD1006">
        <v>0</v>
      </c>
      <c r="CE1006">
        <v>0</v>
      </c>
    </row>
    <row r="1007" spans="1:84" hidden="1" x14ac:dyDescent="0.25">
      <c r="A1007" t="s">
        <v>128</v>
      </c>
      <c r="B1007" t="s">
        <v>503</v>
      </c>
      <c r="C1007" t="s">
        <v>72</v>
      </c>
      <c r="D1007" s="12">
        <v>46224</v>
      </c>
      <c r="E1007" t="s">
        <v>134</v>
      </c>
      <c r="F1007" t="s">
        <v>134</v>
      </c>
      <c r="G1007" t="s">
        <v>134</v>
      </c>
      <c r="H1007" t="s">
        <v>73</v>
      </c>
      <c r="I1007">
        <v>10</v>
      </c>
      <c r="J1007">
        <v>1.4014745308310996</v>
      </c>
      <c r="K1007">
        <v>46224</v>
      </c>
      <c r="L1007" t="s">
        <v>172</v>
      </c>
      <c r="M1007">
        <v>5.6999999999999993</v>
      </c>
      <c r="N1007">
        <v>5.6999999999999993</v>
      </c>
      <c r="O1007">
        <v>1.0896139705882353</v>
      </c>
      <c r="P1007">
        <v>4.0671449067431835</v>
      </c>
      <c r="Q1007">
        <v>4.0671449067431835</v>
      </c>
      <c r="R1007">
        <v>0.77747682645511551</v>
      </c>
      <c r="S1007">
        <v>0</v>
      </c>
      <c r="T1007">
        <v>0</v>
      </c>
      <c r="U1007">
        <v>2.8171449067431835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0.25</v>
      </c>
      <c r="AB1007">
        <v>0</v>
      </c>
      <c r="AC1007">
        <v>0</v>
      </c>
      <c r="AD1007">
        <v>0</v>
      </c>
      <c r="AE1007">
        <v>0.22252317354488449</v>
      </c>
      <c r="AF1007">
        <v>0</v>
      </c>
      <c r="AG1007">
        <v>0.77747682645511551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0.2458727247072105</v>
      </c>
      <c r="AN1007">
        <v>0.2458727247072105</v>
      </c>
      <c r="AO1007">
        <v>0.19116034571723428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0.75412727529278945</v>
      </c>
      <c r="BA1007">
        <v>0</v>
      </c>
      <c r="BB1007">
        <v>5.4712378989976218E-2</v>
      </c>
      <c r="BC1007">
        <v>0</v>
      </c>
      <c r="BD1007">
        <v>0.19116034571723428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5.2312104597216358</v>
      </c>
      <c r="BK1007">
        <v>5.2312104597216358</v>
      </c>
      <c r="BL1007">
        <v>1.2862119692486178</v>
      </c>
      <c r="CC1007">
        <v>0</v>
      </c>
      <c r="CD1007">
        <v>0</v>
      </c>
      <c r="CE1007">
        <v>0</v>
      </c>
    </row>
    <row r="1008" spans="1:84" hidden="1" x14ac:dyDescent="0.25">
      <c r="A1008" t="s">
        <v>128</v>
      </c>
      <c r="B1008" t="s">
        <v>503</v>
      </c>
      <c r="C1008" t="s">
        <v>72</v>
      </c>
      <c r="D1008" s="12">
        <v>46224</v>
      </c>
      <c r="E1008" t="s">
        <v>134</v>
      </c>
      <c r="F1008" t="s">
        <v>134</v>
      </c>
      <c r="G1008" t="s">
        <v>134</v>
      </c>
      <c r="H1008" t="s">
        <v>74</v>
      </c>
      <c r="I1008">
        <v>10</v>
      </c>
      <c r="J1008">
        <v>1.7587131367292226</v>
      </c>
      <c r="K1008">
        <v>46224</v>
      </c>
      <c r="L1008" t="s">
        <v>169</v>
      </c>
      <c r="M1008">
        <v>0</v>
      </c>
      <c r="N1008">
        <v>0</v>
      </c>
      <c r="O1008">
        <v>0.94999999999999973</v>
      </c>
      <c r="P1008">
        <v>0</v>
      </c>
      <c r="Q1008">
        <v>0</v>
      </c>
      <c r="R1008">
        <v>0.54016768292682915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0.54016768292682915</v>
      </c>
      <c r="AC1008">
        <v>0.45983231707317085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J1008">
        <v>0</v>
      </c>
      <c r="BK1008">
        <v>0</v>
      </c>
      <c r="BL1008">
        <v>1.8512769860307612</v>
      </c>
      <c r="BM1008">
        <v>0.85127698603076118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</row>
    <row r="1009" spans="1:84" hidden="1" x14ac:dyDescent="0.25">
      <c r="A1009" t="s">
        <v>128</v>
      </c>
      <c r="B1009" t="s">
        <v>503</v>
      </c>
      <c r="C1009" t="s">
        <v>72</v>
      </c>
      <c r="D1009" s="12">
        <v>46235</v>
      </c>
      <c r="E1009" t="s">
        <v>134</v>
      </c>
      <c r="F1009" t="s">
        <v>134</v>
      </c>
      <c r="G1009" t="s">
        <v>134</v>
      </c>
      <c r="H1009" t="s">
        <v>75</v>
      </c>
      <c r="I1009">
        <v>10</v>
      </c>
      <c r="J1009">
        <v>2.3277085633180881</v>
      </c>
      <c r="K1009">
        <v>46235</v>
      </c>
      <c r="L1009" t="s">
        <v>186</v>
      </c>
      <c r="M1009">
        <v>0.95</v>
      </c>
      <c r="N1009">
        <v>0.95</v>
      </c>
      <c r="O1009">
        <v>2.188148788927335</v>
      </c>
      <c r="P1009">
        <v>0.40812669376693778</v>
      </c>
      <c r="Q1009">
        <v>0.40812669376693778</v>
      </c>
      <c r="R1009">
        <v>0.94004413757372862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0.53191744380679085</v>
      </c>
      <c r="AC1009">
        <v>5.9955862426271378E-2</v>
      </c>
      <c r="AD1009">
        <v>0</v>
      </c>
      <c r="AE1009">
        <v>0</v>
      </c>
      <c r="AF1009">
        <v>0</v>
      </c>
      <c r="AG1009">
        <v>0.40812669376693778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2.4502195403348295</v>
      </c>
      <c r="AN1009">
        <v>2.4502195403348295</v>
      </c>
      <c r="AO1009">
        <v>2.3033145146603529</v>
      </c>
      <c r="BF1009">
        <v>0</v>
      </c>
      <c r="BG1009">
        <v>0</v>
      </c>
      <c r="BH1009">
        <v>0</v>
      </c>
      <c r="BJ1009">
        <v>0.43415694801344151</v>
      </c>
      <c r="BK1009">
        <v>0.43415694801344151</v>
      </c>
      <c r="BL1009">
        <v>1.0637798375946672</v>
      </c>
      <c r="BM1009">
        <v>6.377983759466721E-2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0.59187330623306222</v>
      </c>
      <c r="BW1009">
        <v>0</v>
      </c>
      <c r="BX1009">
        <v>0</v>
      </c>
      <c r="BY1009">
        <v>0</v>
      </c>
      <c r="BZ1009">
        <v>0</v>
      </c>
      <c r="CA1009">
        <v>0.43415694801344151</v>
      </c>
      <c r="CB1009">
        <v>0</v>
      </c>
      <c r="CC1009">
        <v>0</v>
      </c>
      <c r="CD1009">
        <v>0</v>
      </c>
      <c r="CE1009">
        <v>0</v>
      </c>
      <c r="CF1009">
        <v>0</v>
      </c>
    </row>
    <row r="1010" spans="1:84" hidden="1" x14ac:dyDescent="0.25">
      <c r="A1010" t="s">
        <v>128</v>
      </c>
      <c r="B1010" t="s">
        <v>503</v>
      </c>
      <c r="C1010" t="s">
        <v>72</v>
      </c>
      <c r="D1010" s="12">
        <v>46235</v>
      </c>
      <c r="E1010" t="s">
        <v>134</v>
      </c>
      <c r="F1010" t="s">
        <v>134</v>
      </c>
      <c r="G1010" t="s">
        <v>134</v>
      </c>
      <c r="H1010" t="s">
        <v>74</v>
      </c>
      <c r="I1010">
        <v>10</v>
      </c>
      <c r="J1010">
        <v>1.7587131367292226</v>
      </c>
      <c r="K1010">
        <v>46235</v>
      </c>
      <c r="L1010" t="s">
        <v>187</v>
      </c>
      <c r="M1010">
        <v>0</v>
      </c>
      <c r="N1010">
        <v>0</v>
      </c>
      <c r="O1010">
        <v>1.0127450980392154</v>
      </c>
      <c r="P1010">
        <v>0</v>
      </c>
      <c r="Q1010">
        <v>0</v>
      </c>
      <c r="R1010">
        <v>0.57584439263510268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0.57584439263510268</v>
      </c>
      <c r="AC1010">
        <v>0.42415560736489732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J1010">
        <v>0</v>
      </c>
      <c r="BK1010">
        <v>0</v>
      </c>
      <c r="BL1010">
        <v>1.7365802511750315</v>
      </c>
      <c r="BM1010">
        <v>0.73658025117503145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>
        <v>1</v>
      </c>
    </row>
    <row r="1011" spans="1:84" hidden="1" x14ac:dyDescent="0.25">
      <c r="A1011" t="s">
        <v>128</v>
      </c>
      <c r="B1011" t="s">
        <v>503</v>
      </c>
      <c r="C1011" t="s">
        <v>72</v>
      </c>
      <c r="D1011" s="12">
        <v>46224</v>
      </c>
      <c r="E1011" t="s">
        <v>134</v>
      </c>
      <c r="F1011" t="s">
        <v>134</v>
      </c>
      <c r="G1011" t="s">
        <v>134</v>
      </c>
      <c r="H1011" t="s">
        <v>75</v>
      </c>
      <c r="I1011">
        <v>10</v>
      </c>
      <c r="J1011">
        <v>2.6380697050938338</v>
      </c>
      <c r="K1011">
        <v>46224</v>
      </c>
      <c r="L1011" t="s">
        <v>166</v>
      </c>
      <c r="M1011">
        <v>0.95</v>
      </c>
      <c r="N1011">
        <v>0.95</v>
      </c>
      <c r="O1011">
        <v>1.1362456747404843</v>
      </c>
      <c r="P1011">
        <v>0.36011178861788617</v>
      </c>
      <c r="Q1011">
        <v>0.36011178861788617</v>
      </c>
      <c r="R1011">
        <v>0.43071101288435026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7.0599224266464089E-2</v>
      </c>
      <c r="AC1011">
        <v>0.56928898711564968</v>
      </c>
      <c r="AD1011">
        <v>0</v>
      </c>
      <c r="AE1011">
        <v>0</v>
      </c>
      <c r="AF1011">
        <v>0</v>
      </c>
      <c r="AG1011">
        <v>0.36011178861788617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2.7769154790461408</v>
      </c>
      <c r="AN1011">
        <v>2.7769154790461408</v>
      </c>
      <c r="AO1011">
        <v>1.196048078674194</v>
      </c>
      <c r="BF1011">
        <v>0</v>
      </c>
      <c r="BG1011">
        <v>0</v>
      </c>
      <c r="BH1011">
        <v>0</v>
      </c>
      <c r="BJ1011">
        <v>0.83608679101636851</v>
      </c>
      <c r="BK1011">
        <v>0.83608679101636851</v>
      </c>
      <c r="BL1011">
        <v>2.3217423517993696</v>
      </c>
      <c r="BM1011">
        <v>1.3217423517993696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0.63988821138211383</v>
      </c>
      <c r="BW1011">
        <v>0</v>
      </c>
      <c r="BX1011">
        <v>0</v>
      </c>
      <c r="BY1011">
        <v>0</v>
      </c>
      <c r="BZ1011">
        <v>0</v>
      </c>
      <c r="CA1011">
        <v>0.83608679101636851</v>
      </c>
      <c r="CB1011">
        <v>0</v>
      </c>
      <c r="CC1011">
        <v>0</v>
      </c>
      <c r="CD1011">
        <v>0</v>
      </c>
      <c r="CE1011">
        <v>0</v>
      </c>
      <c r="CF1011">
        <v>0</v>
      </c>
    </row>
    <row r="1012" spans="1:84" hidden="1" x14ac:dyDescent="0.25">
      <c r="A1012" t="s">
        <v>128</v>
      </c>
      <c r="B1012" t="s">
        <v>503</v>
      </c>
      <c r="C1012" t="s">
        <v>72</v>
      </c>
      <c r="D1012" s="12">
        <v>46225</v>
      </c>
      <c r="E1012" t="s">
        <v>134</v>
      </c>
      <c r="F1012" t="s">
        <v>134</v>
      </c>
      <c r="G1012" t="s">
        <v>134</v>
      </c>
      <c r="H1012" t="s">
        <v>73</v>
      </c>
      <c r="I1012">
        <v>10</v>
      </c>
      <c r="J1012">
        <v>2.8029490616621988</v>
      </c>
      <c r="K1012">
        <v>46225</v>
      </c>
      <c r="L1012" t="s">
        <v>163</v>
      </c>
      <c r="M1012">
        <v>3.8</v>
      </c>
      <c r="N1012">
        <v>3.8</v>
      </c>
      <c r="O1012">
        <v>1.0896139705882353</v>
      </c>
      <c r="P1012">
        <v>1.3557149689143948</v>
      </c>
      <c r="Q1012">
        <v>1.3557149689143948</v>
      </c>
      <c r="R1012">
        <v>0.38873841322755781</v>
      </c>
      <c r="S1012">
        <v>0</v>
      </c>
      <c r="T1012">
        <v>0</v>
      </c>
      <c r="U1012">
        <v>0.1057149689143948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0.25</v>
      </c>
      <c r="AB1012">
        <v>0</v>
      </c>
      <c r="AC1012">
        <v>0</v>
      </c>
      <c r="AD1012">
        <v>0</v>
      </c>
      <c r="AE1012">
        <v>0.61126158677244224</v>
      </c>
      <c r="AF1012">
        <v>0</v>
      </c>
      <c r="AG1012">
        <v>0.38873841322755781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0.73761817412163133</v>
      </c>
      <c r="AN1012">
        <v>0.73761817412163133</v>
      </c>
      <c r="AO1012">
        <v>0.28674051857585142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0.26238182587836867</v>
      </c>
      <c r="BA1012">
        <v>0</v>
      </c>
      <c r="BB1012">
        <v>0.45087765554577991</v>
      </c>
      <c r="BC1012">
        <v>0</v>
      </c>
      <c r="BD1012">
        <v>0.28674051857585142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3.4874736398144242</v>
      </c>
      <c r="BK1012">
        <v>3.4874736398144242</v>
      </c>
      <c r="BL1012">
        <v>2.5724239384972352</v>
      </c>
      <c r="CC1012">
        <v>0</v>
      </c>
      <c r="CD1012">
        <v>0</v>
      </c>
      <c r="CE1012">
        <v>0</v>
      </c>
    </row>
    <row r="1013" spans="1:84" hidden="1" x14ac:dyDescent="0.25">
      <c r="A1013" t="s">
        <v>128</v>
      </c>
      <c r="B1013" t="s">
        <v>503</v>
      </c>
      <c r="C1013" t="s">
        <v>72</v>
      </c>
      <c r="D1013" s="12">
        <v>46237</v>
      </c>
      <c r="E1013" t="s">
        <v>134</v>
      </c>
      <c r="F1013" t="s">
        <v>134</v>
      </c>
      <c r="G1013" t="s">
        <v>134</v>
      </c>
      <c r="H1013" t="s">
        <v>73</v>
      </c>
      <c r="I1013">
        <v>10</v>
      </c>
      <c r="J1013">
        <v>1.4014745308310996</v>
      </c>
      <c r="K1013">
        <v>46237</v>
      </c>
      <c r="L1013" t="s">
        <v>232</v>
      </c>
      <c r="M1013">
        <v>0</v>
      </c>
      <c r="N1013">
        <v>0</v>
      </c>
      <c r="O1013">
        <v>2.5882352941176476</v>
      </c>
      <c r="P1013">
        <v>0</v>
      </c>
      <c r="Q1013">
        <v>0</v>
      </c>
      <c r="R1013">
        <v>1.8467943848988662</v>
      </c>
      <c r="S1013">
        <v>0.84679438489886616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1</v>
      </c>
      <c r="BI1013">
        <v>1</v>
      </c>
      <c r="BJ1013">
        <v>0</v>
      </c>
      <c r="BK1013">
        <v>0</v>
      </c>
      <c r="BL1013">
        <v>0.5414787960029247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0.4585212039970753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0.5414787960029247</v>
      </c>
      <c r="CF1013">
        <v>0</v>
      </c>
    </row>
    <row r="1014" spans="1:84" hidden="1" x14ac:dyDescent="0.25">
      <c r="A1014" t="s">
        <v>128</v>
      </c>
      <c r="B1014" t="s">
        <v>503</v>
      </c>
      <c r="C1014" t="s">
        <v>72</v>
      </c>
      <c r="D1014" s="12">
        <v>46249</v>
      </c>
      <c r="E1014" t="s">
        <v>133</v>
      </c>
      <c r="F1014" t="s">
        <v>133</v>
      </c>
      <c r="G1014" t="s">
        <v>133</v>
      </c>
      <c r="H1014" t="s">
        <v>73</v>
      </c>
      <c r="I1014">
        <v>20</v>
      </c>
      <c r="J1014">
        <v>10.316594561186651</v>
      </c>
      <c r="K1014">
        <v>46249</v>
      </c>
      <c r="L1014" t="s">
        <v>155</v>
      </c>
      <c r="M1014">
        <v>28.5</v>
      </c>
      <c r="N1014">
        <v>28.5</v>
      </c>
      <c r="O1014">
        <v>9.2588235294117602</v>
      </c>
      <c r="P1014">
        <v>2.7625395018646377</v>
      </c>
      <c r="Q1014">
        <v>2.7625395018646377</v>
      </c>
      <c r="R1014">
        <v>0.89746897336118414</v>
      </c>
      <c r="S1014">
        <v>0</v>
      </c>
      <c r="T1014">
        <v>0</v>
      </c>
      <c r="U1014">
        <v>1.5125395018646377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0.25</v>
      </c>
      <c r="AB1014">
        <v>0</v>
      </c>
      <c r="AC1014">
        <v>0</v>
      </c>
      <c r="AD1014">
        <v>0</v>
      </c>
      <c r="AE1014">
        <v>0.10253102663881586</v>
      </c>
      <c r="AF1014">
        <v>0</v>
      </c>
      <c r="AG1014">
        <v>0.89746897336118414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0.36198577407672461</v>
      </c>
      <c r="AN1014">
        <v>0.36198577407672461</v>
      </c>
      <c r="AO1014">
        <v>0.32487100103199157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0.63801422592327539</v>
      </c>
      <c r="BA1014">
        <v>0</v>
      </c>
      <c r="BB1014">
        <v>3.711477304473304E-2</v>
      </c>
      <c r="BC1014">
        <v>0</v>
      </c>
      <c r="BD1014">
        <v>0.32487100103199157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3.0781448538754779</v>
      </c>
      <c r="BK1014">
        <v>3.0781448538754779</v>
      </c>
      <c r="BL1014">
        <v>1.1142446476504013</v>
      </c>
      <c r="CC1014">
        <v>0</v>
      </c>
      <c r="CD1014">
        <v>0</v>
      </c>
      <c r="CE1014">
        <v>0</v>
      </c>
    </row>
    <row r="1015" spans="1:84" hidden="1" x14ac:dyDescent="0.25">
      <c r="A1015" t="s">
        <v>128</v>
      </c>
      <c r="B1015" t="s">
        <v>503</v>
      </c>
      <c r="C1015" t="s">
        <v>72</v>
      </c>
      <c r="D1015" s="12">
        <v>46239</v>
      </c>
      <c r="E1015" t="s">
        <v>501</v>
      </c>
      <c r="F1015" t="s">
        <v>501</v>
      </c>
      <c r="G1015" t="s">
        <v>501</v>
      </c>
      <c r="H1015" t="s">
        <v>75</v>
      </c>
      <c r="I1015">
        <v>0</v>
      </c>
      <c r="J1015">
        <v>0.68601396059041697</v>
      </c>
      <c r="K1015">
        <v>46239</v>
      </c>
      <c r="L1015" t="s">
        <v>175</v>
      </c>
      <c r="M1015">
        <v>0</v>
      </c>
      <c r="N1015">
        <v>0</v>
      </c>
      <c r="O1015">
        <v>1.1506100892369333</v>
      </c>
      <c r="P1015">
        <v>0</v>
      </c>
      <c r="Q1015">
        <v>0</v>
      </c>
      <c r="R1015">
        <v>1.6772400495270714</v>
      </c>
      <c r="S1015">
        <v>0.6772400495270714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</v>
      </c>
      <c r="BI1015">
        <v>1</v>
      </c>
      <c r="BJ1015">
        <v>0</v>
      </c>
      <c r="BK1015">
        <v>0</v>
      </c>
      <c r="BL1015">
        <v>0.59621757796802455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0.40378242203197545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0.59621757796802455</v>
      </c>
      <c r="CF1015">
        <v>0</v>
      </c>
    </row>
    <row r="1016" spans="1:84" hidden="1" x14ac:dyDescent="0.25">
      <c r="A1016" t="s">
        <v>128</v>
      </c>
      <c r="B1016" t="s">
        <v>503</v>
      </c>
      <c r="C1016" t="s">
        <v>72</v>
      </c>
      <c r="D1016" s="12">
        <v>46248</v>
      </c>
      <c r="E1016" t="s">
        <v>134</v>
      </c>
      <c r="F1016" t="s">
        <v>134</v>
      </c>
      <c r="G1016" t="s">
        <v>134</v>
      </c>
      <c r="H1016" t="s">
        <v>75</v>
      </c>
      <c r="I1016">
        <v>10</v>
      </c>
      <c r="J1016">
        <v>2.6380697050938342</v>
      </c>
      <c r="K1016">
        <v>46248</v>
      </c>
      <c r="L1016" t="s">
        <v>156</v>
      </c>
      <c r="M1016">
        <v>0</v>
      </c>
      <c r="N1016">
        <v>0</v>
      </c>
      <c r="O1016">
        <v>3.1003460207612448</v>
      </c>
      <c r="P1016">
        <v>0</v>
      </c>
      <c r="Q1016">
        <v>0</v>
      </c>
      <c r="R1016">
        <v>1.1752327903901871</v>
      </c>
      <c r="S1016">
        <v>0.17523279039018713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1</v>
      </c>
      <c r="BI1016">
        <v>1</v>
      </c>
      <c r="BJ1016">
        <v>0</v>
      </c>
      <c r="BK1016">
        <v>0</v>
      </c>
      <c r="BL1016">
        <v>0.85089525086173923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0.14910474913826077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0.85089525086173923</v>
      </c>
      <c r="CF1016">
        <v>0</v>
      </c>
    </row>
    <row r="1017" spans="1:84" hidden="1" x14ac:dyDescent="0.25">
      <c r="A1017" t="s">
        <v>128</v>
      </c>
      <c r="B1017" t="s">
        <v>503</v>
      </c>
      <c r="C1017" t="s">
        <v>72</v>
      </c>
      <c r="D1017" s="12">
        <v>46226</v>
      </c>
      <c r="E1017" t="s">
        <v>501</v>
      </c>
      <c r="F1017" t="s">
        <v>501</v>
      </c>
      <c r="G1017" t="s">
        <v>501</v>
      </c>
      <c r="H1017" t="s">
        <v>73</v>
      </c>
      <c r="I1017">
        <v>0</v>
      </c>
      <c r="J1017">
        <v>2.8594908838071702</v>
      </c>
      <c r="K1017">
        <v>46226</v>
      </c>
      <c r="L1017" t="s">
        <v>229</v>
      </c>
      <c r="M1017">
        <v>0</v>
      </c>
      <c r="N1017">
        <v>0</v>
      </c>
      <c r="O1017">
        <v>2.4760061919504648</v>
      </c>
      <c r="P1017">
        <v>0</v>
      </c>
      <c r="Q1017">
        <v>0</v>
      </c>
      <c r="R1017">
        <v>0.86589057023111471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0.86589057023111471</v>
      </c>
      <c r="AC1017">
        <v>0.13410942976888529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J1017">
        <v>0</v>
      </c>
      <c r="BK1017">
        <v>0</v>
      </c>
      <c r="BL1017">
        <v>1.1548803444447837</v>
      </c>
      <c r="BM1017">
        <v>0.15488034444478371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1</v>
      </c>
      <c r="CF1017">
        <v>1</v>
      </c>
    </row>
    <row r="1018" spans="1:84" hidden="1" x14ac:dyDescent="0.25">
      <c r="A1018" t="s">
        <v>128</v>
      </c>
      <c r="B1018" t="s">
        <v>503</v>
      </c>
      <c r="C1018" t="s">
        <v>109</v>
      </c>
      <c r="D1018" s="12">
        <v>46233</v>
      </c>
      <c r="E1018" t="s">
        <v>134</v>
      </c>
      <c r="F1018" t="s">
        <v>134</v>
      </c>
      <c r="G1018" t="s">
        <v>134</v>
      </c>
      <c r="J1018">
        <v>6.8893707617095101</v>
      </c>
      <c r="M1018">
        <v>6.6499999999999995</v>
      </c>
      <c r="N1018">
        <v>6.6499999999999995</v>
      </c>
      <c r="O1018">
        <v>4.7233852364475197</v>
      </c>
      <c r="S1018">
        <v>0</v>
      </c>
      <c r="T1018">
        <v>0</v>
      </c>
      <c r="U1018">
        <v>0.12923738998065717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9.1296883405248705E-2</v>
      </c>
      <c r="AB1018">
        <v>0.14700110257789575</v>
      </c>
      <c r="AC1018">
        <v>0.10827810905983301</v>
      </c>
      <c r="AD1018">
        <v>0</v>
      </c>
      <c r="AE1018">
        <v>0.20611715288489185</v>
      </c>
      <c r="AF1018">
        <v>0</v>
      </c>
      <c r="AG1018">
        <v>0.53860363547737933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84" hidden="1" x14ac:dyDescent="0.25">
      <c r="A1019" t="s">
        <v>128</v>
      </c>
      <c r="B1019" t="s">
        <v>503</v>
      </c>
      <c r="C1019" t="s">
        <v>72</v>
      </c>
      <c r="D1019" s="12">
        <v>46226</v>
      </c>
      <c r="E1019" t="s">
        <v>501</v>
      </c>
      <c r="F1019" t="s">
        <v>501</v>
      </c>
      <c r="G1019" t="s">
        <v>501</v>
      </c>
      <c r="H1019" t="s">
        <v>74</v>
      </c>
      <c r="I1019">
        <v>0</v>
      </c>
      <c r="J1019">
        <v>0</v>
      </c>
      <c r="K1019">
        <v>46226</v>
      </c>
      <c r="L1019" t="s">
        <v>228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F1019">
        <v>0</v>
      </c>
    </row>
    <row r="1020" spans="1:84" hidden="1" x14ac:dyDescent="0.25">
      <c r="A1020" t="s">
        <v>128</v>
      </c>
      <c r="B1020" t="s">
        <v>503</v>
      </c>
      <c r="C1020" t="s">
        <v>109</v>
      </c>
      <c r="D1020" s="12">
        <v>46233</v>
      </c>
      <c r="E1020" t="s">
        <v>501</v>
      </c>
      <c r="F1020" t="s">
        <v>501</v>
      </c>
      <c r="G1020" t="s">
        <v>501</v>
      </c>
      <c r="J1020">
        <v>2.8594908838071702</v>
      </c>
      <c r="M1020">
        <v>0</v>
      </c>
      <c r="N1020">
        <v>0</v>
      </c>
      <c r="O1020">
        <v>3.0868238936441452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0.86589057023111471</v>
      </c>
      <c r="AC1020">
        <v>0.13410942976888529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84" hidden="1" x14ac:dyDescent="0.25">
      <c r="A1021" t="s">
        <v>128</v>
      </c>
      <c r="B1021" t="s">
        <v>503</v>
      </c>
      <c r="C1021" t="s">
        <v>72</v>
      </c>
      <c r="D1021" s="12">
        <v>46226</v>
      </c>
      <c r="E1021" t="s">
        <v>501</v>
      </c>
      <c r="F1021" t="s">
        <v>501</v>
      </c>
      <c r="G1021" t="s">
        <v>501</v>
      </c>
      <c r="H1021" t="s">
        <v>75</v>
      </c>
      <c r="I1021">
        <v>0</v>
      </c>
      <c r="J1021">
        <v>0</v>
      </c>
      <c r="K1021">
        <v>46226</v>
      </c>
      <c r="L1021" t="s">
        <v>227</v>
      </c>
      <c r="M1021">
        <v>0</v>
      </c>
      <c r="N1021">
        <v>0</v>
      </c>
      <c r="O1021">
        <v>0.61081770169368066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F1021">
        <v>0</v>
      </c>
    </row>
    <row r="1022" spans="1:84" hidden="1" x14ac:dyDescent="0.25">
      <c r="A1022" t="s">
        <v>128</v>
      </c>
      <c r="B1022" t="s">
        <v>503</v>
      </c>
      <c r="C1022" t="s">
        <v>109</v>
      </c>
      <c r="D1022" s="12">
        <v>46233</v>
      </c>
      <c r="E1022" t="s">
        <v>133</v>
      </c>
      <c r="F1022" t="s">
        <v>133</v>
      </c>
      <c r="G1022" t="s">
        <v>133</v>
      </c>
      <c r="J1022">
        <v>21.530284301606926</v>
      </c>
      <c r="M1022">
        <v>68.400000000000006</v>
      </c>
      <c r="N1022">
        <v>68.400000000000006</v>
      </c>
      <c r="O1022">
        <v>19.897058823529406</v>
      </c>
      <c r="S1022">
        <v>0</v>
      </c>
      <c r="T1022">
        <v>0</v>
      </c>
      <c r="U1022">
        <v>1.9269204271443325</v>
      </c>
      <c r="V1022">
        <v>0</v>
      </c>
      <c r="W1022">
        <v>0</v>
      </c>
      <c r="X1022">
        <v>0</v>
      </c>
      <c r="Y1022">
        <v>3.2509796604368819E-2</v>
      </c>
      <c r="Z1022">
        <v>0</v>
      </c>
      <c r="AA1022">
        <v>0.21749020339563124</v>
      </c>
      <c r="AB1022">
        <v>0</v>
      </c>
      <c r="AC1022">
        <v>0</v>
      </c>
      <c r="AD1022">
        <v>0</v>
      </c>
      <c r="AE1022">
        <v>0.10836692209321458</v>
      </c>
      <c r="AF1022">
        <v>0</v>
      </c>
      <c r="AG1022">
        <v>0.89163307790678548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84" hidden="1" x14ac:dyDescent="0.25">
      <c r="A1023" t="s">
        <v>128</v>
      </c>
      <c r="B1023" t="s">
        <v>503</v>
      </c>
      <c r="C1023" t="s">
        <v>72</v>
      </c>
      <c r="D1023" s="12">
        <v>46230</v>
      </c>
      <c r="E1023" t="s">
        <v>134</v>
      </c>
      <c r="F1023" t="s">
        <v>134</v>
      </c>
      <c r="G1023" t="s">
        <v>134</v>
      </c>
      <c r="H1023" t="s">
        <v>73</v>
      </c>
      <c r="I1023">
        <v>10</v>
      </c>
      <c r="J1023">
        <v>1.0717158176943695</v>
      </c>
      <c r="K1023">
        <v>46230</v>
      </c>
      <c r="L1023" t="s">
        <v>217</v>
      </c>
      <c r="M1023">
        <v>4.75</v>
      </c>
      <c r="N1023">
        <v>4.75</v>
      </c>
      <c r="O1023">
        <v>0.1176470588235294</v>
      </c>
      <c r="P1023">
        <v>4.4321450906816775</v>
      </c>
      <c r="Q1023">
        <v>4.4321450906816775</v>
      </c>
      <c r="R1023">
        <v>0.10977449141007251</v>
      </c>
      <c r="S1023">
        <v>0</v>
      </c>
      <c r="T1023">
        <v>0</v>
      </c>
      <c r="U1023">
        <v>3.1821450906816775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0.25</v>
      </c>
      <c r="AB1023">
        <v>0</v>
      </c>
      <c r="AC1023">
        <v>0</v>
      </c>
      <c r="AD1023">
        <v>0</v>
      </c>
      <c r="AE1023">
        <v>0.89022550858992755</v>
      </c>
      <c r="AF1023">
        <v>0</v>
      </c>
      <c r="AG1023">
        <v>0.10977449141007251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0.22562438267249885</v>
      </c>
      <c r="AN1023">
        <v>0.22562438267249885</v>
      </c>
      <c r="AO1023">
        <v>2.4767801857585137E-2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0.77437561732750115</v>
      </c>
      <c r="BA1023">
        <v>0</v>
      </c>
      <c r="BB1023">
        <v>0.2008565808149137</v>
      </c>
      <c r="BC1023">
        <v>0</v>
      </c>
      <c r="BD1023">
        <v>2.4767801857585137E-2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40.375000000000007</v>
      </c>
      <c r="BK1023">
        <v>40.375000000000007</v>
      </c>
      <c r="BL1023">
        <v>9.1095844504021422</v>
      </c>
      <c r="CC1023">
        <v>0</v>
      </c>
      <c r="CD1023">
        <v>0</v>
      </c>
      <c r="CE1023">
        <v>0</v>
      </c>
    </row>
    <row r="1024" spans="1:84" hidden="1" x14ac:dyDescent="0.25">
      <c r="A1024" t="s">
        <v>128</v>
      </c>
      <c r="B1024" t="s">
        <v>503</v>
      </c>
      <c r="C1024" t="s">
        <v>109</v>
      </c>
      <c r="D1024" s="12">
        <v>46232</v>
      </c>
      <c r="E1024" t="s">
        <v>134</v>
      </c>
      <c r="F1024" t="s">
        <v>134</v>
      </c>
      <c r="G1024" t="s">
        <v>134</v>
      </c>
      <c r="J1024">
        <v>6.8893707617095101</v>
      </c>
      <c r="M1024">
        <v>8.5500000000000007</v>
      </c>
      <c r="N1024">
        <v>8.5500000000000007</v>
      </c>
      <c r="O1024">
        <v>3.8758938869665513</v>
      </c>
      <c r="S1024">
        <v>0</v>
      </c>
      <c r="T1024">
        <v>0</v>
      </c>
      <c r="U1024">
        <v>0.31014123679481748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0.18618019709056779</v>
      </c>
      <c r="AB1024">
        <v>9.1075223281561757E-3</v>
      </c>
      <c r="AC1024">
        <v>0.24617168930957259</v>
      </c>
      <c r="AD1024">
        <v>0</v>
      </c>
      <c r="AE1024">
        <v>0.19123790569895655</v>
      </c>
      <c r="AF1024">
        <v>0</v>
      </c>
      <c r="AG1024">
        <v>0.55348288266331469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84" hidden="1" x14ac:dyDescent="0.25">
      <c r="A1025" t="s">
        <v>128</v>
      </c>
      <c r="B1025" t="s">
        <v>503</v>
      </c>
      <c r="C1025" t="s">
        <v>72</v>
      </c>
      <c r="D1025" s="12">
        <v>46227</v>
      </c>
      <c r="E1025" t="s">
        <v>501</v>
      </c>
      <c r="F1025" t="s">
        <v>501</v>
      </c>
      <c r="G1025" t="s">
        <v>501</v>
      </c>
      <c r="H1025" t="s">
        <v>74</v>
      </c>
      <c r="I1025">
        <v>0</v>
      </c>
      <c r="J1025">
        <v>0</v>
      </c>
      <c r="K1025">
        <v>46227</v>
      </c>
      <c r="L1025" t="s">
        <v>225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F1025">
        <v>0</v>
      </c>
    </row>
    <row r="1026" spans="1:84" hidden="1" x14ac:dyDescent="0.25">
      <c r="A1026" t="s">
        <v>128</v>
      </c>
      <c r="B1026" t="s">
        <v>503</v>
      </c>
      <c r="C1026" t="s">
        <v>109</v>
      </c>
      <c r="D1026" s="12">
        <v>46232</v>
      </c>
      <c r="E1026" t="s">
        <v>501</v>
      </c>
      <c r="F1026" t="s">
        <v>501</v>
      </c>
      <c r="G1026" t="s">
        <v>501</v>
      </c>
      <c r="J1026">
        <v>3.5455048443975872</v>
      </c>
      <c r="M1026">
        <v>0</v>
      </c>
      <c r="N1026">
        <v>0</v>
      </c>
      <c r="O1026">
        <v>3.9673025556972017</v>
      </c>
      <c r="S1026">
        <v>0.23611451259957239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0.68936401277649573</v>
      </c>
      <c r="AC1026">
        <v>0.11714761513048101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0.19348837209302328</v>
      </c>
      <c r="AL1026">
        <v>0</v>
      </c>
    </row>
    <row r="1027" spans="1:84" hidden="1" x14ac:dyDescent="0.25">
      <c r="A1027" t="s">
        <v>128</v>
      </c>
      <c r="B1027" t="s">
        <v>503</v>
      </c>
      <c r="C1027" t="s">
        <v>72</v>
      </c>
      <c r="D1027" s="12">
        <v>46227</v>
      </c>
      <c r="E1027" t="s">
        <v>501</v>
      </c>
      <c r="F1027" t="s">
        <v>501</v>
      </c>
      <c r="G1027" t="s">
        <v>501</v>
      </c>
      <c r="H1027" t="s">
        <v>75</v>
      </c>
      <c r="I1027">
        <v>0</v>
      </c>
      <c r="J1027">
        <v>0</v>
      </c>
      <c r="K1027">
        <v>46227</v>
      </c>
      <c r="L1027" t="s">
        <v>224</v>
      </c>
      <c r="M1027">
        <v>0</v>
      </c>
      <c r="N1027">
        <v>0</v>
      </c>
      <c r="O1027">
        <v>0.16608996539792387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F1027">
        <v>0</v>
      </c>
    </row>
    <row r="1028" spans="1:84" hidden="1" x14ac:dyDescent="0.25">
      <c r="A1028" t="s">
        <v>128</v>
      </c>
      <c r="B1028" t="s">
        <v>503</v>
      </c>
      <c r="C1028" t="s">
        <v>109</v>
      </c>
      <c r="D1028" s="12">
        <v>46232</v>
      </c>
      <c r="E1028" t="s">
        <v>133</v>
      </c>
      <c r="F1028" t="s">
        <v>133</v>
      </c>
      <c r="G1028" t="s">
        <v>133</v>
      </c>
      <c r="J1028">
        <v>19.848230840543888</v>
      </c>
      <c r="M1028">
        <v>64.599999999999994</v>
      </c>
      <c r="N1028">
        <v>64.599999999999994</v>
      </c>
      <c r="O1028">
        <v>17.022058823529402</v>
      </c>
      <c r="S1028">
        <v>0</v>
      </c>
      <c r="T1028">
        <v>0</v>
      </c>
      <c r="U1028">
        <v>2.0046981400499373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0.25</v>
      </c>
      <c r="AB1028">
        <v>0</v>
      </c>
      <c r="AC1028">
        <v>0</v>
      </c>
      <c r="AD1028">
        <v>0</v>
      </c>
      <c r="AE1028">
        <v>0.14238911466313039</v>
      </c>
      <c r="AF1028">
        <v>0</v>
      </c>
      <c r="AG1028">
        <v>0.85761088533686958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84" hidden="1" x14ac:dyDescent="0.25">
      <c r="A1029" t="s">
        <v>128</v>
      </c>
      <c r="B1029" t="s">
        <v>503</v>
      </c>
      <c r="C1029" t="s">
        <v>72</v>
      </c>
      <c r="D1029" s="12">
        <v>46228</v>
      </c>
      <c r="E1029" t="s">
        <v>501</v>
      </c>
      <c r="F1029" t="s">
        <v>501</v>
      </c>
      <c r="G1029" t="s">
        <v>501</v>
      </c>
      <c r="H1029" t="s">
        <v>73</v>
      </c>
      <c r="I1029">
        <v>0</v>
      </c>
      <c r="J1029">
        <v>0.95316362793572351</v>
      </c>
      <c r="K1029">
        <v>46228</v>
      </c>
      <c r="L1029" t="s">
        <v>223</v>
      </c>
      <c r="M1029">
        <v>0</v>
      </c>
      <c r="N1029">
        <v>0</v>
      </c>
      <c r="O1029">
        <v>0.82352941176470595</v>
      </c>
      <c r="P1029">
        <v>0</v>
      </c>
      <c r="Q1029">
        <v>0</v>
      </c>
      <c r="R1029">
        <v>0.86399584250632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0.86399584250632</v>
      </c>
      <c r="AC1029">
        <v>0.13600415749368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J1029">
        <v>0</v>
      </c>
      <c r="BK1029">
        <v>0</v>
      </c>
      <c r="BL1029">
        <v>1.1574129767790928</v>
      </c>
      <c r="BM1029">
        <v>0.15741297677909283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</row>
    <row r="1030" spans="1:84" hidden="1" x14ac:dyDescent="0.25">
      <c r="A1030" t="s">
        <v>128</v>
      </c>
      <c r="B1030" t="s">
        <v>503</v>
      </c>
      <c r="C1030" t="s">
        <v>109</v>
      </c>
      <c r="D1030" s="12">
        <v>46231</v>
      </c>
      <c r="E1030" t="s">
        <v>134</v>
      </c>
      <c r="F1030" t="s">
        <v>134</v>
      </c>
      <c r="G1030" t="s">
        <v>134</v>
      </c>
      <c r="J1030">
        <v>5.798257372654156</v>
      </c>
      <c r="M1030">
        <v>6.65</v>
      </c>
      <c r="N1030">
        <v>6.65</v>
      </c>
      <c r="O1030">
        <v>4.3966551326412917</v>
      </c>
      <c r="S1030">
        <v>0</v>
      </c>
      <c r="T1030">
        <v>0</v>
      </c>
      <c r="U1030">
        <v>0.36775755268007093</v>
      </c>
      <c r="V1030">
        <v>0</v>
      </c>
      <c r="W1030">
        <v>0.1493213977302861</v>
      </c>
      <c r="X1030">
        <v>0</v>
      </c>
      <c r="Y1030">
        <v>6.0426540284360203E-2</v>
      </c>
      <c r="Z1030">
        <v>0</v>
      </c>
      <c r="AA1030">
        <v>0</v>
      </c>
      <c r="AB1030">
        <v>1.0821371665068755E-2</v>
      </c>
      <c r="AC1030">
        <v>0.41978780646462721</v>
      </c>
      <c r="AD1030">
        <v>0</v>
      </c>
      <c r="AE1030">
        <v>3.1688318129511957E-2</v>
      </c>
      <c r="AF1030">
        <v>0</v>
      </c>
      <c r="AG1030">
        <v>0.53770250374079209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84" hidden="1" x14ac:dyDescent="0.25">
      <c r="A1031" t="s">
        <v>128</v>
      </c>
      <c r="B1031" t="s">
        <v>503</v>
      </c>
      <c r="C1031" t="s">
        <v>72</v>
      </c>
      <c r="D1031" s="12">
        <v>46228</v>
      </c>
      <c r="E1031" t="s">
        <v>501</v>
      </c>
      <c r="F1031" t="s">
        <v>501</v>
      </c>
      <c r="G1031" t="s">
        <v>501</v>
      </c>
      <c r="H1031" t="s">
        <v>74</v>
      </c>
      <c r="I1031">
        <v>0</v>
      </c>
      <c r="J1031">
        <v>0</v>
      </c>
      <c r="K1031">
        <v>46228</v>
      </c>
      <c r="L1031" t="s">
        <v>222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F1031">
        <v>0</v>
      </c>
    </row>
    <row r="1032" spans="1:84" hidden="1" x14ac:dyDescent="0.25">
      <c r="A1032" t="s">
        <v>128</v>
      </c>
      <c r="B1032" t="s">
        <v>503</v>
      </c>
      <c r="C1032" t="s">
        <v>109</v>
      </c>
      <c r="D1032" s="12">
        <v>46231</v>
      </c>
      <c r="E1032" t="s">
        <v>501</v>
      </c>
      <c r="F1032" t="s">
        <v>501</v>
      </c>
      <c r="G1032" t="s">
        <v>501</v>
      </c>
      <c r="J1032">
        <v>1.906327255871447</v>
      </c>
      <c r="M1032">
        <v>0</v>
      </c>
      <c r="N1032">
        <v>0</v>
      </c>
      <c r="O1032">
        <v>1.9792387543252596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0.86399584250632</v>
      </c>
      <c r="AC1032">
        <v>0.13600415749368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84" hidden="1" x14ac:dyDescent="0.25">
      <c r="A1033" t="s">
        <v>128</v>
      </c>
      <c r="B1033" t="s">
        <v>503</v>
      </c>
      <c r="C1033" t="s">
        <v>72</v>
      </c>
      <c r="D1033" s="12">
        <v>46228</v>
      </c>
      <c r="E1033" t="s">
        <v>501</v>
      </c>
      <c r="F1033" t="s">
        <v>501</v>
      </c>
      <c r="G1033" t="s">
        <v>501</v>
      </c>
      <c r="H1033" t="s">
        <v>75</v>
      </c>
      <c r="I1033">
        <v>0</v>
      </c>
      <c r="J1033">
        <v>0</v>
      </c>
      <c r="K1033">
        <v>46228</v>
      </c>
      <c r="L1033" t="s">
        <v>221</v>
      </c>
      <c r="M1033">
        <v>0</v>
      </c>
      <c r="N1033">
        <v>0</v>
      </c>
      <c r="O1033">
        <v>0.16608996539792387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F1033">
        <v>0</v>
      </c>
    </row>
    <row r="1034" spans="1:84" hidden="1" x14ac:dyDescent="0.25">
      <c r="A1034" t="s">
        <v>128</v>
      </c>
      <c r="B1034" t="s">
        <v>503</v>
      </c>
      <c r="C1034" t="s">
        <v>109</v>
      </c>
      <c r="D1034" s="12">
        <v>46231</v>
      </c>
      <c r="E1034" t="s">
        <v>133</v>
      </c>
      <c r="F1034" t="s">
        <v>133</v>
      </c>
      <c r="G1034" t="s">
        <v>133</v>
      </c>
      <c r="J1034">
        <v>20.521052224969107</v>
      </c>
      <c r="M1034">
        <v>62.699999999999996</v>
      </c>
      <c r="N1034">
        <v>62.699999999999996</v>
      </c>
      <c r="O1034">
        <v>19.249999999999989</v>
      </c>
      <c r="S1034">
        <v>0</v>
      </c>
      <c r="T1034">
        <v>0</v>
      </c>
      <c r="U1034">
        <v>1.8053988807508325</v>
      </c>
      <c r="V1034">
        <v>0</v>
      </c>
      <c r="W1034">
        <v>0</v>
      </c>
      <c r="X1034">
        <v>0</v>
      </c>
      <c r="Y1034">
        <v>6.2629322042736819E-3</v>
      </c>
      <c r="Z1034">
        <v>0</v>
      </c>
      <c r="AA1034">
        <v>0.24373706779572632</v>
      </c>
      <c r="AB1034">
        <v>0</v>
      </c>
      <c r="AC1034">
        <v>0</v>
      </c>
      <c r="AD1034">
        <v>0</v>
      </c>
      <c r="AE1034">
        <v>6.8201872324632609E-2</v>
      </c>
      <c r="AF1034">
        <v>0</v>
      </c>
      <c r="AG1034">
        <v>0.9317981276753674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84" hidden="1" x14ac:dyDescent="0.25">
      <c r="A1035" t="s">
        <v>128</v>
      </c>
      <c r="B1035" t="s">
        <v>503</v>
      </c>
      <c r="C1035" t="s">
        <v>72</v>
      </c>
      <c r="D1035" s="12">
        <v>46229</v>
      </c>
      <c r="E1035" t="s">
        <v>501</v>
      </c>
      <c r="F1035" t="s">
        <v>501</v>
      </c>
      <c r="G1035" t="s">
        <v>501</v>
      </c>
      <c r="H1035" t="s">
        <v>73</v>
      </c>
      <c r="I1035">
        <v>0</v>
      </c>
      <c r="J1035">
        <v>0.95316362793572373</v>
      </c>
      <c r="K1035">
        <v>46229</v>
      </c>
      <c r="L1035" t="s">
        <v>220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</row>
    <row r="1036" spans="1:84" hidden="1" x14ac:dyDescent="0.25">
      <c r="A1036" t="s">
        <v>128</v>
      </c>
      <c r="B1036" t="s">
        <v>503</v>
      </c>
      <c r="C1036" t="s">
        <v>109</v>
      </c>
      <c r="D1036" s="12">
        <v>46230</v>
      </c>
      <c r="E1036" t="s">
        <v>134</v>
      </c>
      <c r="F1036" t="s">
        <v>134</v>
      </c>
      <c r="G1036" t="s">
        <v>134</v>
      </c>
      <c r="J1036">
        <v>5.4684986595174268</v>
      </c>
      <c r="M1036">
        <v>8.5500000000000007</v>
      </c>
      <c r="N1036">
        <v>8.5500000000000007</v>
      </c>
      <c r="O1036">
        <v>1.8966551326412924</v>
      </c>
      <c r="S1036">
        <v>0</v>
      </c>
      <c r="T1036">
        <v>0</v>
      </c>
      <c r="U1036">
        <v>0.71551047922539512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0.16959798994974873</v>
      </c>
      <c r="AB1036">
        <v>1.1473916690098026E-2</v>
      </c>
      <c r="AC1036">
        <v>0.31013412351090697</v>
      </c>
      <c r="AD1036">
        <v>0</v>
      </c>
      <c r="AE1036">
        <v>0.34303299771708562</v>
      </c>
      <c r="AF1036">
        <v>0</v>
      </c>
      <c r="AG1036">
        <v>0.33535896208190935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84" hidden="1" x14ac:dyDescent="0.25">
      <c r="A1037" t="s">
        <v>128</v>
      </c>
      <c r="B1037" t="s">
        <v>503</v>
      </c>
      <c r="C1037" t="s">
        <v>72</v>
      </c>
      <c r="D1037" s="12">
        <v>46229</v>
      </c>
      <c r="E1037" t="s">
        <v>501</v>
      </c>
      <c r="F1037" t="s">
        <v>501</v>
      </c>
      <c r="G1037" t="s">
        <v>501</v>
      </c>
      <c r="H1037" t="s">
        <v>74</v>
      </c>
      <c r="I1037">
        <v>0</v>
      </c>
      <c r="J1037">
        <v>0</v>
      </c>
      <c r="K1037">
        <v>46229</v>
      </c>
      <c r="L1037" t="s">
        <v>219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F1037">
        <v>0</v>
      </c>
    </row>
    <row r="1038" spans="1:84" hidden="1" x14ac:dyDescent="0.25">
      <c r="A1038" t="s">
        <v>128</v>
      </c>
      <c r="B1038" t="s">
        <v>503</v>
      </c>
      <c r="C1038" t="s">
        <v>109</v>
      </c>
      <c r="D1038" s="12">
        <v>46230</v>
      </c>
      <c r="E1038" t="s">
        <v>501</v>
      </c>
      <c r="F1038" t="s">
        <v>501</v>
      </c>
      <c r="G1038" t="s">
        <v>501</v>
      </c>
      <c r="J1038">
        <v>0</v>
      </c>
      <c r="M1038">
        <v>0</v>
      </c>
      <c r="N1038">
        <v>0</v>
      </c>
      <c r="O1038">
        <v>0.98961937716262982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84" hidden="1" x14ac:dyDescent="0.25">
      <c r="A1039" t="s">
        <v>128</v>
      </c>
      <c r="B1039" t="s">
        <v>503</v>
      </c>
      <c r="C1039" t="s">
        <v>72</v>
      </c>
      <c r="D1039" s="12">
        <v>46229</v>
      </c>
      <c r="E1039" t="s">
        <v>501</v>
      </c>
      <c r="F1039" t="s">
        <v>501</v>
      </c>
      <c r="G1039" t="s">
        <v>501</v>
      </c>
      <c r="H1039" t="s">
        <v>75</v>
      </c>
      <c r="I1039">
        <v>0</v>
      </c>
      <c r="J1039">
        <v>0</v>
      </c>
      <c r="K1039">
        <v>46229</v>
      </c>
      <c r="L1039" t="s">
        <v>218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F1039">
        <v>0</v>
      </c>
    </row>
    <row r="1040" spans="1:84" hidden="1" x14ac:dyDescent="0.25">
      <c r="A1040" t="s">
        <v>128</v>
      </c>
      <c r="B1040" t="s">
        <v>503</v>
      </c>
      <c r="C1040" t="s">
        <v>109</v>
      </c>
      <c r="D1040" s="12">
        <v>46234</v>
      </c>
      <c r="E1040" t="s">
        <v>133</v>
      </c>
      <c r="F1040" t="s">
        <v>133</v>
      </c>
      <c r="G1040" t="s">
        <v>133</v>
      </c>
      <c r="J1040">
        <v>20.577120673671207</v>
      </c>
      <c r="M1040">
        <v>68.400000000000006</v>
      </c>
      <c r="N1040">
        <v>68.400000000000006</v>
      </c>
      <c r="O1040">
        <v>21.602941176470576</v>
      </c>
      <c r="S1040">
        <v>0</v>
      </c>
      <c r="T1040">
        <v>0</v>
      </c>
      <c r="U1040">
        <v>2.074080228946658</v>
      </c>
      <c r="V1040">
        <v>0</v>
      </c>
      <c r="W1040">
        <v>0</v>
      </c>
      <c r="X1040">
        <v>0</v>
      </c>
      <c r="Y1040">
        <v>7.3622817633370669E-2</v>
      </c>
      <c r="Z1040">
        <v>0</v>
      </c>
      <c r="AA1040">
        <v>0.17637718236662933</v>
      </c>
      <c r="AB1040">
        <v>0</v>
      </c>
      <c r="AC1040">
        <v>0</v>
      </c>
      <c r="AD1040">
        <v>0</v>
      </c>
      <c r="AE1040">
        <v>2.3770337343845781E-2</v>
      </c>
      <c r="AF1040">
        <v>0</v>
      </c>
      <c r="AG1040">
        <v>0.9762296626561543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84" hidden="1" x14ac:dyDescent="0.25">
      <c r="A1041" t="s">
        <v>128</v>
      </c>
      <c r="B1041" t="s">
        <v>503</v>
      </c>
      <c r="C1041" t="s">
        <v>72</v>
      </c>
      <c r="D1041" s="12">
        <v>46225</v>
      </c>
      <c r="E1041" t="s">
        <v>501</v>
      </c>
      <c r="F1041" t="s">
        <v>501</v>
      </c>
      <c r="G1041" t="s">
        <v>501</v>
      </c>
      <c r="H1041" t="s">
        <v>75</v>
      </c>
      <c r="I1041">
        <v>0</v>
      </c>
      <c r="J1041">
        <v>0.68601396059041697</v>
      </c>
      <c r="K1041">
        <v>46225</v>
      </c>
      <c r="L1041" t="s">
        <v>212</v>
      </c>
      <c r="M1041">
        <v>0</v>
      </c>
      <c r="N1041">
        <v>0</v>
      </c>
      <c r="O1041">
        <v>1.3167000546348568</v>
      </c>
      <c r="P1041">
        <v>0</v>
      </c>
      <c r="Q1041">
        <v>0</v>
      </c>
      <c r="R1041">
        <v>1.9193487746249955</v>
      </c>
      <c r="S1041">
        <v>0.91934877462499554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1</v>
      </c>
      <c r="BJ1041">
        <v>0</v>
      </c>
      <c r="BK1041">
        <v>0</v>
      </c>
      <c r="BL1041">
        <v>0.52101004946085483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0.47898995053914517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0.52101004946085483</v>
      </c>
      <c r="CF1041">
        <v>0</v>
      </c>
    </row>
    <row r="1042" spans="1:84" hidden="1" x14ac:dyDescent="0.25">
      <c r="A1042" t="s">
        <v>128</v>
      </c>
      <c r="B1042" t="s">
        <v>503</v>
      </c>
      <c r="C1042" t="s">
        <v>109</v>
      </c>
      <c r="D1042" s="12">
        <v>46234</v>
      </c>
      <c r="E1042" t="s">
        <v>501</v>
      </c>
      <c r="F1042" t="s">
        <v>501</v>
      </c>
      <c r="G1042" t="s">
        <v>501</v>
      </c>
      <c r="J1042">
        <v>1.9063272558714477</v>
      </c>
      <c r="M1042">
        <v>0</v>
      </c>
      <c r="N1042">
        <v>0</v>
      </c>
      <c r="O1042">
        <v>1.9792387543252596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0.86399584250631967</v>
      </c>
      <c r="AC1042">
        <v>0.13600415749368033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84" hidden="1" x14ac:dyDescent="0.25">
      <c r="A1043" t="s">
        <v>128</v>
      </c>
      <c r="B1043" t="s">
        <v>503</v>
      </c>
      <c r="C1043" t="s">
        <v>72</v>
      </c>
      <c r="D1043" s="12">
        <v>46225</v>
      </c>
      <c r="E1043" t="s">
        <v>501</v>
      </c>
      <c r="F1043" t="s">
        <v>501</v>
      </c>
      <c r="G1043" t="s">
        <v>501</v>
      </c>
      <c r="H1043" t="s">
        <v>74</v>
      </c>
      <c r="I1043">
        <v>0</v>
      </c>
      <c r="J1043">
        <v>0</v>
      </c>
      <c r="K1043">
        <v>46225</v>
      </c>
      <c r="L1043" t="s">
        <v>160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F1043">
        <v>0</v>
      </c>
    </row>
    <row r="1044" spans="1:84" hidden="1" x14ac:dyDescent="0.25">
      <c r="A1044" t="s">
        <v>128</v>
      </c>
      <c r="B1044" t="s">
        <v>503</v>
      </c>
      <c r="C1044" t="s">
        <v>72</v>
      </c>
      <c r="D1044" s="12">
        <v>46249</v>
      </c>
      <c r="E1044" t="s">
        <v>133</v>
      </c>
      <c r="F1044" t="s">
        <v>133</v>
      </c>
      <c r="G1044" t="s">
        <v>133</v>
      </c>
      <c r="H1044" t="s">
        <v>74</v>
      </c>
      <c r="I1044">
        <v>20</v>
      </c>
      <c r="J1044">
        <v>3.588380716934489</v>
      </c>
      <c r="K1044">
        <v>46249</v>
      </c>
      <c r="L1044" t="s">
        <v>164</v>
      </c>
      <c r="M1044">
        <v>9.5</v>
      </c>
      <c r="N1044">
        <v>9.5</v>
      </c>
      <c r="O1044">
        <v>3.2647058823529398</v>
      </c>
      <c r="P1044">
        <v>2.647433689286943</v>
      </c>
      <c r="Q1044">
        <v>2.647433689286943</v>
      </c>
      <c r="R1044">
        <v>0.90979919353204508</v>
      </c>
      <c r="S1044">
        <v>0</v>
      </c>
      <c r="T1044">
        <v>0</v>
      </c>
      <c r="U1044">
        <v>1.397433689286943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0.25</v>
      </c>
      <c r="AB1044">
        <v>0</v>
      </c>
      <c r="AC1044">
        <v>0</v>
      </c>
      <c r="AD1044">
        <v>0</v>
      </c>
      <c r="AE1044">
        <v>9.0200806467954919E-2</v>
      </c>
      <c r="AF1044">
        <v>0</v>
      </c>
      <c r="AG1044">
        <v>0.90979919353204508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0.37772428599310409</v>
      </c>
      <c r="AN1044">
        <v>0.37772428599310409</v>
      </c>
      <c r="AO1044">
        <v>0.34365325077399367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0.62227571400689596</v>
      </c>
      <c r="BA1044">
        <v>0</v>
      </c>
      <c r="BB1044">
        <v>3.4071035219110424E-2</v>
      </c>
      <c r="BC1044">
        <v>0</v>
      </c>
      <c r="BD1044">
        <v>0.34365325077399367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2.9099099099099113</v>
      </c>
      <c r="BK1044">
        <v>2.9099099099099113</v>
      </c>
      <c r="BL1044">
        <v>1.099143643024979</v>
      </c>
      <c r="CC1044">
        <v>0</v>
      </c>
      <c r="CD1044">
        <v>0</v>
      </c>
      <c r="CE1044">
        <v>0</v>
      </c>
    </row>
    <row r="1045" spans="1:84" hidden="1" x14ac:dyDescent="0.25">
      <c r="A1045" t="s">
        <v>128</v>
      </c>
      <c r="B1045" t="s">
        <v>503</v>
      </c>
      <c r="C1045" t="s">
        <v>109</v>
      </c>
      <c r="D1045" s="12">
        <v>46238</v>
      </c>
      <c r="E1045" t="s">
        <v>501</v>
      </c>
      <c r="F1045" t="s">
        <v>501</v>
      </c>
      <c r="G1045" t="s">
        <v>501</v>
      </c>
      <c r="J1045">
        <v>0.95316362793572351</v>
      </c>
      <c r="M1045">
        <v>0</v>
      </c>
      <c r="N1045">
        <v>0</v>
      </c>
      <c r="O1045">
        <v>0.98961937716262982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0.86399584250632</v>
      </c>
      <c r="AC1045">
        <v>0.13600415749368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84" hidden="1" x14ac:dyDescent="0.25">
      <c r="A1046" t="s">
        <v>128</v>
      </c>
      <c r="B1046" t="s">
        <v>503</v>
      </c>
      <c r="C1046" t="s">
        <v>72</v>
      </c>
      <c r="D1046" s="12">
        <v>46249</v>
      </c>
      <c r="E1046" t="s">
        <v>133</v>
      </c>
      <c r="F1046" t="s">
        <v>133</v>
      </c>
      <c r="G1046" t="s">
        <v>133</v>
      </c>
      <c r="H1046" t="s">
        <v>75</v>
      </c>
      <c r="I1046">
        <v>20</v>
      </c>
      <c r="J1046">
        <v>7.4010352286773822</v>
      </c>
      <c r="K1046">
        <v>46249</v>
      </c>
      <c r="L1046" t="s">
        <v>167</v>
      </c>
      <c r="M1046">
        <v>19</v>
      </c>
      <c r="N1046">
        <v>19</v>
      </c>
      <c r="O1046">
        <v>7.1014705882352924</v>
      </c>
      <c r="P1046">
        <v>2.5672084259752181</v>
      </c>
      <c r="Q1046">
        <v>2.5672084259752181</v>
      </c>
      <c r="R1046">
        <v>0.95952395425962267</v>
      </c>
      <c r="S1046">
        <v>0</v>
      </c>
      <c r="T1046">
        <v>0</v>
      </c>
      <c r="U1046">
        <v>1.3172084259752181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0.25</v>
      </c>
      <c r="AB1046">
        <v>0</v>
      </c>
      <c r="AC1046">
        <v>0</v>
      </c>
      <c r="AD1046">
        <v>0</v>
      </c>
      <c r="AE1046">
        <v>4.0476045740377331E-2</v>
      </c>
      <c r="AF1046">
        <v>0</v>
      </c>
      <c r="AG1046">
        <v>0.95952395425962267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0.38952816993038852</v>
      </c>
      <c r="AN1046">
        <v>0.38952816993038852</v>
      </c>
      <c r="AO1046">
        <v>0.37376160990712065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0.61047183006961148</v>
      </c>
      <c r="BA1046">
        <v>0</v>
      </c>
      <c r="BB1046">
        <v>1.5766560023267873E-2</v>
      </c>
      <c r="BC1046">
        <v>0</v>
      </c>
      <c r="BD1046">
        <v>0.37376160990712065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2.6755021743632228</v>
      </c>
      <c r="BK1046">
        <v>2.6755021743632228</v>
      </c>
      <c r="BL1046">
        <v>1.0421834656244815</v>
      </c>
      <c r="CC1046">
        <v>0</v>
      </c>
      <c r="CD1046">
        <v>0</v>
      </c>
      <c r="CE1046">
        <v>0</v>
      </c>
    </row>
    <row r="1047" spans="1:84" hidden="1" x14ac:dyDescent="0.25">
      <c r="A1047" t="s">
        <v>128</v>
      </c>
      <c r="B1047" t="s">
        <v>503</v>
      </c>
      <c r="C1047" t="s">
        <v>109</v>
      </c>
      <c r="D1047" s="12">
        <v>46238</v>
      </c>
      <c r="E1047" t="s">
        <v>133</v>
      </c>
      <c r="F1047" t="s">
        <v>133</v>
      </c>
      <c r="G1047" t="s">
        <v>133</v>
      </c>
      <c r="J1047">
        <v>21.530284301606926</v>
      </c>
      <c r="M1047">
        <v>74.099999999999994</v>
      </c>
      <c r="N1047">
        <v>74.099999999999994</v>
      </c>
      <c r="O1047">
        <v>21.624999999999996</v>
      </c>
      <c r="S1047">
        <v>0</v>
      </c>
      <c r="T1047">
        <v>0</v>
      </c>
      <c r="U1047">
        <v>2.1916637960730272</v>
      </c>
      <c r="V1047">
        <v>0</v>
      </c>
      <c r="W1047">
        <v>0</v>
      </c>
      <c r="X1047">
        <v>0</v>
      </c>
      <c r="Y1047">
        <v>4.6698310740072586E-2</v>
      </c>
      <c r="Z1047">
        <v>0</v>
      </c>
      <c r="AA1047">
        <v>0.20330168925992742</v>
      </c>
      <c r="AB1047">
        <v>0</v>
      </c>
      <c r="AC1047">
        <v>0</v>
      </c>
      <c r="AD1047">
        <v>0</v>
      </c>
      <c r="AE1047">
        <v>4.2299125988666385E-2</v>
      </c>
      <c r="AF1047">
        <v>0</v>
      </c>
      <c r="AG1047">
        <v>0.95770087401133364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84" hidden="1" x14ac:dyDescent="0.25">
      <c r="A1048" t="s">
        <v>128</v>
      </c>
      <c r="B1048" t="s">
        <v>503</v>
      </c>
      <c r="C1048" t="s">
        <v>72</v>
      </c>
      <c r="D1048" s="12">
        <v>46250</v>
      </c>
      <c r="E1048" t="s">
        <v>133</v>
      </c>
      <c r="F1048" t="s">
        <v>133</v>
      </c>
      <c r="G1048" t="s">
        <v>133</v>
      </c>
      <c r="H1048" t="s">
        <v>73</v>
      </c>
      <c r="I1048">
        <v>20</v>
      </c>
      <c r="J1048">
        <v>10.316594561186651</v>
      </c>
      <c r="K1048">
        <v>46250</v>
      </c>
      <c r="L1048" t="s">
        <v>168</v>
      </c>
      <c r="M1048">
        <v>20.9</v>
      </c>
      <c r="N1048">
        <v>20.9</v>
      </c>
      <c r="O1048">
        <v>8.4421568627450938</v>
      </c>
      <c r="P1048">
        <v>2.0258623013674009</v>
      </c>
      <c r="Q1048">
        <v>2.0258623013674009</v>
      </c>
      <c r="R1048">
        <v>0.81830848471126183</v>
      </c>
      <c r="S1048">
        <v>0</v>
      </c>
      <c r="T1048">
        <v>0</v>
      </c>
      <c r="U1048">
        <v>0.77586230136740086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0.25</v>
      </c>
      <c r="AB1048">
        <v>0</v>
      </c>
      <c r="AC1048">
        <v>0</v>
      </c>
      <c r="AD1048">
        <v>0</v>
      </c>
      <c r="AE1048">
        <v>0.18169151528873817</v>
      </c>
      <c r="AF1048">
        <v>0</v>
      </c>
      <c r="AG1048">
        <v>0.81830848471126183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0.49361696465007904</v>
      </c>
      <c r="AN1048">
        <v>0.49361696465007904</v>
      </c>
      <c r="AO1048">
        <v>0.40393095037057869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0.50638303534992102</v>
      </c>
      <c r="BA1048">
        <v>0</v>
      </c>
      <c r="BB1048">
        <v>8.9686014279500348E-2</v>
      </c>
      <c r="BC1048">
        <v>0</v>
      </c>
      <c r="BD1048">
        <v>0.40393095037057869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2.4756706538148889</v>
      </c>
      <c r="BK1048">
        <v>2.4756706538148889</v>
      </c>
      <c r="BL1048">
        <v>1.2220330336093821</v>
      </c>
      <c r="CC1048">
        <v>0</v>
      </c>
      <c r="CD1048">
        <v>0</v>
      </c>
      <c r="CE1048">
        <v>0</v>
      </c>
    </row>
    <row r="1049" spans="1:84" hidden="1" x14ac:dyDescent="0.25">
      <c r="A1049" t="s">
        <v>128</v>
      </c>
      <c r="B1049" t="s">
        <v>503</v>
      </c>
      <c r="C1049" t="s">
        <v>109</v>
      </c>
      <c r="D1049" s="12">
        <v>46237</v>
      </c>
      <c r="E1049" t="s">
        <v>134</v>
      </c>
      <c r="F1049" t="s">
        <v>134</v>
      </c>
      <c r="G1049" t="s">
        <v>134</v>
      </c>
      <c r="J1049">
        <v>5.798257372654156</v>
      </c>
      <c r="M1049">
        <v>0</v>
      </c>
      <c r="N1049">
        <v>0</v>
      </c>
      <c r="O1049">
        <v>4.8655132641291825</v>
      </c>
      <c r="S1049">
        <v>0.20467542004664541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0.39275213631455436</v>
      </c>
      <c r="AC1049">
        <v>0.36554170254800494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0.24170616113744081</v>
      </c>
      <c r="AL1049">
        <v>0</v>
      </c>
    </row>
    <row r="1050" spans="1:84" hidden="1" x14ac:dyDescent="0.25">
      <c r="A1050" t="s">
        <v>128</v>
      </c>
      <c r="B1050" t="s">
        <v>503</v>
      </c>
      <c r="C1050" t="s">
        <v>72</v>
      </c>
      <c r="D1050" s="12">
        <v>46250</v>
      </c>
      <c r="E1050" t="s">
        <v>133</v>
      </c>
      <c r="F1050" t="s">
        <v>133</v>
      </c>
      <c r="G1050" t="s">
        <v>133</v>
      </c>
      <c r="H1050" t="s">
        <v>74</v>
      </c>
      <c r="I1050">
        <v>20</v>
      </c>
      <c r="J1050">
        <v>3.8126545117428936</v>
      </c>
      <c r="K1050">
        <v>46250</v>
      </c>
      <c r="L1050" t="s">
        <v>170</v>
      </c>
      <c r="M1050">
        <v>9.5</v>
      </c>
      <c r="N1050">
        <v>9.5</v>
      </c>
      <c r="O1050">
        <v>3.3235294117647056</v>
      </c>
      <c r="P1050">
        <v>2.4917022957994766</v>
      </c>
      <c r="Q1050">
        <v>2.4917022957994766</v>
      </c>
      <c r="R1050">
        <v>0.87171009110012643</v>
      </c>
      <c r="S1050">
        <v>0</v>
      </c>
      <c r="T1050">
        <v>0</v>
      </c>
      <c r="U1050">
        <v>1.2417022957994766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0.25</v>
      </c>
      <c r="AB1050">
        <v>0</v>
      </c>
      <c r="AC1050">
        <v>0</v>
      </c>
      <c r="AD1050">
        <v>0</v>
      </c>
      <c r="AE1050">
        <v>0.12828990889987357</v>
      </c>
      <c r="AF1050">
        <v>0</v>
      </c>
      <c r="AG1050">
        <v>0.87171009110012643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0.40133205386767301</v>
      </c>
      <c r="AN1050">
        <v>0.40133205386767301</v>
      </c>
      <c r="AO1050">
        <v>0.34984520123839008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0.59866794613232699</v>
      </c>
      <c r="BA1050">
        <v>0</v>
      </c>
      <c r="BB1050">
        <v>5.1486852629282931E-2</v>
      </c>
      <c r="BC1050">
        <v>0</v>
      </c>
      <c r="BD1050">
        <v>0.34984520123839008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2.8584070796460179</v>
      </c>
      <c r="BK1050">
        <v>2.8584070796460179</v>
      </c>
      <c r="BL1050">
        <v>1.1471703840642336</v>
      </c>
      <c r="CC1050">
        <v>0</v>
      </c>
      <c r="CD1050">
        <v>0</v>
      </c>
      <c r="CE1050">
        <v>0</v>
      </c>
    </row>
    <row r="1051" spans="1:84" hidden="1" x14ac:dyDescent="0.25">
      <c r="A1051" t="s">
        <v>128</v>
      </c>
      <c r="B1051" t="s">
        <v>503</v>
      </c>
      <c r="C1051" t="s">
        <v>109</v>
      </c>
      <c r="D1051" s="12">
        <v>46237</v>
      </c>
      <c r="E1051" t="s">
        <v>501</v>
      </c>
      <c r="F1051" t="s">
        <v>501</v>
      </c>
      <c r="G1051" t="s">
        <v>501</v>
      </c>
      <c r="J1051">
        <v>0.95316362793572373</v>
      </c>
      <c r="M1051">
        <v>0</v>
      </c>
      <c r="N1051">
        <v>0</v>
      </c>
      <c r="O1051">
        <v>0.98961937716262982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0.86399584250631978</v>
      </c>
      <c r="AC1051">
        <v>0.13600415749368022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84" hidden="1" x14ac:dyDescent="0.25">
      <c r="A1052" t="s">
        <v>128</v>
      </c>
      <c r="B1052" t="s">
        <v>503</v>
      </c>
      <c r="C1052" t="s">
        <v>72</v>
      </c>
      <c r="D1052" s="12">
        <v>46250</v>
      </c>
      <c r="E1052" t="s">
        <v>133</v>
      </c>
      <c r="F1052" t="s">
        <v>133</v>
      </c>
      <c r="G1052" t="s">
        <v>133</v>
      </c>
      <c r="H1052" t="s">
        <v>75</v>
      </c>
      <c r="I1052">
        <v>20</v>
      </c>
      <c r="J1052">
        <v>7.4010352286773822</v>
      </c>
      <c r="K1052">
        <v>46250</v>
      </c>
      <c r="L1052" t="s">
        <v>171</v>
      </c>
      <c r="M1052">
        <v>17.099999999999998</v>
      </c>
      <c r="N1052">
        <v>17.099999999999998</v>
      </c>
      <c r="O1052">
        <v>7.984313725490197</v>
      </c>
      <c r="P1052">
        <v>2.3104875833776961</v>
      </c>
      <c r="Q1052">
        <v>2.3104875833776961</v>
      </c>
      <c r="R1052">
        <v>1.0788103932477904</v>
      </c>
      <c r="S1052">
        <v>0</v>
      </c>
      <c r="T1052">
        <v>0</v>
      </c>
      <c r="U1052">
        <v>1.0604875833776961</v>
      </c>
      <c r="V1052">
        <v>0</v>
      </c>
      <c r="W1052">
        <v>0</v>
      </c>
      <c r="X1052">
        <v>0</v>
      </c>
      <c r="Y1052">
        <v>7.8810393247790378E-2</v>
      </c>
      <c r="Z1052">
        <v>0</v>
      </c>
      <c r="AA1052">
        <v>0.17118960675220962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0.43280907770043175</v>
      </c>
      <c r="AN1052">
        <v>0.43280907770043175</v>
      </c>
      <c r="AO1052">
        <v>0.46691893131521628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0.53308106868478378</v>
      </c>
      <c r="BA1052">
        <v>0</v>
      </c>
      <c r="BB1052">
        <v>0</v>
      </c>
      <c r="BC1052">
        <v>0</v>
      </c>
      <c r="BD1052">
        <v>0.43280907770043175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2.141699410609037</v>
      </c>
      <c r="BK1052">
        <v>2.141699410609037</v>
      </c>
      <c r="BL1052">
        <v>0.92694694661725552</v>
      </c>
      <c r="CC1052">
        <v>0</v>
      </c>
      <c r="CD1052">
        <v>0</v>
      </c>
      <c r="CE1052">
        <v>0</v>
      </c>
    </row>
    <row r="1053" spans="1:84" hidden="1" x14ac:dyDescent="0.25">
      <c r="A1053" t="s">
        <v>128</v>
      </c>
      <c r="B1053" t="s">
        <v>503</v>
      </c>
      <c r="C1053" t="s">
        <v>109</v>
      </c>
      <c r="D1053" s="12">
        <v>46237</v>
      </c>
      <c r="E1053" t="s">
        <v>133</v>
      </c>
      <c r="F1053" t="s">
        <v>133</v>
      </c>
      <c r="G1053" t="s">
        <v>133</v>
      </c>
      <c r="J1053">
        <v>21.530284301606926</v>
      </c>
      <c r="M1053">
        <v>51.3</v>
      </c>
      <c r="N1053">
        <v>51.3</v>
      </c>
      <c r="O1053">
        <v>20.45588235294117</v>
      </c>
      <c r="S1053">
        <v>0</v>
      </c>
      <c r="T1053">
        <v>0</v>
      </c>
      <c r="U1053">
        <v>1.1326903203582495</v>
      </c>
      <c r="V1053">
        <v>0</v>
      </c>
      <c r="W1053">
        <v>0</v>
      </c>
      <c r="X1053">
        <v>0</v>
      </c>
      <c r="Y1053">
        <v>1.6897876098424129E-2</v>
      </c>
      <c r="Z1053">
        <v>0</v>
      </c>
      <c r="AA1053">
        <v>0.23310212390157586</v>
      </c>
      <c r="AB1053">
        <v>0</v>
      </c>
      <c r="AC1053">
        <v>0</v>
      </c>
      <c r="AD1053">
        <v>0</v>
      </c>
      <c r="AE1053">
        <v>6.6799769339358661E-2</v>
      </c>
      <c r="AF1053">
        <v>0</v>
      </c>
      <c r="AG1053">
        <v>0.93320023066064139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84" hidden="1" x14ac:dyDescent="0.25">
      <c r="A1054" t="s">
        <v>128</v>
      </c>
      <c r="B1054" t="s">
        <v>503</v>
      </c>
      <c r="C1054" t="s">
        <v>72</v>
      </c>
      <c r="D1054" s="12">
        <v>46223</v>
      </c>
      <c r="E1054" t="s">
        <v>501</v>
      </c>
      <c r="F1054" t="s">
        <v>501</v>
      </c>
      <c r="G1054" t="s">
        <v>501</v>
      </c>
      <c r="H1054" t="s">
        <v>73</v>
      </c>
      <c r="I1054">
        <v>0</v>
      </c>
      <c r="J1054">
        <v>0.95316362793572351</v>
      </c>
      <c r="K1054">
        <v>46223</v>
      </c>
      <c r="L1054" t="s">
        <v>173</v>
      </c>
      <c r="M1054">
        <v>0</v>
      </c>
      <c r="N1054">
        <v>0</v>
      </c>
      <c r="O1054">
        <v>0.82352941176470595</v>
      </c>
      <c r="P1054">
        <v>0</v>
      </c>
      <c r="Q1054">
        <v>0</v>
      </c>
      <c r="R1054">
        <v>0.86399584250632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0.86399584250632</v>
      </c>
      <c r="AC1054">
        <v>0.13600415749368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J1054">
        <v>0</v>
      </c>
      <c r="BK1054">
        <v>0</v>
      </c>
      <c r="BL1054">
        <v>1.1574129767790928</v>
      </c>
      <c r="BM1054">
        <v>0.15741297677909283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</row>
    <row r="1055" spans="1:84" hidden="1" x14ac:dyDescent="0.25">
      <c r="A1055" t="s">
        <v>128</v>
      </c>
      <c r="B1055" t="s">
        <v>503</v>
      </c>
      <c r="C1055" t="s">
        <v>109</v>
      </c>
      <c r="D1055" s="12">
        <v>46230</v>
      </c>
      <c r="E1055" t="s">
        <v>133</v>
      </c>
      <c r="F1055" t="s">
        <v>133</v>
      </c>
      <c r="G1055" t="s">
        <v>133</v>
      </c>
      <c r="J1055">
        <v>21.530284301606926</v>
      </c>
      <c r="M1055">
        <v>66.5</v>
      </c>
      <c r="N1055">
        <v>66.5</v>
      </c>
      <c r="O1055">
        <v>18.455882352941167</v>
      </c>
      <c r="S1055">
        <v>0</v>
      </c>
      <c r="T1055">
        <v>0</v>
      </c>
      <c r="U1055">
        <v>1.8386726375014348</v>
      </c>
      <c r="V1055">
        <v>0</v>
      </c>
      <c r="W1055">
        <v>0</v>
      </c>
      <c r="X1055">
        <v>0</v>
      </c>
      <c r="Y1055">
        <v>1.1433616677811202E-2</v>
      </c>
      <c r="Z1055">
        <v>0</v>
      </c>
      <c r="AA1055">
        <v>0.23856638332218882</v>
      </c>
      <c r="AB1055">
        <v>0</v>
      </c>
      <c r="AC1055">
        <v>0</v>
      </c>
      <c r="AD1055">
        <v>0</v>
      </c>
      <c r="AE1055">
        <v>0.1542279200691648</v>
      </c>
      <c r="AF1055">
        <v>0</v>
      </c>
      <c r="AG1055">
        <v>0.84577207993083525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84" hidden="1" x14ac:dyDescent="0.25">
      <c r="A1056" t="s">
        <v>128</v>
      </c>
      <c r="B1056" t="s">
        <v>503</v>
      </c>
      <c r="C1056" t="s">
        <v>109</v>
      </c>
      <c r="D1056" s="12">
        <v>46236</v>
      </c>
      <c r="E1056" t="s">
        <v>134</v>
      </c>
      <c r="F1056" t="s">
        <v>134</v>
      </c>
      <c r="G1056" t="s">
        <v>134</v>
      </c>
      <c r="J1056">
        <v>5.7982573726541569</v>
      </c>
      <c r="M1056">
        <v>5.7</v>
      </c>
      <c r="N1056">
        <v>5.7</v>
      </c>
      <c r="O1056">
        <v>3.0347120098039211</v>
      </c>
      <c r="S1056">
        <v>0</v>
      </c>
      <c r="T1056">
        <v>0</v>
      </c>
      <c r="U1056">
        <v>0.51707895041035679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6.042654028436021E-2</v>
      </c>
      <c r="AB1056">
        <v>0.17162019125069969</v>
      </c>
      <c r="AC1056">
        <v>0.42283131724542783</v>
      </c>
      <c r="AD1056">
        <v>0</v>
      </c>
      <c r="AE1056">
        <v>5.3785222041654618E-2</v>
      </c>
      <c r="AF1056">
        <v>0</v>
      </c>
      <c r="AG1056">
        <v>0.35176326946221781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84" hidden="1" x14ac:dyDescent="0.25">
      <c r="A1057" t="s">
        <v>128</v>
      </c>
      <c r="B1057" t="s">
        <v>503</v>
      </c>
      <c r="C1057" t="s">
        <v>109</v>
      </c>
      <c r="D1057" s="12">
        <v>46236</v>
      </c>
      <c r="E1057" t="s">
        <v>501</v>
      </c>
      <c r="F1057" t="s">
        <v>501</v>
      </c>
      <c r="G1057" t="s">
        <v>501</v>
      </c>
      <c r="J1057">
        <v>0.44854758961681102</v>
      </c>
      <c r="M1057">
        <v>0</v>
      </c>
      <c r="N1057">
        <v>0</v>
      </c>
      <c r="O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84" hidden="1" x14ac:dyDescent="0.25">
      <c r="A1058" t="s">
        <v>128</v>
      </c>
      <c r="B1058" t="s">
        <v>503</v>
      </c>
      <c r="C1058" t="s">
        <v>72</v>
      </c>
      <c r="D1058" s="12">
        <v>46223</v>
      </c>
      <c r="E1058" t="s">
        <v>501</v>
      </c>
      <c r="F1058" t="s">
        <v>501</v>
      </c>
      <c r="G1058" t="s">
        <v>501</v>
      </c>
      <c r="H1058" t="s">
        <v>75</v>
      </c>
      <c r="I1058">
        <v>0</v>
      </c>
      <c r="J1058">
        <v>0</v>
      </c>
      <c r="K1058">
        <v>46223</v>
      </c>
      <c r="L1058" t="s">
        <v>165</v>
      </c>
      <c r="M1058">
        <v>0</v>
      </c>
      <c r="N1058">
        <v>0</v>
      </c>
      <c r="O1058">
        <v>0.16608996539792387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1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F1058">
        <v>0</v>
      </c>
    </row>
    <row r="1059" spans="1:84" hidden="1" x14ac:dyDescent="0.25">
      <c r="A1059" t="s">
        <v>128</v>
      </c>
      <c r="B1059" t="s">
        <v>503</v>
      </c>
      <c r="C1059" t="s">
        <v>109</v>
      </c>
      <c r="D1059" s="12">
        <v>46236</v>
      </c>
      <c r="E1059" t="s">
        <v>133</v>
      </c>
      <c r="F1059" t="s">
        <v>133</v>
      </c>
      <c r="G1059" t="s">
        <v>133</v>
      </c>
      <c r="J1059">
        <v>21.530284301606933</v>
      </c>
      <c r="M1059">
        <v>70.3</v>
      </c>
      <c r="N1059">
        <v>70.3</v>
      </c>
      <c r="O1059">
        <v>21.65441176470587</v>
      </c>
      <c r="S1059">
        <v>0</v>
      </c>
      <c r="T1059">
        <v>0</v>
      </c>
      <c r="U1059">
        <v>2.0151682167872296</v>
      </c>
      <c r="V1059">
        <v>0</v>
      </c>
      <c r="W1059">
        <v>0</v>
      </c>
      <c r="X1059">
        <v>0</v>
      </c>
      <c r="Y1059">
        <v>6.673307025186824E-2</v>
      </c>
      <c r="Z1059">
        <v>0</v>
      </c>
      <c r="AA1059">
        <v>0.18326692974813172</v>
      </c>
      <c r="AB1059">
        <v>0</v>
      </c>
      <c r="AC1059">
        <v>0</v>
      </c>
      <c r="AD1059">
        <v>0</v>
      </c>
      <c r="AE1059">
        <v>6.0967820645309471E-2</v>
      </c>
      <c r="AF1059">
        <v>0</v>
      </c>
      <c r="AG1059">
        <v>0.9390321793546903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84" hidden="1" x14ac:dyDescent="0.25">
      <c r="A1060" t="s">
        <v>128</v>
      </c>
      <c r="B1060" t="s">
        <v>503</v>
      </c>
      <c r="C1060" t="s">
        <v>72</v>
      </c>
      <c r="D1060" s="12">
        <v>46224</v>
      </c>
      <c r="E1060" t="s">
        <v>501</v>
      </c>
      <c r="F1060" t="s">
        <v>501</v>
      </c>
      <c r="G1060" t="s">
        <v>501</v>
      </c>
      <c r="H1060" t="s">
        <v>73</v>
      </c>
      <c r="I1060">
        <v>0</v>
      </c>
      <c r="J1060">
        <v>0.95316362793572373</v>
      </c>
      <c r="K1060">
        <v>46224</v>
      </c>
      <c r="L1060" t="s">
        <v>172</v>
      </c>
      <c r="M1060">
        <v>0</v>
      </c>
      <c r="N1060">
        <v>0</v>
      </c>
      <c r="O1060">
        <v>0.82352941176470595</v>
      </c>
      <c r="P1060">
        <v>0</v>
      </c>
      <c r="Q1060">
        <v>0</v>
      </c>
      <c r="R1060">
        <v>0.86399584250631978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0.86399584250631978</v>
      </c>
      <c r="AC1060">
        <v>0.13600415749368022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J1060">
        <v>0</v>
      </c>
      <c r="BK1060">
        <v>0</v>
      </c>
      <c r="BL1060">
        <v>1.1574129767790931</v>
      </c>
      <c r="BM1060">
        <v>0.15741297677909305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</row>
    <row r="1061" spans="1:84" hidden="1" x14ac:dyDescent="0.25">
      <c r="A1061" t="s">
        <v>128</v>
      </c>
      <c r="B1061" t="s">
        <v>503</v>
      </c>
      <c r="C1061" t="s">
        <v>109</v>
      </c>
      <c r="D1061" s="12">
        <v>46235</v>
      </c>
      <c r="E1061" t="s">
        <v>134</v>
      </c>
      <c r="F1061" t="s">
        <v>134</v>
      </c>
      <c r="G1061" t="s">
        <v>134</v>
      </c>
      <c r="J1061">
        <v>5.4878962308784107</v>
      </c>
      <c r="M1061">
        <v>5.7</v>
      </c>
      <c r="N1061">
        <v>5.7</v>
      </c>
      <c r="O1061">
        <v>5.1140372693194927</v>
      </c>
      <c r="S1061">
        <v>0</v>
      </c>
      <c r="T1061">
        <v>0</v>
      </c>
      <c r="U1061">
        <v>0.51692971191493908</v>
      </c>
      <c r="V1061">
        <v>0</v>
      </c>
      <c r="W1061">
        <v>2.9391995042925424E-2</v>
      </c>
      <c r="X1061">
        <v>0</v>
      </c>
      <c r="Y1061">
        <v>6.3843888070692231E-2</v>
      </c>
      <c r="Z1061">
        <v>0</v>
      </c>
      <c r="AA1061">
        <v>0</v>
      </c>
      <c r="AB1061">
        <v>0.4101560584002269</v>
      </c>
      <c r="AC1061">
        <v>0.16136015985473903</v>
      </c>
      <c r="AD1061">
        <v>0</v>
      </c>
      <c r="AE1061">
        <v>0</v>
      </c>
      <c r="AF1061">
        <v>0</v>
      </c>
      <c r="AG1061">
        <v>0.42848378174503404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84" hidden="1" x14ac:dyDescent="0.25">
      <c r="A1062" t="s">
        <v>128</v>
      </c>
      <c r="B1062" t="s">
        <v>503</v>
      </c>
      <c r="C1062" t="s">
        <v>72</v>
      </c>
      <c r="D1062" s="12">
        <v>46224</v>
      </c>
      <c r="E1062" t="s">
        <v>501</v>
      </c>
      <c r="F1062" t="s">
        <v>501</v>
      </c>
      <c r="G1062" t="s">
        <v>501</v>
      </c>
      <c r="H1062" t="s">
        <v>74</v>
      </c>
      <c r="I1062">
        <v>0</v>
      </c>
      <c r="J1062">
        <v>0</v>
      </c>
      <c r="K1062">
        <v>46224</v>
      </c>
      <c r="L1062" t="s">
        <v>169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F1062">
        <v>0</v>
      </c>
    </row>
    <row r="1063" spans="1:84" hidden="1" x14ac:dyDescent="0.25">
      <c r="A1063" t="s">
        <v>128</v>
      </c>
      <c r="B1063" t="s">
        <v>503</v>
      </c>
      <c r="C1063" t="s">
        <v>109</v>
      </c>
      <c r="D1063" s="12">
        <v>46235</v>
      </c>
      <c r="E1063" t="s">
        <v>501</v>
      </c>
      <c r="F1063" t="s">
        <v>501</v>
      </c>
      <c r="G1063" t="s">
        <v>501</v>
      </c>
      <c r="J1063">
        <v>0</v>
      </c>
      <c r="M1063">
        <v>0</v>
      </c>
      <c r="N1063">
        <v>0</v>
      </c>
      <c r="O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84" hidden="1" x14ac:dyDescent="0.25">
      <c r="A1064" t="s">
        <v>128</v>
      </c>
      <c r="B1064" t="s">
        <v>503</v>
      </c>
      <c r="C1064" t="s">
        <v>72</v>
      </c>
      <c r="D1064" s="12">
        <v>46224</v>
      </c>
      <c r="E1064" t="s">
        <v>501</v>
      </c>
      <c r="F1064" t="s">
        <v>501</v>
      </c>
      <c r="G1064" t="s">
        <v>501</v>
      </c>
      <c r="H1064" t="s">
        <v>75</v>
      </c>
      <c r="I1064">
        <v>0</v>
      </c>
      <c r="J1064">
        <v>0</v>
      </c>
      <c r="K1064">
        <v>46224</v>
      </c>
      <c r="L1064" t="s">
        <v>166</v>
      </c>
      <c r="M1064">
        <v>0</v>
      </c>
      <c r="N1064">
        <v>0</v>
      </c>
      <c r="O1064">
        <v>0.16608996539792387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F1064">
        <v>0</v>
      </c>
    </row>
    <row r="1065" spans="1:84" hidden="1" x14ac:dyDescent="0.25">
      <c r="A1065" t="s">
        <v>128</v>
      </c>
      <c r="B1065" t="s">
        <v>503</v>
      </c>
      <c r="C1065" t="s">
        <v>109</v>
      </c>
      <c r="D1065" s="12">
        <v>46235</v>
      </c>
      <c r="E1065" t="s">
        <v>133</v>
      </c>
      <c r="F1065" t="s">
        <v>133</v>
      </c>
      <c r="G1065" t="s">
        <v>133</v>
      </c>
      <c r="J1065">
        <v>21.306010506798525</v>
      </c>
      <c r="M1065">
        <v>58.899999999999991</v>
      </c>
      <c r="N1065">
        <v>58.899999999999991</v>
      </c>
      <c r="O1065">
        <v>21.272058823529406</v>
      </c>
      <c r="S1065">
        <v>0</v>
      </c>
      <c r="T1065">
        <v>0</v>
      </c>
      <c r="U1065">
        <v>1.5144781260764713</v>
      </c>
      <c r="V1065">
        <v>0</v>
      </c>
      <c r="W1065">
        <v>0</v>
      </c>
      <c r="X1065">
        <v>0</v>
      </c>
      <c r="Y1065">
        <v>5.0870189800451174E-2</v>
      </c>
      <c r="Z1065">
        <v>0</v>
      </c>
      <c r="AA1065">
        <v>0.19912981019954884</v>
      </c>
      <c r="AB1065">
        <v>0</v>
      </c>
      <c r="AC1065">
        <v>0</v>
      </c>
      <c r="AD1065">
        <v>0</v>
      </c>
      <c r="AE1065">
        <v>5.2463715874151808E-2</v>
      </c>
      <c r="AF1065">
        <v>0</v>
      </c>
      <c r="AG1065">
        <v>0.94753628412584834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84" hidden="1" x14ac:dyDescent="0.25">
      <c r="A1066" t="s">
        <v>128</v>
      </c>
      <c r="B1066" t="s">
        <v>503</v>
      </c>
      <c r="C1066" t="s">
        <v>72</v>
      </c>
      <c r="D1066" s="12">
        <v>46225</v>
      </c>
      <c r="E1066" t="s">
        <v>501</v>
      </c>
      <c r="F1066" t="s">
        <v>501</v>
      </c>
      <c r="G1066" t="s">
        <v>501</v>
      </c>
      <c r="H1066" t="s">
        <v>73</v>
      </c>
      <c r="I1066">
        <v>0</v>
      </c>
      <c r="J1066">
        <v>2.8594908838071702</v>
      </c>
      <c r="K1066">
        <v>46225</v>
      </c>
      <c r="L1066" t="s">
        <v>163</v>
      </c>
      <c r="M1066">
        <v>0</v>
      </c>
      <c r="N1066">
        <v>0</v>
      </c>
      <c r="O1066">
        <v>2.4760061919504648</v>
      </c>
      <c r="P1066">
        <v>0</v>
      </c>
      <c r="Q1066">
        <v>0</v>
      </c>
      <c r="R1066">
        <v>0.86589057023111471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0.86589057023111471</v>
      </c>
      <c r="AC1066">
        <v>0.13410942976888529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1</v>
      </c>
      <c r="BJ1066">
        <v>0</v>
      </c>
      <c r="BK1066">
        <v>0</v>
      </c>
      <c r="BL1066">
        <v>1.1548803444447837</v>
      </c>
      <c r="BM1066">
        <v>0.15488034444478371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1</v>
      </c>
      <c r="CF1066">
        <v>1</v>
      </c>
    </row>
    <row r="1067" spans="1:84" hidden="1" x14ac:dyDescent="0.25">
      <c r="A1067" t="s">
        <v>128</v>
      </c>
      <c r="B1067" t="s">
        <v>503</v>
      </c>
      <c r="C1067" t="s">
        <v>109</v>
      </c>
      <c r="D1067" s="12">
        <v>46234</v>
      </c>
      <c r="E1067" t="s">
        <v>134</v>
      </c>
      <c r="F1067" t="s">
        <v>134</v>
      </c>
      <c r="G1067" t="s">
        <v>134</v>
      </c>
      <c r="J1067">
        <v>9.672922252010725</v>
      </c>
      <c r="M1067">
        <v>6.6499999999999995</v>
      </c>
      <c r="N1067">
        <v>6.6499999999999995</v>
      </c>
      <c r="O1067">
        <v>5.1140372693194927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2.1909645232815897E-2</v>
      </c>
      <c r="AB1067">
        <v>0.10469898047910957</v>
      </c>
      <c r="AC1067">
        <v>0.22972452284683295</v>
      </c>
      <c r="AD1067">
        <v>0</v>
      </c>
      <c r="AE1067">
        <v>0.24157927386708883</v>
      </c>
      <c r="AF1067">
        <v>0</v>
      </c>
      <c r="AG1067">
        <v>0.42399722280696883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84" hidden="1" x14ac:dyDescent="0.25">
      <c r="A1068" t="s">
        <v>128</v>
      </c>
      <c r="B1068" t="s">
        <v>503</v>
      </c>
      <c r="C1068" t="s">
        <v>72</v>
      </c>
      <c r="D1068" s="12">
        <v>46223</v>
      </c>
      <c r="E1068" t="s">
        <v>501</v>
      </c>
      <c r="F1068" t="s">
        <v>501</v>
      </c>
      <c r="G1068" t="s">
        <v>501</v>
      </c>
      <c r="H1068" t="s">
        <v>74</v>
      </c>
      <c r="I1068">
        <v>0</v>
      </c>
      <c r="J1068">
        <v>0</v>
      </c>
      <c r="K1068">
        <v>46223</v>
      </c>
      <c r="L1068" t="s">
        <v>157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F1068">
        <v>0</v>
      </c>
    </row>
    <row r="1069" spans="1:84" hidden="1" x14ac:dyDescent="0.25">
      <c r="A1069" t="s">
        <v>128</v>
      </c>
      <c r="B1069" t="s">
        <v>503</v>
      </c>
      <c r="C1069" t="s">
        <v>72</v>
      </c>
      <c r="D1069" s="12">
        <v>46230</v>
      </c>
      <c r="E1069" t="s">
        <v>501</v>
      </c>
      <c r="F1069" t="s">
        <v>501</v>
      </c>
      <c r="G1069" t="s">
        <v>501</v>
      </c>
      <c r="H1069" t="s">
        <v>73</v>
      </c>
      <c r="I1069">
        <v>0</v>
      </c>
      <c r="J1069">
        <v>0</v>
      </c>
      <c r="K1069">
        <v>46230</v>
      </c>
      <c r="L1069" t="s">
        <v>217</v>
      </c>
      <c r="M1069">
        <v>0</v>
      </c>
      <c r="N1069">
        <v>0</v>
      </c>
      <c r="O1069">
        <v>0.82352941176470595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F1069">
        <v>0</v>
      </c>
    </row>
    <row r="1070" spans="1:84" hidden="1" x14ac:dyDescent="0.25">
      <c r="A1070" t="s">
        <v>128</v>
      </c>
      <c r="B1070" t="s">
        <v>503</v>
      </c>
      <c r="C1070" t="s">
        <v>109</v>
      </c>
      <c r="D1070" s="12">
        <v>46229</v>
      </c>
      <c r="E1070" t="s">
        <v>134</v>
      </c>
      <c r="F1070" t="s">
        <v>134</v>
      </c>
      <c r="G1070" t="s">
        <v>134</v>
      </c>
      <c r="J1070">
        <v>5.798257372654156</v>
      </c>
      <c r="M1070">
        <v>6.65</v>
      </c>
      <c r="N1070">
        <v>6.65</v>
      </c>
      <c r="O1070">
        <v>4.0243313869665522</v>
      </c>
      <c r="S1070">
        <v>0</v>
      </c>
      <c r="T1070">
        <v>0</v>
      </c>
      <c r="U1070">
        <v>0.48926020963234435</v>
      </c>
      <c r="V1070">
        <v>0</v>
      </c>
      <c r="W1070">
        <v>2.7818740778012708E-2</v>
      </c>
      <c r="X1070">
        <v>0</v>
      </c>
      <c r="Y1070">
        <v>6.0426540284360203E-2</v>
      </c>
      <c r="Z1070">
        <v>0</v>
      </c>
      <c r="AA1070">
        <v>0</v>
      </c>
      <c r="AB1070">
        <v>3.642266823297962E-2</v>
      </c>
      <c r="AC1070">
        <v>0.39418650989671639</v>
      </c>
      <c r="AD1070">
        <v>0</v>
      </c>
      <c r="AE1070">
        <v>0</v>
      </c>
      <c r="AF1070">
        <v>0</v>
      </c>
      <c r="AG1070">
        <v>0.5693908218703041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84" hidden="1" x14ac:dyDescent="0.25">
      <c r="A1071" t="s">
        <v>128</v>
      </c>
      <c r="B1071" t="s">
        <v>503</v>
      </c>
      <c r="C1071" t="s">
        <v>72</v>
      </c>
      <c r="D1071" s="12">
        <v>46230</v>
      </c>
      <c r="E1071" t="s">
        <v>501</v>
      </c>
      <c r="F1071" t="s">
        <v>501</v>
      </c>
      <c r="G1071" t="s">
        <v>501</v>
      </c>
      <c r="H1071" t="s">
        <v>74</v>
      </c>
      <c r="I1071">
        <v>0</v>
      </c>
      <c r="J1071">
        <v>0</v>
      </c>
      <c r="K1071">
        <v>46230</v>
      </c>
      <c r="L1071" t="s">
        <v>216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F1071">
        <v>0</v>
      </c>
    </row>
    <row r="1072" spans="1:84" hidden="1" x14ac:dyDescent="0.25">
      <c r="A1072" t="s">
        <v>128</v>
      </c>
      <c r="B1072" t="s">
        <v>503</v>
      </c>
      <c r="C1072" t="s">
        <v>109</v>
      </c>
      <c r="D1072" s="12">
        <v>46224</v>
      </c>
      <c r="E1072" t="s">
        <v>134</v>
      </c>
      <c r="F1072" t="s">
        <v>134</v>
      </c>
      <c r="G1072" t="s">
        <v>134</v>
      </c>
      <c r="J1072">
        <v>5.798257372654156</v>
      </c>
      <c r="M1072">
        <v>6.6499999999999995</v>
      </c>
      <c r="N1072">
        <v>6.6499999999999995</v>
      </c>
      <c r="O1072">
        <v>3.1758596453287193</v>
      </c>
      <c r="S1072">
        <v>0</v>
      </c>
      <c r="T1072">
        <v>0</v>
      </c>
      <c r="U1072">
        <v>0.6809212807767886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6.0426540284360203E-2</v>
      </c>
      <c r="AB1072">
        <v>0.19596330444027305</v>
      </c>
      <c r="AC1072">
        <v>0.39848820405585444</v>
      </c>
      <c r="AD1072">
        <v>0</v>
      </c>
      <c r="AE1072">
        <v>5.3785222041654555E-2</v>
      </c>
      <c r="AF1072">
        <v>0</v>
      </c>
      <c r="AG1072">
        <v>0.35176326946221786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84" hidden="1" x14ac:dyDescent="0.25">
      <c r="A1073" t="s">
        <v>128</v>
      </c>
      <c r="B1073" t="s">
        <v>503</v>
      </c>
      <c r="C1073" t="s">
        <v>72</v>
      </c>
      <c r="D1073" s="12">
        <v>46235</v>
      </c>
      <c r="E1073" t="s">
        <v>501</v>
      </c>
      <c r="F1073" t="s">
        <v>501</v>
      </c>
      <c r="G1073" t="s">
        <v>501</v>
      </c>
      <c r="H1073" t="s">
        <v>74</v>
      </c>
      <c r="I1073">
        <v>0</v>
      </c>
      <c r="J1073">
        <v>0</v>
      </c>
      <c r="K1073">
        <v>46235</v>
      </c>
      <c r="L1073" t="s">
        <v>187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F1073">
        <v>0</v>
      </c>
    </row>
    <row r="1074" spans="1:84" hidden="1" x14ac:dyDescent="0.25">
      <c r="A1074" t="s">
        <v>128</v>
      </c>
      <c r="B1074" t="s">
        <v>503</v>
      </c>
      <c r="C1074" t="s">
        <v>109</v>
      </c>
      <c r="D1074" s="12">
        <v>46224</v>
      </c>
      <c r="E1074" t="s">
        <v>501</v>
      </c>
      <c r="F1074" t="s">
        <v>501</v>
      </c>
      <c r="G1074" t="s">
        <v>501</v>
      </c>
      <c r="J1074">
        <v>0.95316362793572373</v>
      </c>
      <c r="M1074">
        <v>0</v>
      </c>
      <c r="N1074">
        <v>0</v>
      </c>
      <c r="O1074">
        <v>0.98961937716262982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0.86399584250631978</v>
      </c>
      <c r="AC1074">
        <v>0.13600415749368022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84" hidden="1" x14ac:dyDescent="0.25">
      <c r="A1075" t="s">
        <v>128</v>
      </c>
      <c r="B1075" t="s">
        <v>503</v>
      </c>
      <c r="C1075" t="s">
        <v>72</v>
      </c>
      <c r="D1075" s="12">
        <v>46235</v>
      </c>
      <c r="E1075" t="s">
        <v>501</v>
      </c>
      <c r="F1075" t="s">
        <v>501</v>
      </c>
      <c r="G1075" t="s">
        <v>501</v>
      </c>
      <c r="H1075" t="s">
        <v>75</v>
      </c>
      <c r="I1075">
        <v>0</v>
      </c>
      <c r="J1075">
        <v>0</v>
      </c>
      <c r="K1075">
        <v>46235</v>
      </c>
      <c r="L1075" t="s">
        <v>186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F1075">
        <v>0</v>
      </c>
    </row>
    <row r="1076" spans="1:84" hidden="1" x14ac:dyDescent="0.25">
      <c r="A1076" t="s">
        <v>128</v>
      </c>
      <c r="B1076" t="s">
        <v>503</v>
      </c>
      <c r="C1076" t="s">
        <v>109</v>
      </c>
      <c r="D1076" s="12">
        <v>46224</v>
      </c>
      <c r="E1076" t="s">
        <v>133</v>
      </c>
      <c r="F1076" t="s">
        <v>133</v>
      </c>
      <c r="G1076" t="s">
        <v>133</v>
      </c>
      <c r="J1076">
        <v>21.530284301606926</v>
      </c>
      <c r="M1076">
        <v>74.099999999999994</v>
      </c>
      <c r="N1076">
        <v>74.099999999999994</v>
      </c>
      <c r="O1076">
        <v>20.272058823529402</v>
      </c>
      <c r="S1076">
        <v>0</v>
      </c>
      <c r="T1076">
        <v>0</v>
      </c>
      <c r="U1076">
        <v>2.1916637960730272</v>
      </c>
      <c r="V1076">
        <v>0</v>
      </c>
      <c r="W1076">
        <v>0</v>
      </c>
      <c r="X1076">
        <v>0</v>
      </c>
      <c r="Y1076">
        <v>1.2041591524656276E-2</v>
      </c>
      <c r="Z1076">
        <v>0</v>
      </c>
      <c r="AA1076">
        <v>0.23795840847534372</v>
      </c>
      <c r="AB1076">
        <v>0</v>
      </c>
      <c r="AC1076">
        <v>0</v>
      </c>
      <c r="AD1076">
        <v>0</v>
      </c>
      <c r="AE1076">
        <v>7.0481390110298595E-2</v>
      </c>
      <c r="AF1076">
        <v>0</v>
      </c>
      <c r="AG1076">
        <v>0.92951860988970136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84" hidden="1" x14ac:dyDescent="0.25">
      <c r="A1077" t="s">
        <v>128</v>
      </c>
      <c r="B1077" t="s">
        <v>503</v>
      </c>
      <c r="C1077" t="s">
        <v>72</v>
      </c>
      <c r="D1077" s="12">
        <v>46236</v>
      </c>
      <c r="E1077" t="s">
        <v>501</v>
      </c>
      <c r="F1077" t="s">
        <v>501</v>
      </c>
      <c r="G1077" t="s">
        <v>501</v>
      </c>
      <c r="H1077" t="s">
        <v>73</v>
      </c>
      <c r="I1077">
        <v>0</v>
      </c>
      <c r="J1077">
        <v>0.44854758961681102</v>
      </c>
      <c r="K1077">
        <v>46236</v>
      </c>
      <c r="L1077" t="s">
        <v>185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</row>
    <row r="1078" spans="1:84" hidden="1" x14ac:dyDescent="0.25">
      <c r="A1078" t="s">
        <v>128</v>
      </c>
      <c r="B1078" t="s">
        <v>503</v>
      </c>
      <c r="C1078" t="s">
        <v>109</v>
      </c>
      <c r="D1078" s="12">
        <v>46223</v>
      </c>
      <c r="E1078" t="s">
        <v>134</v>
      </c>
      <c r="F1078" t="s">
        <v>134</v>
      </c>
      <c r="G1078" t="s">
        <v>134</v>
      </c>
      <c r="J1078">
        <v>5.798257372654156</v>
      </c>
      <c r="M1078">
        <v>8.5499999999999989</v>
      </c>
      <c r="N1078">
        <v>8.5499999999999989</v>
      </c>
      <c r="O1078">
        <v>3.9759803921568619</v>
      </c>
      <c r="S1078">
        <v>0</v>
      </c>
      <c r="T1078">
        <v>0</v>
      </c>
      <c r="U1078">
        <v>0.68092128077678848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9.6977228066119428E-2</v>
      </c>
      <c r="AB1078">
        <v>0.17466370203150033</v>
      </c>
      <c r="AC1078">
        <v>0.12865383351352336</v>
      </c>
      <c r="AD1078">
        <v>0</v>
      </c>
      <c r="AE1078">
        <v>0.18562627917887772</v>
      </c>
      <c r="AF1078">
        <v>0</v>
      </c>
      <c r="AG1078">
        <v>0.51105618527609853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84" hidden="1" x14ac:dyDescent="0.25">
      <c r="A1079" t="s">
        <v>128</v>
      </c>
      <c r="B1079" t="s">
        <v>503</v>
      </c>
      <c r="C1079" t="s">
        <v>72</v>
      </c>
      <c r="D1079" s="12">
        <v>46236</v>
      </c>
      <c r="E1079" t="s">
        <v>501</v>
      </c>
      <c r="F1079" t="s">
        <v>501</v>
      </c>
      <c r="G1079" t="s">
        <v>501</v>
      </c>
      <c r="H1079" t="s">
        <v>74</v>
      </c>
      <c r="I1079">
        <v>0</v>
      </c>
      <c r="J1079">
        <v>0</v>
      </c>
      <c r="K1079">
        <v>46236</v>
      </c>
      <c r="L1079" t="s">
        <v>184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F1079">
        <v>0</v>
      </c>
    </row>
    <row r="1080" spans="1:84" hidden="1" x14ac:dyDescent="0.25">
      <c r="A1080" t="s">
        <v>128</v>
      </c>
      <c r="B1080" t="s">
        <v>503</v>
      </c>
      <c r="C1080" t="s">
        <v>109</v>
      </c>
      <c r="D1080" s="12">
        <v>46223</v>
      </c>
      <c r="E1080" t="s">
        <v>501</v>
      </c>
      <c r="F1080" t="s">
        <v>501</v>
      </c>
      <c r="G1080" t="s">
        <v>501</v>
      </c>
      <c r="J1080">
        <v>0.95316362793572351</v>
      </c>
      <c r="M1080">
        <v>0</v>
      </c>
      <c r="N1080">
        <v>0</v>
      </c>
      <c r="O1080">
        <v>0.98961937716262982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0.86399584250632</v>
      </c>
      <c r="AC1080">
        <v>0.13600415749368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84" hidden="1" x14ac:dyDescent="0.25">
      <c r="A1081" t="s">
        <v>128</v>
      </c>
      <c r="B1081" t="s">
        <v>503</v>
      </c>
      <c r="C1081" t="s">
        <v>72</v>
      </c>
      <c r="D1081" s="12">
        <v>46236</v>
      </c>
      <c r="E1081" t="s">
        <v>501</v>
      </c>
      <c r="F1081" t="s">
        <v>501</v>
      </c>
      <c r="G1081" t="s">
        <v>501</v>
      </c>
      <c r="H1081" t="s">
        <v>75</v>
      </c>
      <c r="I1081">
        <v>0</v>
      </c>
      <c r="J1081">
        <v>0</v>
      </c>
      <c r="K1081">
        <v>46236</v>
      </c>
      <c r="L1081" t="s">
        <v>183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F1081">
        <v>0</v>
      </c>
    </row>
    <row r="1082" spans="1:84" hidden="1" x14ac:dyDescent="0.25">
      <c r="A1082" t="s">
        <v>128</v>
      </c>
      <c r="B1082" t="s">
        <v>503</v>
      </c>
      <c r="C1082" t="s">
        <v>109</v>
      </c>
      <c r="D1082" s="12">
        <v>46223</v>
      </c>
      <c r="E1082" t="s">
        <v>133</v>
      </c>
      <c r="F1082" t="s">
        <v>133</v>
      </c>
      <c r="G1082" t="s">
        <v>133</v>
      </c>
      <c r="J1082">
        <v>21.530284301606926</v>
      </c>
      <c r="M1082">
        <v>72.2</v>
      </c>
      <c r="N1082">
        <v>72.2</v>
      </c>
      <c r="O1082">
        <v>21.349264705882341</v>
      </c>
      <c r="S1082">
        <v>0</v>
      </c>
      <c r="T1082">
        <v>0</v>
      </c>
      <c r="U1082">
        <v>2.1034160064301286</v>
      </c>
      <c r="V1082">
        <v>0</v>
      </c>
      <c r="W1082">
        <v>0</v>
      </c>
      <c r="X1082">
        <v>0</v>
      </c>
      <c r="Y1082">
        <v>6.2222662058277686E-2</v>
      </c>
      <c r="Z1082">
        <v>0</v>
      </c>
      <c r="AA1082">
        <v>0.18777733794172233</v>
      </c>
      <c r="AB1082">
        <v>0</v>
      </c>
      <c r="AC1082">
        <v>0</v>
      </c>
      <c r="AD1082">
        <v>0</v>
      </c>
      <c r="AE1082">
        <v>7.0630335323933355E-2</v>
      </c>
      <c r="AF1082">
        <v>0</v>
      </c>
      <c r="AG1082">
        <v>0.92936966467606663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84" hidden="1" x14ac:dyDescent="0.25">
      <c r="A1083" t="s">
        <v>128</v>
      </c>
      <c r="B1083" t="s">
        <v>503</v>
      </c>
      <c r="C1083" t="s">
        <v>72</v>
      </c>
      <c r="D1083" s="12">
        <v>46235</v>
      </c>
      <c r="E1083" t="s">
        <v>501</v>
      </c>
      <c r="F1083" t="s">
        <v>501</v>
      </c>
      <c r="G1083" t="s">
        <v>501</v>
      </c>
      <c r="H1083" t="s">
        <v>73</v>
      </c>
      <c r="I1083">
        <v>0</v>
      </c>
      <c r="J1083">
        <v>0</v>
      </c>
      <c r="K1083">
        <v>46235</v>
      </c>
      <c r="L1083" t="s">
        <v>188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F1083">
        <v>0</v>
      </c>
    </row>
    <row r="1084" spans="1:84" hidden="1" x14ac:dyDescent="0.25">
      <c r="A1084" t="s">
        <v>128</v>
      </c>
      <c r="B1084" t="s">
        <v>503</v>
      </c>
      <c r="C1084" t="s">
        <v>72</v>
      </c>
      <c r="D1084" s="12">
        <v>46237</v>
      </c>
      <c r="E1084" t="s">
        <v>501</v>
      </c>
      <c r="F1084" t="s">
        <v>501</v>
      </c>
      <c r="G1084" t="s">
        <v>501</v>
      </c>
      <c r="H1084" t="s">
        <v>73</v>
      </c>
      <c r="I1084">
        <v>0</v>
      </c>
      <c r="J1084">
        <v>0.95316362793572373</v>
      </c>
      <c r="K1084">
        <v>46237</v>
      </c>
      <c r="L1084" t="s">
        <v>232</v>
      </c>
      <c r="M1084">
        <v>0</v>
      </c>
      <c r="N1084">
        <v>0</v>
      </c>
      <c r="O1084">
        <v>0.82352941176470595</v>
      </c>
      <c r="P1084">
        <v>0</v>
      </c>
      <c r="Q1084">
        <v>0</v>
      </c>
      <c r="R1084">
        <v>0.86399584250631978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0.86399584250631978</v>
      </c>
      <c r="AC1084">
        <v>0.13600415749368022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J1084">
        <v>0</v>
      </c>
      <c r="BK1084">
        <v>0</v>
      </c>
      <c r="BL1084">
        <v>1.1574129767790931</v>
      </c>
      <c r="BM1084">
        <v>0.15741297677909305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</row>
    <row r="1085" spans="1:84" hidden="1" x14ac:dyDescent="0.25">
      <c r="A1085" t="s">
        <v>128</v>
      </c>
      <c r="B1085" t="s">
        <v>503</v>
      </c>
      <c r="C1085" t="s">
        <v>72</v>
      </c>
      <c r="D1085" s="12">
        <v>46237</v>
      </c>
      <c r="E1085" t="s">
        <v>501</v>
      </c>
      <c r="F1085" t="s">
        <v>501</v>
      </c>
      <c r="G1085" t="s">
        <v>501</v>
      </c>
      <c r="H1085" t="s">
        <v>74</v>
      </c>
      <c r="I1085">
        <v>0</v>
      </c>
      <c r="J1085">
        <v>0</v>
      </c>
      <c r="K1085">
        <v>46237</v>
      </c>
      <c r="L1085" t="s">
        <v>182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F1085">
        <v>0</v>
      </c>
    </row>
    <row r="1086" spans="1:84" hidden="1" x14ac:dyDescent="0.25">
      <c r="A1086" t="s">
        <v>128</v>
      </c>
      <c r="B1086" t="s">
        <v>503</v>
      </c>
      <c r="C1086" t="s">
        <v>72</v>
      </c>
      <c r="D1086" s="12">
        <v>46237</v>
      </c>
      <c r="E1086" t="s">
        <v>501</v>
      </c>
      <c r="F1086" t="s">
        <v>501</v>
      </c>
      <c r="G1086" t="s">
        <v>501</v>
      </c>
      <c r="H1086" t="s">
        <v>75</v>
      </c>
      <c r="I1086">
        <v>0</v>
      </c>
      <c r="J1086">
        <v>0</v>
      </c>
      <c r="K1086">
        <v>46237</v>
      </c>
      <c r="L1086" t="s">
        <v>181</v>
      </c>
      <c r="M1086">
        <v>0</v>
      </c>
      <c r="N1086">
        <v>0</v>
      </c>
      <c r="O1086">
        <v>0.16608996539792387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F1086">
        <v>0</v>
      </c>
    </row>
    <row r="1087" spans="1:84" hidden="1" x14ac:dyDescent="0.25">
      <c r="A1087" t="s">
        <v>128</v>
      </c>
      <c r="B1087" t="s">
        <v>503</v>
      </c>
      <c r="C1087" t="s">
        <v>72</v>
      </c>
      <c r="D1087" s="12">
        <v>46250</v>
      </c>
      <c r="E1087" t="s">
        <v>134</v>
      </c>
      <c r="F1087" t="s">
        <v>134</v>
      </c>
      <c r="G1087" t="s">
        <v>134</v>
      </c>
      <c r="H1087" t="s">
        <v>74</v>
      </c>
      <c r="I1087">
        <v>10</v>
      </c>
      <c r="J1087">
        <v>1.7587131367292226</v>
      </c>
      <c r="K1087">
        <v>46250</v>
      </c>
      <c r="L1087" t="s">
        <v>170</v>
      </c>
      <c r="M1087">
        <v>0</v>
      </c>
      <c r="N1087">
        <v>0</v>
      </c>
      <c r="O1087">
        <v>6.2745098039215685E-2</v>
      </c>
      <c r="P1087">
        <v>0</v>
      </c>
      <c r="Q1087">
        <v>0</v>
      </c>
      <c r="R1087">
        <v>3.5676709708273552E-2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3.5676709708273552E-2</v>
      </c>
      <c r="AC1087">
        <v>0.96432329029172648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J1087">
        <v>0</v>
      </c>
      <c r="BK1087">
        <v>0</v>
      </c>
      <c r="BL1087">
        <v>28.029490616621985</v>
      </c>
      <c r="BM1087">
        <v>27.029490616621985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</row>
    <row r="1088" spans="1:84" hidden="1" x14ac:dyDescent="0.25">
      <c r="A1088" t="s">
        <v>128</v>
      </c>
      <c r="B1088" t="s">
        <v>503</v>
      </c>
      <c r="C1088" t="s">
        <v>72</v>
      </c>
      <c r="D1088" s="12">
        <v>46250</v>
      </c>
      <c r="E1088" t="s">
        <v>134</v>
      </c>
      <c r="F1088" t="s">
        <v>134</v>
      </c>
      <c r="G1088" t="s">
        <v>134</v>
      </c>
      <c r="H1088" t="s">
        <v>73</v>
      </c>
      <c r="I1088">
        <v>10</v>
      </c>
      <c r="J1088">
        <v>1.4014745308310996</v>
      </c>
      <c r="K1088">
        <v>46250</v>
      </c>
      <c r="L1088" t="s">
        <v>168</v>
      </c>
      <c r="M1088">
        <v>0</v>
      </c>
      <c r="N1088">
        <v>0</v>
      </c>
      <c r="O1088">
        <v>1.7647058823529416</v>
      </c>
      <c r="P1088">
        <v>0</v>
      </c>
      <c r="Q1088">
        <v>0</v>
      </c>
      <c r="R1088">
        <v>1.2591779897037723</v>
      </c>
      <c r="S1088">
        <v>0.25917798970377226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1</v>
      </c>
      <c r="BJ1088">
        <v>0</v>
      </c>
      <c r="BK1088">
        <v>0</v>
      </c>
      <c r="BL1088">
        <v>0.79416890080428959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0.20583109919571041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0.79416890080428959</v>
      </c>
      <c r="CF1088">
        <v>0</v>
      </c>
    </row>
    <row r="1089" spans="1:84" hidden="1" x14ac:dyDescent="0.25">
      <c r="A1089" t="s">
        <v>128</v>
      </c>
      <c r="B1089" t="s">
        <v>503</v>
      </c>
      <c r="C1089" t="s">
        <v>72</v>
      </c>
      <c r="D1089" s="12">
        <v>46238</v>
      </c>
      <c r="E1089" t="s">
        <v>501</v>
      </c>
      <c r="F1089" t="s">
        <v>501</v>
      </c>
      <c r="G1089" t="s">
        <v>501</v>
      </c>
      <c r="H1089" t="s">
        <v>73</v>
      </c>
      <c r="I1089">
        <v>0</v>
      </c>
      <c r="J1089">
        <v>0.95316362793572351</v>
      </c>
      <c r="K1089">
        <v>46238</v>
      </c>
      <c r="L1089" t="s">
        <v>180</v>
      </c>
      <c r="M1089">
        <v>0</v>
      </c>
      <c r="N1089">
        <v>0</v>
      </c>
      <c r="O1089">
        <v>0.82352941176470595</v>
      </c>
      <c r="P1089">
        <v>0</v>
      </c>
      <c r="Q1089">
        <v>0</v>
      </c>
      <c r="R1089">
        <v>0.86399584250632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0.86399584250632</v>
      </c>
      <c r="AC1089">
        <v>0.13600415749368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J1089">
        <v>0</v>
      </c>
      <c r="BK1089">
        <v>0</v>
      </c>
      <c r="BL1089">
        <v>1.1574129767790928</v>
      </c>
      <c r="BM1089">
        <v>0.15741297677909283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</row>
    <row r="1090" spans="1:84" hidden="1" x14ac:dyDescent="0.25">
      <c r="A1090" t="s">
        <v>128</v>
      </c>
      <c r="B1090" t="s">
        <v>503</v>
      </c>
      <c r="C1090" t="s">
        <v>72</v>
      </c>
      <c r="D1090" s="12">
        <v>46249</v>
      </c>
      <c r="E1090" t="s">
        <v>134</v>
      </c>
      <c r="F1090" t="s">
        <v>134</v>
      </c>
      <c r="G1090" t="s">
        <v>134</v>
      </c>
      <c r="H1090" t="s">
        <v>75</v>
      </c>
      <c r="I1090">
        <v>10</v>
      </c>
      <c r="J1090">
        <v>2.3277085633180885</v>
      </c>
      <c r="K1090">
        <v>46249</v>
      </c>
      <c r="L1090" t="s">
        <v>167</v>
      </c>
      <c r="M1090">
        <v>0</v>
      </c>
      <c r="N1090">
        <v>0</v>
      </c>
      <c r="O1090">
        <v>1.882352941176471</v>
      </c>
      <c r="P1090">
        <v>0</v>
      </c>
      <c r="Q1090">
        <v>0</v>
      </c>
      <c r="R1090">
        <v>0.80867208672086743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0.80867208672086743</v>
      </c>
      <c r="AC1090">
        <v>0.19132791327913257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J1090">
        <v>0</v>
      </c>
      <c r="BK1090">
        <v>0</v>
      </c>
      <c r="BL1090">
        <v>1.2365951742627344</v>
      </c>
      <c r="BM1090">
        <v>0.23659517426273435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</v>
      </c>
      <c r="CF1090">
        <v>1</v>
      </c>
    </row>
    <row r="1091" spans="1:84" hidden="1" x14ac:dyDescent="0.25">
      <c r="A1091" t="s">
        <v>128</v>
      </c>
      <c r="B1091" t="s">
        <v>503</v>
      </c>
      <c r="C1091" t="s">
        <v>72</v>
      </c>
      <c r="D1091" s="12">
        <v>46238</v>
      </c>
      <c r="E1091" t="s">
        <v>501</v>
      </c>
      <c r="F1091" t="s">
        <v>501</v>
      </c>
      <c r="G1091" t="s">
        <v>501</v>
      </c>
      <c r="H1091" t="s">
        <v>74</v>
      </c>
      <c r="I1091">
        <v>0</v>
      </c>
      <c r="J1091">
        <v>0</v>
      </c>
      <c r="K1091">
        <v>46238</v>
      </c>
      <c r="L1091" t="s">
        <v>179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F1091">
        <v>0</v>
      </c>
    </row>
    <row r="1092" spans="1:84" hidden="1" x14ac:dyDescent="0.25">
      <c r="A1092" t="s">
        <v>128</v>
      </c>
      <c r="B1092" t="s">
        <v>503</v>
      </c>
      <c r="C1092" t="s">
        <v>72</v>
      </c>
      <c r="D1092" s="12">
        <v>46249</v>
      </c>
      <c r="E1092" t="s">
        <v>134</v>
      </c>
      <c r="F1092" t="s">
        <v>134</v>
      </c>
      <c r="G1092" t="s">
        <v>134</v>
      </c>
      <c r="H1092" t="s">
        <v>74</v>
      </c>
      <c r="I1092">
        <v>10</v>
      </c>
      <c r="J1092">
        <v>1.7587131367292226</v>
      </c>
      <c r="K1092">
        <v>46249</v>
      </c>
      <c r="L1092" t="s">
        <v>164</v>
      </c>
      <c r="M1092">
        <v>0</v>
      </c>
      <c r="N1092">
        <v>0</v>
      </c>
      <c r="O1092">
        <v>6.2745098039215685E-2</v>
      </c>
      <c r="P1092">
        <v>0</v>
      </c>
      <c r="Q1092">
        <v>0</v>
      </c>
      <c r="R1092">
        <v>3.5676709708273552E-2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3.5676709708273552E-2</v>
      </c>
      <c r="AC1092">
        <v>0.96432329029172648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J1092">
        <v>0</v>
      </c>
      <c r="BK1092">
        <v>0</v>
      </c>
      <c r="BL1092">
        <v>28.029490616621985</v>
      </c>
      <c r="BM1092">
        <v>27.029490616621985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</row>
    <row r="1093" spans="1:84" hidden="1" x14ac:dyDescent="0.25">
      <c r="A1093" t="s">
        <v>128</v>
      </c>
      <c r="B1093" t="s">
        <v>503</v>
      </c>
      <c r="C1093" t="s">
        <v>72</v>
      </c>
      <c r="D1093" s="12">
        <v>46238</v>
      </c>
      <c r="E1093" t="s">
        <v>501</v>
      </c>
      <c r="F1093" t="s">
        <v>501</v>
      </c>
      <c r="G1093" t="s">
        <v>501</v>
      </c>
      <c r="H1093" t="s">
        <v>75</v>
      </c>
      <c r="I1093">
        <v>0</v>
      </c>
      <c r="J1093">
        <v>0</v>
      </c>
      <c r="K1093">
        <v>46238</v>
      </c>
      <c r="L1093" t="s">
        <v>178</v>
      </c>
      <c r="M1093">
        <v>0</v>
      </c>
      <c r="N1093">
        <v>0</v>
      </c>
      <c r="O1093">
        <v>0.16608996539792387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F1093">
        <v>0</v>
      </c>
    </row>
    <row r="1094" spans="1:84" hidden="1" x14ac:dyDescent="0.25">
      <c r="A1094" t="s">
        <v>128</v>
      </c>
      <c r="B1094" t="s">
        <v>503</v>
      </c>
      <c r="C1094" t="s">
        <v>72</v>
      </c>
      <c r="D1094" s="12">
        <v>46239</v>
      </c>
      <c r="E1094" t="s">
        <v>501</v>
      </c>
      <c r="F1094" t="s">
        <v>501</v>
      </c>
      <c r="G1094" t="s">
        <v>501</v>
      </c>
      <c r="H1094" t="s">
        <v>73</v>
      </c>
      <c r="I1094">
        <v>0</v>
      </c>
      <c r="J1094">
        <v>2.8594908838071702</v>
      </c>
      <c r="K1094">
        <v>46239</v>
      </c>
      <c r="L1094" t="s">
        <v>177</v>
      </c>
      <c r="M1094">
        <v>0</v>
      </c>
      <c r="N1094">
        <v>0</v>
      </c>
      <c r="O1094">
        <v>1.6524767801857587</v>
      </c>
      <c r="P1094">
        <v>0</v>
      </c>
      <c r="Q1094">
        <v>0</v>
      </c>
      <c r="R1094">
        <v>0.57789195606234134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0.57789195606234134</v>
      </c>
      <c r="AC1094">
        <v>0.42210804393765866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J1094">
        <v>0</v>
      </c>
      <c r="BK1094">
        <v>0</v>
      </c>
      <c r="BL1094">
        <v>1.7304272702008727</v>
      </c>
      <c r="BM1094">
        <v>0.73042727020087272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1</v>
      </c>
      <c r="CF1094">
        <v>1</v>
      </c>
    </row>
    <row r="1095" spans="1:84" hidden="1" x14ac:dyDescent="0.25">
      <c r="A1095" t="s">
        <v>128</v>
      </c>
      <c r="B1095" t="s">
        <v>503</v>
      </c>
      <c r="C1095" t="s">
        <v>72</v>
      </c>
      <c r="D1095" s="12">
        <v>46249</v>
      </c>
      <c r="E1095" t="s">
        <v>134</v>
      </c>
      <c r="F1095" t="s">
        <v>134</v>
      </c>
      <c r="G1095" t="s">
        <v>134</v>
      </c>
      <c r="H1095" t="s">
        <v>73</v>
      </c>
      <c r="I1095">
        <v>10</v>
      </c>
      <c r="J1095">
        <v>1.4014745308310996</v>
      </c>
      <c r="K1095">
        <v>46249</v>
      </c>
      <c r="L1095" t="s">
        <v>155</v>
      </c>
      <c r="M1095">
        <v>0</v>
      </c>
      <c r="N1095">
        <v>0</v>
      </c>
      <c r="O1095">
        <v>1.6911764705882355</v>
      </c>
      <c r="P1095">
        <v>0</v>
      </c>
      <c r="Q1095">
        <v>0</v>
      </c>
      <c r="R1095">
        <v>1.2067122401327817</v>
      </c>
      <c r="S1095">
        <v>0.20671224013278167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1</v>
      </c>
      <c r="BJ1095">
        <v>0</v>
      </c>
      <c r="BK1095">
        <v>0</v>
      </c>
      <c r="BL1095">
        <v>0.82869798344795442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0.17130201655204558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0.82869798344795442</v>
      </c>
      <c r="CF1095">
        <v>0</v>
      </c>
    </row>
    <row r="1096" spans="1:84" hidden="1" x14ac:dyDescent="0.25">
      <c r="A1096" t="s">
        <v>128</v>
      </c>
      <c r="B1096" t="s">
        <v>503</v>
      </c>
      <c r="C1096" t="s">
        <v>72</v>
      </c>
      <c r="D1096" s="12">
        <v>46250</v>
      </c>
      <c r="E1096" t="s">
        <v>134</v>
      </c>
      <c r="F1096" t="s">
        <v>134</v>
      </c>
      <c r="G1096" t="s">
        <v>134</v>
      </c>
      <c r="H1096" t="s">
        <v>75</v>
      </c>
      <c r="I1096">
        <v>10</v>
      </c>
      <c r="J1096">
        <v>2.6380697050938342</v>
      </c>
      <c r="K1096">
        <v>46250</v>
      </c>
      <c r="L1096" t="s">
        <v>171</v>
      </c>
      <c r="M1096">
        <v>0</v>
      </c>
      <c r="N1096">
        <v>0</v>
      </c>
      <c r="O1096">
        <v>2.0484429065743948</v>
      </c>
      <c r="P1096">
        <v>0</v>
      </c>
      <c r="Q1096">
        <v>0</v>
      </c>
      <c r="R1096">
        <v>0.77649309365065966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0.77649309365065966</v>
      </c>
      <c r="AC1096">
        <v>0.22350690634934034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1</v>
      </c>
      <c r="BJ1096">
        <v>0</v>
      </c>
      <c r="BK1096">
        <v>0</v>
      </c>
      <c r="BL1096">
        <v>1.2878414607637128</v>
      </c>
      <c r="BM1096">
        <v>0.28784146076371275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1</v>
      </c>
      <c r="CF1096">
        <v>1</v>
      </c>
    </row>
    <row r="1097" spans="1:84" hidden="1" x14ac:dyDescent="0.25">
      <c r="A1097" t="s">
        <v>128</v>
      </c>
      <c r="B1097" t="s">
        <v>503</v>
      </c>
      <c r="C1097" t="s">
        <v>72</v>
      </c>
      <c r="D1097" s="12">
        <v>46239</v>
      </c>
      <c r="E1097" t="s">
        <v>501</v>
      </c>
      <c r="F1097" t="s">
        <v>501</v>
      </c>
      <c r="G1097" t="s">
        <v>501</v>
      </c>
      <c r="H1097" t="s">
        <v>74</v>
      </c>
      <c r="I1097">
        <v>0</v>
      </c>
      <c r="J1097">
        <v>0</v>
      </c>
      <c r="K1097">
        <v>46239</v>
      </c>
      <c r="L1097" t="s">
        <v>176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1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F1097">
        <v>0</v>
      </c>
    </row>
    <row r="1098" spans="1:84" hidden="1" x14ac:dyDescent="0.25">
      <c r="A1098" t="s">
        <v>128</v>
      </c>
      <c r="B1098" t="s">
        <v>503</v>
      </c>
      <c r="C1098" t="s">
        <v>109</v>
      </c>
      <c r="D1098" s="12">
        <v>46225</v>
      </c>
      <c r="E1098" t="s">
        <v>133</v>
      </c>
      <c r="F1098" t="s">
        <v>133</v>
      </c>
      <c r="G1098" t="s">
        <v>133</v>
      </c>
      <c r="J1098">
        <v>19.848230840543884</v>
      </c>
      <c r="M1098">
        <v>62.699999999999996</v>
      </c>
      <c r="N1098">
        <v>62.699999999999996</v>
      </c>
      <c r="O1098">
        <v>17.312499999999993</v>
      </c>
      <c r="S1098">
        <v>0</v>
      </c>
      <c r="T1098">
        <v>0</v>
      </c>
      <c r="U1098">
        <v>1.9089717241661157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0.25</v>
      </c>
      <c r="AB1098">
        <v>0</v>
      </c>
      <c r="AC1098">
        <v>0</v>
      </c>
      <c r="AD1098">
        <v>0</v>
      </c>
      <c r="AE1098">
        <v>0.12775601316386204</v>
      </c>
      <c r="AF1098">
        <v>0</v>
      </c>
      <c r="AG1098">
        <v>0.87224398683613824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84" hidden="1" x14ac:dyDescent="0.25">
      <c r="A1099" t="s">
        <v>128</v>
      </c>
      <c r="B1099" t="s">
        <v>503</v>
      </c>
      <c r="C1099" t="s">
        <v>109</v>
      </c>
      <c r="D1099" s="12">
        <v>46225</v>
      </c>
      <c r="E1099" t="s">
        <v>501</v>
      </c>
      <c r="F1099" t="s">
        <v>501</v>
      </c>
      <c r="G1099" t="s">
        <v>501</v>
      </c>
      <c r="J1099">
        <v>3.5455048443975872</v>
      </c>
      <c r="M1099">
        <v>0</v>
      </c>
      <c r="N1099">
        <v>0</v>
      </c>
      <c r="O1099">
        <v>3.7927062465853218</v>
      </c>
      <c r="S1099">
        <v>0.17788329778790615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0.69835081338639671</v>
      </c>
      <c r="AC1099">
        <v>0.10816081452058005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0.19348837209302328</v>
      </c>
      <c r="AL1099">
        <v>0</v>
      </c>
    </row>
    <row r="1100" spans="1:84" hidden="1" x14ac:dyDescent="0.25">
      <c r="A1100" t="s">
        <v>128</v>
      </c>
      <c r="B1100" t="s">
        <v>503</v>
      </c>
      <c r="C1100" t="s">
        <v>109</v>
      </c>
      <c r="D1100" s="12">
        <v>46229</v>
      </c>
      <c r="E1100" t="s">
        <v>501</v>
      </c>
      <c r="F1100" t="s">
        <v>501</v>
      </c>
      <c r="G1100" t="s">
        <v>501</v>
      </c>
      <c r="J1100">
        <v>0.95316362793572373</v>
      </c>
      <c r="M1100">
        <v>0</v>
      </c>
      <c r="N1100">
        <v>0</v>
      </c>
      <c r="O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84" hidden="1" x14ac:dyDescent="0.25">
      <c r="A1101" t="s">
        <v>128</v>
      </c>
      <c r="B1101" t="s">
        <v>503</v>
      </c>
      <c r="C1101" t="s">
        <v>72</v>
      </c>
      <c r="D1101" s="12">
        <v>46230</v>
      </c>
      <c r="E1101" t="s">
        <v>501</v>
      </c>
      <c r="F1101" t="s">
        <v>501</v>
      </c>
      <c r="G1101" t="s">
        <v>501</v>
      </c>
      <c r="H1101" t="s">
        <v>75</v>
      </c>
      <c r="I1101">
        <v>0</v>
      </c>
      <c r="J1101">
        <v>0</v>
      </c>
      <c r="K1101">
        <v>46230</v>
      </c>
      <c r="L1101" t="s">
        <v>215</v>
      </c>
      <c r="M1101">
        <v>0</v>
      </c>
      <c r="N1101">
        <v>0</v>
      </c>
      <c r="O1101">
        <v>0.16608996539792387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F1101">
        <v>0</v>
      </c>
    </row>
    <row r="1102" spans="1:84" hidden="1" x14ac:dyDescent="0.25">
      <c r="A1102" t="s">
        <v>128</v>
      </c>
      <c r="B1102" t="s">
        <v>503</v>
      </c>
      <c r="C1102" t="s">
        <v>109</v>
      </c>
      <c r="D1102" s="12">
        <v>46229</v>
      </c>
      <c r="E1102" t="s">
        <v>133</v>
      </c>
      <c r="F1102" t="s">
        <v>133</v>
      </c>
      <c r="G1102" t="s">
        <v>133</v>
      </c>
      <c r="J1102">
        <v>20.689257571075409</v>
      </c>
      <c r="M1102">
        <v>53.199999999999996</v>
      </c>
      <c r="N1102">
        <v>53.199999999999996</v>
      </c>
      <c r="O1102">
        <v>20.161764705882344</v>
      </c>
      <c r="S1102">
        <v>0</v>
      </c>
      <c r="T1102">
        <v>0</v>
      </c>
      <c r="U1102">
        <v>1.3213827486190799</v>
      </c>
      <c r="V1102">
        <v>0</v>
      </c>
      <c r="W1102">
        <v>0</v>
      </c>
      <c r="X1102">
        <v>0</v>
      </c>
      <c r="Y1102">
        <v>5.819985690687856E-2</v>
      </c>
      <c r="Z1102">
        <v>0</v>
      </c>
      <c r="AA1102">
        <v>0.19180014309312146</v>
      </c>
      <c r="AB1102">
        <v>0</v>
      </c>
      <c r="AC1102">
        <v>0</v>
      </c>
      <c r="AD1102">
        <v>0</v>
      </c>
      <c r="AE1102">
        <v>8.3695835357575882E-2</v>
      </c>
      <c r="AF1102">
        <v>0</v>
      </c>
      <c r="AG1102">
        <v>0.91630416464242415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84" hidden="1" x14ac:dyDescent="0.25">
      <c r="A1103" t="s">
        <v>128</v>
      </c>
      <c r="B1103" t="s">
        <v>503</v>
      </c>
      <c r="C1103" t="s">
        <v>72</v>
      </c>
      <c r="D1103" s="12">
        <v>46231</v>
      </c>
      <c r="E1103" t="s">
        <v>501</v>
      </c>
      <c r="F1103" t="s">
        <v>501</v>
      </c>
      <c r="G1103" t="s">
        <v>501</v>
      </c>
      <c r="H1103" t="s">
        <v>73</v>
      </c>
      <c r="I1103">
        <v>0</v>
      </c>
      <c r="J1103">
        <v>1.906327255871447</v>
      </c>
      <c r="K1103">
        <v>46231</v>
      </c>
      <c r="L1103" t="s">
        <v>214</v>
      </c>
      <c r="M1103">
        <v>0</v>
      </c>
      <c r="N1103">
        <v>0</v>
      </c>
      <c r="O1103">
        <v>1.6470588235294119</v>
      </c>
      <c r="P1103">
        <v>0</v>
      </c>
      <c r="Q1103">
        <v>0</v>
      </c>
      <c r="R1103">
        <v>0.86399584250632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0.86399584250632</v>
      </c>
      <c r="AC1103">
        <v>0.13600415749368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J1103">
        <v>0</v>
      </c>
      <c r="BK1103">
        <v>0</v>
      </c>
      <c r="BL1103">
        <v>1.1574129767790928</v>
      </c>
      <c r="BM1103">
        <v>0.15741297677909283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</v>
      </c>
      <c r="CF1103">
        <v>1</v>
      </c>
    </row>
    <row r="1104" spans="1:84" hidden="1" x14ac:dyDescent="0.25">
      <c r="A1104" t="s">
        <v>128</v>
      </c>
      <c r="B1104" t="s">
        <v>503</v>
      </c>
      <c r="C1104" t="s">
        <v>109</v>
      </c>
      <c r="D1104" s="12">
        <v>46228</v>
      </c>
      <c r="E1104" t="s">
        <v>134</v>
      </c>
      <c r="F1104" t="s">
        <v>134</v>
      </c>
      <c r="G1104" t="s">
        <v>134</v>
      </c>
      <c r="J1104">
        <v>5.798257372654156</v>
      </c>
      <c r="M1104">
        <v>5.6999999999999993</v>
      </c>
      <c r="N1104">
        <v>5.6999999999999993</v>
      </c>
      <c r="O1104">
        <v>4.8718227364475197</v>
      </c>
      <c r="S1104">
        <v>0</v>
      </c>
      <c r="T1104">
        <v>0</v>
      </c>
      <c r="U1104">
        <v>0.18186562077148494</v>
      </c>
      <c r="V1104">
        <v>0</v>
      </c>
      <c r="W1104">
        <v>7.5286689060088197E-3</v>
      </c>
      <c r="X1104">
        <v>0</v>
      </c>
      <c r="Y1104">
        <v>6.0426540284360196E-2</v>
      </c>
      <c r="Z1104">
        <v>0</v>
      </c>
      <c r="AA1104">
        <v>3.6550687781759225E-2</v>
      </c>
      <c r="AB1104">
        <v>0.17466370203150033</v>
      </c>
      <c r="AC1104">
        <v>0.12865383351352336</v>
      </c>
      <c r="AD1104">
        <v>0</v>
      </c>
      <c r="AE1104">
        <v>9.9079491180290427E-2</v>
      </c>
      <c r="AF1104">
        <v>0</v>
      </c>
      <c r="AG1104">
        <v>0.59760297327468581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84" hidden="1" x14ac:dyDescent="0.25">
      <c r="A1105" t="s">
        <v>128</v>
      </c>
      <c r="B1105" t="s">
        <v>503</v>
      </c>
      <c r="C1105" t="s">
        <v>72</v>
      </c>
      <c r="D1105" s="12">
        <v>46231</v>
      </c>
      <c r="E1105" t="s">
        <v>501</v>
      </c>
      <c r="F1105" t="s">
        <v>501</v>
      </c>
      <c r="G1105" t="s">
        <v>501</v>
      </c>
      <c r="H1105" t="s">
        <v>74</v>
      </c>
      <c r="I1105">
        <v>0</v>
      </c>
      <c r="J1105">
        <v>0</v>
      </c>
      <c r="K1105">
        <v>46231</v>
      </c>
      <c r="L1105" t="s">
        <v>230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1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F1105">
        <v>0</v>
      </c>
    </row>
    <row r="1106" spans="1:84" hidden="1" x14ac:dyDescent="0.25">
      <c r="A1106" t="s">
        <v>128</v>
      </c>
      <c r="B1106" t="s">
        <v>503</v>
      </c>
      <c r="C1106" t="s">
        <v>109</v>
      </c>
      <c r="D1106" s="12">
        <v>46228</v>
      </c>
      <c r="E1106" t="s">
        <v>501</v>
      </c>
      <c r="F1106" t="s">
        <v>501</v>
      </c>
      <c r="G1106" t="s">
        <v>501</v>
      </c>
      <c r="J1106">
        <v>0.95316362793572351</v>
      </c>
      <c r="M1106">
        <v>0</v>
      </c>
      <c r="N1106">
        <v>0</v>
      </c>
      <c r="O1106">
        <v>0.98961937716262982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0.86399584250632</v>
      </c>
      <c r="AC1106">
        <v>0.13600415749368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84" hidden="1" x14ac:dyDescent="0.25">
      <c r="A1107" t="s">
        <v>128</v>
      </c>
      <c r="B1107" t="s">
        <v>503</v>
      </c>
      <c r="C1107" t="s">
        <v>72</v>
      </c>
      <c r="D1107" s="12">
        <v>46231</v>
      </c>
      <c r="E1107" t="s">
        <v>501</v>
      </c>
      <c r="F1107" t="s">
        <v>501</v>
      </c>
      <c r="G1107" t="s">
        <v>501</v>
      </c>
      <c r="H1107" t="s">
        <v>75</v>
      </c>
      <c r="I1107">
        <v>0</v>
      </c>
      <c r="J1107">
        <v>0</v>
      </c>
      <c r="K1107">
        <v>46231</v>
      </c>
      <c r="L1107" t="s">
        <v>231</v>
      </c>
      <c r="M1107">
        <v>0</v>
      </c>
      <c r="N1107">
        <v>0</v>
      </c>
      <c r="O1107">
        <v>0.33217993079584773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F1107">
        <v>0</v>
      </c>
    </row>
    <row r="1108" spans="1:84" hidden="1" x14ac:dyDescent="0.25">
      <c r="A1108" t="s">
        <v>128</v>
      </c>
      <c r="B1108" t="s">
        <v>503</v>
      </c>
      <c r="C1108" t="s">
        <v>109</v>
      </c>
      <c r="D1108" s="12">
        <v>46228</v>
      </c>
      <c r="E1108" t="s">
        <v>133</v>
      </c>
      <c r="F1108" t="s">
        <v>133</v>
      </c>
      <c r="G1108" t="s">
        <v>133</v>
      </c>
      <c r="J1108">
        <v>20.577120673671207</v>
      </c>
      <c r="M1108">
        <v>60.8</v>
      </c>
      <c r="N1108">
        <v>60.8</v>
      </c>
      <c r="O1108">
        <v>19.76838235294116</v>
      </c>
      <c r="S1108">
        <v>0</v>
      </c>
      <c r="T1108">
        <v>0</v>
      </c>
      <c r="U1108">
        <v>1.7047379812859185</v>
      </c>
      <c r="V1108">
        <v>0</v>
      </c>
      <c r="W1108">
        <v>0</v>
      </c>
      <c r="X1108">
        <v>0</v>
      </c>
      <c r="Y1108">
        <v>7.1657470920779565E-2</v>
      </c>
      <c r="Z1108">
        <v>0</v>
      </c>
      <c r="AA1108">
        <v>0.17834252907922041</v>
      </c>
      <c r="AB1108">
        <v>0</v>
      </c>
      <c r="AC1108">
        <v>0</v>
      </c>
      <c r="AD1108">
        <v>0</v>
      </c>
      <c r="AE1108">
        <v>0.11096026422970157</v>
      </c>
      <c r="AF1108">
        <v>0</v>
      </c>
      <c r="AG1108">
        <v>0.88903973577029849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84" hidden="1" x14ac:dyDescent="0.25">
      <c r="A1109" t="s">
        <v>128</v>
      </c>
      <c r="B1109" t="s">
        <v>503</v>
      </c>
      <c r="C1109" t="s">
        <v>72</v>
      </c>
      <c r="D1109" s="12">
        <v>46232</v>
      </c>
      <c r="E1109" t="s">
        <v>501</v>
      </c>
      <c r="F1109" t="s">
        <v>501</v>
      </c>
      <c r="G1109" t="s">
        <v>501</v>
      </c>
      <c r="H1109" t="s">
        <v>73</v>
      </c>
      <c r="I1109">
        <v>0</v>
      </c>
      <c r="J1109">
        <v>2.8594908838071702</v>
      </c>
      <c r="K1109">
        <v>46232</v>
      </c>
      <c r="L1109" t="s">
        <v>238</v>
      </c>
      <c r="M1109">
        <v>0</v>
      </c>
      <c r="N1109">
        <v>0</v>
      </c>
      <c r="O1109">
        <v>2.4441434468524257</v>
      </c>
      <c r="P1109">
        <v>0</v>
      </c>
      <c r="Q1109">
        <v>0</v>
      </c>
      <c r="R1109">
        <v>0.8547477667067277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0.8547477667067277</v>
      </c>
      <c r="AC1109">
        <v>0.1452522332932723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J1109">
        <v>0</v>
      </c>
      <c r="BK1109">
        <v>0</v>
      </c>
      <c r="BL1109">
        <v>1.1699357856796948</v>
      </c>
      <c r="BM1109">
        <v>0.16993578567969481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1</v>
      </c>
      <c r="CF1109">
        <v>1</v>
      </c>
    </row>
    <row r="1110" spans="1:84" hidden="1" x14ac:dyDescent="0.25">
      <c r="A1110" t="s">
        <v>128</v>
      </c>
      <c r="B1110" t="s">
        <v>503</v>
      </c>
      <c r="C1110" t="s">
        <v>109</v>
      </c>
      <c r="D1110" s="12">
        <v>46227</v>
      </c>
      <c r="E1110" t="s">
        <v>134</v>
      </c>
      <c r="F1110" t="s">
        <v>134</v>
      </c>
      <c r="G1110" t="s">
        <v>134</v>
      </c>
      <c r="J1110">
        <v>9.6923198233717098</v>
      </c>
      <c r="M1110">
        <v>6.6499999999999995</v>
      </c>
      <c r="N1110">
        <v>6.6499999999999995</v>
      </c>
      <c r="O1110">
        <v>4.9655997693194927</v>
      </c>
      <c r="S1110">
        <v>0</v>
      </c>
      <c r="T1110">
        <v>0</v>
      </c>
      <c r="U1110">
        <v>9.1862867928212272E-2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6.0040026684456287E-2</v>
      </c>
      <c r="AB1110">
        <v>0.10448944282638285</v>
      </c>
      <c r="AC1110">
        <v>0.36130319942292172</v>
      </c>
      <c r="AD1110">
        <v>0</v>
      </c>
      <c r="AE1110">
        <v>0.12637365608636258</v>
      </c>
      <c r="AF1110">
        <v>0</v>
      </c>
      <c r="AG1110">
        <v>0.40783370166433286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84" hidden="1" x14ac:dyDescent="0.25">
      <c r="A1111" t="s">
        <v>128</v>
      </c>
      <c r="B1111" t="s">
        <v>503</v>
      </c>
      <c r="C1111" t="s">
        <v>72</v>
      </c>
      <c r="D1111" s="12">
        <v>46234</v>
      </c>
      <c r="E1111" t="s">
        <v>501</v>
      </c>
      <c r="F1111" t="s">
        <v>501</v>
      </c>
      <c r="G1111" t="s">
        <v>501</v>
      </c>
      <c r="H1111" t="s">
        <v>75</v>
      </c>
      <c r="I1111">
        <v>0</v>
      </c>
      <c r="J1111">
        <v>0</v>
      </c>
      <c r="K1111">
        <v>46234</v>
      </c>
      <c r="L1111" t="s">
        <v>189</v>
      </c>
      <c r="M1111">
        <v>0</v>
      </c>
      <c r="N1111">
        <v>0</v>
      </c>
      <c r="O1111">
        <v>0.33217993079584773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F1111">
        <v>0</v>
      </c>
    </row>
    <row r="1112" spans="1:84" hidden="1" x14ac:dyDescent="0.25">
      <c r="A1112" t="s">
        <v>128</v>
      </c>
      <c r="B1112" t="s">
        <v>503</v>
      </c>
      <c r="C1112" t="s">
        <v>72</v>
      </c>
      <c r="D1112" s="12">
        <v>46232</v>
      </c>
      <c r="E1112" t="s">
        <v>501</v>
      </c>
      <c r="F1112" t="s">
        <v>501</v>
      </c>
      <c r="G1112" t="s">
        <v>501</v>
      </c>
      <c r="H1112" t="s">
        <v>74</v>
      </c>
      <c r="I1112">
        <v>0</v>
      </c>
      <c r="J1112">
        <v>0</v>
      </c>
      <c r="K1112">
        <v>46232</v>
      </c>
      <c r="L1112" t="s">
        <v>237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F1112">
        <v>0</v>
      </c>
    </row>
    <row r="1113" spans="1:84" hidden="1" x14ac:dyDescent="0.25">
      <c r="A1113" t="s">
        <v>128</v>
      </c>
      <c r="B1113" t="s">
        <v>503</v>
      </c>
      <c r="C1113" t="s">
        <v>72</v>
      </c>
      <c r="D1113" s="12">
        <v>46232</v>
      </c>
      <c r="E1113" t="s">
        <v>501</v>
      </c>
      <c r="F1113" t="s">
        <v>501</v>
      </c>
      <c r="G1113" t="s">
        <v>501</v>
      </c>
      <c r="H1113" t="s">
        <v>75</v>
      </c>
      <c r="I1113">
        <v>0</v>
      </c>
      <c r="J1113">
        <v>0.68601396059041697</v>
      </c>
      <c r="K1113">
        <v>46232</v>
      </c>
      <c r="L1113" t="s">
        <v>236</v>
      </c>
      <c r="M1113">
        <v>0</v>
      </c>
      <c r="N1113">
        <v>0</v>
      </c>
      <c r="O1113">
        <v>1.523159108844776</v>
      </c>
      <c r="P1113">
        <v>0</v>
      </c>
      <c r="Q1113">
        <v>0</v>
      </c>
      <c r="R1113">
        <v>2.2203033704064437</v>
      </c>
      <c r="S1113">
        <v>1.2203033704064437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1</v>
      </c>
      <c r="BJ1113">
        <v>0</v>
      </c>
      <c r="BK1113">
        <v>0</v>
      </c>
      <c r="BL1113">
        <v>0.45038890330421033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0.54961109669578967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0.45038890330421033</v>
      </c>
      <c r="CF1113">
        <v>0</v>
      </c>
    </row>
    <row r="1114" spans="1:84" hidden="1" x14ac:dyDescent="0.25">
      <c r="A1114" t="s">
        <v>128</v>
      </c>
      <c r="B1114" t="s">
        <v>503</v>
      </c>
      <c r="C1114" t="s">
        <v>109</v>
      </c>
      <c r="D1114" s="12">
        <v>46227</v>
      </c>
      <c r="E1114" t="s">
        <v>133</v>
      </c>
      <c r="F1114" t="s">
        <v>133</v>
      </c>
      <c r="G1114" t="s">
        <v>133</v>
      </c>
      <c r="J1114">
        <v>20.577120673671207</v>
      </c>
      <c r="M1114">
        <v>68.400000000000006</v>
      </c>
      <c r="N1114">
        <v>68.400000000000006</v>
      </c>
      <c r="O1114">
        <v>18.97794117647058</v>
      </c>
      <c r="S1114">
        <v>0</v>
      </c>
      <c r="T1114">
        <v>0</v>
      </c>
      <c r="U1114">
        <v>2.0740802289466584</v>
      </c>
      <c r="V1114">
        <v>0</v>
      </c>
      <c r="W1114">
        <v>0</v>
      </c>
      <c r="X1114">
        <v>0</v>
      </c>
      <c r="Y1114">
        <v>4.0233180359537518E-3</v>
      </c>
      <c r="Z1114">
        <v>0</v>
      </c>
      <c r="AA1114">
        <v>0.24597668196404623</v>
      </c>
      <c r="AB1114">
        <v>0</v>
      </c>
      <c r="AC1114">
        <v>0</v>
      </c>
      <c r="AD1114">
        <v>0</v>
      </c>
      <c r="AE1114">
        <v>8.1739706181881477E-2</v>
      </c>
      <c r="AF1114">
        <v>0</v>
      </c>
      <c r="AG1114">
        <v>0.91826029381811847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84" hidden="1" x14ac:dyDescent="0.25">
      <c r="A1115" t="s">
        <v>128</v>
      </c>
      <c r="B1115" t="s">
        <v>503</v>
      </c>
      <c r="C1115" t="s">
        <v>72</v>
      </c>
      <c r="D1115" s="12">
        <v>46233</v>
      </c>
      <c r="E1115" t="s">
        <v>501</v>
      </c>
      <c r="F1115" t="s">
        <v>501</v>
      </c>
      <c r="G1115" t="s">
        <v>501</v>
      </c>
      <c r="H1115" t="s">
        <v>73</v>
      </c>
      <c r="I1115">
        <v>0</v>
      </c>
      <c r="J1115">
        <v>2.8594908838071702</v>
      </c>
      <c r="K1115">
        <v>46233</v>
      </c>
      <c r="L1115" t="s">
        <v>235</v>
      </c>
      <c r="M1115">
        <v>0</v>
      </c>
      <c r="N1115">
        <v>0</v>
      </c>
      <c r="O1115">
        <v>2.4760061919504648</v>
      </c>
      <c r="P1115">
        <v>0</v>
      </c>
      <c r="Q1115">
        <v>0</v>
      </c>
      <c r="R1115">
        <v>0.86589057023111471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0.86589057023111471</v>
      </c>
      <c r="AC1115">
        <v>0.13410942976888529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J1115">
        <v>0</v>
      </c>
      <c r="BK1115">
        <v>0</v>
      </c>
      <c r="BL1115">
        <v>1.1548803444447837</v>
      </c>
      <c r="BM1115">
        <v>0.15488034444478371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</v>
      </c>
      <c r="CF1115">
        <v>1</v>
      </c>
    </row>
    <row r="1116" spans="1:84" hidden="1" x14ac:dyDescent="0.25">
      <c r="A1116" t="s">
        <v>128</v>
      </c>
      <c r="B1116" t="s">
        <v>503</v>
      </c>
      <c r="C1116" t="s">
        <v>109</v>
      </c>
      <c r="D1116" s="12">
        <v>46226</v>
      </c>
      <c r="E1116" t="s">
        <v>134</v>
      </c>
      <c r="F1116" t="s">
        <v>134</v>
      </c>
      <c r="G1116" t="s">
        <v>134</v>
      </c>
      <c r="J1116">
        <v>5.4878962308784098</v>
      </c>
      <c r="M1116">
        <v>6.6499999999999995</v>
      </c>
      <c r="N1116">
        <v>6.6499999999999995</v>
      </c>
      <c r="O1116">
        <v>3.8758938869665513</v>
      </c>
      <c r="S1116">
        <v>0</v>
      </c>
      <c r="T1116">
        <v>0</v>
      </c>
      <c r="U1116">
        <v>0.36000287366643913</v>
      </c>
      <c r="V1116">
        <v>0</v>
      </c>
      <c r="W1116">
        <v>2.3438341894464637E-3</v>
      </c>
      <c r="X1116">
        <v>0</v>
      </c>
      <c r="Y1116">
        <v>6.3843888070692204E-2</v>
      </c>
      <c r="Z1116">
        <v>0</v>
      </c>
      <c r="AA1116">
        <v>0.1060382916053019</v>
      </c>
      <c r="AB1116">
        <v>1.1433360872636709E-2</v>
      </c>
      <c r="AC1116">
        <v>0.3090379204233869</v>
      </c>
      <c r="AD1116">
        <v>0</v>
      </c>
      <c r="AE1116">
        <v>5.0887561461597383E-2</v>
      </c>
      <c r="AF1116">
        <v>0</v>
      </c>
      <c r="AG1116">
        <v>0.62864115724237901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84" hidden="1" x14ac:dyDescent="0.25">
      <c r="A1117" t="s">
        <v>128</v>
      </c>
      <c r="B1117" t="s">
        <v>503</v>
      </c>
      <c r="C1117" t="s">
        <v>72</v>
      </c>
      <c r="D1117" s="12">
        <v>46233</v>
      </c>
      <c r="E1117" t="s">
        <v>501</v>
      </c>
      <c r="F1117" t="s">
        <v>501</v>
      </c>
      <c r="G1117" t="s">
        <v>501</v>
      </c>
      <c r="H1117" t="s">
        <v>74</v>
      </c>
      <c r="I1117">
        <v>0</v>
      </c>
      <c r="J1117">
        <v>0</v>
      </c>
      <c r="K1117">
        <v>46233</v>
      </c>
      <c r="L1117" t="s">
        <v>234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F1117">
        <v>0</v>
      </c>
    </row>
    <row r="1118" spans="1:84" hidden="1" x14ac:dyDescent="0.25">
      <c r="A1118" t="s">
        <v>128</v>
      </c>
      <c r="B1118" t="s">
        <v>503</v>
      </c>
      <c r="C1118" t="s">
        <v>109</v>
      </c>
      <c r="D1118" s="12">
        <v>46226</v>
      </c>
      <c r="E1118" t="s">
        <v>501</v>
      </c>
      <c r="F1118" t="s">
        <v>501</v>
      </c>
      <c r="G1118" t="s">
        <v>501</v>
      </c>
      <c r="J1118">
        <v>2.8594908838071702</v>
      </c>
      <c r="M1118">
        <v>0</v>
      </c>
      <c r="N1118">
        <v>0</v>
      </c>
      <c r="O1118">
        <v>3.0868238936441452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0.86589057023111471</v>
      </c>
      <c r="AC1118">
        <v>0.13410942976888529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84" hidden="1" x14ac:dyDescent="0.25">
      <c r="A1119" t="s">
        <v>128</v>
      </c>
      <c r="B1119" t="s">
        <v>503</v>
      </c>
      <c r="C1119" t="s">
        <v>72</v>
      </c>
      <c r="D1119" s="12">
        <v>46233</v>
      </c>
      <c r="E1119" t="s">
        <v>501</v>
      </c>
      <c r="F1119" t="s">
        <v>501</v>
      </c>
      <c r="G1119" t="s">
        <v>501</v>
      </c>
      <c r="H1119" t="s">
        <v>75</v>
      </c>
      <c r="I1119">
        <v>0</v>
      </c>
      <c r="J1119">
        <v>0</v>
      </c>
      <c r="K1119">
        <v>46233</v>
      </c>
      <c r="L1119" t="s">
        <v>233</v>
      </c>
      <c r="M1119">
        <v>0</v>
      </c>
      <c r="N1119">
        <v>0</v>
      </c>
      <c r="O1119">
        <v>0.61081770169368066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F1119">
        <v>0</v>
      </c>
    </row>
    <row r="1120" spans="1:84" hidden="1" x14ac:dyDescent="0.25">
      <c r="A1120" t="s">
        <v>128</v>
      </c>
      <c r="B1120" t="s">
        <v>503</v>
      </c>
      <c r="C1120" t="s">
        <v>109</v>
      </c>
      <c r="D1120" s="12">
        <v>46226</v>
      </c>
      <c r="E1120" t="s">
        <v>133</v>
      </c>
      <c r="F1120" t="s">
        <v>133</v>
      </c>
      <c r="G1120" t="s">
        <v>133</v>
      </c>
      <c r="J1120">
        <v>21.530284301606926</v>
      </c>
      <c r="M1120">
        <v>76</v>
      </c>
      <c r="N1120">
        <v>76</v>
      </c>
      <c r="O1120">
        <v>17.522058823529402</v>
      </c>
      <c r="S1120">
        <v>0</v>
      </c>
      <c r="T1120">
        <v>0</v>
      </c>
      <c r="U1120">
        <v>2.2799115857159253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0.25</v>
      </c>
      <c r="AB1120">
        <v>0</v>
      </c>
      <c r="AC1120">
        <v>0</v>
      </c>
      <c r="AD1120">
        <v>0</v>
      </c>
      <c r="AE1120">
        <v>0.18616686254246848</v>
      </c>
      <c r="AF1120">
        <v>0</v>
      </c>
      <c r="AG1120">
        <v>0.8138331374575315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84" hidden="1" x14ac:dyDescent="0.25">
      <c r="A1121" t="s">
        <v>128</v>
      </c>
      <c r="B1121" t="s">
        <v>503</v>
      </c>
      <c r="C1121" t="s">
        <v>72</v>
      </c>
      <c r="D1121" s="12">
        <v>46234</v>
      </c>
      <c r="E1121" t="s">
        <v>501</v>
      </c>
      <c r="F1121" t="s">
        <v>501</v>
      </c>
      <c r="G1121" t="s">
        <v>501</v>
      </c>
      <c r="H1121" t="s">
        <v>73</v>
      </c>
      <c r="I1121">
        <v>0</v>
      </c>
      <c r="J1121">
        <v>1.9063272558714477</v>
      </c>
      <c r="K1121">
        <v>46234</v>
      </c>
      <c r="L1121" t="s">
        <v>213</v>
      </c>
      <c r="M1121">
        <v>0</v>
      </c>
      <c r="N1121">
        <v>0</v>
      </c>
      <c r="O1121">
        <v>1.6470588235294119</v>
      </c>
      <c r="P1121">
        <v>0</v>
      </c>
      <c r="Q1121">
        <v>0</v>
      </c>
      <c r="R1121">
        <v>0.86399584250631967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0.86399584250631967</v>
      </c>
      <c r="AC1121">
        <v>0.13600415749368033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1</v>
      </c>
      <c r="BJ1121">
        <v>0</v>
      </c>
      <c r="BK1121">
        <v>0</v>
      </c>
      <c r="BL1121">
        <v>1.1574129767790931</v>
      </c>
      <c r="BM1121">
        <v>0.15741297677909305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1</v>
      </c>
      <c r="CF1121">
        <v>1</v>
      </c>
    </row>
    <row r="1122" spans="1:84" hidden="1" x14ac:dyDescent="0.25">
      <c r="A1122" t="s">
        <v>128</v>
      </c>
      <c r="B1122" t="s">
        <v>503</v>
      </c>
      <c r="C1122" t="s">
        <v>109</v>
      </c>
      <c r="D1122" s="12">
        <v>46225</v>
      </c>
      <c r="E1122" t="s">
        <v>134</v>
      </c>
      <c r="F1122" t="s">
        <v>134</v>
      </c>
      <c r="G1122" t="s">
        <v>134</v>
      </c>
      <c r="J1122">
        <v>7.1997319034852554</v>
      </c>
      <c r="M1122">
        <v>8.5500000000000007</v>
      </c>
      <c r="N1122">
        <v>8.5500000000000007</v>
      </c>
      <c r="O1122">
        <v>3.0347120098039211</v>
      </c>
      <c r="S1122">
        <v>0</v>
      </c>
      <c r="T1122">
        <v>0</v>
      </c>
      <c r="U1122">
        <v>0.24288773040402148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0.18893129770992367</v>
      </c>
      <c r="AB1122">
        <v>8.7149214554561334E-3</v>
      </c>
      <c r="AC1122">
        <v>0.2355598877048492</v>
      </c>
      <c r="AD1122">
        <v>0</v>
      </c>
      <c r="AE1122">
        <v>0.34293663820955689</v>
      </c>
      <c r="AF1122">
        <v>0</v>
      </c>
      <c r="AG1122">
        <v>0.41278855263013781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84" hidden="1" x14ac:dyDescent="0.25">
      <c r="A1123" t="s">
        <v>128</v>
      </c>
      <c r="B1123" t="s">
        <v>503</v>
      </c>
      <c r="C1123" t="s">
        <v>72</v>
      </c>
      <c r="D1123" s="12">
        <v>46234</v>
      </c>
      <c r="E1123" t="s">
        <v>501</v>
      </c>
      <c r="F1123" t="s">
        <v>501</v>
      </c>
      <c r="G1123" t="s">
        <v>501</v>
      </c>
      <c r="H1123" t="s">
        <v>74</v>
      </c>
      <c r="I1123">
        <v>0</v>
      </c>
      <c r="J1123">
        <v>0</v>
      </c>
      <c r="K1123">
        <v>46234</v>
      </c>
      <c r="L1123" t="s">
        <v>190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F1123">
        <v>0</v>
      </c>
    </row>
    <row r="1124" spans="1:84" hidden="1" x14ac:dyDescent="0.25">
      <c r="A1124" t="s">
        <v>128</v>
      </c>
      <c r="B1124" t="s">
        <v>503</v>
      </c>
      <c r="C1124" t="s">
        <v>109</v>
      </c>
      <c r="D1124" s="12">
        <v>46227</v>
      </c>
      <c r="E1124" t="s">
        <v>501</v>
      </c>
      <c r="F1124" t="s">
        <v>501</v>
      </c>
      <c r="G1124" t="s">
        <v>501</v>
      </c>
      <c r="J1124">
        <v>1.9063272558714477</v>
      </c>
      <c r="M1124">
        <v>0</v>
      </c>
      <c r="N1124">
        <v>0</v>
      </c>
      <c r="O1124">
        <v>0.98961937716262982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0.43199792125315983</v>
      </c>
      <c r="AC1124">
        <v>0.56800207874684017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84" hidden="1" x14ac:dyDescent="0.25">
      <c r="A1125" t="s">
        <v>128</v>
      </c>
      <c r="B1125" t="s">
        <v>503</v>
      </c>
      <c r="C1125" t="s">
        <v>117</v>
      </c>
      <c r="D1125" s="12">
        <v>46250</v>
      </c>
      <c r="J1125">
        <v>27.777089263877894</v>
      </c>
      <c r="M1125">
        <v>47.5</v>
      </c>
      <c r="N1125">
        <v>47.5</v>
      </c>
      <c r="O1125">
        <v>23.625893886966548</v>
      </c>
      <c r="S1125">
        <v>1.3076652779245593E-2</v>
      </c>
      <c r="T1125">
        <v>0</v>
      </c>
      <c r="U1125">
        <v>0.74115557708069291</v>
      </c>
      <c r="V1125">
        <v>0</v>
      </c>
      <c r="W1125">
        <v>0</v>
      </c>
      <c r="X1125">
        <v>0</v>
      </c>
      <c r="Y1125">
        <v>2.0998546365739133E-2</v>
      </c>
      <c r="Z1125">
        <v>0</v>
      </c>
      <c r="AA1125">
        <v>0.17277881541137757</v>
      </c>
      <c r="AB1125">
        <v>7.6004652055428223E-2</v>
      </c>
      <c r="AC1125">
        <v>9.8431567139823137E-2</v>
      </c>
      <c r="AD1125">
        <v>0</v>
      </c>
      <c r="AE1125">
        <v>8.5090369835596438E-2</v>
      </c>
      <c r="AF1125">
        <v>0</v>
      </c>
      <c r="AG1125">
        <v>0.6900190772728706</v>
      </c>
      <c r="AH1125">
        <v>0</v>
      </c>
      <c r="AI1125">
        <v>0</v>
      </c>
      <c r="AJ1125">
        <v>0</v>
      </c>
      <c r="AK1125">
        <v>5.0454333696281724E-2</v>
      </c>
      <c r="AL112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AB9E-7BB2-4FBF-A9F1-4832F9811283}">
  <dimension ref="A1:CD1125"/>
  <sheetViews>
    <sheetView topLeftCell="N1" workbookViewId="0">
      <selection activeCell="P13" sqref="P13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7.42578125" bestFit="1" customWidth="1"/>
    <col min="7" max="7" width="12" bestFit="1" customWidth="1"/>
    <col min="8" max="8" width="8" bestFit="1" customWidth="1"/>
    <col min="9" max="9" width="17.140625" bestFit="1" customWidth="1"/>
    <col min="10" max="10" width="8" bestFit="1" customWidth="1"/>
    <col min="11" max="11" width="8.5703125" bestFit="1" customWidth="1"/>
    <col min="12" max="12" width="16.42578125" bestFit="1" customWidth="1"/>
    <col min="13" max="16" width="12" bestFit="1" customWidth="1"/>
    <col min="17" max="17" width="30.28515625" bestFit="1" customWidth="1"/>
    <col min="18" max="18" width="20" bestFit="1" customWidth="1"/>
    <col min="19" max="19" width="17.7109375" bestFit="1" customWidth="1"/>
    <col min="20" max="20" width="30.85546875" bestFit="1" customWidth="1"/>
    <col min="21" max="21" width="28.7109375" bestFit="1" customWidth="1"/>
    <col min="22" max="22" width="33.140625" bestFit="1" customWidth="1"/>
    <col min="23" max="23" width="29.42578125" bestFit="1" customWidth="1"/>
    <col min="24" max="24" width="20.7109375" bestFit="1" customWidth="1"/>
    <col min="25" max="25" width="18.42578125" bestFit="1" customWidth="1"/>
    <col min="26" max="26" width="44.85546875" bestFit="1" customWidth="1"/>
    <col min="27" max="27" width="26.5703125" bestFit="1" customWidth="1"/>
    <col min="28" max="28" width="22" bestFit="1" customWidth="1"/>
    <col min="29" max="29" width="19.85546875" bestFit="1" customWidth="1"/>
    <col min="30" max="30" width="24.7109375" bestFit="1" customWidth="1"/>
    <col min="31" max="31" width="22.42578125" bestFit="1" customWidth="1"/>
    <col min="32" max="32" width="25.42578125" bestFit="1" customWidth="1"/>
    <col min="33" max="33" width="12.7109375" bestFit="1" customWidth="1"/>
    <col min="34" max="34" width="23.85546875" bestFit="1" customWidth="1"/>
    <col min="35" max="35" width="29.28515625" bestFit="1" customWidth="1"/>
    <col min="36" max="36" width="14.28515625" bestFit="1" customWidth="1"/>
    <col min="37" max="39" width="12" bestFit="1" customWidth="1"/>
    <col min="40" max="40" width="29.85546875" bestFit="1" customWidth="1"/>
    <col min="41" max="41" width="19.5703125" bestFit="1" customWidth="1"/>
    <col min="42" max="42" width="17.28515625" bestFit="1" customWidth="1"/>
    <col min="43" max="43" width="30.42578125" bestFit="1" customWidth="1"/>
    <col min="44" max="44" width="28.28515625" bestFit="1" customWidth="1"/>
    <col min="45" max="45" width="32.7109375" bestFit="1" customWidth="1"/>
    <col min="46" max="46" width="29" bestFit="1" customWidth="1"/>
    <col min="47" max="47" width="20.28515625" bestFit="1" customWidth="1"/>
    <col min="48" max="48" width="18" bestFit="1" customWidth="1"/>
    <col min="49" max="49" width="44.42578125" bestFit="1" customWidth="1"/>
    <col min="50" max="50" width="26.140625" bestFit="1" customWidth="1"/>
    <col min="51" max="51" width="21.5703125" bestFit="1" customWidth="1"/>
    <col min="52" max="52" width="19.28515625" bestFit="1" customWidth="1"/>
    <col min="53" max="53" width="24.28515625" bestFit="1" customWidth="1"/>
    <col min="54" max="54" width="22" bestFit="1" customWidth="1"/>
    <col min="55" max="55" width="25" bestFit="1" customWidth="1"/>
    <col min="56" max="56" width="12.28515625" bestFit="1" customWidth="1"/>
    <col min="57" max="57" width="23.28515625" bestFit="1" customWidth="1"/>
    <col min="58" max="58" width="28.42578125" bestFit="1" customWidth="1"/>
    <col min="59" max="59" width="13.85546875" bestFit="1" customWidth="1"/>
    <col min="60" max="62" width="12" bestFit="1" customWidth="1"/>
    <col min="63" max="63" width="29.85546875" bestFit="1" customWidth="1"/>
    <col min="64" max="64" width="19.5703125" bestFit="1" customWidth="1"/>
    <col min="65" max="65" width="17.28515625" bestFit="1" customWidth="1"/>
    <col min="66" max="66" width="30.42578125" bestFit="1" customWidth="1"/>
    <col min="67" max="67" width="28.28515625" bestFit="1" customWidth="1"/>
    <col min="68" max="68" width="32.7109375" bestFit="1" customWidth="1"/>
    <col min="69" max="69" width="29" bestFit="1" customWidth="1"/>
    <col min="70" max="70" width="20.28515625" bestFit="1" customWidth="1"/>
    <col min="71" max="71" width="18" bestFit="1" customWidth="1"/>
    <col min="72" max="72" width="44.42578125" bestFit="1" customWidth="1"/>
    <col min="73" max="73" width="26.140625" bestFit="1" customWidth="1"/>
    <col min="74" max="74" width="21.5703125" bestFit="1" customWidth="1"/>
    <col min="75" max="75" width="19.28515625" bestFit="1" customWidth="1"/>
    <col min="76" max="76" width="24.28515625" bestFit="1" customWidth="1"/>
    <col min="77" max="77" width="22" bestFit="1" customWidth="1"/>
    <col min="78" max="78" width="25" bestFit="1" customWidth="1"/>
    <col min="79" max="79" width="12.28515625" bestFit="1" customWidth="1"/>
    <col min="80" max="80" width="23.28515625" bestFit="1" customWidth="1"/>
    <col min="81" max="81" width="28.42578125" bestFit="1" customWidth="1"/>
    <col min="82" max="82" width="13.85546875" bestFit="1" customWidth="1"/>
    <col min="83" max="84" width="13.85546875" customWidth="1"/>
    <col min="85" max="85" width="17" bestFit="1" customWidth="1"/>
  </cols>
  <sheetData>
    <row r="1" spans="1:82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101</v>
      </c>
      <c r="G1" t="s">
        <v>2</v>
      </c>
      <c r="H1" t="s">
        <v>3</v>
      </c>
      <c r="I1" t="s">
        <v>112</v>
      </c>
      <c r="J1" t="s">
        <v>4</v>
      </c>
      <c r="K1" t="s">
        <v>136</v>
      </c>
      <c r="L1" t="s">
        <v>113</v>
      </c>
      <c r="M1" t="s">
        <v>5</v>
      </c>
      <c r="N1" t="s">
        <v>130</v>
      </c>
      <c r="O1" t="s">
        <v>131</v>
      </c>
      <c r="P1" t="s">
        <v>132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</row>
    <row r="2" spans="1:82" hidden="1" x14ac:dyDescent="0.25">
      <c r="A2" t="s">
        <v>128</v>
      </c>
      <c r="B2" t="s">
        <v>372</v>
      </c>
      <c r="C2" t="s">
        <v>72</v>
      </c>
      <c r="D2" s="12">
        <v>46223</v>
      </c>
      <c r="E2" t="s">
        <v>133</v>
      </c>
      <c r="F2" t="s">
        <v>73</v>
      </c>
      <c r="G2">
        <v>11.87078976415288</v>
      </c>
      <c r="H2">
        <v>17.099999999999998</v>
      </c>
      <c r="I2">
        <v>20</v>
      </c>
      <c r="J2">
        <v>17.099999999999998</v>
      </c>
      <c r="K2">
        <v>46223</v>
      </c>
      <c r="L2" t="s">
        <v>173</v>
      </c>
      <c r="M2">
        <v>11.389093137254902</v>
      </c>
      <c r="N2">
        <v>1.4405107275708107</v>
      </c>
      <c r="O2">
        <v>1.4405107275708107</v>
      </c>
      <c r="P2">
        <v>0.95942168663852556</v>
      </c>
      <c r="Q2">
        <v>0</v>
      </c>
      <c r="R2">
        <v>0</v>
      </c>
      <c r="S2">
        <v>0.19051072757081067</v>
      </c>
      <c r="T2">
        <v>0</v>
      </c>
      <c r="U2">
        <v>0</v>
      </c>
      <c r="V2">
        <v>0</v>
      </c>
      <c r="W2">
        <v>0</v>
      </c>
      <c r="X2">
        <v>0</v>
      </c>
      <c r="Y2">
        <v>0.25</v>
      </c>
      <c r="Z2">
        <v>0</v>
      </c>
      <c r="AA2">
        <v>0</v>
      </c>
      <c r="AB2">
        <v>0</v>
      </c>
      <c r="AC2">
        <v>4.0578313361474438E-2</v>
      </c>
      <c r="AD2">
        <v>0</v>
      </c>
      <c r="AE2">
        <v>0.95942168663852556</v>
      </c>
      <c r="AF2">
        <v>0</v>
      </c>
      <c r="AG2">
        <v>0</v>
      </c>
      <c r="AH2">
        <v>0</v>
      </c>
      <c r="AI2">
        <v>0</v>
      </c>
      <c r="AJ2">
        <v>0</v>
      </c>
      <c r="AK2">
        <v>0.69419823182180596</v>
      </c>
      <c r="AL2">
        <v>0.69419823182180596</v>
      </c>
      <c r="AM2">
        <v>0.66602883843595928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0.30580176817819404</v>
      </c>
      <c r="AY2">
        <v>0</v>
      </c>
      <c r="AZ2">
        <v>2.8169393385846675E-2</v>
      </c>
      <c r="BA2">
        <v>0</v>
      </c>
      <c r="BB2">
        <v>0.66602883843595928</v>
      </c>
      <c r="BC2">
        <v>0</v>
      </c>
      <c r="BD2">
        <v>0</v>
      </c>
      <c r="BE2">
        <v>0</v>
      </c>
      <c r="BF2">
        <v>0</v>
      </c>
      <c r="BG2">
        <v>0</v>
      </c>
      <c r="BH2">
        <v>1.5014364878678645</v>
      </c>
      <c r="BI2">
        <v>1.5014364878678645</v>
      </c>
      <c r="BJ2">
        <v>1.042294555070614</v>
      </c>
      <c r="CA2">
        <v>0</v>
      </c>
      <c r="CB2">
        <v>0</v>
      </c>
      <c r="CC2">
        <v>0</v>
      </c>
    </row>
    <row r="3" spans="1:82" hidden="1" x14ac:dyDescent="0.25">
      <c r="A3" t="s">
        <v>128</v>
      </c>
      <c r="B3" t="s">
        <v>502</v>
      </c>
      <c r="C3" t="s">
        <v>72</v>
      </c>
      <c r="D3" s="12">
        <v>46223</v>
      </c>
      <c r="E3" t="s">
        <v>133</v>
      </c>
      <c r="F3" t="s">
        <v>73</v>
      </c>
      <c r="G3">
        <v>9.9149198152032554</v>
      </c>
      <c r="H3">
        <v>36.1</v>
      </c>
      <c r="I3">
        <v>20</v>
      </c>
      <c r="J3">
        <v>36.1</v>
      </c>
      <c r="K3">
        <v>46223</v>
      </c>
      <c r="L3" t="s">
        <v>173</v>
      </c>
      <c r="M3">
        <v>13.601002275910368</v>
      </c>
      <c r="N3">
        <v>3.640977503887151</v>
      </c>
      <c r="O3">
        <v>3.640977503887151</v>
      </c>
      <c r="P3">
        <v>1.3717712830168307</v>
      </c>
      <c r="Q3">
        <v>0</v>
      </c>
      <c r="R3">
        <v>0</v>
      </c>
      <c r="S3">
        <v>2.2692062208703203</v>
      </c>
      <c r="T3">
        <v>0</v>
      </c>
      <c r="U3">
        <v>0.12177128301683071</v>
      </c>
      <c r="V3">
        <v>0</v>
      </c>
      <c r="W3">
        <v>0.25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0.27465151842668295</v>
      </c>
      <c r="AL3">
        <v>0.27465151842668295</v>
      </c>
      <c r="AM3">
        <v>0.3767590658146916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0.62324093418530846</v>
      </c>
      <c r="AY3">
        <v>0</v>
      </c>
      <c r="AZ3">
        <v>0</v>
      </c>
      <c r="BA3">
        <v>0</v>
      </c>
      <c r="BB3">
        <v>0.27465151842668295</v>
      </c>
      <c r="BC3">
        <v>0</v>
      </c>
      <c r="BD3">
        <v>0</v>
      </c>
      <c r="BE3">
        <v>0</v>
      </c>
      <c r="BF3">
        <v>0</v>
      </c>
      <c r="BG3">
        <v>0</v>
      </c>
      <c r="BH3">
        <v>2.6542161575797318</v>
      </c>
      <c r="BI3">
        <v>2.6542161575797318</v>
      </c>
      <c r="BJ3">
        <v>0.72898449791190933</v>
      </c>
      <c r="CA3">
        <v>0</v>
      </c>
      <c r="CB3">
        <v>0</v>
      </c>
      <c r="CC3">
        <v>0</v>
      </c>
    </row>
    <row r="4" spans="1:82" hidden="1" x14ac:dyDescent="0.25">
      <c r="A4" t="s">
        <v>128</v>
      </c>
      <c r="B4" t="s">
        <v>503</v>
      </c>
      <c r="C4" t="s">
        <v>72</v>
      </c>
      <c r="D4" s="12">
        <v>46223</v>
      </c>
      <c r="E4" t="s">
        <v>133</v>
      </c>
      <c r="F4" t="s">
        <v>73</v>
      </c>
      <c r="G4">
        <v>10.316594561186651</v>
      </c>
      <c r="H4">
        <v>36.1</v>
      </c>
      <c r="I4">
        <v>20</v>
      </c>
      <c r="J4">
        <v>36.1</v>
      </c>
      <c r="K4">
        <v>46223</v>
      </c>
      <c r="L4" t="s">
        <v>173</v>
      </c>
      <c r="M4">
        <v>8.7959033613445357</v>
      </c>
      <c r="N4">
        <v>3.4992167023618741</v>
      </c>
      <c r="O4">
        <v>3.4992167023618741</v>
      </c>
      <c r="P4">
        <v>0.85259756106309559</v>
      </c>
      <c r="Q4">
        <v>0</v>
      </c>
      <c r="R4">
        <v>0</v>
      </c>
      <c r="S4">
        <v>2.2492167023618741</v>
      </c>
      <c r="T4">
        <v>0</v>
      </c>
      <c r="U4">
        <v>0</v>
      </c>
      <c r="V4">
        <v>0</v>
      </c>
      <c r="W4">
        <v>0</v>
      </c>
      <c r="X4">
        <v>0</v>
      </c>
      <c r="Y4">
        <v>0.25</v>
      </c>
      <c r="Z4">
        <v>0</v>
      </c>
      <c r="AA4">
        <v>0</v>
      </c>
      <c r="AB4">
        <v>0</v>
      </c>
      <c r="AC4">
        <v>0.14740243893690441</v>
      </c>
      <c r="AD4">
        <v>0</v>
      </c>
      <c r="AE4">
        <v>0.85259756106309559</v>
      </c>
      <c r="AF4">
        <v>0</v>
      </c>
      <c r="AG4">
        <v>0</v>
      </c>
      <c r="AH4">
        <v>0</v>
      </c>
      <c r="AI4">
        <v>0</v>
      </c>
      <c r="AJ4">
        <v>0</v>
      </c>
      <c r="AK4">
        <v>0.28577824269215102</v>
      </c>
      <c r="AL4">
        <v>0.28577824269215102</v>
      </c>
      <c r="AM4">
        <v>0.24365383272422536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0.71422175730784898</v>
      </c>
      <c r="AY4">
        <v>0</v>
      </c>
      <c r="AZ4">
        <v>4.2124409967925658E-2</v>
      </c>
      <c r="BA4">
        <v>0</v>
      </c>
      <c r="BB4">
        <v>0.24365383272422536</v>
      </c>
      <c r="BC4">
        <v>0</v>
      </c>
      <c r="BD4">
        <v>0</v>
      </c>
      <c r="BE4">
        <v>0</v>
      </c>
      <c r="BF4">
        <v>0</v>
      </c>
      <c r="BG4">
        <v>0</v>
      </c>
      <c r="BH4">
        <v>4.1041833359208004</v>
      </c>
      <c r="BI4">
        <v>4.1041833359208004</v>
      </c>
      <c r="BJ4">
        <v>1.1728863014258564</v>
      </c>
      <c r="CA4">
        <v>0</v>
      </c>
      <c r="CB4">
        <v>0</v>
      </c>
      <c r="CC4">
        <v>0</v>
      </c>
    </row>
    <row r="5" spans="1:82" hidden="1" x14ac:dyDescent="0.25">
      <c r="A5" t="s">
        <v>128</v>
      </c>
      <c r="B5" t="s">
        <v>372</v>
      </c>
      <c r="C5" t="s">
        <v>72</v>
      </c>
      <c r="D5" s="12">
        <v>46223</v>
      </c>
      <c r="E5" t="s">
        <v>133</v>
      </c>
      <c r="F5" t="s">
        <v>74</v>
      </c>
      <c r="G5">
        <v>4.2207252494765797</v>
      </c>
      <c r="H5">
        <v>5.6999999999999993</v>
      </c>
      <c r="I5">
        <v>20</v>
      </c>
      <c r="J5">
        <v>5.6999999999999993</v>
      </c>
      <c r="K5">
        <v>46223</v>
      </c>
      <c r="L5" t="s">
        <v>157</v>
      </c>
      <c r="M5">
        <v>4.6875</v>
      </c>
      <c r="N5">
        <v>1.350478807097635</v>
      </c>
      <c r="O5">
        <v>1.350478807097635</v>
      </c>
      <c r="P5">
        <v>1.1105911242579236</v>
      </c>
      <c r="Q5">
        <v>0</v>
      </c>
      <c r="R5">
        <v>0</v>
      </c>
      <c r="S5">
        <v>0.10047880709763501</v>
      </c>
      <c r="T5">
        <v>0</v>
      </c>
      <c r="U5">
        <v>0</v>
      </c>
      <c r="V5">
        <v>0</v>
      </c>
      <c r="W5">
        <v>0.11059112425792361</v>
      </c>
      <c r="X5">
        <v>0</v>
      </c>
      <c r="Y5">
        <v>0.13940887574207639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0.74047811394325969</v>
      </c>
      <c r="AL5">
        <v>0.74047811394325969</v>
      </c>
      <c r="AM5">
        <v>0.82236842105263164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0.17763157894736836</v>
      </c>
      <c r="AY5">
        <v>0</v>
      </c>
      <c r="AZ5">
        <v>0</v>
      </c>
      <c r="BA5">
        <v>0</v>
      </c>
      <c r="BB5">
        <v>0.74047811394325969</v>
      </c>
      <c r="BC5">
        <v>0</v>
      </c>
      <c r="BD5">
        <v>0</v>
      </c>
      <c r="BE5">
        <v>0</v>
      </c>
      <c r="BF5">
        <v>0</v>
      </c>
      <c r="BG5">
        <v>0</v>
      </c>
      <c r="BH5">
        <v>1.2159999999999997</v>
      </c>
      <c r="BI5">
        <v>1.2159999999999997</v>
      </c>
      <c r="BJ5">
        <v>0.9004213865550037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0.21599999999999975</v>
      </c>
      <c r="BT5">
        <v>0</v>
      </c>
      <c r="BU5">
        <v>0</v>
      </c>
      <c r="BV5">
        <v>0</v>
      </c>
      <c r="BW5">
        <v>9.95786134449963E-2</v>
      </c>
      <c r="BX5">
        <v>0</v>
      </c>
      <c r="BY5">
        <v>0.9004213865550037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hidden="1" x14ac:dyDescent="0.25">
      <c r="A6" t="s">
        <v>128</v>
      </c>
      <c r="B6" t="s">
        <v>502</v>
      </c>
      <c r="C6" t="s">
        <v>72</v>
      </c>
      <c r="D6" s="12">
        <v>46223</v>
      </c>
      <c r="E6" t="s">
        <v>133</v>
      </c>
      <c r="F6" t="s">
        <v>74</v>
      </c>
      <c r="G6">
        <v>4.437063563709744</v>
      </c>
      <c r="H6">
        <v>9.5</v>
      </c>
      <c r="I6">
        <v>20</v>
      </c>
      <c r="J6">
        <v>9.5</v>
      </c>
      <c r="K6">
        <v>46223</v>
      </c>
      <c r="L6" t="s">
        <v>157</v>
      </c>
      <c r="M6">
        <v>4.1398207720588234</v>
      </c>
      <c r="N6">
        <v>2.1410556471851017</v>
      </c>
      <c r="O6">
        <v>2.1410556471851017</v>
      </c>
      <c r="P6">
        <v>0.93300912024744542</v>
      </c>
      <c r="Q6">
        <v>0</v>
      </c>
      <c r="R6">
        <v>0</v>
      </c>
      <c r="S6">
        <v>0.89105564718510166</v>
      </c>
      <c r="T6">
        <v>0</v>
      </c>
      <c r="U6">
        <v>0</v>
      </c>
      <c r="V6">
        <v>0</v>
      </c>
      <c r="W6">
        <v>0</v>
      </c>
      <c r="X6">
        <v>0</v>
      </c>
      <c r="Y6">
        <v>0.25</v>
      </c>
      <c r="Z6">
        <v>0</v>
      </c>
      <c r="AA6">
        <v>0</v>
      </c>
      <c r="AB6">
        <v>0</v>
      </c>
      <c r="AC6">
        <v>6.6990879752554577E-2</v>
      </c>
      <c r="AD6">
        <v>0</v>
      </c>
      <c r="AE6">
        <v>0.93300912024744542</v>
      </c>
      <c r="AF6">
        <v>0</v>
      </c>
      <c r="AG6">
        <v>0</v>
      </c>
      <c r="AH6">
        <v>0</v>
      </c>
      <c r="AI6">
        <v>0</v>
      </c>
      <c r="AJ6">
        <v>0</v>
      </c>
      <c r="AK6">
        <v>0.46705932249576254</v>
      </c>
      <c r="AL6">
        <v>0.46705932249576254</v>
      </c>
      <c r="AM6">
        <v>0.4357706075851393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0.53294067750423746</v>
      </c>
      <c r="AY6">
        <v>0</v>
      </c>
      <c r="AZ6">
        <v>3.1288714910623239E-2</v>
      </c>
      <c r="BA6">
        <v>0</v>
      </c>
      <c r="BB6">
        <v>0.4357706075851393</v>
      </c>
      <c r="BC6">
        <v>0</v>
      </c>
      <c r="BD6">
        <v>0</v>
      </c>
      <c r="BE6">
        <v>0</v>
      </c>
      <c r="BF6">
        <v>0</v>
      </c>
      <c r="BG6">
        <v>0</v>
      </c>
      <c r="BH6">
        <v>2.29478533566453</v>
      </c>
      <c r="BI6">
        <v>2.29478533566453</v>
      </c>
      <c r="BJ6">
        <v>1.0718008841486864</v>
      </c>
      <c r="CA6">
        <v>0</v>
      </c>
      <c r="CB6">
        <v>0</v>
      </c>
      <c r="CC6">
        <v>0</v>
      </c>
    </row>
    <row r="7" spans="1:82" hidden="1" x14ac:dyDescent="0.25">
      <c r="A7" t="s">
        <v>128</v>
      </c>
      <c r="B7" t="s">
        <v>503</v>
      </c>
      <c r="C7" t="s">
        <v>72</v>
      </c>
      <c r="D7" s="12">
        <v>46223</v>
      </c>
      <c r="E7" t="s">
        <v>133</v>
      </c>
      <c r="F7" t="s">
        <v>74</v>
      </c>
      <c r="G7">
        <v>3.8126545117428936</v>
      </c>
      <c r="H7">
        <v>9.5</v>
      </c>
      <c r="I7">
        <v>20</v>
      </c>
      <c r="J7">
        <v>9.5</v>
      </c>
      <c r="K7">
        <v>46223</v>
      </c>
      <c r="L7" t="s">
        <v>157</v>
      </c>
      <c r="M7">
        <v>4.1764705882352935</v>
      </c>
      <c r="N7">
        <v>2.4917022957994766</v>
      </c>
      <c r="O7">
        <v>2.4917022957994766</v>
      </c>
      <c r="P7">
        <v>1.0954233003205127</v>
      </c>
      <c r="Q7">
        <v>0</v>
      </c>
      <c r="R7">
        <v>0</v>
      </c>
      <c r="S7">
        <v>1.2417022957994766</v>
      </c>
      <c r="T7">
        <v>0</v>
      </c>
      <c r="U7">
        <v>0</v>
      </c>
      <c r="V7">
        <v>0</v>
      </c>
      <c r="W7">
        <v>9.5423300320512716E-2</v>
      </c>
      <c r="X7">
        <v>0</v>
      </c>
      <c r="Y7">
        <v>0.15457669967948728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0.40133205386767301</v>
      </c>
      <c r="AL7">
        <v>0.40133205386767301</v>
      </c>
      <c r="AM7">
        <v>0.43962848297213614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0.56037151702786381</v>
      </c>
      <c r="AY7">
        <v>0</v>
      </c>
      <c r="AZ7">
        <v>0</v>
      </c>
      <c r="BA7">
        <v>0</v>
      </c>
      <c r="BB7">
        <v>0.40133205386767301</v>
      </c>
      <c r="BC7">
        <v>0</v>
      </c>
      <c r="BD7">
        <v>0</v>
      </c>
      <c r="BE7">
        <v>0</v>
      </c>
      <c r="BF7">
        <v>0</v>
      </c>
      <c r="BG7">
        <v>0</v>
      </c>
      <c r="BH7">
        <v>2.274647887323944</v>
      </c>
      <c r="BI7">
        <v>2.274647887323944</v>
      </c>
      <c r="BJ7">
        <v>0.91288910844548166</v>
      </c>
      <c r="CA7">
        <v>0</v>
      </c>
      <c r="CB7">
        <v>0</v>
      </c>
      <c r="CC7">
        <v>0</v>
      </c>
    </row>
    <row r="8" spans="1:82" hidden="1" x14ac:dyDescent="0.25">
      <c r="A8" t="s">
        <v>128</v>
      </c>
      <c r="B8" t="s">
        <v>372</v>
      </c>
      <c r="C8" t="s">
        <v>72</v>
      </c>
      <c r="D8" s="12">
        <v>46223</v>
      </c>
      <c r="E8" t="s">
        <v>133</v>
      </c>
      <c r="F8" t="s">
        <v>75</v>
      </c>
      <c r="G8">
        <v>10.973885648639106</v>
      </c>
      <c r="H8">
        <v>11.4</v>
      </c>
      <c r="I8">
        <v>20</v>
      </c>
      <c r="J8">
        <v>11.4</v>
      </c>
      <c r="K8">
        <v>46223</v>
      </c>
      <c r="L8" t="s">
        <v>165</v>
      </c>
      <c r="M8">
        <v>10.293198529411764</v>
      </c>
      <c r="N8">
        <v>1.0388298516135654</v>
      </c>
      <c r="O8">
        <v>1.0388298516135654</v>
      </c>
      <c r="P8">
        <v>0.93797209657349079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3.8829851613565447E-2</v>
      </c>
      <c r="Z8">
        <v>0</v>
      </c>
      <c r="AA8">
        <v>0</v>
      </c>
      <c r="AB8">
        <v>0</v>
      </c>
      <c r="AC8">
        <v>6.2027903426509212E-2</v>
      </c>
      <c r="AD8">
        <v>0</v>
      </c>
      <c r="AE8">
        <v>0.93797209657349079</v>
      </c>
      <c r="AF8">
        <v>0</v>
      </c>
      <c r="AG8">
        <v>0</v>
      </c>
      <c r="AH8">
        <v>0</v>
      </c>
      <c r="AI8">
        <v>0</v>
      </c>
      <c r="AJ8">
        <v>0</v>
      </c>
      <c r="AK8">
        <v>0.96262154812623746</v>
      </c>
      <c r="AL8">
        <v>0.96262154812623746</v>
      </c>
      <c r="AM8">
        <v>0.90291215170278649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3.7378451873762542E-2</v>
      </c>
      <c r="AY8">
        <v>0</v>
      </c>
      <c r="AZ8">
        <v>5.9709396423450967E-2</v>
      </c>
      <c r="BA8">
        <v>0</v>
      </c>
      <c r="BB8">
        <v>0.90291215170278649</v>
      </c>
      <c r="BC8">
        <v>0</v>
      </c>
      <c r="BD8">
        <v>0</v>
      </c>
      <c r="BE8">
        <v>0</v>
      </c>
      <c r="BF8">
        <v>0</v>
      </c>
      <c r="BG8">
        <v>0</v>
      </c>
      <c r="BH8">
        <v>1.1075274578087329</v>
      </c>
      <c r="BI8">
        <v>1.1075274578087329</v>
      </c>
      <c r="BJ8">
        <v>1.0661297960281586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6.6129796028158605E-2</v>
      </c>
      <c r="BR8">
        <v>0</v>
      </c>
      <c r="BS8">
        <v>4.1397661780574246E-2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hidden="1" x14ac:dyDescent="0.25">
      <c r="A9" t="s">
        <v>128</v>
      </c>
      <c r="B9" t="s">
        <v>502</v>
      </c>
      <c r="C9" t="s">
        <v>72</v>
      </c>
      <c r="D9" s="12">
        <v>46223</v>
      </c>
      <c r="E9" t="s">
        <v>133</v>
      </c>
      <c r="F9" t="s">
        <v>75</v>
      </c>
      <c r="G9">
        <v>8.1620058147253296</v>
      </c>
      <c r="H9">
        <v>26.6</v>
      </c>
      <c r="I9">
        <v>20</v>
      </c>
      <c r="J9">
        <v>26.6</v>
      </c>
      <c r="K9">
        <v>46223</v>
      </c>
      <c r="L9" t="s">
        <v>165</v>
      </c>
      <c r="M9">
        <v>10.505467655812325</v>
      </c>
      <c r="N9">
        <v>3.2590028240374576</v>
      </c>
      <c r="O9">
        <v>3.2590028240374576</v>
      </c>
      <c r="P9">
        <v>1.2871183743656593</v>
      </c>
      <c r="Q9">
        <v>0</v>
      </c>
      <c r="R9">
        <v>0</v>
      </c>
      <c r="S9">
        <v>1.9718844496717982</v>
      </c>
      <c r="T9">
        <v>0</v>
      </c>
      <c r="U9">
        <v>3.7118374365659346E-2</v>
      </c>
      <c r="V9">
        <v>0</v>
      </c>
      <c r="W9">
        <v>0.25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0.3068423238618545</v>
      </c>
      <c r="AL9">
        <v>0.3068423238618545</v>
      </c>
      <c r="AM9">
        <v>0.39494239307565132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0.60505760692434873</v>
      </c>
      <c r="AY9">
        <v>0</v>
      </c>
      <c r="AZ9">
        <v>0</v>
      </c>
      <c r="BA9">
        <v>0</v>
      </c>
      <c r="BB9">
        <v>0.3068423238618545</v>
      </c>
      <c r="BC9">
        <v>0</v>
      </c>
      <c r="BD9">
        <v>0</v>
      </c>
      <c r="BE9">
        <v>0</v>
      </c>
      <c r="BF9">
        <v>0</v>
      </c>
      <c r="BG9">
        <v>0</v>
      </c>
      <c r="BH9">
        <v>2.5320148394615356</v>
      </c>
      <c r="BI9">
        <v>2.5320148394615356</v>
      </c>
      <c r="BJ9">
        <v>0.77692931739307802</v>
      </c>
      <c r="CA9">
        <v>0</v>
      </c>
      <c r="CB9">
        <v>0</v>
      </c>
      <c r="CC9">
        <v>0</v>
      </c>
    </row>
    <row r="10" spans="1:82" hidden="1" x14ac:dyDescent="0.25">
      <c r="A10" t="s">
        <v>128</v>
      </c>
      <c r="B10" t="s">
        <v>503</v>
      </c>
      <c r="C10" t="s">
        <v>72</v>
      </c>
      <c r="D10" s="12">
        <v>46223</v>
      </c>
      <c r="E10" t="s">
        <v>133</v>
      </c>
      <c r="F10" t="s">
        <v>75</v>
      </c>
      <c r="G10">
        <v>7.4010352286773822</v>
      </c>
      <c r="H10">
        <v>26.6</v>
      </c>
      <c r="I10">
        <v>20</v>
      </c>
      <c r="J10">
        <v>26.6</v>
      </c>
      <c r="K10">
        <v>46223</v>
      </c>
      <c r="L10" t="s">
        <v>165</v>
      </c>
      <c r="M10">
        <v>8.3768907563025117</v>
      </c>
      <c r="N10">
        <v>3.594091796365305</v>
      </c>
      <c r="O10">
        <v>3.594091796365305</v>
      </c>
      <c r="P10">
        <v>1.1318539227923012</v>
      </c>
      <c r="Q10">
        <v>0</v>
      </c>
      <c r="R10">
        <v>0</v>
      </c>
      <c r="S10">
        <v>2.344091796365305</v>
      </c>
      <c r="T10">
        <v>0</v>
      </c>
      <c r="U10">
        <v>0</v>
      </c>
      <c r="V10">
        <v>0</v>
      </c>
      <c r="W10">
        <v>0.13185392279230124</v>
      </c>
      <c r="X10">
        <v>0</v>
      </c>
      <c r="Y10">
        <v>0.11814607720769876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0.27823440709313468</v>
      </c>
      <c r="AL10">
        <v>0.27823440709313468</v>
      </c>
      <c r="AM10">
        <v>0.3149207051241546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0.6850792948758454</v>
      </c>
      <c r="AY10">
        <v>0</v>
      </c>
      <c r="AZ10">
        <v>0</v>
      </c>
      <c r="BA10">
        <v>0</v>
      </c>
      <c r="BB10">
        <v>0.27823440709313468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3.1754025179314875</v>
      </c>
      <c r="BI10">
        <v>3.1754025179314875</v>
      </c>
      <c r="BJ10">
        <v>0.88350623685871443</v>
      </c>
      <c r="CA10">
        <v>0</v>
      </c>
      <c r="CB10">
        <v>0</v>
      </c>
      <c r="CC10">
        <v>0</v>
      </c>
    </row>
    <row r="11" spans="1:82" hidden="1" x14ac:dyDescent="0.25">
      <c r="A11" t="s">
        <v>128</v>
      </c>
      <c r="B11" t="s">
        <v>503</v>
      </c>
      <c r="C11" t="s">
        <v>72</v>
      </c>
      <c r="D11" s="12">
        <v>46224</v>
      </c>
      <c r="E11" t="s">
        <v>133</v>
      </c>
      <c r="F11" t="s">
        <v>73</v>
      </c>
      <c r="G11">
        <v>10.316594561186651</v>
      </c>
      <c r="H11">
        <v>34.199999999999996</v>
      </c>
      <c r="I11">
        <v>20</v>
      </c>
      <c r="J11">
        <v>34.199999999999996</v>
      </c>
      <c r="K11">
        <v>46224</v>
      </c>
      <c r="L11" t="s">
        <v>172</v>
      </c>
      <c r="M11">
        <v>9.4058823529411733</v>
      </c>
      <c r="N11">
        <v>3.3150474022375644</v>
      </c>
      <c r="O11">
        <v>3.3150474022375644</v>
      </c>
      <c r="P11">
        <v>0.91172356315408754</v>
      </c>
      <c r="Q11">
        <v>0</v>
      </c>
      <c r="R11">
        <v>0</v>
      </c>
      <c r="S11">
        <v>2.0650474022375644</v>
      </c>
      <c r="T11">
        <v>0</v>
      </c>
      <c r="U11">
        <v>0</v>
      </c>
      <c r="V11">
        <v>0</v>
      </c>
      <c r="W11">
        <v>0</v>
      </c>
      <c r="X11">
        <v>0</v>
      </c>
      <c r="Y11">
        <v>0.25</v>
      </c>
      <c r="Z11">
        <v>0</v>
      </c>
      <c r="AA11">
        <v>0</v>
      </c>
      <c r="AB11">
        <v>0</v>
      </c>
      <c r="AC11">
        <v>8.8276436845912465E-2</v>
      </c>
      <c r="AD11">
        <v>0</v>
      </c>
      <c r="AE11">
        <v>0.91172356315408754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0.30165481173060388</v>
      </c>
      <c r="AL11">
        <v>0.30165481173060388</v>
      </c>
      <c r="AM11">
        <v>0.27502579979360159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0.69834518826939607</v>
      </c>
      <c r="AY11">
        <v>0</v>
      </c>
      <c r="AZ11">
        <v>2.6629011937002289E-2</v>
      </c>
      <c r="BA11">
        <v>0</v>
      </c>
      <c r="BB11">
        <v>0.27502579979360159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3.6360225140712954</v>
      </c>
      <c r="BI11">
        <v>3.6360225140712954</v>
      </c>
      <c r="BJ11">
        <v>1.0968236869304135</v>
      </c>
      <c r="CA11">
        <v>0</v>
      </c>
      <c r="CB11">
        <v>0</v>
      </c>
      <c r="CC11">
        <v>0</v>
      </c>
    </row>
    <row r="12" spans="1:82" hidden="1" x14ac:dyDescent="0.25">
      <c r="A12" t="s">
        <v>128</v>
      </c>
      <c r="B12" t="s">
        <v>502</v>
      </c>
      <c r="C12" t="s">
        <v>72</v>
      </c>
      <c r="D12" s="12">
        <v>46224</v>
      </c>
      <c r="E12" t="s">
        <v>133</v>
      </c>
      <c r="F12" t="s">
        <v>73</v>
      </c>
      <c r="G12">
        <v>9.9149198152032554</v>
      </c>
      <c r="H12">
        <v>34.199999999999996</v>
      </c>
      <c r="I12">
        <v>20</v>
      </c>
      <c r="J12">
        <v>34.199999999999996</v>
      </c>
      <c r="K12">
        <v>46224</v>
      </c>
      <c r="L12" t="s">
        <v>172</v>
      </c>
      <c r="M12">
        <v>13.551271446078434</v>
      </c>
      <c r="N12">
        <v>3.4493471089457213</v>
      </c>
      <c r="O12">
        <v>3.4493471089457213</v>
      </c>
      <c r="P12">
        <v>1.366755525879221</v>
      </c>
      <c r="Q12">
        <v>0</v>
      </c>
      <c r="R12">
        <v>0</v>
      </c>
      <c r="S12">
        <v>2.0825915830665003</v>
      </c>
      <c r="T12">
        <v>0</v>
      </c>
      <c r="U12">
        <v>0.116755525879221</v>
      </c>
      <c r="V12">
        <v>0</v>
      </c>
      <c r="W12">
        <v>0.25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0.28990993611705429</v>
      </c>
      <c r="AL12">
        <v>0.28990993611705429</v>
      </c>
      <c r="AM12">
        <v>0.39623600719527591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0.60376399280472404</v>
      </c>
      <c r="AY12">
        <v>0</v>
      </c>
      <c r="AZ12">
        <v>0</v>
      </c>
      <c r="BA12">
        <v>0</v>
      </c>
      <c r="BB12">
        <v>0.28990993611705429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2.523748427303258</v>
      </c>
      <c r="BI12">
        <v>2.523748427303258</v>
      </c>
      <c r="BJ12">
        <v>0.73165974533500377</v>
      </c>
      <c r="CA12">
        <v>0</v>
      </c>
      <c r="CB12">
        <v>0</v>
      </c>
      <c r="CC12">
        <v>0</v>
      </c>
    </row>
    <row r="13" spans="1:82" hidden="1" x14ac:dyDescent="0.25">
      <c r="A13" t="s">
        <v>128</v>
      </c>
      <c r="B13" t="s">
        <v>372</v>
      </c>
      <c r="C13" t="s">
        <v>72</v>
      </c>
      <c r="D13" s="12">
        <v>46224</v>
      </c>
      <c r="E13" t="s">
        <v>133</v>
      </c>
      <c r="F13" t="s">
        <v>73</v>
      </c>
      <c r="G13">
        <v>13.005109674949711</v>
      </c>
      <c r="H13">
        <v>20.9</v>
      </c>
      <c r="I13">
        <v>20</v>
      </c>
      <c r="J13">
        <v>20.9</v>
      </c>
      <c r="K13">
        <v>46224</v>
      </c>
      <c r="L13" t="s">
        <v>172</v>
      </c>
      <c r="M13">
        <v>12.625</v>
      </c>
      <c r="N13">
        <v>1.6070606494197686</v>
      </c>
      <c r="O13">
        <v>1.6070606494197686</v>
      </c>
      <c r="P13">
        <v>0.97077228224519518</v>
      </c>
      <c r="Q13">
        <v>0</v>
      </c>
      <c r="R13">
        <v>0</v>
      </c>
      <c r="S13">
        <v>0.35706064941976856</v>
      </c>
      <c r="T13">
        <v>0</v>
      </c>
      <c r="U13">
        <v>0</v>
      </c>
      <c r="V13">
        <v>0</v>
      </c>
      <c r="W13">
        <v>0</v>
      </c>
      <c r="X13">
        <v>0</v>
      </c>
      <c r="Y13">
        <v>0.25</v>
      </c>
      <c r="Z13">
        <v>0</v>
      </c>
      <c r="AA13">
        <v>0</v>
      </c>
      <c r="AB13">
        <v>0</v>
      </c>
      <c r="AC13">
        <v>2.9227717754804816E-2</v>
      </c>
      <c r="AD13">
        <v>0</v>
      </c>
      <c r="AE13">
        <v>0.97077228224519518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0.62225405143300061</v>
      </c>
      <c r="AL13">
        <v>0.62225405143300061</v>
      </c>
      <c r="AM13">
        <v>0.60406698564593309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0.37774594856699939</v>
      </c>
      <c r="AY13">
        <v>0</v>
      </c>
      <c r="AZ13">
        <v>1.8187065787067525E-2</v>
      </c>
      <c r="BA13">
        <v>0</v>
      </c>
      <c r="BB13">
        <v>0.60406698564593309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1.6554455445544554</v>
      </c>
      <c r="BI13">
        <v>1.6554455445544554</v>
      </c>
      <c r="BJ13">
        <v>1.0301076970257197</v>
      </c>
      <c r="CA13">
        <v>0</v>
      </c>
      <c r="CB13">
        <v>0</v>
      </c>
      <c r="CC13">
        <v>0</v>
      </c>
    </row>
    <row r="14" spans="1:82" hidden="1" x14ac:dyDescent="0.25">
      <c r="A14" t="s">
        <v>128</v>
      </c>
      <c r="B14" t="s">
        <v>502</v>
      </c>
      <c r="C14" t="s">
        <v>72</v>
      </c>
      <c r="D14" s="12">
        <v>46224</v>
      </c>
      <c r="E14" t="s">
        <v>133</v>
      </c>
      <c r="F14" t="s">
        <v>74</v>
      </c>
      <c r="G14">
        <v>4.437063563709744</v>
      </c>
      <c r="H14">
        <v>9.5</v>
      </c>
      <c r="I14">
        <v>20</v>
      </c>
      <c r="J14">
        <v>9.5</v>
      </c>
      <c r="K14">
        <v>46224</v>
      </c>
      <c r="L14" t="s">
        <v>169</v>
      </c>
      <c r="M14">
        <v>4.1398207720588234</v>
      </c>
      <c r="N14">
        <v>2.1410556471851017</v>
      </c>
      <c r="O14">
        <v>2.1410556471851017</v>
      </c>
      <c r="P14">
        <v>0.93300912024744542</v>
      </c>
      <c r="Q14">
        <v>0</v>
      </c>
      <c r="R14">
        <v>0</v>
      </c>
      <c r="S14">
        <v>0.89105564718510166</v>
      </c>
      <c r="T14">
        <v>0</v>
      </c>
      <c r="U14">
        <v>0</v>
      </c>
      <c r="V14">
        <v>0</v>
      </c>
      <c r="W14">
        <v>0</v>
      </c>
      <c r="X14">
        <v>0</v>
      </c>
      <c r="Y14">
        <v>0.25</v>
      </c>
      <c r="Z14">
        <v>0</v>
      </c>
      <c r="AA14">
        <v>0</v>
      </c>
      <c r="AB14">
        <v>0</v>
      </c>
      <c r="AC14">
        <v>6.6990879752554577E-2</v>
      </c>
      <c r="AD14">
        <v>0</v>
      </c>
      <c r="AE14">
        <v>0.93300912024744542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0.46705932249576254</v>
      </c>
      <c r="AL14">
        <v>0.46705932249576254</v>
      </c>
      <c r="AM14">
        <v>0.4357706075851393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0.53294067750423746</v>
      </c>
      <c r="AY14">
        <v>0</v>
      </c>
      <c r="AZ14">
        <v>3.1288714910623239E-2</v>
      </c>
      <c r="BA14">
        <v>0</v>
      </c>
      <c r="BB14">
        <v>0.4357706075851393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2.29478533566453</v>
      </c>
      <c r="BI14">
        <v>2.29478533566453</v>
      </c>
      <c r="BJ14">
        <v>1.0718008841486864</v>
      </c>
      <c r="CA14">
        <v>0</v>
      </c>
      <c r="CB14">
        <v>0</v>
      </c>
      <c r="CC14">
        <v>0</v>
      </c>
    </row>
    <row r="15" spans="1:82" hidden="1" x14ac:dyDescent="0.25">
      <c r="A15" t="s">
        <v>128</v>
      </c>
      <c r="B15" t="s">
        <v>372</v>
      </c>
      <c r="C15" t="s">
        <v>72</v>
      </c>
      <c r="D15" s="12">
        <v>46224</v>
      </c>
      <c r="E15" t="s">
        <v>133</v>
      </c>
      <c r="F15" t="s">
        <v>74</v>
      </c>
      <c r="G15">
        <v>4.2207252494765797</v>
      </c>
      <c r="H15">
        <v>5.6999999999999993</v>
      </c>
      <c r="I15">
        <v>20</v>
      </c>
      <c r="J15">
        <v>5.6999999999999993</v>
      </c>
      <c r="K15">
        <v>46224</v>
      </c>
      <c r="L15" t="s">
        <v>169</v>
      </c>
      <c r="M15">
        <v>4.6875</v>
      </c>
      <c r="N15">
        <v>1.350478807097635</v>
      </c>
      <c r="O15">
        <v>1.350478807097635</v>
      </c>
      <c r="P15">
        <v>1.1105911242579236</v>
      </c>
      <c r="Q15">
        <v>0</v>
      </c>
      <c r="R15">
        <v>0</v>
      </c>
      <c r="S15">
        <v>0.10047880709763501</v>
      </c>
      <c r="T15">
        <v>0</v>
      </c>
      <c r="U15">
        <v>0</v>
      </c>
      <c r="V15">
        <v>0</v>
      </c>
      <c r="W15">
        <v>0.11059112425792361</v>
      </c>
      <c r="X15">
        <v>0</v>
      </c>
      <c r="Y15">
        <v>0.13940887574207639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0.74047811394325969</v>
      </c>
      <c r="AL15">
        <v>0.74047811394325969</v>
      </c>
      <c r="AM15">
        <v>0.82236842105263164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0.17763157894736836</v>
      </c>
      <c r="AY15">
        <v>0</v>
      </c>
      <c r="AZ15">
        <v>0</v>
      </c>
      <c r="BA15">
        <v>0</v>
      </c>
      <c r="BB15">
        <v>0.74047811394325969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1.2159999999999997</v>
      </c>
      <c r="BI15">
        <v>1.2159999999999997</v>
      </c>
      <c r="BJ15">
        <v>0.9004213865550037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0.21599999999999975</v>
      </c>
      <c r="BT15">
        <v>0</v>
      </c>
      <c r="BU15">
        <v>0</v>
      </c>
      <c r="BV15">
        <v>0</v>
      </c>
      <c r="BW15">
        <v>9.95786134449963E-2</v>
      </c>
      <c r="BX15">
        <v>0</v>
      </c>
      <c r="BY15">
        <v>0.9004213865550037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hidden="1" x14ac:dyDescent="0.25">
      <c r="A16" t="s">
        <v>128</v>
      </c>
      <c r="B16" t="s">
        <v>503</v>
      </c>
      <c r="C16" t="s">
        <v>72</v>
      </c>
      <c r="D16" s="12">
        <v>46224</v>
      </c>
      <c r="E16" t="s">
        <v>133</v>
      </c>
      <c r="F16" t="s">
        <v>74</v>
      </c>
      <c r="G16">
        <v>3.8126545117428936</v>
      </c>
      <c r="H16">
        <v>9.5</v>
      </c>
      <c r="I16">
        <v>20</v>
      </c>
      <c r="J16">
        <v>9.5</v>
      </c>
      <c r="K16">
        <v>46224</v>
      </c>
      <c r="L16" t="s">
        <v>169</v>
      </c>
      <c r="M16">
        <v>3.2058823529411757</v>
      </c>
      <c r="N16">
        <v>2.4917022957994766</v>
      </c>
      <c r="O16">
        <v>2.4917022957994766</v>
      </c>
      <c r="P16">
        <v>0.8408530967249005</v>
      </c>
      <c r="Q16">
        <v>0</v>
      </c>
      <c r="R16">
        <v>0</v>
      </c>
      <c r="S16">
        <v>1.2417022957994766</v>
      </c>
      <c r="T16">
        <v>0</v>
      </c>
      <c r="U16">
        <v>0</v>
      </c>
      <c r="V16">
        <v>0</v>
      </c>
      <c r="W16">
        <v>0</v>
      </c>
      <c r="X16">
        <v>0</v>
      </c>
      <c r="Y16">
        <v>0.25</v>
      </c>
      <c r="Z16">
        <v>0</v>
      </c>
      <c r="AA16">
        <v>0</v>
      </c>
      <c r="AB16">
        <v>0</v>
      </c>
      <c r="AC16">
        <v>0.1591469032750995</v>
      </c>
      <c r="AD16">
        <v>0</v>
      </c>
      <c r="AE16">
        <v>0.8408530967249005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0.40133205386767301</v>
      </c>
      <c r="AL16">
        <v>0.40133205386767301</v>
      </c>
      <c r="AM16">
        <v>0.33746130030959742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0.59866794613232699</v>
      </c>
      <c r="AY16">
        <v>0</v>
      </c>
      <c r="AZ16">
        <v>6.3870753558075588E-2</v>
      </c>
      <c r="BA16">
        <v>0</v>
      </c>
      <c r="BB16">
        <v>0.33746130030959742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2.9633027522935786</v>
      </c>
      <c r="BI16">
        <v>2.9633027522935786</v>
      </c>
      <c r="BJ16">
        <v>1.1892683798097101</v>
      </c>
      <c r="CA16">
        <v>0</v>
      </c>
      <c r="CB16">
        <v>0</v>
      </c>
      <c r="CC16">
        <v>0</v>
      </c>
    </row>
    <row r="17" spans="1:82" hidden="1" x14ac:dyDescent="0.25">
      <c r="A17" t="s">
        <v>128</v>
      </c>
      <c r="B17" t="s">
        <v>502</v>
      </c>
      <c r="C17" t="s">
        <v>72</v>
      </c>
      <c r="D17" s="12">
        <v>46224</v>
      </c>
      <c r="E17" t="s">
        <v>133</v>
      </c>
      <c r="F17" t="s">
        <v>75</v>
      </c>
      <c r="G17">
        <v>8.1072272522103948</v>
      </c>
      <c r="H17">
        <v>30.4</v>
      </c>
      <c r="I17">
        <v>20</v>
      </c>
      <c r="J17">
        <v>30.4</v>
      </c>
      <c r="K17">
        <v>46224</v>
      </c>
      <c r="L17" t="s">
        <v>166</v>
      </c>
      <c r="M17">
        <v>10.933907781862748</v>
      </c>
      <c r="N17">
        <v>3.7497407010160706</v>
      </c>
      <c r="O17">
        <v>3.7497407010160706</v>
      </c>
      <c r="P17">
        <v>1.3486618102239176</v>
      </c>
      <c r="Q17">
        <v>0</v>
      </c>
      <c r="R17">
        <v>0</v>
      </c>
      <c r="S17">
        <v>2.401078890792153</v>
      </c>
      <c r="T17">
        <v>0</v>
      </c>
      <c r="U17">
        <v>9.8661810223917623E-2</v>
      </c>
      <c r="V17">
        <v>0</v>
      </c>
      <c r="W17">
        <v>0.25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0.2666851069806051</v>
      </c>
      <c r="AL17">
        <v>0.2666851069806051</v>
      </c>
      <c r="AM17">
        <v>0.35966801914022201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0.64033198085977805</v>
      </c>
      <c r="AY17">
        <v>0</v>
      </c>
      <c r="AZ17">
        <v>0</v>
      </c>
      <c r="BA17">
        <v>0</v>
      </c>
      <c r="BB17">
        <v>0.2666851069806051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2.7803417228767704</v>
      </c>
      <c r="BI17">
        <v>2.7803417228767704</v>
      </c>
      <c r="BJ17">
        <v>0.74147572980803134</v>
      </c>
      <c r="CA17">
        <v>0</v>
      </c>
      <c r="CB17">
        <v>0</v>
      </c>
      <c r="CC17">
        <v>0</v>
      </c>
    </row>
    <row r="18" spans="1:82" hidden="1" x14ac:dyDescent="0.25">
      <c r="A18" t="s">
        <v>128</v>
      </c>
      <c r="B18" t="s">
        <v>503</v>
      </c>
      <c r="C18" t="s">
        <v>72</v>
      </c>
      <c r="D18" s="12">
        <v>46224</v>
      </c>
      <c r="E18" t="s">
        <v>133</v>
      </c>
      <c r="F18" t="s">
        <v>75</v>
      </c>
      <c r="G18">
        <v>7.4010352286773822</v>
      </c>
      <c r="H18">
        <v>30.4</v>
      </c>
      <c r="I18">
        <v>20</v>
      </c>
      <c r="J18">
        <v>30.4</v>
      </c>
      <c r="K18">
        <v>46224</v>
      </c>
      <c r="L18" t="s">
        <v>166</v>
      </c>
      <c r="M18">
        <v>7.6602941176470525</v>
      </c>
      <c r="N18">
        <v>4.107533481560349</v>
      </c>
      <c r="O18">
        <v>4.107533481560349</v>
      </c>
      <c r="P18">
        <v>1.0350300844353637</v>
      </c>
      <c r="Q18">
        <v>0</v>
      </c>
      <c r="R18">
        <v>0</v>
      </c>
      <c r="S18">
        <v>2.857533481560349</v>
      </c>
      <c r="T18">
        <v>0</v>
      </c>
      <c r="U18">
        <v>0</v>
      </c>
      <c r="V18">
        <v>0</v>
      </c>
      <c r="W18">
        <v>3.5030084435363706E-2</v>
      </c>
      <c r="X18">
        <v>0</v>
      </c>
      <c r="Y18">
        <v>0.21496991556463629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0.24345510620649286</v>
      </c>
      <c r="AL18">
        <v>0.24345510620649286</v>
      </c>
      <c r="AM18">
        <v>0.25198335913312675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0.74801664086687325</v>
      </c>
      <c r="AY18">
        <v>0</v>
      </c>
      <c r="AZ18">
        <v>0</v>
      </c>
      <c r="BA18">
        <v>0</v>
      </c>
      <c r="BB18">
        <v>0.24345510620649286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3.9685160299481699</v>
      </c>
      <c r="BI18">
        <v>3.9685160299481699</v>
      </c>
      <c r="BJ18">
        <v>0.96615549155320102</v>
      </c>
      <c r="CA18">
        <v>0</v>
      </c>
      <c r="CB18">
        <v>0</v>
      </c>
      <c r="CC18">
        <v>0</v>
      </c>
    </row>
    <row r="19" spans="1:82" hidden="1" x14ac:dyDescent="0.25">
      <c r="A19" t="s">
        <v>128</v>
      </c>
      <c r="B19" t="s">
        <v>372</v>
      </c>
      <c r="C19" t="s">
        <v>72</v>
      </c>
      <c r="D19" s="12">
        <v>46224</v>
      </c>
      <c r="E19" t="s">
        <v>133</v>
      </c>
      <c r="F19" t="s">
        <v>75</v>
      </c>
      <c r="G19">
        <v>10.973885648639106</v>
      </c>
      <c r="H19">
        <v>10.45</v>
      </c>
      <c r="I19">
        <v>20</v>
      </c>
      <c r="J19">
        <v>10.45</v>
      </c>
      <c r="K19">
        <v>46224</v>
      </c>
      <c r="L19" t="s">
        <v>166</v>
      </c>
      <c r="M19">
        <v>12.1875</v>
      </c>
      <c r="N19">
        <v>0.95226069731243512</v>
      </c>
      <c r="O19">
        <v>0.95226069731243512</v>
      </c>
      <c r="P19">
        <v>1.1105911242579238</v>
      </c>
      <c r="Q19">
        <v>0.11059112425792383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4.7739302687564877E-2</v>
      </c>
      <c r="AA19">
        <v>0</v>
      </c>
      <c r="AB19">
        <v>0</v>
      </c>
      <c r="AC19">
        <v>0</v>
      </c>
      <c r="AD19">
        <v>0</v>
      </c>
      <c r="AE19">
        <v>0.95226069731243512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1.0501325979558953</v>
      </c>
      <c r="AL19">
        <v>1.0501325979558953</v>
      </c>
      <c r="AM19">
        <v>1.1662679425837321</v>
      </c>
      <c r="AN19">
        <v>0.11613534462783681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5.0132597955895308E-2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0.85743589743589743</v>
      </c>
      <c r="BI19">
        <v>0.85743589743589743</v>
      </c>
      <c r="BJ19">
        <v>0.90042138655500359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9.9578613444996411E-2</v>
      </c>
      <c r="BV19">
        <v>0</v>
      </c>
      <c r="BW19">
        <v>0</v>
      </c>
      <c r="BX19">
        <v>0</v>
      </c>
      <c r="BY19">
        <v>0.85743589743589743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hidden="1" x14ac:dyDescent="0.25">
      <c r="A20" t="s">
        <v>128</v>
      </c>
      <c r="B20" t="s">
        <v>372</v>
      </c>
      <c r="C20" t="s">
        <v>72</v>
      </c>
      <c r="D20" s="12">
        <v>46225</v>
      </c>
      <c r="E20" t="s">
        <v>133</v>
      </c>
      <c r="F20" t="s">
        <v>73</v>
      </c>
      <c r="G20">
        <v>12.583037150002054</v>
      </c>
      <c r="H20">
        <v>17.099999999999998</v>
      </c>
      <c r="I20">
        <v>20</v>
      </c>
      <c r="J20">
        <v>17.099999999999998</v>
      </c>
      <c r="K20">
        <v>46225</v>
      </c>
      <c r="L20" t="s">
        <v>163</v>
      </c>
      <c r="M20">
        <v>12.433823529411764</v>
      </c>
      <c r="N20">
        <v>1.3589723845007646</v>
      </c>
      <c r="O20">
        <v>1.3589723845007646</v>
      </c>
      <c r="P20">
        <v>0.98814168480856268</v>
      </c>
      <c r="Q20">
        <v>0</v>
      </c>
      <c r="R20">
        <v>0</v>
      </c>
      <c r="S20">
        <v>0.10897238450076463</v>
      </c>
      <c r="T20">
        <v>0</v>
      </c>
      <c r="U20">
        <v>0</v>
      </c>
      <c r="V20">
        <v>0</v>
      </c>
      <c r="W20">
        <v>0</v>
      </c>
      <c r="X20">
        <v>0</v>
      </c>
      <c r="Y20">
        <v>0.25</v>
      </c>
      <c r="Z20">
        <v>0</v>
      </c>
      <c r="AA20">
        <v>0</v>
      </c>
      <c r="AB20">
        <v>0</v>
      </c>
      <c r="AC20">
        <v>1.1858315191437319E-2</v>
      </c>
      <c r="AD20">
        <v>0</v>
      </c>
      <c r="AE20">
        <v>0.98814168480856268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0.73585012573111441</v>
      </c>
      <c r="AL20">
        <v>0.73585012573111441</v>
      </c>
      <c r="AM20">
        <v>0.72712418300653603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0.26414987426888559</v>
      </c>
      <c r="AY20">
        <v>0</v>
      </c>
      <c r="AZ20">
        <v>8.7259427245783838E-3</v>
      </c>
      <c r="BA20">
        <v>0</v>
      </c>
      <c r="BB20">
        <v>0.72712418300653603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1.3752808988764043</v>
      </c>
      <c r="BI20">
        <v>1.3752808988764043</v>
      </c>
      <c r="BJ20">
        <v>1.0120006223538021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1.200062235380206E-2</v>
      </c>
      <c r="BR20">
        <v>0</v>
      </c>
      <c r="BS20">
        <v>0.3632802765226022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hidden="1" x14ac:dyDescent="0.25">
      <c r="A21" t="s">
        <v>128</v>
      </c>
      <c r="B21" t="s">
        <v>502</v>
      </c>
      <c r="C21" t="s">
        <v>72</v>
      </c>
      <c r="D21" s="12">
        <v>46225</v>
      </c>
      <c r="E21" t="s">
        <v>133</v>
      </c>
      <c r="F21" t="s">
        <v>73</v>
      </c>
      <c r="G21">
        <v>9.9149198152032554</v>
      </c>
      <c r="H21">
        <v>32.299999999999997</v>
      </c>
      <c r="I21">
        <v>20</v>
      </c>
      <c r="J21">
        <v>32.299999999999997</v>
      </c>
      <c r="K21">
        <v>46225</v>
      </c>
      <c r="L21" t="s">
        <v>163</v>
      </c>
      <c r="M21">
        <v>12.890749737394955</v>
      </c>
      <c r="N21">
        <v>3.2577167140042924</v>
      </c>
      <c r="O21">
        <v>3.2577167140042924</v>
      </c>
      <c r="P21">
        <v>1.3001365596147987</v>
      </c>
      <c r="Q21">
        <v>0</v>
      </c>
      <c r="R21">
        <v>0</v>
      </c>
      <c r="S21">
        <v>1.9575801543894937</v>
      </c>
      <c r="T21">
        <v>0</v>
      </c>
      <c r="U21">
        <v>5.0136559614798681E-2</v>
      </c>
      <c r="V21">
        <v>0</v>
      </c>
      <c r="W21">
        <v>0.25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0.30696346177099865</v>
      </c>
      <c r="AL21">
        <v>0.30696346177099865</v>
      </c>
      <c r="AM21">
        <v>0.39909441911439492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0.60090558088560508</v>
      </c>
      <c r="AY21">
        <v>0</v>
      </c>
      <c r="AZ21">
        <v>0</v>
      </c>
      <c r="BA21">
        <v>0</v>
      </c>
      <c r="BB21">
        <v>0.30696346177099865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2.5056727233095279</v>
      </c>
      <c r="BI21">
        <v>2.5056727233095279</v>
      </c>
      <c r="BJ21">
        <v>0.76914997321225831</v>
      </c>
      <c r="CA21">
        <v>0</v>
      </c>
      <c r="CB21">
        <v>0</v>
      </c>
      <c r="CC21">
        <v>0</v>
      </c>
    </row>
    <row r="22" spans="1:82" hidden="1" x14ac:dyDescent="0.25">
      <c r="A22" t="s">
        <v>128</v>
      </c>
      <c r="B22" t="s">
        <v>503</v>
      </c>
      <c r="C22" t="s">
        <v>72</v>
      </c>
      <c r="D22" s="12">
        <v>46225</v>
      </c>
      <c r="E22" t="s">
        <v>133</v>
      </c>
      <c r="F22" t="s">
        <v>73</v>
      </c>
      <c r="G22">
        <v>9.36343093325093</v>
      </c>
      <c r="H22">
        <v>32.299999999999997</v>
      </c>
      <c r="I22">
        <v>20</v>
      </c>
      <c r="J22">
        <v>32.299999999999997</v>
      </c>
      <c r="K22">
        <v>46225</v>
      </c>
      <c r="L22" t="s">
        <v>163</v>
      </c>
      <c r="M22">
        <v>7.4758738277919807</v>
      </c>
      <c r="N22">
        <v>3.4495902442445443</v>
      </c>
      <c r="O22">
        <v>3.4495902442445443</v>
      </c>
      <c r="P22">
        <v>0.79841180877877205</v>
      </c>
      <c r="Q22">
        <v>0</v>
      </c>
      <c r="R22">
        <v>0</v>
      </c>
      <c r="S22">
        <v>2.1995902442445443</v>
      </c>
      <c r="T22">
        <v>0</v>
      </c>
      <c r="U22">
        <v>0</v>
      </c>
      <c r="V22">
        <v>0</v>
      </c>
      <c r="W22">
        <v>0</v>
      </c>
      <c r="X22">
        <v>0</v>
      </c>
      <c r="Y22">
        <v>0.25</v>
      </c>
      <c r="Z22">
        <v>0</v>
      </c>
      <c r="AA22">
        <v>0</v>
      </c>
      <c r="AB22">
        <v>0</v>
      </c>
      <c r="AC22">
        <v>0.20158819122122795</v>
      </c>
      <c r="AD22">
        <v>0</v>
      </c>
      <c r="AE22">
        <v>0.79841180877877205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0.28988950257742818</v>
      </c>
      <c r="AL22">
        <v>0.28988950257742818</v>
      </c>
      <c r="AM22">
        <v>0.23145120209882294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0.71011049742257182</v>
      </c>
      <c r="AY22">
        <v>0</v>
      </c>
      <c r="AZ22">
        <v>5.8438300478605237E-2</v>
      </c>
      <c r="BA22">
        <v>0</v>
      </c>
      <c r="BB22">
        <v>0.23145120209882294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4.3205651598777566</v>
      </c>
      <c r="BI22">
        <v>4.3205651598777566</v>
      </c>
      <c r="BJ22">
        <v>1.2524864850503294</v>
      </c>
      <c r="CA22">
        <v>0</v>
      </c>
      <c r="CB22">
        <v>0</v>
      </c>
      <c r="CC22">
        <v>0</v>
      </c>
    </row>
    <row r="23" spans="1:82" hidden="1" x14ac:dyDescent="0.25">
      <c r="A23" t="s">
        <v>128</v>
      </c>
      <c r="B23" t="s">
        <v>503</v>
      </c>
      <c r="C23" t="s">
        <v>72</v>
      </c>
      <c r="D23" s="12">
        <v>46225</v>
      </c>
      <c r="E23" t="s">
        <v>133</v>
      </c>
      <c r="F23" t="s">
        <v>74</v>
      </c>
      <c r="G23">
        <v>3.8126545117428936</v>
      </c>
      <c r="H23">
        <v>7.6</v>
      </c>
      <c r="I23">
        <v>20</v>
      </c>
      <c r="J23">
        <v>7.6</v>
      </c>
      <c r="K23">
        <v>46225</v>
      </c>
      <c r="L23" t="s">
        <v>160</v>
      </c>
      <c r="M23">
        <v>3.2058823529411757</v>
      </c>
      <c r="N23">
        <v>1.9933618366395811</v>
      </c>
      <c r="O23">
        <v>1.9933618366395811</v>
      </c>
      <c r="P23">
        <v>0.8408530967249005</v>
      </c>
      <c r="Q23">
        <v>0</v>
      </c>
      <c r="R23">
        <v>0</v>
      </c>
      <c r="S23">
        <v>0.74336183663958111</v>
      </c>
      <c r="T23">
        <v>0</v>
      </c>
      <c r="U23">
        <v>0</v>
      </c>
      <c r="V23">
        <v>0</v>
      </c>
      <c r="W23">
        <v>0</v>
      </c>
      <c r="X23">
        <v>0</v>
      </c>
      <c r="Y23">
        <v>0.25</v>
      </c>
      <c r="Z23">
        <v>0</v>
      </c>
      <c r="AA23">
        <v>0</v>
      </c>
      <c r="AB23">
        <v>0</v>
      </c>
      <c r="AC23">
        <v>0.1591469032750995</v>
      </c>
      <c r="AD23">
        <v>0</v>
      </c>
      <c r="AE23">
        <v>0.8408530967249005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0.50166506733459126</v>
      </c>
      <c r="AL23">
        <v>0.50166506733459126</v>
      </c>
      <c r="AM23">
        <v>0.42182662538699683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0.49833493266540874</v>
      </c>
      <c r="AY23">
        <v>0</v>
      </c>
      <c r="AZ23">
        <v>7.983844194759443E-2</v>
      </c>
      <c r="BA23">
        <v>0</v>
      </c>
      <c r="BB23">
        <v>0.42182662538699683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2.3706422018348627</v>
      </c>
      <c r="BI23">
        <v>2.3706422018348627</v>
      </c>
      <c r="BJ23">
        <v>1.1892683798097101</v>
      </c>
      <c r="CA23">
        <v>0</v>
      </c>
      <c r="CB23">
        <v>0</v>
      </c>
      <c r="CC23">
        <v>0</v>
      </c>
    </row>
    <row r="24" spans="1:82" hidden="1" x14ac:dyDescent="0.25">
      <c r="A24" t="s">
        <v>128</v>
      </c>
      <c r="B24" t="s">
        <v>372</v>
      </c>
      <c r="C24" t="s">
        <v>72</v>
      </c>
      <c r="D24" s="12">
        <v>46225</v>
      </c>
      <c r="E24" t="s">
        <v>133</v>
      </c>
      <c r="F24" t="s">
        <v>74</v>
      </c>
      <c r="G24">
        <v>4.2207252494765788</v>
      </c>
      <c r="H24">
        <v>3.8</v>
      </c>
      <c r="I24">
        <v>20</v>
      </c>
      <c r="J24">
        <v>3.8</v>
      </c>
      <c r="K24">
        <v>46225</v>
      </c>
      <c r="L24" t="s">
        <v>160</v>
      </c>
      <c r="M24">
        <v>4.5044642857142865</v>
      </c>
      <c r="N24">
        <v>0.90031920473175697</v>
      </c>
      <c r="O24">
        <v>0.90031920473175697</v>
      </c>
      <c r="P24">
        <v>1.0672251851202337</v>
      </c>
      <c r="Q24">
        <v>6.7225185120233677E-2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9.9680795268243028E-2</v>
      </c>
      <c r="AA24">
        <v>0</v>
      </c>
      <c r="AB24">
        <v>0</v>
      </c>
      <c r="AC24">
        <v>0</v>
      </c>
      <c r="AD24">
        <v>0</v>
      </c>
      <c r="AE24">
        <v>0.90031920473175697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1.1107171709148893</v>
      </c>
      <c r="AL24">
        <v>1.1107171709148893</v>
      </c>
      <c r="AM24">
        <v>1.185385338345865</v>
      </c>
      <c r="AN24">
        <v>7.4668167430975707E-2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0.11071717091488931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0.84360753221010887</v>
      </c>
      <c r="BI24">
        <v>0.84360753221010887</v>
      </c>
      <c r="BJ24">
        <v>0.9370093715389034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6.2990628461096598E-2</v>
      </c>
      <c r="BV24">
        <v>0</v>
      </c>
      <c r="BW24">
        <v>0</v>
      </c>
      <c r="BX24">
        <v>0</v>
      </c>
      <c r="BY24">
        <v>0.84360753221010887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hidden="1" x14ac:dyDescent="0.25">
      <c r="A25" t="s">
        <v>128</v>
      </c>
      <c r="B25" t="s">
        <v>502</v>
      </c>
      <c r="C25" t="s">
        <v>72</v>
      </c>
      <c r="D25" s="12">
        <v>46225</v>
      </c>
      <c r="E25" t="s">
        <v>133</v>
      </c>
      <c r="F25" t="s">
        <v>74</v>
      </c>
      <c r="G25">
        <v>4.437063563709744</v>
      </c>
      <c r="H25">
        <v>7.6</v>
      </c>
      <c r="I25">
        <v>20</v>
      </c>
      <c r="J25">
        <v>7.6</v>
      </c>
      <c r="K25">
        <v>46225</v>
      </c>
      <c r="L25" t="s">
        <v>160</v>
      </c>
      <c r="M25">
        <v>4.1695772058823524</v>
      </c>
      <c r="N25">
        <v>1.7128445177480813</v>
      </c>
      <c r="O25">
        <v>1.7128445177480813</v>
      </c>
      <c r="P25">
        <v>0.93971545505565135</v>
      </c>
      <c r="Q25">
        <v>0</v>
      </c>
      <c r="R25">
        <v>0</v>
      </c>
      <c r="S25">
        <v>0.46284451774808133</v>
      </c>
      <c r="T25">
        <v>0</v>
      </c>
      <c r="U25">
        <v>0</v>
      </c>
      <c r="V25">
        <v>0</v>
      </c>
      <c r="W25">
        <v>0</v>
      </c>
      <c r="X25">
        <v>0</v>
      </c>
      <c r="Y25">
        <v>0.25</v>
      </c>
      <c r="Z25">
        <v>0</v>
      </c>
      <c r="AA25">
        <v>0</v>
      </c>
      <c r="AB25">
        <v>0</v>
      </c>
      <c r="AC25">
        <v>6.028454494434865E-2</v>
      </c>
      <c r="AD25">
        <v>0</v>
      </c>
      <c r="AE25">
        <v>0.93971545505565135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0.58382415311970315</v>
      </c>
      <c r="AL25">
        <v>0.58382415311970315</v>
      </c>
      <c r="AM25">
        <v>0.54862857972136214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0.41617584688029685</v>
      </c>
      <c r="AY25">
        <v>0</v>
      </c>
      <c r="AZ25">
        <v>3.5195573398341007E-2</v>
      </c>
      <c r="BA25">
        <v>0</v>
      </c>
      <c r="BB25">
        <v>0.54862857972136214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1.8227267717403286</v>
      </c>
      <c r="BI25">
        <v>1.8227267717403286</v>
      </c>
      <c r="BJ25">
        <v>1.0641519138799078</v>
      </c>
      <c r="CA25">
        <v>0</v>
      </c>
      <c r="CB25">
        <v>0</v>
      </c>
      <c r="CC25">
        <v>0</v>
      </c>
    </row>
    <row r="26" spans="1:82" hidden="1" x14ac:dyDescent="0.25">
      <c r="A26" t="s">
        <v>128</v>
      </c>
      <c r="B26" t="s">
        <v>503</v>
      </c>
      <c r="C26" t="s">
        <v>72</v>
      </c>
      <c r="D26" s="12">
        <v>46225</v>
      </c>
      <c r="E26" t="s">
        <v>133</v>
      </c>
      <c r="F26" t="s">
        <v>75</v>
      </c>
      <c r="G26">
        <v>6.6721453955500643</v>
      </c>
      <c r="H26">
        <v>22.799999999999997</v>
      </c>
      <c r="I26">
        <v>20</v>
      </c>
      <c r="J26">
        <v>22.799999999999997</v>
      </c>
      <c r="K26">
        <v>46225</v>
      </c>
      <c r="L26" t="s">
        <v>212</v>
      </c>
      <c r="M26">
        <v>6.6307438192668346</v>
      </c>
      <c r="N26">
        <v>3.4171917199535669</v>
      </c>
      <c r="O26">
        <v>3.4171917199535669</v>
      </c>
      <c r="P26">
        <v>0.99379486299701414</v>
      </c>
      <c r="Q26">
        <v>0</v>
      </c>
      <c r="R26">
        <v>0</v>
      </c>
      <c r="S26">
        <v>2.1671917199535669</v>
      </c>
      <c r="T26">
        <v>0</v>
      </c>
      <c r="U26">
        <v>0</v>
      </c>
      <c r="V26">
        <v>0</v>
      </c>
      <c r="W26">
        <v>0</v>
      </c>
      <c r="X26">
        <v>0</v>
      </c>
      <c r="Y26">
        <v>0.25</v>
      </c>
      <c r="Z26">
        <v>0</v>
      </c>
      <c r="AA26">
        <v>0</v>
      </c>
      <c r="AB26">
        <v>0</v>
      </c>
      <c r="AC26">
        <v>6.205137002985861E-3</v>
      </c>
      <c r="AD26">
        <v>0</v>
      </c>
      <c r="AE26">
        <v>0.99379486299701414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0.29263795594517827</v>
      </c>
      <c r="AL26">
        <v>0.29263795594517827</v>
      </c>
      <c r="AM26">
        <v>0.29082209733626474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0.70736204405482173</v>
      </c>
      <c r="AY26">
        <v>0</v>
      </c>
      <c r="AZ26">
        <v>1.8158586089135342E-3</v>
      </c>
      <c r="BA26">
        <v>0</v>
      </c>
      <c r="BB26">
        <v>0.29082209733626474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3.4385282588886095</v>
      </c>
      <c r="BI26">
        <v>3.4385282588886095</v>
      </c>
      <c r="BJ26">
        <v>1.0062438811408956</v>
      </c>
      <c r="CA26">
        <v>0</v>
      </c>
      <c r="CB26">
        <v>0</v>
      </c>
      <c r="CC26">
        <v>0</v>
      </c>
    </row>
    <row r="27" spans="1:82" hidden="1" x14ac:dyDescent="0.25">
      <c r="A27" t="s">
        <v>128</v>
      </c>
      <c r="B27" t="s">
        <v>372</v>
      </c>
      <c r="C27" t="s">
        <v>72</v>
      </c>
      <c r="D27" s="12">
        <v>46225</v>
      </c>
      <c r="E27" t="s">
        <v>133</v>
      </c>
      <c r="F27" t="s">
        <v>75</v>
      </c>
      <c r="G27">
        <v>10.815608451783737</v>
      </c>
      <c r="H27">
        <v>12.35</v>
      </c>
      <c r="I27">
        <v>20</v>
      </c>
      <c r="J27">
        <v>12.35</v>
      </c>
      <c r="K27">
        <v>46225</v>
      </c>
      <c r="L27" t="s">
        <v>212</v>
      </c>
      <c r="M27">
        <v>12.182247899159664</v>
      </c>
      <c r="N27">
        <v>1.1418682596597889</v>
      </c>
      <c r="O27">
        <v>1.1418682596597889</v>
      </c>
      <c r="P27">
        <v>1.1263580734702483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0.1263580734702483</v>
      </c>
      <c r="X27">
        <v>0</v>
      </c>
      <c r="Y27">
        <v>1.5510186189540587E-2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0.87575776937520133</v>
      </c>
      <c r="AL27">
        <v>0.87575776937520133</v>
      </c>
      <c r="AM27">
        <v>0.98641683394005386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1.3583166059946139E-2</v>
      </c>
      <c r="AY27">
        <v>0</v>
      </c>
      <c r="AZ27">
        <v>0</v>
      </c>
      <c r="BA27">
        <v>0</v>
      </c>
      <c r="BB27">
        <v>0.87575776937520133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1.0137702090967879</v>
      </c>
      <c r="BI27">
        <v>1.0137702090967879</v>
      </c>
      <c r="BJ27">
        <v>0.88781713697763454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1.3770209096787944E-2</v>
      </c>
      <c r="BT27">
        <v>0</v>
      </c>
      <c r="BU27">
        <v>0</v>
      </c>
      <c r="BV27">
        <v>0</v>
      </c>
      <c r="BW27">
        <v>0.11218286302236546</v>
      </c>
      <c r="BX27">
        <v>0</v>
      </c>
      <c r="BY27">
        <v>0.88781713697763454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hidden="1" x14ac:dyDescent="0.25">
      <c r="A28" t="s">
        <v>128</v>
      </c>
      <c r="B28" t="s">
        <v>502</v>
      </c>
      <c r="C28" t="s">
        <v>72</v>
      </c>
      <c r="D28" s="12">
        <v>46225</v>
      </c>
      <c r="E28" t="s">
        <v>133</v>
      </c>
      <c r="F28" t="s">
        <v>75</v>
      </c>
      <c r="G28">
        <v>8.1072272522103948</v>
      </c>
      <c r="H28">
        <v>22.799999999999997</v>
      </c>
      <c r="I28">
        <v>20</v>
      </c>
      <c r="J28">
        <v>22.799999999999997</v>
      </c>
      <c r="K28">
        <v>46225</v>
      </c>
      <c r="L28" t="s">
        <v>212</v>
      </c>
      <c r="M28">
        <v>11.25217305672269</v>
      </c>
      <c r="N28">
        <v>2.8123055257620528</v>
      </c>
      <c r="O28">
        <v>2.8123055257620528</v>
      </c>
      <c r="P28">
        <v>1.3879187922917593</v>
      </c>
      <c r="Q28">
        <v>0</v>
      </c>
      <c r="R28">
        <v>0</v>
      </c>
      <c r="S28">
        <v>1.4243867334702935</v>
      </c>
      <c r="T28">
        <v>0</v>
      </c>
      <c r="U28">
        <v>0.1379187922917593</v>
      </c>
      <c r="V28">
        <v>0</v>
      </c>
      <c r="W28">
        <v>0.25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0.35558014264080684</v>
      </c>
      <c r="AL28">
        <v>0.35558014264080684</v>
      </c>
      <c r="AM28">
        <v>0.49351636213696015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0.50648363786303985</v>
      </c>
      <c r="AY28">
        <v>0</v>
      </c>
      <c r="AZ28">
        <v>0</v>
      </c>
      <c r="BA28">
        <v>0</v>
      </c>
      <c r="BB28">
        <v>0.35558014264080684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2.0262752701246431</v>
      </c>
      <c r="BI28">
        <v>2.0262752701246431</v>
      </c>
      <c r="BJ28">
        <v>0.72050324958045997</v>
      </c>
      <c r="CA28">
        <v>0</v>
      </c>
      <c r="CB28">
        <v>0</v>
      </c>
      <c r="CC28">
        <v>0</v>
      </c>
    </row>
    <row r="29" spans="1:82" hidden="1" x14ac:dyDescent="0.25">
      <c r="A29" t="s">
        <v>128</v>
      </c>
      <c r="B29" t="s">
        <v>372</v>
      </c>
      <c r="C29" t="s">
        <v>72</v>
      </c>
      <c r="D29" s="12">
        <v>46226</v>
      </c>
      <c r="E29" t="s">
        <v>133</v>
      </c>
      <c r="F29" t="s">
        <v>73</v>
      </c>
      <c r="G29">
        <v>11.738892100106735</v>
      </c>
      <c r="H29">
        <v>23.75</v>
      </c>
      <c r="I29">
        <v>20</v>
      </c>
      <c r="J29">
        <v>23.75</v>
      </c>
      <c r="K29">
        <v>46226</v>
      </c>
      <c r="L29" t="s">
        <v>229</v>
      </c>
      <c r="M29">
        <v>11.53125</v>
      </c>
      <c r="N29">
        <v>2.0231892241163076</v>
      </c>
      <c r="O29">
        <v>2.0231892241163076</v>
      </c>
      <c r="P29">
        <v>0.98231161013015467</v>
      </c>
      <c r="Q29">
        <v>0</v>
      </c>
      <c r="R29">
        <v>0</v>
      </c>
      <c r="S29">
        <v>0.77318922411630764</v>
      </c>
      <c r="T29">
        <v>0</v>
      </c>
      <c r="U29">
        <v>0</v>
      </c>
      <c r="V29">
        <v>0</v>
      </c>
      <c r="W29">
        <v>0</v>
      </c>
      <c r="X29">
        <v>0</v>
      </c>
      <c r="Y29">
        <v>0.25</v>
      </c>
      <c r="Z29">
        <v>0</v>
      </c>
      <c r="AA29">
        <v>0</v>
      </c>
      <c r="AB29">
        <v>0</v>
      </c>
      <c r="AC29">
        <v>1.7688389869845333E-2</v>
      </c>
      <c r="AD29">
        <v>0</v>
      </c>
      <c r="AE29">
        <v>0.98231161013015467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0.49426914105712572</v>
      </c>
      <c r="AL29">
        <v>0.49426914105712572</v>
      </c>
      <c r="AM29">
        <v>0.48552631578947369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0.50573085894287428</v>
      </c>
      <c r="AY29">
        <v>0</v>
      </c>
      <c r="AZ29">
        <v>8.7428252676520213E-3</v>
      </c>
      <c r="BA29">
        <v>0</v>
      </c>
      <c r="BB29">
        <v>0.48552631578947369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2.0596205962059622</v>
      </c>
      <c r="BI29">
        <v>2.0596205962059622</v>
      </c>
      <c r="BJ29">
        <v>1.0180069029902861</v>
      </c>
      <c r="CA29">
        <v>0</v>
      </c>
      <c r="CB29">
        <v>0</v>
      </c>
      <c r="CC29">
        <v>0</v>
      </c>
    </row>
    <row r="30" spans="1:82" hidden="1" x14ac:dyDescent="0.25">
      <c r="A30" t="s">
        <v>128</v>
      </c>
      <c r="B30" t="s">
        <v>503</v>
      </c>
      <c r="C30" t="s">
        <v>72</v>
      </c>
      <c r="D30" s="12">
        <v>46226</v>
      </c>
      <c r="E30" t="s">
        <v>133</v>
      </c>
      <c r="F30" t="s">
        <v>73</v>
      </c>
      <c r="G30">
        <v>10.316594561186651</v>
      </c>
      <c r="H30">
        <v>41.8</v>
      </c>
      <c r="I30">
        <v>20</v>
      </c>
      <c r="J30">
        <v>41.8</v>
      </c>
      <c r="K30">
        <v>46226</v>
      </c>
      <c r="L30" t="s">
        <v>229</v>
      </c>
      <c r="M30">
        <v>9.1269607843137184</v>
      </c>
      <c r="N30">
        <v>4.0517246027348017</v>
      </c>
      <c r="O30">
        <v>4.0517246027348017</v>
      </c>
      <c r="P30">
        <v>0.88468735784688068</v>
      </c>
      <c r="Q30">
        <v>0</v>
      </c>
      <c r="R30">
        <v>0</v>
      </c>
      <c r="S30">
        <v>2.8017246027348017</v>
      </c>
      <c r="T30">
        <v>0</v>
      </c>
      <c r="U30">
        <v>0</v>
      </c>
      <c r="V30">
        <v>0</v>
      </c>
      <c r="W30">
        <v>0</v>
      </c>
      <c r="X30">
        <v>0</v>
      </c>
      <c r="Y30">
        <v>0.25</v>
      </c>
      <c r="Z30">
        <v>0</v>
      </c>
      <c r="AA30">
        <v>0</v>
      </c>
      <c r="AB30">
        <v>0</v>
      </c>
      <c r="AC30">
        <v>0.11531264215311932</v>
      </c>
      <c r="AD30">
        <v>0</v>
      </c>
      <c r="AE30">
        <v>0.88468735784688068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0.24680848232503952</v>
      </c>
      <c r="AL30">
        <v>0.24680848232503952</v>
      </c>
      <c r="AM30">
        <v>0.21834834412233778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0.75319151767496051</v>
      </c>
      <c r="AY30">
        <v>0</v>
      </c>
      <c r="AZ30">
        <v>2.846013820270174E-2</v>
      </c>
      <c r="BA30">
        <v>0</v>
      </c>
      <c r="BB30">
        <v>0.21834834412233778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4.5798378000966791</v>
      </c>
      <c r="BI30">
        <v>4.5798378000966791</v>
      </c>
      <c r="BJ30">
        <v>1.1303428167367089</v>
      </c>
      <c r="CA30">
        <v>0</v>
      </c>
      <c r="CB30">
        <v>0</v>
      </c>
      <c r="CC30">
        <v>0</v>
      </c>
    </row>
    <row r="31" spans="1:82" hidden="1" x14ac:dyDescent="0.25">
      <c r="A31" t="s">
        <v>128</v>
      </c>
      <c r="B31" t="s">
        <v>502</v>
      </c>
      <c r="C31" t="s">
        <v>72</v>
      </c>
      <c r="D31" s="12">
        <v>46226</v>
      </c>
      <c r="E31" t="s">
        <v>133</v>
      </c>
      <c r="F31" t="s">
        <v>73</v>
      </c>
      <c r="G31">
        <v>9.9149198152032554</v>
      </c>
      <c r="H31">
        <v>41.8</v>
      </c>
      <c r="I31">
        <v>20</v>
      </c>
      <c r="J31">
        <v>41.8</v>
      </c>
      <c r="K31">
        <v>46226</v>
      </c>
      <c r="L31" t="s">
        <v>229</v>
      </c>
      <c r="M31">
        <v>12.378739933473383</v>
      </c>
      <c r="N31">
        <v>4.2158686887114376</v>
      </c>
      <c r="O31">
        <v>4.2158686887114376</v>
      </c>
      <c r="P31">
        <v>1.2484962222782858</v>
      </c>
      <c r="Q31">
        <v>0</v>
      </c>
      <c r="R31">
        <v>0</v>
      </c>
      <c r="S31">
        <v>2.9658686887114376</v>
      </c>
      <c r="T31">
        <v>0</v>
      </c>
      <c r="U31">
        <v>0</v>
      </c>
      <c r="V31">
        <v>0</v>
      </c>
      <c r="W31">
        <v>0.24849622227828583</v>
      </c>
      <c r="X31">
        <v>0</v>
      </c>
      <c r="Y31">
        <v>1.5037777217141723E-3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0.23719903864122621</v>
      </c>
      <c r="AL31">
        <v>0.23719903864122621</v>
      </c>
      <c r="AM31">
        <v>0.29614210367161209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0.70385789632838791</v>
      </c>
      <c r="AY31">
        <v>0</v>
      </c>
      <c r="AZ31">
        <v>0</v>
      </c>
      <c r="BA31">
        <v>0</v>
      </c>
      <c r="BB31">
        <v>0.23719903864122621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3.3767572648463604</v>
      </c>
      <c r="BI31">
        <v>3.3767572648463604</v>
      </c>
      <c r="BJ31">
        <v>0.80096357694633313</v>
      </c>
      <c r="CA31">
        <v>0</v>
      </c>
      <c r="CB31">
        <v>0</v>
      </c>
      <c r="CC31">
        <v>0</v>
      </c>
    </row>
    <row r="32" spans="1:82" hidden="1" x14ac:dyDescent="0.25">
      <c r="A32" t="s">
        <v>128</v>
      </c>
      <c r="B32" t="s">
        <v>503</v>
      </c>
      <c r="C32" t="s">
        <v>72</v>
      </c>
      <c r="D32" s="12">
        <v>46226</v>
      </c>
      <c r="E32" t="s">
        <v>133</v>
      </c>
      <c r="F32" t="s">
        <v>74</v>
      </c>
      <c r="G32">
        <v>3.8126545117428936</v>
      </c>
      <c r="H32">
        <v>7.6</v>
      </c>
      <c r="I32">
        <v>20</v>
      </c>
      <c r="J32">
        <v>7.6</v>
      </c>
      <c r="K32">
        <v>46226</v>
      </c>
      <c r="L32" t="s">
        <v>228</v>
      </c>
      <c r="M32">
        <v>2.235294117647058</v>
      </c>
      <c r="N32">
        <v>1.9933618366395811</v>
      </c>
      <c r="O32">
        <v>1.9933618366395811</v>
      </c>
      <c r="P32">
        <v>0.58628289312928838</v>
      </c>
      <c r="Q32">
        <v>0</v>
      </c>
      <c r="R32">
        <v>0</v>
      </c>
      <c r="S32">
        <v>0.74336183663958111</v>
      </c>
      <c r="T32">
        <v>0</v>
      </c>
      <c r="U32">
        <v>0</v>
      </c>
      <c r="V32">
        <v>0</v>
      </c>
      <c r="W32">
        <v>0</v>
      </c>
      <c r="X32">
        <v>0</v>
      </c>
      <c r="Y32">
        <v>0.25</v>
      </c>
      <c r="Z32">
        <v>0</v>
      </c>
      <c r="AA32">
        <v>0</v>
      </c>
      <c r="AB32">
        <v>0</v>
      </c>
      <c r="AC32">
        <v>0.41371710687071162</v>
      </c>
      <c r="AD32">
        <v>0</v>
      </c>
      <c r="AE32">
        <v>0.58628289312928838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0.50166506733459126</v>
      </c>
      <c r="AL32">
        <v>0.50166506733459126</v>
      </c>
      <c r="AM32">
        <v>0.29411764705882343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0.49833493266540874</v>
      </c>
      <c r="AY32">
        <v>0</v>
      </c>
      <c r="AZ32">
        <v>0.20754742027576784</v>
      </c>
      <c r="BA32">
        <v>0</v>
      </c>
      <c r="BB32">
        <v>0.29411764705882343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3.4000000000000012</v>
      </c>
      <c r="BI32">
        <v>3.4000000000000012</v>
      </c>
      <c r="BJ32">
        <v>1.705661228937611</v>
      </c>
      <c r="CA32">
        <v>0</v>
      </c>
      <c r="CB32">
        <v>0</v>
      </c>
      <c r="CC32">
        <v>0</v>
      </c>
    </row>
    <row r="33" spans="1:82" hidden="1" x14ac:dyDescent="0.25">
      <c r="A33" t="s">
        <v>128</v>
      </c>
      <c r="B33" t="s">
        <v>372</v>
      </c>
      <c r="C33" t="s">
        <v>72</v>
      </c>
      <c r="D33" s="12">
        <v>46226</v>
      </c>
      <c r="E33" t="s">
        <v>133</v>
      </c>
      <c r="F33" t="s">
        <v>74</v>
      </c>
      <c r="G33">
        <v>4.2207252494765797</v>
      </c>
      <c r="H33">
        <v>3.8</v>
      </c>
      <c r="I33">
        <v>20</v>
      </c>
      <c r="J33">
        <v>3.8</v>
      </c>
      <c r="K33">
        <v>46226</v>
      </c>
      <c r="L33" t="s">
        <v>228</v>
      </c>
      <c r="M33">
        <v>2.8125</v>
      </c>
      <c r="N33">
        <v>0.90031920473175675</v>
      </c>
      <c r="O33">
        <v>0.90031920473175675</v>
      </c>
      <c r="P33">
        <v>0.66635467455475417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9.968079526824325E-2</v>
      </c>
      <c r="AB33">
        <v>0</v>
      </c>
      <c r="AC33">
        <v>0.23396453017700258</v>
      </c>
      <c r="AD33">
        <v>0</v>
      </c>
      <c r="AE33">
        <v>0.66635467455475417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1.1107171709148895</v>
      </c>
      <c r="AL33">
        <v>1.1107171709148895</v>
      </c>
      <c r="AM33">
        <v>0.74013157894736847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0.11071717091488953</v>
      </c>
      <c r="AW33">
        <v>0</v>
      </c>
      <c r="AX33">
        <v>0</v>
      </c>
      <c r="AY33">
        <v>0</v>
      </c>
      <c r="AZ33">
        <v>0.25986842105263153</v>
      </c>
      <c r="BA33">
        <v>0</v>
      </c>
      <c r="BB33">
        <v>0.74013157894736847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1.3511111111111112</v>
      </c>
      <c r="BI33">
        <v>1.3511111111111112</v>
      </c>
      <c r="BJ33">
        <v>1.5007023109250062</v>
      </c>
      <c r="BK33">
        <v>0.14959119981389501</v>
      </c>
      <c r="BL33">
        <v>0</v>
      </c>
      <c r="BM33">
        <v>0</v>
      </c>
      <c r="BN33">
        <v>0</v>
      </c>
      <c r="BO33">
        <v>0</v>
      </c>
      <c r="BP33">
        <v>0.14888888888888885</v>
      </c>
      <c r="BQ33">
        <v>0.35111111111111115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hidden="1" x14ac:dyDescent="0.25">
      <c r="A34" t="s">
        <v>128</v>
      </c>
      <c r="B34" t="s">
        <v>502</v>
      </c>
      <c r="C34" t="s">
        <v>72</v>
      </c>
      <c r="D34" s="12">
        <v>46226</v>
      </c>
      <c r="E34" t="s">
        <v>133</v>
      </c>
      <c r="F34" t="s">
        <v>74</v>
      </c>
      <c r="G34">
        <v>4.437063563709744</v>
      </c>
      <c r="H34">
        <v>7.6</v>
      </c>
      <c r="I34">
        <v>20</v>
      </c>
      <c r="J34">
        <v>7.6</v>
      </c>
      <c r="K34">
        <v>46226</v>
      </c>
      <c r="L34" t="s">
        <v>228</v>
      </c>
      <c r="M34">
        <v>4.8971737132352935</v>
      </c>
      <c r="N34">
        <v>1.7128445177480813</v>
      </c>
      <c r="O34">
        <v>1.7128445177480813</v>
      </c>
      <c r="P34">
        <v>1.1036969930493536</v>
      </c>
      <c r="Q34">
        <v>0</v>
      </c>
      <c r="R34">
        <v>0</v>
      </c>
      <c r="S34">
        <v>0.46284451774808133</v>
      </c>
      <c r="T34">
        <v>0</v>
      </c>
      <c r="U34">
        <v>0</v>
      </c>
      <c r="V34">
        <v>0</v>
      </c>
      <c r="W34">
        <v>0.10369699304935365</v>
      </c>
      <c r="X34">
        <v>0</v>
      </c>
      <c r="Y34">
        <v>0.14630300695064635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0.58382415311970315</v>
      </c>
      <c r="AL34">
        <v>0.58382415311970315</v>
      </c>
      <c r="AM34">
        <v>0.64436496226780182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0.35563503773219818</v>
      </c>
      <c r="AY34">
        <v>0</v>
      </c>
      <c r="AZ34">
        <v>0</v>
      </c>
      <c r="BA34">
        <v>0</v>
      </c>
      <c r="BB34">
        <v>0.58382415311970315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1.5519155425219942</v>
      </c>
      <c r="BI34">
        <v>1.5519155425219942</v>
      </c>
      <c r="BJ34">
        <v>0.90604577732620806</v>
      </c>
      <c r="CA34">
        <v>0</v>
      </c>
      <c r="CB34">
        <v>0</v>
      </c>
      <c r="CC34">
        <v>0</v>
      </c>
    </row>
    <row r="35" spans="1:82" hidden="1" x14ac:dyDescent="0.25">
      <c r="A35" t="s">
        <v>128</v>
      </c>
      <c r="B35" t="s">
        <v>503</v>
      </c>
      <c r="C35" t="s">
        <v>72</v>
      </c>
      <c r="D35" s="12">
        <v>46226</v>
      </c>
      <c r="E35" t="s">
        <v>133</v>
      </c>
      <c r="F35" t="s">
        <v>75</v>
      </c>
      <c r="G35">
        <v>7.4010352286773804</v>
      </c>
      <c r="H35">
        <v>26.6</v>
      </c>
      <c r="I35">
        <v>20</v>
      </c>
      <c r="J35">
        <v>26.6</v>
      </c>
      <c r="K35">
        <v>46226</v>
      </c>
      <c r="L35" t="s">
        <v>227</v>
      </c>
      <c r="M35">
        <v>6.159803921568626</v>
      </c>
      <c r="N35">
        <v>3.5940917963653058</v>
      </c>
      <c r="O35">
        <v>3.5940917963653058</v>
      </c>
      <c r="P35">
        <v>0.83228950156874582</v>
      </c>
      <c r="Q35">
        <v>0</v>
      </c>
      <c r="R35">
        <v>0</v>
      </c>
      <c r="S35">
        <v>2.3440917963653058</v>
      </c>
      <c r="T35">
        <v>0</v>
      </c>
      <c r="U35">
        <v>0</v>
      </c>
      <c r="V35">
        <v>0</v>
      </c>
      <c r="W35">
        <v>0</v>
      </c>
      <c r="X35">
        <v>0</v>
      </c>
      <c r="Y35">
        <v>0.25</v>
      </c>
      <c r="Z35">
        <v>0</v>
      </c>
      <c r="AA35">
        <v>0</v>
      </c>
      <c r="AB35">
        <v>0</v>
      </c>
      <c r="AC35">
        <v>0.16771049843125418</v>
      </c>
      <c r="AD35">
        <v>0</v>
      </c>
      <c r="AE35">
        <v>0.83228950156874582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0.27823440709313463</v>
      </c>
      <c r="AL35">
        <v>0.27823440709313463</v>
      </c>
      <c r="AM35">
        <v>0.23157157599882056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0.72176559290686537</v>
      </c>
      <c r="AY35">
        <v>0</v>
      </c>
      <c r="AZ35">
        <v>4.6662831094314072E-2</v>
      </c>
      <c r="BA35">
        <v>0</v>
      </c>
      <c r="BB35">
        <v>0.23157157599882056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4.3183192742320555</v>
      </c>
      <c r="BI35">
        <v>4.3183192742320555</v>
      </c>
      <c r="BJ35">
        <v>1.2015050029048113</v>
      </c>
      <c r="CA35">
        <v>0</v>
      </c>
      <c r="CB35">
        <v>0</v>
      </c>
      <c r="CC35">
        <v>0</v>
      </c>
    </row>
    <row r="36" spans="1:82" hidden="1" x14ac:dyDescent="0.25">
      <c r="A36" t="s">
        <v>128</v>
      </c>
      <c r="B36" t="s">
        <v>502</v>
      </c>
      <c r="C36" t="s">
        <v>72</v>
      </c>
      <c r="D36" s="12">
        <v>46226</v>
      </c>
      <c r="E36" t="s">
        <v>133</v>
      </c>
      <c r="F36" t="s">
        <v>75</v>
      </c>
      <c r="G36">
        <v>8.0524486896954635</v>
      </c>
      <c r="H36">
        <v>26.6</v>
      </c>
      <c r="I36">
        <v>20</v>
      </c>
      <c r="J36">
        <v>26.6</v>
      </c>
      <c r="K36">
        <v>46226</v>
      </c>
      <c r="L36" t="s">
        <v>227</v>
      </c>
      <c r="M36">
        <v>10.915753019957982</v>
      </c>
      <c r="N36">
        <v>3.303342998514156</v>
      </c>
      <c r="O36">
        <v>3.303342998514156</v>
      </c>
      <c r="P36">
        <v>1.3555818162401487</v>
      </c>
      <c r="Q36">
        <v>0</v>
      </c>
      <c r="R36">
        <v>0</v>
      </c>
      <c r="S36">
        <v>1.9477611822740073</v>
      </c>
      <c r="T36">
        <v>0</v>
      </c>
      <c r="U36">
        <v>0.10558181624014873</v>
      </c>
      <c r="V36">
        <v>0</v>
      </c>
      <c r="W36">
        <v>0.25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0.30272363495095728</v>
      </c>
      <c r="AL36">
        <v>0.30272363495095728</v>
      </c>
      <c r="AM36">
        <v>0.41036665488563845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0.58963334511436161</v>
      </c>
      <c r="AY36">
        <v>0</v>
      </c>
      <c r="AZ36">
        <v>0</v>
      </c>
      <c r="BA36">
        <v>0</v>
      </c>
      <c r="BB36">
        <v>0.30272363495095728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2.4368451678382139</v>
      </c>
      <c r="BI36">
        <v>2.4368451678382139</v>
      </c>
      <c r="BJ36">
        <v>0.73769062702065968</v>
      </c>
      <c r="CA36">
        <v>0</v>
      </c>
      <c r="CB36">
        <v>0</v>
      </c>
      <c r="CC36">
        <v>0</v>
      </c>
    </row>
    <row r="37" spans="1:82" hidden="1" x14ac:dyDescent="0.25">
      <c r="A37" t="s">
        <v>128</v>
      </c>
      <c r="B37" t="s">
        <v>372</v>
      </c>
      <c r="C37" t="s">
        <v>72</v>
      </c>
      <c r="D37" s="12">
        <v>46226</v>
      </c>
      <c r="E37" t="s">
        <v>133</v>
      </c>
      <c r="F37" t="s">
        <v>75</v>
      </c>
      <c r="G37">
        <v>10.973885648639106</v>
      </c>
      <c r="H37">
        <v>14.25</v>
      </c>
      <c r="I37">
        <v>20</v>
      </c>
      <c r="J37">
        <v>14.25</v>
      </c>
      <c r="K37">
        <v>46226</v>
      </c>
      <c r="L37" t="s">
        <v>227</v>
      </c>
      <c r="M37">
        <v>11.25</v>
      </c>
      <c r="N37">
        <v>1.298537314516957</v>
      </c>
      <c r="O37">
        <v>1.298537314516957</v>
      </c>
      <c r="P37">
        <v>1.025161037776545</v>
      </c>
      <c r="Q37">
        <v>0</v>
      </c>
      <c r="R37">
        <v>0</v>
      </c>
      <c r="S37">
        <v>4.8537314516956975E-2</v>
      </c>
      <c r="T37">
        <v>0</v>
      </c>
      <c r="U37">
        <v>0</v>
      </c>
      <c r="V37">
        <v>0</v>
      </c>
      <c r="W37">
        <v>2.5161037776544992E-2</v>
      </c>
      <c r="X37">
        <v>0</v>
      </c>
      <c r="Y37">
        <v>0.22483896222345501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0.77009723850098988</v>
      </c>
      <c r="AL37">
        <v>0.77009723850098988</v>
      </c>
      <c r="AM37">
        <v>0.78947368421052633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0.21052631578947367</v>
      </c>
      <c r="AY37">
        <v>0</v>
      </c>
      <c r="AZ37">
        <v>0</v>
      </c>
      <c r="BA37">
        <v>0</v>
      </c>
      <c r="BB37">
        <v>0.77009723850098988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1.2666666666666666</v>
      </c>
      <c r="BI37">
        <v>1.2666666666666666</v>
      </c>
      <c r="BJ37">
        <v>0.9754565021012539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0.26666666666666661</v>
      </c>
      <c r="BT37">
        <v>0</v>
      </c>
      <c r="BU37">
        <v>0</v>
      </c>
      <c r="BV37">
        <v>0</v>
      </c>
      <c r="BW37">
        <v>2.4543497898746103E-2</v>
      </c>
      <c r="BX37">
        <v>0</v>
      </c>
      <c r="BY37">
        <v>0.9754565021012539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hidden="1" x14ac:dyDescent="0.25">
      <c r="A38" t="s">
        <v>128</v>
      </c>
      <c r="B38" t="s">
        <v>372</v>
      </c>
      <c r="C38" t="s">
        <v>72</v>
      </c>
      <c r="D38" s="12">
        <v>46227</v>
      </c>
      <c r="E38" t="s">
        <v>133</v>
      </c>
      <c r="F38" t="s">
        <v>73</v>
      </c>
      <c r="G38">
        <v>10.973885648639106</v>
      </c>
      <c r="H38">
        <v>19</v>
      </c>
      <c r="I38">
        <v>20</v>
      </c>
      <c r="J38">
        <v>19</v>
      </c>
      <c r="K38">
        <v>46227</v>
      </c>
      <c r="L38" t="s">
        <v>226</v>
      </c>
      <c r="M38">
        <v>11.442708333333334</v>
      </c>
      <c r="N38">
        <v>1.7313830860226094</v>
      </c>
      <c r="O38">
        <v>1.7313830860226094</v>
      </c>
      <c r="P38">
        <v>1.0427216666643842</v>
      </c>
      <c r="Q38">
        <v>0</v>
      </c>
      <c r="R38">
        <v>0</v>
      </c>
      <c r="S38">
        <v>0.48138308602260937</v>
      </c>
      <c r="T38">
        <v>0</v>
      </c>
      <c r="U38">
        <v>0</v>
      </c>
      <c r="V38">
        <v>0</v>
      </c>
      <c r="W38">
        <v>4.272166666438415E-2</v>
      </c>
      <c r="X38">
        <v>0</v>
      </c>
      <c r="Y38">
        <v>0.20727833333561585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0.57757292887574241</v>
      </c>
      <c r="AL38">
        <v>0.57757292887574241</v>
      </c>
      <c r="AM38">
        <v>0.60224780701754388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0.39775219298245612</v>
      </c>
      <c r="AY38">
        <v>0</v>
      </c>
      <c r="AZ38">
        <v>0</v>
      </c>
      <c r="BA38">
        <v>0</v>
      </c>
      <c r="BB38">
        <v>0.57757292887574241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1.6604460628129267</v>
      </c>
      <c r="BI38">
        <v>1.6604460628129267</v>
      </c>
      <c r="BJ38">
        <v>0.95902869573905702</v>
      </c>
      <c r="CA38">
        <v>0</v>
      </c>
      <c r="CB38">
        <v>0</v>
      </c>
      <c r="CC38">
        <v>0</v>
      </c>
    </row>
    <row r="39" spans="1:82" hidden="1" x14ac:dyDescent="0.25">
      <c r="A39" t="s">
        <v>128</v>
      </c>
      <c r="B39" t="s">
        <v>502</v>
      </c>
      <c r="C39" t="s">
        <v>72</v>
      </c>
      <c r="D39" s="12">
        <v>46227</v>
      </c>
      <c r="E39" t="s">
        <v>133</v>
      </c>
      <c r="F39" t="s">
        <v>73</v>
      </c>
      <c r="G39">
        <v>9.9149198152032554</v>
      </c>
      <c r="H39">
        <v>36.1</v>
      </c>
      <c r="I39">
        <v>20</v>
      </c>
      <c r="J39">
        <v>36.1</v>
      </c>
      <c r="K39">
        <v>46227</v>
      </c>
      <c r="L39" t="s">
        <v>226</v>
      </c>
      <c r="M39">
        <v>10.22313623366013</v>
      </c>
      <c r="N39">
        <v>3.640977503887151</v>
      </c>
      <c r="O39">
        <v>3.640977503887151</v>
      </c>
      <c r="P39">
        <v>1.0310861231559598</v>
      </c>
      <c r="Q39">
        <v>0</v>
      </c>
      <c r="R39">
        <v>0</v>
      </c>
      <c r="S39">
        <v>2.390977503887151</v>
      </c>
      <c r="T39">
        <v>0</v>
      </c>
      <c r="U39">
        <v>0</v>
      </c>
      <c r="V39">
        <v>0</v>
      </c>
      <c r="W39">
        <v>3.1086123155959822E-2</v>
      </c>
      <c r="X39">
        <v>0</v>
      </c>
      <c r="Y39">
        <v>0.21891387684404018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0.27465151842668295</v>
      </c>
      <c r="AL39">
        <v>0.27465151842668295</v>
      </c>
      <c r="AM39">
        <v>0.28318936935346617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0.71681063064653383</v>
      </c>
      <c r="AY39">
        <v>0</v>
      </c>
      <c r="AZ39">
        <v>0</v>
      </c>
      <c r="BA39">
        <v>0</v>
      </c>
      <c r="BB39">
        <v>0.27465151842668295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3.5312059993037312</v>
      </c>
      <c r="BI39">
        <v>3.5312059993037312</v>
      </c>
      <c r="BJ39">
        <v>0.96985108958618216</v>
      </c>
      <c r="CA39">
        <v>0</v>
      </c>
      <c r="CB39">
        <v>0</v>
      </c>
      <c r="CC39">
        <v>0</v>
      </c>
    </row>
    <row r="40" spans="1:82" hidden="1" x14ac:dyDescent="0.25">
      <c r="A40" t="s">
        <v>128</v>
      </c>
      <c r="B40" t="s">
        <v>503</v>
      </c>
      <c r="C40" t="s">
        <v>72</v>
      </c>
      <c r="D40" s="12">
        <v>46227</v>
      </c>
      <c r="E40" t="s">
        <v>133</v>
      </c>
      <c r="F40" t="s">
        <v>73</v>
      </c>
      <c r="G40">
        <v>9.36343093325093</v>
      </c>
      <c r="H40">
        <v>36.1</v>
      </c>
      <c r="I40">
        <v>20</v>
      </c>
      <c r="J40">
        <v>36.1</v>
      </c>
      <c r="K40">
        <v>46227</v>
      </c>
      <c r="L40" t="s">
        <v>226</v>
      </c>
      <c r="M40">
        <v>8.2882352941176443</v>
      </c>
      <c r="N40">
        <v>3.855424390626256</v>
      </c>
      <c r="O40">
        <v>3.855424390626256</v>
      </c>
      <c r="P40">
        <v>0.8851707619997381</v>
      </c>
      <c r="Q40">
        <v>0</v>
      </c>
      <c r="R40">
        <v>0</v>
      </c>
      <c r="S40">
        <v>2.605424390626256</v>
      </c>
      <c r="T40">
        <v>0</v>
      </c>
      <c r="U40">
        <v>0</v>
      </c>
      <c r="V40">
        <v>0</v>
      </c>
      <c r="W40">
        <v>0</v>
      </c>
      <c r="X40">
        <v>0</v>
      </c>
      <c r="Y40">
        <v>0.25</v>
      </c>
      <c r="Z40">
        <v>0</v>
      </c>
      <c r="AA40">
        <v>0</v>
      </c>
      <c r="AB40">
        <v>0</v>
      </c>
      <c r="AC40">
        <v>0.1148292380002619</v>
      </c>
      <c r="AD40">
        <v>0</v>
      </c>
      <c r="AE40">
        <v>0.8851707619997381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0.2593748180955936</v>
      </c>
      <c r="AL40">
        <v>0.2593748180955936</v>
      </c>
      <c r="AM40">
        <v>0.22959100537722005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0.7406251819044064</v>
      </c>
      <c r="AY40">
        <v>0</v>
      </c>
      <c r="AZ40">
        <v>2.9783812718373548E-2</v>
      </c>
      <c r="BA40">
        <v>0</v>
      </c>
      <c r="BB40">
        <v>0.22959100537722005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4.3555713271824006</v>
      </c>
      <c r="BI40">
        <v>4.3555713271824006</v>
      </c>
      <c r="BJ40">
        <v>1.1297255206903185</v>
      </c>
      <c r="CA40">
        <v>0</v>
      </c>
      <c r="CB40">
        <v>0</v>
      </c>
      <c r="CC40">
        <v>0</v>
      </c>
    </row>
    <row r="41" spans="1:82" hidden="1" x14ac:dyDescent="0.25">
      <c r="A41" t="s">
        <v>128</v>
      </c>
      <c r="B41" t="s">
        <v>503</v>
      </c>
      <c r="C41" t="s">
        <v>72</v>
      </c>
      <c r="D41" s="12">
        <v>46227</v>
      </c>
      <c r="E41" t="s">
        <v>133</v>
      </c>
      <c r="F41" t="s">
        <v>74</v>
      </c>
      <c r="G41">
        <v>3.8126545117428936</v>
      </c>
      <c r="H41">
        <v>7.6</v>
      </c>
      <c r="I41">
        <v>20</v>
      </c>
      <c r="J41">
        <v>7.6</v>
      </c>
      <c r="K41">
        <v>46227</v>
      </c>
      <c r="L41" t="s">
        <v>225</v>
      </c>
      <c r="M41">
        <v>3.2058823529411757</v>
      </c>
      <c r="N41">
        <v>1.9933618366395811</v>
      </c>
      <c r="O41">
        <v>1.9933618366395811</v>
      </c>
      <c r="P41">
        <v>0.8408530967249005</v>
      </c>
      <c r="Q41">
        <v>0</v>
      </c>
      <c r="R41">
        <v>0</v>
      </c>
      <c r="S41">
        <v>0.74336183663958111</v>
      </c>
      <c r="T41">
        <v>0</v>
      </c>
      <c r="U41">
        <v>0</v>
      </c>
      <c r="V41">
        <v>0</v>
      </c>
      <c r="W41">
        <v>0</v>
      </c>
      <c r="X41">
        <v>0</v>
      </c>
      <c r="Y41">
        <v>0.25</v>
      </c>
      <c r="Z41">
        <v>0</v>
      </c>
      <c r="AA41">
        <v>0</v>
      </c>
      <c r="AB41">
        <v>0</v>
      </c>
      <c r="AC41">
        <v>0.1591469032750995</v>
      </c>
      <c r="AD41">
        <v>0</v>
      </c>
      <c r="AE41">
        <v>0.8408530967249005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0.50166506733459126</v>
      </c>
      <c r="AL41">
        <v>0.50166506733459126</v>
      </c>
      <c r="AM41">
        <v>0.42182662538699683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0.49833493266540874</v>
      </c>
      <c r="AY41">
        <v>0</v>
      </c>
      <c r="AZ41">
        <v>7.983844194759443E-2</v>
      </c>
      <c r="BA41">
        <v>0</v>
      </c>
      <c r="BB41">
        <v>0.42182662538699683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2.3706422018348627</v>
      </c>
      <c r="BI41">
        <v>2.3706422018348627</v>
      </c>
      <c r="BJ41">
        <v>1.1892683798097101</v>
      </c>
      <c r="CA41">
        <v>0</v>
      </c>
      <c r="CB41">
        <v>0</v>
      </c>
      <c r="CC41">
        <v>0</v>
      </c>
    </row>
    <row r="42" spans="1:82" hidden="1" x14ac:dyDescent="0.25">
      <c r="A42" t="s">
        <v>128</v>
      </c>
      <c r="B42" t="s">
        <v>372</v>
      </c>
      <c r="C42" t="s">
        <v>72</v>
      </c>
      <c r="D42" s="12">
        <v>46227</v>
      </c>
      <c r="E42" t="s">
        <v>133</v>
      </c>
      <c r="F42" t="s">
        <v>74</v>
      </c>
      <c r="G42">
        <v>4.2207252494765797</v>
      </c>
      <c r="H42">
        <v>3.8</v>
      </c>
      <c r="I42">
        <v>20</v>
      </c>
      <c r="J42">
        <v>3.8</v>
      </c>
      <c r="K42">
        <v>46227</v>
      </c>
      <c r="L42" t="s">
        <v>225</v>
      </c>
      <c r="M42">
        <v>4.6875</v>
      </c>
      <c r="N42">
        <v>0.90031920473175675</v>
      </c>
      <c r="O42">
        <v>0.90031920473175675</v>
      </c>
      <c r="P42">
        <v>1.1105911242579236</v>
      </c>
      <c r="Q42">
        <v>0.11059112425792361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9.968079526824325E-2</v>
      </c>
      <c r="AA42">
        <v>0</v>
      </c>
      <c r="AB42">
        <v>0</v>
      </c>
      <c r="AC42">
        <v>0</v>
      </c>
      <c r="AD42">
        <v>0</v>
      </c>
      <c r="AE42">
        <v>0.90031920473175675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1.1107171709148895</v>
      </c>
      <c r="AL42">
        <v>1.1107171709148895</v>
      </c>
      <c r="AM42">
        <v>1.2335526315789473</v>
      </c>
      <c r="AN42">
        <v>0.12283546066405782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0.11071717091488953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0.81066666666666665</v>
      </c>
      <c r="BI42">
        <v>0.81066666666666665</v>
      </c>
      <c r="BJ42">
        <v>0.9004213865550037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9.95786134449963E-2</v>
      </c>
      <c r="BV42">
        <v>0</v>
      </c>
      <c r="BW42">
        <v>0</v>
      </c>
      <c r="BX42">
        <v>0</v>
      </c>
      <c r="BY42">
        <v>0.81066666666666665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hidden="1" x14ac:dyDescent="0.25">
      <c r="A43" t="s">
        <v>128</v>
      </c>
      <c r="B43" t="s">
        <v>502</v>
      </c>
      <c r="C43" t="s">
        <v>72</v>
      </c>
      <c r="D43" s="12">
        <v>46227</v>
      </c>
      <c r="E43" t="s">
        <v>133</v>
      </c>
      <c r="F43" t="s">
        <v>74</v>
      </c>
      <c r="G43">
        <v>4.437063563709744</v>
      </c>
      <c r="H43">
        <v>7.6</v>
      </c>
      <c r="I43">
        <v>20</v>
      </c>
      <c r="J43">
        <v>7.6</v>
      </c>
      <c r="K43">
        <v>46227</v>
      </c>
      <c r="L43" t="s">
        <v>225</v>
      </c>
      <c r="M43">
        <v>5.0142146298174444</v>
      </c>
      <c r="N43">
        <v>1.7128445177480813</v>
      </c>
      <c r="O43">
        <v>1.7128445177480813</v>
      </c>
      <c r="P43">
        <v>1.1300750051967152</v>
      </c>
      <c r="Q43">
        <v>0</v>
      </c>
      <c r="R43">
        <v>0</v>
      </c>
      <c r="S43">
        <v>0.46284451774808133</v>
      </c>
      <c r="T43">
        <v>0</v>
      </c>
      <c r="U43">
        <v>0</v>
      </c>
      <c r="V43">
        <v>0</v>
      </c>
      <c r="W43">
        <v>0.13007500519671522</v>
      </c>
      <c r="X43">
        <v>0</v>
      </c>
      <c r="Y43">
        <v>0.11992499480328478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0.58382415311970315</v>
      </c>
      <c r="AL43">
        <v>0.58382415311970315</v>
      </c>
      <c r="AM43">
        <v>0.65976508287071645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0.34023491712928355</v>
      </c>
      <c r="AY43">
        <v>0</v>
      </c>
      <c r="AZ43">
        <v>0</v>
      </c>
      <c r="BA43">
        <v>0</v>
      </c>
      <c r="BB43">
        <v>0.58382415311970315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1.5156910026958095</v>
      </c>
      <c r="BI43">
        <v>1.5156910026958095</v>
      </c>
      <c r="BJ43">
        <v>0.88489701604003479</v>
      </c>
      <c r="CA43">
        <v>0</v>
      </c>
      <c r="CB43">
        <v>0</v>
      </c>
      <c r="CC43">
        <v>0</v>
      </c>
    </row>
    <row r="44" spans="1:82" hidden="1" x14ac:dyDescent="0.25">
      <c r="A44" t="s">
        <v>128</v>
      </c>
      <c r="B44" t="s">
        <v>372</v>
      </c>
      <c r="C44" t="s">
        <v>72</v>
      </c>
      <c r="D44" s="12">
        <v>46227</v>
      </c>
      <c r="E44" t="s">
        <v>133</v>
      </c>
      <c r="F44" t="s">
        <v>75</v>
      </c>
      <c r="G44">
        <v>11.026644714257564</v>
      </c>
      <c r="H44">
        <v>11.4</v>
      </c>
      <c r="I44">
        <v>20</v>
      </c>
      <c r="J44">
        <v>11.4</v>
      </c>
      <c r="K44">
        <v>46227</v>
      </c>
      <c r="L44" t="s">
        <v>224</v>
      </c>
      <c r="M44">
        <v>11.182291666666666</v>
      </c>
      <c r="N44">
        <v>1.0338593738546489</v>
      </c>
      <c r="O44">
        <v>1.0338593738546489</v>
      </c>
      <c r="P44">
        <v>1.0141155316456192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1.4115531645619184E-2</v>
      </c>
      <c r="X44">
        <v>0</v>
      </c>
      <c r="Y44">
        <v>1.9743842209029694E-2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0.96724953633838295</v>
      </c>
      <c r="AL44">
        <v>0.96724953633838295</v>
      </c>
      <c r="AM44">
        <v>0.9809027777777779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1.9097222222222099E-2</v>
      </c>
      <c r="AY44">
        <v>0</v>
      </c>
      <c r="AZ44">
        <v>0</v>
      </c>
      <c r="BA44">
        <v>0</v>
      </c>
      <c r="BB44">
        <v>0.96724953633838295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1.0194690265486726</v>
      </c>
      <c r="BI44">
        <v>1.0194690265486726</v>
      </c>
      <c r="BJ44">
        <v>0.98608094324054607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1.9469026548672552E-2</v>
      </c>
      <c r="BT44">
        <v>0</v>
      </c>
      <c r="BU44">
        <v>0</v>
      </c>
      <c r="BV44">
        <v>0</v>
      </c>
      <c r="BW44">
        <v>1.3919056759453929E-2</v>
      </c>
      <c r="BX44">
        <v>0</v>
      </c>
      <c r="BY44">
        <v>0.98608094324054607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hidden="1" x14ac:dyDescent="0.25">
      <c r="A45" t="s">
        <v>128</v>
      </c>
      <c r="B45" t="s">
        <v>503</v>
      </c>
      <c r="C45" t="s">
        <v>72</v>
      </c>
      <c r="D45" s="12">
        <v>46227</v>
      </c>
      <c r="E45" t="s">
        <v>133</v>
      </c>
      <c r="F45" t="s">
        <v>75</v>
      </c>
      <c r="G45">
        <v>7.4010352286773822</v>
      </c>
      <c r="H45">
        <v>24.7</v>
      </c>
      <c r="I45">
        <v>20</v>
      </c>
      <c r="J45">
        <v>24.7</v>
      </c>
      <c r="K45">
        <v>46227</v>
      </c>
      <c r="L45" t="s">
        <v>224</v>
      </c>
      <c r="M45">
        <v>7.4838235294117599</v>
      </c>
      <c r="N45">
        <v>3.3373709537677834</v>
      </c>
      <c r="O45">
        <v>3.3373709537677834</v>
      </c>
      <c r="P45">
        <v>1.0111860433272351</v>
      </c>
      <c r="Q45">
        <v>0</v>
      </c>
      <c r="R45">
        <v>0</v>
      </c>
      <c r="S45">
        <v>2.0873709537677834</v>
      </c>
      <c r="T45">
        <v>0</v>
      </c>
      <c r="U45">
        <v>0</v>
      </c>
      <c r="V45">
        <v>0</v>
      </c>
      <c r="W45">
        <v>1.1186043327235051E-2</v>
      </c>
      <c r="X45">
        <v>0</v>
      </c>
      <c r="Y45">
        <v>0.23881395667276495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0.29963705379260658</v>
      </c>
      <c r="AL45">
        <v>0.29963705379260658</v>
      </c>
      <c r="AM45">
        <v>0.30298880685877572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0.69701119314122428</v>
      </c>
      <c r="AY45">
        <v>0</v>
      </c>
      <c r="AZ45">
        <v>0</v>
      </c>
      <c r="BA45">
        <v>0</v>
      </c>
      <c r="BB45">
        <v>0.29963705379260658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3.3004519551974867</v>
      </c>
      <c r="BI45">
        <v>3.3004519551974867</v>
      </c>
      <c r="BJ45">
        <v>0.98893770003942294</v>
      </c>
      <c r="CA45">
        <v>0</v>
      </c>
      <c r="CB45">
        <v>0</v>
      </c>
      <c r="CC45">
        <v>0</v>
      </c>
    </row>
    <row r="46" spans="1:82" hidden="1" x14ac:dyDescent="0.25">
      <c r="A46" t="s">
        <v>128</v>
      </c>
      <c r="B46" t="s">
        <v>502</v>
      </c>
      <c r="C46" t="s">
        <v>72</v>
      </c>
      <c r="D46" s="12">
        <v>46227</v>
      </c>
      <c r="E46" t="s">
        <v>133</v>
      </c>
      <c r="F46" t="s">
        <v>75</v>
      </c>
      <c r="G46">
        <v>8.107227252210393</v>
      </c>
      <c r="H46">
        <v>24.7</v>
      </c>
      <c r="I46">
        <v>20</v>
      </c>
      <c r="J46">
        <v>24.7</v>
      </c>
      <c r="K46">
        <v>46227</v>
      </c>
      <c r="L46" t="s">
        <v>224</v>
      </c>
      <c r="M46">
        <v>11.981399136522423</v>
      </c>
      <c r="N46">
        <v>3.0466643195755583</v>
      </c>
      <c r="O46">
        <v>3.0466643195755583</v>
      </c>
      <c r="P46">
        <v>1.4778664472808207</v>
      </c>
      <c r="Q46">
        <v>0</v>
      </c>
      <c r="R46">
        <v>0</v>
      </c>
      <c r="S46">
        <v>1.5687978722947375</v>
      </c>
      <c r="T46">
        <v>0</v>
      </c>
      <c r="U46">
        <v>0.22786644728082073</v>
      </c>
      <c r="V46">
        <v>0</v>
      </c>
      <c r="W46">
        <v>0.25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0.32822782397612926</v>
      </c>
      <c r="AL46">
        <v>0.32822782397612926</v>
      </c>
      <c r="AM46">
        <v>0.48507688811831673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0.51492311188168327</v>
      </c>
      <c r="AY46">
        <v>0</v>
      </c>
      <c r="AZ46">
        <v>0</v>
      </c>
      <c r="BA46">
        <v>0</v>
      </c>
      <c r="BB46">
        <v>0.32822782397612926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2.0615288513933212</v>
      </c>
      <c r="BI46">
        <v>2.0615288513933212</v>
      </c>
      <c r="BJ46">
        <v>0.67665112895683899</v>
      </c>
      <c r="CA46">
        <v>0</v>
      </c>
      <c r="CB46">
        <v>0</v>
      </c>
      <c r="CC46">
        <v>0</v>
      </c>
    </row>
    <row r="47" spans="1:82" hidden="1" x14ac:dyDescent="0.25">
      <c r="A47" t="s">
        <v>128</v>
      </c>
      <c r="B47" t="s">
        <v>502</v>
      </c>
      <c r="C47" t="s">
        <v>72</v>
      </c>
      <c r="D47" s="12">
        <v>46228</v>
      </c>
      <c r="E47" t="s">
        <v>133</v>
      </c>
      <c r="F47" t="s">
        <v>73</v>
      </c>
      <c r="G47">
        <v>9.9149198152032554</v>
      </c>
      <c r="H47">
        <v>30.4</v>
      </c>
      <c r="I47">
        <v>20</v>
      </c>
      <c r="J47">
        <v>30.4</v>
      </c>
      <c r="K47">
        <v>46228</v>
      </c>
      <c r="L47" t="s">
        <v>223</v>
      </c>
      <c r="M47">
        <v>11.036504289215683</v>
      </c>
      <c r="N47">
        <v>3.0660863190628636</v>
      </c>
      <c r="O47">
        <v>3.0660863190628636</v>
      </c>
      <c r="P47">
        <v>1.113120881955356</v>
      </c>
      <c r="Q47">
        <v>0</v>
      </c>
      <c r="R47">
        <v>0</v>
      </c>
      <c r="S47">
        <v>1.8160863190628636</v>
      </c>
      <c r="T47">
        <v>0</v>
      </c>
      <c r="U47">
        <v>0</v>
      </c>
      <c r="V47">
        <v>0</v>
      </c>
      <c r="W47">
        <v>0.11312088195535597</v>
      </c>
      <c r="X47">
        <v>0</v>
      </c>
      <c r="Y47">
        <v>0.13687911804464403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0.32614867813168602</v>
      </c>
      <c r="AL47">
        <v>0.32614867813168602</v>
      </c>
      <c r="AM47">
        <v>0.36304290425051594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0.63695709574948411</v>
      </c>
      <c r="AY47">
        <v>0</v>
      </c>
      <c r="AZ47">
        <v>0</v>
      </c>
      <c r="BA47">
        <v>0</v>
      </c>
      <c r="BB47">
        <v>0.32614867813168602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2.7544953731142341</v>
      </c>
      <c r="BI47">
        <v>2.7544953731142341</v>
      </c>
      <c r="BJ47">
        <v>0.89837502486105281</v>
      </c>
      <c r="CA47">
        <v>0</v>
      </c>
      <c r="CB47">
        <v>0</v>
      </c>
      <c r="CC47">
        <v>0</v>
      </c>
    </row>
    <row r="48" spans="1:82" hidden="1" x14ac:dyDescent="0.25">
      <c r="A48" t="s">
        <v>128</v>
      </c>
      <c r="B48" t="s">
        <v>503</v>
      </c>
      <c r="C48" t="s">
        <v>72</v>
      </c>
      <c r="D48" s="12">
        <v>46228</v>
      </c>
      <c r="E48" t="s">
        <v>133</v>
      </c>
      <c r="F48" t="s">
        <v>73</v>
      </c>
      <c r="G48">
        <v>9.36343093325093</v>
      </c>
      <c r="H48">
        <v>30.4</v>
      </c>
      <c r="I48">
        <v>20</v>
      </c>
      <c r="J48">
        <v>30.4</v>
      </c>
      <c r="K48">
        <v>46228</v>
      </c>
      <c r="L48" t="s">
        <v>223</v>
      </c>
      <c r="M48">
        <v>9.8422385620914934</v>
      </c>
      <c r="N48">
        <v>3.2466731710536889</v>
      </c>
      <c r="O48">
        <v>3.2466731710536889</v>
      </c>
      <c r="P48">
        <v>1.0511359171925161</v>
      </c>
      <c r="Q48">
        <v>0</v>
      </c>
      <c r="R48">
        <v>0</v>
      </c>
      <c r="S48">
        <v>1.9966731710536889</v>
      </c>
      <c r="T48">
        <v>0</v>
      </c>
      <c r="U48">
        <v>0</v>
      </c>
      <c r="V48">
        <v>0</v>
      </c>
      <c r="W48">
        <v>5.1135917192516089E-2</v>
      </c>
      <c r="X48">
        <v>0</v>
      </c>
      <c r="Y48">
        <v>0.19886408280748391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0.30800759648851744</v>
      </c>
      <c r="AL48">
        <v>0.30800759648851744</v>
      </c>
      <c r="AM48">
        <v>0.32375784743722019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0.67624215256277975</v>
      </c>
      <c r="AY48">
        <v>0</v>
      </c>
      <c r="AZ48">
        <v>0</v>
      </c>
      <c r="BA48">
        <v>0</v>
      </c>
      <c r="BB48">
        <v>0.30800759648851744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3.0887282205380666</v>
      </c>
      <c r="BI48">
        <v>3.0887282205380666</v>
      </c>
      <c r="BJ48">
        <v>0.95135175541418537</v>
      </c>
      <c r="CA48">
        <v>0</v>
      </c>
      <c r="CB48">
        <v>0</v>
      </c>
      <c r="CC48">
        <v>0</v>
      </c>
    </row>
    <row r="49" spans="1:82" hidden="1" x14ac:dyDescent="0.25">
      <c r="A49" t="s">
        <v>128</v>
      </c>
      <c r="B49" t="s">
        <v>372</v>
      </c>
      <c r="C49" t="s">
        <v>72</v>
      </c>
      <c r="D49" s="12">
        <v>46228</v>
      </c>
      <c r="E49" t="s">
        <v>133</v>
      </c>
      <c r="F49" t="s">
        <v>73</v>
      </c>
      <c r="G49">
        <v>11.026644714257564</v>
      </c>
      <c r="H49">
        <v>10.45</v>
      </c>
      <c r="I49">
        <v>20</v>
      </c>
      <c r="J49">
        <v>10.45</v>
      </c>
      <c r="K49">
        <v>46228</v>
      </c>
      <c r="L49" t="s">
        <v>223</v>
      </c>
      <c r="M49">
        <v>12.191176470588236</v>
      </c>
      <c r="N49">
        <v>0.94770442603342819</v>
      </c>
      <c r="O49">
        <v>0.94770442603342819</v>
      </c>
      <c r="P49">
        <v>1.1056107081082354</v>
      </c>
      <c r="Q49">
        <v>0.10561070810823536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5.2295573966571807E-2</v>
      </c>
      <c r="AA49">
        <v>0</v>
      </c>
      <c r="AB49">
        <v>0</v>
      </c>
      <c r="AC49">
        <v>0</v>
      </c>
      <c r="AD49">
        <v>0</v>
      </c>
      <c r="AE49">
        <v>0.94770442603342819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1.0551813123691449</v>
      </c>
      <c r="AL49">
        <v>1.0551813123691449</v>
      </c>
      <c r="AM49">
        <v>1.1666197579510273</v>
      </c>
      <c r="AN49">
        <v>0.11143844558188243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5.5181312369144919E-2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0.85717732207478881</v>
      </c>
      <c r="BI49">
        <v>0.85717732207478881</v>
      </c>
      <c r="BJ49">
        <v>0.90447749163994495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9.5522508360055047E-2</v>
      </c>
      <c r="BV49">
        <v>0</v>
      </c>
      <c r="BW49">
        <v>0</v>
      </c>
      <c r="BX49">
        <v>0</v>
      </c>
      <c r="BY49">
        <v>0.85717732207478881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hidden="1" x14ac:dyDescent="0.25">
      <c r="A50" t="s">
        <v>128</v>
      </c>
      <c r="B50" t="s">
        <v>502</v>
      </c>
      <c r="C50" t="s">
        <v>72</v>
      </c>
      <c r="D50" s="12">
        <v>46228</v>
      </c>
      <c r="E50" t="s">
        <v>133</v>
      </c>
      <c r="F50" t="s">
        <v>74</v>
      </c>
      <c r="G50">
        <v>4.437063563709744</v>
      </c>
      <c r="H50">
        <v>9.5</v>
      </c>
      <c r="I50">
        <v>20</v>
      </c>
      <c r="J50">
        <v>9.5</v>
      </c>
      <c r="K50">
        <v>46228</v>
      </c>
      <c r="L50" t="s">
        <v>222</v>
      </c>
      <c r="M50">
        <v>5.0736749387254898</v>
      </c>
      <c r="N50">
        <v>2.1410556471851017</v>
      </c>
      <c r="O50">
        <v>2.1410556471851017</v>
      </c>
      <c r="P50">
        <v>1.1434758294252352</v>
      </c>
      <c r="Q50">
        <v>0</v>
      </c>
      <c r="R50">
        <v>0</v>
      </c>
      <c r="S50">
        <v>0.89105564718510166</v>
      </c>
      <c r="T50">
        <v>0</v>
      </c>
      <c r="U50">
        <v>0</v>
      </c>
      <c r="V50">
        <v>0</v>
      </c>
      <c r="W50">
        <v>0.14347582942523518</v>
      </c>
      <c r="X50">
        <v>0</v>
      </c>
      <c r="Y50">
        <v>0.10652417057476482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0.46705932249576254</v>
      </c>
      <c r="AL50">
        <v>0.46705932249576254</v>
      </c>
      <c r="AM50">
        <v>0.53407104618163048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0.46592895381836952</v>
      </c>
      <c r="AY50">
        <v>0</v>
      </c>
      <c r="AZ50">
        <v>0</v>
      </c>
      <c r="BA50">
        <v>0</v>
      </c>
      <c r="BB50">
        <v>0.46705932249576254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1.8724100607017615</v>
      </c>
      <c r="BI50">
        <v>1.8724100607017615</v>
      </c>
      <c r="BJ50">
        <v>0.87452657438561432</v>
      </c>
      <c r="CA50">
        <v>0</v>
      </c>
      <c r="CB50">
        <v>0</v>
      </c>
      <c r="CC50">
        <v>0</v>
      </c>
    </row>
    <row r="51" spans="1:82" hidden="1" x14ac:dyDescent="0.25">
      <c r="A51" t="s">
        <v>128</v>
      </c>
      <c r="B51" t="s">
        <v>372</v>
      </c>
      <c r="C51" t="s">
        <v>72</v>
      </c>
      <c r="D51" s="12">
        <v>46228</v>
      </c>
      <c r="E51" t="s">
        <v>133</v>
      </c>
      <c r="F51" t="s">
        <v>74</v>
      </c>
      <c r="G51">
        <v>4.2207252494765797</v>
      </c>
      <c r="H51">
        <v>4.75</v>
      </c>
      <c r="I51">
        <v>20</v>
      </c>
      <c r="J51">
        <v>4.75</v>
      </c>
      <c r="K51">
        <v>46228</v>
      </c>
      <c r="L51" t="s">
        <v>222</v>
      </c>
      <c r="M51">
        <v>4.6875</v>
      </c>
      <c r="N51">
        <v>1.1253990059146959</v>
      </c>
      <c r="O51">
        <v>1.1253990059146959</v>
      </c>
      <c r="P51">
        <v>1.1105911242579236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0.11059112425792361</v>
      </c>
      <c r="X51">
        <v>0</v>
      </c>
      <c r="Y51">
        <v>1.480788165677227E-2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0.88857373673191153</v>
      </c>
      <c r="AL51">
        <v>0.88857373673191153</v>
      </c>
      <c r="AM51">
        <v>0.98684210526315785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1.3157894736842146E-2</v>
      </c>
      <c r="AY51">
        <v>0</v>
      </c>
      <c r="AZ51">
        <v>0</v>
      </c>
      <c r="BA51">
        <v>0</v>
      </c>
      <c r="BB51">
        <v>0.88857373673191153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1.0133333333333334</v>
      </c>
      <c r="BI51">
        <v>1.0133333333333334</v>
      </c>
      <c r="BJ51">
        <v>0.9004213865550037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1.3333333333333419E-2</v>
      </c>
      <c r="BT51">
        <v>0</v>
      </c>
      <c r="BU51">
        <v>0</v>
      </c>
      <c r="BV51">
        <v>0</v>
      </c>
      <c r="BW51">
        <v>9.95786134449963E-2</v>
      </c>
      <c r="BX51">
        <v>0</v>
      </c>
      <c r="BY51">
        <v>0.9004213865550037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hidden="1" x14ac:dyDescent="0.25">
      <c r="A52" t="s">
        <v>128</v>
      </c>
      <c r="B52" t="s">
        <v>503</v>
      </c>
      <c r="C52" t="s">
        <v>72</v>
      </c>
      <c r="D52" s="12">
        <v>46228</v>
      </c>
      <c r="E52" t="s">
        <v>133</v>
      </c>
      <c r="F52" t="s">
        <v>74</v>
      </c>
      <c r="G52">
        <v>3.8126545117428936</v>
      </c>
      <c r="H52">
        <v>9.5</v>
      </c>
      <c r="I52">
        <v>20</v>
      </c>
      <c r="J52">
        <v>9.5</v>
      </c>
      <c r="K52">
        <v>46228</v>
      </c>
      <c r="L52" t="s">
        <v>222</v>
      </c>
      <c r="M52">
        <v>1.5294117647058818</v>
      </c>
      <c r="N52">
        <v>2.4917022957994766</v>
      </c>
      <c r="O52">
        <v>2.4917022957994766</v>
      </c>
      <c r="P52">
        <v>0.40114092687793412</v>
      </c>
      <c r="Q52">
        <v>0</v>
      </c>
      <c r="R52">
        <v>0</v>
      </c>
      <c r="S52">
        <v>1.2417022957994766</v>
      </c>
      <c r="T52">
        <v>0</v>
      </c>
      <c r="U52">
        <v>0</v>
      </c>
      <c r="V52">
        <v>0</v>
      </c>
      <c r="W52">
        <v>0</v>
      </c>
      <c r="X52">
        <v>0</v>
      </c>
      <c r="Y52">
        <v>0.25</v>
      </c>
      <c r="Z52">
        <v>0</v>
      </c>
      <c r="AA52">
        <v>0</v>
      </c>
      <c r="AB52">
        <v>0</v>
      </c>
      <c r="AC52">
        <v>0.59885907312206588</v>
      </c>
      <c r="AD52">
        <v>0</v>
      </c>
      <c r="AE52">
        <v>0.40114092687793412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0.40133205386767301</v>
      </c>
      <c r="AL52">
        <v>0.40133205386767301</v>
      </c>
      <c r="AM52">
        <v>0.16099071207430335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0.59866794613232699</v>
      </c>
      <c r="AY52">
        <v>0</v>
      </c>
      <c r="AZ52">
        <v>0.24034134179336966</v>
      </c>
      <c r="BA52">
        <v>0</v>
      </c>
      <c r="BB52">
        <v>0.16099071207430335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6.2115384615384635</v>
      </c>
      <c r="BI52">
        <v>6.2115384615384635</v>
      </c>
      <c r="BJ52">
        <v>2.4928894884472776</v>
      </c>
      <c r="CA52">
        <v>0</v>
      </c>
      <c r="CB52">
        <v>0</v>
      </c>
      <c r="CC52">
        <v>0</v>
      </c>
    </row>
    <row r="53" spans="1:82" hidden="1" x14ac:dyDescent="0.25">
      <c r="A53" t="s">
        <v>128</v>
      </c>
      <c r="B53" t="s">
        <v>503</v>
      </c>
      <c r="C53" t="s">
        <v>72</v>
      </c>
      <c r="D53" s="12">
        <v>46228</v>
      </c>
      <c r="E53" t="s">
        <v>133</v>
      </c>
      <c r="F53" t="s">
        <v>75</v>
      </c>
      <c r="G53">
        <v>7.4010352286773822</v>
      </c>
      <c r="H53">
        <v>20.9</v>
      </c>
      <c r="I53">
        <v>20</v>
      </c>
      <c r="J53">
        <v>20.9</v>
      </c>
      <c r="K53">
        <v>46228</v>
      </c>
      <c r="L53" t="s">
        <v>221</v>
      </c>
      <c r="M53">
        <v>8.3967320261437859</v>
      </c>
      <c r="N53">
        <v>2.8239292685727397</v>
      </c>
      <c r="O53">
        <v>2.8239292685727397</v>
      </c>
      <c r="P53">
        <v>1.1345348004301206</v>
      </c>
      <c r="Q53">
        <v>0</v>
      </c>
      <c r="R53">
        <v>0</v>
      </c>
      <c r="S53">
        <v>1.5739292685727397</v>
      </c>
      <c r="T53">
        <v>0</v>
      </c>
      <c r="U53">
        <v>0</v>
      </c>
      <c r="V53">
        <v>0</v>
      </c>
      <c r="W53">
        <v>0.13453480043012056</v>
      </c>
      <c r="X53">
        <v>0</v>
      </c>
      <c r="Y53">
        <v>0.11546519956987944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0.35411651811853506</v>
      </c>
      <c r="AL53">
        <v>0.35411651811853506</v>
      </c>
      <c r="AM53">
        <v>0.40175751321262138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0.59824248678737857</v>
      </c>
      <c r="AY53">
        <v>0</v>
      </c>
      <c r="AZ53">
        <v>0</v>
      </c>
      <c r="BA53">
        <v>0</v>
      </c>
      <c r="BB53">
        <v>0.35411651811853506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2.4890635946135298</v>
      </c>
      <c r="BI53">
        <v>2.4890635946135298</v>
      </c>
      <c r="BJ53">
        <v>0.88141853350014798</v>
      </c>
      <c r="CA53">
        <v>0</v>
      </c>
      <c r="CB53">
        <v>0</v>
      </c>
      <c r="CC53">
        <v>0</v>
      </c>
    </row>
    <row r="54" spans="1:82" hidden="1" x14ac:dyDescent="0.25">
      <c r="A54" t="s">
        <v>128</v>
      </c>
      <c r="B54" t="s">
        <v>372</v>
      </c>
      <c r="C54" t="s">
        <v>72</v>
      </c>
      <c r="D54" s="12">
        <v>46228</v>
      </c>
      <c r="E54" t="s">
        <v>133</v>
      </c>
      <c r="F54" t="s">
        <v>75</v>
      </c>
      <c r="G54">
        <v>10.973885648639106</v>
      </c>
      <c r="H54">
        <v>10.45</v>
      </c>
      <c r="I54">
        <v>20</v>
      </c>
      <c r="J54">
        <v>10.45</v>
      </c>
      <c r="K54">
        <v>46228</v>
      </c>
      <c r="L54" t="s">
        <v>221</v>
      </c>
      <c r="M54">
        <v>12.246323529411764</v>
      </c>
      <c r="N54">
        <v>0.95226069731243512</v>
      </c>
      <c r="O54">
        <v>0.95226069731243512</v>
      </c>
      <c r="P54">
        <v>1.1159514434096967</v>
      </c>
      <c r="Q54">
        <v>0.11595144340969665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4.7739302687564877E-2</v>
      </c>
      <c r="AA54">
        <v>0</v>
      </c>
      <c r="AB54">
        <v>0</v>
      </c>
      <c r="AC54">
        <v>0</v>
      </c>
      <c r="AD54">
        <v>0</v>
      </c>
      <c r="AE54">
        <v>0.95226069731243512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1.0501325979558953</v>
      </c>
      <c r="AL54">
        <v>1.0501325979558953</v>
      </c>
      <c r="AM54">
        <v>1.171896988460456</v>
      </c>
      <c r="AN54">
        <v>0.12176439050456067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5.0132597955895308E-2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0.85331732212548783</v>
      </c>
      <c r="BI54">
        <v>0.85331732212548783</v>
      </c>
      <c r="BJ54">
        <v>0.89609633636440611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0.10390366363559389</v>
      </c>
      <c r="BV54">
        <v>0</v>
      </c>
      <c r="BW54">
        <v>0</v>
      </c>
      <c r="BX54">
        <v>0</v>
      </c>
      <c r="BY54">
        <v>0.85331732212548783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hidden="1" x14ac:dyDescent="0.25">
      <c r="A55" t="s">
        <v>128</v>
      </c>
      <c r="B55" t="s">
        <v>502</v>
      </c>
      <c r="C55" t="s">
        <v>72</v>
      </c>
      <c r="D55" s="12">
        <v>46228</v>
      </c>
      <c r="E55" t="s">
        <v>133</v>
      </c>
      <c r="F55" t="s">
        <v>75</v>
      </c>
      <c r="G55">
        <v>8.1620058147253278</v>
      </c>
      <c r="H55">
        <v>20.9</v>
      </c>
      <c r="I55">
        <v>20</v>
      </c>
      <c r="J55">
        <v>20.9</v>
      </c>
      <c r="K55">
        <v>46228</v>
      </c>
      <c r="L55" t="s">
        <v>221</v>
      </c>
      <c r="M55">
        <v>10.827320772058824</v>
      </c>
      <c r="N55">
        <v>2.5606450760294313</v>
      </c>
      <c r="O55">
        <v>2.5606450760294313</v>
      </c>
      <c r="P55">
        <v>1.3265514651465844</v>
      </c>
      <c r="Q55">
        <v>0</v>
      </c>
      <c r="R55">
        <v>0</v>
      </c>
      <c r="S55">
        <v>1.2340936108828469</v>
      </c>
      <c r="T55">
        <v>0</v>
      </c>
      <c r="U55">
        <v>7.6551465146584396E-2</v>
      </c>
      <c r="V55">
        <v>0</v>
      </c>
      <c r="W55">
        <v>0.25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0.3905265940059966</v>
      </c>
      <c r="AL55">
        <v>0.3905265940059966</v>
      </c>
      <c r="AM55">
        <v>0.51805362545736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0.48194637454264</v>
      </c>
      <c r="AY55">
        <v>0</v>
      </c>
      <c r="AZ55">
        <v>0</v>
      </c>
      <c r="BA55">
        <v>0</v>
      </c>
      <c r="BB55">
        <v>0.3905265940059966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1.9303020978130534</v>
      </c>
      <c r="BI55">
        <v>1.9303020978130534</v>
      </c>
      <c r="BJ55">
        <v>0.75383430366156179</v>
      </c>
      <c r="CA55">
        <v>0</v>
      </c>
      <c r="CB55">
        <v>0</v>
      </c>
      <c r="CC55">
        <v>0</v>
      </c>
    </row>
    <row r="56" spans="1:82" hidden="1" x14ac:dyDescent="0.25">
      <c r="A56" t="s">
        <v>128</v>
      </c>
      <c r="B56" t="s">
        <v>372</v>
      </c>
      <c r="C56" t="s">
        <v>72</v>
      </c>
      <c r="D56" s="12">
        <v>46229</v>
      </c>
      <c r="E56" t="s">
        <v>133</v>
      </c>
      <c r="F56" t="s">
        <v>73</v>
      </c>
      <c r="G56">
        <v>10.973885648639108</v>
      </c>
      <c r="H56">
        <v>10.45</v>
      </c>
      <c r="I56">
        <v>20</v>
      </c>
      <c r="J56">
        <v>10.45</v>
      </c>
      <c r="K56">
        <v>46229</v>
      </c>
      <c r="L56" t="s">
        <v>220</v>
      </c>
      <c r="M56">
        <v>11.9375</v>
      </c>
      <c r="N56">
        <v>0.9522606973124349</v>
      </c>
      <c r="O56">
        <v>0.9522606973124349</v>
      </c>
      <c r="P56">
        <v>1.0878097678628893</v>
      </c>
      <c r="Q56">
        <v>8.7809767862889299E-2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4.7739302687565099E-2</v>
      </c>
      <c r="AA56">
        <v>0</v>
      </c>
      <c r="AB56">
        <v>0</v>
      </c>
      <c r="AC56">
        <v>0</v>
      </c>
      <c r="AD56">
        <v>0</v>
      </c>
      <c r="AE56">
        <v>0.9522606973124349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1.0501325979558955</v>
      </c>
      <c r="AL56">
        <v>1.0501325979558955</v>
      </c>
      <c r="AM56">
        <v>1.1423444976076556</v>
      </c>
      <c r="AN56">
        <v>9.2211899651760021E-2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5.013259795589553E-2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0.87539267015706801</v>
      </c>
      <c r="BI56">
        <v>0.87539267015706801</v>
      </c>
      <c r="BJ56">
        <v>0.91927837894359021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8.0721621056409787E-2</v>
      </c>
      <c r="BV56">
        <v>0</v>
      </c>
      <c r="BW56">
        <v>0</v>
      </c>
      <c r="BX56">
        <v>0</v>
      </c>
      <c r="BY56">
        <v>0.87539267015706801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hidden="1" x14ac:dyDescent="0.25">
      <c r="A57" t="s">
        <v>128</v>
      </c>
      <c r="B57" t="s">
        <v>502</v>
      </c>
      <c r="C57" t="s">
        <v>72</v>
      </c>
      <c r="D57" s="12">
        <v>46229</v>
      </c>
      <c r="E57" t="s">
        <v>133</v>
      </c>
      <c r="F57" t="s">
        <v>73</v>
      </c>
      <c r="G57">
        <v>9.9149198152032554</v>
      </c>
      <c r="H57">
        <v>20.9</v>
      </c>
      <c r="I57">
        <v>20</v>
      </c>
      <c r="J57">
        <v>20.9</v>
      </c>
      <c r="K57">
        <v>46229</v>
      </c>
      <c r="L57" t="s">
        <v>220</v>
      </c>
      <c r="M57">
        <v>11.032858455882351</v>
      </c>
      <c r="N57">
        <v>2.1079343443557188</v>
      </c>
      <c r="O57">
        <v>2.1079343443557188</v>
      </c>
      <c r="P57">
        <v>1.1127531701229576</v>
      </c>
      <c r="Q57">
        <v>0</v>
      </c>
      <c r="R57">
        <v>0</v>
      </c>
      <c r="S57">
        <v>0.8579343443557188</v>
      </c>
      <c r="T57">
        <v>0</v>
      </c>
      <c r="U57">
        <v>0</v>
      </c>
      <c r="V57">
        <v>0</v>
      </c>
      <c r="W57">
        <v>0.1127531701229576</v>
      </c>
      <c r="X57">
        <v>0</v>
      </c>
      <c r="Y57">
        <v>0.1372468298770424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0.47439807728245242</v>
      </c>
      <c r="AL57">
        <v>0.47439807728245242</v>
      </c>
      <c r="AM57">
        <v>0.52788796439628483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0.47211203560371517</v>
      </c>
      <c r="AY57">
        <v>0</v>
      </c>
      <c r="AZ57">
        <v>0</v>
      </c>
      <c r="BA57">
        <v>0</v>
      </c>
      <c r="BB57">
        <v>0.47439807728245242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1.8943413516609393</v>
      </c>
      <c r="BI57">
        <v>1.8943413516609393</v>
      </c>
      <c r="BJ57">
        <v>0.89867189494459176</v>
      </c>
      <c r="CA57">
        <v>0</v>
      </c>
      <c r="CB57">
        <v>0</v>
      </c>
      <c r="CC57">
        <v>0</v>
      </c>
    </row>
    <row r="58" spans="1:82" hidden="1" x14ac:dyDescent="0.25">
      <c r="A58" t="s">
        <v>128</v>
      </c>
      <c r="B58" t="s">
        <v>503</v>
      </c>
      <c r="C58" t="s">
        <v>72</v>
      </c>
      <c r="D58" s="12">
        <v>46229</v>
      </c>
      <c r="E58" t="s">
        <v>133</v>
      </c>
      <c r="F58" t="s">
        <v>73</v>
      </c>
      <c r="G58">
        <v>9.4755678306551339</v>
      </c>
      <c r="H58">
        <v>20.9</v>
      </c>
      <c r="I58">
        <v>20</v>
      </c>
      <c r="J58">
        <v>20.9</v>
      </c>
      <c r="K58">
        <v>46229</v>
      </c>
      <c r="L58" t="s">
        <v>220</v>
      </c>
      <c r="M58">
        <v>9.0272058823529377</v>
      </c>
      <c r="N58">
        <v>2.2056725648023763</v>
      </c>
      <c r="O58">
        <v>2.2056725648023763</v>
      </c>
      <c r="P58">
        <v>0.95268231347026333</v>
      </c>
      <c r="Q58">
        <v>0</v>
      </c>
      <c r="R58">
        <v>0</v>
      </c>
      <c r="S58">
        <v>0.95567256480237628</v>
      </c>
      <c r="T58">
        <v>0</v>
      </c>
      <c r="U58">
        <v>0</v>
      </c>
      <c r="V58">
        <v>0</v>
      </c>
      <c r="W58">
        <v>0</v>
      </c>
      <c r="X58">
        <v>0</v>
      </c>
      <c r="Y58">
        <v>0.25</v>
      </c>
      <c r="Z58">
        <v>0</v>
      </c>
      <c r="AA58">
        <v>0</v>
      </c>
      <c r="AB58">
        <v>0</v>
      </c>
      <c r="AC58">
        <v>4.7317686529736669E-2</v>
      </c>
      <c r="AD58">
        <v>0</v>
      </c>
      <c r="AE58">
        <v>0.95268231347026333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0.45337645122751841</v>
      </c>
      <c r="AL58">
        <v>0.45337645122751841</v>
      </c>
      <c r="AM58">
        <v>0.43192372642837024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0.54662354877248154</v>
      </c>
      <c r="AY58">
        <v>0</v>
      </c>
      <c r="AZ58">
        <v>2.1452724799148171E-2</v>
      </c>
      <c r="BA58">
        <v>0</v>
      </c>
      <c r="BB58">
        <v>0.43192372642837024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2.3152235888246322</v>
      </c>
      <c r="BI58">
        <v>2.3152235888246322</v>
      </c>
      <c r="BJ58">
        <v>1.049667854499551</v>
      </c>
      <c r="CA58">
        <v>0</v>
      </c>
      <c r="CB58">
        <v>0</v>
      </c>
      <c r="CC58">
        <v>0</v>
      </c>
    </row>
    <row r="59" spans="1:82" hidden="1" x14ac:dyDescent="0.25">
      <c r="A59" t="s">
        <v>128</v>
      </c>
      <c r="B59" t="s">
        <v>372</v>
      </c>
      <c r="C59" t="s">
        <v>72</v>
      </c>
      <c r="D59" s="12">
        <v>46229</v>
      </c>
      <c r="E59" t="s">
        <v>133</v>
      </c>
      <c r="F59" t="s">
        <v>74</v>
      </c>
      <c r="G59">
        <v>4.2207252494765797</v>
      </c>
      <c r="H59">
        <v>3.8</v>
      </c>
      <c r="I59">
        <v>20</v>
      </c>
      <c r="J59">
        <v>3.8</v>
      </c>
      <c r="K59">
        <v>46229</v>
      </c>
      <c r="L59" t="s">
        <v>219</v>
      </c>
      <c r="M59">
        <v>4.6875</v>
      </c>
      <c r="N59">
        <v>0.90031920473175675</v>
      </c>
      <c r="O59">
        <v>0.90031920473175675</v>
      </c>
      <c r="P59">
        <v>1.1105911242579236</v>
      </c>
      <c r="Q59">
        <v>0.11059112425792361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9.968079526824325E-2</v>
      </c>
      <c r="AA59">
        <v>0</v>
      </c>
      <c r="AB59">
        <v>0</v>
      </c>
      <c r="AC59">
        <v>0</v>
      </c>
      <c r="AD59">
        <v>0</v>
      </c>
      <c r="AE59">
        <v>0.90031920473175675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1.1107171709148895</v>
      </c>
      <c r="AL59">
        <v>1.1107171709148895</v>
      </c>
      <c r="AM59">
        <v>1.2335526315789473</v>
      </c>
      <c r="AN59">
        <v>0.12283546066405782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0.11071717091488953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0.81066666666666665</v>
      </c>
      <c r="BI59">
        <v>0.81066666666666665</v>
      </c>
      <c r="BJ59">
        <v>0.9004213865550037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9.95786134449963E-2</v>
      </c>
      <c r="BV59">
        <v>0</v>
      </c>
      <c r="BW59">
        <v>0</v>
      </c>
      <c r="BX59">
        <v>0</v>
      </c>
      <c r="BY59">
        <v>0.81066666666666665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hidden="1" x14ac:dyDescent="0.25">
      <c r="A60" t="s">
        <v>128</v>
      </c>
      <c r="B60" t="s">
        <v>502</v>
      </c>
      <c r="C60" t="s">
        <v>72</v>
      </c>
      <c r="D60" s="12">
        <v>46229</v>
      </c>
      <c r="E60" t="s">
        <v>133</v>
      </c>
      <c r="F60" t="s">
        <v>74</v>
      </c>
      <c r="G60">
        <v>4.437063563709744</v>
      </c>
      <c r="H60">
        <v>9.5</v>
      </c>
      <c r="I60">
        <v>20</v>
      </c>
      <c r="J60">
        <v>9.5</v>
      </c>
      <c r="K60">
        <v>46229</v>
      </c>
      <c r="L60" t="s">
        <v>219</v>
      </c>
      <c r="M60">
        <v>5.0736749387254898</v>
      </c>
      <c r="N60">
        <v>2.1410556471851017</v>
      </c>
      <c r="O60">
        <v>2.1410556471851017</v>
      </c>
      <c r="P60">
        <v>1.1434758294252352</v>
      </c>
      <c r="Q60">
        <v>0</v>
      </c>
      <c r="R60">
        <v>0</v>
      </c>
      <c r="S60">
        <v>0.89105564718510166</v>
      </c>
      <c r="T60">
        <v>0</v>
      </c>
      <c r="U60">
        <v>0</v>
      </c>
      <c r="V60">
        <v>0</v>
      </c>
      <c r="W60">
        <v>0.14347582942523518</v>
      </c>
      <c r="X60">
        <v>0</v>
      </c>
      <c r="Y60">
        <v>0.10652417057476482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0.46705932249576254</v>
      </c>
      <c r="AL60">
        <v>0.46705932249576254</v>
      </c>
      <c r="AM60">
        <v>0.53407104618163048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0.46592895381836952</v>
      </c>
      <c r="AY60">
        <v>0</v>
      </c>
      <c r="AZ60">
        <v>0</v>
      </c>
      <c r="BA60">
        <v>0</v>
      </c>
      <c r="BB60">
        <v>0.46705932249576254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1.8724100607017615</v>
      </c>
      <c r="BI60">
        <v>1.8724100607017615</v>
      </c>
      <c r="BJ60">
        <v>0.87452657438561432</v>
      </c>
      <c r="CA60">
        <v>0</v>
      </c>
      <c r="CB60">
        <v>0</v>
      </c>
      <c r="CC60">
        <v>0</v>
      </c>
    </row>
    <row r="61" spans="1:82" hidden="1" x14ac:dyDescent="0.25">
      <c r="A61" t="s">
        <v>128</v>
      </c>
      <c r="B61" t="s">
        <v>503</v>
      </c>
      <c r="C61" t="s">
        <v>72</v>
      </c>
      <c r="D61" s="12">
        <v>46229</v>
      </c>
      <c r="E61" t="s">
        <v>133</v>
      </c>
      <c r="F61" t="s">
        <v>74</v>
      </c>
      <c r="G61">
        <v>3.8126545117428936</v>
      </c>
      <c r="H61">
        <v>9.5</v>
      </c>
      <c r="I61">
        <v>20</v>
      </c>
      <c r="J61">
        <v>9.5</v>
      </c>
      <c r="K61">
        <v>46229</v>
      </c>
      <c r="L61" t="s">
        <v>219</v>
      </c>
      <c r="M61">
        <v>2.5294117647058822</v>
      </c>
      <c r="N61">
        <v>2.4917022957994766</v>
      </c>
      <c r="O61">
        <v>2.4917022957994766</v>
      </c>
      <c r="P61">
        <v>0.66342537906735288</v>
      </c>
      <c r="Q61">
        <v>0</v>
      </c>
      <c r="R61">
        <v>0</v>
      </c>
      <c r="S61">
        <v>1.2417022957994766</v>
      </c>
      <c r="T61">
        <v>0</v>
      </c>
      <c r="U61">
        <v>0</v>
      </c>
      <c r="V61">
        <v>0</v>
      </c>
      <c r="W61">
        <v>0</v>
      </c>
      <c r="X61">
        <v>0</v>
      </c>
      <c r="Y61">
        <v>0.25</v>
      </c>
      <c r="Z61">
        <v>0</v>
      </c>
      <c r="AA61">
        <v>0</v>
      </c>
      <c r="AB61">
        <v>0</v>
      </c>
      <c r="AC61">
        <v>0.33657462093264712</v>
      </c>
      <c r="AD61">
        <v>0</v>
      </c>
      <c r="AE61">
        <v>0.66342537906735288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0.40133205386767301</v>
      </c>
      <c r="AL61">
        <v>0.40133205386767301</v>
      </c>
      <c r="AM61">
        <v>0.26625386996904021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0.59866794613232699</v>
      </c>
      <c r="AY61">
        <v>0</v>
      </c>
      <c r="AZ61">
        <v>0.1350781838986328</v>
      </c>
      <c r="BA61">
        <v>0</v>
      </c>
      <c r="BB61">
        <v>0.26625386996904021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3.7558139534883721</v>
      </c>
      <c r="BI61">
        <v>3.7558139534883721</v>
      </c>
      <c r="BJ61">
        <v>1.5073285278983533</v>
      </c>
      <c r="CA61">
        <v>0</v>
      </c>
      <c r="CB61">
        <v>0</v>
      </c>
      <c r="CC61">
        <v>0</v>
      </c>
    </row>
    <row r="62" spans="1:82" hidden="1" x14ac:dyDescent="0.25">
      <c r="A62" t="s">
        <v>128</v>
      </c>
      <c r="B62" t="s">
        <v>372</v>
      </c>
      <c r="C62" t="s">
        <v>72</v>
      </c>
      <c r="D62" s="12">
        <v>46229</v>
      </c>
      <c r="E62" t="s">
        <v>133</v>
      </c>
      <c r="F62" t="s">
        <v>75</v>
      </c>
      <c r="G62">
        <v>11.818030698534422</v>
      </c>
      <c r="H62">
        <v>11.4</v>
      </c>
      <c r="I62">
        <v>20</v>
      </c>
      <c r="J62">
        <v>11.4</v>
      </c>
      <c r="K62">
        <v>46229</v>
      </c>
      <c r="L62" t="s">
        <v>218</v>
      </c>
      <c r="M62">
        <v>12.932291666666668</v>
      </c>
      <c r="N62">
        <v>0.96462771935545366</v>
      </c>
      <c r="O62">
        <v>0.96462771935545366</v>
      </c>
      <c r="P62">
        <v>1.0942848260049305</v>
      </c>
      <c r="Q62">
        <v>9.4284826004930489E-2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3.5372280644546339E-2</v>
      </c>
      <c r="AA62">
        <v>0</v>
      </c>
      <c r="AB62">
        <v>0</v>
      </c>
      <c r="AC62">
        <v>0</v>
      </c>
      <c r="AD62">
        <v>0</v>
      </c>
      <c r="AE62">
        <v>0.96462771935545366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1.0366693595205634</v>
      </c>
      <c r="AL62">
        <v>1.0366693595205634</v>
      </c>
      <c r="AM62">
        <v>1.1344115497076026</v>
      </c>
      <c r="AN62">
        <v>9.7742190187039224E-2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3.6669359520563383E-2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0.8815142972211033</v>
      </c>
      <c r="BI62">
        <v>0.8815142972211033</v>
      </c>
      <c r="BJ62">
        <v>0.91383886190842079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8.6161138091579215E-2</v>
      </c>
      <c r="BV62">
        <v>0</v>
      </c>
      <c r="BW62">
        <v>0</v>
      </c>
      <c r="BX62">
        <v>0</v>
      </c>
      <c r="BY62">
        <v>0.8815142972211033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hidden="1" x14ac:dyDescent="0.25">
      <c r="A63" t="s">
        <v>128</v>
      </c>
      <c r="B63" t="s">
        <v>502</v>
      </c>
      <c r="C63" t="s">
        <v>72</v>
      </c>
      <c r="D63" s="12">
        <v>46229</v>
      </c>
      <c r="E63" t="s">
        <v>133</v>
      </c>
      <c r="F63" t="s">
        <v>75</v>
      </c>
      <c r="G63">
        <v>8.1620058147253278</v>
      </c>
      <c r="H63">
        <v>22.799999999999997</v>
      </c>
      <c r="I63">
        <v>20</v>
      </c>
      <c r="J63">
        <v>22.799999999999997</v>
      </c>
      <c r="K63">
        <v>46229</v>
      </c>
      <c r="L63" t="s">
        <v>218</v>
      </c>
      <c r="M63">
        <v>10.768466605392156</v>
      </c>
      <c r="N63">
        <v>2.793430992032107</v>
      </c>
      <c r="O63">
        <v>2.793430992032107</v>
      </c>
      <c r="P63">
        <v>1.3193407172002294</v>
      </c>
      <c r="Q63">
        <v>0</v>
      </c>
      <c r="R63">
        <v>0</v>
      </c>
      <c r="S63">
        <v>1.4740902748318776</v>
      </c>
      <c r="T63">
        <v>0</v>
      </c>
      <c r="U63">
        <v>6.9340717200229385E-2</v>
      </c>
      <c r="V63">
        <v>0</v>
      </c>
      <c r="W63">
        <v>0.25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0.35798271117216357</v>
      </c>
      <c r="AL63">
        <v>0.35798271117216357</v>
      </c>
      <c r="AM63">
        <v>0.47230116690316482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0.52769883309683518</v>
      </c>
      <c r="AY63">
        <v>0</v>
      </c>
      <c r="AZ63">
        <v>0</v>
      </c>
      <c r="BA63">
        <v>0</v>
      </c>
      <c r="BB63">
        <v>0.35798271117216357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2.117293096176128</v>
      </c>
      <c r="BI63">
        <v>2.117293096176128</v>
      </c>
      <c r="BJ63">
        <v>0.75795432291523468</v>
      </c>
      <c r="CA63">
        <v>0</v>
      </c>
      <c r="CB63">
        <v>0</v>
      </c>
      <c r="CC63">
        <v>0</v>
      </c>
    </row>
    <row r="64" spans="1:82" hidden="1" x14ac:dyDescent="0.25">
      <c r="A64" t="s">
        <v>128</v>
      </c>
      <c r="B64" t="s">
        <v>503</v>
      </c>
      <c r="C64" t="s">
        <v>72</v>
      </c>
      <c r="D64" s="12">
        <v>46229</v>
      </c>
      <c r="E64" t="s">
        <v>133</v>
      </c>
      <c r="F64" t="s">
        <v>75</v>
      </c>
      <c r="G64">
        <v>7.4010352286773822</v>
      </c>
      <c r="H64">
        <v>22.799999999999997</v>
      </c>
      <c r="I64">
        <v>20</v>
      </c>
      <c r="J64">
        <v>22.799999999999997</v>
      </c>
      <c r="K64">
        <v>46229</v>
      </c>
      <c r="L64" t="s">
        <v>218</v>
      </c>
      <c r="M64">
        <v>8.6051470588235244</v>
      </c>
      <c r="N64">
        <v>3.0806501111702613</v>
      </c>
      <c r="O64">
        <v>3.0806501111702613</v>
      </c>
      <c r="P64">
        <v>1.1626950545351378</v>
      </c>
      <c r="Q64">
        <v>0</v>
      </c>
      <c r="R64">
        <v>0</v>
      </c>
      <c r="S64">
        <v>1.8306501111702613</v>
      </c>
      <c r="T64">
        <v>0</v>
      </c>
      <c r="U64">
        <v>0</v>
      </c>
      <c r="V64">
        <v>0</v>
      </c>
      <c r="W64">
        <v>0.16269505453513777</v>
      </c>
      <c r="X64">
        <v>0</v>
      </c>
      <c r="Y64">
        <v>8.7304945464862227E-2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0.32460680827532384</v>
      </c>
      <c r="AL64">
        <v>0.32460680827532384</v>
      </c>
      <c r="AM64">
        <v>0.37741873065015463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0.62258126934984537</v>
      </c>
      <c r="AY64">
        <v>0</v>
      </c>
      <c r="AZ64">
        <v>0</v>
      </c>
      <c r="BA64">
        <v>0</v>
      </c>
      <c r="BB64">
        <v>0.32460680827532384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2.6495770315303782</v>
      </c>
      <c r="BI64">
        <v>2.6495770315303782</v>
      </c>
      <c r="BJ64">
        <v>0.86007074348468304</v>
      </c>
      <c r="CA64">
        <v>0</v>
      </c>
      <c r="CB64">
        <v>0</v>
      </c>
      <c r="CC64">
        <v>0</v>
      </c>
    </row>
    <row r="65" spans="1:82" hidden="1" x14ac:dyDescent="0.25">
      <c r="A65" t="s">
        <v>128</v>
      </c>
      <c r="B65" t="s">
        <v>502</v>
      </c>
      <c r="C65" t="s">
        <v>72</v>
      </c>
      <c r="D65" s="12">
        <v>46230</v>
      </c>
      <c r="E65" t="s">
        <v>133</v>
      </c>
      <c r="F65" t="s">
        <v>73</v>
      </c>
      <c r="G65">
        <v>9.9149198152032554</v>
      </c>
      <c r="H65">
        <v>36.1</v>
      </c>
      <c r="I65">
        <v>20</v>
      </c>
      <c r="J65">
        <v>36.1</v>
      </c>
      <c r="K65">
        <v>46230</v>
      </c>
      <c r="L65" t="s">
        <v>217</v>
      </c>
      <c r="M65">
        <v>12.735523897058822</v>
      </c>
      <c r="N65">
        <v>3.640977503887151</v>
      </c>
      <c r="O65">
        <v>3.640977503887151</v>
      </c>
      <c r="P65">
        <v>1.284480775883889</v>
      </c>
      <c r="Q65">
        <v>0</v>
      </c>
      <c r="R65">
        <v>0</v>
      </c>
      <c r="S65">
        <v>2.356496728003262</v>
      </c>
      <c r="T65">
        <v>0</v>
      </c>
      <c r="U65">
        <v>3.4480775883888981E-2</v>
      </c>
      <c r="V65">
        <v>0</v>
      </c>
      <c r="W65">
        <v>0.25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0.27465151842668295</v>
      </c>
      <c r="AL65">
        <v>0.27465151842668295</v>
      </c>
      <c r="AM65">
        <v>0.35278459548639396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0.64721540451360604</v>
      </c>
      <c r="AY65">
        <v>0</v>
      </c>
      <c r="AZ65">
        <v>0</v>
      </c>
      <c r="BA65">
        <v>0</v>
      </c>
      <c r="BB65">
        <v>0.27465151842668295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2.8345908885881825</v>
      </c>
      <c r="BI65">
        <v>2.8345908885881825</v>
      </c>
      <c r="BJ65">
        <v>0.77852469166918481</v>
      </c>
      <c r="CA65">
        <v>0</v>
      </c>
      <c r="CB65">
        <v>0</v>
      </c>
      <c r="CC65">
        <v>0</v>
      </c>
    </row>
    <row r="66" spans="1:82" hidden="1" x14ac:dyDescent="0.25">
      <c r="A66" t="s">
        <v>128</v>
      </c>
      <c r="B66" t="s">
        <v>372</v>
      </c>
      <c r="C66" t="s">
        <v>72</v>
      </c>
      <c r="D66" s="12">
        <v>46230</v>
      </c>
      <c r="E66" t="s">
        <v>133</v>
      </c>
      <c r="F66" t="s">
        <v>73</v>
      </c>
      <c r="G66">
        <v>11.870789764152878</v>
      </c>
      <c r="H66">
        <v>19</v>
      </c>
      <c r="I66">
        <v>20</v>
      </c>
      <c r="J66">
        <v>19</v>
      </c>
      <c r="K66">
        <v>46230</v>
      </c>
      <c r="L66" t="s">
        <v>217</v>
      </c>
      <c r="M66">
        <v>11.966666666666669</v>
      </c>
      <c r="N66">
        <v>1.6005674750786791</v>
      </c>
      <c r="O66">
        <v>1.6005674750786791</v>
      </c>
      <c r="P66">
        <v>1.0080767079881507</v>
      </c>
      <c r="Q66">
        <v>0</v>
      </c>
      <c r="R66">
        <v>0</v>
      </c>
      <c r="S66">
        <v>0.35056747507867914</v>
      </c>
      <c r="T66">
        <v>0</v>
      </c>
      <c r="U66">
        <v>0</v>
      </c>
      <c r="V66">
        <v>0</v>
      </c>
      <c r="W66">
        <v>8.0767079881507442E-3</v>
      </c>
      <c r="X66">
        <v>0</v>
      </c>
      <c r="Y66">
        <v>0.24192329201184926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0.62477840863962519</v>
      </c>
      <c r="AL66">
        <v>0.62477840863962519</v>
      </c>
      <c r="AM66">
        <v>0.62982456140350884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0.37017543859649116</v>
      </c>
      <c r="AY66">
        <v>0</v>
      </c>
      <c r="AZ66">
        <v>0</v>
      </c>
      <c r="BA66">
        <v>0</v>
      </c>
      <c r="BB66">
        <v>0.62477840863962519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1.587743732590529</v>
      </c>
      <c r="BI66">
        <v>1.587743732590529</v>
      </c>
      <c r="BJ66">
        <v>0.99198800257544928</v>
      </c>
      <c r="CA66">
        <v>0</v>
      </c>
      <c r="CB66">
        <v>0</v>
      </c>
      <c r="CC66">
        <v>0</v>
      </c>
    </row>
    <row r="67" spans="1:82" hidden="1" x14ac:dyDescent="0.25">
      <c r="A67" t="s">
        <v>128</v>
      </c>
      <c r="B67" t="s">
        <v>503</v>
      </c>
      <c r="C67" t="s">
        <v>72</v>
      </c>
      <c r="D67" s="12">
        <v>46230</v>
      </c>
      <c r="E67" t="s">
        <v>133</v>
      </c>
      <c r="F67" t="s">
        <v>73</v>
      </c>
      <c r="G67">
        <v>10.316594561186651</v>
      </c>
      <c r="H67">
        <v>36.1</v>
      </c>
      <c r="I67">
        <v>20</v>
      </c>
      <c r="J67">
        <v>36.1</v>
      </c>
      <c r="K67">
        <v>46230</v>
      </c>
      <c r="L67" t="s">
        <v>217</v>
      </c>
      <c r="M67">
        <v>7.4715686274509761</v>
      </c>
      <c r="N67">
        <v>3.4992167023618741</v>
      </c>
      <c r="O67">
        <v>3.4992167023618741</v>
      </c>
      <c r="P67">
        <v>0.72422819207810085</v>
      </c>
      <c r="Q67">
        <v>0</v>
      </c>
      <c r="R67">
        <v>0</v>
      </c>
      <c r="S67">
        <v>2.2492167023618741</v>
      </c>
      <c r="T67">
        <v>0</v>
      </c>
      <c r="U67">
        <v>0</v>
      </c>
      <c r="V67">
        <v>0</v>
      </c>
      <c r="W67">
        <v>0</v>
      </c>
      <c r="X67">
        <v>0</v>
      </c>
      <c r="Y67">
        <v>0.25</v>
      </c>
      <c r="Z67">
        <v>0</v>
      </c>
      <c r="AA67">
        <v>0</v>
      </c>
      <c r="AB67">
        <v>0</v>
      </c>
      <c r="AC67">
        <v>0.27577180792189915</v>
      </c>
      <c r="AD67">
        <v>0</v>
      </c>
      <c r="AE67">
        <v>0.72422819207810085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0.28577824269215102</v>
      </c>
      <c r="AL67">
        <v>0.28577824269215102</v>
      </c>
      <c r="AM67">
        <v>0.20696866004019324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0.71422175730784898</v>
      </c>
      <c r="AY67">
        <v>0</v>
      </c>
      <c r="AZ67">
        <v>7.8809582651957782E-2</v>
      </c>
      <c r="BA67">
        <v>0</v>
      </c>
      <c r="BB67">
        <v>0.20696866004019324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4.8316493898438555</v>
      </c>
      <c r="BI67">
        <v>4.8316493898438555</v>
      </c>
      <c r="BJ67">
        <v>1.3807802719341806</v>
      </c>
      <c r="CA67">
        <v>0</v>
      </c>
      <c r="CB67">
        <v>0</v>
      </c>
      <c r="CC67">
        <v>0</v>
      </c>
    </row>
    <row r="68" spans="1:82" hidden="1" x14ac:dyDescent="0.25">
      <c r="A68" t="s">
        <v>128</v>
      </c>
      <c r="B68" t="s">
        <v>502</v>
      </c>
      <c r="C68" t="s">
        <v>72</v>
      </c>
      <c r="D68" s="12">
        <v>46230</v>
      </c>
      <c r="E68" t="s">
        <v>133</v>
      </c>
      <c r="F68" t="s">
        <v>74</v>
      </c>
      <c r="G68">
        <v>4.437063563709744</v>
      </c>
      <c r="H68">
        <v>9.5</v>
      </c>
      <c r="I68">
        <v>20</v>
      </c>
      <c r="J68">
        <v>9.5</v>
      </c>
      <c r="K68">
        <v>46230</v>
      </c>
      <c r="L68" t="s">
        <v>216</v>
      </c>
      <c r="M68">
        <v>4.1979549632352944</v>
      </c>
      <c r="N68">
        <v>2.1410556471851017</v>
      </c>
      <c r="O68">
        <v>2.1410556471851017</v>
      </c>
      <c r="P68">
        <v>0.94611107164880559</v>
      </c>
      <c r="Q68">
        <v>0</v>
      </c>
      <c r="R68">
        <v>0</v>
      </c>
      <c r="S68">
        <v>0.89105564718510166</v>
      </c>
      <c r="T68">
        <v>0</v>
      </c>
      <c r="U68">
        <v>0</v>
      </c>
      <c r="V68">
        <v>0</v>
      </c>
      <c r="W68">
        <v>0</v>
      </c>
      <c r="X68">
        <v>0</v>
      </c>
      <c r="Y68">
        <v>0.25</v>
      </c>
      <c r="Z68">
        <v>0</v>
      </c>
      <c r="AA68">
        <v>0</v>
      </c>
      <c r="AB68">
        <v>0</v>
      </c>
      <c r="AC68">
        <v>5.3888928351194409E-2</v>
      </c>
      <c r="AD68">
        <v>0</v>
      </c>
      <c r="AE68">
        <v>0.94611107164880559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0.46705932249576254</v>
      </c>
      <c r="AL68">
        <v>0.46705932249576254</v>
      </c>
      <c r="AM68">
        <v>0.44188999613003099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0.53294067750423746</v>
      </c>
      <c r="AY68">
        <v>0</v>
      </c>
      <c r="AZ68">
        <v>2.5169326365731548E-2</v>
      </c>
      <c r="BA68">
        <v>0</v>
      </c>
      <c r="BB68">
        <v>0.44188999613003099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2.2630066504283093</v>
      </c>
      <c r="BI68">
        <v>2.2630066504283093</v>
      </c>
      <c r="BJ68">
        <v>1.0569583529524511</v>
      </c>
      <c r="CA68">
        <v>0</v>
      </c>
      <c r="CB68">
        <v>0</v>
      </c>
      <c r="CC68">
        <v>0</v>
      </c>
    </row>
    <row r="69" spans="1:82" hidden="1" x14ac:dyDescent="0.25">
      <c r="A69" t="s">
        <v>128</v>
      </c>
      <c r="B69" t="s">
        <v>503</v>
      </c>
      <c r="C69" t="s">
        <v>72</v>
      </c>
      <c r="D69" s="12">
        <v>46230</v>
      </c>
      <c r="E69" t="s">
        <v>133</v>
      </c>
      <c r="F69" t="s">
        <v>74</v>
      </c>
      <c r="G69">
        <v>3.8126545117428936</v>
      </c>
      <c r="H69">
        <v>9.5</v>
      </c>
      <c r="I69">
        <v>20</v>
      </c>
      <c r="J69">
        <v>9.5</v>
      </c>
      <c r="K69">
        <v>46230</v>
      </c>
      <c r="L69" t="s">
        <v>216</v>
      </c>
      <c r="M69">
        <v>4.0588235294117636</v>
      </c>
      <c r="N69">
        <v>2.4917022957994766</v>
      </c>
      <c r="O69">
        <v>2.4917022957994766</v>
      </c>
      <c r="P69">
        <v>1.0645663059452868</v>
      </c>
      <c r="Q69">
        <v>0</v>
      </c>
      <c r="R69">
        <v>0</v>
      </c>
      <c r="S69">
        <v>1.2417022957994766</v>
      </c>
      <c r="T69">
        <v>0</v>
      </c>
      <c r="U69">
        <v>0</v>
      </c>
      <c r="V69">
        <v>0</v>
      </c>
      <c r="W69">
        <v>6.4566305945286784E-2</v>
      </c>
      <c r="X69">
        <v>0</v>
      </c>
      <c r="Y69">
        <v>0.18543369405471322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0.40133205386767301</v>
      </c>
      <c r="AL69">
        <v>0.40133205386767301</v>
      </c>
      <c r="AM69">
        <v>0.42724458204334353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0.57275541795665652</v>
      </c>
      <c r="AY69">
        <v>0</v>
      </c>
      <c r="AZ69">
        <v>0</v>
      </c>
      <c r="BA69">
        <v>0</v>
      </c>
      <c r="BB69">
        <v>0.40133205386767301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2.3405797101449282</v>
      </c>
      <c r="BI69">
        <v>2.3405797101449282</v>
      </c>
      <c r="BJ69">
        <v>0.93934966231346684</v>
      </c>
      <c r="CA69">
        <v>0</v>
      </c>
      <c r="CB69">
        <v>0</v>
      </c>
      <c r="CC69">
        <v>0</v>
      </c>
    </row>
    <row r="70" spans="1:82" hidden="1" x14ac:dyDescent="0.25">
      <c r="A70" t="s">
        <v>128</v>
      </c>
      <c r="B70" t="s">
        <v>372</v>
      </c>
      <c r="C70" t="s">
        <v>72</v>
      </c>
      <c r="D70" s="12">
        <v>46230</v>
      </c>
      <c r="E70" t="s">
        <v>133</v>
      </c>
      <c r="F70" t="s">
        <v>74</v>
      </c>
      <c r="G70">
        <v>4.2207252494765797</v>
      </c>
      <c r="H70">
        <v>4.75</v>
      </c>
      <c r="I70">
        <v>20</v>
      </c>
      <c r="J70">
        <v>4.75</v>
      </c>
      <c r="K70">
        <v>46230</v>
      </c>
      <c r="L70" t="s">
        <v>216</v>
      </c>
      <c r="M70">
        <v>4.6875</v>
      </c>
      <c r="N70">
        <v>1.1253990059146959</v>
      </c>
      <c r="O70">
        <v>1.1253990059146959</v>
      </c>
      <c r="P70">
        <v>1.1105911242579236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0.11059112425792361</v>
      </c>
      <c r="X70">
        <v>0</v>
      </c>
      <c r="Y70">
        <v>1.480788165677227E-2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0.88857373673191153</v>
      </c>
      <c r="AL70">
        <v>0.88857373673191153</v>
      </c>
      <c r="AM70">
        <v>0.98684210526315785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1.3157894736842146E-2</v>
      </c>
      <c r="AY70">
        <v>0</v>
      </c>
      <c r="AZ70">
        <v>0</v>
      </c>
      <c r="BA70">
        <v>0</v>
      </c>
      <c r="BB70">
        <v>0.88857373673191153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1.0133333333333334</v>
      </c>
      <c r="BI70">
        <v>1.0133333333333334</v>
      </c>
      <c r="BJ70">
        <v>0.9004213865550037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1.3333333333333419E-2</v>
      </c>
      <c r="BT70">
        <v>0</v>
      </c>
      <c r="BU70">
        <v>0</v>
      </c>
      <c r="BV70">
        <v>0</v>
      </c>
      <c r="BW70">
        <v>9.95786134449963E-2</v>
      </c>
      <c r="BX70">
        <v>0</v>
      </c>
      <c r="BY70">
        <v>0.9004213865550037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hidden="1" x14ac:dyDescent="0.25">
      <c r="A71" t="s">
        <v>128</v>
      </c>
      <c r="B71" t="s">
        <v>502</v>
      </c>
      <c r="C71" t="s">
        <v>72</v>
      </c>
      <c r="D71" s="12">
        <v>46230</v>
      </c>
      <c r="E71" t="s">
        <v>133</v>
      </c>
      <c r="F71" t="s">
        <v>75</v>
      </c>
      <c r="G71">
        <v>8.216784377240268</v>
      </c>
      <c r="H71">
        <v>20.9</v>
      </c>
      <c r="I71">
        <v>20</v>
      </c>
      <c r="J71">
        <v>20.9</v>
      </c>
      <c r="K71">
        <v>46230</v>
      </c>
      <c r="L71" t="s">
        <v>215</v>
      </c>
      <c r="M71">
        <v>11.812354473039218</v>
      </c>
      <c r="N71">
        <v>2.5435741088559003</v>
      </c>
      <c r="O71">
        <v>2.5435741088559003</v>
      </c>
      <c r="P71">
        <v>1.4375884690072123</v>
      </c>
      <c r="Q71">
        <v>0</v>
      </c>
      <c r="R71">
        <v>0</v>
      </c>
      <c r="S71">
        <v>1.105985639848688</v>
      </c>
      <c r="T71">
        <v>0</v>
      </c>
      <c r="U71">
        <v>0.18758846900721227</v>
      </c>
      <c r="V71">
        <v>0</v>
      </c>
      <c r="W71">
        <v>0.25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0.39314757785838605</v>
      </c>
      <c r="AL71">
        <v>0.39314757785838605</v>
      </c>
      <c r="AM71">
        <v>0.56518442454733098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0.43481557545266902</v>
      </c>
      <c r="AY71">
        <v>0</v>
      </c>
      <c r="AZ71">
        <v>0</v>
      </c>
      <c r="BA71">
        <v>0</v>
      </c>
      <c r="BB71">
        <v>0.39314757785838605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1.7693339670514143</v>
      </c>
      <c r="BI71">
        <v>1.7693339670514143</v>
      </c>
      <c r="BJ71">
        <v>0.69560936356883296</v>
      </c>
      <c r="CA71">
        <v>0</v>
      </c>
      <c r="CB71">
        <v>0</v>
      </c>
      <c r="CC71">
        <v>0</v>
      </c>
    </row>
    <row r="72" spans="1:82" hidden="1" x14ac:dyDescent="0.25">
      <c r="A72" t="s">
        <v>128</v>
      </c>
      <c r="B72" t="s">
        <v>503</v>
      </c>
      <c r="C72" t="s">
        <v>72</v>
      </c>
      <c r="D72" s="12">
        <v>46230</v>
      </c>
      <c r="E72" t="s">
        <v>133</v>
      </c>
      <c r="F72" t="s">
        <v>75</v>
      </c>
      <c r="G72">
        <v>7.4010352286773822</v>
      </c>
      <c r="H72">
        <v>20.9</v>
      </c>
      <c r="I72">
        <v>20</v>
      </c>
      <c r="J72">
        <v>20.9</v>
      </c>
      <c r="K72">
        <v>46230</v>
      </c>
      <c r="L72" t="s">
        <v>215</v>
      </c>
      <c r="M72">
        <v>6.9254901960784299</v>
      </c>
      <c r="N72">
        <v>2.8239292685727397</v>
      </c>
      <c r="O72">
        <v>2.8239292685727397</v>
      </c>
      <c r="P72">
        <v>0.93574614659901634</v>
      </c>
      <c r="Q72">
        <v>0</v>
      </c>
      <c r="R72">
        <v>0</v>
      </c>
      <c r="S72">
        <v>1.5739292685727397</v>
      </c>
      <c r="T72">
        <v>0</v>
      </c>
      <c r="U72">
        <v>0</v>
      </c>
      <c r="V72">
        <v>0</v>
      </c>
      <c r="W72">
        <v>0</v>
      </c>
      <c r="X72">
        <v>0</v>
      </c>
      <c r="Y72">
        <v>0.25</v>
      </c>
      <c r="Z72">
        <v>0</v>
      </c>
      <c r="AA72">
        <v>0</v>
      </c>
      <c r="AB72">
        <v>0</v>
      </c>
      <c r="AC72">
        <v>6.4253853400983663E-2</v>
      </c>
      <c r="AD72">
        <v>0</v>
      </c>
      <c r="AE72">
        <v>0.93574614659901634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0.35411651811853506</v>
      </c>
      <c r="AL72">
        <v>0.35411651811853506</v>
      </c>
      <c r="AM72">
        <v>0.33136316727647991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0.64588348188146494</v>
      </c>
      <c r="AY72">
        <v>0</v>
      </c>
      <c r="AZ72">
        <v>2.2753350842055153E-2</v>
      </c>
      <c r="BA72">
        <v>0</v>
      </c>
      <c r="BB72">
        <v>0.33136316727647991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3.0178369195922996</v>
      </c>
      <c r="BI72">
        <v>3.0178369195922996</v>
      </c>
      <c r="BJ72">
        <v>1.0686659022155904</v>
      </c>
      <c r="CA72">
        <v>0</v>
      </c>
      <c r="CB72">
        <v>0</v>
      </c>
      <c r="CC72">
        <v>0</v>
      </c>
    </row>
    <row r="73" spans="1:82" hidden="1" x14ac:dyDescent="0.25">
      <c r="A73" t="s">
        <v>128</v>
      </c>
      <c r="B73" t="s">
        <v>372</v>
      </c>
      <c r="C73" t="s">
        <v>72</v>
      </c>
      <c r="D73" s="12">
        <v>46230</v>
      </c>
      <c r="E73" t="s">
        <v>133</v>
      </c>
      <c r="F73" t="s">
        <v>75</v>
      </c>
      <c r="G73">
        <v>10.973885648639106</v>
      </c>
      <c r="H73">
        <v>10.45</v>
      </c>
      <c r="I73">
        <v>20</v>
      </c>
      <c r="J73">
        <v>10.45</v>
      </c>
      <c r="K73">
        <v>46230</v>
      </c>
      <c r="L73" t="s">
        <v>215</v>
      </c>
      <c r="M73">
        <v>10.955208333333331</v>
      </c>
      <c r="N73">
        <v>0.95226069731243512</v>
      </c>
      <c r="O73">
        <v>0.95226069731243512</v>
      </c>
      <c r="P73">
        <v>0.99829802169406689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4.6037324381631772E-2</v>
      </c>
      <c r="AA73">
        <v>1.7019783059331051E-3</v>
      </c>
      <c r="AB73">
        <v>0</v>
      </c>
      <c r="AC73">
        <v>0</v>
      </c>
      <c r="AD73">
        <v>0</v>
      </c>
      <c r="AE73">
        <v>0.95226069731243512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1.0501325979558953</v>
      </c>
      <c r="AL73">
        <v>1.0501325979558953</v>
      </c>
      <c r="AM73">
        <v>1.0483452950558212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4.8345295055821191E-2</v>
      </c>
      <c r="AU73">
        <v>0</v>
      </c>
      <c r="AV73">
        <v>1.787302900074117E-3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0.95388418750594284</v>
      </c>
      <c r="BI73">
        <v>0.95388418750594284</v>
      </c>
      <c r="BJ73">
        <v>1.0017048799746642</v>
      </c>
      <c r="BK73">
        <v>1.7048799746641752E-3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4.7739302687564877E-2</v>
      </c>
      <c r="BU73">
        <v>0</v>
      </c>
      <c r="BV73">
        <v>0</v>
      </c>
      <c r="BW73">
        <v>0</v>
      </c>
      <c r="BX73">
        <v>0</v>
      </c>
      <c r="BY73">
        <v>0.95388418750594284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hidden="1" x14ac:dyDescent="0.25">
      <c r="A74" t="s">
        <v>128</v>
      </c>
      <c r="B74" t="s">
        <v>502</v>
      </c>
      <c r="C74" t="s">
        <v>72</v>
      </c>
      <c r="D74" s="12">
        <v>46231</v>
      </c>
      <c r="E74" t="s">
        <v>133</v>
      </c>
      <c r="F74" t="s">
        <v>73</v>
      </c>
      <c r="G74">
        <v>9.9149198152032554</v>
      </c>
      <c r="H74">
        <v>34.199999999999996</v>
      </c>
      <c r="I74">
        <v>20</v>
      </c>
      <c r="J74">
        <v>34.199999999999996</v>
      </c>
      <c r="K74">
        <v>46231</v>
      </c>
      <c r="L74" t="s">
        <v>214</v>
      </c>
      <c r="M74">
        <v>13.621583946078427</v>
      </c>
      <c r="N74">
        <v>3.4493471089457213</v>
      </c>
      <c r="O74">
        <v>3.4493471089457213</v>
      </c>
      <c r="P74">
        <v>1.3738471112183357</v>
      </c>
      <c r="Q74">
        <v>0</v>
      </c>
      <c r="R74">
        <v>0</v>
      </c>
      <c r="S74">
        <v>2.0754999977273858</v>
      </c>
      <c r="T74">
        <v>0</v>
      </c>
      <c r="U74">
        <v>0.12384711121833569</v>
      </c>
      <c r="V74">
        <v>0</v>
      </c>
      <c r="W74">
        <v>0.25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0.28990993611705429</v>
      </c>
      <c r="AL74">
        <v>0.28990993611705429</v>
      </c>
      <c r="AM74">
        <v>0.39829192824790727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0.60170807175209273</v>
      </c>
      <c r="AY74">
        <v>0</v>
      </c>
      <c r="AZ74">
        <v>0</v>
      </c>
      <c r="BA74">
        <v>0</v>
      </c>
      <c r="BB74">
        <v>0.28990993611705429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2.5107212300259669</v>
      </c>
      <c r="BI74">
        <v>2.5107212300259669</v>
      </c>
      <c r="BJ74">
        <v>0.72788303140456012</v>
      </c>
      <c r="CA74">
        <v>0</v>
      </c>
      <c r="CB74">
        <v>0</v>
      </c>
      <c r="CC74">
        <v>0</v>
      </c>
    </row>
    <row r="75" spans="1:82" hidden="1" x14ac:dyDescent="0.25">
      <c r="A75" t="s">
        <v>128</v>
      </c>
      <c r="B75" t="s">
        <v>503</v>
      </c>
      <c r="C75" t="s">
        <v>72</v>
      </c>
      <c r="D75" s="12">
        <v>46231</v>
      </c>
      <c r="E75" t="s">
        <v>133</v>
      </c>
      <c r="F75" t="s">
        <v>73</v>
      </c>
      <c r="G75">
        <v>9.3634309332509318</v>
      </c>
      <c r="H75">
        <v>34.199999999999996</v>
      </c>
      <c r="I75">
        <v>20</v>
      </c>
      <c r="J75">
        <v>34.199999999999996</v>
      </c>
      <c r="K75">
        <v>46231</v>
      </c>
      <c r="L75" t="s">
        <v>214</v>
      </c>
      <c r="M75">
        <v>8.6490196078431296</v>
      </c>
      <c r="N75">
        <v>3.6525073174353992</v>
      </c>
      <c r="O75">
        <v>3.6525073174353992</v>
      </c>
      <c r="P75">
        <v>0.92370197094413098</v>
      </c>
      <c r="Q75">
        <v>0</v>
      </c>
      <c r="R75">
        <v>0</v>
      </c>
      <c r="S75">
        <v>2.4025073174353992</v>
      </c>
      <c r="T75">
        <v>0</v>
      </c>
      <c r="U75">
        <v>0</v>
      </c>
      <c r="V75">
        <v>0</v>
      </c>
      <c r="W75">
        <v>0</v>
      </c>
      <c r="X75">
        <v>0</v>
      </c>
      <c r="Y75">
        <v>0.25</v>
      </c>
      <c r="Z75">
        <v>0</v>
      </c>
      <c r="AA75">
        <v>0</v>
      </c>
      <c r="AB75">
        <v>0</v>
      </c>
      <c r="AC75">
        <v>7.6298029055869021E-2</v>
      </c>
      <c r="AD75">
        <v>0</v>
      </c>
      <c r="AE75">
        <v>0.92370197094413098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0.2737845302120156</v>
      </c>
      <c r="AL75">
        <v>0.2737845302120156</v>
      </c>
      <c r="AM75">
        <v>0.25289531017085176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0.72621546978798435</v>
      </c>
      <c r="AY75">
        <v>0</v>
      </c>
      <c r="AZ75">
        <v>2.0889220041163836E-2</v>
      </c>
      <c r="BA75">
        <v>0</v>
      </c>
      <c r="BB75">
        <v>0.25289531017085176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3.9542053956019072</v>
      </c>
      <c r="BI75">
        <v>3.9542053956019072</v>
      </c>
      <c r="BJ75">
        <v>1.0826002665966854</v>
      </c>
      <c r="CA75">
        <v>0</v>
      </c>
      <c r="CB75">
        <v>0</v>
      </c>
      <c r="CC75">
        <v>0</v>
      </c>
    </row>
    <row r="76" spans="1:82" hidden="1" x14ac:dyDescent="0.25">
      <c r="A76" t="s">
        <v>128</v>
      </c>
      <c r="B76" t="s">
        <v>372</v>
      </c>
      <c r="C76" t="s">
        <v>72</v>
      </c>
      <c r="D76" s="12">
        <v>46231</v>
      </c>
      <c r="E76" t="s">
        <v>133</v>
      </c>
      <c r="F76" t="s">
        <v>73</v>
      </c>
      <c r="G76">
        <v>11.738892100106735</v>
      </c>
      <c r="H76">
        <v>19</v>
      </c>
      <c r="I76">
        <v>20</v>
      </c>
      <c r="J76">
        <v>19</v>
      </c>
      <c r="K76">
        <v>46231</v>
      </c>
      <c r="L76" t="s">
        <v>214</v>
      </c>
      <c r="M76">
        <v>9.5187500000000007</v>
      </c>
      <c r="N76">
        <v>1.6185513792930462</v>
      </c>
      <c r="O76">
        <v>1.6185513792930462</v>
      </c>
      <c r="P76">
        <v>0.8108729442971413</v>
      </c>
      <c r="Q76">
        <v>0</v>
      </c>
      <c r="R76">
        <v>0</v>
      </c>
      <c r="S76">
        <v>0.36855137929304616</v>
      </c>
      <c r="T76">
        <v>0</v>
      </c>
      <c r="U76">
        <v>0</v>
      </c>
      <c r="V76">
        <v>0</v>
      </c>
      <c r="W76">
        <v>0</v>
      </c>
      <c r="X76">
        <v>0</v>
      </c>
      <c r="Y76">
        <v>0.25</v>
      </c>
      <c r="Z76">
        <v>0</v>
      </c>
      <c r="AA76">
        <v>0</v>
      </c>
      <c r="AB76">
        <v>0</v>
      </c>
      <c r="AC76">
        <v>0.1891270557028587</v>
      </c>
      <c r="AD76">
        <v>0</v>
      </c>
      <c r="AE76">
        <v>0.8108729442971413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0.61783642632140712</v>
      </c>
      <c r="AL76">
        <v>0.61783642632140712</v>
      </c>
      <c r="AM76">
        <v>0.50098684210526323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0.38216357367859288</v>
      </c>
      <c r="AY76">
        <v>0</v>
      </c>
      <c r="AZ76">
        <v>0.11684958421614389</v>
      </c>
      <c r="BA76">
        <v>0</v>
      </c>
      <c r="BB76">
        <v>0.50098684210526323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1.9960604070912671</v>
      </c>
      <c r="BI76">
        <v>1.9960604070912671</v>
      </c>
      <c r="BJ76">
        <v>1.2332388286389215</v>
      </c>
      <c r="CA76">
        <v>0</v>
      </c>
      <c r="CB76">
        <v>0</v>
      </c>
      <c r="CC76">
        <v>0</v>
      </c>
    </row>
    <row r="77" spans="1:82" hidden="1" x14ac:dyDescent="0.25">
      <c r="A77" t="s">
        <v>128</v>
      </c>
      <c r="B77" t="s">
        <v>502</v>
      </c>
      <c r="C77" t="s">
        <v>72</v>
      </c>
      <c r="D77" s="12">
        <v>46231</v>
      </c>
      <c r="E77" t="s">
        <v>133</v>
      </c>
      <c r="F77" t="s">
        <v>74</v>
      </c>
      <c r="G77">
        <v>4.437063563709744</v>
      </c>
      <c r="H77">
        <v>7.6</v>
      </c>
      <c r="I77">
        <v>20</v>
      </c>
      <c r="J77">
        <v>7.6</v>
      </c>
      <c r="K77">
        <v>46231</v>
      </c>
      <c r="L77" t="s">
        <v>230</v>
      </c>
      <c r="M77">
        <v>4.0805070465686271</v>
      </c>
      <c r="N77">
        <v>1.7128445177480813</v>
      </c>
      <c r="O77">
        <v>1.7128445177480813</v>
      </c>
      <c r="P77">
        <v>0.91964133215098531</v>
      </c>
      <c r="Q77">
        <v>0</v>
      </c>
      <c r="R77">
        <v>0</v>
      </c>
      <c r="S77">
        <v>0.46284451774808133</v>
      </c>
      <c r="T77">
        <v>0</v>
      </c>
      <c r="U77">
        <v>0</v>
      </c>
      <c r="V77">
        <v>0</v>
      </c>
      <c r="W77">
        <v>0</v>
      </c>
      <c r="X77">
        <v>0</v>
      </c>
      <c r="Y77">
        <v>0.25</v>
      </c>
      <c r="Z77">
        <v>0</v>
      </c>
      <c r="AA77">
        <v>0</v>
      </c>
      <c r="AB77">
        <v>0</v>
      </c>
      <c r="AC77">
        <v>8.0358667849014687E-2</v>
      </c>
      <c r="AD77">
        <v>0</v>
      </c>
      <c r="AE77">
        <v>0.91964133215098531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0.58382415311970315</v>
      </c>
      <c r="AL77">
        <v>0.58382415311970315</v>
      </c>
      <c r="AM77">
        <v>0.53690882191692468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0.41617584688029685</v>
      </c>
      <c r="AY77">
        <v>0</v>
      </c>
      <c r="AZ77">
        <v>4.6915331202778465E-2</v>
      </c>
      <c r="BA77">
        <v>0</v>
      </c>
      <c r="BB77">
        <v>0.53690882191692468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1.8625136320720188</v>
      </c>
      <c r="BI77">
        <v>1.8625136320720188</v>
      </c>
      <c r="BJ77">
        <v>1.0873804439183488</v>
      </c>
      <c r="CA77">
        <v>0</v>
      </c>
      <c r="CB77">
        <v>0</v>
      </c>
      <c r="CC77">
        <v>0</v>
      </c>
    </row>
    <row r="78" spans="1:82" hidden="1" x14ac:dyDescent="0.25">
      <c r="A78" t="s">
        <v>128</v>
      </c>
      <c r="B78" t="s">
        <v>503</v>
      </c>
      <c r="C78" t="s">
        <v>72</v>
      </c>
      <c r="D78" s="12">
        <v>46231</v>
      </c>
      <c r="E78" t="s">
        <v>133</v>
      </c>
      <c r="F78" t="s">
        <v>74</v>
      </c>
      <c r="G78">
        <v>3.8126545117428936</v>
      </c>
      <c r="H78">
        <v>7.6</v>
      </c>
      <c r="I78">
        <v>20</v>
      </c>
      <c r="J78">
        <v>7.6</v>
      </c>
      <c r="K78">
        <v>46231</v>
      </c>
      <c r="L78" t="s">
        <v>230</v>
      </c>
      <c r="M78">
        <v>3.9411764705882346</v>
      </c>
      <c r="N78">
        <v>1.9933618366395811</v>
      </c>
      <c r="O78">
        <v>1.9933618366395811</v>
      </c>
      <c r="P78">
        <v>1.0337093115700613</v>
      </c>
      <c r="Q78">
        <v>0</v>
      </c>
      <c r="R78">
        <v>0</v>
      </c>
      <c r="S78">
        <v>0.74336183663958111</v>
      </c>
      <c r="T78">
        <v>0</v>
      </c>
      <c r="U78">
        <v>0</v>
      </c>
      <c r="V78">
        <v>0</v>
      </c>
      <c r="W78">
        <v>3.3709311570061296E-2</v>
      </c>
      <c r="X78">
        <v>0</v>
      </c>
      <c r="Y78">
        <v>0.2162906884299387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0.50166506733459126</v>
      </c>
      <c r="AL78">
        <v>0.50166506733459126</v>
      </c>
      <c r="AM78">
        <v>0.51857585139318874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0.48142414860681126</v>
      </c>
      <c r="AY78">
        <v>0</v>
      </c>
      <c r="AZ78">
        <v>0</v>
      </c>
      <c r="BA78">
        <v>0</v>
      </c>
      <c r="BB78">
        <v>0.50166506733459126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1.928358208955224</v>
      </c>
      <c r="BI78">
        <v>1.928358208955224</v>
      </c>
      <c r="BJ78">
        <v>0.96738995074073442</v>
      </c>
      <c r="CA78">
        <v>0</v>
      </c>
      <c r="CB78">
        <v>0</v>
      </c>
      <c r="CC78">
        <v>0</v>
      </c>
    </row>
    <row r="79" spans="1:82" hidden="1" x14ac:dyDescent="0.25">
      <c r="A79" t="s">
        <v>128</v>
      </c>
      <c r="B79" t="s">
        <v>372</v>
      </c>
      <c r="C79" t="s">
        <v>72</v>
      </c>
      <c r="D79" s="12">
        <v>46231</v>
      </c>
      <c r="E79" t="s">
        <v>133</v>
      </c>
      <c r="F79" t="s">
        <v>74</v>
      </c>
      <c r="G79">
        <v>4.2207252494765797</v>
      </c>
      <c r="H79">
        <v>3.8</v>
      </c>
      <c r="I79">
        <v>20</v>
      </c>
      <c r="J79">
        <v>3.8</v>
      </c>
      <c r="K79">
        <v>46231</v>
      </c>
      <c r="L79" t="s">
        <v>230</v>
      </c>
      <c r="M79">
        <v>4.6875</v>
      </c>
      <c r="N79">
        <v>0.90031920473175675</v>
      </c>
      <c r="O79">
        <v>0.90031920473175675</v>
      </c>
      <c r="P79">
        <v>1.1105911242579236</v>
      </c>
      <c r="Q79">
        <v>0.11059112425792361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9.968079526824325E-2</v>
      </c>
      <c r="AA79">
        <v>0</v>
      </c>
      <c r="AB79">
        <v>0</v>
      </c>
      <c r="AC79">
        <v>0</v>
      </c>
      <c r="AD79">
        <v>0</v>
      </c>
      <c r="AE79">
        <v>0.90031920473175675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1.1107171709148895</v>
      </c>
      <c r="AL79">
        <v>1.1107171709148895</v>
      </c>
      <c r="AM79">
        <v>1.2335526315789473</v>
      </c>
      <c r="AN79">
        <v>0.12283546066405782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0.11071717091488953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0.81066666666666665</v>
      </c>
      <c r="BI79">
        <v>0.81066666666666665</v>
      </c>
      <c r="BJ79">
        <v>0.9004213865550037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9.95786134449963E-2</v>
      </c>
      <c r="BV79">
        <v>0</v>
      </c>
      <c r="BW79">
        <v>0</v>
      </c>
      <c r="BX79">
        <v>0</v>
      </c>
      <c r="BY79">
        <v>0.81066666666666665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hidden="1" x14ac:dyDescent="0.25">
      <c r="A80" t="s">
        <v>128</v>
      </c>
      <c r="B80" t="s">
        <v>502</v>
      </c>
      <c r="C80" t="s">
        <v>72</v>
      </c>
      <c r="D80" s="12">
        <v>46231</v>
      </c>
      <c r="E80" t="s">
        <v>133</v>
      </c>
      <c r="F80" t="s">
        <v>75</v>
      </c>
      <c r="G80">
        <v>8.216784377240268</v>
      </c>
      <c r="H80">
        <v>20.9</v>
      </c>
      <c r="I80">
        <v>20</v>
      </c>
      <c r="J80">
        <v>20.9</v>
      </c>
      <c r="K80">
        <v>46231</v>
      </c>
      <c r="L80" t="s">
        <v>231</v>
      </c>
      <c r="M80">
        <v>10.297909007352942</v>
      </c>
      <c r="N80">
        <v>2.5435741088559003</v>
      </c>
      <c r="O80">
        <v>2.5435741088559003</v>
      </c>
      <c r="P80">
        <v>1.2532772596390866</v>
      </c>
      <c r="Q80">
        <v>0</v>
      </c>
      <c r="R80">
        <v>0</v>
      </c>
      <c r="S80">
        <v>1.2902968492168136</v>
      </c>
      <c r="T80">
        <v>0</v>
      </c>
      <c r="U80">
        <v>3.2772596390866493E-3</v>
      </c>
      <c r="V80">
        <v>0</v>
      </c>
      <c r="W80">
        <v>0.25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0.39314757785838605</v>
      </c>
      <c r="AL80">
        <v>0.39314757785838605</v>
      </c>
      <c r="AM80">
        <v>0.49272291901210252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0.50727708098789748</v>
      </c>
      <c r="AY80">
        <v>0</v>
      </c>
      <c r="AZ80">
        <v>0</v>
      </c>
      <c r="BA80">
        <v>0</v>
      </c>
      <c r="BB80">
        <v>0.39314757785838605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2.0295382281079508</v>
      </c>
      <c r="BI80">
        <v>2.0295382281079508</v>
      </c>
      <c r="BJ80">
        <v>0.7979080385516415</v>
      </c>
      <c r="CA80">
        <v>0</v>
      </c>
      <c r="CB80">
        <v>0</v>
      </c>
      <c r="CC80">
        <v>0</v>
      </c>
    </row>
    <row r="81" spans="1:82" hidden="1" x14ac:dyDescent="0.25">
      <c r="A81" t="s">
        <v>128</v>
      </c>
      <c r="B81" t="s">
        <v>372</v>
      </c>
      <c r="C81" t="s">
        <v>72</v>
      </c>
      <c r="D81" s="12">
        <v>46231</v>
      </c>
      <c r="E81" t="s">
        <v>133</v>
      </c>
      <c r="F81" t="s">
        <v>75</v>
      </c>
      <c r="G81">
        <v>10.973885648639106</v>
      </c>
      <c r="H81">
        <v>10.45</v>
      </c>
      <c r="I81">
        <v>20</v>
      </c>
      <c r="J81">
        <v>10.45</v>
      </c>
      <c r="K81">
        <v>46231</v>
      </c>
      <c r="L81" t="s">
        <v>231</v>
      </c>
      <c r="M81">
        <v>12.2</v>
      </c>
      <c r="N81">
        <v>0.95226069731243512</v>
      </c>
      <c r="O81">
        <v>0.95226069731243512</v>
      </c>
      <c r="P81">
        <v>1.1117301920776754</v>
      </c>
      <c r="Q81">
        <v>0.11173019207767543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4.7739302687564877E-2</v>
      </c>
      <c r="AA81">
        <v>0</v>
      </c>
      <c r="AB81">
        <v>0</v>
      </c>
      <c r="AC81">
        <v>0</v>
      </c>
      <c r="AD81">
        <v>0</v>
      </c>
      <c r="AE81">
        <v>0.95226069731243512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1.0501325979558953</v>
      </c>
      <c r="AL81">
        <v>1.0501325979558953</v>
      </c>
      <c r="AM81">
        <v>1.167464114832536</v>
      </c>
      <c r="AN81">
        <v>0.11733151687664067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5.0132597955895308E-2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0.85655737704918034</v>
      </c>
      <c r="BI81">
        <v>0.85655737704918034</v>
      </c>
      <c r="BJ81">
        <v>0.89949882365894318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0.10050117634105682</v>
      </c>
      <c r="BV81">
        <v>0</v>
      </c>
      <c r="BW81">
        <v>0</v>
      </c>
      <c r="BX81">
        <v>0</v>
      </c>
      <c r="BY81">
        <v>0.85655737704918034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hidden="1" x14ac:dyDescent="0.25">
      <c r="A82" t="s">
        <v>128</v>
      </c>
      <c r="B82" t="s">
        <v>503</v>
      </c>
      <c r="C82" t="s">
        <v>72</v>
      </c>
      <c r="D82" s="12">
        <v>46231</v>
      </c>
      <c r="E82" t="s">
        <v>133</v>
      </c>
      <c r="F82" t="s">
        <v>75</v>
      </c>
      <c r="G82">
        <v>7.3449667799752829</v>
      </c>
      <c r="H82">
        <v>20.9</v>
      </c>
      <c r="I82">
        <v>20</v>
      </c>
      <c r="J82">
        <v>20.9</v>
      </c>
      <c r="K82">
        <v>46231</v>
      </c>
      <c r="L82" t="s">
        <v>231</v>
      </c>
      <c r="M82">
        <v>6.6598039215686242</v>
      </c>
      <c r="N82">
        <v>2.8454859805465764</v>
      </c>
      <c r="O82">
        <v>2.8454859805465764</v>
      </c>
      <c r="P82">
        <v>0.90671668382835569</v>
      </c>
      <c r="Q82">
        <v>0</v>
      </c>
      <c r="R82">
        <v>0</v>
      </c>
      <c r="S82">
        <v>1.5954859805465764</v>
      </c>
      <c r="T82">
        <v>0</v>
      </c>
      <c r="U82">
        <v>0</v>
      </c>
      <c r="V82">
        <v>0</v>
      </c>
      <c r="W82">
        <v>0</v>
      </c>
      <c r="X82">
        <v>0</v>
      </c>
      <c r="Y82">
        <v>0.25</v>
      </c>
      <c r="Z82">
        <v>0</v>
      </c>
      <c r="AA82">
        <v>0</v>
      </c>
      <c r="AB82">
        <v>0</v>
      </c>
      <c r="AC82">
        <v>9.3283316171644315E-2</v>
      </c>
      <c r="AD82">
        <v>0</v>
      </c>
      <c r="AE82">
        <v>0.90671668382835569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0.35143381722369776</v>
      </c>
      <c r="AL82">
        <v>0.35143381722369776</v>
      </c>
      <c r="AM82">
        <v>0.31865090533821172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0.64856618277630229</v>
      </c>
      <c r="AY82">
        <v>0</v>
      </c>
      <c r="AZ82">
        <v>3.2782911885486044E-2</v>
      </c>
      <c r="BA82">
        <v>0</v>
      </c>
      <c r="BB82">
        <v>0.31865090533821172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3.1382305314294139</v>
      </c>
      <c r="BI82">
        <v>3.1382305314294139</v>
      </c>
      <c r="BJ82">
        <v>1.1028803349881926</v>
      </c>
      <c r="CA82">
        <v>0</v>
      </c>
      <c r="CB82">
        <v>0</v>
      </c>
      <c r="CC82">
        <v>0</v>
      </c>
    </row>
    <row r="83" spans="1:82" hidden="1" x14ac:dyDescent="0.25">
      <c r="A83" t="s">
        <v>128</v>
      </c>
      <c r="B83" t="s">
        <v>503</v>
      </c>
      <c r="C83" t="s">
        <v>72</v>
      </c>
      <c r="D83" s="12">
        <v>46232</v>
      </c>
      <c r="E83" t="s">
        <v>133</v>
      </c>
      <c r="F83" t="s">
        <v>73</v>
      </c>
      <c r="G83">
        <v>9.36343093325093</v>
      </c>
      <c r="H83">
        <v>36.1</v>
      </c>
      <c r="I83">
        <v>20</v>
      </c>
      <c r="J83">
        <v>36.1</v>
      </c>
      <c r="K83">
        <v>46232</v>
      </c>
      <c r="L83" t="s">
        <v>238</v>
      </c>
      <c r="M83">
        <v>8.5823529411764667</v>
      </c>
      <c r="N83">
        <v>3.855424390626256</v>
      </c>
      <c r="O83">
        <v>3.855424390626256</v>
      </c>
      <c r="P83">
        <v>0.91658207363918931</v>
      </c>
      <c r="Q83">
        <v>0</v>
      </c>
      <c r="R83">
        <v>0</v>
      </c>
      <c r="S83">
        <v>2.605424390626256</v>
      </c>
      <c r="T83">
        <v>0</v>
      </c>
      <c r="U83">
        <v>0</v>
      </c>
      <c r="V83">
        <v>0</v>
      </c>
      <c r="W83">
        <v>0</v>
      </c>
      <c r="X83">
        <v>0</v>
      </c>
      <c r="Y83">
        <v>0.25</v>
      </c>
      <c r="Z83">
        <v>0</v>
      </c>
      <c r="AA83">
        <v>0</v>
      </c>
      <c r="AB83">
        <v>0</v>
      </c>
      <c r="AC83">
        <v>8.341792636081069E-2</v>
      </c>
      <c r="AD83">
        <v>0</v>
      </c>
      <c r="AE83">
        <v>0.91658207363918931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0.2593748180955936</v>
      </c>
      <c r="AL83">
        <v>0.2593748180955936</v>
      </c>
      <c r="AM83">
        <v>0.23773830861984671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0.7406251819044064</v>
      </c>
      <c r="AY83">
        <v>0</v>
      </c>
      <c r="AZ83">
        <v>2.1636509475746885E-2</v>
      </c>
      <c r="BA83">
        <v>0</v>
      </c>
      <c r="BB83">
        <v>0.23773830861984671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4.2063056888279666</v>
      </c>
      <c r="BI83">
        <v>4.2063056888279666</v>
      </c>
      <c r="BJ83">
        <v>1.0910097728942143</v>
      </c>
      <c r="CA83">
        <v>0</v>
      </c>
      <c r="CB83">
        <v>0</v>
      </c>
      <c r="CC83">
        <v>0</v>
      </c>
    </row>
    <row r="84" spans="1:82" hidden="1" x14ac:dyDescent="0.25">
      <c r="A84" t="s">
        <v>128</v>
      </c>
      <c r="B84" t="s">
        <v>372</v>
      </c>
      <c r="C84" t="s">
        <v>72</v>
      </c>
      <c r="D84" s="12">
        <v>46232</v>
      </c>
      <c r="E84" t="s">
        <v>133</v>
      </c>
      <c r="F84" t="s">
        <v>73</v>
      </c>
      <c r="G84">
        <v>12.583037150002054</v>
      </c>
      <c r="H84">
        <v>18.05</v>
      </c>
      <c r="I84">
        <v>20</v>
      </c>
      <c r="J84">
        <v>18.05</v>
      </c>
      <c r="K84">
        <v>46232</v>
      </c>
      <c r="L84" t="s">
        <v>238</v>
      </c>
      <c r="M84">
        <v>13.590073529411764</v>
      </c>
      <c r="N84">
        <v>1.434470850306363</v>
      </c>
      <c r="O84">
        <v>1.434470850306363</v>
      </c>
      <c r="P84">
        <v>1.0800312649009023</v>
      </c>
      <c r="Q84">
        <v>0</v>
      </c>
      <c r="R84">
        <v>0</v>
      </c>
      <c r="S84">
        <v>0.18447085030636301</v>
      </c>
      <c r="T84">
        <v>0</v>
      </c>
      <c r="U84">
        <v>0</v>
      </c>
      <c r="V84">
        <v>0</v>
      </c>
      <c r="W84">
        <v>8.0031264900902288E-2</v>
      </c>
      <c r="X84">
        <v>0</v>
      </c>
      <c r="Y84">
        <v>0.16996873509909771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0.69712117174526611</v>
      </c>
      <c r="AL84">
        <v>0.69712117174526611</v>
      </c>
      <c r="AM84">
        <v>0.75291266090923903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0.24708733909076097</v>
      </c>
      <c r="AY84">
        <v>0</v>
      </c>
      <c r="AZ84">
        <v>0</v>
      </c>
      <c r="BA84">
        <v>0</v>
      </c>
      <c r="BB84">
        <v>0.69712117174526611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1.3281753009603681</v>
      </c>
      <c r="BI84">
        <v>1.3281753009603681</v>
      </c>
      <c r="BJ84">
        <v>0.92589912208861325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0.32817530096036807</v>
      </c>
      <c r="BT84">
        <v>0</v>
      </c>
      <c r="BU84">
        <v>0</v>
      </c>
      <c r="BV84">
        <v>0</v>
      </c>
      <c r="BW84">
        <v>7.4100877911386753E-2</v>
      </c>
      <c r="BX84">
        <v>0</v>
      </c>
      <c r="BY84">
        <v>0.92589912208861325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hidden="1" x14ac:dyDescent="0.25">
      <c r="A85" t="s">
        <v>128</v>
      </c>
      <c r="B85" t="s">
        <v>502</v>
      </c>
      <c r="C85" t="s">
        <v>72</v>
      </c>
      <c r="D85" s="12">
        <v>46232</v>
      </c>
      <c r="E85" t="s">
        <v>133</v>
      </c>
      <c r="F85" t="s">
        <v>73</v>
      </c>
      <c r="G85">
        <v>9.9149198152032554</v>
      </c>
      <c r="H85">
        <v>36.1</v>
      </c>
      <c r="I85">
        <v>20</v>
      </c>
      <c r="J85">
        <v>36.1</v>
      </c>
      <c r="K85">
        <v>46232</v>
      </c>
      <c r="L85" t="s">
        <v>238</v>
      </c>
      <c r="M85">
        <v>11.974065563725487</v>
      </c>
      <c r="N85">
        <v>3.640977503887151</v>
      </c>
      <c r="O85">
        <v>3.640977503887151</v>
      </c>
      <c r="P85">
        <v>1.2076815331743578</v>
      </c>
      <c r="Q85">
        <v>0</v>
      </c>
      <c r="R85">
        <v>0</v>
      </c>
      <c r="S85">
        <v>2.390977503887151</v>
      </c>
      <c r="T85">
        <v>0</v>
      </c>
      <c r="U85">
        <v>0</v>
      </c>
      <c r="V85">
        <v>0</v>
      </c>
      <c r="W85">
        <v>0.20768153317435778</v>
      </c>
      <c r="X85">
        <v>0</v>
      </c>
      <c r="Y85">
        <v>4.231846682564222E-2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0.27465151842668295</v>
      </c>
      <c r="AL85">
        <v>0.27465151842668295</v>
      </c>
      <c r="AM85">
        <v>0.33169156686220186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0.6683084331377982</v>
      </c>
      <c r="AY85">
        <v>0</v>
      </c>
      <c r="AZ85">
        <v>0</v>
      </c>
      <c r="BA85">
        <v>0</v>
      </c>
      <c r="BB85">
        <v>0.27465151842668295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3.0148490341795173</v>
      </c>
      <c r="BI85">
        <v>3.0148490341795173</v>
      </c>
      <c r="BJ85">
        <v>0.82803286506462304</v>
      </c>
      <c r="CA85">
        <v>0</v>
      </c>
      <c r="CB85">
        <v>0</v>
      </c>
      <c r="CC85">
        <v>0</v>
      </c>
    </row>
    <row r="86" spans="1:82" hidden="1" x14ac:dyDescent="0.25">
      <c r="A86" t="s">
        <v>128</v>
      </c>
      <c r="B86" t="s">
        <v>372</v>
      </c>
      <c r="C86" t="s">
        <v>72</v>
      </c>
      <c r="D86" s="12">
        <v>46232</v>
      </c>
      <c r="E86" t="s">
        <v>133</v>
      </c>
      <c r="F86" t="s">
        <v>74</v>
      </c>
      <c r="G86">
        <v>4.2207252494765797</v>
      </c>
      <c r="H86">
        <v>3.8</v>
      </c>
      <c r="I86">
        <v>20</v>
      </c>
      <c r="J86">
        <v>3.8</v>
      </c>
      <c r="K86">
        <v>46232</v>
      </c>
      <c r="L86" t="s">
        <v>237</v>
      </c>
      <c r="M86">
        <v>4.6875</v>
      </c>
      <c r="N86">
        <v>0.90031920473175675</v>
      </c>
      <c r="O86">
        <v>0.90031920473175675</v>
      </c>
      <c r="P86">
        <v>1.1105911242579236</v>
      </c>
      <c r="Q86">
        <v>0.11059112425792361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9.968079526824325E-2</v>
      </c>
      <c r="AA86">
        <v>0</v>
      </c>
      <c r="AB86">
        <v>0</v>
      </c>
      <c r="AC86">
        <v>0</v>
      </c>
      <c r="AD86">
        <v>0</v>
      </c>
      <c r="AE86">
        <v>0.90031920473175675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1.1107171709148895</v>
      </c>
      <c r="AL86">
        <v>1.1107171709148895</v>
      </c>
      <c r="AM86">
        <v>1.2335526315789473</v>
      </c>
      <c r="AN86">
        <v>0.12283546066405782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0.11071717091488953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0.81066666666666665</v>
      </c>
      <c r="BI86">
        <v>0.81066666666666665</v>
      </c>
      <c r="BJ86">
        <v>0.9004213865550037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9.95786134449963E-2</v>
      </c>
      <c r="BV86">
        <v>0</v>
      </c>
      <c r="BW86">
        <v>0</v>
      </c>
      <c r="BX86">
        <v>0</v>
      </c>
      <c r="BY86">
        <v>0.81066666666666665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hidden="1" x14ac:dyDescent="0.25">
      <c r="A87" t="s">
        <v>128</v>
      </c>
      <c r="B87" t="s">
        <v>502</v>
      </c>
      <c r="C87" t="s">
        <v>72</v>
      </c>
      <c r="D87" s="12">
        <v>46232</v>
      </c>
      <c r="E87" t="s">
        <v>133</v>
      </c>
      <c r="F87" t="s">
        <v>74</v>
      </c>
      <c r="G87">
        <v>4.437063563709744</v>
      </c>
      <c r="H87">
        <v>7.6</v>
      </c>
      <c r="I87">
        <v>20</v>
      </c>
      <c r="J87">
        <v>7.6</v>
      </c>
      <c r="K87">
        <v>46232</v>
      </c>
      <c r="L87" t="s">
        <v>237</v>
      </c>
      <c r="M87">
        <v>4.0805070465686271</v>
      </c>
      <c r="N87">
        <v>1.7128445177480813</v>
      </c>
      <c r="O87">
        <v>1.7128445177480813</v>
      </c>
      <c r="P87">
        <v>0.91964133215098531</v>
      </c>
      <c r="Q87">
        <v>0</v>
      </c>
      <c r="R87">
        <v>0</v>
      </c>
      <c r="S87">
        <v>0.46284451774808133</v>
      </c>
      <c r="T87">
        <v>0</v>
      </c>
      <c r="U87">
        <v>0</v>
      </c>
      <c r="V87">
        <v>0</v>
      </c>
      <c r="W87">
        <v>0</v>
      </c>
      <c r="X87">
        <v>0</v>
      </c>
      <c r="Y87">
        <v>0.25</v>
      </c>
      <c r="Z87">
        <v>0</v>
      </c>
      <c r="AA87">
        <v>0</v>
      </c>
      <c r="AB87">
        <v>0</v>
      </c>
      <c r="AC87">
        <v>8.0358667849014687E-2</v>
      </c>
      <c r="AD87">
        <v>0</v>
      </c>
      <c r="AE87">
        <v>0.91964133215098531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0.58382415311970315</v>
      </c>
      <c r="AL87">
        <v>0.58382415311970315</v>
      </c>
      <c r="AM87">
        <v>0.53690882191692468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0.41617584688029685</v>
      </c>
      <c r="AY87">
        <v>0</v>
      </c>
      <c r="AZ87">
        <v>4.6915331202778465E-2</v>
      </c>
      <c r="BA87">
        <v>0</v>
      </c>
      <c r="BB87">
        <v>0.53690882191692468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1.8625136320720188</v>
      </c>
      <c r="BI87">
        <v>1.8625136320720188</v>
      </c>
      <c r="BJ87">
        <v>1.0873804439183488</v>
      </c>
      <c r="CA87">
        <v>0</v>
      </c>
      <c r="CB87">
        <v>0</v>
      </c>
      <c r="CC87">
        <v>0</v>
      </c>
    </row>
    <row r="88" spans="1:82" hidden="1" x14ac:dyDescent="0.25">
      <c r="A88" t="s">
        <v>128</v>
      </c>
      <c r="B88" t="s">
        <v>503</v>
      </c>
      <c r="C88" t="s">
        <v>72</v>
      </c>
      <c r="D88" s="12">
        <v>46232</v>
      </c>
      <c r="E88" t="s">
        <v>133</v>
      </c>
      <c r="F88" t="s">
        <v>74</v>
      </c>
      <c r="G88">
        <v>3.8126545117428936</v>
      </c>
      <c r="H88">
        <v>7.6</v>
      </c>
      <c r="I88">
        <v>20</v>
      </c>
      <c r="J88">
        <v>7.6</v>
      </c>
      <c r="K88">
        <v>46232</v>
      </c>
      <c r="L88" t="s">
        <v>237</v>
      </c>
      <c r="M88">
        <v>3.0882352941176467</v>
      </c>
      <c r="N88">
        <v>1.9933618366395811</v>
      </c>
      <c r="O88">
        <v>1.9933618366395811</v>
      </c>
      <c r="P88">
        <v>0.8099961023496749</v>
      </c>
      <c r="Q88">
        <v>0</v>
      </c>
      <c r="R88">
        <v>0</v>
      </c>
      <c r="S88">
        <v>0.74336183663958111</v>
      </c>
      <c r="T88">
        <v>0</v>
      </c>
      <c r="U88">
        <v>0</v>
      </c>
      <c r="V88">
        <v>0</v>
      </c>
      <c r="W88">
        <v>0</v>
      </c>
      <c r="X88">
        <v>0</v>
      </c>
      <c r="Y88">
        <v>0.25</v>
      </c>
      <c r="Z88">
        <v>0</v>
      </c>
      <c r="AA88">
        <v>0</v>
      </c>
      <c r="AB88">
        <v>0</v>
      </c>
      <c r="AC88">
        <v>0.1900038976503251</v>
      </c>
      <c r="AD88">
        <v>0</v>
      </c>
      <c r="AE88">
        <v>0.8099961023496749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0.50166506733459126</v>
      </c>
      <c r="AL88">
        <v>0.50166506733459126</v>
      </c>
      <c r="AM88">
        <v>0.40634674922600617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0.49833493266540874</v>
      </c>
      <c r="AY88">
        <v>0</v>
      </c>
      <c r="AZ88">
        <v>9.5318318108585098E-2</v>
      </c>
      <c r="BA88">
        <v>0</v>
      </c>
      <c r="BB88">
        <v>0.40634674922600617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2.460952380952381</v>
      </c>
      <c r="BI88">
        <v>2.460952380952381</v>
      </c>
      <c r="BJ88">
        <v>1.234573841897699</v>
      </c>
      <c r="CA88">
        <v>0</v>
      </c>
      <c r="CB88">
        <v>0</v>
      </c>
      <c r="CC88">
        <v>0</v>
      </c>
    </row>
    <row r="89" spans="1:82" hidden="1" x14ac:dyDescent="0.25">
      <c r="A89" t="s">
        <v>128</v>
      </c>
      <c r="B89" t="s">
        <v>372</v>
      </c>
      <c r="C89" t="s">
        <v>72</v>
      </c>
      <c r="D89" s="12">
        <v>46232</v>
      </c>
      <c r="E89" t="s">
        <v>133</v>
      </c>
      <c r="F89" t="s">
        <v>75</v>
      </c>
      <c r="G89">
        <v>10.815608451783737</v>
      </c>
      <c r="H89">
        <v>10.45</v>
      </c>
      <c r="I89">
        <v>20</v>
      </c>
      <c r="J89">
        <v>10.45</v>
      </c>
      <c r="K89">
        <v>46232</v>
      </c>
      <c r="L89" t="s">
        <v>236</v>
      </c>
      <c r="M89">
        <v>12.191176470588236</v>
      </c>
      <c r="N89">
        <v>0.9661962197121291</v>
      </c>
      <c r="O89">
        <v>0.9661962197121291</v>
      </c>
      <c r="P89">
        <v>1.1271835999737616</v>
      </c>
      <c r="Q89">
        <v>0.12718359997376161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3.3803780287870899E-2</v>
      </c>
      <c r="AA89">
        <v>0</v>
      </c>
      <c r="AB89">
        <v>0</v>
      </c>
      <c r="AC89">
        <v>0</v>
      </c>
      <c r="AD89">
        <v>0</v>
      </c>
      <c r="AE89">
        <v>0.9661962197121291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1.0349864547161471</v>
      </c>
      <c r="AL89">
        <v>1.0349864547161471</v>
      </c>
      <c r="AM89">
        <v>1.1666197579510273</v>
      </c>
      <c r="AN89">
        <v>0.13163330323488021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3.4986454716147142E-2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0.85717732207478881</v>
      </c>
      <c r="BI89">
        <v>0.85717732207478881</v>
      </c>
      <c r="BJ89">
        <v>0.88716691763726674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0.11283308236273326</v>
      </c>
      <c r="BV89">
        <v>0</v>
      </c>
      <c r="BW89">
        <v>0</v>
      </c>
      <c r="BX89">
        <v>0</v>
      </c>
      <c r="BY89">
        <v>0.85717732207478881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hidden="1" x14ac:dyDescent="0.25">
      <c r="A90" t="s">
        <v>128</v>
      </c>
      <c r="B90" t="s">
        <v>502</v>
      </c>
      <c r="C90" t="s">
        <v>72</v>
      </c>
      <c r="D90" s="12">
        <v>46232</v>
      </c>
      <c r="E90" t="s">
        <v>133</v>
      </c>
      <c r="F90" t="s">
        <v>75</v>
      </c>
      <c r="G90">
        <v>8.216784377240268</v>
      </c>
      <c r="H90">
        <v>20.9</v>
      </c>
      <c r="I90">
        <v>20</v>
      </c>
      <c r="J90">
        <v>20.9</v>
      </c>
      <c r="K90">
        <v>46232</v>
      </c>
      <c r="L90" t="s">
        <v>236</v>
      </c>
      <c r="M90">
        <v>10.75792738970588</v>
      </c>
      <c r="N90">
        <v>2.5435741088559003</v>
      </c>
      <c r="O90">
        <v>2.5435741088559003</v>
      </c>
      <c r="P90">
        <v>1.3092624676271587</v>
      </c>
      <c r="Q90">
        <v>0</v>
      </c>
      <c r="R90">
        <v>0</v>
      </c>
      <c r="S90">
        <v>1.2343116412287416</v>
      </c>
      <c r="T90">
        <v>0</v>
      </c>
      <c r="U90">
        <v>5.9262467627158699E-2</v>
      </c>
      <c r="V90">
        <v>0</v>
      </c>
      <c r="W90">
        <v>0.25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0.39314757785838605</v>
      </c>
      <c r="AL90">
        <v>0.39314757785838605</v>
      </c>
      <c r="AM90">
        <v>0.5147333679285111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0.4852666320714889</v>
      </c>
      <c r="AY90">
        <v>0</v>
      </c>
      <c r="AZ90">
        <v>0</v>
      </c>
      <c r="BA90">
        <v>0</v>
      </c>
      <c r="BB90">
        <v>0.39314757785838605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1.9427533987633097</v>
      </c>
      <c r="BI90">
        <v>1.9427533987633097</v>
      </c>
      <c r="BJ90">
        <v>0.76378879309994241</v>
      </c>
      <c r="CA90">
        <v>0</v>
      </c>
      <c r="CB90">
        <v>0</v>
      </c>
      <c r="CC90">
        <v>0</v>
      </c>
    </row>
    <row r="91" spans="1:82" hidden="1" x14ac:dyDescent="0.25">
      <c r="A91" t="s">
        <v>128</v>
      </c>
      <c r="B91" t="s">
        <v>503</v>
      </c>
      <c r="C91" t="s">
        <v>72</v>
      </c>
      <c r="D91" s="12">
        <v>46232</v>
      </c>
      <c r="E91" t="s">
        <v>133</v>
      </c>
      <c r="F91" t="s">
        <v>75</v>
      </c>
      <c r="G91">
        <v>6.6721453955500643</v>
      </c>
      <c r="H91">
        <v>20.9</v>
      </c>
      <c r="I91">
        <v>20</v>
      </c>
      <c r="J91">
        <v>20.9</v>
      </c>
      <c r="K91">
        <v>46232</v>
      </c>
      <c r="L91" t="s">
        <v>236</v>
      </c>
      <c r="M91">
        <v>5.3514705882352898</v>
      </c>
      <c r="N91">
        <v>3.1324257432907698</v>
      </c>
      <c r="O91">
        <v>3.1324257432907698</v>
      </c>
      <c r="P91">
        <v>0.80206144665318768</v>
      </c>
      <c r="Q91">
        <v>0</v>
      </c>
      <c r="R91">
        <v>0</v>
      </c>
      <c r="S91">
        <v>1.8824257432907698</v>
      </c>
      <c r="T91">
        <v>0</v>
      </c>
      <c r="U91">
        <v>0</v>
      </c>
      <c r="V91">
        <v>0</v>
      </c>
      <c r="W91">
        <v>0</v>
      </c>
      <c r="X91">
        <v>0</v>
      </c>
      <c r="Y91">
        <v>0.25</v>
      </c>
      <c r="Z91">
        <v>0</v>
      </c>
      <c r="AA91">
        <v>0</v>
      </c>
      <c r="AB91">
        <v>0</v>
      </c>
      <c r="AC91">
        <v>0.19793855334681232</v>
      </c>
      <c r="AD91">
        <v>0</v>
      </c>
      <c r="AE91">
        <v>0.80206144665318768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0.31924140648564903</v>
      </c>
      <c r="AL91">
        <v>0.31924140648564903</v>
      </c>
      <c r="AM91">
        <v>0.25605122431747801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0.68075859351435097</v>
      </c>
      <c r="AY91">
        <v>0</v>
      </c>
      <c r="AZ91">
        <v>6.3190182168171016E-2</v>
      </c>
      <c r="BA91">
        <v>0</v>
      </c>
      <c r="BB91">
        <v>0.25605122431747801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3.9054685353119019</v>
      </c>
      <c r="BI91">
        <v>3.9054685353119019</v>
      </c>
      <c r="BJ91">
        <v>1.2467872681984191</v>
      </c>
      <c r="CA91">
        <v>0</v>
      </c>
      <c r="CB91">
        <v>0</v>
      </c>
      <c r="CC91">
        <v>0</v>
      </c>
    </row>
    <row r="92" spans="1:82" hidden="1" x14ac:dyDescent="0.25">
      <c r="A92" t="s">
        <v>128</v>
      </c>
      <c r="B92" t="s">
        <v>503</v>
      </c>
      <c r="C92" t="s">
        <v>72</v>
      </c>
      <c r="D92" s="12">
        <v>46233</v>
      </c>
      <c r="E92" t="s">
        <v>133</v>
      </c>
      <c r="F92" t="s">
        <v>73</v>
      </c>
      <c r="G92">
        <v>10.316594561186651</v>
      </c>
      <c r="H92">
        <v>36.1</v>
      </c>
      <c r="I92">
        <v>20</v>
      </c>
      <c r="J92">
        <v>36.1</v>
      </c>
      <c r="K92">
        <v>46233</v>
      </c>
      <c r="L92" t="s">
        <v>235</v>
      </c>
      <c r="M92">
        <v>9.3254901960784284</v>
      </c>
      <c r="N92">
        <v>3.4992167023618741</v>
      </c>
      <c r="O92">
        <v>3.4992167023618741</v>
      </c>
      <c r="P92">
        <v>0.90393105406730045</v>
      </c>
      <c r="Q92">
        <v>0</v>
      </c>
      <c r="R92">
        <v>0</v>
      </c>
      <c r="S92">
        <v>2.2492167023618741</v>
      </c>
      <c r="T92">
        <v>0</v>
      </c>
      <c r="U92">
        <v>0</v>
      </c>
      <c r="V92">
        <v>0</v>
      </c>
      <c r="W92">
        <v>0</v>
      </c>
      <c r="X92">
        <v>0</v>
      </c>
      <c r="Y92">
        <v>0.25</v>
      </c>
      <c r="Z92">
        <v>0</v>
      </c>
      <c r="AA92">
        <v>0</v>
      </c>
      <c r="AB92">
        <v>0</v>
      </c>
      <c r="AC92">
        <v>9.6068945932699545E-2</v>
      </c>
      <c r="AD92">
        <v>0</v>
      </c>
      <c r="AE92">
        <v>0.90393105406730045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0.28577824269215102</v>
      </c>
      <c r="AL92">
        <v>0.28577824269215102</v>
      </c>
      <c r="AM92">
        <v>0.25832382814621685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0.71422175730784898</v>
      </c>
      <c r="AY92">
        <v>0</v>
      </c>
      <c r="AZ92">
        <v>2.7454414545934169E-2</v>
      </c>
      <c r="BA92">
        <v>0</v>
      </c>
      <c r="BB92">
        <v>0.25832382814621685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3.871110176619009</v>
      </c>
      <c r="BI92">
        <v>3.871110176619009</v>
      </c>
      <c r="BJ92">
        <v>1.1062790635418827</v>
      </c>
      <c r="CA92">
        <v>0</v>
      </c>
      <c r="CB92">
        <v>0</v>
      </c>
      <c r="CC92">
        <v>0</v>
      </c>
    </row>
    <row r="93" spans="1:82" hidden="1" x14ac:dyDescent="0.25">
      <c r="A93" t="s">
        <v>128</v>
      </c>
      <c r="B93" t="s">
        <v>502</v>
      </c>
      <c r="C93" t="s">
        <v>72</v>
      </c>
      <c r="D93" s="12">
        <v>46233</v>
      </c>
      <c r="E93" t="s">
        <v>133</v>
      </c>
      <c r="F93" t="s">
        <v>73</v>
      </c>
      <c r="G93">
        <v>9.9149198152032554</v>
      </c>
      <c r="H93">
        <v>36.1</v>
      </c>
      <c r="I93">
        <v>20</v>
      </c>
      <c r="J93">
        <v>36.1</v>
      </c>
      <c r="K93">
        <v>46233</v>
      </c>
      <c r="L93" t="s">
        <v>235</v>
      </c>
      <c r="M93">
        <v>12.668918504901963</v>
      </c>
      <c r="N93">
        <v>3.640977503887151</v>
      </c>
      <c r="O93">
        <v>3.640977503887151</v>
      </c>
      <c r="P93">
        <v>1.2777630824079691</v>
      </c>
      <c r="Q93">
        <v>0</v>
      </c>
      <c r="R93">
        <v>0</v>
      </c>
      <c r="S93">
        <v>2.3632144214791819</v>
      </c>
      <c r="T93">
        <v>0</v>
      </c>
      <c r="U93">
        <v>2.7763082407969097E-2</v>
      </c>
      <c r="V93">
        <v>0</v>
      </c>
      <c r="W93">
        <v>0.25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0.27465151842668295</v>
      </c>
      <c r="AL93">
        <v>0.27465151842668295</v>
      </c>
      <c r="AM93">
        <v>0.35093957077290755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0.64906042922709251</v>
      </c>
      <c r="AY93">
        <v>0</v>
      </c>
      <c r="AZ93">
        <v>0</v>
      </c>
      <c r="BA93">
        <v>0</v>
      </c>
      <c r="BB93">
        <v>0.27465151842668295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2.8494934264540333</v>
      </c>
      <c r="BI93">
        <v>2.8494934264540333</v>
      </c>
      <c r="BJ93">
        <v>0.78261769632245182</v>
      </c>
      <c r="CA93">
        <v>0</v>
      </c>
      <c r="CB93">
        <v>0</v>
      </c>
      <c r="CC93">
        <v>0</v>
      </c>
    </row>
    <row r="94" spans="1:82" hidden="1" x14ac:dyDescent="0.25">
      <c r="A94" t="s">
        <v>128</v>
      </c>
      <c r="B94" t="s">
        <v>372</v>
      </c>
      <c r="C94" t="s">
        <v>72</v>
      </c>
      <c r="D94" s="12">
        <v>46233</v>
      </c>
      <c r="E94" t="s">
        <v>133</v>
      </c>
      <c r="F94" t="s">
        <v>73</v>
      </c>
      <c r="G94">
        <v>10.89474705021142</v>
      </c>
      <c r="H94">
        <v>10.45</v>
      </c>
      <c r="I94">
        <v>20</v>
      </c>
      <c r="J94">
        <v>10.45</v>
      </c>
      <c r="K94">
        <v>46233</v>
      </c>
      <c r="L94" t="s">
        <v>235</v>
      </c>
      <c r="M94">
        <v>12.09375</v>
      </c>
      <c r="N94">
        <v>0.95917784523480154</v>
      </c>
      <c r="O94">
        <v>0.95917784523480154</v>
      </c>
      <c r="P94">
        <v>1.1100533077328594</v>
      </c>
      <c r="Q94">
        <v>0.11005330773285937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4.082215476519846E-2</v>
      </c>
      <c r="AA94">
        <v>0</v>
      </c>
      <c r="AB94">
        <v>0</v>
      </c>
      <c r="AC94">
        <v>0</v>
      </c>
      <c r="AD94">
        <v>0</v>
      </c>
      <c r="AE94">
        <v>0.95917784523480154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1.042559526336021</v>
      </c>
      <c r="AL94">
        <v>1.042559526336021</v>
      </c>
      <c r="AM94">
        <v>1.1572966507177034</v>
      </c>
      <c r="AN94">
        <v>0.11473712438168238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4.2559526336021003E-2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0.86408268733850124</v>
      </c>
      <c r="BI94">
        <v>0.86408268733850124</v>
      </c>
      <c r="BJ94">
        <v>0.90085763722678402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9.9142362773215975E-2</v>
      </c>
      <c r="BV94">
        <v>0</v>
      </c>
      <c r="BW94">
        <v>0</v>
      </c>
      <c r="BX94">
        <v>0</v>
      </c>
      <c r="BY94">
        <v>0.86408268733850124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 hidden="1" x14ac:dyDescent="0.25">
      <c r="A95" t="s">
        <v>128</v>
      </c>
      <c r="B95" t="s">
        <v>372</v>
      </c>
      <c r="C95" t="s">
        <v>72</v>
      </c>
      <c r="D95" s="12">
        <v>46233</v>
      </c>
      <c r="E95" t="s">
        <v>133</v>
      </c>
      <c r="F95" t="s">
        <v>74</v>
      </c>
      <c r="G95">
        <v>4.2207252494765797</v>
      </c>
      <c r="H95">
        <v>3.8</v>
      </c>
      <c r="I95">
        <v>20</v>
      </c>
      <c r="J95">
        <v>3.8</v>
      </c>
      <c r="K95">
        <v>46233</v>
      </c>
      <c r="L95" t="s">
        <v>234</v>
      </c>
      <c r="M95">
        <v>4.6875</v>
      </c>
      <c r="N95">
        <v>0.90031920473175675</v>
      </c>
      <c r="O95">
        <v>0.90031920473175675</v>
      </c>
      <c r="P95">
        <v>1.1105911242579236</v>
      </c>
      <c r="Q95">
        <v>0.11059112425792361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9.968079526824325E-2</v>
      </c>
      <c r="AA95">
        <v>0</v>
      </c>
      <c r="AB95">
        <v>0</v>
      </c>
      <c r="AC95">
        <v>0</v>
      </c>
      <c r="AD95">
        <v>0</v>
      </c>
      <c r="AE95">
        <v>0.90031920473175675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1.1107171709148895</v>
      </c>
      <c r="AL95">
        <v>1.1107171709148895</v>
      </c>
      <c r="AM95">
        <v>1.2335526315789473</v>
      </c>
      <c r="AN95">
        <v>0.12283546066405782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0.11071717091488953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0.81066666666666665</v>
      </c>
      <c r="BI95">
        <v>0.81066666666666665</v>
      </c>
      <c r="BJ95">
        <v>0.9004213865550037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9.95786134449963E-2</v>
      </c>
      <c r="BV95">
        <v>0</v>
      </c>
      <c r="BW95">
        <v>0</v>
      </c>
      <c r="BX95">
        <v>0</v>
      </c>
      <c r="BY95">
        <v>0.81066666666666665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 hidden="1" x14ac:dyDescent="0.25">
      <c r="A96" t="s">
        <v>128</v>
      </c>
      <c r="B96" t="s">
        <v>503</v>
      </c>
      <c r="C96" t="s">
        <v>72</v>
      </c>
      <c r="D96" s="12">
        <v>46233</v>
      </c>
      <c r="E96" t="s">
        <v>133</v>
      </c>
      <c r="F96" t="s">
        <v>74</v>
      </c>
      <c r="G96">
        <v>3.8126545117428936</v>
      </c>
      <c r="H96">
        <v>9.5</v>
      </c>
      <c r="I96">
        <v>20</v>
      </c>
      <c r="J96">
        <v>9.5</v>
      </c>
      <c r="K96">
        <v>46233</v>
      </c>
      <c r="L96" t="s">
        <v>234</v>
      </c>
      <c r="M96">
        <v>2.4705882352941178</v>
      </c>
      <c r="N96">
        <v>2.4917022957994766</v>
      </c>
      <c r="O96">
        <v>2.4917022957994766</v>
      </c>
      <c r="P96">
        <v>0.64799688187974003</v>
      </c>
      <c r="Q96">
        <v>0</v>
      </c>
      <c r="R96">
        <v>0</v>
      </c>
      <c r="S96">
        <v>1.2417022957994766</v>
      </c>
      <c r="T96">
        <v>0</v>
      </c>
      <c r="U96">
        <v>0</v>
      </c>
      <c r="V96">
        <v>0</v>
      </c>
      <c r="W96">
        <v>0</v>
      </c>
      <c r="X96">
        <v>0</v>
      </c>
      <c r="Y96">
        <v>0.25</v>
      </c>
      <c r="Z96">
        <v>0</v>
      </c>
      <c r="AA96">
        <v>0</v>
      </c>
      <c r="AB96">
        <v>0</v>
      </c>
      <c r="AC96">
        <v>0.35200311812025997</v>
      </c>
      <c r="AD96">
        <v>0</v>
      </c>
      <c r="AE96">
        <v>0.64799688187974003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0.40133205386767301</v>
      </c>
      <c r="AL96">
        <v>0.40133205386767301</v>
      </c>
      <c r="AM96">
        <v>0.26006191950464397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0.59866794613232699</v>
      </c>
      <c r="AY96">
        <v>0</v>
      </c>
      <c r="AZ96">
        <v>0.14127013436302904</v>
      </c>
      <c r="BA96">
        <v>0</v>
      </c>
      <c r="BB96">
        <v>0.26006191950464397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3.8452380952380949</v>
      </c>
      <c r="BI96">
        <v>3.8452380952380949</v>
      </c>
      <c r="BJ96">
        <v>1.5432173023721236</v>
      </c>
      <c r="CA96">
        <v>0</v>
      </c>
      <c r="CB96">
        <v>0</v>
      </c>
      <c r="CC96">
        <v>0</v>
      </c>
    </row>
    <row r="97" spans="1:82" hidden="1" x14ac:dyDescent="0.25">
      <c r="A97" t="s">
        <v>128</v>
      </c>
      <c r="B97" t="s">
        <v>502</v>
      </c>
      <c r="C97" t="s">
        <v>72</v>
      </c>
      <c r="D97" s="12">
        <v>46233</v>
      </c>
      <c r="E97" t="s">
        <v>133</v>
      </c>
      <c r="F97" t="s">
        <v>74</v>
      </c>
      <c r="G97">
        <v>4.437063563709744</v>
      </c>
      <c r="H97">
        <v>9.5</v>
      </c>
      <c r="I97">
        <v>20</v>
      </c>
      <c r="J97">
        <v>9.5</v>
      </c>
      <c r="K97">
        <v>46233</v>
      </c>
      <c r="L97" t="s">
        <v>234</v>
      </c>
      <c r="M97">
        <v>4.1398207720588234</v>
      </c>
      <c r="N97">
        <v>2.1410556471851017</v>
      </c>
      <c r="O97">
        <v>2.1410556471851017</v>
      </c>
      <c r="P97">
        <v>0.93300912024744542</v>
      </c>
      <c r="Q97">
        <v>0</v>
      </c>
      <c r="R97">
        <v>0</v>
      </c>
      <c r="S97">
        <v>0.89105564718510166</v>
      </c>
      <c r="T97">
        <v>0</v>
      </c>
      <c r="U97">
        <v>0</v>
      </c>
      <c r="V97">
        <v>0</v>
      </c>
      <c r="W97">
        <v>0</v>
      </c>
      <c r="X97">
        <v>0</v>
      </c>
      <c r="Y97">
        <v>0.25</v>
      </c>
      <c r="Z97">
        <v>0</v>
      </c>
      <c r="AA97">
        <v>0</v>
      </c>
      <c r="AB97">
        <v>0</v>
      </c>
      <c r="AC97">
        <v>6.6990879752554577E-2</v>
      </c>
      <c r="AD97">
        <v>0</v>
      </c>
      <c r="AE97">
        <v>0.93300912024744542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0.46705932249576254</v>
      </c>
      <c r="AL97">
        <v>0.46705932249576254</v>
      </c>
      <c r="AM97">
        <v>0.4357706075851393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0.53294067750423746</v>
      </c>
      <c r="AY97">
        <v>0</v>
      </c>
      <c r="AZ97">
        <v>3.1288714910623239E-2</v>
      </c>
      <c r="BA97">
        <v>0</v>
      </c>
      <c r="BB97">
        <v>0.4357706075851393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2.29478533566453</v>
      </c>
      <c r="BI97">
        <v>2.29478533566453</v>
      </c>
      <c r="BJ97">
        <v>1.0718008841486864</v>
      </c>
      <c r="CA97">
        <v>0</v>
      </c>
      <c r="CB97">
        <v>0</v>
      </c>
      <c r="CC97">
        <v>0</v>
      </c>
    </row>
    <row r="98" spans="1:82" hidden="1" x14ac:dyDescent="0.25">
      <c r="A98" t="s">
        <v>128</v>
      </c>
      <c r="B98" t="s">
        <v>372</v>
      </c>
      <c r="C98" t="s">
        <v>72</v>
      </c>
      <c r="D98" s="12">
        <v>46233</v>
      </c>
      <c r="E98" t="s">
        <v>133</v>
      </c>
      <c r="F98" t="s">
        <v>75</v>
      </c>
      <c r="G98">
        <v>10.973885648639106</v>
      </c>
      <c r="H98">
        <v>12.35</v>
      </c>
      <c r="I98">
        <v>20</v>
      </c>
      <c r="J98">
        <v>12.35</v>
      </c>
      <c r="K98">
        <v>46233</v>
      </c>
      <c r="L98" t="s">
        <v>233</v>
      </c>
      <c r="M98">
        <v>12.1875</v>
      </c>
      <c r="N98">
        <v>1.1253990059146961</v>
      </c>
      <c r="O98">
        <v>1.1253990059146961</v>
      </c>
      <c r="P98">
        <v>1.1105911242579238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0.11059112425792383</v>
      </c>
      <c r="X98">
        <v>0</v>
      </c>
      <c r="Y98">
        <v>1.480788165677227E-2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0.88857373673191142</v>
      </c>
      <c r="AL98">
        <v>0.88857373673191142</v>
      </c>
      <c r="AM98">
        <v>0.98684210526315796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1.3157894736842035E-2</v>
      </c>
      <c r="AY98">
        <v>0</v>
      </c>
      <c r="AZ98">
        <v>0</v>
      </c>
      <c r="BA98">
        <v>0</v>
      </c>
      <c r="BB98">
        <v>0.88857373673191142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1.0133333333333332</v>
      </c>
      <c r="BI98">
        <v>1.0133333333333332</v>
      </c>
      <c r="BJ98">
        <v>0.90042138655500359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1.3333333333333197E-2</v>
      </c>
      <c r="BT98">
        <v>0</v>
      </c>
      <c r="BU98">
        <v>0</v>
      </c>
      <c r="BV98">
        <v>0</v>
      </c>
      <c r="BW98">
        <v>9.9578613444996411E-2</v>
      </c>
      <c r="BX98">
        <v>0</v>
      </c>
      <c r="BY98">
        <v>0.90042138655500359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hidden="1" x14ac:dyDescent="0.25">
      <c r="A99" t="s">
        <v>128</v>
      </c>
      <c r="B99" t="s">
        <v>502</v>
      </c>
      <c r="C99" t="s">
        <v>72</v>
      </c>
      <c r="D99" s="12">
        <v>46233</v>
      </c>
      <c r="E99" t="s">
        <v>133</v>
      </c>
      <c r="F99" t="s">
        <v>75</v>
      </c>
      <c r="G99">
        <v>8.1620058147253296</v>
      </c>
      <c r="H99">
        <v>22.799999999999997</v>
      </c>
      <c r="I99">
        <v>20</v>
      </c>
      <c r="J99">
        <v>22.799999999999997</v>
      </c>
      <c r="K99">
        <v>46233</v>
      </c>
      <c r="L99" t="s">
        <v>233</v>
      </c>
      <c r="M99">
        <v>10.066260723039218</v>
      </c>
      <c r="N99">
        <v>2.7934309920321061</v>
      </c>
      <c r="O99">
        <v>2.7934309920321061</v>
      </c>
      <c r="P99">
        <v>1.2333072227023365</v>
      </c>
      <c r="Q99">
        <v>0</v>
      </c>
      <c r="R99">
        <v>0</v>
      </c>
      <c r="S99">
        <v>1.5434309920321061</v>
      </c>
      <c r="T99">
        <v>0</v>
      </c>
      <c r="U99">
        <v>0</v>
      </c>
      <c r="V99">
        <v>0</v>
      </c>
      <c r="W99">
        <v>0.2333072227023365</v>
      </c>
      <c r="X99">
        <v>0</v>
      </c>
      <c r="Y99">
        <v>1.6692777297663497E-2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0.35798271117216363</v>
      </c>
      <c r="AL99">
        <v>0.35798271117216363</v>
      </c>
      <c r="AM99">
        <v>0.44150266329119381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0.55849733670880619</v>
      </c>
      <c r="AY99">
        <v>0</v>
      </c>
      <c r="AZ99">
        <v>0</v>
      </c>
      <c r="BA99">
        <v>0</v>
      </c>
      <c r="BB99">
        <v>0.35798271117216363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2.2649919992451966</v>
      </c>
      <c r="BI99">
        <v>2.2649919992451966</v>
      </c>
      <c r="BJ99">
        <v>0.81082797667305473</v>
      </c>
      <c r="CA99">
        <v>0</v>
      </c>
      <c r="CB99">
        <v>0</v>
      </c>
      <c r="CC99">
        <v>0</v>
      </c>
    </row>
    <row r="100" spans="1:82" hidden="1" x14ac:dyDescent="0.25">
      <c r="A100" t="s">
        <v>128</v>
      </c>
      <c r="B100" t="s">
        <v>503</v>
      </c>
      <c r="C100" t="s">
        <v>72</v>
      </c>
      <c r="D100" s="12">
        <v>46233</v>
      </c>
      <c r="E100" t="s">
        <v>133</v>
      </c>
      <c r="F100" t="s">
        <v>75</v>
      </c>
      <c r="G100">
        <v>7.4010352286773839</v>
      </c>
      <c r="H100">
        <v>22.799999999999997</v>
      </c>
      <c r="I100">
        <v>20</v>
      </c>
      <c r="J100">
        <v>22.799999999999997</v>
      </c>
      <c r="K100">
        <v>46233</v>
      </c>
      <c r="L100" t="s">
        <v>233</v>
      </c>
      <c r="M100">
        <v>8.1009803921568597</v>
      </c>
      <c r="N100">
        <v>3.0806501111702604</v>
      </c>
      <c r="O100">
        <v>3.0806501111702604</v>
      </c>
      <c r="P100">
        <v>1.0945739537581638</v>
      </c>
      <c r="Q100">
        <v>0</v>
      </c>
      <c r="R100">
        <v>0</v>
      </c>
      <c r="S100">
        <v>1.8306501111702604</v>
      </c>
      <c r="T100">
        <v>0</v>
      </c>
      <c r="U100">
        <v>0</v>
      </c>
      <c r="V100">
        <v>0</v>
      </c>
      <c r="W100">
        <v>9.4573953758163798E-2</v>
      </c>
      <c r="X100">
        <v>0</v>
      </c>
      <c r="Y100">
        <v>0.1554260462418362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0.3246068082753239</v>
      </c>
      <c r="AL100">
        <v>0.3246068082753239</v>
      </c>
      <c r="AM100">
        <v>0.35530615755073952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0.64469384244926053</v>
      </c>
      <c r="AY100">
        <v>0</v>
      </c>
      <c r="AZ100">
        <v>0</v>
      </c>
      <c r="BA100">
        <v>0</v>
      </c>
      <c r="BB100">
        <v>0.3246068082753239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2.8144741619266616</v>
      </c>
      <c r="BI100">
        <v>2.8144741619266616</v>
      </c>
      <c r="BJ100">
        <v>0.91359747467638075</v>
      </c>
      <c r="CA100">
        <v>0</v>
      </c>
      <c r="CB100">
        <v>0</v>
      </c>
      <c r="CC100">
        <v>0</v>
      </c>
    </row>
    <row r="101" spans="1:82" hidden="1" x14ac:dyDescent="0.25">
      <c r="A101" t="s">
        <v>128</v>
      </c>
      <c r="B101" t="s">
        <v>372</v>
      </c>
      <c r="C101" t="s">
        <v>72</v>
      </c>
      <c r="D101" s="12">
        <v>46234</v>
      </c>
      <c r="E101" t="s">
        <v>133</v>
      </c>
      <c r="F101" t="s">
        <v>73</v>
      </c>
      <c r="G101">
        <v>10.973885648639108</v>
      </c>
      <c r="H101">
        <v>10.45</v>
      </c>
      <c r="I101">
        <v>20</v>
      </c>
      <c r="J101">
        <v>10.45</v>
      </c>
      <c r="K101">
        <v>46234</v>
      </c>
      <c r="L101" t="s">
        <v>213</v>
      </c>
      <c r="M101">
        <v>12.746323529411764</v>
      </c>
      <c r="N101">
        <v>0.9522606973124349</v>
      </c>
      <c r="O101">
        <v>0.9522606973124349</v>
      </c>
      <c r="P101">
        <v>1.1615141561997651</v>
      </c>
      <c r="Q101">
        <v>0.16151415619976506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4.7739302687565099E-2</v>
      </c>
      <c r="AA101">
        <v>0</v>
      </c>
      <c r="AB101">
        <v>0</v>
      </c>
      <c r="AC101">
        <v>0</v>
      </c>
      <c r="AD101">
        <v>0</v>
      </c>
      <c r="AE101">
        <v>0.9522606973124349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1.0501325979558955</v>
      </c>
      <c r="AL101">
        <v>1.0501325979558955</v>
      </c>
      <c r="AM101">
        <v>1.2197438784126091</v>
      </c>
      <c r="AN101">
        <v>0.16961128045671359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5.013259795589553E-2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0.81984424574560133</v>
      </c>
      <c r="BI101">
        <v>0.81984424574560133</v>
      </c>
      <c r="BJ101">
        <v>0.86094516770401996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0.13905483229598004</v>
      </c>
      <c r="BV101">
        <v>0</v>
      </c>
      <c r="BW101">
        <v>0</v>
      </c>
      <c r="BX101">
        <v>0</v>
      </c>
      <c r="BY101">
        <v>0.81984424574560133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 hidden="1" x14ac:dyDescent="0.25">
      <c r="A102" t="s">
        <v>128</v>
      </c>
      <c r="B102" t="s">
        <v>502</v>
      </c>
      <c r="C102" t="s">
        <v>72</v>
      </c>
      <c r="D102" s="12">
        <v>46234</v>
      </c>
      <c r="E102" t="s">
        <v>133</v>
      </c>
      <c r="F102" t="s">
        <v>73</v>
      </c>
      <c r="G102">
        <v>9.9149198152032554</v>
      </c>
      <c r="H102">
        <v>38</v>
      </c>
      <c r="I102">
        <v>20</v>
      </c>
      <c r="J102">
        <v>38</v>
      </c>
      <c r="K102">
        <v>46234</v>
      </c>
      <c r="L102" t="s">
        <v>213</v>
      </c>
      <c r="M102">
        <v>11.720389093137252</v>
      </c>
      <c r="N102">
        <v>3.8326078988285799</v>
      </c>
      <c r="O102">
        <v>3.8326078988285799</v>
      </c>
      <c r="P102">
        <v>1.1820962056763729</v>
      </c>
      <c r="Q102">
        <v>0</v>
      </c>
      <c r="R102">
        <v>0</v>
      </c>
      <c r="S102">
        <v>2.5826078988285799</v>
      </c>
      <c r="T102">
        <v>0</v>
      </c>
      <c r="U102">
        <v>0</v>
      </c>
      <c r="V102">
        <v>0</v>
      </c>
      <c r="W102">
        <v>0.18209620567637286</v>
      </c>
      <c r="X102">
        <v>0</v>
      </c>
      <c r="Y102">
        <v>6.7903794323627142E-2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0.26091894250534881</v>
      </c>
      <c r="AL102">
        <v>0.26091894250534881</v>
      </c>
      <c r="AM102">
        <v>0.30843129192466451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0.69156870807533544</v>
      </c>
      <c r="AY102">
        <v>0</v>
      </c>
      <c r="AZ102">
        <v>0</v>
      </c>
      <c r="BA102">
        <v>0</v>
      </c>
      <c r="BB102">
        <v>0.26091894250534881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3.2422131806400944</v>
      </c>
      <c r="BI102">
        <v>3.2422131806400944</v>
      </c>
      <c r="BJ102">
        <v>0.84595483446951691</v>
      </c>
      <c r="CA102">
        <v>0</v>
      </c>
      <c r="CB102">
        <v>0</v>
      </c>
      <c r="CC102">
        <v>0</v>
      </c>
    </row>
    <row r="103" spans="1:82" hidden="1" x14ac:dyDescent="0.25">
      <c r="A103" t="s">
        <v>128</v>
      </c>
      <c r="B103" t="s">
        <v>503</v>
      </c>
      <c r="C103" t="s">
        <v>72</v>
      </c>
      <c r="D103" s="12">
        <v>46234</v>
      </c>
      <c r="E103" t="s">
        <v>133</v>
      </c>
      <c r="F103" t="s">
        <v>73</v>
      </c>
      <c r="G103">
        <v>9.3634309332509318</v>
      </c>
      <c r="H103">
        <v>38</v>
      </c>
      <c r="I103">
        <v>20</v>
      </c>
      <c r="J103">
        <v>38</v>
      </c>
      <c r="K103">
        <v>46234</v>
      </c>
      <c r="L103" t="s">
        <v>213</v>
      </c>
      <c r="M103">
        <v>9.7367647058823472</v>
      </c>
      <c r="N103">
        <v>4.0583414638171105</v>
      </c>
      <c r="O103">
        <v>4.0583414638171105</v>
      </c>
      <c r="P103">
        <v>1.0398714718240354</v>
      </c>
      <c r="Q103">
        <v>0</v>
      </c>
      <c r="R103">
        <v>0</v>
      </c>
      <c r="S103">
        <v>2.8083414638171105</v>
      </c>
      <c r="T103">
        <v>0</v>
      </c>
      <c r="U103">
        <v>0</v>
      </c>
      <c r="V103">
        <v>0</v>
      </c>
      <c r="W103">
        <v>3.9871471824035387E-2</v>
      </c>
      <c r="X103">
        <v>0</v>
      </c>
      <c r="Y103">
        <v>0.21012852817596461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0.246406077190814</v>
      </c>
      <c r="AL103">
        <v>0.246406077190814</v>
      </c>
      <c r="AM103">
        <v>0.25623065015479862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0.74376934984520138</v>
      </c>
      <c r="AY103">
        <v>0</v>
      </c>
      <c r="AZ103">
        <v>0</v>
      </c>
      <c r="BA103">
        <v>0</v>
      </c>
      <c r="BB103">
        <v>0.246406077190814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3.9027337260232615</v>
      </c>
      <c r="BI103">
        <v>3.9027337260232615</v>
      </c>
      <c r="BJ103">
        <v>0.96165730774968095</v>
      </c>
      <c r="CA103">
        <v>0</v>
      </c>
      <c r="CB103">
        <v>0</v>
      </c>
      <c r="CC103">
        <v>0</v>
      </c>
    </row>
    <row r="104" spans="1:82" hidden="1" x14ac:dyDescent="0.25">
      <c r="A104" t="s">
        <v>128</v>
      </c>
      <c r="B104" t="s">
        <v>372</v>
      </c>
      <c r="C104" t="s">
        <v>72</v>
      </c>
      <c r="D104" s="12">
        <v>46234</v>
      </c>
      <c r="E104" t="s">
        <v>133</v>
      </c>
      <c r="F104" t="s">
        <v>74</v>
      </c>
      <c r="G104">
        <v>4.2207252494765797</v>
      </c>
      <c r="H104">
        <v>5.6999999999999993</v>
      </c>
      <c r="I104">
        <v>20</v>
      </c>
      <c r="J104">
        <v>5.6999999999999993</v>
      </c>
      <c r="K104">
        <v>46234</v>
      </c>
      <c r="L104" t="s">
        <v>190</v>
      </c>
      <c r="M104">
        <v>4.6875</v>
      </c>
      <c r="N104">
        <v>1.350478807097635</v>
      </c>
      <c r="O104">
        <v>1.350478807097635</v>
      </c>
      <c r="P104">
        <v>1.1105911242579236</v>
      </c>
      <c r="Q104">
        <v>0</v>
      </c>
      <c r="R104">
        <v>0</v>
      </c>
      <c r="S104">
        <v>0.10047880709763501</v>
      </c>
      <c r="T104">
        <v>0</v>
      </c>
      <c r="U104">
        <v>0</v>
      </c>
      <c r="V104">
        <v>0</v>
      </c>
      <c r="W104">
        <v>0.11059112425792361</v>
      </c>
      <c r="X104">
        <v>0</v>
      </c>
      <c r="Y104">
        <v>0.13940887574207639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0.74047811394325969</v>
      </c>
      <c r="AL104">
        <v>0.74047811394325969</v>
      </c>
      <c r="AM104">
        <v>0.82236842105263164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0.17763157894736836</v>
      </c>
      <c r="AY104">
        <v>0</v>
      </c>
      <c r="AZ104">
        <v>0</v>
      </c>
      <c r="BA104">
        <v>0</v>
      </c>
      <c r="BB104">
        <v>0.74047811394325969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1.2159999999999997</v>
      </c>
      <c r="BI104">
        <v>1.2159999999999997</v>
      </c>
      <c r="BJ104">
        <v>0.9004213865550037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0.21599999999999975</v>
      </c>
      <c r="BT104">
        <v>0</v>
      </c>
      <c r="BU104">
        <v>0</v>
      </c>
      <c r="BV104">
        <v>0</v>
      </c>
      <c r="BW104">
        <v>9.95786134449963E-2</v>
      </c>
      <c r="BX104">
        <v>0</v>
      </c>
      <c r="BY104">
        <v>0.9004213865550037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hidden="1" x14ac:dyDescent="0.25">
      <c r="A105" t="s">
        <v>128</v>
      </c>
      <c r="B105" t="s">
        <v>502</v>
      </c>
      <c r="C105" t="s">
        <v>72</v>
      </c>
      <c r="D105" s="12">
        <v>46234</v>
      </c>
      <c r="E105" t="s">
        <v>133</v>
      </c>
      <c r="F105" t="s">
        <v>74</v>
      </c>
      <c r="G105">
        <v>4.437063563709744</v>
      </c>
      <c r="H105">
        <v>7.6</v>
      </c>
      <c r="I105">
        <v>20</v>
      </c>
      <c r="J105">
        <v>7.6</v>
      </c>
      <c r="K105">
        <v>46234</v>
      </c>
      <c r="L105" t="s">
        <v>190</v>
      </c>
      <c r="M105">
        <v>4.9564874387254898</v>
      </c>
      <c r="N105">
        <v>1.7128445177480813</v>
      </c>
      <c r="O105">
        <v>1.7128445177480813</v>
      </c>
      <c r="P105">
        <v>1.1170647811458139</v>
      </c>
      <c r="Q105">
        <v>0</v>
      </c>
      <c r="R105">
        <v>0</v>
      </c>
      <c r="S105">
        <v>0.46284451774808133</v>
      </c>
      <c r="T105">
        <v>0</v>
      </c>
      <c r="U105">
        <v>0</v>
      </c>
      <c r="V105">
        <v>0</v>
      </c>
      <c r="W105">
        <v>0.11706478114581387</v>
      </c>
      <c r="X105">
        <v>0</v>
      </c>
      <c r="Y105">
        <v>0.13293521885418613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0.58382415311970315</v>
      </c>
      <c r="AL105">
        <v>0.58382415311970315</v>
      </c>
      <c r="AM105">
        <v>0.65216939983230127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0.34783060016769873</v>
      </c>
      <c r="AY105">
        <v>0</v>
      </c>
      <c r="AZ105">
        <v>0</v>
      </c>
      <c r="BA105">
        <v>0</v>
      </c>
      <c r="BB105">
        <v>0.58382415311970315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1.5333439444677099</v>
      </c>
      <c r="BI105">
        <v>1.5333439444677099</v>
      </c>
      <c r="BJ105">
        <v>0.89520322982008593</v>
      </c>
      <c r="CA105">
        <v>0</v>
      </c>
      <c r="CB105">
        <v>0</v>
      </c>
      <c r="CC105">
        <v>0</v>
      </c>
    </row>
    <row r="106" spans="1:82" hidden="1" x14ac:dyDescent="0.25">
      <c r="A106" t="s">
        <v>128</v>
      </c>
      <c r="B106" t="s">
        <v>503</v>
      </c>
      <c r="C106" t="s">
        <v>72</v>
      </c>
      <c r="D106" s="12">
        <v>46234</v>
      </c>
      <c r="E106" t="s">
        <v>133</v>
      </c>
      <c r="F106" t="s">
        <v>74</v>
      </c>
      <c r="G106">
        <v>3.8126545117428936</v>
      </c>
      <c r="H106">
        <v>7.6</v>
      </c>
      <c r="I106">
        <v>20</v>
      </c>
      <c r="J106">
        <v>7.6</v>
      </c>
      <c r="K106">
        <v>46234</v>
      </c>
      <c r="L106" t="s">
        <v>190</v>
      </c>
      <c r="M106">
        <v>3.3235294117647056</v>
      </c>
      <c r="N106">
        <v>1.9933618366395811</v>
      </c>
      <c r="O106">
        <v>1.9933618366395811</v>
      </c>
      <c r="P106">
        <v>0.87171009110012643</v>
      </c>
      <c r="Q106">
        <v>0</v>
      </c>
      <c r="R106">
        <v>0</v>
      </c>
      <c r="S106">
        <v>0.74336183663958111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0.25</v>
      </c>
      <c r="Z106">
        <v>0</v>
      </c>
      <c r="AA106">
        <v>0</v>
      </c>
      <c r="AB106">
        <v>0</v>
      </c>
      <c r="AC106">
        <v>0.12828990889987357</v>
      </c>
      <c r="AD106">
        <v>0</v>
      </c>
      <c r="AE106">
        <v>0.87171009110012643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0.50166506733459126</v>
      </c>
      <c r="AL106">
        <v>0.50166506733459126</v>
      </c>
      <c r="AM106">
        <v>0.43730650154798761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0.49833493266540874</v>
      </c>
      <c r="AY106">
        <v>0</v>
      </c>
      <c r="AZ106">
        <v>6.435856578660365E-2</v>
      </c>
      <c r="BA106">
        <v>0</v>
      </c>
      <c r="BB106">
        <v>0.43730650154798761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2.2867256637168141</v>
      </c>
      <c r="BI106">
        <v>2.2867256637168141</v>
      </c>
      <c r="BJ106">
        <v>1.1471703840642336</v>
      </c>
      <c r="CA106">
        <v>0</v>
      </c>
      <c r="CB106">
        <v>0</v>
      </c>
      <c r="CC106">
        <v>0</v>
      </c>
    </row>
    <row r="107" spans="1:82" hidden="1" x14ac:dyDescent="0.25">
      <c r="A107" t="s">
        <v>128</v>
      </c>
      <c r="B107" t="s">
        <v>372</v>
      </c>
      <c r="C107" t="s">
        <v>72</v>
      </c>
      <c r="D107" s="12">
        <v>46234</v>
      </c>
      <c r="E107" t="s">
        <v>133</v>
      </c>
      <c r="F107" t="s">
        <v>75</v>
      </c>
      <c r="G107">
        <v>11.026644714257564</v>
      </c>
      <c r="H107">
        <v>10.45</v>
      </c>
      <c r="I107">
        <v>20</v>
      </c>
      <c r="J107">
        <v>10.45</v>
      </c>
      <c r="K107">
        <v>46234</v>
      </c>
      <c r="L107" t="s">
        <v>189</v>
      </c>
      <c r="M107">
        <v>12.066176470588234</v>
      </c>
      <c r="N107">
        <v>0.94770442603342819</v>
      </c>
      <c r="O107">
        <v>0.94770442603342819</v>
      </c>
      <c r="P107">
        <v>1.0942745307633377</v>
      </c>
      <c r="Q107">
        <v>9.4274530763337694E-2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5.2295573966571807E-2</v>
      </c>
      <c r="AA107">
        <v>0</v>
      </c>
      <c r="AB107">
        <v>0</v>
      </c>
      <c r="AC107">
        <v>0</v>
      </c>
      <c r="AD107">
        <v>0</v>
      </c>
      <c r="AE107">
        <v>0.94770442603342819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1.0551813123691449</v>
      </c>
      <c r="AL107">
        <v>1.0551813123691449</v>
      </c>
      <c r="AM107">
        <v>1.154658035462989</v>
      </c>
      <c r="AN107">
        <v>9.9476723093844033E-2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5.5181312369144919E-2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0.86605728214503352</v>
      </c>
      <c r="BI107">
        <v>0.86605728214503352</v>
      </c>
      <c r="BJ107">
        <v>0.91384745956065139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8.6152540439348613E-2</v>
      </c>
      <c r="BV107">
        <v>0</v>
      </c>
      <c r="BW107">
        <v>0</v>
      </c>
      <c r="BX107">
        <v>0</v>
      </c>
      <c r="BY107">
        <v>0.86605728214503352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hidden="1" x14ac:dyDescent="0.25">
      <c r="A108" t="s">
        <v>128</v>
      </c>
      <c r="B108" t="s">
        <v>502</v>
      </c>
      <c r="C108" t="s">
        <v>72</v>
      </c>
      <c r="D108" s="12">
        <v>46234</v>
      </c>
      <c r="E108" t="s">
        <v>133</v>
      </c>
      <c r="F108" t="s">
        <v>75</v>
      </c>
      <c r="G108">
        <v>8.1072272522103948</v>
      </c>
      <c r="H108">
        <v>22.799999999999997</v>
      </c>
      <c r="I108">
        <v>20</v>
      </c>
      <c r="J108">
        <v>22.799999999999997</v>
      </c>
      <c r="K108">
        <v>46234</v>
      </c>
      <c r="L108" t="s">
        <v>189</v>
      </c>
      <c r="M108">
        <v>9.8897901348039241</v>
      </c>
      <c r="N108">
        <v>2.8123055257620528</v>
      </c>
      <c r="O108">
        <v>2.8123055257620528</v>
      </c>
      <c r="P108">
        <v>1.2198733089796543</v>
      </c>
      <c r="Q108">
        <v>0</v>
      </c>
      <c r="R108">
        <v>0</v>
      </c>
      <c r="S108">
        <v>1.5623055257620528</v>
      </c>
      <c r="T108">
        <v>0</v>
      </c>
      <c r="U108">
        <v>0</v>
      </c>
      <c r="V108">
        <v>0</v>
      </c>
      <c r="W108">
        <v>0.21987330897965429</v>
      </c>
      <c r="X108">
        <v>0</v>
      </c>
      <c r="Y108">
        <v>3.0126691020345708E-2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0.35558014264080684</v>
      </c>
      <c r="AL108">
        <v>0.35558014264080684</v>
      </c>
      <c r="AM108">
        <v>0.43376272521069847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0.56623727478930153</v>
      </c>
      <c r="AY108">
        <v>0</v>
      </c>
      <c r="AZ108">
        <v>0</v>
      </c>
      <c r="BA108">
        <v>0</v>
      </c>
      <c r="BB108">
        <v>0.35558014264080684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2.3054078690469635</v>
      </c>
      <c r="BI108">
        <v>2.3054078690469635</v>
      </c>
      <c r="BJ108">
        <v>0.81975725892095785</v>
      </c>
      <c r="CA108">
        <v>0</v>
      </c>
      <c r="CB108">
        <v>0</v>
      </c>
      <c r="CC108">
        <v>0</v>
      </c>
    </row>
    <row r="109" spans="1:82" hidden="1" x14ac:dyDescent="0.25">
      <c r="A109" t="s">
        <v>128</v>
      </c>
      <c r="B109" t="s">
        <v>503</v>
      </c>
      <c r="C109" t="s">
        <v>72</v>
      </c>
      <c r="D109" s="12">
        <v>46234</v>
      </c>
      <c r="E109" t="s">
        <v>133</v>
      </c>
      <c r="F109" t="s">
        <v>75</v>
      </c>
      <c r="G109">
        <v>7.4010352286773822</v>
      </c>
      <c r="H109">
        <v>22.799999999999997</v>
      </c>
      <c r="I109">
        <v>20</v>
      </c>
      <c r="J109">
        <v>22.799999999999997</v>
      </c>
      <c r="K109">
        <v>46234</v>
      </c>
      <c r="L109" t="s">
        <v>189</v>
      </c>
      <c r="M109">
        <v>8.5426470588235226</v>
      </c>
      <c r="N109">
        <v>3.0806501111702613</v>
      </c>
      <c r="O109">
        <v>3.0806501111702613</v>
      </c>
      <c r="P109">
        <v>1.1542502899760085</v>
      </c>
      <c r="Q109">
        <v>0</v>
      </c>
      <c r="R109">
        <v>0</v>
      </c>
      <c r="S109">
        <v>1.8306501111702613</v>
      </c>
      <c r="T109">
        <v>0</v>
      </c>
      <c r="U109">
        <v>0</v>
      </c>
      <c r="V109">
        <v>0</v>
      </c>
      <c r="W109">
        <v>0.15425028997600854</v>
      </c>
      <c r="X109">
        <v>0</v>
      </c>
      <c r="Y109">
        <v>9.5749710023991463E-2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0.32460680827532384</v>
      </c>
      <c r="AL109">
        <v>0.32460680827532384</v>
      </c>
      <c r="AM109">
        <v>0.37467750257997912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0.62532249742002088</v>
      </c>
      <c r="AY109">
        <v>0</v>
      </c>
      <c r="AZ109">
        <v>0</v>
      </c>
      <c r="BA109">
        <v>0</v>
      </c>
      <c r="BB109">
        <v>0.32460680827532384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2.6689619555861612</v>
      </c>
      <c r="BI109">
        <v>2.6689619555861612</v>
      </c>
      <c r="BJ109">
        <v>0.86636322181109038</v>
      </c>
      <c r="CA109">
        <v>0</v>
      </c>
      <c r="CB109">
        <v>0</v>
      </c>
      <c r="CC109">
        <v>0</v>
      </c>
    </row>
    <row r="110" spans="1:82" hidden="1" x14ac:dyDescent="0.25">
      <c r="A110" t="s">
        <v>128</v>
      </c>
      <c r="B110" t="s">
        <v>503</v>
      </c>
      <c r="C110" t="s">
        <v>72</v>
      </c>
      <c r="D110" s="12">
        <v>46235</v>
      </c>
      <c r="E110" t="s">
        <v>133</v>
      </c>
      <c r="F110" t="s">
        <v>73</v>
      </c>
      <c r="G110">
        <v>10.316594561186657</v>
      </c>
      <c r="H110">
        <v>32.299999999999997</v>
      </c>
      <c r="I110">
        <v>20</v>
      </c>
      <c r="J110">
        <v>32.299999999999997</v>
      </c>
      <c r="K110">
        <v>46235</v>
      </c>
      <c r="L110" t="s">
        <v>188</v>
      </c>
      <c r="M110">
        <v>10.700490196078425</v>
      </c>
      <c r="N110">
        <v>3.1308781021132539</v>
      </c>
      <c r="O110">
        <v>3.1308781021132539</v>
      </c>
      <c r="P110">
        <v>1.0372114686309444</v>
      </c>
      <c r="Q110">
        <v>0</v>
      </c>
      <c r="R110">
        <v>0</v>
      </c>
      <c r="S110">
        <v>1.8808781021132539</v>
      </c>
      <c r="T110">
        <v>0</v>
      </c>
      <c r="U110">
        <v>0</v>
      </c>
      <c r="V110">
        <v>0</v>
      </c>
      <c r="W110">
        <v>3.7211468630944378E-2</v>
      </c>
      <c r="X110">
        <v>0</v>
      </c>
      <c r="Y110">
        <v>0.21278853136905562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0.31939921242063957</v>
      </c>
      <c r="AL110">
        <v>0.31939921242063957</v>
      </c>
      <c r="AM110">
        <v>0.33128452619437848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0.66871547380562157</v>
      </c>
      <c r="AY110">
        <v>0</v>
      </c>
      <c r="AZ110">
        <v>0</v>
      </c>
      <c r="BA110">
        <v>0</v>
      </c>
      <c r="BB110">
        <v>0.31939921242063957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3.0185533006550935</v>
      </c>
      <c r="BI110">
        <v>3.0185533006550935</v>
      </c>
      <c r="BJ110">
        <v>0.96412354687895885</v>
      </c>
      <c r="CA110">
        <v>0</v>
      </c>
      <c r="CB110">
        <v>0</v>
      </c>
      <c r="CC110">
        <v>0</v>
      </c>
    </row>
    <row r="111" spans="1:82" hidden="1" x14ac:dyDescent="0.25">
      <c r="A111" t="s">
        <v>128</v>
      </c>
      <c r="B111" t="s">
        <v>502</v>
      </c>
      <c r="C111" t="s">
        <v>72</v>
      </c>
      <c r="D111" s="12">
        <v>46235</v>
      </c>
      <c r="E111" t="s">
        <v>133</v>
      </c>
      <c r="F111" t="s">
        <v>73</v>
      </c>
      <c r="G111">
        <v>9.9149198152032554</v>
      </c>
      <c r="H111">
        <v>32.299999999999997</v>
      </c>
      <c r="I111">
        <v>20</v>
      </c>
      <c r="J111">
        <v>32.299999999999997</v>
      </c>
      <c r="K111">
        <v>46235</v>
      </c>
      <c r="L111" t="s">
        <v>188</v>
      </c>
      <c r="M111">
        <v>10.962545955882351</v>
      </c>
      <c r="N111">
        <v>3.2577167140042924</v>
      </c>
      <c r="O111">
        <v>3.2577167140042924</v>
      </c>
      <c r="P111">
        <v>1.1056615847838422</v>
      </c>
      <c r="Q111">
        <v>0</v>
      </c>
      <c r="R111">
        <v>0</v>
      </c>
      <c r="S111">
        <v>2.0077167140042924</v>
      </c>
      <c r="T111">
        <v>0</v>
      </c>
      <c r="U111">
        <v>0</v>
      </c>
      <c r="V111">
        <v>0</v>
      </c>
      <c r="W111">
        <v>0.10566158478384224</v>
      </c>
      <c r="X111">
        <v>0</v>
      </c>
      <c r="Y111">
        <v>0.14433841521615776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0.30696346177099865</v>
      </c>
      <c r="AL111">
        <v>0.30696346177099865</v>
      </c>
      <c r="AM111">
        <v>0.33939770761245674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0.6606022923875432</v>
      </c>
      <c r="AY111">
        <v>0</v>
      </c>
      <c r="AZ111">
        <v>0</v>
      </c>
      <c r="BA111">
        <v>0</v>
      </c>
      <c r="BB111">
        <v>0.30696346177099865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2.9463958582238154</v>
      </c>
      <c r="BI111">
        <v>2.9463958582238154</v>
      </c>
      <c r="BJ111">
        <v>0.90443587238811485</v>
      </c>
      <c r="CA111">
        <v>0</v>
      </c>
      <c r="CB111">
        <v>0</v>
      </c>
      <c r="CC111">
        <v>0</v>
      </c>
    </row>
    <row r="112" spans="1:82" hidden="1" x14ac:dyDescent="0.25">
      <c r="A112" t="s">
        <v>128</v>
      </c>
      <c r="B112" t="s">
        <v>372</v>
      </c>
      <c r="C112" t="s">
        <v>72</v>
      </c>
      <c r="D112" s="12">
        <v>46235</v>
      </c>
      <c r="E112" t="s">
        <v>133</v>
      </c>
      <c r="F112" t="s">
        <v>73</v>
      </c>
      <c r="G112">
        <v>11.026644714257564</v>
      </c>
      <c r="H112">
        <v>10.45</v>
      </c>
      <c r="I112">
        <v>20</v>
      </c>
      <c r="J112">
        <v>10.45</v>
      </c>
      <c r="K112">
        <v>46235</v>
      </c>
      <c r="L112" t="s">
        <v>188</v>
      </c>
      <c r="M112">
        <v>12.066176470588234</v>
      </c>
      <c r="N112">
        <v>0.94770442603342819</v>
      </c>
      <c r="O112">
        <v>0.94770442603342819</v>
      </c>
      <c r="P112">
        <v>1.0942745307633377</v>
      </c>
      <c r="Q112">
        <v>9.4274530763337694E-2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5.2295573966571807E-2</v>
      </c>
      <c r="AA112">
        <v>0</v>
      </c>
      <c r="AB112">
        <v>0</v>
      </c>
      <c r="AC112">
        <v>0</v>
      </c>
      <c r="AD112">
        <v>0</v>
      </c>
      <c r="AE112">
        <v>0.94770442603342819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1.0551813123691449</v>
      </c>
      <c r="AL112">
        <v>1.0551813123691449</v>
      </c>
      <c r="AM112">
        <v>1.154658035462989</v>
      </c>
      <c r="AN112">
        <v>9.9476723093844033E-2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5.5181312369144919E-2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0.86605728214503352</v>
      </c>
      <c r="BI112">
        <v>0.86605728214503352</v>
      </c>
      <c r="BJ112">
        <v>0.91384745956065139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8.6152540439348613E-2</v>
      </c>
      <c r="BV112">
        <v>0</v>
      </c>
      <c r="BW112">
        <v>0</v>
      </c>
      <c r="BX112">
        <v>0</v>
      </c>
      <c r="BY112">
        <v>0.86605728214503352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 hidden="1" x14ac:dyDescent="0.25">
      <c r="A113" t="s">
        <v>128</v>
      </c>
      <c r="B113" t="s">
        <v>502</v>
      </c>
      <c r="C113" t="s">
        <v>72</v>
      </c>
      <c r="D113" s="12">
        <v>46235</v>
      </c>
      <c r="E113" t="s">
        <v>133</v>
      </c>
      <c r="F113" t="s">
        <v>74</v>
      </c>
      <c r="G113">
        <v>4.3275064386798743</v>
      </c>
      <c r="H113">
        <v>9.5</v>
      </c>
      <c r="I113">
        <v>20</v>
      </c>
      <c r="J113">
        <v>9.5</v>
      </c>
      <c r="K113">
        <v>46235</v>
      </c>
      <c r="L113" t="s">
        <v>187</v>
      </c>
      <c r="M113">
        <v>4.9267310049019608</v>
      </c>
      <c r="N113">
        <v>2.1952595876201673</v>
      </c>
      <c r="O113">
        <v>2.1952595876201673</v>
      </c>
      <c r="P113">
        <v>1.138468786751218</v>
      </c>
      <c r="Q113">
        <v>0</v>
      </c>
      <c r="R113">
        <v>0</v>
      </c>
      <c r="S113">
        <v>0.94525958762016726</v>
      </c>
      <c r="T113">
        <v>0</v>
      </c>
      <c r="U113">
        <v>0</v>
      </c>
      <c r="V113">
        <v>0</v>
      </c>
      <c r="W113">
        <v>0.13846878675121799</v>
      </c>
      <c r="X113">
        <v>0</v>
      </c>
      <c r="Y113">
        <v>0.11153121324878201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0.45552699354524995</v>
      </c>
      <c r="AL113">
        <v>0.45552699354524995</v>
      </c>
      <c r="AM113">
        <v>0.51860326367389065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0.48139673632610935</v>
      </c>
      <c r="AY113">
        <v>0</v>
      </c>
      <c r="AZ113">
        <v>0</v>
      </c>
      <c r="BA113">
        <v>0</v>
      </c>
      <c r="BB113">
        <v>0.45552699354524995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1.9282562799851999</v>
      </c>
      <c r="BI113">
        <v>1.9282562799851999</v>
      </c>
      <c r="BJ113">
        <v>0.87837278600640578</v>
      </c>
      <c r="CA113">
        <v>0</v>
      </c>
      <c r="CB113">
        <v>0</v>
      </c>
      <c r="CC113">
        <v>0</v>
      </c>
    </row>
    <row r="114" spans="1:82" hidden="1" x14ac:dyDescent="0.25">
      <c r="A114" t="s">
        <v>128</v>
      </c>
      <c r="B114" t="s">
        <v>503</v>
      </c>
      <c r="C114" t="s">
        <v>72</v>
      </c>
      <c r="D114" s="12">
        <v>46235</v>
      </c>
      <c r="E114" t="s">
        <v>133</v>
      </c>
      <c r="F114" t="s">
        <v>74</v>
      </c>
      <c r="G114">
        <v>3.588380716934489</v>
      </c>
      <c r="H114">
        <v>9.5</v>
      </c>
      <c r="I114">
        <v>20</v>
      </c>
      <c r="J114">
        <v>9.5</v>
      </c>
      <c r="K114">
        <v>46235</v>
      </c>
      <c r="L114" t="s">
        <v>187</v>
      </c>
      <c r="M114">
        <v>2.4705882352941178</v>
      </c>
      <c r="N114">
        <v>2.647433689286943</v>
      </c>
      <c r="O114">
        <v>2.647433689286943</v>
      </c>
      <c r="P114">
        <v>0.68849668699722366</v>
      </c>
      <c r="Q114">
        <v>0</v>
      </c>
      <c r="R114">
        <v>0</v>
      </c>
      <c r="S114">
        <v>1.397433689286943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0.25</v>
      </c>
      <c r="Z114">
        <v>0</v>
      </c>
      <c r="AA114">
        <v>0</v>
      </c>
      <c r="AB114">
        <v>0</v>
      </c>
      <c r="AC114">
        <v>0.31150331300277634</v>
      </c>
      <c r="AD114">
        <v>0</v>
      </c>
      <c r="AE114">
        <v>0.68849668699722366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0.37772428599310409</v>
      </c>
      <c r="AL114">
        <v>0.37772428599310409</v>
      </c>
      <c r="AM114">
        <v>0.26006191950464397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0.62227571400689596</v>
      </c>
      <c r="AY114">
        <v>0</v>
      </c>
      <c r="AZ114">
        <v>0.11766236648846012</v>
      </c>
      <c r="BA114">
        <v>0</v>
      </c>
      <c r="BB114">
        <v>0.26006191950464397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3.8452380952380949</v>
      </c>
      <c r="BI114">
        <v>3.8452380952380949</v>
      </c>
      <c r="BJ114">
        <v>1.4524398139972932</v>
      </c>
      <c r="CA114">
        <v>0</v>
      </c>
      <c r="CB114">
        <v>0</v>
      </c>
      <c r="CC114">
        <v>0</v>
      </c>
    </row>
    <row r="115" spans="1:82" hidden="1" x14ac:dyDescent="0.25">
      <c r="A115" t="s">
        <v>128</v>
      </c>
      <c r="B115" t="s">
        <v>372</v>
      </c>
      <c r="C115" t="s">
        <v>72</v>
      </c>
      <c r="D115" s="12">
        <v>46235</v>
      </c>
      <c r="E115" t="s">
        <v>133</v>
      </c>
      <c r="F115" t="s">
        <v>74</v>
      </c>
      <c r="G115">
        <v>4.2207252494765797</v>
      </c>
      <c r="H115">
        <v>4.75</v>
      </c>
      <c r="I115">
        <v>20</v>
      </c>
      <c r="J115">
        <v>4.75</v>
      </c>
      <c r="K115">
        <v>46235</v>
      </c>
      <c r="L115" t="s">
        <v>187</v>
      </c>
      <c r="M115">
        <v>4.6875</v>
      </c>
      <c r="N115">
        <v>1.1253990059146959</v>
      </c>
      <c r="O115">
        <v>1.1253990059146959</v>
      </c>
      <c r="P115">
        <v>1.1105911242579236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0.11059112425792361</v>
      </c>
      <c r="X115">
        <v>0</v>
      </c>
      <c r="Y115">
        <v>1.480788165677227E-2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0.88857373673191153</v>
      </c>
      <c r="AL115">
        <v>0.88857373673191153</v>
      </c>
      <c r="AM115">
        <v>0.98684210526315785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1.3157894736842146E-2</v>
      </c>
      <c r="AY115">
        <v>0</v>
      </c>
      <c r="AZ115">
        <v>0</v>
      </c>
      <c r="BA115">
        <v>0</v>
      </c>
      <c r="BB115">
        <v>0.88857373673191153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1.0133333333333334</v>
      </c>
      <c r="BI115">
        <v>1.0133333333333334</v>
      </c>
      <c r="BJ115">
        <v>0.9004213865550037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1.3333333333333419E-2</v>
      </c>
      <c r="BT115">
        <v>0</v>
      </c>
      <c r="BU115">
        <v>0</v>
      </c>
      <c r="BV115">
        <v>0</v>
      </c>
      <c r="BW115">
        <v>9.95786134449963E-2</v>
      </c>
      <c r="BX115">
        <v>0</v>
      </c>
      <c r="BY115">
        <v>0.9004213865550037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 hidden="1" x14ac:dyDescent="0.25">
      <c r="A116" t="s">
        <v>128</v>
      </c>
      <c r="B116" t="s">
        <v>372</v>
      </c>
      <c r="C116" t="s">
        <v>72</v>
      </c>
      <c r="D116" s="12">
        <v>46235</v>
      </c>
      <c r="E116" t="s">
        <v>133</v>
      </c>
      <c r="F116" t="s">
        <v>75</v>
      </c>
      <c r="G116">
        <v>10.973885648639106</v>
      </c>
      <c r="H116">
        <v>9.5</v>
      </c>
      <c r="I116">
        <v>20</v>
      </c>
      <c r="J116">
        <v>9.5</v>
      </c>
      <c r="K116">
        <v>46235</v>
      </c>
      <c r="L116" t="s">
        <v>186</v>
      </c>
      <c r="M116">
        <v>11.308823529411764</v>
      </c>
      <c r="N116">
        <v>0.86569154301130469</v>
      </c>
      <c r="O116">
        <v>0.86569154301130469</v>
      </c>
      <c r="P116">
        <v>1.0305213569283178</v>
      </c>
      <c r="Q116">
        <v>3.0521356928317811E-2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0.13430845698869531</v>
      </c>
      <c r="AA116">
        <v>0</v>
      </c>
      <c r="AB116">
        <v>0</v>
      </c>
      <c r="AC116">
        <v>0</v>
      </c>
      <c r="AD116">
        <v>0</v>
      </c>
      <c r="AE116">
        <v>0.86569154301130469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1.1551458577514848</v>
      </c>
      <c r="AL116">
        <v>1.1551458577514848</v>
      </c>
      <c r="AM116">
        <v>1.1904024767801857</v>
      </c>
      <c r="AN116">
        <v>3.525661902870092E-2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0.15514585775148482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0.84005201560468146</v>
      </c>
      <c r="BI116">
        <v>0.84005201560468146</v>
      </c>
      <c r="BJ116">
        <v>0.97038260612153349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2.9617393878466514E-2</v>
      </c>
      <c r="BV116">
        <v>0</v>
      </c>
      <c r="BW116">
        <v>0</v>
      </c>
      <c r="BX116">
        <v>0</v>
      </c>
      <c r="BY116">
        <v>0.84005201560468146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 hidden="1" x14ac:dyDescent="0.25">
      <c r="A117" t="s">
        <v>128</v>
      </c>
      <c r="B117" t="s">
        <v>502</v>
      </c>
      <c r="C117" t="s">
        <v>72</v>
      </c>
      <c r="D117" s="12">
        <v>46235</v>
      </c>
      <c r="E117" t="s">
        <v>133</v>
      </c>
      <c r="F117" t="s">
        <v>75</v>
      </c>
      <c r="G117">
        <v>8.1620058147253278</v>
      </c>
      <c r="H117">
        <v>17.099999999999998</v>
      </c>
      <c r="I117">
        <v>20</v>
      </c>
      <c r="J117">
        <v>17.099999999999998</v>
      </c>
      <c r="K117">
        <v>46235</v>
      </c>
      <c r="L117" t="s">
        <v>186</v>
      </c>
      <c r="M117">
        <v>10.610723039215689</v>
      </c>
      <c r="N117">
        <v>2.0950732440240802</v>
      </c>
      <c r="O117">
        <v>2.0950732440240802</v>
      </c>
      <c r="P117">
        <v>1.3000141484918517</v>
      </c>
      <c r="Q117">
        <v>0</v>
      </c>
      <c r="R117">
        <v>0</v>
      </c>
      <c r="S117">
        <v>0.79505909553222853</v>
      </c>
      <c r="T117">
        <v>0</v>
      </c>
      <c r="U117">
        <v>5.0014148491851707E-2</v>
      </c>
      <c r="V117">
        <v>0</v>
      </c>
      <c r="W117">
        <v>0.25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0.47731028156288474</v>
      </c>
      <c r="AL117">
        <v>0.47731028156288474</v>
      </c>
      <c r="AM117">
        <v>0.62051011925237953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0.37948988074762047</v>
      </c>
      <c r="AY117">
        <v>0</v>
      </c>
      <c r="AZ117">
        <v>0</v>
      </c>
      <c r="BA117">
        <v>0</v>
      </c>
      <c r="BB117">
        <v>0.47731028156288474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1.6115772635663834</v>
      </c>
      <c r="BI117">
        <v>1.6115772635663834</v>
      </c>
      <c r="BJ117">
        <v>0.76922239743321374</v>
      </c>
      <c r="CA117">
        <v>0</v>
      </c>
      <c r="CB117">
        <v>0</v>
      </c>
      <c r="CC117">
        <v>0</v>
      </c>
    </row>
    <row r="118" spans="1:82" hidden="1" x14ac:dyDescent="0.25">
      <c r="A118" t="s">
        <v>128</v>
      </c>
      <c r="B118" t="s">
        <v>503</v>
      </c>
      <c r="C118" t="s">
        <v>72</v>
      </c>
      <c r="D118" s="12">
        <v>46235</v>
      </c>
      <c r="E118" t="s">
        <v>133</v>
      </c>
      <c r="F118" t="s">
        <v>75</v>
      </c>
      <c r="G118">
        <v>7.4010352286773822</v>
      </c>
      <c r="H118">
        <v>17.099999999999998</v>
      </c>
      <c r="I118">
        <v>20</v>
      </c>
      <c r="J118">
        <v>17.099999999999998</v>
      </c>
      <c r="K118">
        <v>46235</v>
      </c>
      <c r="L118" t="s">
        <v>186</v>
      </c>
      <c r="M118">
        <v>8.1009803921568615</v>
      </c>
      <c r="N118">
        <v>2.3104875833776961</v>
      </c>
      <c r="O118">
        <v>2.3104875833776961</v>
      </c>
      <c r="P118">
        <v>1.0945739537581642</v>
      </c>
      <c r="Q118">
        <v>0</v>
      </c>
      <c r="R118">
        <v>0</v>
      </c>
      <c r="S118">
        <v>1.0604875833776961</v>
      </c>
      <c r="T118">
        <v>0</v>
      </c>
      <c r="U118">
        <v>0</v>
      </c>
      <c r="V118">
        <v>0</v>
      </c>
      <c r="W118">
        <v>9.4573953758164242E-2</v>
      </c>
      <c r="X118">
        <v>0</v>
      </c>
      <c r="Y118">
        <v>0.15542604624183576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0.43280907770043175</v>
      </c>
      <c r="AL118">
        <v>0.43280907770043175</v>
      </c>
      <c r="AM118">
        <v>0.47374154340098612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0.52625845659901382</v>
      </c>
      <c r="AY118">
        <v>0</v>
      </c>
      <c r="AZ118">
        <v>0</v>
      </c>
      <c r="BA118">
        <v>0</v>
      </c>
      <c r="BB118">
        <v>0.43280907770043175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2.1108556214449958</v>
      </c>
      <c r="BI118">
        <v>2.1108556214449958</v>
      </c>
      <c r="BJ118">
        <v>0.91359747467638042</v>
      </c>
      <c r="CA118">
        <v>0</v>
      </c>
      <c r="CB118">
        <v>0</v>
      </c>
      <c r="CC118">
        <v>0</v>
      </c>
    </row>
    <row r="119" spans="1:82" hidden="1" x14ac:dyDescent="0.25">
      <c r="A119" t="s">
        <v>128</v>
      </c>
      <c r="B119" t="s">
        <v>372</v>
      </c>
      <c r="C119" t="s">
        <v>72</v>
      </c>
      <c r="D119" s="12">
        <v>46236</v>
      </c>
      <c r="E119" t="s">
        <v>133</v>
      </c>
      <c r="F119" t="s">
        <v>73</v>
      </c>
      <c r="G119">
        <v>10.973885648639106</v>
      </c>
      <c r="H119">
        <v>13.3</v>
      </c>
      <c r="I119">
        <v>20</v>
      </c>
      <c r="J119">
        <v>13.3</v>
      </c>
      <c r="K119">
        <v>46236</v>
      </c>
      <c r="L119" t="s">
        <v>185</v>
      </c>
      <c r="M119">
        <v>12.1875</v>
      </c>
      <c r="N119">
        <v>1.2119681602158265</v>
      </c>
      <c r="O119">
        <v>1.2119681602158265</v>
      </c>
      <c r="P119">
        <v>1.1105911242579238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0.11059112425792383</v>
      </c>
      <c r="X119">
        <v>0</v>
      </c>
      <c r="Y119">
        <v>0.10137703595790271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0.82510418410820352</v>
      </c>
      <c r="AL119">
        <v>0.82510418410820352</v>
      </c>
      <c r="AM119">
        <v>0.9163533834586467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8.3646616541353302E-2</v>
      </c>
      <c r="AY119">
        <v>0</v>
      </c>
      <c r="AZ119">
        <v>0</v>
      </c>
      <c r="BA119">
        <v>0</v>
      </c>
      <c r="BB119">
        <v>0.82510418410820352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1.0912820512820511</v>
      </c>
      <c r="BI119">
        <v>1.0912820512820511</v>
      </c>
      <c r="BJ119">
        <v>0.90042138655500359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9.1282051282051135E-2</v>
      </c>
      <c r="BT119">
        <v>0</v>
      </c>
      <c r="BU119">
        <v>0</v>
      </c>
      <c r="BV119">
        <v>0</v>
      </c>
      <c r="BW119">
        <v>9.9578613444996411E-2</v>
      </c>
      <c r="BX119">
        <v>0</v>
      </c>
      <c r="BY119">
        <v>0.90042138655500359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 hidden="1" x14ac:dyDescent="0.25">
      <c r="A120" t="s">
        <v>128</v>
      </c>
      <c r="B120" t="s">
        <v>503</v>
      </c>
      <c r="C120" t="s">
        <v>72</v>
      </c>
      <c r="D120" s="12">
        <v>46236</v>
      </c>
      <c r="E120" t="s">
        <v>133</v>
      </c>
      <c r="F120" t="s">
        <v>73</v>
      </c>
      <c r="G120">
        <v>10.316594561186657</v>
      </c>
      <c r="H120">
        <v>38</v>
      </c>
      <c r="I120">
        <v>20</v>
      </c>
      <c r="J120">
        <v>38</v>
      </c>
      <c r="K120">
        <v>46236</v>
      </c>
      <c r="L120" t="s">
        <v>185</v>
      </c>
      <c r="M120">
        <v>10.553431372549014</v>
      </c>
      <c r="N120">
        <v>3.6833860024861815</v>
      </c>
      <c r="O120">
        <v>3.6833860024861815</v>
      </c>
      <c r="P120">
        <v>1.0229568788380412</v>
      </c>
      <c r="Q120">
        <v>0</v>
      </c>
      <c r="R120">
        <v>0</v>
      </c>
      <c r="S120">
        <v>2.4333860024861815</v>
      </c>
      <c r="T120">
        <v>0</v>
      </c>
      <c r="U120">
        <v>0</v>
      </c>
      <c r="V120">
        <v>0</v>
      </c>
      <c r="W120">
        <v>2.2956878838041206E-2</v>
      </c>
      <c r="X120">
        <v>0</v>
      </c>
      <c r="Y120">
        <v>0.22704312116195879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0.2714893305575436</v>
      </c>
      <c r="AL120">
        <v>0.2714893305575436</v>
      </c>
      <c r="AM120">
        <v>0.27772187822497402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0.72227812177502604</v>
      </c>
      <c r="AY120">
        <v>0</v>
      </c>
      <c r="AZ120">
        <v>0</v>
      </c>
      <c r="BA120">
        <v>0</v>
      </c>
      <c r="BB120">
        <v>0.2714893305575436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3.6007246040224832</v>
      </c>
      <c r="BI120">
        <v>3.6007246040224832</v>
      </c>
      <c r="BJ120">
        <v>0.97755831226814027</v>
      </c>
      <c r="CA120">
        <v>0</v>
      </c>
      <c r="CB120">
        <v>0</v>
      </c>
      <c r="CC120">
        <v>0</v>
      </c>
    </row>
    <row r="121" spans="1:82" hidden="1" x14ac:dyDescent="0.25">
      <c r="A121" t="s">
        <v>128</v>
      </c>
      <c r="B121" t="s">
        <v>502</v>
      </c>
      <c r="C121" t="s">
        <v>72</v>
      </c>
      <c r="D121" s="12">
        <v>46236</v>
      </c>
      <c r="E121" t="s">
        <v>133</v>
      </c>
      <c r="F121" t="s">
        <v>73</v>
      </c>
      <c r="G121">
        <v>9.9149198152032554</v>
      </c>
      <c r="H121">
        <v>38</v>
      </c>
      <c r="I121">
        <v>20</v>
      </c>
      <c r="J121">
        <v>38</v>
      </c>
      <c r="K121">
        <v>46236</v>
      </c>
      <c r="L121" t="s">
        <v>185</v>
      </c>
      <c r="M121">
        <v>10.962545955882351</v>
      </c>
      <c r="N121">
        <v>3.8326078988285799</v>
      </c>
      <c r="O121">
        <v>3.8326078988285799</v>
      </c>
      <c r="P121">
        <v>1.1056615847838422</v>
      </c>
      <c r="Q121">
        <v>0</v>
      </c>
      <c r="R121">
        <v>0</v>
      </c>
      <c r="S121">
        <v>2.5826078988285799</v>
      </c>
      <c r="T121">
        <v>0</v>
      </c>
      <c r="U121">
        <v>0</v>
      </c>
      <c r="V121">
        <v>0</v>
      </c>
      <c r="W121">
        <v>0.10566158478384224</v>
      </c>
      <c r="X121">
        <v>0</v>
      </c>
      <c r="Y121">
        <v>0.14433841521615776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0.26091894250534881</v>
      </c>
      <c r="AL121">
        <v>0.26091894250534881</v>
      </c>
      <c r="AM121">
        <v>0.2884880514705882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0.7115119485294118</v>
      </c>
      <c r="AY121">
        <v>0</v>
      </c>
      <c r="AZ121">
        <v>0</v>
      </c>
      <c r="BA121">
        <v>0</v>
      </c>
      <c r="BB121">
        <v>0.26091894250534881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3.4663480684986068</v>
      </c>
      <c r="BI121">
        <v>3.4663480684986068</v>
      </c>
      <c r="BJ121">
        <v>0.90443587238811485</v>
      </c>
      <c r="CA121">
        <v>0</v>
      </c>
      <c r="CB121">
        <v>0</v>
      </c>
      <c r="CC121">
        <v>0</v>
      </c>
    </row>
    <row r="122" spans="1:82" hidden="1" x14ac:dyDescent="0.25">
      <c r="A122" t="s">
        <v>128</v>
      </c>
      <c r="B122" t="s">
        <v>503</v>
      </c>
      <c r="C122" t="s">
        <v>72</v>
      </c>
      <c r="D122" s="12">
        <v>46236</v>
      </c>
      <c r="E122" t="s">
        <v>133</v>
      </c>
      <c r="F122" t="s">
        <v>74</v>
      </c>
      <c r="G122">
        <v>3.8126545117428936</v>
      </c>
      <c r="H122">
        <v>11.4</v>
      </c>
      <c r="I122">
        <v>20</v>
      </c>
      <c r="J122">
        <v>11.4</v>
      </c>
      <c r="K122">
        <v>46236</v>
      </c>
      <c r="L122" t="s">
        <v>184</v>
      </c>
      <c r="M122">
        <v>2.5</v>
      </c>
      <c r="N122">
        <v>2.9900427549593713</v>
      </c>
      <c r="O122">
        <v>2.9900427549593713</v>
      </c>
      <c r="P122">
        <v>0.65571113047354646</v>
      </c>
      <c r="Q122">
        <v>0</v>
      </c>
      <c r="R122">
        <v>0</v>
      </c>
      <c r="S122">
        <v>1.7400427549593713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0.25</v>
      </c>
      <c r="Z122">
        <v>0</v>
      </c>
      <c r="AA122">
        <v>0</v>
      </c>
      <c r="AB122">
        <v>0</v>
      </c>
      <c r="AC122">
        <v>0.34428886952645354</v>
      </c>
      <c r="AD122">
        <v>0</v>
      </c>
      <c r="AE122">
        <v>0.65571113047354646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0.33444337822306086</v>
      </c>
      <c r="AL122">
        <v>0.33444337822306086</v>
      </c>
      <c r="AM122">
        <v>0.2192982456140351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0.66555662177693908</v>
      </c>
      <c r="AY122">
        <v>0</v>
      </c>
      <c r="AZ122">
        <v>0.11514513260902576</v>
      </c>
      <c r="BA122">
        <v>0</v>
      </c>
      <c r="BB122">
        <v>0.2192982456140351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4.5599999999999996</v>
      </c>
      <c r="BI122">
        <v>4.5599999999999996</v>
      </c>
      <c r="BJ122">
        <v>1.5250618046971574</v>
      </c>
      <c r="CA122">
        <v>0</v>
      </c>
      <c r="CB122">
        <v>0</v>
      </c>
      <c r="CC122">
        <v>0</v>
      </c>
    </row>
    <row r="123" spans="1:82" hidden="1" x14ac:dyDescent="0.25">
      <c r="A123" t="s">
        <v>128</v>
      </c>
      <c r="B123" t="s">
        <v>372</v>
      </c>
      <c r="C123" t="s">
        <v>72</v>
      </c>
      <c r="D123" s="12">
        <v>46236</v>
      </c>
      <c r="E123" t="s">
        <v>133</v>
      </c>
      <c r="F123" t="s">
        <v>74</v>
      </c>
      <c r="G123">
        <v>4.2207252494765797</v>
      </c>
      <c r="H123">
        <v>5.6999999999999993</v>
      </c>
      <c r="I123">
        <v>20</v>
      </c>
      <c r="J123">
        <v>5.6999999999999993</v>
      </c>
      <c r="K123">
        <v>46236</v>
      </c>
      <c r="L123" t="s">
        <v>184</v>
      </c>
      <c r="M123">
        <v>4.6875</v>
      </c>
      <c r="N123">
        <v>1.350478807097635</v>
      </c>
      <c r="O123">
        <v>1.350478807097635</v>
      </c>
      <c r="P123">
        <v>1.1105911242579236</v>
      </c>
      <c r="Q123">
        <v>0</v>
      </c>
      <c r="R123">
        <v>0</v>
      </c>
      <c r="S123">
        <v>0.10047880709763501</v>
      </c>
      <c r="T123">
        <v>0</v>
      </c>
      <c r="U123">
        <v>0</v>
      </c>
      <c r="V123">
        <v>0</v>
      </c>
      <c r="W123">
        <v>0.11059112425792361</v>
      </c>
      <c r="X123">
        <v>0</v>
      </c>
      <c r="Y123">
        <v>0.13940887574207639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0.74047811394325969</v>
      </c>
      <c r="AL123">
        <v>0.74047811394325969</v>
      </c>
      <c r="AM123">
        <v>0.82236842105263164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0.17763157894736836</v>
      </c>
      <c r="AY123">
        <v>0</v>
      </c>
      <c r="AZ123">
        <v>0</v>
      </c>
      <c r="BA123">
        <v>0</v>
      </c>
      <c r="BB123">
        <v>0.74047811394325969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1.2159999999999997</v>
      </c>
      <c r="BI123">
        <v>1.2159999999999997</v>
      </c>
      <c r="BJ123">
        <v>0.9004213865550037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0.21599999999999975</v>
      </c>
      <c r="BT123">
        <v>0</v>
      </c>
      <c r="BU123">
        <v>0</v>
      </c>
      <c r="BV123">
        <v>0</v>
      </c>
      <c r="BW123">
        <v>9.95786134449963E-2</v>
      </c>
      <c r="BX123">
        <v>0</v>
      </c>
      <c r="BY123">
        <v>0.9004213865550037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hidden="1" x14ac:dyDescent="0.25">
      <c r="A124" t="s">
        <v>128</v>
      </c>
      <c r="B124" t="s">
        <v>502</v>
      </c>
      <c r="C124" t="s">
        <v>72</v>
      </c>
      <c r="D124" s="12">
        <v>46236</v>
      </c>
      <c r="E124" t="s">
        <v>133</v>
      </c>
      <c r="F124" t="s">
        <v>74</v>
      </c>
      <c r="G124">
        <v>4.437063563709744</v>
      </c>
      <c r="H124">
        <v>11.4</v>
      </c>
      <c r="I124">
        <v>20</v>
      </c>
      <c r="J124">
        <v>11.4</v>
      </c>
      <c r="K124">
        <v>46236</v>
      </c>
      <c r="L124" t="s">
        <v>184</v>
      </c>
      <c r="M124">
        <v>4.9267310049019608</v>
      </c>
      <c r="N124">
        <v>2.569266776622122</v>
      </c>
      <c r="O124">
        <v>2.569266776622122</v>
      </c>
      <c r="P124">
        <v>1.1103584463376079</v>
      </c>
      <c r="Q124">
        <v>0</v>
      </c>
      <c r="R124">
        <v>0</v>
      </c>
      <c r="S124">
        <v>1.319266776622122</v>
      </c>
      <c r="T124">
        <v>0</v>
      </c>
      <c r="U124">
        <v>0</v>
      </c>
      <c r="V124">
        <v>0</v>
      </c>
      <c r="W124">
        <v>0.11035844633760794</v>
      </c>
      <c r="X124">
        <v>0</v>
      </c>
      <c r="Y124">
        <v>0.13964155366239206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0.38921610207980217</v>
      </c>
      <c r="AL124">
        <v>0.38921610207980217</v>
      </c>
      <c r="AM124">
        <v>0.43216938639490887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0.56783061360509113</v>
      </c>
      <c r="AY124">
        <v>0</v>
      </c>
      <c r="AZ124">
        <v>0</v>
      </c>
      <c r="BA124">
        <v>0</v>
      </c>
      <c r="BB124">
        <v>0.38921610207980217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2.3139075359822394</v>
      </c>
      <c r="BI124">
        <v>2.3139075359822394</v>
      </c>
      <c r="BJ124">
        <v>0.90061007172808683</v>
      </c>
      <c r="CA124">
        <v>0</v>
      </c>
      <c r="CB124">
        <v>0</v>
      </c>
      <c r="CC124">
        <v>0</v>
      </c>
    </row>
    <row r="125" spans="1:82" hidden="1" x14ac:dyDescent="0.25">
      <c r="A125" t="s">
        <v>128</v>
      </c>
      <c r="B125" t="s">
        <v>502</v>
      </c>
      <c r="C125" t="s">
        <v>72</v>
      </c>
      <c r="D125" s="12">
        <v>46236</v>
      </c>
      <c r="E125" t="s">
        <v>133</v>
      </c>
      <c r="F125" t="s">
        <v>75</v>
      </c>
      <c r="G125">
        <v>8.1620058147253278</v>
      </c>
      <c r="H125">
        <v>20.9</v>
      </c>
      <c r="I125">
        <v>20</v>
      </c>
      <c r="J125">
        <v>20.9</v>
      </c>
      <c r="K125">
        <v>46236</v>
      </c>
      <c r="L125" t="s">
        <v>183</v>
      </c>
      <c r="M125">
        <v>10.42322303921568</v>
      </c>
      <c r="N125">
        <v>2.5606450760294313</v>
      </c>
      <c r="O125">
        <v>2.5606450760294313</v>
      </c>
      <c r="P125">
        <v>1.2770418541494812</v>
      </c>
      <c r="Q125">
        <v>0</v>
      </c>
      <c r="R125">
        <v>0</v>
      </c>
      <c r="S125">
        <v>1.28360322187995</v>
      </c>
      <c r="T125">
        <v>0</v>
      </c>
      <c r="U125">
        <v>2.7041854149481237E-2</v>
      </c>
      <c r="V125">
        <v>0</v>
      </c>
      <c r="W125">
        <v>0.25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0.3905265940059966</v>
      </c>
      <c r="AL125">
        <v>0.3905265940059966</v>
      </c>
      <c r="AM125">
        <v>0.49871880570409954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0.50128119429590046</v>
      </c>
      <c r="AY125">
        <v>0</v>
      </c>
      <c r="AZ125">
        <v>0</v>
      </c>
      <c r="BA125">
        <v>0</v>
      </c>
      <c r="BB125">
        <v>0.3905265940059966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2.0051379425890774</v>
      </c>
      <c r="BI125">
        <v>2.0051379425890774</v>
      </c>
      <c r="BJ125">
        <v>0.78305969123150387</v>
      </c>
      <c r="CA125">
        <v>0</v>
      </c>
      <c r="CB125">
        <v>0</v>
      </c>
      <c r="CC125">
        <v>0</v>
      </c>
    </row>
    <row r="126" spans="1:82" hidden="1" x14ac:dyDescent="0.25">
      <c r="A126" t="s">
        <v>128</v>
      </c>
      <c r="B126" t="s">
        <v>503</v>
      </c>
      <c r="C126" t="s">
        <v>72</v>
      </c>
      <c r="D126" s="12">
        <v>46236</v>
      </c>
      <c r="E126" t="s">
        <v>133</v>
      </c>
      <c r="F126" t="s">
        <v>75</v>
      </c>
      <c r="G126">
        <v>7.4010352286773804</v>
      </c>
      <c r="H126">
        <v>20.9</v>
      </c>
      <c r="I126">
        <v>20</v>
      </c>
      <c r="J126">
        <v>20.9</v>
      </c>
      <c r="K126">
        <v>46236</v>
      </c>
      <c r="L126" t="s">
        <v>183</v>
      </c>
      <c r="M126">
        <v>8.6009803921568544</v>
      </c>
      <c r="N126">
        <v>2.8239292685727402</v>
      </c>
      <c r="O126">
        <v>2.8239292685727402</v>
      </c>
      <c r="P126">
        <v>1.1621320702311957</v>
      </c>
      <c r="Q126">
        <v>0</v>
      </c>
      <c r="R126">
        <v>0</v>
      </c>
      <c r="S126">
        <v>1.5739292685727402</v>
      </c>
      <c r="T126">
        <v>0</v>
      </c>
      <c r="U126">
        <v>0</v>
      </c>
      <c r="V126">
        <v>0</v>
      </c>
      <c r="W126">
        <v>0.16213207023119569</v>
      </c>
      <c r="X126">
        <v>0</v>
      </c>
      <c r="Y126">
        <v>8.7867929768804309E-2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0.35411651811853495</v>
      </c>
      <c r="AL126">
        <v>0.35411651811853495</v>
      </c>
      <c r="AM126">
        <v>0.41153016230415573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0.58846983769584427</v>
      </c>
      <c r="AY126">
        <v>0</v>
      </c>
      <c r="AZ126">
        <v>0</v>
      </c>
      <c r="BA126">
        <v>0</v>
      </c>
      <c r="BB126">
        <v>0.35411651811853495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2.4299555454234607</v>
      </c>
      <c r="BI126">
        <v>2.4299555454234607</v>
      </c>
      <c r="BJ126">
        <v>0.86048739692818144</v>
      </c>
      <c r="CA126">
        <v>0</v>
      </c>
      <c r="CB126">
        <v>0</v>
      </c>
      <c r="CC126">
        <v>0</v>
      </c>
    </row>
    <row r="127" spans="1:82" hidden="1" x14ac:dyDescent="0.25">
      <c r="A127" t="s">
        <v>128</v>
      </c>
      <c r="B127" t="s">
        <v>372</v>
      </c>
      <c r="C127" t="s">
        <v>72</v>
      </c>
      <c r="D127" s="12">
        <v>46236</v>
      </c>
      <c r="E127" t="s">
        <v>133</v>
      </c>
      <c r="F127" t="s">
        <v>75</v>
      </c>
      <c r="G127">
        <v>10.973885648639106</v>
      </c>
      <c r="H127">
        <v>13.3</v>
      </c>
      <c r="I127">
        <v>20</v>
      </c>
      <c r="J127">
        <v>13.3</v>
      </c>
      <c r="K127">
        <v>46236</v>
      </c>
      <c r="L127" t="s">
        <v>183</v>
      </c>
      <c r="M127">
        <v>11.25</v>
      </c>
      <c r="N127">
        <v>1.2119681602158265</v>
      </c>
      <c r="O127">
        <v>1.2119681602158265</v>
      </c>
      <c r="P127">
        <v>1.025161037776545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2.5161037776544992E-2</v>
      </c>
      <c r="X127">
        <v>0</v>
      </c>
      <c r="Y127">
        <v>0.18680712243928155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0.82510418410820352</v>
      </c>
      <c r="AL127">
        <v>0.82510418410820352</v>
      </c>
      <c r="AM127">
        <v>0.84586466165413543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0.15413533834586457</v>
      </c>
      <c r="AY127">
        <v>0</v>
      </c>
      <c r="AZ127">
        <v>0</v>
      </c>
      <c r="BA127">
        <v>0</v>
      </c>
      <c r="BB127">
        <v>0.82510418410820352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1.1822222222222221</v>
      </c>
      <c r="BI127">
        <v>1.1822222222222221</v>
      </c>
      <c r="BJ127">
        <v>0.9754565021012539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0.18222222222222206</v>
      </c>
      <c r="BT127">
        <v>0</v>
      </c>
      <c r="BU127">
        <v>0</v>
      </c>
      <c r="BV127">
        <v>0</v>
      </c>
      <c r="BW127">
        <v>2.4543497898746103E-2</v>
      </c>
      <c r="BX127">
        <v>0</v>
      </c>
      <c r="BY127">
        <v>0.9754565021012539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 hidden="1" x14ac:dyDescent="0.25">
      <c r="A128" t="s">
        <v>128</v>
      </c>
      <c r="B128" t="s">
        <v>372</v>
      </c>
      <c r="C128" t="s">
        <v>72</v>
      </c>
      <c r="D128" s="12">
        <v>46237</v>
      </c>
      <c r="E128" t="s">
        <v>133</v>
      </c>
      <c r="F128" t="s">
        <v>73</v>
      </c>
      <c r="G128">
        <v>11.870789764152878</v>
      </c>
      <c r="H128">
        <v>11.4</v>
      </c>
      <c r="I128">
        <v>20</v>
      </c>
      <c r="J128">
        <v>11.4</v>
      </c>
      <c r="K128">
        <v>46237</v>
      </c>
      <c r="L128" t="s">
        <v>232</v>
      </c>
      <c r="M128">
        <v>13.011488970588236</v>
      </c>
      <c r="N128">
        <v>0.96034048504720726</v>
      </c>
      <c r="O128">
        <v>0.96034048504720726</v>
      </c>
      <c r="P128">
        <v>1.0960929499299206</v>
      </c>
      <c r="Q128">
        <v>9.6092949929920568E-2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3.965951495279274E-2</v>
      </c>
      <c r="AA128">
        <v>0</v>
      </c>
      <c r="AB128">
        <v>0</v>
      </c>
      <c r="AC128">
        <v>0</v>
      </c>
      <c r="AD128">
        <v>0</v>
      </c>
      <c r="AE128">
        <v>0.96034048504720726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1.0412973477327088</v>
      </c>
      <c r="AL128">
        <v>1.0412973477327088</v>
      </c>
      <c r="AM128">
        <v>1.1413586816305472</v>
      </c>
      <c r="AN128">
        <v>0.10006133389783844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4.1297347732708767E-2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0.87614876558471366</v>
      </c>
      <c r="BI128">
        <v>0.87614876558471366</v>
      </c>
      <c r="BJ128">
        <v>0.91233138582264905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8.7668614177350945E-2</v>
      </c>
      <c r="BV128">
        <v>0</v>
      </c>
      <c r="BW128">
        <v>0</v>
      </c>
      <c r="BX128">
        <v>0</v>
      </c>
      <c r="BY128">
        <v>0.87614876558471366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 hidden="1" x14ac:dyDescent="0.25">
      <c r="A129" t="s">
        <v>128</v>
      </c>
      <c r="B129" t="s">
        <v>503</v>
      </c>
      <c r="C129" t="s">
        <v>72</v>
      </c>
      <c r="D129" s="12">
        <v>46237</v>
      </c>
      <c r="E129" t="s">
        <v>133</v>
      </c>
      <c r="F129" t="s">
        <v>73</v>
      </c>
      <c r="G129">
        <v>10.316594561186651</v>
      </c>
      <c r="H129">
        <v>22.799999999999997</v>
      </c>
      <c r="I129">
        <v>20</v>
      </c>
      <c r="J129">
        <v>22.799999999999997</v>
      </c>
      <c r="K129">
        <v>46237</v>
      </c>
      <c r="L129" t="s">
        <v>232</v>
      </c>
      <c r="M129">
        <v>9.1049019607843089</v>
      </c>
      <c r="N129">
        <v>2.2100316014917096</v>
      </c>
      <c r="O129">
        <v>2.2100316014917096</v>
      </c>
      <c r="P129">
        <v>0.88254916937794547</v>
      </c>
      <c r="Q129">
        <v>0</v>
      </c>
      <c r="R129">
        <v>0</v>
      </c>
      <c r="S129">
        <v>0.96003160149170963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0.25</v>
      </c>
      <c r="Z129">
        <v>0</v>
      </c>
      <c r="AA129">
        <v>0</v>
      </c>
      <c r="AB129">
        <v>0</v>
      </c>
      <c r="AC129">
        <v>0.11745083062205453</v>
      </c>
      <c r="AD129">
        <v>0</v>
      </c>
      <c r="AE129">
        <v>0.88254916937794547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0.45248221759590579</v>
      </c>
      <c r="AL129">
        <v>0.45248221759590579</v>
      </c>
      <c r="AM129">
        <v>0.39933780529755747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0.54751778240409421</v>
      </c>
      <c r="AY129">
        <v>0</v>
      </c>
      <c r="AZ129">
        <v>5.314441229834832E-2</v>
      </c>
      <c r="BA129">
        <v>0</v>
      </c>
      <c r="BB129">
        <v>0.39933780529755747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2.5041455798427918</v>
      </c>
      <c r="BI129">
        <v>2.5041455798427918</v>
      </c>
      <c r="BJ129">
        <v>1.1330813451502519</v>
      </c>
      <c r="CA129">
        <v>0</v>
      </c>
      <c r="CB129">
        <v>0</v>
      </c>
      <c r="CC129">
        <v>0</v>
      </c>
    </row>
    <row r="130" spans="1:82" hidden="1" x14ac:dyDescent="0.25">
      <c r="A130" t="s">
        <v>128</v>
      </c>
      <c r="B130" t="s">
        <v>502</v>
      </c>
      <c r="C130" t="s">
        <v>72</v>
      </c>
      <c r="D130" s="12">
        <v>46237</v>
      </c>
      <c r="E130" t="s">
        <v>133</v>
      </c>
      <c r="F130" t="s">
        <v>73</v>
      </c>
      <c r="G130">
        <v>9.9149198152032554</v>
      </c>
      <c r="H130">
        <v>22.799999999999997</v>
      </c>
      <c r="I130">
        <v>20</v>
      </c>
      <c r="J130">
        <v>22.799999999999997</v>
      </c>
      <c r="K130">
        <v>46237</v>
      </c>
      <c r="L130" t="s">
        <v>232</v>
      </c>
      <c r="M130">
        <v>12.665211397058821</v>
      </c>
      <c r="N130">
        <v>2.2995647392971477</v>
      </c>
      <c r="O130">
        <v>2.2995647392971477</v>
      </c>
      <c r="P130">
        <v>1.2773891905447734</v>
      </c>
      <c r="Q130">
        <v>0</v>
      </c>
      <c r="R130">
        <v>0</v>
      </c>
      <c r="S130">
        <v>1.0221755487523743</v>
      </c>
      <c r="T130">
        <v>0</v>
      </c>
      <c r="U130">
        <v>2.7389190544773401E-2</v>
      </c>
      <c r="V130">
        <v>0</v>
      </c>
      <c r="W130">
        <v>0.25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0.43486490417558143</v>
      </c>
      <c r="AL130">
        <v>0.43486490417558143</v>
      </c>
      <c r="AM130">
        <v>0.55549172794117641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0.44450827205882359</v>
      </c>
      <c r="AY130">
        <v>0</v>
      </c>
      <c r="AZ130">
        <v>0</v>
      </c>
      <c r="BA130">
        <v>0</v>
      </c>
      <c r="BB130">
        <v>0.43486490417558143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1.8002068252326786</v>
      </c>
      <c r="BI130">
        <v>1.8002068252326786</v>
      </c>
      <c r="BJ130">
        <v>0.78284676855103641</v>
      </c>
      <c r="CA130">
        <v>0</v>
      </c>
      <c r="CB130">
        <v>0</v>
      </c>
      <c r="CC130">
        <v>0</v>
      </c>
    </row>
    <row r="131" spans="1:82" hidden="1" x14ac:dyDescent="0.25">
      <c r="A131" t="s">
        <v>128</v>
      </c>
      <c r="B131" t="s">
        <v>503</v>
      </c>
      <c r="C131" t="s">
        <v>72</v>
      </c>
      <c r="D131" s="12">
        <v>46237</v>
      </c>
      <c r="E131" t="s">
        <v>133</v>
      </c>
      <c r="F131" t="s">
        <v>74</v>
      </c>
      <c r="G131">
        <v>3.8126545117428936</v>
      </c>
      <c r="H131">
        <v>7.6</v>
      </c>
      <c r="I131">
        <v>20</v>
      </c>
      <c r="J131">
        <v>7.6</v>
      </c>
      <c r="K131">
        <v>46237</v>
      </c>
      <c r="L131" t="s">
        <v>182</v>
      </c>
      <c r="M131">
        <v>4.1764705882352935</v>
      </c>
      <c r="N131">
        <v>1.9933618366395811</v>
      </c>
      <c r="O131">
        <v>1.9933618366395811</v>
      </c>
      <c r="P131">
        <v>1.0954233003205127</v>
      </c>
      <c r="Q131">
        <v>0</v>
      </c>
      <c r="R131">
        <v>0</v>
      </c>
      <c r="S131">
        <v>0.74336183663958111</v>
      </c>
      <c r="T131">
        <v>0</v>
      </c>
      <c r="U131">
        <v>0</v>
      </c>
      <c r="V131">
        <v>0</v>
      </c>
      <c r="W131">
        <v>9.5423300320512716E-2</v>
      </c>
      <c r="X131">
        <v>0</v>
      </c>
      <c r="Y131">
        <v>0.15457669967948728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0.50166506733459126</v>
      </c>
      <c r="AL131">
        <v>0.50166506733459126</v>
      </c>
      <c r="AM131">
        <v>0.54953560371517018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0.45046439628482982</v>
      </c>
      <c r="AY131">
        <v>0</v>
      </c>
      <c r="AZ131">
        <v>0</v>
      </c>
      <c r="BA131">
        <v>0</v>
      </c>
      <c r="BB131">
        <v>0.50166506733459126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1.8197183098591552</v>
      </c>
      <c r="BI131">
        <v>1.8197183098591552</v>
      </c>
      <c r="BJ131">
        <v>0.91288910844548166</v>
      </c>
      <c r="CA131">
        <v>0</v>
      </c>
      <c r="CB131">
        <v>0</v>
      </c>
      <c r="CC131">
        <v>0</v>
      </c>
    </row>
    <row r="132" spans="1:82" hidden="1" x14ac:dyDescent="0.25">
      <c r="A132" t="s">
        <v>128</v>
      </c>
      <c r="B132" t="s">
        <v>502</v>
      </c>
      <c r="C132" t="s">
        <v>72</v>
      </c>
      <c r="D132" s="12">
        <v>46237</v>
      </c>
      <c r="E132" t="s">
        <v>133</v>
      </c>
      <c r="F132" t="s">
        <v>74</v>
      </c>
      <c r="G132">
        <v>4.437063563709744</v>
      </c>
      <c r="H132">
        <v>7.6</v>
      </c>
      <c r="I132">
        <v>20</v>
      </c>
      <c r="J132">
        <v>7.6</v>
      </c>
      <c r="K132">
        <v>46237</v>
      </c>
      <c r="L132" t="s">
        <v>182</v>
      </c>
      <c r="M132">
        <v>4.1100643382352935</v>
      </c>
      <c r="N132">
        <v>1.7128445177480813</v>
      </c>
      <c r="O132">
        <v>1.7128445177480813</v>
      </c>
      <c r="P132">
        <v>0.92630278543923927</v>
      </c>
      <c r="Q132">
        <v>0</v>
      </c>
      <c r="R132">
        <v>0</v>
      </c>
      <c r="S132">
        <v>0.46284451774808133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0.25</v>
      </c>
      <c r="Z132">
        <v>0</v>
      </c>
      <c r="AA132">
        <v>0</v>
      </c>
      <c r="AB132">
        <v>0</v>
      </c>
      <c r="AC132">
        <v>7.3697214560760727E-2</v>
      </c>
      <c r="AD132">
        <v>0</v>
      </c>
      <c r="AE132">
        <v>0.92630278543923927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0.58382415311970315</v>
      </c>
      <c r="AL132">
        <v>0.58382415311970315</v>
      </c>
      <c r="AM132">
        <v>0.540797939241486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0.41617584688029685</v>
      </c>
      <c r="AY132">
        <v>0</v>
      </c>
      <c r="AZ132">
        <v>4.3026213878217145E-2</v>
      </c>
      <c r="BA132">
        <v>0</v>
      </c>
      <c r="BB132">
        <v>0.540797939241486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1.8491194722424109</v>
      </c>
      <c r="BI132">
        <v>1.8491194722424109</v>
      </c>
      <c r="BJ132">
        <v>1.079560609899078</v>
      </c>
      <c r="CA132">
        <v>0</v>
      </c>
      <c r="CB132">
        <v>0</v>
      </c>
      <c r="CC132">
        <v>0</v>
      </c>
    </row>
    <row r="133" spans="1:82" hidden="1" x14ac:dyDescent="0.25">
      <c r="A133" t="s">
        <v>128</v>
      </c>
      <c r="B133" t="s">
        <v>372</v>
      </c>
      <c r="C133" t="s">
        <v>72</v>
      </c>
      <c r="D133" s="12">
        <v>46237</v>
      </c>
      <c r="E133" t="s">
        <v>133</v>
      </c>
      <c r="F133" t="s">
        <v>74</v>
      </c>
      <c r="G133">
        <v>4.2207252494765797</v>
      </c>
      <c r="H133">
        <v>3.8</v>
      </c>
      <c r="I133">
        <v>20</v>
      </c>
      <c r="J133">
        <v>3.8</v>
      </c>
      <c r="K133">
        <v>46237</v>
      </c>
      <c r="L133" t="s">
        <v>182</v>
      </c>
      <c r="M133">
        <v>4.6875</v>
      </c>
      <c r="N133">
        <v>0.90031920473175675</v>
      </c>
      <c r="O133">
        <v>0.90031920473175675</v>
      </c>
      <c r="P133">
        <v>1.1105911242579236</v>
      </c>
      <c r="Q133">
        <v>0.11059112425792361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9.968079526824325E-2</v>
      </c>
      <c r="AA133">
        <v>0</v>
      </c>
      <c r="AB133">
        <v>0</v>
      </c>
      <c r="AC133">
        <v>0</v>
      </c>
      <c r="AD133">
        <v>0</v>
      </c>
      <c r="AE133">
        <v>0.90031920473175675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1.1107171709148895</v>
      </c>
      <c r="AL133">
        <v>1.1107171709148895</v>
      </c>
      <c r="AM133">
        <v>1.2335526315789473</v>
      </c>
      <c r="AN133">
        <v>0.12283546066405782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0.11071717091488953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0.81066666666666665</v>
      </c>
      <c r="BI133">
        <v>0.81066666666666665</v>
      </c>
      <c r="BJ133">
        <v>0.9004213865550037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9.95786134449963E-2</v>
      </c>
      <c r="BV133">
        <v>0</v>
      </c>
      <c r="BW133">
        <v>0</v>
      </c>
      <c r="BX133">
        <v>0</v>
      </c>
      <c r="BY133">
        <v>0.81066666666666665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hidden="1" x14ac:dyDescent="0.25">
      <c r="A134" t="s">
        <v>128</v>
      </c>
      <c r="B134" t="s">
        <v>372</v>
      </c>
      <c r="C134" t="s">
        <v>72</v>
      </c>
      <c r="D134" s="12">
        <v>46237</v>
      </c>
      <c r="E134" t="s">
        <v>133</v>
      </c>
      <c r="F134" t="s">
        <v>75</v>
      </c>
      <c r="G134">
        <v>10.973885648639106</v>
      </c>
      <c r="H134">
        <v>10.45</v>
      </c>
      <c r="I134">
        <v>20</v>
      </c>
      <c r="J134">
        <v>10.45</v>
      </c>
      <c r="K134">
        <v>46237</v>
      </c>
      <c r="L134" t="s">
        <v>181</v>
      </c>
      <c r="M134">
        <v>12.363511029411764</v>
      </c>
      <c r="N134">
        <v>0.95226069731243512</v>
      </c>
      <c r="O134">
        <v>0.95226069731243512</v>
      </c>
      <c r="P134">
        <v>1.1266302042198688</v>
      </c>
      <c r="Q134">
        <v>0.12663020421986881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4.7739302687564877E-2</v>
      </c>
      <c r="AA134">
        <v>0</v>
      </c>
      <c r="AB134">
        <v>0</v>
      </c>
      <c r="AC134">
        <v>0</v>
      </c>
      <c r="AD134">
        <v>0</v>
      </c>
      <c r="AE134">
        <v>0.95226069731243512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1.0501325979558953</v>
      </c>
      <c r="AL134">
        <v>1.0501325979558953</v>
      </c>
      <c r="AM134">
        <v>1.183111103292992</v>
      </c>
      <c r="AN134">
        <v>0.13297850533709665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5.0132597955895308E-2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0.84522915659963571</v>
      </c>
      <c r="BI134">
        <v>0.84522915659963571</v>
      </c>
      <c r="BJ134">
        <v>0.88760269008804582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0.11239730991195418</v>
      </c>
      <c r="BV134">
        <v>0</v>
      </c>
      <c r="BW134">
        <v>0</v>
      </c>
      <c r="BX134">
        <v>0</v>
      </c>
      <c r="BY134">
        <v>0.84522915659963571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hidden="1" x14ac:dyDescent="0.25">
      <c r="A135" t="s">
        <v>128</v>
      </c>
      <c r="B135" t="s">
        <v>503</v>
      </c>
      <c r="C135" t="s">
        <v>72</v>
      </c>
      <c r="D135" s="12">
        <v>46237</v>
      </c>
      <c r="E135" t="s">
        <v>133</v>
      </c>
      <c r="F135" t="s">
        <v>75</v>
      </c>
      <c r="G135">
        <v>7.4010352286773822</v>
      </c>
      <c r="H135">
        <v>20.9</v>
      </c>
      <c r="I135">
        <v>20</v>
      </c>
      <c r="J135">
        <v>20.9</v>
      </c>
      <c r="K135">
        <v>46237</v>
      </c>
      <c r="L135" t="s">
        <v>181</v>
      </c>
      <c r="M135">
        <v>7.1745098039215671</v>
      </c>
      <c r="N135">
        <v>2.8239292685727397</v>
      </c>
      <c r="O135">
        <v>2.8239292685727397</v>
      </c>
      <c r="P135">
        <v>0.96939273794048719</v>
      </c>
      <c r="Q135">
        <v>0</v>
      </c>
      <c r="R135">
        <v>0</v>
      </c>
      <c r="S135">
        <v>1.5739292685727397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0.25</v>
      </c>
      <c r="Z135">
        <v>0</v>
      </c>
      <c r="AA135">
        <v>0</v>
      </c>
      <c r="AB135">
        <v>0</v>
      </c>
      <c r="AC135">
        <v>3.0607262059512808E-2</v>
      </c>
      <c r="AD135">
        <v>0</v>
      </c>
      <c r="AE135">
        <v>0.96939273794048719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0.35411651811853506</v>
      </c>
      <c r="AL135">
        <v>0.35411651811853506</v>
      </c>
      <c r="AM135">
        <v>0.34327798104887886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0.64588348188146494</v>
      </c>
      <c r="AY135">
        <v>0</v>
      </c>
      <c r="AZ135">
        <v>1.0838537069656207E-2</v>
      </c>
      <c r="BA135">
        <v>0</v>
      </c>
      <c r="BB135">
        <v>0.34327798104887886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2.9130910084722608</v>
      </c>
      <c r="BI135">
        <v>2.9130910084722608</v>
      </c>
      <c r="BJ135">
        <v>1.0315736448826087</v>
      </c>
      <c r="CA135">
        <v>0</v>
      </c>
      <c r="CB135">
        <v>0</v>
      </c>
      <c r="CC135">
        <v>0</v>
      </c>
    </row>
    <row r="136" spans="1:82" hidden="1" x14ac:dyDescent="0.25">
      <c r="A136" t="s">
        <v>128</v>
      </c>
      <c r="B136" t="s">
        <v>502</v>
      </c>
      <c r="C136" t="s">
        <v>72</v>
      </c>
      <c r="D136" s="12">
        <v>46237</v>
      </c>
      <c r="E136" t="s">
        <v>133</v>
      </c>
      <c r="F136" t="s">
        <v>75</v>
      </c>
      <c r="G136">
        <v>8.1620058147253296</v>
      </c>
      <c r="H136">
        <v>20.9</v>
      </c>
      <c r="I136">
        <v>20</v>
      </c>
      <c r="J136">
        <v>20.9</v>
      </c>
      <c r="K136">
        <v>46237</v>
      </c>
      <c r="L136" t="s">
        <v>181</v>
      </c>
      <c r="M136">
        <v>9.3455575980392176</v>
      </c>
      <c r="N136">
        <v>2.5606450760294308</v>
      </c>
      <c r="O136">
        <v>2.5606450760294308</v>
      </c>
      <c r="P136">
        <v>1.1450074663238545</v>
      </c>
      <c r="Q136">
        <v>0</v>
      </c>
      <c r="R136">
        <v>0</v>
      </c>
      <c r="S136">
        <v>1.3106450760294308</v>
      </c>
      <c r="T136">
        <v>0</v>
      </c>
      <c r="U136">
        <v>0</v>
      </c>
      <c r="V136">
        <v>0</v>
      </c>
      <c r="W136">
        <v>0.14500746632385453</v>
      </c>
      <c r="X136">
        <v>0</v>
      </c>
      <c r="Y136">
        <v>0.10499253367614547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0.39052659400599665</v>
      </c>
      <c r="AL136">
        <v>0.39052659400599665</v>
      </c>
      <c r="AM136">
        <v>0.44715586593489082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0.55284413406510913</v>
      </c>
      <c r="AY136">
        <v>0</v>
      </c>
      <c r="AZ136">
        <v>0</v>
      </c>
      <c r="BA136">
        <v>0</v>
      </c>
      <c r="BB136">
        <v>0.39052659400599665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2.2363566625906843</v>
      </c>
      <c r="BI136">
        <v>2.2363566625906843</v>
      </c>
      <c r="BJ136">
        <v>0.87335675042415795</v>
      </c>
      <c r="CA136">
        <v>0</v>
      </c>
      <c r="CB136">
        <v>0</v>
      </c>
      <c r="CC136">
        <v>0</v>
      </c>
    </row>
    <row r="137" spans="1:82" hidden="1" x14ac:dyDescent="0.25">
      <c r="A137" t="s">
        <v>128</v>
      </c>
      <c r="B137" t="s">
        <v>372</v>
      </c>
      <c r="C137" t="s">
        <v>72</v>
      </c>
      <c r="D137" s="12">
        <v>46238</v>
      </c>
      <c r="E137" t="s">
        <v>133</v>
      </c>
      <c r="F137" t="s">
        <v>73</v>
      </c>
      <c r="G137">
        <v>13.005109674949706</v>
      </c>
      <c r="H137">
        <v>12.35</v>
      </c>
      <c r="I137">
        <v>20</v>
      </c>
      <c r="J137">
        <v>12.35</v>
      </c>
      <c r="K137">
        <v>46238</v>
      </c>
      <c r="L137" t="s">
        <v>180</v>
      </c>
      <c r="M137">
        <v>14.5546875</v>
      </c>
      <c r="N137">
        <v>0.94962674738440911</v>
      </c>
      <c r="O137">
        <v>0.94962674738440911</v>
      </c>
      <c r="P137">
        <v>1.1191514615240095</v>
      </c>
      <c r="Q137">
        <v>0.11915146152400946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5.0373252615590891E-2</v>
      </c>
      <c r="AA137">
        <v>0</v>
      </c>
      <c r="AB137">
        <v>0</v>
      </c>
      <c r="AC137">
        <v>0</v>
      </c>
      <c r="AD137">
        <v>0</v>
      </c>
      <c r="AE137">
        <v>0.94962674738440911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1.0530453178096928</v>
      </c>
      <c r="AL137">
        <v>1.0530453178096928</v>
      </c>
      <c r="AM137">
        <v>1.1785172064777327</v>
      </c>
      <c r="AN137">
        <v>0.12547188866803993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5.3045317809692794E-2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0.8485238862050456</v>
      </c>
      <c r="BI137">
        <v>0.8485238862050456</v>
      </c>
      <c r="BJ137">
        <v>0.8935341054179079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0.1064658945820921</v>
      </c>
      <c r="BV137">
        <v>0</v>
      </c>
      <c r="BW137">
        <v>0</v>
      </c>
      <c r="BX137">
        <v>0</v>
      </c>
      <c r="BY137">
        <v>0.8485238862050456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 hidden="1" x14ac:dyDescent="0.25">
      <c r="A138" t="s">
        <v>128</v>
      </c>
      <c r="B138" t="s">
        <v>503</v>
      </c>
      <c r="C138" t="s">
        <v>72</v>
      </c>
      <c r="D138" s="12">
        <v>46238</v>
      </c>
      <c r="E138" t="s">
        <v>133</v>
      </c>
      <c r="F138" t="s">
        <v>73</v>
      </c>
      <c r="G138">
        <v>10.316594561186651</v>
      </c>
      <c r="H138">
        <v>41.8</v>
      </c>
      <c r="I138">
        <v>20</v>
      </c>
      <c r="J138">
        <v>41.8</v>
      </c>
      <c r="K138">
        <v>46238</v>
      </c>
      <c r="L138" t="s">
        <v>180</v>
      </c>
      <c r="M138">
        <v>9.4058823529411733</v>
      </c>
      <c r="N138">
        <v>4.0517246027348017</v>
      </c>
      <c r="O138">
        <v>4.0517246027348017</v>
      </c>
      <c r="P138">
        <v>0.91172356315408754</v>
      </c>
      <c r="Q138">
        <v>0</v>
      </c>
      <c r="R138">
        <v>0</v>
      </c>
      <c r="S138">
        <v>2.8017246027348017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0.25</v>
      </c>
      <c r="Z138">
        <v>0</v>
      </c>
      <c r="AA138">
        <v>0</v>
      </c>
      <c r="AB138">
        <v>0</v>
      </c>
      <c r="AC138">
        <v>8.8276436845912465E-2</v>
      </c>
      <c r="AD138">
        <v>0</v>
      </c>
      <c r="AE138">
        <v>0.91172356315408754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0.24680848232503952</v>
      </c>
      <c r="AL138">
        <v>0.24680848232503952</v>
      </c>
      <c r="AM138">
        <v>0.22502110892203767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0.75319151767496051</v>
      </c>
      <c r="AY138">
        <v>0</v>
      </c>
      <c r="AZ138">
        <v>2.1787373403001853E-2</v>
      </c>
      <c r="BA138">
        <v>0</v>
      </c>
      <c r="BB138">
        <v>0.22502110892203767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4.4440275171982497</v>
      </c>
      <c r="BI138">
        <v>4.4440275171982497</v>
      </c>
      <c r="BJ138">
        <v>1.0968236869304135</v>
      </c>
      <c r="CA138">
        <v>0</v>
      </c>
      <c r="CB138">
        <v>0</v>
      </c>
      <c r="CC138">
        <v>0</v>
      </c>
    </row>
    <row r="139" spans="1:82" hidden="1" x14ac:dyDescent="0.25">
      <c r="A139" t="s">
        <v>128</v>
      </c>
      <c r="B139" t="s">
        <v>502</v>
      </c>
      <c r="C139" t="s">
        <v>72</v>
      </c>
      <c r="D139" s="12">
        <v>46238</v>
      </c>
      <c r="E139" t="s">
        <v>133</v>
      </c>
      <c r="F139" t="s">
        <v>73</v>
      </c>
      <c r="G139">
        <v>9.9149198152032554</v>
      </c>
      <c r="H139">
        <v>41.8</v>
      </c>
      <c r="I139">
        <v>20</v>
      </c>
      <c r="J139">
        <v>41.8</v>
      </c>
      <c r="K139">
        <v>46238</v>
      </c>
      <c r="L139" t="s">
        <v>180</v>
      </c>
      <c r="M139">
        <v>10.974525122549018</v>
      </c>
      <c r="N139">
        <v>4.2158686887114376</v>
      </c>
      <c r="O139">
        <v>4.2158686887114376</v>
      </c>
      <c r="P139">
        <v>1.1068697808045804</v>
      </c>
      <c r="Q139">
        <v>0</v>
      </c>
      <c r="R139">
        <v>0</v>
      </c>
      <c r="S139">
        <v>2.9658686887114376</v>
      </c>
      <c r="T139">
        <v>0</v>
      </c>
      <c r="U139">
        <v>0</v>
      </c>
      <c r="V139">
        <v>0</v>
      </c>
      <c r="W139">
        <v>0.10686978080458043</v>
      </c>
      <c r="X139">
        <v>0</v>
      </c>
      <c r="Y139">
        <v>0.14313021919541957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0.23719903864122621</v>
      </c>
      <c r="AL139">
        <v>0.23719903864122621</v>
      </c>
      <c r="AM139">
        <v>0.26254844790787124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0.73745155209212876</v>
      </c>
      <c r="AY139">
        <v>0</v>
      </c>
      <c r="AZ139">
        <v>0</v>
      </c>
      <c r="BA139">
        <v>0</v>
      </c>
      <c r="BB139">
        <v>0.23719903864122621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3.8088208403764852</v>
      </c>
      <c r="BI139">
        <v>3.8088208403764852</v>
      </c>
      <c r="BJ139">
        <v>0.90344864169396955</v>
      </c>
      <c r="CA139">
        <v>0</v>
      </c>
      <c r="CB139">
        <v>0</v>
      </c>
      <c r="CC139">
        <v>0</v>
      </c>
    </row>
    <row r="140" spans="1:82" hidden="1" x14ac:dyDescent="0.25">
      <c r="A140" t="s">
        <v>128</v>
      </c>
      <c r="B140" t="s">
        <v>502</v>
      </c>
      <c r="C140" t="s">
        <v>72</v>
      </c>
      <c r="D140" s="12">
        <v>46238</v>
      </c>
      <c r="E140" t="s">
        <v>133</v>
      </c>
      <c r="F140" t="s">
        <v>74</v>
      </c>
      <c r="G140">
        <v>4.437063563709744</v>
      </c>
      <c r="H140">
        <v>9.5</v>
      </c>
      <c r="I140">
        <v>20</v>
      </c>
      <c r="J140">
        <v>9.5</v>
      </c>
      <c r="K140">
        <v>46238</v>
      </c>
      <c r="L140" t="s">
        <v>179</v>
      </c>
      <c r="M140">
        <v>4.8969745710784309</v>
      </c>
      <c r="N140">
        <v>2.1410556471851017</v>
      </c>
      <c r="O140">
        <v>2.1410556471851017</v>
      </c>
      <c r="P140">
        <v>1.1036521115294018</v>
      </c>
      <c r="Q140">
        <v>0</v>
      </c>
      <c r="R140">
        <v>0</v>
      </c>
      <c r="S140">
        <v>0.89105564718510166</v>
      </c>
      <c r="T140">
        <v>0</v>
      </c>
      <c r="U140">
        <v>0</v>
      </c>
      <c r="V140">
        <v>0</v>
      </c>
      <c r="W140">
        <v>0.10365211152940179</v>
      </c>
      <c r="X140">
        <v>0</v>
      </c>
      <c r="Y140">
        <v>0.14634788847059821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0.46705932249576254</v>
      </c>
      <c r="AL140">
        <v>0.46705932249576254</v>
      </c>
      <c r="AM140">
        <v>0.51547100748194008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0.48452899251805992</v>
      </c>
      <c r="AY140">
        <v>0</v>
      </c>
      <c r="AZ140">
        <v>0</v>
      </c>
      <c r="BA140">
        <v>0</v>
      </c>
      <c r="BB140">
        <v>0.46705932249576254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1.9399733166079873</v>
      </c>
      <c r="BI140">
        <v>1.9399733166079873</v>
      </c>
      <c r="BJ140">
        <v>0.90608262291478403</v>
      </c>
      <c r="CA140">
        <v>0</v>
      </c>
      <c r="CB140">
        <v>0</v>
      </c>
      <c r="CC140">
        <v>0</v>
      </c>
    </row>
    <row r="141" spans="1:82" hidden="1" x14ac:dyDescent="0.25">
      <c r="A141" t="s">
        <v>128</v>
      </c>
      <c r="B141" t="s">
        <v>503</v>
      </c>
      <c r="C141" t="s">
        <v>72</v>
      </c>
      <c r="D141" s="12">
        <v>46238</v>
      </c>
      <c r="E141" t="s">
        <v>133</v>
      </c>
      <c r="F141" t="s">
        <v>74</v>
      </c>
      <c r="G141">
        <v>3.8126545117428936</v>
      </c>
      <c r="H141">
        <v>9.5</v>
      </c>
      <c r="I141">
        <v>20</v>
      </c>
      <c r="J141">
        <v>9.5</v>
      </c>
      <c r="K141">
        <v>46238</v>
      </c>
      <c r="L141" t="s">
        <v>179</v>
      </c>
      <c r="M141">
        <v>4.1764705882352935</v>
      </c>
      <c r="N141">
        <v>2.4917022957994766</v>
      </c>
      <c r="O141">
        <v>2.4917022957994766</v>
      </c>
      <c r="P141">
        <v>1.0954233003205127</v>
      </c>
      <c r="Q141">
        <v>0</v>
      </c>
      <c r="R141">
        <v>0</v>
      </c>
      <c r="S141">
        <v>1.2417022957994766</v>
      </c>
      <c r="T141">
        <v>0</v>
      </c>
      <c r="U141">
        <v>0</v>
      </c>
      <c r="V141">
        <v>0</v>
      </c>
      <c r="W141">
        <v>9.5423300320512716E-2</v>
      </c>
      <c r="X141">
        <v>0</v>
      </c>
      <c r="Y141">
        <v>0.15457669967948728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0.40133205386767301</v>
      </c>
      <c r="AL141">
        <v>0.40133205386767301</v>
      </c>
      <c r="AM141">
        <v>0.43962848297213614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0.56037151702786381</v>
      </c>
      <c r="AY141">
        <v>0</v>
      </c>
      <c r="AZ141">
        <v>0</v>
      </c>
      <c r="BA141">
        <v>0</v>
      </c>
      <c r="BB141">
        <v>0.40133205386767301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2.274647887323944</v>
      </c>
      <c r="BI141">
        <v>2.274647887323944</v>
      </c>
      <c r="BJ141">
        <v>0.91288910844548166</v>
      </c>
      <c r="CA141">
        <v>0</v>
      </c>
      <c r="CB141">
        <v>0</v>
      </c>
      <c r="CC141">
        <v>0</v>
      </c>
    </row>
    <row r="142" spans="1:82" hidden="1" x14ac:dyDescent="0.25">
      <c r="A142" t="s">
        <v>128</v>
      </c>
      <c r="B142" t="s">
        <v>372</v>
      </c>
      <c r="C142" t="s">
        <v>72</v>
      </c>
      <c r="D142" s="12">
        <v>46238</v>
      </c>
      <c r="E142" t="s">
        <v>133</v>
      </c>
      <c r="F142" t="s">
        <v>74</v>
      </c>
      <c r="G142">
        <v>4.2207252494765797</v>
      </c>
      <c r="H142">
        <v>4.75</v>
      </c>
      <c r="I142">
        <v>20</v>
      </c>
      <c r="J142">
        <v>4.75</v>
      </c>
      <c r="K142">
        <v>46238</v>
      </c>
      <c r="L142" t="s">
        <v>179</v>
      </c>
      <c r="M142">
        <v>4.6875</v>
      </c>
      <c r="N142">
        <v>1.1253990059146959</v>
      </c>
      <c r="O142">
        <v>1.1253990059146959</v>
      </c>
      <c r="P142">
        <v>1.1105911242579236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0.11059112425792361</v>
      </c>
      <c r="X142">
        <v>0</v>
      </c>
      <c r="Y142">
        <v>1.480788165677227E-2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0.88857373673191153</v>
      </c>
      <c r="AL142">
        <v>0.88857373673191153</v>
      </c>
      <c r="AM142">
        <v>0.98684210526315785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1.3157894736842146E-2</v>
      </c>
      <c r="AY142">
        <v>0</v>
      </c>
      <c r="AZ142">
        <v>0</v>
      </c>
      <c r="BA142">
        <v>0</v>
      </c>
      <c r="BB142">
        <v>0.88857373673191153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1.0133333333333334</v>
      </c>
      <c r="BI142">
        <v>1.0133333333333334</v>
      </c>
      <c r="BJ142">
        <v>0.9004213865550037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1.3333333333333419E-2</v>
      </c>
      <c r="BT142">
        <v>0</v>
      </c>
      <c r="BU142">
        <v>0</v>
      </c>
      <c r="BV142">
        <v>0</v>
      </c>
      <c r="BW142">
        <v>9.95786134449963E-2</v>
      </c>
      <c r="BX142">
        <v>0</v>
      </c>
      <c r="BY142">
        <v>0.9004213865550037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hidden="1" x14ac:dyDescent="0.25">
      <c r="A143" t="s">
        <v>128</v>
      </c>
      <c r="B143" t="s">
        <v>502</v>
      </c>
      <c r="C143" t="s">
        <v>72</v>
      </c>
      <c r="D143" s="12">
        <v>46238</v>
      </c>
      <c r="E143" t="s">
        <v>133</v>
      </c>
      <c r="F143" t="s">
        <v>75</v>
      </c>
      <c r="G143">
        <v>8.1072272522103948</v>
      </c>
      <c r="H143">
        <v>22.799999999999997</v>
      </c>
      <c r="I143">
        <v>20</v>
      </c>
      <c r="J143">
        <v>22.799999999999997</v>
      </c>
      <c r="K143">
        <v>46238</v>
      </c>
      <c r="L143" t="s">
        <v>178</v>
      </c>
      <c r="M143">
        <v>10.695166973039218</v>
      </c>
      <c r="N143">
        <v>2.8123055257620528</v>
      </c>
      <c r="O143">
        <v>2.8123055257620528</v>
      </c>
      <c r="P143">
        <v>1.3192139112818422</v>
      </c>
      <c r="Q143">
        <v>0</v>
      </c>
      <c r="R143">
        <v>0</v>
      </c>
      <c r="S143">
        <v>1.4930916144802107</v>
      </c>
      <c r="T143">
        <v>0</v>
      </c>
      <c r="U143">
        <v>6.9213911281842178E-2</v>
      </c>
      <c r="V143">
        <v>0</v>
      </c>
      <c r="W143">
        <v>0.25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0.35558014264080684</v>
      </c>
      <c r="AL143">
        <v>0.35558014264080684</v>
      </c>
      <c r="AM143">
        <v>0.46908627074733417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0.53091372925266578</v>
      </c>
      <c r="AY143">
        <v>0</v>
      </c>
      <c r="AZ143">
        <v>0</v>
      </c>
      <c r="BA143">
        <v>0</v>
      </c>
      <c r="BB143">
        <v>0.35558014264080684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2.1318040248904109</v>
      </c>
      <c r="BI143">
        <v>2.1318040248904109</v>
      </c>
      <c r="BJ143">
        <v>0.7580271792527784</v>
      </c>
      <c r="CA143">
        <v>0</v>
      </c>
      <c r="CB143">
        <v>0</v>
      </c>
      <c r="CC143">
        <v>0</v>
      </c>
    </row>
    <row r="144" spans="1:82" hidden="1" x14ac:dyDescent="0.25">
      <c r="A144" t="s">
        <v>128</v>
      </c>
      <c r="B144" t="s">
        <v>372</v>
      </c>
      <c r="C144" t="s">
        <v>72</v>
      </c>
      <c r="D144" s="12">
        <v>46238</v>
      </c>
      <c r="E144" t="s">
        <v>133</v>
      </c>
      <c r="F144" t="s">
        <v>75</v>
      </c>
      <c r="G144">
        <v>10.973885648639106</v>
      </c>
      <c r="H144">
        <v>12.35</v>
      </c>
      <c r="I144">
        <v>20</v>
      </c>
      <c r="J144">
        <v>12.35</v>
      </c>
      <c r="K144">
        <v>46238</v>
      </c>
      <c r="L144" t="s">
        <v>178</v>
      </c>
      <c r="M144">
        <v>12.5390625</v>
      </c>
      <c r="N144">
        <v>1.1253990059146961</v>
      </c>
      <c r="O144">
        <v>1.1253990059146961</v>
      </c>
      <c r="P144">
        <v>1.1426274066884408</v>
      </c>
      <c r="Q144">
        <v>1.7228400773744657E-2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0.1253990059146961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0.88857373673191142</v>
      </c>
      <c r="AL144">
        <v>0.88857373673191142</v>
      </c>
      <c r="AM144">
        <v>1.0153087044534412</v>
      </c>
      <c r="AN144">
        <v>1.5308704453441235E-2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0.88857373673191142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0.98492211838006227</v>
      </c>
      <c r="BI144">
        <v>0.98492211838006227</v>
      </c>
      <c r="BJ144">
        <v>0.87517592711888204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1.5077881619937727E-2</v>
      </c>
      <c r="BV144">
        <v>0</v>
      </c>
      <c r="BW144">
        <v>0.10974619126118024</v>
      </c>
      <c r="BX144">
        <v>0</v>
      </c>
      <c r="BY144">
        <v>0.87517592711888204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hidden="1" x14ac:dyDescent="0.25">
      <c r="A145" t="s">
        <v>128</v>
      </c>
      <c r="B145" t="s">
        <v>503</v>
      </c>
      <c r="C145" t="s">
        <v>72</v>
      </c>
      <c r="D145" s="12">
        <v>46238</v>
      </c>
      <c r="E145" t="s">
        <v>133</v>
      </c>
      <c r="F145" t="s">
        <v>75</v>
      </c>
      <c r="G145">
        <v>7.4010352286773822</v>
      </c>
      <c r="H145">
        <v>22.799999999999997</v>
      </c>
      <c r="I145">
        <v>20</v>
      </c>
      <c r="J145">
        <v>22.799999999999997</v>
      </c>
      <c r="K145">
        <v>46238</v>
      </c>
      <c r="L145" t="s">
        <v>178</v>
      </c>
      <c r="M145">
        <v>8.0426470588235297</v>
      </c>
      <c r="N145">
        <v>3.0806501111702613</v>
      </c>
      <c r="O145">
        <v>3.0806501111702613</v>
      </c>
      <c r="P145">
        <v>1.0866921735029773</v>
      </c>
      <c r="Q145">
        <v>0</v>
      </c>
      <c r="R145">
        <v>0</v>
      </c>
      <c r="S145">
        <v>1.8306501111702613</v>
      </c>
      <c r="T145">
        <v>0</v>
      </c>
      <c r="U145">
        <v>0</v>
      </c>
      <c r="V145">
        <v>0</v>
      </c>
      <c r="W145">
        <v>8.669217350297731E-2</v>
      </c>
      <c r="X145">
        <v>0</v>
      </c>
      <c r="Y145">
        <v>0.16330782649702269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0.32460680827532384</v>
      </c>
      <c r="AL145">
        <v>0.32460680827532384</v>
      </c>
      <c r="AM145">
        <v>0.35274767801857593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0.64725232198142413</v>
      </c>
      <c r="AY145">
        <v>0</v>
      </c>
      <c r="AZ145">
        <v>0</v>
      </c>
      <c r="BA145">
        <v>0</v>
      </c>
      <c r="BB145">
        <v>0.32460680827532384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2.8348875479978055</v>
      </c>
      <c r="BI145">
        <v>2.8348875479978055</v>
      </c>
      <c r="BJ145">
        <v>0.92022379877502647</v>
      </c>
      <c r="CA145">
        <v>0</v>
      </c>
      <c r="CB145">
        <v>0</v>
      </c>
      <c r="CC145">
        <v>0</v>
      </c>
    </row>
    <row r="146" spans="1:82" hidden="1" x14ac:dyDescent="0.25">
      <c r="A146" t="s">
        <v>128</v>
      </c>
      <c r="B146" t="s">
        <v>503</v>
      </c>
      <c r="C146" t="s">
        <v>72</v>
      </c>
      <c r="D146" s="12">
        <v>46239</v>
      </c>
      <c r="E146" t="s">
        <v>133</v>
      </c>
      <c r="F146" t="s">
        <v>73</v>
      </c>
      <c r="G146">
        <v>9.3634309332509318</v>
      </c>
      <c r="H146">
        <v>36.1</v>
      </c>
      <c r="I146">
        <v>20</v>
      </c>
      <c r="J146">
        <v>36.1</v>
      </c>
      <c r="K146">
        <v>46239</v>
      </c>
      <c r="L146" t="s">
        <v>177</v>
      </c>
      <c r="M146">
        <v>9.4058823529411679</v>
      </c>
      <c r="N146">
        <v>3.8554243906262551</v>
      </c>
      <c r="O146">
        <v>3.8554243906262551</v>
      </c>
      <c r="P146">
        <v>1.0045337462296522</v>
      </c>
      <c r="Q146">
        <v>0</v>
      </c>
      <c r="R146">
        <v>0</v>
      </c>
      <c r="S146">
        <v>2.6054243906262551</v>
      </c>
      <c r="T146">
        <v>0</v>
      </c>
      <c r="U146">
        <v>0</v>
      </c>
      <c r="V146">
        <v>0</v>
      </c>
      <c r="W146">
        <v>4.5337462296521913E-3</v>
      </c>
      <c r="X146">
        <v>0</v>
      </c>
      <c r="Y146">
        <v>0.24546625377034781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0.25937481809559365</v>
      </c>
      <c r="AL146">
        <v>0.25937481809559365</v>
      </c>
      <c r="AM146">
        <v>0.26055075769920133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0.73944924230079867</v>
      </c>
      <c r="AY146">
        <v>0</v>
      </c>
      <c r="AZ146">
        <v>0</v>
      </c>
      <c r="BA146">
        <v>0</v>
      </c>
      <c r="BB146">
        <v>0.25937481809559365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3.8380237648530366</v>
      </c>
      <c r="BI146">
        <v>3.8380237648530366</v>
      </c>
      <c r="BJ146">
        <v>0.995486715855322</v>
      </c>
      <c r="CA146">
        <v>0</v>
      </c>
      <c r="CB146">
        <v>0</v>
      </c>
      <c r="CC146">
        <v>0</v>
      </c>
    </row>
    <row r="147" spans="1:82" hidden="1" x14ac:dyDescent="0.25">
      <c r="A147" t="s">
        <v>128</v>
      </c>
      <c r="B147" t="s">
        <v>372</v>
      </c>
      <c r="C147" t="s">
        <v>72</v>
      </c>
      <c r="D147" s="12">
        <v>46239</v>
      </c>
      <c r="E147" t="s">
        <v>133</v>
      </c>
      <c r="F147" t="s">
        <v>73</v>
      </c>
      <c r="G147">
        <v>12.583037150002053</v>
      </c>
      <c r="H147">
        <v>22.799999999999997</v>
      </c>
      <c r="I147">
        <v>20</v>
      </c>
      <c r="J147">
        <v>22.799999999999997</v>
      </c>
      <c r="K147">
        <v>46239</v>
      </c>
      <c r="L147" t="s">
        <v>177</v>
      </c>
      <c r="M147">
        <v>13.676011029411764</v>
      </c>
      <c r="N147">
        <v>1.8119631793343531</v>
      </c>
      <c r="O147">
        <v>1.8119631793343531</v>
      </c>
      <c r="P147">
        <v>1.0868608958537116</v>
      </c>
      <c r="Q147">
        <v>0</v>
      </c>
      <c r="R147">
        <v>0</v>
      </c>
      <c r="S147">
        <v>0.56196317933435314</v>
      </c>
      <c r="T147">
        <v>0</v>
      </c>
      <c r="U147">
        <v>0</v>
      </c>
      <c r="V147">
        <v>0</v>
      </c>
      <c r="W147">
        <v>8.6860895853711595E-2</v>
      </c>
      <c r="X147">
        <v>0</v>
      </c>
      <c r="Y147">
        <v>0.16313910414628841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0.55188759429833567</v>
      </c>
      <c r="AL147">
        <v>0.55188759429833567</v>
      </c>
      <c r="AM147">
        <v>0.59982504514963886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0.40017495485036114</v>
      </c>
      <c r="AY147">
        <v>0</v>
      </c>
      <c r="AZ147">
        <v>0</v>
      </c>
      <c r="BA147">
        <v>0</v>
      </c>
      <c r="BB147">
        <v>0.55188759429833567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1.6671527941127051</v>
      </c>
      <c r="BI147">
        <v>1.6671527941127051</v>
      </c>
      <c r="BJ147">
        <v>0.92008094487060943</v>
      </c>
      <c r="CA147">
        <v>0</v>
      </c>
      <c r="CB147">
        <v>0</v>
      </c>
      <c r="CC147">
        <v>0</v>
      </c>
    </row>
    <row r="148" spans="1:82" hidden="1" x14ac:dyDescent="0.25">
      <c r="A148" t="s">
        <v>128</v>
      </c>
      <c r="B148" t="s">
        <v>502</v>
      </c>
      <c r="C148" t="s">
        <v>72</v>
      </c>
      <c r="D148" s="12">
        <v>46239</v>
      </c>
      <c r="E148" t="s">
        <v>133</v>
      </c>
      <c r="F148" t="s">
        <v>73</v>
      </c>
      <c r="G148">
        <v>9.9149198152032554</v>
      </c>
      <c r="H148">
        <v>36.1</v>
      </c>
      <c r="I148">
        <v>20</v>
      </c>
      <c r="J148">
        <v>36.1</v>
      </c>
      <c r="K148">
        <v>46239</v>
      </c>
      <c r="L148" t="s">
        <v>177</v>
      </c>
      <c r="M148">
        <v>11.048657066993464</v>
      </c>
      <c r="N148">
        <v>3.640977503887151</v>
      </c>
      <c r="O148">
        <v>3.640977503887151</v>
      </c>
      <c r="P148">
        <v>1.1143465880633516</v>
      </c>
      <c r="Q148">
        <v>0</v>
      </c>
      <c r="R148">
        <v>0</v>
      </c>
      <c r="S148">
        <v>2.390977503887151</v>
      </c>
      <c r="T148">
        <v>0</v>
      </c>
      <c r="U148">
        <v>0</v>
      </c>
      <c r="V148">
        <v>0</v>
      </c>
      <c r="W148">
        <v>0.11434658806335163</v>
      </c>
      <c r="X148">
        <v>0</v>
      </c>
      <c r="Y148">
        <v>0.13565341193664837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0.27465151842668295</v>
      </c>
      <c r="AL148">
        <v>0.27465151842668295</v>
      </c>
      <c r="AM148">
        <v>0.30605698246519286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0.69394301753480714</v>
      </c>
      <c r="AY148">
        <v>0</v>
      </c>
      <c r="AZ148">
        <v>0</v>
      </c>
      <c r="BA148">
        <v>0</v>
      </c>
      <c r="BB148">
        <v>0.27465151842668295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3.2673654165486243</v>
      </c>
      <c r="BI148">
        <v>3.2673654165486243</v>
      </c>
      <c r="BJ148">
        <v>0.89738687290991115</v>
      </c>
      <c r="CA148">
        <v>0</v>
      </c>
      <c r="CB148">
        <v>0</v>
      </c>
      <c r="CC148">
        <v>0</v>
      </c>
    </row>
    <row r="149" spans="1:82" hidden="1" x14ac:dyDescent="0.25">
      <c r="A149" t="s">
        <v>128</v>
      </c>
      <c r="B149" t="s">
        <v>503</v>
      </c>
      <c r="C149" t="s">
        <v>72</v>
      </c>
      <c r="D149" s="12">
        <v>46239</v>
      </c>
      <c r="E149" t="s">
        <v>133</v>
      </c>
      <c r="F149" t="s">
        <v>74</v>
      </c>
      <c r="G149">
        <v>3.8126545117428936</v>
      </c>
      <c r="H149">
        <v>7.6</v>
      </c>
      <c r="I149">
        <v>20</v>
      </c>
      <c r="J149">
        <v>7.6</v>
      </c>
      <c r="K149">
        <v>46239</v>
      </c>
      <c r="L149" t="s">
        <v>176</v>
      </c>
      <c r="M149">
        <v>2.4705882352941178</v>
      </c>
      <c r="N149">
        <v>1.9933618366395811</v>
      </c>
      <c r="O149">
        <v>1.9933618366395811</v>
      </c>
      <c r="P149">
        <v>0.64799688187974003</v>
      </c>
      <c r="Q149">
        <v>0</v>
      </c>
      <c r="R149">
        <v>0</v>
      </c>
      <c r="S149">
        <v>0.74336183663958111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0.25</v>
      </c>
      <c r="Z149">
        <v>0</v>
      </c>
      <c r="AA149">
        <v>0</v>
      </c>
      <c r="AB149">
        <v>0</v>
      </c>
      <c r="AC149">
        <v>0.35200311812025997</v>
      </c>
      <c r="AD149">
        <v>0</v>
      </c>
      <c r="AE149">
        <v>0.64799688187974003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0.50166506733459126</v>
      </c>
      <c r="AL149">
        <v>0.50166506733459126</v>
      </c>
      <c r="AM149">
        <v>0.32507739938080499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0.49833493266540874</v>
      </c>
      <c r="AY149">
        <v>0</v>
      </c>
      <c r="AZ149">
        <v>0.17658766795378628</v>
      </c>
      <c r="BA149">
        <v>0</v>
      </c>
      <c r="BB149">
        <v>0.32507739938080499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3.0761904761904759</v>
      </c>
      <c r="BI149">
        <v>3.0761904761904759</v>
      </c>
      <c r="BJ149">
        <v>1.5432173023721236</v>
      </c>
      <c r="CA149">
        <v>0</v>
      </c>
      <c r="CB149">
        <v>0</v>
      </c>
      <c r="CC149">
        <v>0</v>
      </c>
    </row>
    <row r="150" spans="1:82" hidden="1" x14ac:dyDescent="0.25">
      <c r="A150" t="s">
        <v>128</v>
      </c>
      <c r="B150" t="s">
        <v>372</v>
      </c>
      <c r="C150" t="s">
        <v>72</v>
      </c>
      <c r="D150" s="12">
        <v>46239</v>
      </c>
      <c r="E150" t="s">
        <v>133</v>
      </c>
      <c r="F150" t="s">
        <v>74</v>
      </c>
      <c r="G150">
        <v>4.2207252494765797</v>
      </c>
      <c r="H150">
        <v>3.8</v>
      </c>
      <c r="I150">
        <v>20</v>
      </c>
      <c r="J150">
        <v>3.8</v>
      </c>
      <c r="K150">
        <v>46239</v>
      </c>
      <c r="L150" t="s">
        <v>176</v>
      </c>
      <c r="M150">
        <v>4.6875</v>
      </c>
      <c r="N150">
        <v>0.90031920473175675</v>
      </c>
      <c r="O150">
        <v>0.90031920473175675</v>
      </c>
      <c r="P150">
        <v>1.1105911242579236</v>
      </c>
      <c r="Q150">
        <v>0.11059112425792361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9.968079526824325E-2</v>
      </c>
      <c r="AA150">
        <v>0</v>
      </c>
      <c r="AB150">
        <v>0</v>
      </c>
      <c r="AC150">
        <v>0</v>
      </c>
      <c r="AD150">
        <v>0</v>
      </c>
      <c r="AE150">
        <v>0.90031920473175675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1.1107171709148895</v>
      </c>
      <c r="AL150">
        <v>1.1107171709148895</v>
      </c>
      <c r="AM150">
        <v>1.2335526315789473</v>
      </c>
      <c r="AN150">
        <v>0.12283546066405782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0.11071717091488953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0.81066666666666665</v>
      </c>
      <c r="BI150">
        <v>0.81066666666666665</v>
      </c>
      <c r="BJ150">
        <v>0.9004213865550037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9.95786134449963E-2</v>
      </c>
      <c r="BV150">
        <v>0</v>
      </c>
      <c r="BW150">
        <v>0</v>
      </c>
      <c r="BX150">
        <v>0</v>
      </c>
      <c r="BY150">
        <v>0.81066666666666665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hidden="1" x14ac:dyDescent="0.25">
      <c r="A151" t="s">
        <v>128</v>
      </c>
      <c r="B151" t="s">
        <v>502</v>
      </c>
      <c r="C151" t="s">
        <v>72</v>
      </c>
      <c r="D151" s="12">
        <v>46239</v>
      </c>
      <c r="E151" t="s">
        <v>133</v>
      </c>
      <c r="F151" t="s">
        <v>74</v>
      </c>
      <c r="G151">
        <v>4.437063563709744</v>
      </c>
      <c r="H151">
        <v>7.6</v>
      </c>
      <c r="I151">
        <v>20</v>
      </c>
      <c r="J151">
        <v>7.6</v>
      </c>
      <c r="K151">
        <v>46239</v>
      </c>
      <c r="L151" t="s">
        <v>176</v>
      </c>
      <c r="M151">
        <v>4.9267310049019608</v>
      </c>
      <c r="N151">
        <v>1.7128445177480813</v>
      </c>
      <c r="O151">
        <v>1.7128445177480813</v>
      </c>
      <c r="P151">
        <v>1.1103584463376079</v>
      </c>
      <c r="Q151">
        <v>0</v>
      </c>
      <c r="R151">
        <v>0</v>
      </c>
      <c r="S151">
        <v>0.46284451774808133</v>
      </c>
      <c r="T151">
        <v>0</v>
      </c>
      <c r="U151">
        <v>0</v>
      </c>
      <c r="V151">
        <v>0</v>
      </c>
      <c r="W151">
        <v>0.11035844633760794</v>
      </c>
      <c r="X151">
        <v>0</v>
      </c>
      <c r="Y151">
        <v>0.13964155366239206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0.58382415311970315</v>
      </c>
      <c r="AL151">
        <v>0.58382415311970315</v>
      </c>
      <c r="AM151">
        <v>0.64825407959236325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0.35174592040763675</v>
      </c>
      <c r="AY151">
        <v>0</v>
      </c>
      <c r="AZ151">
        <v>0</v>
      </c>
      <c r="BA151">
        <v>0</v>
      </c>
      <c r="BB151">
        <v>0.58382415311970315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1.5426050239881597</v>
      </c>
      <c r="BI151">
        <v>1.5426050239881597</v>
      </c>
      <c r="BJ151">
        <v>0.90061007172808683</v>
      </c>
      <c r="CA151">
        <v>0</v>
      </c>
      <c r="CB151">
        <v>0</v>
      </c>
      <c r="CC151">
        <v>0</v>
      </c>
    </row>
    <row r="152" spans="1:82" hidden="1" x14ac:dyDescent="0.25">
      <c r="A152" t="s">
        <v>128</v>
      </c>
      <c r="B152" t="s">
        <v>372</v>
      </c>
      <c r="C152" t="s">
        <v>72</v>
      </c>
      <c r="D152" s="12">
        <v>46239</v>
      </c>
      <c r="E152" t="s">
        <v>133</v>
      </c>
      <c r="F152" t="s">
        <v>75</v>
      </c>
      <c r="G152">
        <v>10.815608451783737</v>
      </c>
      <c r="H152">
        <v>9.5</v>
      </c>
      <c r="I152">
        <v>20</v>
      </c>
      <c r="J152">
        <v>9.5</v>
      </c>
      <c r="K152">
        <v>46239</v>
      </c>
      <c r="L152" t="s">
        <v>175</v>
      </c>
      <c r="M152">
        <v>12.292738970588236</v>
      </c>
      <c r="N152">
        <v>0.87836019973829915</v>
      </c>
      <c r="O152">
        <v>0.87836019973829915</v>
      </c>
      <c r="P152">
        <v>1.1365739639512271</v>
      </c>
      <c r="Q152">
        <v>0.13657396395122712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0.12163980026170085</v>
      </c>
      <c r="AA152">
        <v>0</v>
      </c>
      <c r="AB152">
        <v>0</v>
      </c>
      <c r="AC152">
        <v>0</v>
      </c>
      <c r="AD152">
        <v>0</v>
      </c>
      <c r="AE152">
        <v>0.87836019973829915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1.1384851001877618</v>
      </c>
      <c r="AL152">
        <v>1.1384851001877618</v>
      </c>
      <c r="AM152">
        <v>1.2939725232198143</v>
      </c>
      <c r="AN152">
        <v>0.15548742303205243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0.13848510018776183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0.77281393696960632</v>
      </c>
      <c r="BI152">
        <v>0.77281393696960632</v>
      </c>
      <c r="BJ152">
        <v>0.87983715245734084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0.12016284754265916</v>
      </c>
      <c r="BV152">
        <v>0</v>
      </c>
      <c r="BW152">
        <v>0</v>
      </c>
      <c r="BX152">
        <v>0</v>
      </c>
      <c r="BY152">
        <v>0.77281393696960632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hidden="1" x14ac:dyDescent="0.25">
      <c r="A153" t="s">
        <v>128</v>
      </c>
      <c r="B153" t="s">
        <v>502</v>
      </c>
      <c r="C153" t="s">
        <v>72</v>
      </c>
      <c r="D153" s="12">
        <v>46239</v>
      </c>
      <c r="E153" t="s">
        <v>133</v>
      </c>
      <c r="F153" t="s">
        <v>75</v>
      </c>
      <c r="G153">
        <v>8.1072272522103948</v>
      </c>
      <c r="H153">
        <v>17.099999999999998</v>
      </c>
      <c r="I153">
        <v>20</v>
      </c>
      <c r="J153">
        <v>17.099999999999998</v>
      </c>
      <c r="K153">
        <v>46239</v>
      </c>
      <c r="L153" t="s">
        <v>175</v>
      </c>
      <c r="M153">
        <v>11.271139705882357</v>
      </c>
      <c r="N153">
        <v>2.1092291443215396</v>
      </c>
      <c r="O153">
        <v>2.1092291443215396</v>
      </c>
      <c r="P153">
        <v>1.390258266512677</v>
      </c>
      <c r="Q153">
        <v>0</v>
      </c>
      <c r="R153">
        <v>0</v>
      </c>
      <c r="S153">
        <v>0.7189708778088626</v>
      </c>
      <c r="T153">
        <v>0</v>
      </c>
      <c r="U153">
        <v>0.14025826651267703</v>
      </c>
      <c r="V153">
        <v>0</v>
      </c>
      <c r="W153">
        <v>0.25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0.47410685685440912</v>
      </c>
      <c r="AL153">
        <v>0.47410685685440912</v>
      </c>
      <c r="AM153">
        <v>0.6591309769521847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0.3408690230478153</v>
      </c>
      <c r="AY153">
        <v>0</v>
      </c>
      <c r="AZ153">
        <v>0</v>
      </c>
      <c r="BA153">
        <v>0</v>
      </c>
      <c r="BB153">
        <v>0.47410685685440912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1.5171491478431045</v>
      </c>
      <c r="BI153">
        <v>1.5171491478431045</v>
      </c>
      <c r="BJ153">
        <v>0.71929081386323956</v>
      </c>
      <c r="CA153">
        <v>0</v>
      </c>
      <c r="CB153">
        <v>0</v>
      </c>
      <c r="CC153">
        <v>0</v>
      </c>
    </row>
    <row r="154" spans="1:82" hidden="1" x14ac:dyDescent="0.25">
      <c r="A154" t="s">
        <v>128</v>
      </c>
      <c r="B154" t="s">
        <v>503</v>
      </c>
      <c r="C154" t="s">
        <v>72</v>
      </c>
      <c r="D154" s="12">
        <v>46239</v>
      </c>
      <c r="E154" t="s">
        <v>133</v>
      </c>
      <c r="F154" t="s">
        <v>75</v>
      </c>
      <c r="G154">
        <v>6.6721453955500643</v>
      </c>
      <c r="H154">
        <v>17.099999999999998</v>
      </c>
      <c r="I154">
        <v>20</v>
      </c>
      <c r="J154">
        <v>17.099999999999998</v>
      </c>
      <c r="K154">
        <v>46239</v>
      </c>
      <c r="L154" t="s">
        <v>175</v>
      </c>
      <c r="M154">
        <v>7.2926470588235279</v>
      </c>
      <c r="N154">
        <v>2.5628937899651754</v>
      </c>
      <c r="O154">
        <v>2.5628937899651754</v>
      </c>
      <c r="P154">
        <v>1.0929988221910305</v>
      </c>
      <c r="Q154">
        <v>0</v>
      </c>
      <c r="R154">
        <v>0</v>
      </c>
      <c r="S154">
        <v>1.3128937899651754</v>
      </c>
      <c r="T154">
        <v>0</v>
      </c>
      <c r="U154">
        <v>0</v>
      </c>
      <c r="V154">
        <v>0</v>
      </c>
      <c r="W154">
        <v>9.2998822191030506E-2</v>
      </c>
      <c r="X154">
        <v>0</v>
      </c>
      <c r="Y154">
        <v>0.15700117780896949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0.3901839412602377</v>
      </c>
      <c r="AL154">
        <v>0.3901839412602377</v>
      </c>
      <c r="AM154">
        <v>0.4264705882352941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0.57352941176470584</v>
      </c>
      <c r="AY154">
        <v>0</v>
      </c>
      <c r="AZ154">
        <v>0</v>
      </c>
      <c r="BA154">
        <v>0</v>
      </c>
      <c r="BB154">
        <v>0.3901839412602377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2.3448275862068968</v>
      </c>
      <c r="BI154">
        <v>2.3448275862068968</v>
      </c>
      <c r="BJ154">
        <v>0.91491406916193685</v>
      </c>
      <c r="CA154">
        <v>0</v>
      </c>
      <c r="CB154">
        <v>0</v>
      </c>
      <c r="CC154">
        <v>0</v>
      </c>
    </row>
    <row r="155" spans="1:82" hidden="1" x14ac:dyDescent="0.25">
      <c r="A155" t="s">
        <v>128</v>
      </c>
      <c r="B155" t="s">
        <v>372</v>
      </c>
      <c r="C155" t="s">
        <v>72</v>
      </c>
      <c r="D155" s="12">
        <v>46240</v>
      </c>
      <c r="E155" t="s">
        <v>133</v>
      </c>
      <c r="F155" t="s">
        <v>73</v>
      </c>
      <c r="G155">
        <v>11.738892100106735</v>
      </c>
      <c r="H155">
        <v>23.75</v>
      </c>
      <c r="I155">
        <v>20</v>
      </c>
      <c r="J155">
        <v>23.75</v>
      </c>
      <c r="K155">
        <v>46240</v>
      </c>
      <c r="L155" t="s">
        <v>191</v>
      </c>
      <c r="M155">
        <v>12.6796875</v>
      </c>
      <c r="N155">
        <v>2.0231892241163076</v>
      </c>
      <c r="O155">
        <v>2.0231892241163076</v>
      </c>
      <c r="P155">
        <v>1.0801434574805155</v>
      </c>
      <c r="Q155">
        <v>0</v>
      </c>
      <c r="R155">
        <v>0</v>
      </c>
      <c r="S155">
        <v>0.77318922411630764</v>
      </c>
      <c r="T155">
        <v>0</v>
      </c>
      <c r="U155">
        <v>0</v>
      </c>
      <c r="V155">
        <v>0</v>
      </c>
      <c r="W155">
        <v>8.0143457480515545E-2</v>
      </c>
      <c r="X155">
        <v>0</v>
      </c>
      <c r="Y155">
        <v>0.16985654251948445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0.49426914105712572</v>
      </c>
      <c r="AL155">
        <v>0.49426914105712572</v>
      </c>
      <c r="AM155">
        <v>0.53388157894736843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0.46611842105263157</v>
      </c>
      <c r="AY155">
        <v>0</v>
      </c>
      <c r="AZ155">
        <v>0</v>
      </c>
      <c r="BA155">
        <v>0</v>
      </c>
      <c r="BB155">
        <v>0.49426914105712572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1.8730745532963649</v>
      </c>
      <c r="BI155">
        <v>1.8730745532963649</v>
      </c>
      <c r="BJ155">
        <v>0.92580295059375362</v>
      </c>
      <c r="CA155">
        <v>0</v>
      </c>
      <c r="CB155">
        <v>0</v>
      </c>
      <c r="CC155">
        <v>0</v>
      </c>
    </row>
    <row r="156" spans="1:82" hidden="1" x14ac:dyDescent="0.25">
      <c r="A156" t="s">
        <v>128</v>
      </c>
      <c r="B156" t="s">
        <v>502</v>
      </c>
      <c r="C156" t="s">
        <v>72</v>
      </c>
      <c r="D156" s="12">
        <v>46240</v>
      </c>
      <c r="E156" t="s">
        <v>133</v>
      </c>
      <c r="F156" t="s">
        <v>73</v>
      </c>
      <c r="G156">
        <v>9.9149198152032554</v>
      </c>
      <c r="H156">
        <v>39.9</v>
      </c>
      <c r="I156">
        <v>20</v>
      </c>
      <c r="J156">
        <v>39.9</v>
      </c>
      <c r="K156">
        <v>46240</v>
      </c>
      <c r="L156" t="s">
        <v>191</v>
      </c>
      <c r="M156">
        <v>11.032858455882351</v>
      </c>
      <c r="N156">
        <v>4.0242382937700087</v>
      </c>
      <c r="O156">
        <v>4.0242382937700087</v>
      </c>
      <c r="P156">
        <v>1.1127531701229576</v>
      </c>
      <c r="Q156">
        <v>0</v>
      </c>
      <c r="R156">
        <v>0</v>
      </c>
      <c r="S156">
        <v>2.7742382937700087</v>
      </c>
      <c r="T156">
        <v>0</v>
      </c>
      <c r="U156">
        <v>0</v>
      </c>
      <c r="V156">
        <v>0</v>
      </c>
      <c r="W156">
        <v>0.1127531701229576</v>
      </c>
      <c r="X156">
        <v>0</v>
      </c>
      <c r="Y156">
        <v>0.1372468298770424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0.24849423095747508</v>
      </c>
      <c r="AL156">
        <v>0.24849423095747508</v>
      </c>
      <c r="AM156">
        <v>0.27651274325519681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0.72348725674480319</v>
      </c>
      <c r="AY156">
        <v>0</v>
      </c>
      <c r="AZ156">
        <v>0</v>
      </c>
      <c r="BA156">
        <v>0</v>
      </c>
      <c r="BB156">
        <v>0.24849423095747508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3.6164698531708845</v>
      </c>
      <c r="BI156">
        <v>3.6164698531708845</v>
      </c>
      <c r="BJ156">
        <v>0.89867189494459176</v>
      </c>
      <c r="CA156">
        <v>0</v>
      </c>
      <c r="CB156">
        <v>0</v>
      </c>
      <c r="CC156">
        <v>0</v>
      </c>
    </row>
    <row r="157" spans="1:82" hidden="1" x14ac:dyDescent="0.25">
      <c r="A157" t="s">
        <v>128</v>
      </c>
      <c r="B157" t="s">
        <v>503</v>
      </c>
      <c r="C157" t="s">
        <v>72</v>
      </c>
      <c r="D157" s="12">
        <v>46240</v>
      </c>
      <c r="E157" t="s">
        <v>133</v>
      </c>
      <c r="F157" t="s">
        <v>73</v>
      </c>
      <c r="G157">
        <v>10.316594561186651</v>
      </c>
      <c r="H157">
        <v>39.9</v>
      </c>
      <c r="I157">
        <v>20</v>
      </c>
      <c r="J157">
        <v>39.9</v>
      </c>
      <c r="K157">
        <v>46240</v>
      </c>
      <c r="L157" t="s">
        <v>191</v>
      </c>
      <c r="M157">
        <v>9.9284313725490154</v>
      </c>
      <c r="N157">
        <v>3.8675553026104925</v>
      </c>
      <c r="O157">
        <v>3.8675553026104925</v>
      </c>
      <c r="P157">
        <v>0.96237487221820339</v>
      </c>
      <c r="Q157">
        <v>0</v>
      </c>
      <c r="R157">
        <v>0</v>
      </c>
      <c r="S157">
        <v>2.6175553026104925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0.25</v>
      </c>
      <c r="Z157">
        <v>0</v>
      </c>
      <c r="AA157">
        <v>0</v>
      </c>
      <c r="AB157">
        <v>0</v>
      </c>
      <c r="AC157">
        <v>3.7625127781796608E-2</v>
      </c>
      <c r="AD157">
        <v>0</v>
      </c>
      <c r="AE157">
        <v>0.96237487221820339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0.25856126719766043</v>
      </c>
      <c r="AL157">
        <v>0.25856126719766043</v>
      </c>
      <c r="AM157">
        <v>0.2488328664799252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0.74143873280233952</v>
      </c>
      <c r="AY157">
        <v>0</v>
      </c>
      <c r="AZ157">
        <v>9.7284007177352305E-3</v>
      </c>
      <c r="BA157">
        <v>0</v>
      </c>
      <c r="BB157">
        <v>0.2488328664799252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4.0187617260788011</v>
      </c>
      <c r="BI157">
        <v>4.0187617260788011</v>
      </c>
      <c r="BJ157">
        <v>1.0390961244603918</v>
      </c>
      <c r="CA157">
        <v>0</v>
      </c>
      <c r="CB157">
        <v>0</v>
      </c>
      <c r="CC157">
        <v>0</v>
      </c>
    </row>
    <row r="158" spans="1:82" hidden="1" x14ac:dyDescent="0.25">
      <c r="A158" t="s">
        <v>128</v>
      </c>
      <c r="B158" t="s">
        <v>502</v>
      </c>
      <c r="C158" t="s">
        <v>72</v>
      </c>
      <c r="D158" s="12">
        <v>46240</v>
      </c>
      <c r="E158" t="s">
        <v>133</v>
      </c>
      <c r="F158" t="s">
        <v>74</v>
      </c>
      <c r="G158">
        <v>4.437063563709744</v>
      </c>
      <c r="H158">
        <v>7.6</v>
      </c>
      <c r="I158">
        <v>20</v>
      </c>
      <c r="J158">
        <v>7.6</v>
      </c>
      <c r="K158">
        <v>46240</v>
      </c>
      <c r="L158" t="s">
        <v>192</v>
      </c>
      <c r="M158">
        <v>4.8388403799019599</v>
      </c>
      <c r="N158">
        <v>1.7128445177480813</v>
      </c>
      <c r="O158">
        <v>1.7128445177480813</v>
      </c>
      <c r="P158">
        <v>1.0905501601280416</v>
      </c>
      <c r="Q158">
        <v>0</v>
      </c>
      <c r="R158">
        <v>0</v>
      </c>
      <c r="S158">
        <v>0.46284451774808133</v>
      </c>
      <c r="T158">
        <v>0</v>
      </c>
      <c r="U158">
        <v>0</v>
      </c>
      <c r="V158">
        <v>0</v>
      </c>
      <c r="W158">
        <v>9.0550160128041624E-2</v>
      </c>
      <c r="X158">
        <v>0</v>
      </c>
      <c r="Y158">
        <v>0.15944983987195838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0.58382415311970315</v>
      </c>
      <c r="AL158">
        <v>0.58382415311970315</v>
      </c>
      <c r="AM158">
        <v>0.6366895236713106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0.3633104763286894</v>
      </c>
      <c r="AY158">
        <v>0</v>
      </c>
      <c r="AZ158">
        <v>0</v>
      </c>
      <c r="BA158">
        <v>0</v>
      </c>
      <c r="BB158">
        <v>0.58382415311970315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1.570624241205903</v>
      </c>
      <c r="BI158">
        <v>1.570624241205903</v>
      </c>
      <c r="BJ158">
        <v>0.91696836749131283</v>
      </c>
      <c r="CA158">
        <v>0</v>
      </c>
      <c r="CB158">
        <v>0</v>
      </c>
      <c r="CC158">
        <v>0</v>
      </c>
    </row>
    <row r="159" spans="1:82" hidden="1" x14ac:dyDescent="0.25">
      <c r="A159" t="s">
        <v>128</v>
      </c>
      <c r="B159" t="s">
        <v>372</v>
      </c>
      <c r="C159" t="s">
        <v>72</v>
      </c>
      <c r="D159" s="12">
        <v>46240</v>
      </c>
      <c r="E159" t="s">
        <v>133</v>
      </c>
      <c r="F159" t="s">
        <v>74</v>
      </c>
      <c r="G159">
        <v>4.2207252494765797</v>
      </c>
      <c r="H159">
        <v>4.75</v>
      </c>
      <c r="I159">
        <v>20</v>
      </c>
      <c r="J159">
        <v>4.75</v>
      </c>
      <c r="K159">
        <v>46240</v>
      </c>
      <c r="L159" t="s">
        <v>192</v>
      </c>
      <c r="M159">
        <v>4.6875</v>
      </c>
      <c r="N159">
        <v>1.1253990059146959</v>
      </c>
      <c r="O159">
        <v>1.1253990059146959</v>
      </c>
      <c r="P159">
        <v>1.1105911242579236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0.11059112425792361</v>
      </c>
      <c r="X159">
        <v>0</v>
      </c>
      <c r="Y159">
        <v>1.480788165677227E-2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0.88857373673191153</v>
      </c>
      <c r="AL159">
        <v>0.88857373673191153</v>
      </c>
      <c r="AM159">
        <v>0.98684210526315785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1.3157894736842146E-2</v>
      </c>
      <c r="AY159">
        <v>0</v>
      </c>
      <c r="AZ159">
        <v>0</v>
      </c>
      <c r="BA159">
        <v>0</v>
      </c>
      <c r="BB159">
        <v>0.88857373673191153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1.0133333333333334</v>
      </c>
      <c r="BI159">
        <v>1.0133333333333334</v>
      </c>
      <c r="BJ159">
        <v>0.9004213865550037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1.3333333333333419E-2</v>
      </c>
      <c r="BT159">
        <v>0</v>
      </c>
      <c r="BU159">
        <v>0</v>
      </c>
      <c r="BV159">
        <v>0</v>
      </c>
      <c r="BW159">
        <v>9.95786134449963E-2</v>
      </c>
      <c r="BX159">
        <v>0</v>
      </c>
      <c r="BY159">
        <v>0.9004213865550037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 hidden="1" x14ac:dyDescent="0.25">
      <c r="A160" t="s">
        <v>128</v>
      </c>
      <c r="B160" t="s">
        <v>503</v>
      </c>
      <c r="C160" t="s">
        <v>72</v>
      </c>
      <c r="D160" s="12">
        <v>46240</v>
      </c>
      <c r="E160" t="s">
        <v>133</v>
      </c>
      <c r="F160" t="s">
        <v>74</v>
      </c>
      <c r="G160">
        <v>3.8126545117428936</v>
      </c>
      <c r="H160">
        <v>7.6</v>
      </c>
      <c r="I160">
        <v>20</v>
      </c>
      <c r="J160">
        <v>7.6</v>
      </c>
      <c r="K160">
        <v>46240</v>
      </c>
      <c r="L160" t="s">
        <v>192</v>
      </c>
      <c r="M160">
        <v>3.0882352941176467</v>
      </c>
      <c r="N160">
        <v>1.9933618366395811</v>
      </c>
      <c r="O160">
        <v>1.9933618366395811</v>
      </c>
      <c r="P160">
        <v>0.8099961023496749</v>
      </c>
      <c r="Q160">
        <v>0</v>
      </c>
      <c r="R160">
        <v>0</v>
      </c>
      <c r="S160">
        <v>0.74336183663958111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0.25</v>
      </c>
      <c r="Z160">
        <v>0</v>
      </c>
      <c r="AA160">
        <v>0</v>
      </c>
      <c r="AB160">
        <v>0</v>
      </c>
      <c r="AC160">
        <v>0.1900038976503251</v>
      </c>
      <c r="AD160">
        <v>0</v>
      </c>
      <c r="AE160">
        <v>0.8099961023496749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0.50166506733459126</v>
      </c>
      <c r="AL160">
        <v>0.50166506733459126</v>
      </c>
      <c r="AM160">
        <v>0.40634674922600617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0.49833493266540874</v>
      </c>
      <c r="AY160">
        <v>0</v>
      </c>
      <c r="AZ160">
        <v>9.5318318108585098E-2</v>
      </c>
      <c r="BA160">
        <v>0</v>
      </c>
      <c r="BB160">
        <v>0.40634674922600617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2.460952380952381</v>
      </c>
      <c r="BI160">
        <v>2.460952380952381</v>
      </c>
      <c r="BJ160">
        <v>1.234573841897699</v>
      </c>
      <c r="CA160">
        <v>0</v>
      </c>
      <c r="CB160">
        <v>0</v>
      </c>
      <c r="CC160">
        <v>0</v>
      </c>
    </row>
    <row r="161" spans="1:82" hidden="1" x14ac:dyDescent="0.25">
      <c r="A161" t="s">
        <v>128</v>
      </c>
      <c r="B161" t="s">
        <v>503</v>
      </c>
      <c r="C161" t="s">
        <v>72</v>
      </c>
      <c r="D161" s="12">
        <v>46240</v>
      </c>
      <c r="E161" t="s">
        <v>133</v>
      </c>
      <c r="F161" t="s">
        <v>75</v>
      </c>
      <c r="G161">
        <v>7.4010352286773804</v>
      </c>
      <c r="H161">
        <v>20.9</v>
      </c>
      <c r="I161">
        <v>20</v>
      </c>
      <c r="J161">
        <v>20.9</v>
      </c>
      <c r="K161">
        <v>46240</v>
      </c>
      <c r="L161" t="s">
        <v>210</v>
      </c>
      <c r="M161">
        <v>5.5862745098039195</v>
      </c>
      <c r="N161">
        <v>2.8239292685727402</v>
      </c>
      <c r="O161">
        <v>2.8239292685727402</v>
      </c>
      <c r="P161">
        <v>0.75479636796732663</v>
      </c>
      <c r="Q161">
        <v>0</v>
      </c>
      <c r="R161">
        <v>0</v>
      </c>
      <c r="S161">
        <v>1.5739292685727402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0.25</v>
      </c>
      <c r="Z161">
        <v>0</v>
      </c>
      <c r="AA161">
        <v>0</v>
      </c>
      <c r="AB161">
        <v>0</v>
      </c>
      <c r="AC161">
        <v>0.24520363203267337</v>
      </c>
      <c r="AD161">
        <v>0</v>
      </c>
      <c r="AE161">
        <v>0.75479636796732663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0.35411651811853495</v>
      </c>
      <c r="AL161">
        <v>0.35411651811853495</v>
      </c>
      <c r="AM161">
        <v>0.2672858617131062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0.64588348188146505</v>
      </c>
      <c r="AY161">
        <v>0</v>
      </c>
      <c r="AZ161">
        <v>8.6830656405428752E-2</v>
      </c>
      <c r="BA161">
        <v>0</v>
      </c>
      <c r="BB161">
        <v>0.2672858617131062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3.7413127413127425</v>
      </c>
      <c r="BI161">
        <v>3.7413127413127425</v>
      </c>
      <c r="BJ161">
        <v>1.3248606411461794</v>
      </c>
      <c r="CA161">
        <v>0</v>
      </c>
      <c r="CB161">
        <v>0</v>
      </c>
      <c r="CC161">
        <v>0</v>
      </c>
    </row>
    <row r="162" spans="1:82" hidden="1" x14ac:dyDescent="0.25">
      <c r="A162" t="s">
        <v>128</v>
      </c>
      <c r="B162" t="s">
        <v>372</v>
      </c>
      <c r="C162" t="s">
        <v>72</v>
      </c>
      <c r="D162" s="12">
        <v>46240</v>
      </c>
      <c r="E162" t="s">
        <v>133</v>
      </c>
      <c r="F162" t="s">
        <v>75</v>
      </c>
      <c r="G162">
        <v>10.973885648639106</v>
      </c>
      <c r="H162">
        <v>10.45</v>
      </c>
      <c r="I162">
        <v>20</v>
      </c>
      <c r="J162">
        <v>10.45</v>
      </c>
      <c r="K162">
        <v>46240</v>
      </c>
      <c r="L162" t="s">
        <v>210</v>
      </c>
      <c r="M162">
        <v>12.5390625</v>
      </c>
      <c r="N162">
        <v>0.95226069731243512</v>
      </c>
      <c r="O162">
        <v>0.95226069731243512</v>
      </c>
      <c r="P162">
        <v>1.1426274066884408</v>
      </c>
      <c r="Q162">
        <v>0.14262740668844076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4.7739302687564877E-2</v>
      </c>
      <c r="AA162">
        <v>0</v>
      </c>
      <c r="AB162">
        <v>0</v>
      </c>
      <c r="AC162">
        <v>0</v>
      </c>
      <c r="AD162">
        <v>0</v>
      </c>
      <c r="AE162">
        <v>0.95226069731243512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1.0501325979558953</v>
      </c>
      <c r="AL162">
        <v>1.0501325979558953</v>
      </c>
      <c r="AM162">
        <v>1.1999102870813398</v>
      </c>
      <c r="AN162">
        <v>0.14977768912544454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5.0132597955895308E-2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0.83339563862928345</v>
      </c>
      <c r="BI162">
        <v>0.83339563862928345</v>
      </c>
      <c r="BJ162">
        <v>0.87517592711888204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0.12482407288111796</v>
      </c>
      <c r="BV162">
        <v>0</v>
      </c>
      <c r="BW162">
        <v>0</v>
      </c>
      <c r="BX162">
        <v>0</v>
      </c>
      <c r="BY162">
        <v>0.83339563862928345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hidden="1" x14ac:dyDescent="0.25">
      <c r="A163" t="s">
        <v>128</v>
      </c>
      <c r="B163" t="s">
        <v>502</v>
      </c>
      <c r="C163" t="s">
        <v>72</v>
      </c>
      <c r="D163" s="12">
        <v>46240</v>
      </c>
      <c r="E163" t="s">
        <v>133</v>
      </c>
      <c r="F163" t="s">
        <v>75</v>
      </c>
      <c r="G163">
        <v>8.0524486896954599</v>
      </c>
      <c r="H163">
        <v>20.9</v>
      </c>
      <c r="I163">
        <v>20</v>
      </c>
      <c r="J163">
        <v>20.9</v>
      </c>
      <c r="K163">
        <v>46240</v>
      </c>
      <c r="L163" t="s">
        <v>210</v>
      </c>
      <c r="M163">
        <v>9.1283011642156868</v>
      </c>
      <c r="N163">
        <v>2.5954837845468379</v>
      </c>
      <c r="O163">
        <v>2.5954837845468379</v>
      </c>
      <c r="P163">
        <v>1.1336056292909971</v>
      </c>
      <c r="Q163">
        <v>0</v>
      </c>
      <c r="R163">
        <v>0</v>
      </c>
      <c r="S163">
        <v>1.3454837845468379</v>
      </c>
      <c r="T163">
        <v>0</v>
      </c>
      <c r="U163">
        <v>0</v>
      </c>
      <c r="V163">
        <v>0</v>
      </c>
      <c r="W163">
        <v>0.13360562929099706</v>
      </c>
      <c r="X163">
        <v>0</v>
      </c>
      <c r="Y163">
        <v>0.11639437070900294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0.38528462630121818</v>
      </c>
      <c r="AL163">
        <v>0.38528462630121818</v>
      </c>
      <c r="AM163">
        <v>0.43676082125433913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0.56323917874566087</v>
      </c>
      <c r="AY163">
        <v>0</v>
      </c>
      <c r="AZ163">
        <v>0</v>
      </c>
      <c r="BA163">
        <v>0</v>
      </c>
      <c r="BB163">
        <v>0.38528462630121818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2.2895826533343513</v>
      </c>
      <c r="BI163">
        <v>2.2895826533343513</v>
      </c>
      <c r="BJ163">
        <v>0.88214099697567705</v>
      </c>
      <c r="CA163">
        <v>0</v>
      </c>
      <c r="CB163">
        <v>0</v>
      </c>
      <c r="CC163">
        <v>0</v>
      </c>
    </row>
    <row r="164" spans="1:82" hidden="1" x14ac:dyDescent="0.25">
      <c r="A164" t="s">
        <v>128</v>
      </c>
      <c r="B164" t="s">
        <v>503</v>
      </c>
      <c r="C164" t="s">
        <v>72</v>
      </c>
      <c r="D164" s="12">
        <v>46241</v>
      </c>
      <c r="E164" t="s">
        <v>133</v>
      </c>
      <c r="F164" t="s">
        <v>73</v>
      </c>
      <c r="G164">
        <v>9.36343093325093</v>
      </c>
      <c r="H164">
        <v>38</v>
      </c>
      <c r="I164">
        <v>20</v>
      </c>
      <c r="J164">
        <v>38</v>
      </c>
      <c r="K164">
        <v>46241</v>
      </c>
      <c r="L164" t="s">
        <v>209</v>
      </c>
      <c r="M164">
        <v>9.2588235294117602</v>
      </c>
      <c r="N164">
        <v>4.0583414638171114</v>
      </c>
      <c r="O164">
        <v>4.0583414638171114</v>
      </c>
      <c r="P164">
        <v>0.98882809040992725</v>
      </c>
      <c r="Q164">
        <v>0</v>
      </c>
      <c r="R164">
        <v>0</v>
      </c>
      <c r="S164">
        <v>2.8083414638171114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0.25</v>
      </c>
      <c r="Z164">
        <v>0</v>
      </c>
      <c r="AA164">
        <v>0</v>
      </c>
      <c r="AB164">
        <v>0</v>
      </c>
      <c r="AC164">
        <v>1.1171909590072748E-2</v>
      </c>
      <c r="AD164">
        <v>0</v>
      </c>
      <c r="AE164">
        <v>0.98882809040992725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0.24640607719081395</v>
      </c>
      <c r="AL164">
        <v>0.24640607719081395</v>
      </c>
      <c r="AM164">
        <v>0.24365325077399369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0.75359392280918602</v>
      </c>
      <c r="AY164">
        <v>0</v>
      </c>
      <c r="AZ164">
        <v>2.7528264168202587E-3</v>
      </c>
      <c r="BA164">
        <v>0</v>
      </c>
      <c r="BB164">
        <v>0.24365325077399369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4.1041931385006372</v>
      </c>
      <c r="BI164">
        <v>4.1041931385006372</v>
      </c>
      <c r="BJ164">
        <v>1.0112981312913969</v>
      </c>
      <c r="CA164">
        <v>0</v>
      </c>
      <c r="CB164">
        <v>0</v>
      </c>
      <c r="CC164">
        <v>0</v>
      </c>
    </row>
    <row r="165" spans="1:82" hidden="1" x14ac:dyDescent="0.25">
      <c r="A165" t="s">
        <v>128</v>
      </c>
      <c r="B165" t="s">
        <v>372</v>
      </c>
      <c r="C165" t="s">
        <v>72</v>
      </c>
      <c r="D165" s="12">
        <v>46241</v>
      </c>
      <c r="E165" t="s">
        <v>133</v>
      </c>
      <c r="F165" t="s">
        <v>73</v>
      </c>
      <c r="G165">
        <v>10.973885648639108</v>
      </c>
      <c r="H165">
        <v>10.45</v>
      </c>
      <c r="I165">
        <v>20</v>
      </c>
      <c r="J165">
        <v>10.45</v>
      </c>
      <c r="K165">
        <v>46241</v>
      </c>
      <c r="L165" t="s">
        <v>209</v>
      </c>
      <c r="M165">
        <v>12.246323529411764</v>
      </c>
      <c r="N165">
        <v>0.9522606973124349</v>
      </c>
      <c r="O165">
        <v>0.9522606973124349</v>
      </c>
      <c r="P165">
        <v>1.1159514434096964</v>
      </c>
      <c r="Q165">
        <v>0.11595144340969643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4.7739302687565099E-2</v>
      </c>
      <c r="AA165">
        <v>0</v>
      </c>
      <c r="AB165">
        <v>0</v>
      </c>
      <c r="AC165">
        <v>0</v>
      </c>
      <c r="AD165">
        <v>0</v>
      </c>
      <c r="AE165">
        <v>0.9522606973124349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1.0501325979558955</v>
      </c>
      <c r="AL165">
        <v>1.0501325979558955</v>
      </c>
      <c r="AM165">
        <v>1.171896988460456</v>
      </c>
      <c r="AN165">
        <v>0.12176439050456045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5.013259795589553E-2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0.85331732212548783</v>
      </c>
      <c r="BI165">
        <v>0.85331732212548783</v>
      </c>
      <c r="BJ165">
        <v>0.89609633636440633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0.10390366363559367</v>
      </c>
      <c r="BV165">
        <v>0</v>
      </c>
      <c r="BW165">
        <v>0</v>
      </c>
      <c r="BX165">
        <v>0</v>
      </c>
      <c r="BY165">
        <v>0.85331732212548783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 hidden="1" x14ac:dyDescent="0.25">
      <c r="A166" t="s">
        <v>128</v>
      </c>
      <c r="B166" t="s">
        <v>502</v>
      </c>
      <c r="C166" t="s">
        <v>72</v>
      </c>
      <c r="D166" s="12">
        <v>46241</v>
      </c>
      <c r="E166" t="s">
        <v>133</v>
      </c>
      <c r="F166" t="s">
        <v>73</v>
      </c>
      <c r="G166">
        <v>9.9149198152032554</v>
      </c>
      <c r="H166">
        <v>38</v>
      </c>
      <c r="I166">
        <v>20</v>
      </c>
      <c r="J166">
        <v>38</v>
      </c>
      <c r="K166">
        <v>46241</v>
      </c>
      <c r="L166" t="s">
        <v>209</v>
      </c>
      <c r="M166">
        <v>11.900045955882351</v>
      </c>
      <c r="N166">
        <v>3.8326078988285799</v>
      </c>
      <c r="O166">
        <v>3.8326078988285799</v>
      </c>
      <c r="P166">
        <v>1.2002160559720474</v>
      </c>
      <c r="Q166">
        <v>0</v>
      </c>
      <c r="R166">
        <v>0</v>
      </c>
      <c r="S166">
        <v>2.5826078988285799</v>
      </c>
      <c r="T166">
        <v>0</v>
      </c>
      <c r="U166">
        <v>0</v>
      </c>
      <c r="V166">
        <v>0</v>
      </c>
      <c r="W166">
        <v>0.20021605597204739</v>
      </c>
      <c r="X166">
        <v>0</v>
      </c>
      <c r="Y166">
        <v>4.9783944027952609E-2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0.26091894250534881</v>
      </c>
      <c r="AL166">
        <v>0.26091894250534881</v>
      </c>
      <c r="AM166">
        <v>0.31315910410216713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0.68684089589783293</v>
      </c>
      <c r="AY166">
        <v>0</v>
      </c>
      <c r="AZ166">
        <v>0</v>
      </c>
      <c r="BA166">
        <v>0</v>
      </c>
      <c r="BB166">
        <v>0.26091894250534881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3.1932649790496055</v>
      </c>
      <c r="BI166">
        <v>3.1932649790496055</v>
      </c>
      <c r="BJ166">
        <v>0.8331833214729879</v>
      </c>
      <c r="CA166">
        <v>0</v>
      </c>
      <c r="CB166">
        <v>0</v>
      </c>
      <c r="CC166">
        <v>0</v>
      </c>
    </row>
    <row r="167" spans="1:82" hidden="1" x14ac:dyDescent="0.25">
      <c r="A167" t="s">
        <v>128</v>
      </c>
      <c r="B167" t="s">
        <v>502</v>
      </c>
      <c r="C167" t="s">
        <v>72</v>
      </c>
      <c r="D167" s="12">
        <v>46241</v>
      </c>
      <c r="E167" t="s">
        <v>133</v>
      </c>
      <c r="F167" t="s">
        <v>74</v>
      </c>
      <c r="G167">
        <v>4.437063563709744</v>
      </c>
      <c r="H167">
        <v>7.6</v>
      </c>
      <c r="I167">
        <v>20</v>
      </c>
      <c r="J167">
        <v>7.6</v>
      </c>
      <c r="K167">
        <v>46241</v>
      </c>
      <c r="L167" t="s">
        <v>208</v>
      </c>
      <c r="M167">
        <v>4.8388403799019599</v>
      </c>
      <c r="N167">
        <v>1.7128445177480813</v>
      </c>
      <c r="O167">
        <v>1.7128445177480813</v>
      </c>
      <c r="P167">
        <v>1.0905501601280416</v>
      </c>
      <c r="Q167">
        <v>0</v>
      </c>
      <c r="R167">
        <v>0</v>
      </c>
      <c r="S167">
        <v>0.46284451774808133</v>
      </c>
      <c r="T167">
        <v>0</v>
      </c>
      <c r="U167">
        <v>0</v>
      </c>
      <c r="V167">
        <v>0</v>
      </c>
      <c r="W167">
        <v>9.0550160128041624E-2</v>
      </c>
      <c r="X167">
        <v>0</v>
      </c>
      <c r="Y167">
        <v>0.15944983987195838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0.58382415311970315</v>
      </c>
      <c r="AL167">
        <v>0.58382415311970315</v>
      </c>
      <c r="AM167">
        <v>0.6366895236713106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0.3633104763286894</v>
      </c>
      <c r="AY167">
        <v>0</v>
      </c>
      <c r="AZ167">
        <v>0</v>
      </c>
      <c r="BA167">
        <v>0</v>
      </c>
      <c r="BB167">
        <v>0.58382415311970315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1.570624241205903</v>
      </c>
      <c r="BI167">
        <v>1.570624241205903</v>
      </c>
      <c r="BJ167">
        <v>0.91696836749131283</v>
      </c>
      <c r="CA167">
        <v>0</v>
      </c>
      <c r="CB167">
        <v>0</v>
      </c>
      <c r="CC167">
        <v>0</v>
      </c>
    </row>
    <row r="168" spans="1:82" hidden="1" x14ac:dyDescent="0.25">
      <c r="A168" t="s">
        <v>128</v>
      </c>
      <c r="B168" t="s">
        <v>503</v>
      </c>
      <c r="C168" t="s">
        <v>72</v>
      </c>
      <c r="D168" s="12">
        <v>46241</v>
      </c>
      <c r="E168" t="s">
        <v>133</v>
      </c>
      <c r="F168" t="s">
        <v>74</v>
      </c>
      <c r="G168">
        <v>3.8126545117428936</v>
      </c>
      <c r="H168">
        <v>7.6</v>
      </c>
      <c r="I168">
        <v>20</v>
      </c>
      <c r="J168">
        <v>7.6</v>
      </c>
      <c r="K168">
        <v>46241</v>
      </c>
      <c r="L168" t="s">
        <v>208</v>
      </c>
      <c r="M168">
        <v>3.0882352941176467</v>
      </c>
      <c r="N168">
        <v>1.9933618366395811</v>
      </c>
      <c r="O168">
        <v>1.9933618366395811</v>
      </c>
      <c r="P168">
        <v>0.8099961023496749</v>
      </c>
      <c r="Q168">
        <v>0</v>
      </c>
      <c r="R168">
        <v>0</v>
      </c>
      <c r="S168">
        <v>0.74336183663958111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0.25</v>
      </c>
      <c r="Z168">
        <v>0</v>
      </c>
      <c r="AA168">
        <v>0</v>
      </c>
      <c r="AB168">
        <v>0</v>
      </c>
      <c r="AC168">
        <v>0.1900038976503251</v>
      </c>
      <c r="AD168">
        <v>0</v>
      </c>
      <c r="AE168">
        <v>0.8099961023496749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0.50166506733459126</v>
      </c>
      <c r="AL168">
        <v>0.50166506733459126</v>
      </c>
      <c r="AM168">
        <v>0.40634674922600617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0.49833493266540874</v>
      </c>
      <c r="AY168">
        <v>0</v>
      </c>
      <c r="AZ168">
        <v>9.5318318108585098E-2</v>
      </c>
      <c r="BA168">
        <v>0</v>
      </c>
      <c r="BB168">
        <v>0.40634674922600617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2.460952380952381</v>
      </c>
      <c r="BI168">
        <v>2.460952380952381</v>
      </c>
      <c r="BJ168">
        <v>1.234573841897699</v>
      </c>
      <c r="CA168">
        <v>0</v>
      </c>
      <c r="CB168">
        <v>0</v>
      </c>
      <c r="CC168">
        <v>0</v>
      </c>
    </row>
    <row r="169" spans="1:82" hidden="1" x14ac:dyDescent="0.25">
      <c r="A169" t="s">
        <v>128</v>
      </c>
      <c r="B169" t="s">
        <v>372</v>
      </c>
      <c r="C169" t="s">
        <v>72</v>
      </c>
      <c r="D169" s="12">
        <v>46241</v>
      </c>
      <c r="E169" t="s">
        <v>133</v>
      </c>
      <c r="F169" t="s">
        <v>74</v>
      </c>
      <c r="G169">
        <v>4.2207252494765797</v>
      </c>
      <c r="H169">
        <v>3.8</v>
      </c>
      <c r="I169">
        <v>20</v>
      </c>
      <c r="J169">
        <v>3.8</v>
      </c>
      <c r="K169">
        <v>46241</v>
      </c>
      <c r="L169" t="s">
        <v>208</v>
      </c>
      <c r="M169">
        <v>4.6875</v>
      </c>
      <c r="N169">
        <v>0.90031920473175675</v>
      </c>
      <c r="O169">
        <v>0.90031920473175675</v>
      </c>
      <c r="P169">
        <v>1.1105911242579236</v>
      </c>
      <c r="Q169">
        <v>0.11059112425792361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9.968079526824325E-2</v>
      </c>
      <c r="AA169">
        <v>0</v>
      </c>
      <c r="AB169">
        <v>0</v>
      </c>
      <c r="AC169">
        <v>0</v>
      </c>
      <c r="AD169">
        <v>0</v>
      </c>
      <c r="AE169">
        <v>0.90031920473175675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1.1107171709148895</v>
      </c>
      <c r="AL169">
        <v>1.1107171709148895</v>
      </c>
      <c r="AM169">
        <v>1.2335526315789473</v>
      </c>
      <c r="AN169">
        <v>0.12283546066405782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0.11071717091488953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0.81066666666666665</v>
      </c>
      <c r="BI169">
        <v>0.81066666666666665</v>
      </c>
      <c r="BJ169">
        <v>0.9004213865550037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9.95786134449963E-2</v>
      </c>
      <c r="BV169">
        <v>0</v>
      </c>
      <c r="BW169">
        <v>0</v>
      </c>
      <c r="BX169">
        <v>0</v>
      </c>
      <c r="BY169">
        <v>0.81066666666666665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 hidden="1" x14ac:dyDescent="0.25">
      <c r="A170" t="s">
        <v>128</v>
      </c>
      <c r="B170" t="s">
        <v>503</v>
      </c>
      <c r="C170" t="s">
        <v>72</v>
      </c>
      <c r="D170" s="12">
        <v>46241</v>
      </c>
      <c r="E170" t="s">
        <v>133</v>
      </c>
      <c r="F170" t="s">
        <v>75</v>
      </c>
      <c r="G170">
        <v>7.4010352286773822</v>
      </c>
      <c r="H170">
        <v>20.9</v>
      </c>
      <c r="I170">
        <v>20</v>
      </c>
      <c r="J170">
        <v>20.9</v>
      </c>
      <c r="K170">
        <v>46241</v>
      </c>
      <c r="L170" t="s">
        <v>207</v>
      </c>
      <c r="M170">
        <v>6.2779411764705886</v>
      </c>
      <c r="N170">
        <v>2.8239292685727397</v>
      </c>
      <c r="O170">
        <v>2.8239292685727397</v>
      </c>
      <c r="P170">
        <v>0.84825176242168776</v>
      </c>
      <c r="Q170">
        <v>0</v>
      </c>
      <c r="R170">
        <v>0</v>
      </c>
      <c r="S170">
        <v>1.5739292685727397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0.25</v>
      </c>
      <c r="Z170">
        <v>0</v>
      </c>
      <c r="AA170">
        <v>0</v>
      </c>
      <c r="AB170">
        <v>0</v>
      </c>
      <c r="AC170">
        <v>0.15174823757831224</v>
      </c>
      <c r="AD170">
        <v>0</v>
      </c>
      <c r="AE170">
        <v>0.84825176242168776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0.35411651811853506</v>
      </c>
      <c r="AL170">
        <v>0.35411651811853506</v>
      </c>
      <c r="AM170">
        <v>0.30037996059667887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0.64588348188146494</v>
      </c>
      <c r="AY170">
        <v>0</v>
      </c>
      <c r="AZ170">
        <v>5.3736557521856188E-2</v>
      </c>
      <c r="BA170">
        <v>0</v>
      </c>
      <c r="BB170">
        <v>0.30037996059667887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3.3291168892012175</v>
      </c>
      <c r="BI170">
        <v>3.3291168892012175</v>
      </c>
      <c r="BJ170">
        <v>1.178895281213544</v>
      </c>
      <c r="CA170">
        <v>0</v>
      </c>
      <c r="CB170">
        <v>0</v>
      </c>
      <c r="CC170">
        <v>0</v>
      </c>
    </row>
    <row r="171" spans="1:82" hidden="1" x14ac:dyDescent="0.25">
      <c r="A171" t="s">
        <v>128</v>
      </c>
      <c r="B171" t="s">
        <v>372</v>
      </c>
      <c r="C171" t="s">
        <v>72</v>
      </c>
      <c r="D171" s="12">
        <v>46241</v>
      </c>
      <c r="E171" t="s">
        <v>133</v>
      </c>
      <c r="F171" t="s">
        <v>75</v>
      </c>
      <c r="G171">
        <v>11.026644714257564</v>
      </c>
      <c r="H171">
        <v>10.45</v>
      </c>
      <c r="I171">
        <v>20</v>
      </c>
      <c r="J171">
        <v>10.45</v>
      </c>
      <c r="K171">
        <v>46241</v>
      </c>
      <c r="L171" t="s">
        <v>207</v>
      </c>
      <c r="M171">
        <v>12.191176470588236</v>
      </c>
      <c r="N171">
        <v>0.94770442603342819</v>
      </c>
      <c r="O171">
        <v>0.94770442603342819</v>
      </c>
      <c r="P171">
        <v>1.1056107081082354</v>
      </c>
      <c r="Q171">
        <v>0.10561070810823536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5.2295573966571807E-2</v>
      </c>
      <c r="AA171">
        <v>0</v>
      </c>
      <c r="AB171">
        <v>0</v>
      </c>
      <c r="AC171">
        <v>0</v>
      </c>
      <c r="AD171">
        <v>0</v>
      </c>
      <c r="AE171">
        <v>0.94770442603342819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1.0551813123691449</v>
      </c>
      <c r="AL171">
        <v>1.0551813123691449</v>
      </c>
      <c r="AM171">
        <v>1.1666197579510273</v>
      </c>
      <c r="AN171">
        <v>0.11143844558188243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5.5181312369144919E-2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0.85717732207478881</v>
      </c>
      <c r="BI171">
        <v>0.85717732207478881</v>
      </c>
      <c r="BJ171">
        <v>0.90447749163994495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9.5522508360055047E-2</v>
      </c>
      <c r="BV171">
        <v>0</v>
      </c>
      <c r="BW171">
        <v>0</v>
      </c>
      <c r="BX171">
        <v>0</v>
      </c>
      <c r="BY171">
        <v>0.85717732207478881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hidden="1" x14ac:dyDescent="0.25">
      <c r="A172" t="s">
        <v>128</v>
      </c>
      <c r="B172" t="s">
        <v>502</v>
      </c>
      <c r="C172" t="s">
        <v>72</v>
      </c>
      <c r="D172" s="12">
        <v>46241</v>
      </c>
      <c r="E172" t="s">
        <v>133</v>
      </c>
      <c r="F172" t="s">
        <v>75</v>
      </c>
      <c r="G172">
        <v>8.1072272522103948</v>
      </c>
      <c r="H172">
        <v>20.9</v>
      </c>
      <c r="I172">
        <v>20</v>
      </c>
      <c r="J172">
        <v>20.9</v>
      </c>
      <c r="K172">
        <v>46241</v>
      </c>
      <c r="L172" t="s">
        <v>207</v>
      </c>
      <c r="M172">
        <v>9.8236136642156868</v>
      </c>
      <c r="N172">
        <v>2.5779467319485487</v>
      </c>
      <c r="O172">
        <v>2.5779467319485487</v>
      </c>
      <c r="P172">
        <v>1.2117106574923415</v>
      </c>
      <c r="Q172">
        <v>0</v>
      </c>
      <c r="R172">
        <v>0</v>
      </c>
      <c r="S172">
        <v>1.3279467319485487</v>
      </c>
      <c r="T172">
        <v>0</v>
      </c>
      <c r="U172">
        <v>0</v>
      </c>
      <c r="V172">
        <v>0</v>
      </c>
      <c r="W172">
        <v>0.21171065749234153</v>
      </c>
      <c r="X172">
        <v>0</v>
      </c>
      <c r="Y172">
        <v>3.8289342507658475E-2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0.38790561015360742</v>
      </c>
      <c r="AL172">
        <v>0.38790561015360742</v>
      </c>
      <c r="AM172">
        <v>0.47002936192419559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0.52997063807580447</v>
      </c>
      <c r="AY172">
        <v>0</v>
      </c>
      <c r="AZ172">
        <v>0</v>
      </c>
      <c r="BA172">
        <v>0</v>
      </c>
      <c r="BB172">
        <v>0.38790561015360742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2.1275266632412548</v>
      </c>
      <c r="BI172">
        <v>2.1275266632412548</v>
      </c>
      <c r="BJ172">
        <v>0.8252795284226675</v>
      </c>
      <c r="CA172">
        <v>0</v>
      </c>
      <c r="CB172">
        <v>0</v>
      </c>
      <c r="CC172">
        <v>0</v>
      </c>
    </row>
    <row r="173" spans="1:82" hidden="1" x14ac:dyDescent="0.25">
      <c r="A173" t="s">
        <v>128</v>
      </c>
      <c r="B173" t="s">
        <v>503</v>
      </c>
      <c r="C173" t="s">
        <v>72</v>
      </c>
      <c r="D173" s="12">
        <v>46242</v>
      </c>
      <c r="E173" t="s">
        <v>133</v>
      </c>
      <c r="F173" t="s">
        <v>73</v>
      </c>
      <c r="G173">
        <v>9.36343093325093</v>
      </c>
      <c r="H173">
        <v>30.4</v>
      </c>
      <c r="I173">
        <v>20</v>
      </c>
      <c r="J173">
        <v>30.4</v>
      </c>
      <c r="K173">
        <v>46242</v>
      </c>
      <c r="L173" t="s">
        <v>206</v>
      </c>
      <c r="M173">
        <v>9.258823529411762</v>
      </c>
      <c r="N173">
        <v>3.2466731710536889</v>
      </c>
      <c r="O173">
        <v>3.2466731710536889</v>
      </c>
      <c r="P173">
        <v>0.98882809040992747</v>
      </c>
      <c r="Q173">
        <v>0</v>
      </c>
      <c r="R173">
        <v>0</v>
      </c>
      <c r="S173">
        <v>1.9966731710536889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0.25</v>
      </c>
      <c r="Z173">
        <v>0</v>
      </c>
      <c r="AA173">
        <v>0</v>
      </c>
      <c r="AB173">
        <v>0</v>
      </c>
      <c r="AC173">
        <v>1.1171909590072526E-2</v>
      </c>
      <c r="AD173">
        <v>0</v>
      </c>
      <c r="AE173">
        <v>0.98882809040992747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0.30800759648851744</v>
      </c>
      <c r="AL173">
        <v>0.30800759648851744</v>
      </c>
      <c r="AM173">
        <v>0.30456656346749217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0.69199240351148261</v>
      </c>
      <c r="AY173">
        <v>0</v>
      </c>
      <c r="AZ173">
        <v>3.4410330210252749E-3</v>
      </c>
      <c r="BA173">
        <v>0</v>
      </c>
      <c r="BB173">
        <v>0.30456656346749217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3.2833545108005091</v>
      </c>
      <c r="BI173">
        <v>3.2833545108005091</v>
      </c>
      <c r="BJ173">
        <v>1.0112981312913969</v>
      </c>
      <c r="CA173">
        <v>0</v>
      </c>
      <c r="CB173">
        <v>0</v>
      </c>
      <c r="CC173">
        <v>0</v>
      </c>
    </row>
    <row r="174" spans="1:82" hidden="1" x14ac:dyDescent="0.25">
      <c r="A174" t="s">
        <v>128</v>
      </c>
      <c r="B174" t="s">
        <v>372</v>
      </c>
      <c r="C174" t="s">
        <v>72</v>
      </c>
      <c r="D174" s="12">
        <v>46242</v>
      </c>
      <c r="E174" t="s">
        <v>133</v>
      </c>
      <c r="F174" t="s">
        <v>73</v>
      </c>
      <c r="G174">
        <v>11.026644714257564</v>
      </c>
      <c r="H174">
        <v>10.45</v>
      </c>
      <c r="I174">
        <v>20</v>
      </c>
      <c r="J174">
        <v>10.45</v>
      </c>
      <c r="K174">
        <v>46242</v>
      </c>
      <c r="L174" t="s">
        <v>206</v>
      </c>
      <c r="M174">
        <v>12.191176470588236</v>
      </c>
      <c r="N174">
        <v>0.94770442603342819</v>
      </c>
      <c r="O174">
        <v>0.94770442603342819</v>
      </c>
      <c r="P174">
        <v>1.1056107081082354</v>
      </c>
      <c r="Q174">
        <v>0.10561070810823536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5.2295573966571807E-2</v>
      </c>
      <c r="AA174">
        <v>0</v>
      </c>
      <c r="AB174">
        <v>0</v>
      </c>
      <c r="AC174">
        <v>0</v>
      </c>
      <c r="AD174">
        <v>0</v>
      </c>
      <c r="AE174">
        <v>0.94770442603342819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1.0551813123691449</v>
      </c>
      <c r="AL174">
        <v>1.0551813123691449</v>
      </c>
      <c r="AM174">
        <v>1.1666197579510273</v>
      </c>
      <c r="AN174">
        <v>0.11143844558188243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5.5181312369144919E-2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0.85717732207478881</v>
      </c>
      <c r="BI174">
        <v>0.85717732207478881</v>
      </c>
      <c r="BJ174">
        <v>0.90447749163994495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9.5522508360055047E-2</v>
      </c>
      <c r="BV174">
        <v>0</v>
      </c>
      <c r="BW174">
        <v>0</v>
      </c>
      <c r="BX174">
        <v>0</v>
      </c>
      <c r="BY174">
        <v>0.85717732207478881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 hidden="1" x14ac:dyDescent="0.25">
      <c r="A175" t="s">
        <v>128</v>
      </c>
      <c r="B175" t="s">
        <v>502</v>
      </c>
      <c r="C175" t="s">
        <v>72</v>
      </c>
      <c r="D175" s="12">
        <v>46242</v>
      </c>
      <c r="E175" t="s">
        <v>133</v>
      </c>
      <c r="F175" t="s">
        <v>73</v>
      </c>
      <c r="G175">
        <v>9.9149198152032554</v>
      </c>
      <c r="H175">
        <v>30.4</v>
      </c>
      <c r="I175">
        <v>20</v>
      </c>
      <c r="J175">
        <v>30.4</v>
      </c>
      <c r="K175">
        <v>46242</v>
      </c>
      <c r="L175" t="s">
        <v>206</v>
      </c>
      <c r="M175">
        <v>11.024687062324928</v>
      </c>
      <c r="N175">
        <v>3.0660863190628636</v>
      </c>
      <c r="O175">
        <v>3.0660863190628636</v>
      </c>
      <c r="P175">
        <v>1.1119290188731519</v>
      </c>
      <c r="Q175">
        <v>0</v>
      </c>
      <c r="R175">
        <v>0</v>
      </c>
      <c r="S175">
        <v>1.8160863190628636</v>
      </c>
      <c r="T175">
        <v>0</v>
      </c>
      <c r="U175">
        <v>0</v>
      </c>
      <c r="V175">
        <v>0</v>
      </c>
      <c r="W175">
        <v>0.11192901887315188</v>
      </c>
      <c r="X175">
        <v>0</v>
      </c>
      <c r="Y175">
        <v>0.13807098112684812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0.32614867813168602</v>
      </c>
      <c r="AL175">
        <v>0.32614867813168602</v>
      </c>
      <c r="AM175">
        <v>0.36265417968174107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0.63734582031825893</v>
      </c>
      <c r="AY175">
        <v>0</v>
      </c>
      <c r="AZ175">
        <v>0</v>
      </c>
      <c r="BA175">
        <v>0</v>
      </c>
      <c r="BB175">
        <v>0.32614867813168602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2.7574478829323916</v>
      </c>
      <c r="BI175">
        <v>2.7574478829323916</v>
      </c>
      <c r="BJ175">
        <v>0.89933798203541571</v>
      </c>
      <c r="CA175">
        <v>0</v>
      </c>
      <c r="CB175">
        <v>0</v>
      </c>
      <c r="CC175">
        <v>0</v>
      </c>
    </row>
    <row r="176" spans="1:82" hidden="1" x14ac:dyDescent="0.25">
      <c r="A176" t="s">
        <v>128</v>
      </c>
      <c r="B176" t="s">
        <v>372</v>
      </c>
      <c r="C176" t="s">
        <v>72</v>
      </c>
      <c r="D176" s="12">
        <v>46242</v>
      </c>
      <c r="E176" t="s">
        <v>133</v>
      </c>
      <c r="F176" t="s">
        <v>74</v>
      </c>
      <c r="G176">
        <v>4.2207252494765797</v>
      </c>
      <c r="H176">
        <v>3.8</v>
      </c>
      <c r="I176">
        <v>20</v>
      </c>
      <c r="J176">
        <v>3.8</v>
      </c>
      <c r="K176">
        <v>46242</v>
      </c>
      <c r="L176" t="s">
        <v>205</v>
      </c>
      <c r="M176">
        <v>4.6875</v>
      </c>
      <c r="N176">
        <v>0.90031920473175675</v>
      </c>
      <c r="O176">
        <v>0.90031920473175675</v>
      </c>
      <c r="P176">
        <v>1.1105911242579236</v>
      </c>
      <c r="Q176">
        <v>0.11059112425792361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9.968079526824325E-2</v>
      </c>
      <c r="AA176">
        <v>0</v>
      </c>
      <c r="AB176">
        <v>0</v>
      </c>
      <c r="AC176">
        <v>0</v>
      </c>
      <c r="AD176">
        <v>0</v>
      </c>
      <c r="AE176">
        <v>0.90031920473175675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1.1107171709148895</v>
      </c>
      <c r="AL176">
        <v>1.1107171709148895</v>
      </c>
      <c r="AM176">
        <v>1.2335526315789473</v>
      </c>
      <c r="AN176">
        <v>0.12283546066405782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0.11071717091488953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0.81066666666666665</v>
      </c>
      <c r="BI176">
        <v>0.81066666666666665</v>
      </c>
      <c r="BJ176">
        <v>0.9004213865550037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9.95786134449963E-2</v>
      </c>
      <c r="BV176">
        <v>0</v>
      </c>
      <c r="BW176">
        <v>0</v>
      </c>
      <c r="BX176">
        <v>0</v>
      </c>
      <c r="BY176">
        <v>0.81066666666666665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hidden="1" x14ac:dyDescent="0.25">
      <c r="A177" t="s">
        <v>128</v>
      </c>
      <c r="B177" t="s">
        <v>502</v>
      </c>
      <c r="C177" t="s">
        <v>72</v>
      </c>
      <c r="D177" s="12">
        <v>46242</v>
      </c>
      <c r="E177" t="s">
        <v>133</v>
      </c>
      <c r="F177" t="s">
        <v>74</v>
      </c>
      <c r="G177">
        <v>4.437063563709744</v>
      </c>
      <c r="H177">
        <v>7.6</v>
      </c>
      <c r="I177">
        <v>20</v>
      </c>
      <c r="J177">
        <v>7.6</v>
      </c>
      <c r="K177">
        <v>46242</v>
      </c>
      <c r="L177" t="s">
        <v>205</v>
      </c>
      <c r="M177">
        <v>4.8388403799019599</v>
      </c>
      <c r="N177">
        <v>1.7128445177480813</v>
      </c>
      <c r="O177">
        <v>1.7128445177480813</v>
      </c>
      <c r="P177">
        <v>1.0905501601280416</v>
      </c>
      <c r="Q177">
        <v>0</v>
      </c>
      <c r="R177">
        <v>0</v>
      </c>
      <c r="S177">
        <v>0.46284451774808133</v>
      </c>
      <c r="T177">
        <v>0</v>
      </c>
      <c r="U177">
        <v>0</v>
      </c>
      <c r="V177">
        <v>0</v>
      </c>
      <c r="W177">
        <v>9.0550160128041624E-2</v>
      </c>
      <c r="X177">
        <v>0</v>
      </c>
      <c r="Y177">
        <v>0.15944983987195838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0.58382415311970315</v>
      </c>
      <c r="AL177">
        <v>0.58382415311970315</v>
      </c>
      <c r="AM177">
        <v>0.6366895236713106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0.3633104763286894</v>
      </c>
      <c r="AY177">
        <v>0</v>
      </c>
      <c r="AZ177">
        <v>0</v>
      </c>
      <c r="BA177">
        <v>0</v>
      </c>
      <c r="BB177">
        <v>0.58382415311970315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1.570624241205903</v>
      </c>
      <c r="BI177">
        <v>1.570624241205903</v>
      </c>
      <c r="BJ177">
        <v>0.91696836749131283</v>
      </c>
      <c r="CA177">
        <v>0</v>
      </c>
      <c r="CB177">
        <v>0</v>
      </c>
      <c r="CC177">
        <v>0</v>
      </c>
    </row>
    <row r="178" spans="1:82" hidden="1" x14ac:dyDescent="0.25">
      <c r="A178" t="s">
        <v>128</v>
      </c>
      <c r="B178" t="s">
        <v>503</v>
      </c>
      <c r="C178" t="s">
        <v>72</v>
      </c>
      <c r="D178" s="12">
        <v>46242</v>
      </c>
      <c r="E178" t="s">
        <v>133</v>
      </c>
      <c r="F178" t="s">
        <v>74</v>
      </c>
      <c r="G178">
        <v>3.8126545117428936</v>
      </c>
      <c r="H178">
        <v>7.6</v>
      </c>
      <c r="I178">
        <v>20</v>
      </c>
      <c r="J178">
        <v>7.6</v>
      </c>
      <c r="K178">
        <v>46242</v>
      </c>
      <c r="L178" t="s">
        <v>205</v>
      </c>
      <c r="M178">
        <v>4.1764705882352935</v>
      </c>
      <c r="N178">
        <v>1.9933618366395811</v>
      </c>
      <c r="O178">
        <v>1.9933618366395811</v>
      </c>
      <c r="P178">
        <v>1.0954233003205127</v>
      </c>
      <c r="Q178">
        <v>0</v>
      </c>
      <c r="R178">
        <v>0</v>
      </c>
      <c r="S178">
        <v>0.74336183663958111</v>
      </c>
      <c r="T178">
        <v>0</v>
      </c>
      <c r="U178">
        <v>0</v>
      </c>
      <c r="V178">
        <v>0</v>
      </c>
      <c r="W178">
        <v>9.5423300320512716E-2</v>
      </c>
      <c r="X178">
        <v>0</v>
      </c>
      <c r="Y178">
        <v>0.15457669967948728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0.50166506733459126</v>
      </c>
      <c r="AL178">
        <v>0.50166506733459126</v>
      </c>
      <c r="AM178">
        <v>0.54953560371517018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0.45046439628482982</v>
      </c>
      <c r="AY178">
        <v>0</v>
      </c>
      <c r="AZ178">
        <v>0</v>
      </c>
      <c r="BA178">
        <v>0</v>
      </c>
      <c r="BB178">
        <v>0.50166506733459126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1.8197183098591552</v>
      </c>
      <c r="BI178">
        <v>1.8197183098591552</v>
      </c>
      <c r="BJ178">
        <v>0.91288910844548166</v>
      </c>
      <c r="CA178">
        <v>0</v>
      </c>
      <c r="CB178">
        <v>0</v>
      </c>
      <c r="CC178">
        <v>0</v>
      </c>
    </row>
    <row r="179" spans="1:82" hidden="1" x14ac:dyDescent="0.25">
      <c r="A179" t="s">
        <v>128</v>
      </c>
      <c r="B179" t="s">
        <v>372</v>
      </c>
      <c r="C179" t="s">
        <v>72</v>
      </c>
      <c r="D179" s="12">
        <v>46242</v>
      </c>
      <c r="E179" t="s">
        <v>133</v>
      </c>
      <c r="F179" t="s">
        <v>75</v>
      </c>
      <c r="G179">
        <v>10.973885648639106</v>
      </c>
      <c r="H179">
        <v>10.45</v>
      </c>
      <c r="I179">
        <v>20</v>
      </c>
      <c r="J179">
        <v>10.45</v>
      </c>
      <c r="K179">
        <v>46242</v>
      </c>
      <c r="L179" t="s">
        <v>204</v>
      </c>
      <c r="M179">
        <v>12.246323529411764</v>
      </c>
      <c r="N179">
        <v>0.95226069731243512</v>
      </c>
      <c r="O179">
        <v>0.95226069731243512</v>
      </c>
      <c r="P179">
        <v>1.1159514434096967</v>
      </c>
      <c r="Q179">
        <v>0.11595144340969665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4.7739302687564877E-2</v>
      </c>
      <c r="AA179">
        <v>0</v>
      </c>
      <c r="AB179">
        <v>0</v>
      </c>
      <c r="AC179">
        <v>0</v>
      </c>
      <c r="AD179">
        <v>0</v>
      </c>
      <c r="AE179">
        <v>0.95226069731243512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1.0501325979558953</v>
      </c>
      <c r="AL179">
        <v>1.0501325979558953</v>
      </c>
      <c r="AM179">
        <v>1.171896988460456</v>
      </c>
      <c r="AN179">
        <v>0.12176439050456067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5.0132597955895308E-2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0.85331732212548783</v>
      </c>
      <c r="BI179">
        <v>0.85331732212548783</v>
      </c>
      <c r="BJ179">
        <v>0.89609633636440611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0.10390366363559389</v>
      </c>
      <c r="BV179">
        <v>0</v>
      </c>
      <c r="BW179">
        <v>0</v>
      </c>
      <c r="BX179">
        <v>0</v>
      </c>
      <c r="BY179">
        <v>0.85331732212548783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 hidden="1" x14ac:dyDescent="0.25">
      <c r="A180" t="s">
        <v>128</v>
      </c>
      <c r="B180" t="s">
        <v>502</v>
      </c>
      <c r="C180" t="s">
        <v>72</v>
      </c>
      <c r="D180" s="12">
        <v>46242</v>
      </c>
      <c r="E180" t="s">
        <v>133</v>
      </c>
      <c r="F180" t="s">
        <v>75</v>
      </c>
      <c r="G180">
        <v>8.1620058147253296</v>
      </c>
      <c r="H180">
        <v>20.9</v>
      </c>
      <c r="I180">
        <v>20</v>
      </c>
      <c r="J180">
        <v>20.9</v>
      </c>
      <c r="K180">
        <v>46242</v>
      </c>
      <c r="L180" t="s">
        <v>204</v>
      </c>
      <c r="M180">
        <v>10.386472557773107</v>
      </c>
      <c r="N180">
        <v>2.5606450760294308</v>
      </c>
      <c r="O180">
        <v>2.5606450760294308</v>
      </c>
      <c r="P180">
        <v>1.2725392254725607</v>
      </c>
      <c r="Q180">
        <v>0</v>
      </c>
      <c r="R180">
        <v>0</v>
      </c>
      <c r="S180">
        <v>1.2881058505568701</v>
      </c>
      <c r="T180">
        <v>0</v>
      </c>
      <c r="U180">
        <v>2.2539225472560709E-2</v>
      </c>
      <c r="V180">
        <v>0</v>
      </c>
      <c r="W180">
        <v>0.25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0.39052659400599665</v>
      </c>
      <c r="AL180">
        <v>0.39052659400599665</v>
      </c>
      <c r="AM180">
        <v>0.4969604094628281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0.50303959053717184</v>
      </c>
      <c r="AY180">
        <v>0</v>
      </c>
      <c r="AZ180">
        <v>0</v>
      </c>
      <c r="BA180">
        <v>0</v>
      </c>
      <c r="BB180">
        <v>0.39052659400599665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2.0122327271118334</v>
      </c>
      <c r="BI180">
        <v>2.0122327271118334</v>
      </c>
      <c r="BJ180">
        <v>0.78583039326638238</v>
      </c>
      <c r="CA180">
        <v>0</v>
      </c>
      <c r="CB180">
        <v>0</v>
      </c>
      <c r="CC180">
        <v>0</v>
      </c>
    </row>
    <row r="181" spans="1:82" hidden="1" x14ac:dyDescent="0.25">
      <c r="A181" t="s">
        <v>128</v>
      </c>
      <c r="B181" t="s">
        <v>503</v>
      </c>
      <c r="C181" t="s">
        <v>72</v>
      </c>
      <c r="D181" s="12">
        <v>46242</v>
      </c>
      <c r="E181" t="s">
        <v>133</v>
      </c>
      <c r="F181" t="s">
        <v>75</v>
      </c>
      <c r="G181">
        <v>7.4010352286773822</v>
      </c>
      <c r="H181">
        <v>20.9</v>
      </c>
      <c r="I181">
        <v>20</v>
      </c>
      <c r="J181">
        <v>20.9</v>
      </c>
      <c r="K181">
        <v>46242</v>
      </c>
      <c r="L181" t="s">
        <v>204</v>
      </c>
      <c r="M181">
        <v>7.2926470588235297</v>
      </c>
      <c r="N181">
        <v>2.8239292685727397</v>
      </c>
      <c r="O181">
        <v>2.8239292685727397</v>
      </c>
      <c r="P181">
        <v>0.98535499879342936</v>
      </c>
      <c r="Q181">
        <v>0</v>
      </c>
      <c r="R181">
        <v>0</v>
      </c>
      <c r="S181">
        <v>1.5739292685727397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0.25</v>
      </c>
      <c r="Z181">
        <v>0</v>
      </c>
      <c r="AA181">
        <v>0</v>
      </c>
      <c r="AB181">
        <v>0</v>
      </c>
      <c r="AC181">
        <v>1.464500120657064E-2</v>
      </c>
      <c r="AD181">
        <v>0</v>
      </c>
      <c r="AE181">
        <v>0.98535499879342936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0.35411651811853506</v>
      </c>
      <c r="AL181">
        <v>0.35411651811853506</v>
      </c>
      <c r="AM181">
        <v>0.34893048128342252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0.64588348188146494</v>
      </c>
      <c r="AY181">
        <v>0</v>
      </c>
      <c r="AZ181">
        <v>5.1860368351125397E-3</v>
      </c>
      <c r="BA181">
        <v>0</v>
      </c>
      <c r="BB181">
        <v>0.34893048128342252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2.8659003831417622</v>
      </c>
      <c r="BI181">
        <v>2.8659003831417622</v>
      </c>
      <c r="BJ181">
        <v>1.0148626649527364</v>
      </c>
      <c r="CA181">
        <v>0</v>
      </c>
      <c r="CB181">
        <v>0</v>
      </c>
      <c r="CC181">
        <v>0</v>
      </c>
    </row>
    <row r="182" spans="1:82" hidden="1" x14ac:dyDescent="0.25">
      <c r="A182" t="s">
        <v>128</v>
      </c>
      <c r="B182" t="s">
        <v>502</v>
      </c>
      <c r="C182" t="s">
        <v>72</v>
      </c>
      <c r="D182" s="12">
        <v>46243</v>
      </c>
      <c r="E182" t="s">
        <v>133</v>
      </c>
      <c r="F182" t="s">
        <v>73</v>
      </c>
      <c r="G182">
        <v>9.9149198152032554</v>
      </c>
      <c r="H182">
        <v>20.9</v>
      </c>
      <c r="I182">
        <v>20</v>
      </c>
      <c r="J182">
        <v>20.9</v>
      </c>
      <c r="K182">
        <v>46243</v>
      </c>
      <c r="L182" t="s">
        <v>203</v>
      </c>
      <c r="M182">
        <v>12.731878063725487</v>
      </c>
      <c r="N182">
        <v>2.1079343443557188</v>
      </c>
      <c r="O182">
        <v>2.1079343443557188</v>
      </c>
      <c r="P182">
        <v>1.2841130640514902</v>
      </c>
      <c r="Q182">
        <v>0</v>
      </c>
      <c r="R182">
        <v>0</v>
      </c>
      <c r="S182">
        <v>0.82382128030422863</v>
      </c>
      <c r="T182">
        <v>0</v>
      </c>
      <c r="U182">
        <v>3.4113064051490172E-2</v>
      </c>
      <c r="V182">
        <v>0</v>
      </c>
      <c r="W182">
        <v>0.25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0.47439807728245242</v>
      </c>
      <c r="AL182">
        <v>0.47439807728245242</v>
      </c>
      <c r="AM182">
        <v>0.6091807685993057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0.3908192314006943</v>
      </c>
      <c r="AY182">
        <v>0</v>
      </c>
      <c r="AZ182">
        <v>0</v>
      </c>
      <c r="BA182">
        <v>0</v>
      </c>
      <c r="BB182">
        <v>0.47439807728245242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1.6415488661917352</v>
      </c>
      <c r="BI182">
        <v>1.6415488661917352</v>
      </c>
      <c r="BJ182">
        <v>0.778747625886549</v>
      </c>
      <c r="CA182">
        <v>0</v>
      </c>
      <c r="CB182">
        <v>0</v>
      </c>
      <c r="CC182">
        <v>0</v>
      </c>
    </row>
    <row r="183" spans="1:82" hidden="1" x14ac:dyDescent="0.25">
      <c r="A183" t="s">
        <v>128</v>
      </c>
      <c r="B183" t="s">
        <v>503</v>
      </c>
      <c r="C183" t="s">
        <v>72</v>
      </c>
      <c r="D183" s="12">
        <v>46243</v>
      </c>
      <c r="E183" t="s">
        <v>133</v>
      </c>
      <c r="F183" t="s">
        <v>73</v>
      </c>
      <c r="G183">
        <v>9.4755678306551339</v>
      </c>
      <c r="H183">
        <v>20.9</v>
      </c>
      <c r="I183">
        <v>20</v>
      </c>
      <c r="J183">
        <v>20.9</v>
      </c>
      <c r="K183">
        <v>46243</v>
      </c>
      <c r="L183" t="s">
        <v>203</v>
      </c>
      <c r="M183">
        <v>8.582352941176465</v>
      </c>
      <c r="N183">
        <v>2.2056725648023763</v>
      </c>
      <c r="O183">
        <v>2.2056725648023763</v>
      </c>
      <c r="P183">
        <v>0.90573494850736425</v>
      </c>
      <c r="Q183">
        <v>0</v>
      </c>
      <c r="R183">
        <v>0</v>
      </c>
      <c r="S183">
        <v>0.95567256480237628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0.25</v>
      </c>
      <c r="Z183">
        <v>0</v>
      </c>
      <c r="AA183">
        <v>0</v>
      </c>
      <c r="AB183">
        <v>0</v>
      </c>
      <c r="AC183">
        <v>9.4265051492635754E-2</v>
      </c>
      <c r="AD183">
        <v>0</v>
      </c>
      <c r="AE183">
        <v>0.90573494850736425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0.45337645122751841</v>
      </c>
      <c r="AL183">
        <v>0.45337645122751841</v>
      </c>
      <c r="AM183">
        <v>0.41063889670700793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0.54662354877248154</v>
      </c>
      <c r="AY183">
        <v>0</v>
      </c>
      <c r="AZ183">
        <v>4.2737554520510479E-2</v>
      </c>
      <c r="BA183">
        <v>0</v>
      </c>
      <c r="BB183">
        <v>0.41063889670700793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2.4352296093214543</v>
      </c>
      <c r="BI183">
        <v>2.4352296093214543</v>
      </c>
      <c r="BJ183">
        <v>1.1040757581983371</v>
      </c>
      <c r="CA183">
        <v>0</v>
      </c>
      <c r="CB183">
        <v>0</v>
      </c>
      <c r="CC183">
        <v>0</v>
      </c>
    </row>
    <row r="184" spans="1:82" hidden="1" x14ac:dyDescent="0.25">
      <c r="A184" t="s">
        <v>128</v>
      </c>
      <c r="B184" t="s">
        <v>372</v>
      </c>
      <c r="C184" t="s">
        <v>72</v>
      </c>
      <c r="D184" s="12">
        <v>46243</v>
      </c>
      <c r="E184" t="s">
        <v>133</v>
      </c>
      <c r="F184" t="s">
        <v>73</v>
      </c>
      <c r="G184">
        <v>10.973885648639106</v>
      </c>
      <c r="H184">
        <v>10.45</v>
      </c>
      <c r="I184">
        <v>20</v>
      </c>
      <c r="J184">
        <v>10.45</v>
      </c>
      <c r="K184">
        <v>46243</v>
      </c>
      <c r="L184" t="s">
        <v>203</v>
      </c>
      <c r="M184">
        <v>12.1875</v>
      </c>
      <c r="N184">
        <v>0.95226069731243512</v>
      </c>
      <c r="O184">
        <v>0.95226069731243512</v>
      </c>
      <c r="P184">
        <v>1.1105911242579238</v>
      </c>
      <c r="Q184">
        <v>0.11059112425792383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4.7739302687564877E-2</v>
      </c>
      <c r="AA184">
        <v>0</v>
      </c>
      <c r="AB184">
        <v>0</v>
      </c>
      <c r="AC184">
        <v>0</v>
      </c>
      <c r="AD184">
        <v>0</v>
      </c>
      <c r="AE184">
        <v>0.95226069731243512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1.0501325979558953</v>
      </c>
      <c r="AL184">
        <v>1.0501325979558953</v>
      </c>
      <c r="AM184">
        <v>1.1662679425837321</v>
      </c>
      <c r="AN184">
        <v>0.11613534462783681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5.0132597955895308E-2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0.85743589743589743</v>
      </c>
      <c r="BI184">
        <v>0.85743589743589743</v>
      </c>
      <c r="BJ184">
        <v>0.90042138655500359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9.9578613444996411E-2</v>
      </c>
      <c r="BV184">
        <v>0</v>
      </c>
      <c r="BW184">
        <v>0</v>
      </c>
      <c r="BX184">
        <v>0</v>
      </c>
      <c r="BY184">
        <v>0.85743589743589743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 hidden="1" x14ac:dyDescent="0.25">
      <c r="A185" t="s">
        <v>128</v>
      </c>
      <c r="B185" t="s">
        <v>502</v>
      </c>
      <c r="C185" t="s">
        <v>72</v>
      </c>
      <c r="D185" s="12">
        <v>46243</v>
      </c>
      <c r="E185" t="s">
        <v>133</v>
      </c>
      <c r="F185" t="s">
        <v>74</v>
      </c>
      <c r="G185">
        <v>4.437063563709744</v>
      </c>
      <c r="H185">
        <v>7.6</v>
      </c>
      <c r="I185">
        <v>20</v>
      </c>
      <c r="J185">
        <v>7.6</v>
      </c>
      <c r="K185">
        <v>46243</v>
      </c>
      <c r="L185" t="s">
        <v>211</v>
      </c>
      <c r="M185">
        <v>4.8388403799019599</v>
      </c>
      <c r="N185">
        <v>1.7128445177480813</v>
      </c>
      <c r="O185">
        <v>1.7128445177480813</v>
      </c>
      <c r="P185">
        <v>1.0905501601280416</v>
      </c>
      <c r="Q185">
        <v>0</v>
      </c>
      <c r="R185">
        <v>0</v>
      </c>
      <c r="S185">
        <v>0.46284451774808133</v>
      </c>
      <c r="T185">
        <v>0</v>
      </c>
      <c r="U185">
        <v>0</v>
      </c>
      <c r="V185">
        <v>0</v>
      </c>
      <c r="W185">
        <v>9.0550160128041624E-2</v>
      </c>
      <c r="X185">
        <v>0</v>
      </c>
      <c r="Y185">
        <v>0.15944983987195838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0.58382415311970315</v>
      </c>
      <c r="AL185">
        <v>0.58382415311970315</v>
      </c>
      <c r="AM185">
        <v>0.6366895236713106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0.3633104763286894</v>
      </c>
      <c r="AY185">
        <v>0</v>
      </c>
      <c r="AZ185">
        <v>0</v>
      </c>
      <c r="BA185">
        <v>0</v>
      </c>
      <c r="BB185">
        <v>0.58382415311970315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1.570624241205903</v>
      </c>
      <c r="BI185">
        <v>1.570624241205903</v>
      </c>
      <c r="BJ185">
        <v>0.91696836749131283</v>
      </c>
      <c r="CA185">
        <v>0</v>
      </c>
      <c r="CB185">
        <v>0</v>
      </c>
      <c r="CC185">
        <v>0</v>
      </c>
    </row>
    <row r="186" spans="1:82" hidden="1" x14ac:dyDescent="0.25">
      <c r="A186" t="s">
        <v>128</v>
      </c>
      <c r="B186" t="s">
        <v>372</v>
      </c>
      <c r="C186" t="s">
        <v>72</v>
      </c>
      <c r="D186" s="12">
        <v>46243</v>
      </c>
      <c r="E186" t="s">
        <v>133</v>
      </c>
      <c r="F186" t="s">
        <v>74</v>
      </c>
      <c r="G186">
        <v>4.2207252494765797</v>
      </c>
      <c r="H186">
        <v>3.8</v>
      </c>
      <c r="I186">
        <v>20</v>
      </c>
      <c r="J186">
        <v>3.8</v>
      </c>
      <c r="K186">
        <v>46243</v>
      </c>
      <c r="L186" t="s">
        <v>211</v>
      </c>
      <c r="M186">
        <v>4.6875</v>
      </c>
      <c r="N186">
        <v>0.90031920473175675</v>
      </c>
      <c r="O186">
        <v>0.90031920473175675</v>
      </c>
      <c r="P186">
        <v>1.1105911242579236</v>
      </c>
      <c r="Q186">
        <v>0.11059112425792361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9.968079526824325E-2</v>
      </c>
      <c r="AA186">
        <v>0</v>
      </c>
      <c r="AB186">
        <v>0</v>
      </c>
      <c r="AC186">
        <v>0</v>
      </c>
      <c r="AD186">
        <v>0</v>
      </c>
      <c r="AE186">
        <v>0.90031920473175675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1.1107171709148895</v>
      </c>
      <c r="AL186">
        <v>1.1107171709148895</v>
      </c>
      <c r="AM186">
        <v>1.2335526315789473</v>
      </c>
      <c r="AN186">
        <v>0.12283546066405782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0.11071717091488953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0.81066666666666665</v>
      </c>
      <c r="BI186">
        <v>0.81066666666666665</v>
      </c>
      <c r="BJ186">
        <v>0.9004213865550037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9.95786134449963E-2</v>
      </c>
      <c r="BV186">
        <v>0</v>
      </c>
      <c r="BW186">
        <v>0</v>
      </c>
      <c r="BX186">
        <v>0</v>
      </c>
      <c r="BY186">
        <v>0.81066666666666665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 hidden="1" x14ac:dyDescent="0.25">
      <c r="A187" t="s">
        <v>128</v>
      </c>
      <c r="B187" t="s">
        <v>503</v>
      </c>
      <c r="C187" t="s">
        <v>72</v>
      </c>
      <c r="D187" s="12">
        <v>46243</v>
      </c>
      <c r="E187" t="s">
        <v>133</v>
      </c>
      <c r="F187" t="s">
        <v>74</v>
      </c>
      <c r="G187">
        <v>3.8126545117428936</v>
      </c>
      <c r="H187">
        <v>7.6</v>
      </c>
      <c r="I187">
        <v>20</v>
      </c>
      <c r="J187">
        <v>7.6</v>
      </c>
      <c r="K187">
        <v>46243</v>
      </c>
      <c r="L187" t="s">
        <v>211</v>
      </c>
      <c r="M187">
        <v>4.0588235294117636</v>
      </c>
      <c r="N187">
        <v>1.9933618366395811</v>
      </c>
      <c r="O187">
        <v>1.9933618366395811</v>
      </c>
      <c r="P187">
        <v>1.0645663059452868</v>
      </c>
      <c r="Q187">
        <v>0</v>
      </c>
      <c r="R187">
        <v>0</v>
      </c>
      <c r="S187">
        <v>0.74336183663958111</v>
      </c>
      <c r="T187">
        <v>0</v>
      </c>
      <c r="U187">
        <v>0</v>
      </c>
      <c r="V187">
        <v>0</v>
      </c>
      <c r="W187">
        <v>6.4566305945286784E-2</v>
      </c>
      <c r="X187">
        <v>0</v>
      </c>
      <c r="Y187">
        <v>0.18543369405471322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0.50166506733459126</v>
      </c>
      <c r="AL187">
        <v>0.50166506733459126</v>
      </c>
      <c r="AM187">
        <v>0.5340557275541794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0.4659442724458206</v>
      </c>
      <c r="AY187">
        <v>0</v>
      </c>
      <c r="AZ187">
        <v>0</v>
      </c>
      <c r="BA187">
        <v>0</v>
      </c>
      <c r="BB187">
        <v>0.50166506733459126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1.8724637681159424</v>
      </c>
      <c r="BI187">
        <v>1.8724637681159424</v>
      </c>
      <c r="BJ187">
        <v>0.93934966231346684</v>
      </c>
      <c r="CA187">
        <v>0</v>
      </c>
      <c r="CB187">
        <v>0</v>
      </c>
      <c r="CC187">
        <v>0</v>
      </c>
    </row>
    <row r="188" spans="1:82" hidden="1" x14ac:dyDescent="0.25">
      <c r="A188" t="s">
        <v>128</v>
      </c>
      <c r="B188" t="s">
        <v>372</v>
      </c>
      <c r="C188" t="s">
        <v>72</v>
      </c>
      <c r="D188" s="12">
        <v>46243</v>
      </c>
      <c r="E188" t="s">
        <v>133</v>
      </c>
      <c r="F188" t="s">
        <v>75</v>
      </c>
      <c r="G188">
        <v>11.818030698534422</v>
      </c>
      <c r="H188">
        <v>11.4</v>
      </c>
      <c r="I188">
        <v>20</v>
      </c>
      <c r="J188">
        <v>11.4</v>
      </c>
      <c r="K188">
        <v>46243</v>
      </c>
      <c r="L188" t="s">
        <v>202</v>
      </c>
      <c r="M188">
        <v>13.125</v>
      </c>
      <c r="N188">
        <v>0.96462771935545366</v>
      </c>
      <c r="O188">
        <v>0.96462771935545366</v>
      </c>
      <c r="P188">
        <v>1.1105911242579238</v>
      </c>
      <c r="Q188">
        <v>0.11059112425792383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3.5372280644546339E-2</v>
      </c>
      <c r="AA188">
        <v>0</v>
      </c>
      <c r="AB188">
        <v>0</v>
      </c>
      <c r="AC188">
        <v>0</v>
      </c>
      <c r="AD188">
        <v>0</v>
      </c>
      <c r="AE188">
        <v>0.96462771935545366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1.0366693595205634</v>
      </c>
      <c r="AL188">
        <v>1.0366693595205634</v>
      </c>
      <c r="AM188">
        <v>1.1513157894736843</v>
      </c>
      <c r="AN188">
        <v>0.11464642995312091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3.6669359520563383E-2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0.86857142857142844</v>
      </c>
      <c r="BI188">
        <v>0.86857142857142844</v>
      </c>
      <c r="BJ188">
        <v>0.90042138655500359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9.9578613444996411E-2</v>
      </c>
      <c r="BV188">
        <v>0</v>
      </c>
      <c r="BW188">
        <v>0</v>
      </c>
      <c r="BX188">
        <v>0</v>
      </c>
      <c r="BY188">
        <v>0.86857142857142844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 hidden="1" x14ac:dyDescent="0.25">
      <c r="A189" t="s">
        <v>128</v>
      </c>
      <c r="B189" t="s">
        <v>502</v>
      </c>
      <c r="C189" t="s">
        <v>72</v>
      </c>
      <c r="D189" s="12">
        <v>46243</v>
      </c>
      <c r="E189" t="s">
        <v>133</v>
      </c>
      <c r="F189" t="s">
        <v>75</v>
      </c>
      <c r="G189">
        <v>8.1620058147253278</v>
      </c>
      <c r="H189">
        <v>43.7</v>
      </c>
      <c r="I189">
        <v>20</v>
      </c>
      <c r="J189">
        <v>43.7</v>
      </c>
      <c r="K189">
        <v>46243</v>
      </c>
      <c r="L189" t="s">
        <v>202</v>
      </c>
      <c r="M189">
        <v>9.6792815563725476</v>
      </c>
      <c r="N189">
        <v>5.3540760680615387</v>
      </c>
      <c r="O189">
        <v>5.3540760680615387</v>
      </c>
      <c r="P189">
        <v>1.1858949596568353</v>
      </c>
      <c r="Q189">
        <v>0</v>
      </c>
      <c r="R189">
        <v>0</v>
      </c>
      <c r="S189">
        <v>4.1040760680615387</v>
      </c>
      <c r="T189">
        <v>0</v>
      </c>
      <c r="U189">
        <v>0</v>
      </c>
      <c r="V189">
        <v>0</v>
      </c>
      <c r="W189">
        <v>0.18589495965683533</v>
      </c>
      <c r="X189">
        <v>0</v>
      </c>
      <c r="Y189">
        <v>6.4105040343164665E-2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0.18677358843765055</v>
      </c>
      <c r="AL189">
        <v>0.18677358843765055</v>
      </c>
      <c r="AM189">
        <v>0.22149385712522995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0.77850614287477005</v>
      </c>
      <c r="AY189">
        <v>0</v>
      </c>
      <c r="AZ189">
        <v>0</v>
      </c>
      <c r="BA189">
        <v>0</v>
      </c>
      <c r="BB189">
        <v>0.18677358843765055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4.5147978954315295</v>
      </c>
      <c r="BI189">
        <v>4.5147978954315295</v>
      </c>
      <c r="BJ189">
        <v>0.84324500400049929</v>
      </c>
      <c r="CA189">
        <v>0</v>
      </c>
      <c r="CB189">
        <v>0</v>
      </c>
      <c r="CC189">
        <v>0</v>
      </c>
    </row>
    <row r="190" spans="1:82" hidden="1" x14ac:dyDescent="0.25">
      <c r="A190" t="s">
        <v>128</v>
      </c>
      <c r="B190" t="s">
        <v>503</v>
      </c>
      <c r="C190" t="s">
        <v>72</v>
      </c>
      <c r="D190" s="12">
        <v>46243</v>
      </c>
      <c r="E190" t="s">
        <v>133</v>
      </c>
      <c r="F190" t="s">
        <v>75</v>
      </c>
      <c r="G190">
        <v>7.4010352286773822</v>
      </c>
      <c r="H190">
        <v>43.7</v>
      </c>
      <c r="I190">
        <v>20</v>
      </c>
      <c r="J190">
        <v>43.7</v>
      </c>
      <c r="K190">
        <v>46243</v>
      </c>
      <c r="L190" t="s">
        <v>202</v>
      </c>
      <c r="M190">
        <v>6.9838235294117634</v>
      </c>
      <c r="N190">
        <v>5.9045793797430006</v>
      </c>
      <c r="O190">
        <v>5.9045793797430006</v>
      </c>
      <c r="P190">
        <v>0.94362792685420338</v>
      </c>
      <c r="Q190">
        <v>0</v>
      </c>
      <c r="R190">
        <v>0</v>
      </c>
      <c r="S190">
        <v>4.6545793797430006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0.25</v>
      </c>
      <c r="Z190">
        <v>0</v>
      </c>
      <c r="AA190">
        <v>0</v>
      </c>
      <c r="AB190">
        <v>0</v>
      </c>
      <c r="AC190">
        <v>5.637207314579662E-2</v>
      </c>
      <c r="AD190">
        <v>0</v>
      </c>
      <c r="AE190">
        <v>0.94362792685420338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0.16936007388277763</v>
      </c>
      <c r="AL190">
        <v>0.16936007388277763</v>
      </c>
      <c r="AM190">
        <v>0.1598128954098802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0.83063992611722237</v>
      </c>
      <c r="AY190">
        <v>0</v>
      </c>
      <c r="AZ190">
        <v>9.5471784728974329E-3</v>
      </c>
      <c r="BA190">
        <v>0</v>
      </c>
      <c r="BB190">
        <v>0.1598128954098802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6.2573173299642031</v>
      </c>
      <c r="BI190">
        <v>6.2573173299642031</v>
      </c>
      <c r="BJ190">
        <v>1.0597397253107224</v>
      </c>
      <c r="CA190">
        <v>0</v>
      </c>
      <c r="CB190">
        <v>0</v>
      </c>
      <c r="CC190">
        <v>0</v>
      </c>
    </row>
    <row r="191" spans="1:82" hidden="1" x14ac:dyDescent="0.25">
      <c r="A191" t="s">
        <v>128</v>
      </c>
      <c r="B191" t="s">
        <v>503</v>
      </c>
      <c r="C191" t="s">
        <v>72</v>
      </c>
      <c r="D191" s="12">
        <v>46244</v>
      </c>
      <c r="E191" t="s">
        <v>133</v>
      </c>
      <c r="F191" t="s">
        <v>73</v>
      </c>
      <c r="G191">
        <v>10.316594561186651</v>
      </c>
      <c r="H191">
        <v>22.799999999999997</v>
      </c>
      <c r="I191">
        <v>20</v>
      </c>
      <c r="J191">
        <v>22.799999999999997</v>
      </c>
      <c r="K191">
        <v>46244</v>
      </c>
      <c r="L191" t="s">
        <v>200</v>
      </c>
      <c r="M191">
        <v>8.5892156862745086</v>
      </c>
      <c r="N191">
        <v>2.2100316014917096</v>
      </c>
      <c r="O191">
        <v>2.2100316014917096</v>
      </c>
      <c r="P191">
        <v>0.83256307450416533</v>
      </c>
      <c r="Q191">
        <v>0</v>
      </c>
      <c r="R191">
        <v>0</v>
      </c>
      <c r="S191">
        <v>0.96003160149170963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0.25</v>
      </c>
      <c r="Z191">
        <v>0</v>
      </c>
      <c r="AA191">
        <v>0</v>
      </c>
      <c r="AB191">
        <v>0</v>
      </c>
      <c r="AC191">
        <v>0.16743692549583467</v>
      </c>
      <c r="AD191">
        <v>0</v>
      </c>
      <c r="AE191">
        <v>0.83256307450416533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0.45248221759590579</v>
      </c>
      <c r="AL191">
        <v>0.45248221759590579</v>
      </c>
      <c r="AM191">
        <v>0.37671998624011005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0.54751778240409421</v>
      </c>
      <c r="AY191">
        <v>0</v>
      </c>
      <c r="AZ191">
        <v>7.5762231355795739E-2</v>
      </c>
      <c r="BA191">
        <v>0</v>
      </c>
      <c r="BB191">
        <v>0.37671998624011005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2.6544914964045199</v>
      </c>
      <c r="BI191">
        <v>2.6544914964045199</v>
      </c>
      <c r="BJ191">
        <v>1.2011101988825916</v>
      </c>
      <c r="CA191">
        <v>0</v>
      </c>
      <c r="CB191">
        <v>0</v>
      </c>
      <c r="CC191">
        <v>0</v>
      </c>
    </row>
    <row r="192" spans="1:82" hidden="1" x14ac:dyDescent="0.25">
      <c r="A192" t="s">
        <v>128</v>
      </c>
      <c r="B192" t="s">
        <v>372</v>
      </c>
      <c r="C192" t="s">
        <v>72</v>
      </c>
      <c r="D192" s="12">
        <v>46244</v>
      </c>
      <c r="E192" t="s">
        <v>133</v>
      </c>
      <c r="F192" t="s">
        <v>73</v>
      </c>
      <c r="G192">
        <v>11.870789764152878</v>
      </c>
      <c r="H192">
        <v>12.35</v>
      </c>
      <c r="I192">
        <v>20</v>
      </c>
      <c r="J192">
        <v>12.35</v>
      </c>
      <c r="K192">
        <v>46244</v>
      </c>
      <c r="L192" t="s">
        <v>200</v>
      </c>
      <c r="M192">
        <v>12.777113970588236</v>
      </c>
      <c r="N192">
        <v>1.0403688588011413</v>
      </c>
      <c r="O192">
        <v>1.0403688588011413</v>
      </c>
      <c r="P192">
        <v>1.0763491077208909</v>
      </c>
      <c r="Q192">
        <v>3.5980248919749602E-2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4.0368858801141272E-2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0.96119755175326949</v>
      </c>
      <c r="AL192">
        <v>0.96119755175326949</v>
      </c>
      <c r="AM192">
        <v>1.0345841271731364</v>
      </c>
      <c r="AN192">
        <v>3.4584127173136414E-2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0.96119755175326949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0.96657195266697837</v>
      </c>
      <c r="BI192">
        <v>0.96657195266697837</v>
      </c>
      <c r="BJ192">
        <v>0.92906659449687667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3.3428047333021627E-2</v>
      </c>
      <c r="BV192">
        <v>0</v>
      </c>
      <c r="BW192">
        <v>3.7505358170101699E-2</v>
      </c>
      <c r="BX192">
        <v>0</v>
      </c>
      <c r="BY192">
        <v>0.92906659449687667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 hidden="1" x14ac:dyDescent="0.25">
      <c r="A193" t="s">
        <v>128</v>
      </c>
      <c r="B193" t="s">
        <v>502</v>
      </c>
      <c r="C193" t="s">
        <v>72</v>
      </c>
      <c r="D193" s="12">
        <v>46244</v>
      </c>
      <c r="E193" t="s">
        <v>133</v>
      </c>
      <c r="F193" t="s">
        <v>73</v>
      </c>
      <c r="G193">
        <v>9.9149198152032554</v>
      </c>
      <c r="H193">
        <v>22.799999999999997</v>
      </c>
      <c r="I193">
        <v>20</v>
      </c>
      <c r="J193">
        <v>22.799999999999997</v>
      </c>
      <c r="K193">
        <v>46244</v>
      </c>
      <c r="L193" t="s">
        <v>200</v>
      </c>
      <c r="M193">
        <v>11.915211397058822</v>
      </c>
      <c r="N193">
        <v>2.2995647392971477</v>
      </c>
      <c r="O193">
        <v>2.2995647392971477</v>
      </c>
      <c r="P193">
        <v>1.2017456135942095</v>
      </c>
      <c r="Q193">
        <v>0</v>
      </c>
      <c r="R193">
        <v>0</v>
      </c>
      <c r="S193">
        <v>1.0495647392971477</v>
      </c>
      <c r="T193">
        <v>0</v>
      </c>
      <c r="U193">
        <v>0</v>
      </c>
      <c r="V193">
        <v>0</v>
      </c>
      <c r="W193">
        <v>0.20174561359420951</v>
      </c>
      <c r="X193">
        <v>0</v>
      </c>
      <c r="Y193">
        <v>4.8254386405790495E-2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0.43486490417558143</v>
      </c>
      <c r="AL193">
        <v>0.43486490417558143</v>
      </c>
      <c r="AM193">
        <v>0.52259699109907121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0.47740300890092879</v>
      </c>
      <c r="AY193">
        <v>0</v>
      </c>
      <c r="AZ193">
        <v>0</v>
      </c>
      <c r="BA193">
        <v>0</v>
      </c>
      <c r="BB193">
        <v>0.43486490417558143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1.913520393404686</v>
      </c>
      <c r="BI193">
        <v>1.913520393404686</v>
      </c>
      <c r="BJ193">
        <v>0.83212286251594969</v>
      </c>
      <c r="CA193">
        <v>0</v>
      </c>
      <c r="CB193">
        <v>0</v>
      </c>
      <c r="CC193">
        <v>0</v>
      </c>
    </row>
    <row r="194" spans="1:82" hidden="1" x14ac:dyDescent="0.25">
      <c r="A194" t="s">
        <v>128</v>
      </c>
      <c r="B194" t="s">
        <v>372</v>
      </c>
      <c r="C194" t="s">
        <v>72</v>
      </c>
      <c r="D194" s="12">
        <v>46244</v>
      </c>
      <c r="E194" t="s">
        <v>133</v>
      </c>
      <c r="F194" t="s">
        <v>74</v>
      </c>
      <c r="G194">
        <v>4.2207252494765797</v>
      </c>
      <c r="H194">
        <v>3.8</v>
      </c>
      <c r="I194">
        <v>20</v>
      </c>
      <c r="J194">
        <v>3.8</v>
      </c>
      <c r="K194">
        <v>46244</v>
      </c>
      <c r="L194" t="s">
        <v>199</v>
      </c>
      <c r="M194">
        <v>4.6875</v>
      </c>
      <c r="N194">
        <v>0.90031920473175675</v>
      </c>
      <c r="O194">
        <v>0.90031920473175675</v>
      </c>
      <c r="P194">
        <v>1.1105911242579236</v>
      </c>
      <c r="Q194">
        <v>0.11059112425792361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9.968079526824325E-2</v>
      </c>
      <c r="AA194">
        <v>0</v>
      </c>
      <c r="AB194">
        <v>0</v>
      </c>
      <c r="AC194">
        <v>0</v>
      </c>
      <c r="AD194">
        <v>0</v>
      </c>
      <c r="AE194">
        <v>0.90031920473175675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1.1107171709148895</v>
      </c>
      <c r="AL194">
        <v>1.1107171709148895</v>
      </c>
      <c r="AM194">
        <v>1.2335526315789473</v>
      </c>
      <c r="AN194">
        <v>0.12283546066405782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0.11071717091488953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0.81066666666666665</v>
      </c>
      <c r="BI194">
        <v>0.81066666666666665</v>
      </c>
      <c r="BJ194">
        <v>0.9004213865550037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9.95786134449963E-2</v>
      </c>
      <c r="BV194">
        <v>0</v>
      </c>
      <c r="BW194">
        <v>0</v>
      </c>
      <c r="BX194">
        <v>0</v>
      </c>
      <c r="BY194">
        <v>0.81066666666666665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 hidden="1" x14ac:dyDescent="0.25">
      <c r="A195" t="s">
        <v>128</v>
      </c>
      <c r="B195" t="s">
        <v>502</v>
      </c>
      <c r="C195" t="s">
        <v>72</v>
      </c>
      <c r="D195" s="12">
        <v>46244</v>
      </c>
      <c r="E195" t="s">
        <v>133</v>
      </c>
      <c r="F195" t="s">
        <v>74</v>
      </c>
      <c r="G195">
        <v>4.437063563709744</v>
      </c>
      <c r="H195">
        <v>7.6</v>
      </c>
      <c r="I195">
        <v>20</v>
      </c>
      <c r="J195">
        <v>7.6</v>
      </c>
      <c r="K195">
        <v>46244</v>
      </c>
      <c r="L195" t="s">
        <v>199</v>
      </c>
      <c r="M195">
        <v>4.8983532475490188</v>
      </c>
      <c r="N195">
        <v>1.7128445177480813</v>
      </c>
      <c r="O195">
        <v>1.7128445177480813</v>
      </c>
      <c r="P195">
        <v>1.1039628297444537</v>
      </c>
      <c r="Q195">
        <v>0</v>
      </c>
      <c r="R195">
        <v>0</v>
      </c>
      <c r="S195">
        <v>0.46284451774808133</v>
      </c>
      <c r="T195">
        <v>0</v>
      </c>
      <c r="U195">
        <v>0</v>
      </c>
      <c r="V195">
        <v>0</v>
      </c>
      <c r="W195">
        <v>0.1039628297444537</v>
      </c>
      <c r="X195">
        <v>0</v>
      </c>
      <c r="Y195">
        <v>0.1460371702555463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0.58382415311970315</v>
      </c>
      <c r="AL195">
        <v>0.58382415311970315</v>
      </c>
      <c r="AM195">
        <v>0.64452016415118674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0.35547983584881326</v>
      </c>
      <c r="AY195">
        <v>0</v>
      </c>
      <c r="AZ195">
        <v>0</v>
      </c>
      <c r="BA195">
        <v>0</v>
      </c>
      <c r="BB195">
        <v>0.58382415311970315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1.5515418378212718</v>
      </c>
      <c r="BI195">
        <v>1.5515418378212718</v>
      </c>
      <c r="BJ195">
        <v>0.90582759949579184</v>
      </c>
      <c r="CA195">
        <v>0</v>
      </c>
      <c r="CB195">
        <v>0</v>
      </c>
      <c r="CC195">
        <v>0</v>
      </c>
    </row>
    <row r="196" spans="1:82" hidden="1" x14ac:dyDescent="0.25">
      <c r="A196" t="s">
        <v>128</v>
      </c>
      <c r="B196" t="s">
        <v>503</v>
      </c>
      <c r="C196" t="s">
        <v>72</v>
      </c>
      <c r="D196" s="12">
        <v>46244</v>
      </c>
      <c r="E196" t="s">
        <v>133</v>
      </c>
      <c r="F196" t="s">
        <v>74</v>
      </c>
      <c r="G196">
        <v>3.8126545117428936</v>
      </c>
      <c r="H196">
        <v>7.6</v>
      </c>
      <c r="I196">
        <v>20</v>
      </c>
      <c r="J196">
        <v>7.6</v>
      </c>
      <c r="K196">
        <v>46244</v>
      </c>
      <c r="L196" t="s">
        <v>199</v>
      </c>
      <c r="M196">
        <v>4.1764705882352935</v>
      </c>
      <c r="N196">
        <v>1.9933618366395811</v>
      </c>
      <c r="O196">
        <v>1.9933618366395811</v>
      </c>
      <c r="P196">
        <v>1.0954233003205127</v>
      </c>
      <c r="Q196">
        <v>0</v>
      </c>
      <c r="R196">
        <v>0</v>
      </c>
      <c r="S196">
        <v>0.74336183663958111</v>
      </c>
      <c r="T196">
        <v>0</v>
      </c>
      <c r="U196">
        <v>0</v>
      </c>
      <c r="V196">
        <v>0</v>
      </c>
      <c r="W196">
        <v>9.5423300320512716E-2</v>
      </c>
      <c r="X196">
        <v>0</v>
      </c>
      <c r="Y196">
        <v>0.15457669967948728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0.50166506733459126</v>
      </c>
      <c r="AL196">
        <v>0.50166506733459126</v>
      </c>
      <c r="AM196">
        <v>0.54953560371517018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0.45046439628482982</v>
      </c>
      <c r="AY196">
        <v>0</v>
      </c>
      <c r="AZ196">
        <v>0</v>
      </c>
      <c r="BA196">
        <v>0</v>
      </c>
      <c r="BB196">
        <v>0.50166506733459126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1.8197183098591552</v>
      </c>
      <c r="BI196">
        <v>1.8197183098591552</v>
      </c>
      <c r="BJ196">
        <v>0.91288910844548166</v>
      </c>
      <c r="CA196">
        <v>0</v>
      </c>
      <c r="CB196">
        <v>0</v>
      </c>
      <c r="CC196">
        <v>0</v>
      </c>
    </row>
    <row r="197" spans="1:82" hidden="1" x14ac:dyDescent="0.25">
      <c r="A197" t="s">
        <v>128</v>
      </c>
      <c r="B197" t="s">
        <v>503</v>
      </c>
      <c r="C197" t="s">
        <v>72</v>
      </c>
      <c r="D197" s="12">
        <v>46244</v>
      </c>
      <c r="E197" t="s">
        <v>133</v>
      </c>
      <c r="F197" t="s">
        <v>75</v>
      </c>
      <c r="G197">
        <v>7.4010352286773822</v>
      </c>
      <c r="H197">
        <v>20.9</v>
      </c>
      <c r="I197">
        <v>20</v>
      </c>
      <c r="J197">
        <v>20.9</v>
      </c>
      <c r="K197">
        <v>46244</v>
      </c>
      <c r="L197" t="s">
        <v>198</v>
      </c>
      <c r="M197">
        <v>7.984313725490197</v>
      </c>
      <c r="N197">
        <v>2.8239292685727397</v>
      </c>
      <c r="O197">
        <v>2.8239292685727397</v>
      </c>
      <c r="P197">
        <v>1.0788103932477904</v>
      </c>
      <c r="Q197">
        <v>0</v>
      </c>
      <c r="R197">
        <v>0</v>
      </c>
      <c r="S197">
        <v>1.5739292685727397</v>
      </c>
      <c r="T197">
        <v>0</v>
      </c>
      <c r="U197">
        <v>0</v>
      </c>
      <c r="V197">
        <v>0</v>
      </c>
      <c r="W197">
        <v>7.8810393247790378E-2</v>
      </c>
      <c r="X197">
        <v>0</v>
      </c>
      <c r="Y197">
        <v>0.17118960675220962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0.35411651811853506</v>
      </c>
      <c r="AL197">
        <v>0.35411651811853506</v>
      </c>
      <c r="AM197">
        <v>0.38202458016699509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0.61797541983300497</v>
      </c>
      <c r="AY197">
        <v>0</v>
      </c>
      <c r="AZ197">
        <v>0</v>
      </c>
      <c r="BA197">
        <v>0</v>
      </c>
      <c r="BB197">
        <v>0.35411651811853506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2.6176326129666005</v>
      </c>
      <c r="BI197">
        <v>2.6176326129666005</v>
      </c>
      <c r="BJ197">
        <v>0.92694694661725552</v>
      </c>
      <c r="CA197">
        <v>0</v>
      </c>
      <c r="CB197">
        <v>0</v>
      </c>
      <c r="CC197">
        <v>0</v>
      </c>
    </row>
    <row r="198" spans="1:82" hidden="1" x14ac:dyDescent="0.25">
      <c r="A198" t="s">
        <v>128</v>
      </c>
      <c r="B198" t="s">
        <v>372</v>
      </c>
      <c r="C198" t="s">
        <v>72</v>
      </c>
      <c r="D198" s="12">
        <v>46244</v>
      </c>
      <c r="E198" t="s">
        <v>133</v>
      </c>
      <c r="F198" t="s">
        <v>75</v>
      </c>
      <c r="G198">
        <v>10.973885648639106</v>
      </c>
      <c r="H198">
        <v>10.45</v>
      </c>
      <c r="I198">
        <v>20</v>
      </c>
      <c r="J198">
        <v>10.45</v>
      </c>
      <c r="K198">
        <v>46244</v>
      </c>
      <c r="L198" t="s">
        <v>198</v>
      </c>
      <c r="M198">
        <v>12.597886029411764</v>
      </c>
      <c r="N198">
        <v>0.95226069731243512</v>
      </c>
      <c r="O198">
        <v>0.95226069731243512</v>
      </c>
      <c r="P198">
        <v>1.1479877258402136</v>
      </c>
      <c r="Q198">
        <v>0.14798772584021358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4.7739302687564877E-2</v>
      </c>
      <c r="AA198">
        <v>0</v>
      </c>
      <c r="AB198">
        <v>0</v>
      </c>
      <c r="AC198">
        <v>0</v>
      </c>
      <c r="AD198">
        <v>0</v>
      </c>
      <c r="AE198">
        <v>0.95226069731243512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1.0501325979558953</v>
      </c>
      <c r="AL198">
        <v>1.0501325979558953</v>
      </c>
      <c r="AM198">
        <v>1.2055393329580637</v>
      </c>
      <c r="AN198">
        <v>0.15540673500216839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5.0132597955895308E-2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0.82950424980848503</v>
      </c>
      <c r="BI198">
        <v>0.82950424980848503</v>
      </c>
      <c r="BJ198">
        <v>0.87108945286684036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0.12891054713315964</v>
      </c>
      <c r="BV198">
        <v>0</v>
      </c>
      <c r="BW198">
        <v>0</v>
      </c>
      <c r="BX198">
        <v>0</v>
      </c>
      <c r="BY198">
        <v>0.82950424980848503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 hidden="1" x14ac:dyDescent="0.25">
      <c r="A199" t="s">
        <v>128</v>
      </c>
      <c r="B199" t="s">
        <v>502</v>
      </c>
      <c r="C199" t="s">
        <v>72</v>
      </c>
      <c r="D199" s="12">
        <v>46244</v>
      </c>
      <c r="E199" t="s">
        <v>133</v>
      </c>
      <c r="F199" t="s">
        <v>75</v>
      </c>
      <c r="G199">
        <v>8.216784377240268</v>
      </c>
      <c r="H199">
        <v>20.9</v>
      </c>
      <c r="I199">
        <v>20</v>
      </c>
      <c r="J199">
        <v>20.9</v>
      </c>
      <c r="K199">
        <v>46244</v>
      </c>
      <c r="L199" t="s">
        <v>198</v>
      </c>
      <c r="M199">
        <v>9.9989353553921578</v>
      </c>
      <c r="N199">
        <v>2.5435741088559003</v>
      </c>
      <c r="O199">
        <v>2.5435741088559003</v>
      </c>
      <c r="P199">
        <v>1.2168915352200653</v>
      </c>
      <c r="Q199">
        <v>0</v>
      </c>
      <c r="R199">
        <v>0</v>
      </c>
      <c r="S199">
        <v>1.2935741088559003</v>
      </c>
      <c r="T199">
        <v>0</v>
      </c>
      <c r="U199">
        <v>0</v>
      </c>
      <c r="V199">
        <v>0</v>
      </c>
      <c r="W199">
        <v>0.21689153522006532</v>
      </c>
      <c r="X199">
        <v>0</v>
      </c>
      <c r="Y199">
        <v>3.3108464779934677E-2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0.39314757785838605</v>
      </c>
      <c r="AL199">
        <v>0.39314757785838605</v>
      </c>
      <c r="AM199">
        <v>0.47841795958814154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0.52158204041185852</v>
      </c>
      <c r="AY199">
        <v>0</v>
      </c>
      <c r="AZ199">
        <v>0</v>
      </c>
      <c r="BA199">
        <v>0</v>
      </c>
      <c r="BB199">
        <v>0.39314757785838605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2.0902225344150454</v>
      </c>
      <c r="BI199">
        <v>2.0902225344150454</v>
      </c>
      <c r="BJ199">
        <v>0.82176592659029213</v>
      </c>
      <c r="CA199">
        <v>0</v>
      </c>
      <c r="CB199">
        <v>0</v>
      </c>
      <c r="CC199">
        <v>0</v>
      </c>
    </row>
    <row r="200" spans="1:82" hidden="1" x14ac:dyDescent="0.25">
      <c r="A200" t="s">
        <v>128</v>
      </c>
      <c r="B200" t="s">
        <v>502</v>
      </c>
      <c r="C200" t="s">
        <v>72</v>
      </c>
      <c r="D200" s="12">
        <v>46245</v>
      </c>
      <c r="E200" t="s">
        <v>133</v>
      </c>
      <c r="F200" t="s">
        <v>73</v>
      </c>
      <c r="G200">
        <v>9.9149198152032554</v>
      </c>
      <c r="H200">
        <v>43.7</v>
      </c>
      <c r="I200">
        <v>20</v>
      </c>
      <c r="J200">
        <v>43.7</v>
      </c>
      <c r="K200">
        <v>46245</v>
      </c>
      <c r="L200" t="s">
        <v>197</v>
      </c>
      <c r="M200">
        <v>11.094898897058822</v>
      </c>
      <c r="N200">
        <v>4.4074990836528665</v>
      </c>
      <c r="O200">
        <v>4.4074990836528665</v>
      </c>
      <c r="P200">
        <v>1.11901045130453</v>
      </c>
      <c r="Q200">
        <v>0</v>
      </c>
      <c r="R200">
        <v>0</v>
      </c>
      <c r="S200">
        <v>3.1574990836528665</v>
      </c>
      <c r="T200">
        <v>0</v>
      </c>
      <c r="U200">
        <v>0</v>
      </c>
      <c r="V200">
        <v>0</v>
      </c>
      <c r="W200">
        <v>0.11901045130453003</v>
      </c>
      <c r="X200">
        <v>0</v>
      </c>
      <c r="Y200">
        <v>0.13098954869546997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0.2268860369611729</v>
      </c>
      <c r="AL200">
        <v>0.2268860369611729</v>
      </c>
      <c r="AM200">
        <v>0.25388784661461838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0.74611215338538162</v>
      </c>
      <c r="AY200">
        <v>0</v>
      </c>
      <c r="AZ200">
        <v>0</v>
      </c>
      <c r="BA200">
        <v>0</v>
      </c>
      <c r="BB200">
        <v>0.2268860369611729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3.9387470228849537</v>
      </c>
      <c r="BI200">
        <v>3.9387470228849537</v>
      </c>
      <c r="BJ200">
        <v>0.89364670261498547</v>
      </c>
      <c r="CA200">
        <v>0</v>
      </c>
      <c r="CB200">
        <v>0</v>
      </c>
      <c r="CC200">
        <v>0</v>
      </c>
    </row>
    <row r="201" spans="1:82" hidden="1" x14ac:dyDescent="0.25">
      <c r="A201" t="s">
        <v>128</v>
      </c>
      <c r="B201" t="s">
        <v>372</v>
      </c>
      <c r="C201" t="s">
        <v>72</v>
      </c>
      <c r="D201" s="12">
        <v>46245</v>
      </c>
      <c r="E201" t="s">
        <v>133</v>
      </c>
      <c r="F201" t="s">
        <v>73</v>
      </c>
      <c r="G201">
        <v>11.738892100106735</v>
      </c>
      <c r="H201">
        <v>22.799999999999997</v>
      </c>
      <c r="I201">
        <v>20</v>
      </c>
      <c r="J201">
        <v>22.799999999999997</v>
      </c>
      <c r="K201">
        <v>46245</v>
      </c>
      <c r="L201" t="s">
        <v>197</v>
      </c>
      <c r="M201">
        <v>12.6796875</v>
      </c>
      <c r="N201">
        <v>1.9422616551516552</v>
      </c>
      <c r="O201">
        <v>1.9422616551516552</v>
      </c>
      <c r="P201">
        <v>1.0801434574805155</v>
      </c>
      <c r="Q201">
        <v>0</v>
      </c>
      <c r="R201">
        <v>0</v>
      </c>
      <c r="S201">
        <v>0.69226165515165516</v>
      </c>
      <c r="T201">
        <v>0</v>
      </c>
      <c r="U201">
        <v>0</v>
      </c>
      <c r="V201">
        <v>0</v>
      </c>
      <c r="W201">
        <v>8.0143457480515545E-2</v>
      </c>
      <c r="X201">
        <v>0</v>
      </c>
      <c r="Y201">
        <v>0.16985654251948445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0.51486368860117271</v>
      </c>
      <c r="AL201">
        <v>0.51486368860117271</v>
      </c>
      <c r="AM201">
        <v>0.55612664473684215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0.44387335526315785</v>
      </c>
      <c r="AY201">
        <v>0</v>
      </c>
      <c r="AZ201">
        <v>0</v>
      </c>
      <c r="BA201">
        <v>0</v>
      </c>
      <c r="BB201">
        <v>0.51486368860117271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1.79815157116451</v>
      </c>
      <c r="BI201">
        <v>1.79815157116451</v>
      </c>
      <c r="BJ201">
        <v>0.92580295059375362</v>
      </c>
      <c r="CA201">
        <v>0</v>
      </c>
      <c r="CB201">
        <v>0</v>
      </c>
      <c r="CC201">
        <v>0</v>
      </c>
    </row>
    <row r="202" spans="1:82" hidden="1" x14ac:dyDescent="0.25">
      <c r="A202" t="s">
        <v>128</v>
      </c>
      <c r="B202" t="s">
        <v>503</v>
      </c>
      <c r="C202" t="s">
        <v>72</v>
      </c>
      <c r="D202" s="12">
        <v>46245</v>
      </c>
      <c r="E202" t="s">
        <v>133</v>
      </c>
      <c r="F202" t="s">
        <v>73</v>
      </c>
      <c r="G202">
        <v>9.36343093325093</v>
      </c>
      <c r="H202">
        <v>43.7</v>
      </c>
      <c r="I202">
        <v>20</v>
      </c>
      <c r="J202">
        <v>43.7</v>
      </c>
      <c r="K202">
        <v>46245</v>
      </c>
      <c r="L202" t="s">
        <v>197</v>
      </c>
      <c r="M202">
        <v>9.4058823529411768</v>
      </c>
      <c r="N202">
        <v>4.6670926833896775</v>
      </c>
      <c r="O202">
        <v>4.6670926833896775</v>
      </c>
      <c r="P202">
        <v>1.0045337462296535</v>
      </c>
      <c r="Q202">
        <v>0</v>
      </c>
      <c r="R202">
        <v>0</v>
      </c>
      <c r="S202">
        <v>3.4170926833896775</v>
      </c>
      <c r="T202">
        <v>0</v>
      </c>
      <c r="U202">
        <v>0</v>
      </c>
      <c r="V202">
        <v>0</v>
      </c>
      <c r="W202">
        <v>4.5337462296535236E-3</v>
      </c>
      <c r="X202">
        <v>0</v>
      </c>
      <c r="Y202">
        <v>0.24546625377034648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0.21426615407896868</v>
      </c>
      <c r="AL202">
        <v>0.21426615407896868</v>
      </c>
      <c r="AM202">
        <v>0.21523758244716654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0.78476241755283349</v>
      </c>
      <c r="AY202">
        <v>0</v>
      </c>
      <c r="AZ202">
        <v>0</v>
      </c>
      <c r="BA202">
        <v>0</v>
      </c>
      <c r="BB202">
        <v>0.21426615407896868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4.6460287679799865</v>
      </c>
      <c r="BI202">
        <v>4.6460287679799865</v>
      </c>
      <c r="BJ202">
        <v>0.99548671585532089</v>
      </c>
      <c r="CA202">
        <v>0</v>
      </c>
      <c r="CB202">
        <v>0</v>
      </c>
      <c r="CC202">
        <v>0</v>
      </c>
    </row>
    <row r="203" spans="1:82" hidden="1" x14ac:dyDescent="0.25">
      <c r="A203" t="s">
        <v>128</v>
      </c>
      <c r="B203" t="s">
        <v>502</v>
      </c>
      <c r="C203" t="s">
        <v>72</v>
      </c>
      <c r="D203" s="12">
        <v>46245</v>
      </c>
      <c r="E203" t="s">
        <v>133</v>
      </c>
      <c r="F203" t="s">
        <v>74</v>
      </c>
      <c r="G203">
        <v>4.437063563709744</v>
      </c>
      <c r="H203">
        <v>7.6</v>
      </c>
      <c r="I203">
        <v>20</v>
      </c>
      <c r="J203">
        <v>7.6</v>
      </c>
      <c r="K203">
        <v>46245</v>
      </c>
      <c r="L203" t="s">
        <v>196</v>
      </c>
      <c r="M203">
        <v>4.8685968137254898</v>
      </c>
      <c r="N203">
        <v>1.7128445177480813</v>
      </c>
      <c r="O203">
        <v>1.7128445177480813</v>
      </c>
      <c r="P203">
        <v>1.0972564949362478</v>
      </c>
      <c r="Q203">
        <v>0</v>
      </c>
      <c r="R203">
        <v>0</v>
      </c>
      <c r="S203">
        <v>0.46284451774808133</v>
      </c>
      <c r="T203">
        <v>0</v>
      </c>
      <c r="U203">
        <v>0</v>
      </c>
      <c r="V203">
        <v>0</v>
      </c>
      <c r="W203">
        <v>9.7256494936247773E-2</v>
      </c>
      <c r="X203">
        <v>0</v>
      </c>
      <c r="Y203">
        <v>0.15274350506375223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0.58382415311970315</v>
      </c>
      <c r="AL203">
        <v>0.58382415311970315</v>
      </c>
      <c r="AM203">
        <v>0.64060484391124872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0.35939515608875128</v>
      </c>
      <c r="AY203">
        <v>0</v>
      </c>
      <c r="AZ203">
        <v>0</v>
      </c>
      <c r="BA203">
        <v>0</v>
      </c>
      <c r="BB203">
        <v>0.58382415311970315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1.5610247245313416</v>
      </c>
      <c r="BI203">
        <v>1.5610247245313416</v>
      </c>
      <c r="BJ203">
        <v>0.91136393779842839</v>
      </c>
      <c r="CA203">
        <v>0</v>
      </c>
      <c r="CB203">
        <v>0</v>
      </c>
      <c r="CC203">
        <v>0</v>
      </c>
    </row>
    <row r="204" spans="1:82" hidden="1" x14ac:dyDescent="0.25">
      <c r="A204" t="s">
        <v>128</v>
      </c>
      <c r="B204" t="s">
        <v>503</v>
      </c>
      <c r="C204" t="s">
        <v>72</v>
      </c>
      <c r="D204" s="12">
        <v>46245</v>
      </c>
      <c r="E204" t="s">
        <v>133</v>
      </c>
      <c r="F204" t="s">
        <v>74</v>
      </c>
      <c r="G204">
        <v>3.8126545117428936</v>
      </c>
      <c r="H204">
        <v>7.6</v>
      </c>
      <c r="I204">
        <v>20</v>
      </c>
      <c r="J204">
        <v>7.6</v>
      </c>
      <c r="K204">
        <v>46245</v>
      </c>
      <c r="L204" t="s">
        <v>196</v>
      </c>
      <c r="M204">
        <v>4.0588235294117636</v>
      </c>
      <c r="N204">
        <v>1.9933618366395811</v>
      </c>
      <c r="O204">
        <v>1.9933618366395811</v>
      </c>
      <c r="P204">
        <v>1.0645663059452868</v>
      </c>
      <c r="Q204">
        <v>0</v>
      </c>
      <c r="R204">
        <v>0</v>
      </c>
      <c r="S204">
        <v>0.74336183663958111</v>
      </c>
      <c r="T204">
        <v>0</v>
      </c>
      <c r="U204">
        <v>0</v>
      </c>
      <c r="V204">
        <v>0</v>
      </c>
      <c r="W204">
        <v>6.4566305945286784E-2</v>
      </c>
      <c r="X204">
        <v>0</v>
      </c>
      <c r="Y204">
        <v>0.18543369405471322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0.50166506733459126</v>
      </c>
      <c r="AL204">
        <v>0.50166506733459126</v>
      </c>
      <c r="AM204">
        <v>0.5340557275541794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0.4659442724458206</v>
      </c>
      <c r="AY204">
        <v>0</v>
      </c>
      <c r="AZ204">
        <v>0</v>
      </c>
      <c r="BA204">
        <v>0</v>
      </c>
      <c r="BB204">
        <v>0.50166506733459126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1.8724637681159424</v>
      </c>
      <c r="BI204">
        <v>1.8724637681159424</v>
      </c>
      <c r="BJ204">
        <v>0.93934966231346684</v>
      </c>
      <c r="CA204">
        <v>0</v>
      </c>
      <c r="CB204">
        <v>0</v>
      </c>
      <c r="CC204">
        <v>0</v>
      </c>
    </row>
    <row r="205" spans="1:82" hidden="1" x14ac:dyDescent="0.25">
      <c r="A205" t="s">
        <v>128</v>
      </c>
      <c r="B205" t="s">
        <v>372</v>
      </c>
      <c r="C205" t="s">
        <v>72</v>
      </c>
      <c r="D205" s="12">
        <v>46245</v>
      </c>
      <c r="E205" t="s">
        <v>133</v>
      </c>
      <c r="F205" t="s">
        <v>74</v>
      </c>
      <c r="G205">
        <v>4.2207252494765797</v>
      </c>
      <c r="H205">
        <v>3.8</v>
      </c>
      <c r="I205">
        <v>20</v>
      </c>
      <c r="J205">
        <v>3.8</v>
      </c>
      <c r="K205">
        <v>46245</v>
      </c>
      <c r="L205" t="s">
        <v>196</v>
      </c>
      <c r="M205">
        <v>4.6875</v>
      </c>
      <c r="N205">
        <v>0.90031920473175675</v>
      </c>
      <c r="O205">
        <v>0.90031920473175675</v>
      </c>
      <c r="P205">
        <v>1.1105911242579236</v>
      </c>
      <c r="Q205">
        <v>0.11059112425792361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9.968079526824325E-2</v>
      </c>
      <c r="AA205">
        <v>0</v>
      </c>
      <c r="AB205">
        <v>0</v>
      </c>
      <c r="AC205">
        <v>0</v>
      </c>
      <c r="AD205">
        <v>0</v>
      </c>
      <c r="AE205">
        <v>0.90031920473175675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1.1107171709148895</v>
      </c>
      <c r="AL205">
        <v>1.1107171709148895</v>
      </c>
      <c r="AM205">
        <v>1.2335526315789473</v>
      </c>
      <c r="AN205">
        <v>0.12283546066405782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0.11071717091488953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0.81066666666666665</v>
      </c>
      <c r="BI205">
        <v>0.81066666666666665</v>
      </c>
      <c r="BJ205">
        <v>0.9004213865550037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9.95786134449963E-2</v>
      </c>
      <c r="BV205">
        <v>0</v>
      </c>
      <c r="BW205">
        <v>0</v>
      </c>
      <c r="BX205">
        <v>0</v>
      </c>
      <c r="BY205">
        <v>0.81066666666666665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 hidden="1" x14ac:dyDescent="0.25">
      <c r="A206" t="s">
        <v>128</v>
      </c>
      <c r="B206" t="s">
        <v>502</v>
      </c>
      <c r="C206" t="s">
        <v>72</v>
      </c>
      <c r="D206" s="12">
        <v>46245</v>
      </c>
      <c r="E206" t="s">
        <v>133</v>
      </c>
      <c r="F206" t="s">
        <v>75</v>
      </c>
      <c r="G206">
        <v>8.216784377240268</v>
      </c>
      <c r="H206">
        <v>20.9</v>
      </c>
      <c r="I206">
        <v>20</v>
      </c>
      <c r="J206">
        <v>20.9</v>
      </c>
      <c r="K206">
        <v>46245</v>
      </c>
      <c r="L206" t="s">
        <v>195</v>
      </c>
      <c r="M206">
        <v>9.9115042892156868</v>
      </c>
      <c r="N206">
        <v>2.5435741088559003</v>
      </c>
      <c r="O206">
        <v>2.5435741088559003</v>
      </c>
      <c r="P206">
        <v>1.2062509899456089</v>
      </c>
      <c r="Q206">
        <v>0</v>
      </c>
      <c r="R206">
        <v>0</v>
      </c>
      <c r="S206">
        <v>1.2935741088559003</v>
      </c>
      <c r="T206">
        <v>0</v>
      </c>
      <c r="U206">
        <v>0</v>
      </c>
      <c r="V206">
        <v>0</v>
      </c>
      <c r="W206">
        <v>0.20625098994560886</v>
      </c>
      <c r="X206">
        <v>0</v>
      </c>
      <c r="Y206">
        <v>4.3749010054391135E-2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0.39314757785838605</v>
      </c>
      <c r="AL206">
        <v>0.39314757785838605</v>
      </c>
      <c r="AM206">
        <v>0.47423465498639655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0.5257653450136035</v>
      </c>
      <c r="AY206">
        <v>0</v>
      </c>
      <c r="AZ206">
        <v>0</v>
      </c>
      <c r="BA206">
        <v>0</v>
      </c>
      <c r="BB206">
        <v>0.39314757785838605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2.1086607431265967</v>
      </c>
      <c r="BI206">
        <v>2.1086607431265967</v>
      </c>
      <c r="BJ206">
        <v>0.82901486368528576</v>
      </c>
      <c r="CA206">
        <v>0</v>
      </c>
      <c r="CB206">
        <v>0</v>
      </c>
      <c r="CC206">
        <v>0</v>
      </c>
    </row>
    <row r="207" spans="1:82" hidden="1" x14ac:dyDescent="0.25">
      <c r="A207" t="s">
        <v>128</v>
      </c>
      <c r="B207" t="s">
        <v>372</v>
      </c>
      <c r="C207" t="s">
        <v>72</v>
      </c>
      <c r="D207" s="12">
        <v>46245</v>
      </c>
      <c r="E207" t="s">
        <v>133</v>
      </c>
      <c r="F207" t="s">
        <v>75</v>
      </c>
      <c r="G207">
        <v>10.973885648639106</v>
      </c>
      <c r="H207">
        <v>10.45</v>
      </c>
      <c r="I207">
        <v>20</v>
      </c>
      <c r="J207">
        <v>10.45</v>
      </c>
      <c r="K207">
        <v>46245</v>
      </c>
      <c r="L207" t="s">
        <v>195</v>
      </c>
      <c r="M207">
        <v>12.5390625</v>
      </c>
      <c r="N207">
        <v>0.95226069731243512</v>
      </c>
      <c r="O207">
        <v>0.95226069731243512</v>
      </c>
      <c r="P207">
        <v>1.1426274066884408</v>
      </c>
      <c r="Q207">
        <v>0.14262740668844076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4.7739302687564877E-2</v>
      </c>
      <c r="AA207">
        <v>0</v>
      </c>
      <c r="AB207">
        <v>0</v>
      </c>
      <c r="AC207">
        <v>0</v>
      </c>
      <c r="AD207">
        <v>0</v>
      </c>
      <c r="AE207">
        <v>0.95226069731243512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1.0501325979558953</v>
      </c>
      <c r="AL207">
        <v>1.0501325979558953</v>
      </c>
      <c r="AM207">
        <v>1.1999102870813398</v>
      </c>
      <c r="AN207">
        <v>0.14977768912544454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5.0132597955895308E-2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0.83339563862928345</v>
      </c>
      <c r="BI207">
        <v>0.83339563862928345</v>
      </c>
      <c r="BJ207">
        <v>0.87517592711888204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0.12482407288111796</v>
      </c>
      <c r="BV207">
        <v>0</v>
      </c>
      <c r="BW207">
        <v>0</v>
      </c>
      <c r="BX207">
        <v>0</v>
      </c>
      <c r="BY207">
        <v>0.83339563862928345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 hidden="1" x14ac:dyDescent="0.25">
      <c r="A208" t="s">
        <v>128</v>
      </c>
      <c r="B208" t="s">
        <v>503</v>
      </c>
      <c r="C208" t="s">
        <v>72</v>
      </c>
      <c r="D208" s="12">
        <v>46245</v>
      </c>
      <c r="E208" t="s">
        <v>133</v>
      </c>
      <c r="F208" t="s">
        <v>75</v>
      </c>
      <c r="G208">
        <v>7.344966779975282</v>
      </c>
      <c r="H208">
        <v>20.9</v>
      </c>
      <c r="I208">
        <v>20</v>
      </c>
      <c r="J208">
        <v>20.9</v>
      </c>
      <c r="K208">
        <v>46245</v>
      </c>
      <c r="L208" t="s">
        <v>195</v>
      </c>
      <c r="M208">
        <v>6.4102941176470569</v>
      </c>
      <c r="N208">
        <v>2.8454859805465769</v>
      </c>
      <c r="O208">
        <v>2.8454859805465769</v>
      </c>
      <c r="P208">
        <v>0.87274650923181296</v>
      </c>
      <c r="Q208">
        <v>0</v>
      </c>
      <c r="R208">
        <v>0</v>
      </c>
      <c r="S208">
        <v>1.5954859805465769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0.25</v>
      </c>
      <c r="Z208">
        <v>0</v>
      </c>
      <c r="AA208">
        <v>0</v>
      </c>
      <c r="AB208">
        <v>0</v>
      </c>
      <c r="AC208">
        <v>0.12725349076818704</v>
      </c>
      <c r="AD208">
        <v>0</v>
      </c>
      <c r="AE208">
        <v>0.87274650923181296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0.35143381722369771</v>
      </c>
      <c r="AL208">
        <v>0.35143381722369771</v>
      </c>
      <c r="AM208">
        <v>0.30671263720799319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0.64856618277630229</v>
      </c>
      <c r="AY208">
        <v>0</v>
      </c>
      <c r="AZ208">
        <v>4.472118001570452E-2</v>
      </c>
      <c r="BA208">
        <v>0</v>
      </c>
      <c r="BB208">
        <v>0.30671263720799319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3.2603808212892873</v>
      </c>
      <c r="BI208">
        <v>3.2603808212892873</v>
      </c>
      <c r="BJ208">
        <v>1.1458080776286288</v>
      </c>
      <c r="CA208">
        <v>0</v>
      </c>
      <c r="CB208">
        <v>0</v>
      </c>
      <c r="CC208">
        <v>0</v>
      </c>
    </row>
    <row r="209" spans="1:82" hidden="1" x14ac:dyDescent="0.25">
      <c r="A209" t="s">
        <v>128</v>
      </c>
      <c r="B209" t="s">
        <v>372</v>
      </c>
      <c r="C209" t="s">
        <v>72</v>
      </c>
      <c r="D209" s="12">
        <v>46246</v>
      </c>
      <c r="E209" t="s">
        <v>133</v>
      </c>
      <c r="F209" t="s">
        <v>73</v>
      </c>
      <c r="G209">
        <v>12.583037150002053</v>
      </c>
      <c r="H209">
        <v>18.05</v>
      </c>
      <c r="I209">
        <v>20</v>
      </c>
      <c r="J209">
        <v>18.05</v>
      </c>
      <c r="K209">
        <v>46246</v>
      </c>
      <c r="L209" t="s">
        <v>194</v>
      </c>
      <c r="M209">
        <v>12.738511029411764</v>
      </c>
      <c r="N209">
        <v>1.4344708503063632</v>
      </c>
      <c r="O209">
        <v>1.4344708503063632</v>
      </c>
      <c r="P209">
        <v>1.0123558309139766</v>
      </c>
      <c r="Q209">
        <v>0</v>
      </c>
      <c r="R209">
        <v>0</v>
      </c>
      <c r="S209">
        <v>0.18447085030636323</v>
      </c>
      <c r="T209">
        <v>0</v>
      </c>
      <c r="U209">
        <v>0</v>
      </c>
      <c r="V209">
        <v>0</v>
      </c>
      <c r="W209">
        <v>1.2355830913976629E-2</v>
      </c>
      <c r="X209">
        <v>0</v>
      </c>
      <c r="Y209">
        <v>0.23764416908602337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0.697121171745266</v>
      </c>
      <c r="AL209">
        <v>0.697121171745266</v>
      </c>
      <c r="AM209">
        <v>0.70573468306990383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0.29426531693009617</v>
      </c>
      <c r="AY209">
        <v>0</v>
      </c>
      <c r="AZ209">
        <v>0</v>
      </c>
      <c r="BA209">
        <v>0</v>
      </c>
      <c r="BB209">
        <v>0.697121171745266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1.4169630939067066</v>
      </c>
      <c r="BI209">
        <v>1.4169630939067066</v>
      </c>
      <c r="BJ209">
        <v>0.98779497234404079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0.41696309390670661</v>
      </c>
      <c r="BT209">
        <v>0</v>
      </c>
      <c r="BU209">
        <v>0</v>
      </c>
      <c r="BV209">
        <v>0</v>
      </c>
      <c r="BW209">
        <v>1.2205027655959211E-2</v>
      </c>
      <c r="BX209">
        <v>0</v>
      </c>
      <c r="BY209">
        <v>0.98779497234404079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 hidden="1" x14ac:dyDescent="0.25">
      <c r="A210" t="s">
        <v>128</v>
      </c>
      <c r="B210" t="s">
        <v>502</v>
      </c>
      <c r="C210" t="s">
        <v>72</v>
      </c>
      <c r="D210" s="12">
        <v>46246</v>
      </c>
      <c r="E210" t="s">
        <v>133</v>
      </c>
      <c r="F210" t="s">
        <v>73</v>
      </c>
      <c r="G210">
        <v>9.9149198152032554</v>
      </c>
      <c r="H210">
        <v>32.299999999999997</v>
      </c>
      <c r="I210">
        <v>20</v>
      </c>
      <c r="J210">
        <v>32.299999999999997</v>
      </c>
      <c r="K210">
        <v>46246</v>
      </c>
      <c r="L210" t="s">
        <v>194</v>
      </c>
      <c r="M210">
        <v>10.212545955882351</v>
      </c>
      <c r="N210">
        <v>3.2577167140042924</v>
      </c>
      <c r="O210">
        <v>3.2577167140042924</v>
      </c>
      <c r="P210">
        <v>1.0300180078332781</v>
      </c>
      <c r="Q210">
        <v>0</v>
      </c>
      <c r="R210">
        <v>0</v>
      </c>
      <c r="S210">
        <v>2.0077167140042924</v>
      </c>
      <c r="T210">
        <v>0</v>
      </c>
      <c r="U210">
        <v>0</v>
      </c>
      <c r="V210">
        <v>0</v>
      </c>
      <c r="W210">
        <v>3.0018007833278126E-2</v>
      </c>
      <c r="X210">
        <v>0</v>
      </c>
      <c r="Y210">
        <v>0.21998199216672187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0.30696346177099865</v>
      </c>
      <c r="AL210">
        <v>0.30696346177099865</v>
      </c>
      <c r="AM210">
        <v>0.31617789337097069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0.68382210662902931</v>
      </c>
      <c r="AY210">
        <v>0</v>
      </c>
      <c r="AZ210">
        <v>0</v>
      </c>
      <c r="BA210">
        <v>0</v>
      </c>
      <c r="BB210">
        <v>0.30696346177099865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3.1627764652941841</v>
      </c>
      <c r="BI210">
        <v>3.1627764652941841</v>
      </c>
      <c r="BJ210">
        <v>0.97085681259454548</v>
      </c>
      <c r="CA210">
        <v>0</v>
      </c>
      <c r="CB210">
        <v>0</v>
      </c>
      <c r="CC210">
        <v>0</v>
      </c>
    </row>
    <row r="211" spans="1:82" hidden="1" x14ac:dyDescent="0.25">
      <c r="A211" t="s">
        <v>128</v>
      </c>
      <c r="B211" t="s">
        <v>503</v>
      </c>
      <c r="C211" t="s">
        <v>72</v>
      </c>
      <c r="D211" s="12">
        <v>46246</v>
      </c>
      <c r="E211" t="s">
        <v>133</v>
      </c>
      <c r="F211" t="s">
        <v>73</v>
      </c>
      <c r="G211">
        <v>9.36343093325093</v>
      </c>
      <c r="H211">
        <v>32.299999999999997</v>
      </c>
      <c r="I211">
        <v>20</v>
      </c>
      <c r="J211">
        <v>32.299999999999997</v>
      </c>
      <c r="K211">
        <v>46246</v>
      </c>
      <c r="L211" t="s">
        <v>194</v>
      </c>
      <c r="M211">
        <v>7.8392156862745086</v>
      </c>
      <c r="N211">
        <v>3.4495902442445443</v>
      </c>
      <c r="O211">
        <v>3.4495902442445443</v>
      </c>
      <c r="P211">
        <v>0.83721615956350925</v>
      </c>
      <c r="Q211">
        <v>0</v>
      </c>
      <c r="R211">
        <v>0</v>
      </c>
      <c r="S211">
        <v>2.1995902442445443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0.25</v>
      </c>
      <c r="Z211">
        <v>0</v>
      </c>
      <c r="AA211">
        <v>0</v>
      </c>
      <c r="AB211">
        <v>0</v>
      </c>
      <c r="AC211">
        <v>0.16278384043649075</v>
      </c>
      <c r="AD211">
        <v>0</v>
      </c>
      <c r="AE211">
        <v>0.83721615956350925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0.28988950257742818</v>
      </c>
      <c r="AL211">
        <v>0.28988950257742818</v>
      </c>
      <c r="AM211">
        <v>0.24270017604565045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0.71011049742257182</v>
      </c>
      <c r="AY211">
        <v>0</v>
      </c>
      <c r="AZ211">
        <v>4.7189326531777737E-2</v>
      </c>
      <c r="BA211">
        <v>0</v>
      </c>
      <c r="BB211">
        <v>0.24270017604565045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4.1203101550775392</v>
      </c>
      <c r="BI211">
        <v>4.1203101550775392</v>
      </c>
      <c r="BJ211">
        <v>1.1944346613201537</v>
      </c>
      <c r="CA211">
        <v>0</v>
      </c>
      <c r="CB211">
        <v>0</v>
      </c>
      <c r="CC211">
        <v>0</v>
      </c>
    </row>
    <row r="212" spans="1:82" hidden="1" x14ac:dyDescent="0.25">
      <c r="A212" t="s">
        <v>128</v>
      </c>
      <c r="B212" t="s">
        <v>372</v>
      </c>
      <c r="C212" t="s">
        <v>72</v>
      </c>
      <c r="D212" s="12">
        <v>46246</v>
      </c>
      <c r="E212" t="s">
        <v>133</v>
      </c>
      <c r="F212" t="s">
        <v>74</v>
      </c>
      <c r="G212">
        <v>4.2207252494765797</v>
      </c>
      <c r="H212">
        <v>3.8</v>
      </c>
      <c r="I212">
        <v>20</v>
      </c>
      <c r="J212">
        <v>3.8</v>
      </c>
      <c r="K212">
        <v>46246</v>
      </c>
      <c r="L212" t="s">
        <v>193</v>
      </c>
      <c r="M212">
        <v>4.6875</v>
      </c>
      <c r="N212">
        <v>0.90031920473175675</v>
      </c>
      <c r="O212">
        <v>0.90031920473175675</v>
      </c>
      <c r="P212">
        <v>1.1105911242579236</v>
      </c>
      <c r="Q212">
        <v>0.11059112425792361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9.968079526824325E-2</v>
      </c>
      <c r="AA212">
        <v>0</v>
      </c>
      <c r="AB212">
        <v>0</v>
      </c>
      <c r="AC212">
        <v>0</v>
      </c>
      <c r="AD212">
        <v>0</v>
      </c>
      <c r="AE212">
        <v>0.90031920473175675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1.1107171709148895</v>
      </c>
      <c r="AL212">
        <v>1.1107171709148895</v>
      </c>
      <c r="AM212">
        <v>1.2335526315789473</v>
      </c>
      <c r="AN212">
        <v>0.12283546066405782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0.11071717091488953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0.81066666666666665</v>
      </c>
      <c r="BI212">
        <v>0.81066666666666665</v>
      </c>
      <c r="BJ212">
        <v>0.9004213865550037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9.95786134449963E-2</v>
      </c>
      <c r="BV212">
        <v>0</v>
      </c>
      <c r="BW212">
        <v>0</v>
      </c>
      <c r="BX212">
        <v>0</v>
      </c>
      <c r="BY212">
        <v>0.81066666666666665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 hidden="1" x14ac:dyDescent="0.25">
      <c r="A213" t="s">
        <v>128</v>
      </c>
      <c r="B213" t="s">
        <v>503</v>
      </c>
      <c r="C213" t="s">
        <v>72</v>
      </c>
      <c r="D213" s="12">
        <v>46246</v>
      </c>
      <c r="E213" t="s">
        <v>133</v>
      </c>
      <c r="F213" t="s">
        <v>74</v>
      </c>
      <c r="G213">
        <v>3.8126545117428936</v>
      </c>
      <c r="H213">
        <v>7.6</v>
      </c>
      <c r="I213">
        <v>20</v>
      </c>
      <c r="J213">
        <v>7.6</v>
      </c>
      <c r="K213">
        <v>46246</v>
      </c>
      <c r="L213" t="s">
        <v>193</v>
      </c>
      <c r="M213">
        <v>3.0882352941176467</v>
      </c>
      <c r="N213">
        <v>1.9933618366395811</v>
      </c>
      <c r="O213">
        <v>1.9933618366395811</v>
      </c>
      <c r="P213">
        <v>0.8099961023496749</v>
      </c>
      <c r="Q213">
        <v>0</v>
      </c>
      <c r="R213">
        <v>0</v>
      </c>
      <c r="S213">
        <v>0.74336183663958111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0.25</v>
      </c>
      <c r="Z213">
        <v>0</v>
      </c>
      <c r="AA213">
        <v>0</v>
      </c>
      <c r="AB213">
        <v>0</v>
      </c>
      <c r="AC213">
        <v>0.1900038976503251</v>
      </c>
      <c r="AD213">
        <v>0</v>
      </c>
      <c r="AE213">
        <v>0.8099961023496749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0.50166506733459126</v>
      </c>
      <c r="AL213">
        <v>0.50166506733459126</v>
      </c>
      <c r="AM213">
        <v>0.40634674922600617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0.49833493266540874</v>
      </c>
      <c r="AY213">
        <v>0</v>
      </c>
      <c r="AZ213">
        <v>9.5318318108585098E-2</v>
      </c>
      <c r="BA213">
        <v>0</v>
      </c>
      <c r="BB213">
        <v>0.40634674922600617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2.460952380952381</v>
      </c>
      <c r="BI213">
        <v>2.460952380952381</v>
      </c>
      <c r="BJ213">
        <v>1.234573841897699</v>
      </c>
      <c r="CA213">
        <v>0</v>
      </c>
      <c r="CB213">
        <v>0</v>
      </c>
      <c r="CC213">
        <v>0</v>
      </c>
    </row>
    <row r="214" spans="1:82" hidden="1" x14ac:dyDescent="0.25">
      <c r="A214" t="s">
        <v>128</v>
      </c>
      <c r="B214" t="s">
        <v>502</v>
      </c>
      <c r="C214" t="s">
        <v>72</v>
      </c>
      <c r="D214" s="12">
        <v>46246</v>
      </c>
      <c r="E214" t="s">
        <v>133</v>
      </c>
      <c r="F214" t="s">
        <v>74</v>
      </c>
      <c r="G214">
        <v>4.437063563709744</v>
      </c>
      <c r="H214">
        <v>7.6</v>
      </c>
      <c r="I214">
        <v>20</v>
      </c>
      <c r="J214">
        <v>7.6</v>
      </c>
      <c r="K214">
        <v>46246</v>
      </c>
      <c r="L214" t="s">
        <v>193</v>
      </c>
      <c r="M214">
        <v>4.8983532475490188</v>
      </c>
      <c r="N214">
        <v>1.7128445177480813</v>
      </c>
      <c r="O214">
        <v>1.7128445177480813</v>
      </c>
      <c r="P214">
        <v>1.1039628297444537</v>
      </c>
      <c r="Q214">
        <v>0</v>
      </c>
      <c r="R214">
        <v>0</v>
      </c>
      <c r="S214">
        <v>0.46284451774808133</v>
      </c>
      <c r="T214">
        <v>0</v>
      </c>
      <c r="U214">
        <v>0</v>
      </c>
      <c r="V214">
        <v>0</v>
      </c>
      <c r="W214">
        <v>0.1039628297444537</v>
      </c>
      <c r="X214">
        <v>0</v>
      </c>
      <c r="Y214">
        <v>0.1460371702555463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0.58382415311970315</v>
      </c>
      <c r="AL214">
        <v>0.58382415311970315</v>
      </c>
      <c r="AM214">
        <v>0.64452016415118674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0.35547983584881326</v>
      </c>
      <c r="AY214">
        <v>0</v>
      </c>
      <c r="AZ214">
        <v>0</v>
      </c>
      <c r="BA214">
        <v>0</v>
      </c>
      <c r="BB214">
        <v>0.58382415311970315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1.5515418378212718</v>
      </c>
      <c r="BI214">
        <v>1.5515418378212718</v>
      </c>
      <c r="BJ214">
        <v>0.90582759949579184</v>
      </c>
      <c r="CA214">
        <v>0</v>
      </c>
      <c r="CB214">
        <v>0</v>
      </c>
      <c r="CC214">
        <v>0</v>
      </c>
    </row>
    <row r="215" spans="1:82" hidden="1" x14ac:dyDescent="0.25">
      <c r="A215" t="s">
        <v>128</v>
      </c>
      <c r="B215" t="s">
        <v>503</v>
      </c>
      <c r="C215" t="s">
        <v>72</v>
      </c>
      <c r="D215" s="12">
        <v>46246</v>
      </c>
      <c r="E215" t="s">
        <v>133</v>
      </c>
      <c r="F215" t="s">
        <v>75</v>
      </c>
      <c r="G215">
        <v>6.6721453955500643</v>
      </c>
      <c r="H215">
        <v>20.9</v>
      </c>
      <c r="I215">
        <v>20</v>
      </c>
      <c r="J215">
        <v>20.9</v>
      </c>
      <c r="K215">
        <v>46246</v>
      </c>
      <c r="L215" t="s">
        <v>201</v>
      </c>
      <c r="M215">
        <v>5.4696078431372541</v>
      </c>
      <c r="N215">
        <v>3.1324257432907698</v>
      </c>
      <c r="O215">
        <v>3.1324257432907698</v>
      </c>
      <c r="P215">
        <v>0.81976748390182963</v>
      </c>
      <c r="Q215">
        <v>0</v>
      </c>
      <c r="R215">
        <v>0</v>
      </c>
      <c r="S215">
        <v>1.8824257432907698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0.25</v>
      </c>
      <c r="Z215">
        <v>0</v>
      </c>
      <c r="AA215">
        <v>0</v>
      </c>
      <c r="AB215">
        <v>0</v>
      </c>
      <c r="AC215">
        <v>0.18023251609817037</v>
      </c>
      <c r="AD215">
        <v>0</v>
      </c>
      <c r="AE215">
        <v>0.81976748390182963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0.31924140648564903</v>
      </c>
      <c r="AL215">
        <v>0.31924140648564903</v>
      </c>
      <c r="AM215">
        <v>0.26170372455202173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0.68075859351435097</v>
      </c>
      <c r="AY215">
        <v>0</v>
      </c>
      <c r="AZ215">
        <v>5.7537681933627294E-2</v>
      </c>
      <c r="BA215">
        <v>0</v>
      </c>
      <c r="BB215">
        <v>0.26170372455202173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3.8211148951424989</v>
      </c>
      <c r="BI215">
        <v>3.8211148951424989</v>
      </c>
      <c r="BJ215">
        <v>1.2198580934685546</v>
      </c>
      <c r="CA215">
        <v>0</v>
      </c>
      <c r="CB215">
        <v>0</v>
      </c>
      <c r="CC215">
        <v>0</v>
      </c>
    </row>
    <row r="216" spans="1:82" hidden="1" x14ac:dyDescent="0.25">
      <c r="A216" t="s">
        <v>128</v>
      </c>
      <c r="B216" t="s">
        <v>372</v>
      </c>
      <c r="C216" t="s">
        <v>72</v>
      </c>
      <c r="D216" s="12">
        <v>46246</v>
      </c>
      <c r="E216" t="s">
        <v>133</v>
      </c>
      <c r="F216" t="s">
        <v>75</v>
      </c>
      <c r="G216">
        <v>10.815608451783737</v>
      </c>
      <c r="H216">
        <v>10.45</v>
      </c>
      <c r="I216">
        <v>20</v>
      </c>
      <c r="J216">
        <v>10.45</v>
      </c>
      <c r="K216">
        <v>46246</v>
      </c>
      <c r="L216" t="s">
        <v>201</v>
      </c>
      <c r="M216">
        <v>12.292738970588236</v>
      </c>
      <c r="N216">
        <v>0.9661962197121291</v>
      </c>
      <c r="O216">
        <v>0.9661962197121291</v>
      </c>
      <c r="P216">
        <v>1.1365739639512271</v>
      </c>
      <c r="Q216">
        <v>0.13657396395122712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3.3803780287870899E-2</v>
      </c>
      <c r="AA216">
        <v>0</v>
      </c>
      <c r="AB216">
        <v>0</v>
      </c>
      <c r="AC216">
        <v>0</v>
      </c>
      <c r="AD216">
        <v>0</v>
      </c>
      <c r="AE216">
        <v>0.9661962197121291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1.0349864547161471</v>
      </c>
      <c r="AL216">
        <v>1.0349864547161471</v>
      </c>
      <c r="AM216">
        <v>1.1763386574725585</v>
      </c>
      <c r="AN216">
        <v>0.14135220275641136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3.4986454716147142E-2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0.85009533066656695</v>
      </c>
      <c r="BI216">
        <v>0.85009533066656695</v>
      </c>
      <c r="BJ216">
        <v>0.87983715245734084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0.12016284754265916</v>
      </c>
      <c r="BV216">
        <v>0</v>
      </c>
      <c r="BW216">
        <v>0</v>
      </c>
      <c r="BX216">
        <v>0</v>
      </c>
      <c r="BY216">
        <v>0.85009533066656695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 hidden="1" x14ac:dyDescent="0.25">
      <c r="A217" t="s">
        <v>128</v>
      </c>
      <c r="B217" t="s">
        <v>502</v>
      </c>
      <c r="C217" t="s">
        <v>72</v>
      </c>
      <c r="D217" s="12">
        <v>46246</v>
      </c>
      <c r="E217" t="s">
        <v>133</v>
      </c>
      <c r="F217" t="s">
        <v>75</v>
      </c>
      <c r="G217">
        <v>8.216784377240268</v>
      </c>
      <c r="H217">
        <v>20.9</v>
      </c>
      <c r="I217">
        <v>20</v>
      </c>
      <c r="J217">
        <v>20.9</v>
      </c>
      <c r="K217">
        <v>46246</v>
      </c>
      <c r="L217" t="s">
        <v>201</v>
      </c>
      <c r="M217">
        <v>9.8891007965686271</v>
      </c>
      <c r="N217">
        <v>2.5435741088559003</v>
      </c>
      <c r="O217">
        <v>2.5435741088559003</v>
      </c>
      <c r="P217">
        <v>1.2035244376085272</v>
      </c>
      <c r="Q217">
        <v>0</v>
      </c>
      <c r="R217">
        <v>0</v>
      </c>
      <c r="S217">
        <v>1.2935741088559003</v>
      </c>
      <c r="T217">
        <v>0</v>
      </c>
      <c r="U217">
        <v>0</v>
      </c>
      <c r="V217">
        <v>0</v>
      </c>
      <c r="W217">
        <v>0.20352443760852723</v>
      </c>
      <c r="X217">
        <v>0</v>
      </c>
      <c r="Y217">
        <v>4.6475562391472769E-2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0.39314757785838605</v>
      </c>
      <c r="AL217">
        <v>0.39314757785838605</v>
      </c>
      <c r="AM217">
        <v>0.47316271753916878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0.52683728246083117</v>
      </c>
      <c r="AY217">
        <v>0</v>
      </c>
      <c r="AZ217">
        <v>0</v>
      </c>
      <c r="BA217">
        <v>0</v>
      </c>
      <c r="BB217">
        <v>0.39314757785838605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2.1134378574897319</v>
      </c>
      <c r="BI217">
        <v>2.1134378574897319</v>
      </c>
      <c r="BJ217">
        <v>0.83089297462630496</v>
      </c>
      <c r="CA217">
        <v>0</v>
      </c>
      <c r="CB217">
        <v>0</v>
      </c>
      <c r="CC217">
        <v>0</v>
      </c>
    </row>
    <row r="218" spans="1:82" hidden="1" x14ac:dyDescent="0.25">
      <c r="A218" t="s">
        <v>128</v>
      </c>
      <c r="B218" t="s">
        <v>503</v>
      </c>
      <c r="C218" t="s">
        <v>72</v>
      </c>
      <c r="D218" s="12">
        <v>46247</v>
      </c>
      <c r="E218" t="s">
        <v>133</v>
      </c>
      <c r="F218" t="s">
        <v>73</v>
      </c>
      <c r="G218">
        <v>10.316594561186651</v>
      </c>
      <c r="H218">
        <v>41.8</v>
      </c>
      <c r="I218">
        <v>20</v>
      </c>
      <c r="J218">
        <v>41.8</v>
      </c>
      <c r="K218">
        <v>46247</v>
      </c>
      <c r="L218" t="s">
        <v>174</v>
      </c>
      <c r="M218">
        <v>10.075490196078428</v>
      </c>
      <c r="N218">
        <v>4.0517246027348017</v>
      </c>
      <c r="O218">
        <v>4.0517246027348017</v>
      </c>
      <c r="P218">
        <v>0.97662946201110667</v>
      </c>
      <c r="Q218">
        <v>0</v>
      </c>
      <c r="R218">
        <v>0</v>
      </c>
      <c r="S218">
        <v>2.8017246027348017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0.25</v>
      </c>
      <c r="Z218">
        <v>0</v>
      </c>
      <c r="AA218">
        <v>0</v>
      </c>
      <c r="AB218">
        <v>0</v>
      </c>
      <c r="AC218">
        <v>2.3370537988893325E-2</v>
      </c>
      <c r="AD218">
        <v>0</v>
      </c>
      <c r="AE218">
        <v>0.97662946201110667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0.24680848232503952</v>
      </c>
      <c r="AL218">
        <v>0.24680848232503952</v>
      </c>
      <c r="AM218">
        <v>0.24104043531288108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0.75319151767496051</v>
      </c>
      <c r="AY218">
        <v>0</v>
      </c>
      <c r="AZ218">
        <v>5.7680470121584393E-3</v>
      </c>
      <c r="BA218">
        <v>0</v>
      </c>
      <c r="BB218">
        <v>0.24104043531288108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4.1486815218448969</v>
      </c>
      <c r="BI218">
        <v>4.1486815218448969</v>
      </c>
      <c r="BJ218">
        <v>1.0239297900564743</v>
      </c>
      <c r="CA218">
        <v>0</v>
      </c>
      <c r="CB218">
        <v>0</v>
      </c>
      <c r="CC218">
        <v>0</v>
      </c>
    </row>
    <row r="219" spans="1:82" hidden="1" x14ac:dyDescent="0.25">
      <c r="A219" t="s">
        <v>128</v>
      </c>
      <c r="B219" t="s">
        <v>372</v>
      </c>
      <c r="C219" t="s">
        <v>72</v>
      </c>
      <c r="D219" s="12">
        <v>46247</v>
      </c>
      <c r="E219" t="s">
        <v>133</v>
      </c>
      <c r="F219" t="s">
        <v>73</v>
      </c>
      <c r="G219">
        <v>10.89474705021142</v>
      </c>
      <c r="H219">
        <v>10.45</v>
      </c>
      <c r="I219">
        <v>20</v>
      </c>
      <c r="J219">
        <v>10.45</v>
      </c>
      <c r="K219">
        <v>46247</v>
      </c>
      <c r="L219" t="s">
        <v>174</v>
      </c>
      <c r="M219">
        <v>12.09375</v>
      </c>
      <c r="N219">
        <v>0.95917784523480154</v>
      </c>
      <c r="O219">
        <v>0.95917784523480154</v>
      </c>
      <c r="P219">
        <v>1.1100533077328594</v>
      </c>
      <c r="Q219">
        <v>0.11005330773285937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4.082215476519846E-2</v>
      </c>
      <c r="AA219">
        <v>0</v>
      </c>
      <c r="AB219">
        <v>0</v>
      </c>
      <c r="AC219">
        <v>0</v>
      </c>
      <c r="AD219">
        <v>0</v>
      </c>
      <c r="AE219">
        <v>0.95917784523480154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1.042559526336021</v>
      </c>
      <c r="AL219">
        <v>1.042559526336021</v>
      </c>
      <c r="AM219">
        <v>1.1572966507177034</v>
      </c>
      <c r="AN219">
        <v>0.11473712438168238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4.2559526336021003E-2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0.86408268733850124</v>
      </c>
      <c r="BI219">
        <v>0.86408268733850124</v>
      </c>
      <c r="BJ219">
        <v>0.90085763722678402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9.9142362773215975E-2</v>
      </c>
      <c r="BV219">
        <v>0</v>
      </c>
      <c r="BW219">
        <v>0</v>
      </c>
      <c r="BX219">
        <v>0</v>
      </c>
      <c r="BY219">
        <v>0.86408268733850124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 hidden="1" x14ac:dyDescent="0.25">
      <c r="A220" t="s">
        <v>128</v>
      </c>
      <c r="B220" t="s">
        <v>502</v>
      </c>
      <c r="C220" t="s">
        <v>72</v>
      </c>
      <c r="D220" s="12">
        <v>46247</v>
      </c>
      <c r="E220" t="s">
        <v>133</v>
      </c>
      <c r="F220" t="s">
        <v>73</v>
      </c>
      <c r="G220">
        <v>9.9149198152032554</v>
      </c>
      <c r="H220">
        <v>41.8</v>
      </c>
      <c r="I220">
        <v>20</v>
      </c>
      <c r="J220">
        <v>41.8</v>
      </c>
      <c r="K220">
        <v>46247</v>
      </c>
      <c r="L220" t="s">
        <v>174</v>
      </c>
      <c r="M220">
        <v>11.032858455882351</v>
      </c>
      <c r="N220">
        <v>4.2158686887114376</v>
      </c>
      <c r="O220">
        <v>4.2158686887114376</v>
      </c>
      <c r="P220">
        <v>1.1127531701229576</v>
      </c>
      <c r="Q220">
        <v>0</v>
      </c>
      <c r="R220">
        <v>0</v>
      </c>
      <c r="S220">
        <v>2.9658686887114376</v>
      </c>
      <c r="T220">
        <v>0</v>
      </c>
      <c r="U220">
        <v>0</v>
      </c>
      <c r="V220">
        <v>0</v>
      </c>
      <c r="W220">
        <v>0.1127531701229576</v>
      </c>
      <c r="X220">
        <v>0</v>
      </c>
      <c r="Y220">
        <v>0.1372468298770424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0.23719903864122621</v>
      </c>
      <c r="AL220">
        <v>0.23719903864122621</v>
      </c>
      <c r="AM220">
        <v>0.26394398219814241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0.73605601780185759</v>
      </c>
      <c r="AY220">
        <v>0</v>
      </c>
      <c r="AZ220">
        <v>0</v>
      </c>
      <c r="BA220">
        <v>0</v>
      </c>
      <c r="BB220">
        <v>0.23719903864122621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3.7886827033218786</v>
      </c>
      <c r="BI220">
        <v>3.7886827033218786</v>
      </c>
      <c r="BJ220">
        <v>0.89867189494459176</v>
      </c>
      <c r="CA220">
        <v>0</v>
      </c>
      <c r="CB220">
        <v>0</v>
      </c>
      <c r="CC220">
        <v>0</v>
      </c>
    </row>
    <row r="221" spans="1:82" hidden="1" x14ac:dyDescent="0.25">
      <c r="A221" t="s">
        <v>128</v>
      </c>
      <c r="B221" t="s">
        <v>503</v>
      </c>
      <c r="C221" t="s">
        <v>72</v>
      </c>
      <c r="D221" s="12">
        <v>46247</v>
      </c>
      <c r="E221" t="s">
        <v>133</v>
      </c>
      <c r="F221" t="s">
        <v>74</v>
      </c>
      <c r="G221">
        <v>3.8126545117428936</v>
      </c>
      <c r="H221">
        <v>9.5</v>
      </c>
      <c r="I221">
        <v>20</v>
      </c>
      <c r="J221">
        <v>9.5</v>
      </c>
      <c r="K221">
        <v>46247</v>
      </c>
      <c r="L221" t="s">
        <v>162</v>
      </c>
      <c r="M221">
        <v>3.2058823529411757</v>
      </c>
      <c r="N221">
        <v>2.4917022957994766</v>
      </c>
      <c r="O221">
        <v>2.4917022957994766</v>
      </c>
      <c r="P221">
        <v>0.8408530967249005</v>
      </c>
      <c r="Q221">
        <v>0</v>
      </c>
      <c r="R221">
        <v>0</v>
      </c>
      <c r="S221">
        <v>1.2417022957994766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0.25</v>
      </c>
      <c r="Z221">
        <v>0</v>
      </c>
      <c r="AA221">
        <v>0</v>
      </c>
      <c r="AB221">
        <v>0</v>
      </c>
      <c r="AC221">
        <v>0.1591469032750995</v>
      </c>
      <c r="AD221">
        <v>0</v>
      </c>
      <c r="AE221">
        <v>0.8408530967249005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0.40133205386767301</v>
      </c>
      <c r="AL221">
        <v>0.40133205386767301</v>
      </c>
      <c r="AM221">
        <v>0.33746130030959742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0.59866794613232699</v>
      </c>
      <c r="AY221">
        <v>0</v>
      </c>
      <c r="AZ221">
        <v>6.3870753558075588E-2</v>
      </c>
      <c r="BA221">
        <v>0</v>
      </c>
      <c r="BB221">
        <v>0.33746130030959742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2.9633027522935786</v>
      </c>
      <c r="BI221">
        <v>2.9633027522935786</v>
      </c>
      <c r="BJ221">
        <v>1.1892683798097101</v>
      </c>
      <c r="CA221">
        <v>0</v>
      </c>
      <c r="CB221">
        <v>0</v>
      </c>
      <c r="CC221">
        <v>0</v>
      </c>
    </row>
    <row r="222" spans="1:82" hidden="1" x14ac:dyDescent="0.25">
      <c r="A222" t="s">
        <v>128</v>
      </c>
      <c r="B222" t="s">
        <v>372</v>
      </c>
      <c r="C222" t="s">
        <v>72</v>
      </c>
      <c r="D222" s="12">
        <v>46247</v>
      </c>
      <c r="E222" t="s">
        <v>133</v>
      </c>
      <c r="F222" t="s">
        <v>74</v>
      </c>
      <c r="G222">
        <v>4.2207252494765797</v>
      </c>
      <c r="H222">
        <v>4.75</v>
      </c>
      <c r="I222">
        <v>20</v>
      </c>
      <c r="J222">
        <v>4.75</v>
      </c>
      <c r="K222">
        <v>46247</v>
      </c>
      <c r="L222" t="s">
        <v>162</v>
      </c>
      <c r="M222">
        <v>4.6875</v>
      </c>
      <c r="N222">
        <v>1.1253990059146959</v>
      </c>
      <c r="O222">
        <v>1.1253990059146959</v>
      </c>
      <c r="P222">
        <v>1.1105911242579236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0.11059112425792361</v>
      </c>
      <c r="X222">
        <v>0</v>
      </c>
      <c r="Y222">
        <v>1.480788165677227E-2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0.88857373673191153</v>
      </c>
      <c r="AL222">
        <v>0.88857373673191153</v>
      </c>
      <c r="AM222">
        <v>0.98684210526315785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1.3157894736842146E-2</v>
      </c>
      <c r="AY222">
        <v>0</v>
      </c>
      <c r="AZ222">
        <v>0</v>
      </c>
      <c r="BA222">
        <v>0</v>
      </c>
      <c r="BB222">
        <v>0.88857373673191153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1.0133333333333334</v>
      </c>
      <c r="BI222">
        <v>1.0133333333333334</v>
      </c>
      <c r="BJ222">
        <v>0.9004213865550037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1.3333333333333419E-2</v>
      </c>
      <c r="BT222">
        <v>0</v>
      </c>
      <c r="BU222">
        <v>0</v>
      </c>
      <c r="BV222">
        <v>0</v>
      </c>
      <c r="BW222">
        <v>9.95786134449963E-2</v>
      </c>
      <c r="BX222">
        <v>0</v>
      </c>
      <c r="BY222">
        <v>0.9004213865550037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 hidden="1" x14ac:dyDescent="0.25">
      <c r="A223" t="s">
        <v>128</v>
      </c>
      <c r="B223" t="s">
        <v>502</v>
      </c>
      <c r="C223" t="s">
        <v>72</v>
      </c>
      <c r="D223" s="12">
        <v>46247</v>
      </c>
      <c r="E223" t="s">
        <v>133</v>
      </c>
      <c r="F223" t="s">
        <v>74</v>
      </c>
      <c r="G223">
        <v>4.437063563709744</v>
      </c>
      <c r="H223">
        <v>9.5</v>
      </c>
      <c r="I223">
        <v>20</v>
      </c>
      <c r="J223">
        <v>9.5</v>
      </c>
      <c r="K223">
        <v>46247</v>
      </c>
      <c r="L223" t="s">
        <v>162</v>
      </c>
      <c r="M223">
        <v>4.8679074754901954</v>
      </c>
      <c r="N223">
        <v>2.1410556471851017</v>
      </c>
      <c r="O223">
        <v>2.1410556471851017</v>
      </c>
      <c r="P223">
        <v>1.0971011358287217</v>
      </c>
      <c r="Q223">
        <v>0</v>
      </c>
      <c r="R223">
        <v>0</v>
      </c>
      <c r="S223">
        <v>0.89105564718510166</v>
      </c>
      <c r="T223">
        <v>0</v>
      </c>
      <c r="U223">
        <v>0</v>
      </c>
      <c r="V223">
        <v>0</v>
      </c>
      <c r="W223">
        <v>9.7101135828721707E-2</v>
      </c>
      <c r="X223">
        <v>0</v>
      </c>
      <c r="Y223">
        <v>0.15289886417127829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0.46705932249576254</v>
      </c>
      <c r="AL223">
        <v>0.46705932249576254</v>
      </c>
      <c r="AM223">
        <v>0.51241131320949429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0.48758868679050571</v>
      </c>
      <c r="AY223">
        <v>0</v>
      </c>
      <c r="AZ223">
        <v>0</v>
      </c>
      <c r="BA223">
        <v>0</v>
      </c>
      <c r="BB223">
        <v>0.46705932249576254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1.9515572240911081</v>
      </c>
      <c r="BI223">
        <v>1.9515572240911081</v>
      </c>
      <c r="BJ223">
        <v>0.91149299489570401</v>
      </c>
      <c r="CA223">
        <v>0</v>
      </c>
      <c r="CB223">
        <v>0</v>
      </c>
      <c r="CC223">
        <v>0</v>
      </c>
    </row>
    <row r="224" spans="1:82" hidden="1" x14ac:dyDescent="0.25">
      <c r="A224" t="s">
        <v>128</v>
      </c>
      <c r="B224" t="s">
        <v>503</v>
      </c>
      <c r="C224" t="s">
        <v>72</v>
      </c>
      <c r="D224" s="12">
        <v>46247</v>
      </c>
      <c r="E224" t="s">
        <v>133</v>
      </c>
      <c r="F224" t="s">
        <v>75</v>
      </c>
      <c r="G224">
        <v>7.4010352286773822</v>
      </c>
      <c r="H224">
        <v>22.799999999999997</v>
      </c>
      <c r="I224">
        <v>20</v>
      </c>
      <c r="J224">
        <v>22.799999999999997</v>
      </c>
      <c r="K224">
        <v>46247</v>
      </c>
      <c r="L224" t="s">
        <v>161</v>
      </c>
      <c r="M224">
        <v>6.4686274509803905</v>
      </c>
      <c r="N224">
        <v>3.0806501111702613</v>
      </c>
      <c r="O224">
        <v>3.0806501111702613</v>
      </c>
      <c r="P224">
        <v>0.87401657350797135</v>
      </c>
      <c r="Q224">
        <v>0</v>
      </c>
      <c r="R224">
        <v>0</v>
      </c>
      <c r="S224">
        <v>1.8306501111702613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0.25</v>
      </c>
      <c r="Z224">
        <v>0</v>
      </c>
      <c r="AA224">
        <v>0</v>
      </c>
      <c r="AB224">
        <v>0</v>
      </c>
      <c r="AC224">
        <v>0.12598342649202865</v>
      </c>
      <c r="AD224">
        <v>0</v>
      </c>
      <c r="AE224">
        <v>0.87401657350797135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0.32460680827532384</v>
      </c>
      <c r="AL224">
        <v>0.32460680827532384</v>
      </c>
      <c r="AM224">
        <v>0.28371173030615754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0.67539319172467616</v>
      </c>
      <c r="AY224">
        <v>0</v>
      </c>
      <c r="AZ224">
        <v>4.0895077969166305E-2</v>
      </c>
      <c r="BA224">
        <v>0</v>
      </c>
      <c r="BB224">
        <v>0.28371173030615754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3.5247044558957263</v>
      </c>
      <c r="BI224">
        <v>3.5247044558957263</v>
      </c>
      <c r="BJ224">
        <v>1.1441430635421237</v>
      </c>
      <c r="CA224">
        <v>0</v>
      </c>
      <c r="CB224">
        <v>0</v>
      </c>
      <c r="CC224">
        <v>0</v>
      </c>
    </row>
    <row r="225" spans="1:82" hidden="1" x14ac:dyDescent="0.25">
      <c r="A225" t="s">
        <v>128</v>
      </c>
      <c r="B225" t="s">
        <v>372</v>
      </c>
      <c r="C225" t="s">
        <v>72</v>
      </c>
      <c r="D225" s="12">
        <v>46247</v>
      </c>
      <c r="E225" t="s">
        <v>133</v>
      </c>
      <c r="F225" t="s">
        <v>75</v>
      </c>
      <c r="G225">
        <v>10.973885648639106</v>
      </c>
      <c r="H225">
        <v>12.35</v>
      </c>
      <c r="I225">
        <v>20</v>
      </c>
      <c r="J225">
        <v>12.35</v>
      </c>
      <c r="K225">
        <v>46247</v>
      </c>
      <c r="L225" t="s">
        <v>161</v>
      </c>
      <c r="M225">
        <v>12.1875</v>
      </c>
      <c r="N225">
        <v>1.1253990059146961</v>
      </c>
      <c r="O225">
        <v>1.1253990059146961</v>
      </c>
      <c r="P225">
        <v>1.1105911242579238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0.11059112425792383</v>
      </c>
      <c r="X225">
        <v>0</v>
      </c>
      <c r="Y225">
        <v>1.480788165677227E-2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0.88857373673191142</v>
      </c>
      <c r="AL225">
        <v>0.88857373673191142</v>
      </c>
      <c r="AM225">
        <v>0.98684210526315796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1.3157894736842035E-2</v>
      </c>
      <c r="AY225">
        <v>0</v>
      </c>
      <c r="AZ225">
        <v>0</v>
      </c>
      <c r="BA225">
        <v>0</v>
      </c>
      <c r="BB225">
        <v>0.88857373673191142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1.0133333333333332</v>
      </c>
      <c r="BI225">
        <v>1.0133333333333332</v>
      </c>
      <c r="BJ225">
        <v>0.90042138655500359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1.3333333333333197E-2</v>
      </c>
      <c r="BT225">
        <v>0</v>
      </c>
      <c r="BU225">
        <v>0</v>
      </c>
      <c r="BV225">
        <v>0</v>
      </c>
      <c r="BW225">
        <v>9.9578613444996411E-2</v>
      </c>
      <c r="BX225">
        <v>0</v>
      </c>
      <c r="BY225">
        <v>0.90042138655500359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 hidden="1" x14ac:dyDescent="0.25">
      <c r="A226" t="s">
        <v>128</v>
      </c>
      <c r="B226" t="s">
        <v>502</v>
      </c>
      <c r="C226" t="s">
        <v>72</v>
      </c>
      <c r="D226" s="12">
        <v>46247</v>
      </c>
      <c r="E226" t="s">
        <v>133</v>
      </c>
      <c r="F226" t="s">
        <v>75</v>
      </c>
      <c r="G226">
        <v>8.1620058147253296</v>
      </c>
      <c r="H226">
        <v>22.799999999999997</v>
      </c>
      <c r="I226">
        <v>20</v>
      </c>
      <c r="J226">
        <v>22.799999999999997</v>
      </c>
      <c r="K226">
        <v>46247</v>
      </c>
      <c r="L226" t="s">
        <v>161</v>
      </c>
      <c r="M226">
        <v>8.2242340686274513</v>
      </c>
      <c r="N226">
        <v>2.7934309920321061</v>
      </c>
      <c r="O226">
        <v>2.7934309920321061</v>
      </c>
      <c r="P226">
        <v>1.0076241374136066</v>
      </c>
      <c r="Q226">
        <v>0</v>
      </c>
      <c r="R226">
        <v>0</v>
      </c>
      <c r="S226">
        <v>1.5434309920321061</v>
      </c>
      <c r="T226">
        <v>0</v>
      </c>
      <c r="U226">
        <v>0</v>
      </c>
      <c r="V226">
        <v>0</v>
      </c>
      <c r="W226">
        <v>7.6241374136065687E-3</v>
      </c>
      <c r="X226">
        <v>0</v>
      </c>
      <c r="Y226">
        <v>0.24237586258639343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0.35798271117216363</v>
      </c>
      <c r="AL226">
        <v>0.35798271117216363</v>
      </c>
      <c r="AM226">
        <v>0.36071202055383561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0.63928797944616433</v>
      </c>
      <c r="AY226">
        <v>0</v>
      </c>
      <c r="AZ226">
        <v>0</v>
      </c>
      <c r="BA226">
        <v>0</v>
      </c>
      <c r="BB226">
        <v>0.35798271117216363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2.7722946367703645</v>
      </c>
      <c r="BI226">
        <v>2.7722946367703645</v>
      </c>
      <c r="BJ226">
        <v>0.99243355023910362</v>
      </c>
      <c r="CA226">
        <v>0</v>
      </c>
      <c r="CB226">
        <v>0</v>
      </c>
      <c r="CC226">
        <v>0</v>
      </c>
    </row>
    <row r="227" spans="1:82" hidden="1" x14ac:dyDescent="0.25">
      <c r="A227" t="s">
        <v>128</v>
      </c>
      <c r="B227" t="s">
        <v>503</v>
      </c>
      <c r="C227" t="s">
        <v>72</v>
      </c>
      <c r="D227" s="12">
        <v>46248</v>
      </c>
      <c r="E227" t="s">
        <v>133</v>
      </c>
      <c r="F227" t="s">
        <v>73</v>
      </c>
      <c r="G227">
        <v>9.36343093325093</v>
      </c>
      <c r="H227">
        <v>38</v>
      </c>
      <c r="I227">
        <v>20</v>
      </c>
      <c r="J227">
        <v>38</v>
      </c>
      <c r="K227">
        <v>46248</v>
      </c>
      <c r="L227" t="s">
        <v>159</v>
      </c>
      <c r="M227">
        <v>9.258823529411762</v>
      </c>
      <c r="N227">
        <v>4.0583414638171114</v>
      </c>
      <c r="O227">
        <v>4.0583414638171114</v>
      </c>
      <c r="P227">
        <v>0.98882809040992747</v>
      </c>
      <c r="Q227">
        <v>0</v>
      </c>
      <c r="R227">
        <v>0</v>
      </c>
      <c r="S227">
        <v>2.8083414638171114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0.25</v>
      </c>
      <c r="Z227">
        <v>0</v>
      </c>
      <c r="AA227">
        <v>0</v>
      </c>
      <c r="AB227">
        <v>0</v>
      </c>
      <c r="AC227">
        <v>1.1171909590072526E-2</v>
      </c>
      <c r="AD227">
        <v>0</v>
      </c>
      <c r="AE227">
        <v>0.98882809040992747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0.24640607719081395</v>
      </c>
      <c r="AL227">
        <v>0.24640607719081395</v>
      </c>
      <c r="AM227">
        <v>0.24365325077399375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0.75359392280918602</v>
      </c>
      <c r="AY227">
        <v>0</v>
      </c>
      <c r="AZ227">
        <v>2.7528264168202032E-3</v>
      </c>
      <c r="BA227">
        <v>0</v>
      </c>
      <c r="BB227">
        <v>0.24365325077399375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4.1041931385006363</v>
      </c>
      <c r="BI227">
        <v>4.1041931385006363</v>
      </c>
      <c r="BJ227">
        <v>1.0112981312913969</v>
      </c>
      <c r="CA227">
        <v>0</v>
      </c>
      <c r="CB227">
        <v>0</v>
      </c>
      <c r="CC227">
        <v>0</v>
      </c>
    </row>
    <row r="228" spans="1:82" hidden="1" x14ac:dyDescent="0.25">
      <c r="A228" t="s">
        <v>128</v>
      </c>
      <c r="B228" t="s">
        <v>372</v>
      </c>
      <c r="C228" t="s">
        <v>72</v>
      </c>
      <c r="D228" s="12">
        <v>46248</v>
      </c>
      <c r="E228" t="s">
        <v>133</v>
      </c>
      <c r="F228" t="s">
        <v>73</v>
      </c>
      <c r="G228">
        <v>10.973885648639106</v>
      </c>
      <c r="H228">
        <v>23.75</v>
      </c>
      <c r="I228">
        <v>20</v>
      </c>
      <c r="J228">
        <v>23.75</v>
      </c>
      <c r="K228">
        <v>46248</v>
      </c>
      <c r="L228" t="s">
        <v>159</v>
      </c>
      <c r="M228">
        <v>10.371323529411764</v>
      </c>
      <c r="N228">
        <v>2.1642288575282618</v>
      </c>
      <c r="O228">
        <v>2.1642288575282618</v>
      </c>
      <c r="P228">
        <v>0.94509127044693908</v>
      </c>
      <c r="Q228">
        <v>0</v>
      </c>
      <c r="R228">
        <v>0</v>
      </c>
      <c r="S228">
        <v>0.91422885752826177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0.25</v>
      </c>
      <c r="Z228">
        <v>0</v>
      </c>
      <c r="AA228">
        <v>0</v>
      </c>
      <c r="AB228">
        <v>0</v>
      </c>
      <c r="AC228">
        <v>5.490872955306092E-2</v>
      </c>
      <c r="AD228">
        <v>0</v>
      </c>
      <c r="AE228">
        <v>0.94509127044693908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0.46205834310059396</v>
      </c>
      <c r="AL228">
        <v>0.46205834310059396</v>
      </c>
      <c r="AM228">
        <v>0.43668730650154797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0.53794165689940598</v>
      </c>
      <c r="AY228">
        <v>0</v>
      </c>
      <c r="AZ228">
        <v>2.5371036599045993E-2</v>
      </c>
      <c r="BA228">
        <v>0</v>
      </c>
      <c r="BB228">
        <v>0.43668730650154797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2.2899680964197096</v>
      </c>
      <c r="BI228">
        <v>2.2899680964197096</v>
      </c>
      <c r="BJ228">
        <v>1.0580988643849121</v>
      </c>
      <c r="CA228">
        <v>0</v>
      </c>
      <c r="CB228">
        <v>0</v>
      </c>
      <c r="CC228">
        <v>0</v>
      </c>
    </row>
    <row r="229" spans="1:82" hidden="1" x14ac:dyDescent="0.25">
      <c r="A229" t="s">
        <v>128</v>
      </c>
      <c r="B229" t="s">
        <v>502</v>
      </c>
      <c r="C229" t="s">
        <v>72</v>
      </c>
      <c r="D229" s="12">
        <v>46248</v>
      </c>
      <c r="E229" t="s">
        <v>133</v>
      </c>
      <c r="F229" t="s">
        <v>73</v>
      </c>
      <c r="G229">
        <v>9.9149198152032554</v>
      </c>
      <c r="H229">
        <v>38</v>
      </c>
      <c r="I229">
        <v>20</v>
      </c>
      <c r="J229">
        <v>38</v>
      </c>
      <c r="K229">
        <v>46248</v>
      </c>
      <c r="L229" t="s">
        <v>159</v>
      </c>
      <c r="M229">
        <v>11.032858455882351</v>
      </c>
      <c r="N229">
        <v>3.8326078988285799</v>
      </c>
      <c r="O229">
        <v>3.8326078988285799</v>
      </c>
      <c r="P229">
        <v>1.1127531701229576</v>
      </c>
      <c r="Q229">
        <v>0</v>
      </c>
      <c r="R229">
        <v>0</v>
      </c>
      <c r="S229">
        <v>2.5826078988285799</v>
      </c>
      <c r="T229">
        <v>0</v>
      </c>
      <c r="U229">
        <v>0</v>
      </c>
      <c r="V229">
        <v>0</v>
      </c>
      <c r="W229">
        <v>0.1127531701229576</v>
      </c>
      <c r="X229">
        <v>0</v>
      </c>
      <c r="Y229">
        <v>0.1372468298770424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0.26091894250534881</v>
      </c>
      <c r="AL229">
        <v>0.26091894250534881</v>
      </c>
      <c r="AM229">
        <v>0.29033838041795662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0.70966161958204332</v>
      </c>
      <c r="AY229">
        <v>0</v>
      </c>
      <c r="AZ229">
        <v>0</v>
      </c>
      <c r="BA229">
        <v>0</v>
      </c>
      <c r="BB229">
        <v>0.26091894250534881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3.44425700301989</v>
      </c>
      <c r="BI229">
        <v>3.44425700301989</v>
      </c>
      <c r="BJ229">
        <v>0.89867189494459176</v>
      </c>
      <c r="CA229">
        <v>0</v>
      </c>
      <c r="CB229">
        <v>0</v>
      </c>
      <c r="CC229">
        <v>0</v>
      </c>
    </row>
    <row r="230" spans="1:82" hidden="1" x14ac:dyDescent="0.25">
      <c r="A230" t="s">
        <v>128</v>
      </c>
      <c r="B230" t="s">
        <v>502</v>
      </c>
      <c r="C230" t="s">
        <v>72</v>
      </c>
      <c r="D230" s="12">
        <v>46248</v>
      </c>
      <c r="E230" t="s">
        <v>133</v>
      </c>
      <c r="F230" t="s">
        <v>74</v>
      </c>
      <c r="G230">
        <v>4.437063563709744</v>
      </c>
      <c r="H230">
        <v>11.4</v>
      </c>
      <c r="I230">
        <v>20</v>
      </c>
      <c r="J230">
        <v>11.4</v>
      </c>
      <c r="K230">
        <v>46248</v>
      </c>
      <c r="L230" t="s">
        <v>158</v>
      </c>
      <c r="M230">
        <v>4.9857843137254898</v>
      </c>
      <c r="N230">
        <v>2.569266776622122</v>
      </c>
      <c r="O230">
        <v>2.569266776622122</v>
      </c>
      <c r="P230">
        <v>1.1236675432156691</v>
      </c>
      <c r="Q230">
        <v>0</v>
      </c>
      <c r="R230">
        <v>0</v>
      </c>
      <c r="S230">
        <v>1.319266776622122</v>
      </c>
      <c r="T230">
        <v>0</v>
      </c>
      <c r="U230">
        <v>0</v>
      </c>
      <c r="V230">
        <v>0</v>
      </c>
      <c r="W230">
        <v>0.12366754321566908</v>
      </c>
      <c r="X230">
        <v>0</v>
      </c>
      <c r="Y230">
        <v>0.12633245678433092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0.38921610207980217</v>
      </c>
      <c r="AL230">
        <v>0.38921610207980217</v>
      </c>
      <c r="AM230">
        <v>0.43734950120399041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0.56265049879600959</v>
      </c>
      <c r="AY230">
        <v>0</v>
      </c>
      <c r="AZ230">
        <v>0</v>
      </c>
      <c r="BA230">
        <v>0</v>
      </c>
      <c r="BB230">
        <v>0.38921610207980217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2.2865008357093695</v>
      </c>
      <c r="BI230">
        <v>2.2865008357093695</v>
      </c>
      <c r="BJ230">
        <v>0.88994294267701091</v>
      </c>
      <c r="CA230">
        <v>0</v>
      </c>
      <c r="CB230">
        <v>0</v>
      </c>
      <c r="CC230">
        <v>0</v>
      </c>
    </row>
    <row r="231" spans="1:82" hidden="1" x14ac:dyDescent="0.25">
      <c r="A231" t="s">
        <v>128</v>
      </c>
      <c r="B231" t="s">
        <v>372</v>
      </c>
      <c r="C231" t="s">
        <v>72</v>
      </c>
      <c r="D231" s="12">
        <v>46248</v>
      </c>
      <c r="E231" t="s">
        <v>133</v>
      </c>
      <c r="F231" t="s">
        <v>74</v>
      </c>
      <c r="G231">
        <v>4.2207252494765797</v>
      </c>
      <c r="H231">
        <v>4.75</v>
      </c>
      <c r="I231">
        <v>20</v>
      </c>
      <c r="J231">
        <v>4.75</v>
      </c>
      <c r="K231">
        <v>46248</v>
      </c>
      <c r="L231" t="s">
        <v>158</v>
      </c>
      <c r="M231">
        <v>3.75</v>
      </c>
      <c r="N231">
        <v>1.1253990059146959</v>
      </c>
      <c r="O231">
        <v>1.1253990059146959</v>
      </c>
      <c r="P231">
        <v>0.88847289940633889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0.12539900591469588</v>
      </c>
      <c r="Z231">
        <v>0</v>
      </c>
      <c r="AA231">
        <v>0</v>
      </c>
      <c r="AB231">
        <v>0</v>
      </c>
      <c r="AC231">
        <v>0.11152710059366111</v>
      </c>
      <c r="AD231">
        <v>0</v>
      </c>
      <c r="AE231">
        <v>0.88847289940633889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0.88857373673191153</v>
      </c>
      <c r="AL231">
        <v>0.88857373673191153</v>
      </c>
      <c r="AM231">
        <v>0.78947368421052633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0.11142626326808847</v>
      </c>
      <c r="AY231">
        <v>0</v>
      </c>
      <c r="AZ231">
        <v>9.9100052521385207E-2</v>
      </c>
      <c r="BA231">
        <v>0</v>
      </c>
      <c r="BB231">
        <v>0.78947368421052633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1.2666666666666666</v>
      </c>
      <c r="BI231">
        <v>1.2666666666666666</v>
      </c>
      <c r="BJ231">
        <v>1.1255267331937546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0.12552673319375462</v>
      </c>
      <c r="BR231">
        <v>0</v>
      </c>
      <c r="BS231">
        <v>0.14113993347291198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 hidden="1" x14ac:dyDescent="0.25">
      <c r="A232" t="s">
        <v>128</v>
      </c>
      <c r="B232" t="s">
        <v>503</v>
      </c>
      <c r="C232" t="s">
        <v>72</v>
      </c>
      <c r="D232" s="12">
        <v>46248</v>
      </c>
      <c r="E232" t="s">
        <v>133</v>
      </c>
      <c r="F232" t="s">
        <v>74</v>
      </c>
      <c r="G232">
        <v>3.8126545117428936</v>
      </c>
      <c r="H232">
        <v>11.4</v>
      </c>
      <c r="I232">
        <v>20</v>
      </c>
      <c r="J232">
        <v>11.4</v>
      </c>
      <c r="K232">
        <v>46248</v>
      </c>
      <c r="L232" t="s">
        <v>158</v>
      </c>
      <c r="M232">
        <v>3.2058823529411757</v>
      </c>
      <c r="N232">
        <v>2.9900427549593713</v>
      </c>
      <c r="O232">
        <v>2.9900427549593713</v>
      </c>
      <c r="P232">
        <v>0.8408530967249005</v>
      </c>
      <c r="Q232">
        <v>0</v>
      </c>
      <c r="R232">
        <v>0</v>
      </c>
      <c r="S232">
        <v>1.7400427549593713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0.25</v>
      </c>
      <c r="Z232">
        <v>0</v>
      </c>
      <c r="AA232">
        <v>0</v>
      </c>
      <c r="AB232">
        <v>0</v>
      </c>
      <c r="AC232">
        <v>0.1591469032750995</v>
      </c>
      <c r="AD232">
        <v>0</v>
      </c>
      <c r="AE232">
        <v>0.8408530967249005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0.33444337822306086</v>
      </c>
      <c r="AL232">
        <v>0.33444337822306086</v>
      </c>
      <c r="AM232">
        <v>0.28121775025799789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0.66555662177693908</v>
      </c>
      <c r="AY232">
        <v>0</v>
      </c>
      <c r="AZ232">
        <v>5.3225627965062972E-2</v>
      </c>
      <c r="BA232">
        <v>0</v>
      </c>
      <c r="BB232">
        <v>0.28121775025799789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3.5559633027522941</v>
      </c>
      <c r="BI232">
        <v>3.5559633027522941</v>
      </c>
      <c r="BJ232">
        <v>1.1892683798097101</v>
      </c>
      <c r="CA232">
        <v>0</v>
      </c>
      <c r="CB232">
        <v>0</v>
      </c>
      <c r="CC232">
        <v>0</v>
      </c>
    </row>
    <row r="233" spans="1:82" hidden="1" x14ac:dyDescent="0.25">
      <c r="A233" t="s">
        <v>128</v>
      </c>
      <c r="B233" t="s">
        <v>502</v>
      </c>
      <c r="C233" t="s">
        <v>72</v>
      </c>
      <c r="D233" s="12">
        <v>46248</v>
      </c>
      <c r="E233" t="s">
        <v>133</v>
      </c>
      <c r="F233" t="s">
        <v>75</v>
      </c>
      <c r="G233">
        <v>8.1072272522103948</v>
      </c>
      <c r="H233">
        <v>22.799999999999997</v>
      </c>
      <c r="I233">
        <v>20</v>
      </c>
      <c r="J233">
        <v>22.799999999999997</v>
      </c>
      <c r="K233">
        <v>46248</v>
      </c>
      <c r="L233" t="s">
        <v>156</v>
      </c>
      <c r="M233">
        <v>9.1688572303921561</v>
      </c>
      <c r="N233">
        <v>2.8123055257620528</v>
      </c>
      <c r="O233">
        <v>2.8123055257620528</v>
      </c>
      <c r="P233">
        <v>1.130948590085755</v>
      </c>
      <c r="Q233">
        <v>0</v>
      </c>
      <c r="R233">
        <v>0</v>
      </c>
      <c r="S233">
        <v>1.5623055257620528</v>
      </c>
      <c r="T233">
        <v>0</v>
      </c>
      <c r="U233">
        <v>0</v>
      </c>
      <c r="V233">
        <v>0</v>
      </c>
      <c r="W233">
        <v>0.13094859008575499</v>
      </c>
      <c r="X233">
        <v>0</v>
      </c>
      <c r="Y233">
        <v>0.11905140991424501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0.35558014264080684</v>
      </c>
      <c r="AL233">
        <v>0.35558014264080684</v>
      </c>
      <c r="AM233">
        <v>0.40214286098211216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0.59785713901788784</v>
      </c>
      <c r="AY233">
        <v>0</v>
      </c>
      <c r="AZ233">
        <v>0</v>
      </c>
      <c r="BA233">
        <v>0</v>
      </c>
      <c r="BB233">
        <v>0.35558014264080684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2.4866784842525931</v>
      </c>
      <c r="BI233">
        <v>2.4866784842525931</v>
      </c>
      <c r="BJ233">
        <v>0.8842134901323625</v>
      </c>
      <c r="CA233">
        <v>0</v>
      </c>
      <c r="CB233">
        <v>0</v>
      </c>
      <c r="CC233">
        <v>0</v>
      </c>
    </row>
    <row r="234" spans="1:82" hidden="1" x14ac:dyDescent="0.25">
      <c r="A234" t="s">
        <v>128</v>
      </c>
      <c r="B234" t="s">
        <v>503</v>
      </c>
      <c r="C234" t="s">
        <v>72</v>
      </c>
      <c r="D234" s="12">
        <v>46248</v>
      </c>
      <c r="E234" t="s">
        <v>133</v>
      </c>
      <c r="F234" t="s">
        <v>75</v>
      </c>
      <c r="G234">
        <v>7.4010352286773822</v>
      </c>
      <c r="H234">
        <v>22.799999999999997</v>
      </c>
      <c r="I234">
        <v>20</v>
      </c>
      <c r="J234">
        <v>22.799999999999997</v>
      </c>
      <c r="K234">
        <v>46248</v>
      </c>
      <c r="L234" t="s">
        <v>156</v>
      </c>
      <c r="M234">
        <v>7.1602941176470605</v>
      </c>
      <c r="N234">
        <v>3.0806501111702613</v>
      </c>
      <c r="O234">
        <v>3.0806501111702613</v>
      </c>
      <c r="P234">
        <v>0.96747196796233281</v>
      </c>
      <c r="Q234">
        <v>0</v>
      </c>
      <c r="R234">
        <v>0</v>
      </c>
      <c r="S234">
        <v>1.8306501111702613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0.25</v>
      </c>
      <c r="Z234">
        <v>0</v>
      </c>
      <c r="AA234">
        <v>0</v>
      </c>
      <c r="AB234">
        <v>0</v>
      </c>
      <c r="AC234">
        <v>3.2528032037667187E-2</v>
      </c>
      <c r="AD234">
        <v>0</v>
      </c>
      <c r="AE234">
        <v>0.96747196796233281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0.32460680827532384</v>
      </c>
      <c r="AL234">
        <v>0.32460680827532384</v>
      </c>
      <c r="AM234">
        <v>0.3140479876160992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0.67539319172467616</v>
      </c>
      <c r="AY234">
        <v>0</v>
      </c>
      <c r="AZ234">
        <v>1.0558820659224644E-2</v>
      </c>
      <c r="BA234">
        <v>0</v>
      </c>
      <c r="BB234">
        <v>0.3140479876160992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3.1842267406038189</v>
      </c>
      <c r="BI234">
        <v>3.1842267406038189</v>
      </c>
      <c r="BJ234">
        <v>1.0336216790923431</v>
      </c>
      <c r="CA234">
        <v>0</v>
      </c>
      <c r="CB234">
        <v>0</v>
      </c>
      <c r="CC234">
        <v>0</v>
      </c>
    </row>
    <row r="235" spans="1:82" hidden="1" x14ac:dyDescent="0.25">
      <c r="A235" t="s">
        <v>128</v>
      </c>
      <c r="B235" t="s">
        <v>372</v>
      </c>
      <c r="C235" t="s">
        <v>72</v>
      </c>
      <c r="D235" s="12">
        <v>46248</v>
      </c>
      <c r="E235" t="s">
        <v>133</v>
      </c>
      <c r="F235" t="s">
        <v>75</v>
      </c>
      <c r="G235">
        <v>11.026644714257564</v>
      </c>
      <c r="H235">
        <v>12.35</v>
      </c>
      <c r="I235">
        <v>20</v>
      </c>
      <c r="J235">
        <v>12.35</v>
      </c>
      <c r="K235">
        <v>46248</v>
      </c>
      <c r="L235" t="s">
        <v>156</v>
      </c>
      <c r="M235">
        <v>12.191176470588236</v>
      </c>
      <c r="N235">
        <v>1.1200143216758696</v>
      </c>
      <c r="O235">
        <v>1.1200143216758696</v>
      </c>
      <c r="P235">
        <v>1.1056107081082354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0.10561070810823536</v>
      </c>
      <c r="X235">
        <v>0</v>
      </c>
      <c r="Y235">
        <v>1.4403613567634199E-2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0.8928457258508149</v>
      </c>
      <c r="AL235">
        <v>0.8928457258508149</v>
      </c>
      <c r="AM235">
        <v>0.98713979518933082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1.2860204810669185E-2</v>
      </c>
      <c r="AY235">
        <v>0</v>
      </c>
      <c r="AZ235">
        <v>0</v>
      </c>
      <c r="BA235">
        <v>0</v>
      </c>
      <c r="BB235">
        <v>0.8928457258508149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1.0130277442702049</v>
      </c>
      <c r="BI235">
        <v>1.0130277442702049</v>
      </c>
      <c r="BJ235">
        <v>0.90447749163994495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1.3027744270204922E-2</v>
      </c>
      <c r="BT235">
        <v>0</v>
      </c>
      <c r="BU235">
        <v>0</v>
      </c>
      <c r="BV235">
        <v>0</v>
      </c>
      <c r="BW235">
        <v>9.5522508360055047E-2</v>
      </c>
      <c r="BX235">
        <v>0</v>
      </c>
      <c r="BY235">
        <v>0.90447749163994495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 hidden="1" x14ac:dyDescent="0.25">
      <c r="A236" t="s">
        <v>128</v>
      </c>
      <c r="B236" t="s">
        <v>502</v>
      </c>
      <c r="C236" t="s">
        <v>72</v>
      </c>
      <c r="D236" s="12">
        <v>46249</v>
      </c>
      <c r="E236" t="s">
        <v>133</v>
      </c>
      <c r="F236" t="s">
        <v>73</v>
      </c>
      <c r="G236">
        <v>9.9149198152032554</v>
      </c>
      <c r="H236">
        <v>28.5</v>
      </c>
      <c r="I236">
        <v>20</v>
      </c>
      <c r="J236">
        <v>28.5</v>
      </c>
      <c r="K236">
        <v>46249</v>
      </c>
      <c r="L236" t="s">
        <v>155</v>
      </c>
      <c r="M236">
        <v>11.032858455882351</v>
      </c>
      <c r="N236">
        <v>2.8744559241214347</v>
      </c>
      <c r="O236">
        <v>2.8744559241214347</v>
      </c>
      <c r="P236">
        <v>1.1127531701229576</v>
      </c>
      <c r="Q236">
        <v>0</v>
      </c>
      <c r="R236">
        <v>0</v>
      </c>
      <c r="S236">
        <v>1.6244559241214347</v>
      </c>
      <c r="T236">
        <v>0</v>
      </c>
      <c r="U236">
        <v>0</v>
      </c>
      <c r="V236">
        <v>0</v>
      </c>
      <c r="W236">
        <v>0.1127531701229576</v>
      </c>
      <c r="X236">
        <v>0</v>
      </c>
      <c r="Y236">
        <v>0.1372468298770424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0.34789192334046509</v>
      </c>
      <c r="AL236">
        <v>0.34789192334046509</v>
      </c>
      <c r="AM236">
        <v>0.38711784055727549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0.61288215944272451</v>
      </c>
      <c r="AY236">
        <v>0</v>
      </c>
      <c r="AZ236">
        <v>0</v>
      </c>
      <c r="BA236">
        <v>0</v>
      </c>
      <c r="BB236">
        <v>0.34789192334046509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2.5831927522649174</v>
      </c>
      <c r="BI236">
        <v>2.5831927522649174</v>
      </c>
      <c r="BJ236">
        <v>0.89867189494459176</v>
      </c>
      <c r="CA236">
        <v>0</v>
      </c>
      <c r="CB236">
        <v>0</v>
      </c>
      <c r="CC236">
        <v>0</v>
      </c>
    </row>
    <row r="237" spans="1:82" hidden="1" x14ac:dyDescent="0.25">
      <c r="A237" t="s">
        <v>128</v>
      </c>
      <c r="B237" t="s">
        <v>372</v>
      </c>
      <c r="C237" t="s">
        <v>72</v>
      </c>
      <c r="D237" s="12">
        <v>46249</v>
      </c>
      <c r="E237" t="s">
        <v>133</v>
      </c>
      <c r="F237" t="s">
        <v>73</v>
      </c>
      <c r="G237">
        <v>11.026644714257564</v>
      </c>
      <c r="H237">
        <v>10.45</v>
      </c>
      <c r="I237">
        <v>20</v>
      </c>
      <c r="J237">
        <v>10.45</v>
      </c>
      <c r="K237">
        <v>46249</v>
      </c>
      <c r="L237" t="s">
        <v>155</v>
      </c>
      <c r="M237">
        <v>12.191176470588236</v>
      </c>
      <c r="N237">
        <v>0.94770442603342819</v>
      </c>
      <c r="O237">
        <v>0.94770442603342819</v>
      </c>
      <c r="P237">
        <v>1.1056107081082354</v>
      </c>
      <c r="Q237">
        <v>0.10561070810823536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5.2295573966571807E-2</v>
      </c>
      <c r="AA237">
        <v>0</v>
      </c>
      <c r="AB237">
        <v>0</v>
      </c>
      <c r="AC237">
        <v>0</v>
      </c>
      <c r="AD237">
        <v>0</v>
      </c>
      <c r="AE237">
        <v>0.94770442603342819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1.0551813123691449</v>
      </c>
      <c r="AL237">
        <v>1.0551813123691449</v>
      </c>
      <c r="AM237">
        <v>1.1666197579510273</v>
      </c>
      <c r="AN237">
        <v>0.11143844558188243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5.5181312369144919E-2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0.85717732207478881</v>
      </c>
      <c r="BI237">
        <v>0.85717732207478881</v>
      </c>
      <c r="BJ237">
        <v>0.90447749163994495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9.5522508360055047E-2</v>
      </c>
      <c r="BV237">
        <v>0</v>
      </c>
      <c r="BW237">
        <v>0</v>
      </c>
      <c r="BX237">
        <v>0</v>
      </c>
      <c r="BY237">
        <v>0.85717732207478881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 hidden="1" x14ac:dyDescent="0.25">
      <c r="A238" t="s">
        <v>128</v>
      </c>
      <c r="B238" t="s">
        <v>503</v>
      </c>
      <c r="C238" t="s">
        <v>72</v>
      </c>
      <c r="D238" s="12">
        <v>46249</v>
      </c>
      <c r="E238" t="s">
        <v>133</v>
      </c>
      <c r="F238" t="s">
        <v>73</v>
      </c>
      <c r="G238">
        <v>10.316594561186651</v>
      </c>
      <c r="H238">
        <v>28.5</v>
      </c>
      <c r="I238">
        <v>20</v>
      </c>
      <c r="J238">
        <v>28.5</v>
      </c>
      <c r="K238">
        <v>46249</v>
      </c>
      <c r="L238" t="s">
        <v>155</v>
      </c>
      <c r="M238">
        <v>9.2588235294117602</v>
      </c>
      <c r="N238">
        <v>2.7625395018646377</v>
      </c>
      <c r="O238">
        <v>2.7625395018646377</v>
      </c>
      <c r="P238">
        <v>0.89746897336118414</v>
      </c>
      <c r="Q238">
        <v>0</v>
      </c>
      <c r="R238">
        <v>0</v>
      </c>
      <c r="S238">
        <v>1.5125395018646377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0.25</v>
      </c>
      <c r="Z238">
        <v>0</v>
      </c>
      <c r="AA238">
        <v>0</v>
      </c>
      <c r="AB238">
        <v>0</v>
      </c>
      <c r="AC238">
        <v>0.10253102663881586</v>
      </c>
      <c r="AD238">
        <v>0</v>
      </c>
      <c r="AE238">
        <v>0.89746897336118414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0.36198577407672461</v>
      </c>
      <c r="AL238">
        <v>0.36198577407672461</v>
      </c>
      <c r="AM238">
        <v>0.32487100103199157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0.63801422592327539</v>
      </c>
      <c r="AY238">
        <v>0</v>
      </c>
      <c r="AZ238">
        <v>3.711477304473304E-2</v>
      </c>
      <c r="BA238">
        <v>0</v>
      </c>
      <c r="BB238">
        <v>0.32487100103199157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3.0781448538754779</v>
      </c>
      <c r="BI238">
        <v>3.0781448538754779</v>
      </c>
      <c r="BJ238">
        <v>1.1142446476504013</v>
      </c>
      <c r="CA238">
        <v>0</v>
      </c>
      <c r="CB238">
        <v>0</v>
      </c>
      <c r="CC238">
        <v>0</v>
      </c>
    </row>
    <row r="239" spans="1:82" hidden="1" x14ac:dyDescent="0.25">
      <c r="A239" t="s">
        <v>128</v>
      </c>
      <c r="B239" t="s">
        <v>502</v>
      </c>
      <c r="C239" t="s">
        <v>72</v>
      </c>
      <c r="D239" s="12">
        <v>46249</v>
      </c>
      <c r="E239" t="s">
        <v>133</v>
      </c>
      <c r="F239" t="s">
        <v>74</v>
      </c>
      <c r="G239">
        <v>4.3275064386798743</v>
      </c>
      <c r="H239">
        <v>9.5</v>
      </c>
      <c r="I239">
        <v>20</v>
      </c>
      <c r="J239">
        <v>9.5</v>
      </c>
      <c r="K239">
        <v>46249</v>
      </c>
      <c r="L239" t="s">
        <v>164</v>
      </c>
      <c r="M239">
        <v>4.8685968137254898</v>
      </c>
      <c r="N239">
        <v>2.1952595876201673</v>
      </c>
      <c r="O239">
        <v>2.1952595876201673</v>
      </c>
      <c r="P239">
        <v>1.1250351403776715</v>
      </c>
      <c r="Q239">
        <v>0</v>
      </c>
      <c r="R239">
        <v>0</v>
      </c>
      <c r="S239">
        <v>0.94525958762016726</v>
      </c>
      <c r="T239">
        <v>0</v>
      </c>
      <c r="U239">
        <v>0</v>
      </c>
      <c r="V239">
        <v>0</v>
      </c>
      <c r="W239">
        <v>0.12503514037767149</v>
      </c>
      <c r="X239">
        <v>0</v>
      </c>
      <c r="Y239">
        <v>0.12496485962232851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0.45552699354524995</v>
      </c>
      <c r="AL239">
        <v>0.45552699354524995</v>
      </c>
      <c r="AM239">
        <v>0.51248387512899896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0.48751612487100104</v>
      </c>
      <c r="AY239">
        <v>0</v>
      </c>
      <c r="AZ239">
        <v>0</v>
      </c>
      <c r="BA239">
        <v>0</v>
      </c>
      <c r="BB239">
        <v>0.45552699354524995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1.9512809056641769</v>
      </c>
      <c r="BI239">
        <v>1.9512809056641769</v>
      </c>
      <c r="BJ239">
        <v>0.88886112451945498</v>
      </c>
      <c r="CA239">
        <v>0</v>
      </c>
      <c r="CB239">
        <v>0</v>
      </c>
      <c r="CC239">
        <v>0</v>
      </c>
    </row>
    <row r="240" spans="1:82" hidden="1" x14ac:dyDescent="0.25">
      <c r="A240" t="s">
        <v>128</v>
      </c>
      <c r="B240" t="s">
        <v>503</v>
      </c>
      <c r="C240" t="s">
        <v>72</v>
      </c>
      <c r="D240" s="12">
        <v>46249</v>
      </c>
      <c r="E240" t="s">
        <v>133</v>
      </c>
      <c r="F240" t="s">
        <v>74</v>
      </c>
      <c r="G240">
        <v>3.588380716934489</v>
      </c>
      <c r="H240">
        <v>9.5</v>
      </c>
      <c r="I240">
        <v>20</v>
      </c>
      <c r="J240">
        <v>9.5</v>
      </c>
      <c r="K240">
        <v>46249</v>
      </c>
      <c r="L240" t="s">
        <v>164</v>
      </c>
      <c r="M240">
        <v>3.2647058823529398</v>
      </c>
      <c r="N240">
        <v>2.647433689286943</v>
      </c>
      <c r="O240">
        <v>2.647433689286943</v>
      </c>
      <c r="P240">
        <v>0.90979919353204508</v>
      </c>
      <c r="Q240">
        <v>0</v>
      </c>
      <c r="R240">
        <v>0</v>
      </c>
      <c r="S240">
        <v>1.397433689286943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0.25</v>
      </c>
      <c r="Z240">
        <v>0</v>
      </c>
      <c r="AA240">
        <v>0</v>
      </c>
      <c r="AB240">
        <v>0</v>
      </c>
      <c r="AC240">
        <v>9.0200806467954919E-2</v>
      </c>
      <c r="AD240">
        <v>0</v>
      </c>
      <c r="AE240">
        <v>0.90979919353204508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0.37772428599310409</v>
      </c>
      <c r="AL240">
        <v>0.37772428599310409</v>
      </c>
      <c r="AM240">
        <v>0.34365325077399367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0.62227571400689596</v>
      </c>
      <c r="AY240">
        <v>0</v>
      </c>
      <c r="AZ240">
        <v>3.4071035219110424E-2</v>
      </c>
      <c r="BA240">
        <v>0</v>
      </c>
      <c r="BB240">
        <v>0.34365325077399367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2.9099099099099113</v>
      </c>
      <c r="BI240">
        <v>2.9099099099099113</v>
      </c>
      <c r="BJ240">
        <v>1.099143643024979</v>
      </c>
      <c r="CA240">
        <v>0</v>
      </c>
      <c r="CB240">
        <v>0</v>
      </c>
      <c r="CC240">
        <v>0</v>
      </c>
    </row>
    <row r="241" spans="1:82" hidden="1" x14ac:dyDescent="0.25">
      <c r="A241" t="s">
        <v>128</v>
      </c>
      <c r="B241" t="s">
        <v>372</v>
      </c>
      <c r="C241" t="s">
        <v>72</v>
      </c>
      <c r="D241" s="12">
        <v>46249</v>
      </c>
      <c r="E241" t="s">
        <v>133</v>
      </c>
      <c r="F241" t="s">
        <v>74</v>
      </c>
      <c r="G241">
        <v>4.2207252494765797</v>
      </c>
      <c r="H241">
        <v>4.75</v>
      </c>
      <c r="I241">
        <v>20</v>
      </c>
      <c r="J241">
        <v>4.75</v>
      </c>
      <c r="K241">
        <v>46249</v>
      </c>
      <c r="L241" t="s">
        <v>164</v>
      </c>
      <c r="M241">
        <v>4.74609375</v>
      </c>
      <c r="N241">
        <v>1.1253990059146959</v>
      </c>
      <c r="O241">
        <v>1.1253990059146959</v>
      </c>
      <c r="P241">
        <v>1.1244735133111476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0.12447351331114764</v>
      </c>
      <c r="X241">
        <v>0</v>
      </c>
      <c r="Y241">
        <v>9.2549260354823915E-4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0.88857373673191153</v>
      </c>
      <c r="AL241">
        <v>0.88857373673191153</v>
      </c>
      <c r="AM241">
        <v>0.99917763157894735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8.2236842105265495E-4</v>
      </c>
      <c r="AY241">
        <v>0</v>
      </c>
      <c r="AZ241">
        <v>0</v>
      </c>
      <c r="BA241">
        <v>0</v>
      </c>
      <c r="BB241">
        <v>0.88857373673191153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1.0008230452674898</v>
      </c>
      <c r="BI241">
        <v>1.0008230452674898</v>
      </c>
      <c r="BJ241">
        <v>0.88930507314074436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8.230452674897748E-4</v>
      </c>
      <c r="BT241">
        <v>0</v>
      </c>
      <c r="BU241">
        <v>0</v>
      </c>
      <c r="BV241">
        <v>0</v>
      </c>
      <c r="BW241">
        <v>0.11069492685925564</v>
      </c>
      <c r="BX241">
        <v>0</v>
      </c>
      <c r="BY241">
        <v>0.88930507314074436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 hidden="1" x14ac:dyDescent="0.25">
      <c r="A242" t="s">
        <v>128</v>
      </c>
      <c r="B242" t="s">
        <v>502</v>
      </c>
      <c r="C242" t="s">
        <v>72</v>
      </c>
      <c r="D242" s="12">
        <v>46249</v>
      </c>
      <c r="E242" t="s">
        <v>133</v>
      </c>
      <c r="F242" t="s">
        <v>75</v>
      </c>
      <c r="G242">
        <v>8.1620058147253278</v>
      </c>
      <c r="H242">
        <v>19</v>
      </c>
      <c r="I242">
        <v>20</v>
      </c>
      <c r="J242">
        <v>19</v>
      </c>
      <c r="K242">
        <v>46249</v>
      </c>
      <c r="L242" t="s">
        <v>167</v>
      </c>
      <c r="M242">
        <v>9.8485447303921561</v>
      </c>
      <c r="N242">
        <v>2.327859160026756</v>
      </c>
      <c r="O242">
        <v>2.327859160026756</v>
      </c>
      <c r="P242">
        <v>1.2066328980829799</v>
      </c>
      <c r="Q242">
        <v>0</v>
      </c>
      <c r="R242">
        <v>0</v>
      </c>
      <c r="S242">
        <v>1.077859160026756</v>
      </c>
      <c r="T242">
        <v>0</v>
      </c>
      <c r="U242">
        <v>0</v>
      </c>
      <c r="V242">
        <v>0</v>
      </c>
      <c r="W242">
        <v>0.20663289808297991</v>
      </c>
      <c r="X242">
        <v>0</v>
      </c>
      <c r="Y242">
        <v>4.336710191702009E-2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0.4295792534065962</v>
      </c>
      <c r="AL242">
        <v>0.4295792534065962</v>
      </c>
      <c r="AM242">
        <v>0.51834445949432395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0.48165554050567605</v>
      </c>
      <c r="AY242">
        <v>0</v>
      </c>
      <c r="AZ242">
        <v>0</v>
      </c>
      <c r="BA242">
        <v>0</v>
      </c>
      <c r="BB242">
        <v>0.4295792534065962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1.9292190389679476</v>
      </c>
      <c r="BI242">
        <v>1.9292190389679476</v>
      </c>
      <c r="BJ242">
        <v>0.82875247441764199</v>
      </c>
      <c r="CA242">
        <v>0</v>
      </c>
      <c r="CB242">
        <v>0</v>
      </c>
      <c r="CC242">
        <v>0</v>
      </c>
    </row>
    <row r="243" spans="1:82" hidden="1" x14ac:dyDescent="0.25">
      <c r="A243" t="s">
        <v>128</v>
      </c>
      <c r="B243" t="s">
        <v>372</v>
      </c>
      <c r="C243" t="s">
        <v>72</v>
      </c>
      <c r="D243" s="12">
        <v>46249</v>
      </c>
      <c r="E243" t="s">
        <v>133</v>
      </c>
      <c r="F243" t="s">
        <v>75</v>
      </c>
      <c r="G243">
        <v>10.973885648639106</v>
      </c>
      <c r="H243">
        <v>10.45</v>
      </c>
      <c r="I243">
        <v>20</v>
      </c>
      <c r="J243">
        <v>10.45</v>
      </c>
      <c r="K243">
        <v>46249</v>
      </c>
      <c r="L243" t="s">
        <v>167</v>
      </c>
      <c r="M243">
        <v>12.246323529411764</v>
      </c>
      <c r="N243">
        <v>0.95226069731243512</v>
      </c>
      <c r="O243">
        <v>0.95226069731243512</v>
      </c>
      <c r="P243">
        <v>1.1159514434096967</v>
      </c>
      <c r="Q243">
        <v>0.11595144340969665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4.7739302687564877E-2</v>
      </c>
      <c r="AA243">
        <v>0</v>
      </c>
      <c r="AB243">
        <v>0</v>
      </c>
      <c r="AC243">
        <v>0</v>
      </c>
      <c r="AD243">
        <v>0</v>
      </c>
      <c r="AE243">
        <v>0.95226069731243512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1.0501325979558953</v>
      </c>
      <c r="AL243">
        <v>1.0501325979558953</v>
      </c>
      <c r="AM243">
        <v>1.171896988460456</v>
      </c>
      <c r="AN243">
        <v>0.12176439050456067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5.0132597955895308E-2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0.85331732212548783</v>
      </c>
      <c r="BI243">
        <v>0.85331732212548783</v>
      </c>
      <c r="BJ243">
        <v>0.89609633636440611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0.10390366363559389</v>
      </c>
      <c r="BV243">
        <v>0</v>
      </c>
      <c r="BW243">
        <v>0</v>
      </c>
      <c r="BX243">
        <v>0</v>
      </c>
      <c r="BY243">
        <v>0.85331732212548783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 hidden="1" x14ac:dyDescent="0.25">
      <c r="A244" t="s">
        <v>128</v>
      </c>
      <c r="B244" t="s">
        <v>503</v>
      </c>
      <c r="C244" t="s">
        <v>72</v>
      </c>
      <c r="D244" s="12">
        <v>46249</v>
      </c>
      <c r="E244" t="s">
        <v>133</v>
      </c>
      <c r="F244" t="s">
        <v>75</v>
      </c>
      <c r="G244">
        <v>7.4010352286773822</v>
      </c>
      <c r="H244">
        <v>19</v>
      </c>
      <c r="I244">
        <v>20</v>
      </c>
      <c r="J244">
        <v>19</v>
      </c>
      <c r="K244">
        <v>46249</v>
      </c>
      <c r="L244" t="s">
        <v>167</v>
      </c>
      <c r="M244">
        <v>7.1014705882352924</v>
      </c>
      <c r="N244">
        <v>2.5672084259752181</v>
      </c>
      <c r="O244">
        <v>2.5672084259752181</v>
      </c>
      <c r="P244">
        <v>0.95952395425962267</v>
      </c>
      <c r="Q244">
        <v>0</v>
      </c>
      <c r="R244">
        <v>0</v>
      </c>
      <c r="S244">
        <v>1.3172084259752181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0.25</v>
      </c>
      <c r="Z244">
        <v>0</v>
      </c>
      <c r="AA244">
        <v>0</v>
      </c>
      <c r="AB244">
        <v>0</v>
      </c>
      <c r="AC244">
        <v>4.0476045740377331E-2</v>
      </c>
      <c r="AD244">
        <v>0</v>
      </c>
      <c r="AE244">
        <v>0.95952395425962267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0.38952816993038852</v>
      </c>
      <c r="AL244">
        <v>0.38952816993038852</v>
      </c>
      <c r="AM244">
        <v>0.37376160990712065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0.61047183006961148</v>
      </c>
      <c r="AY244">
        <v>0</v>
      </c>
      <c r="AZ244">
        <v>1.5766560023267873E-2</v>
      </c>
      <c r="BA244">
        <v>0</v>
      </c>
      <c r="BB244">
        <v>0.37376160990712065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2.6755021743632228</v>
      </c>
      <c r="BI244">
        <v>2.6755021743632228</v>
      </c>
      <c r="BJ244">
        <v>1.0421834656244815</v>
      </c>
      <c r="CA244">
        <v>0</v>
      </c>
      <c r="CB244">
        <v>0</v>
      </c>
      <c r="CC244">
        <v>0</v>
      </c>
    </row>
    <row r="245" spans="1:82" hidden="1" x14ac:dyDescent="0.25">
      <c r="A245" t="s">
        <v>128</v>
      </c>
      <c r="B245" t="s">
        <v>372</v>
      </c>
      <c r="C245" t="s">
        <v>72</v>
      </c>
      <c r="D245" s="12">
        <v>46250</v>
      </c>
      <c r="E245" t="s">
        <v>133</v>
      </c>
      <c r="F245" t="s">
        <v>73</v>
      </c>
      <c r="G245">
        <v>10.973885648639106</v>
      </c>
      <c r="H245">
        <v>10.45</v>
      </c>
      <c r="I245">
        <v>20</v>
      </c>
      <c r="J245">
        <v>10.45</v>
      </c>
      <c r="K245">
        <v>46250</v>
      </c>
      <c r="L245" t="s">
        <v>168</v>
      </c>
      <c r="M245">
        <v>12.1875</v>
      </c>
      <c r="N245">
        <v>0.95226069731243512</v>
      </c>
      <c r="O245">
        <v>0.95226069731243512</v>
      </c>
      <c r="P245">
        <v>1.1105911242579238</v>
      </c>
      <c r="Q245">
        <v>0.11059112425792383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4.7739302687564877E-2</v>
      </c>
      <c r="AA245">
        <v>0</v>
      </c>
      <c r="AB245">
        <v>0</v>
      </c>
      <c r="AC245">
        <v>0</v>
      </c>
      <c r="AD245">
        <v>0</v>
      </c>
      <c r="AE245">
        <v>0.95226069731243512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1.0501325979558953</v>
      </c>
      <c r="AL245">
        <v>1.0501325979558953</v>
      </c>
      <c r="AM245">
        <v>1.1662679425837321</v>
      </c>
      <c r="AN245">
        <v>0.11613534462783681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5.0132597955895308E-2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0.85743589743589743</v>
      </c>
      <c r="BI245">
        <v>0.85743589743589743</v>
      </c>
      <c r="BJ245">
        <v>0.90042138655500359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9.9578613444996411E-2</v>
      </c>
      <c r="BV245">
        <v>0</v>
      </c>
      <c r="BW245">
        <v>0</v>
      </c>
      <c r="BX245">
        <v>0</v>
      </c>
      <c r="BY245">
        <v>0.85743589743589743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 hidden="1" x14ac:dyDescent="0.25">
      <c r="A246" t="s">
        <v>128</v>
      </c>
      <c r="B246" t="s">
        <v>502</v>
      </c>
      <c r="C246" t="s">
        <v>72</v>
      </c>
      <c r="D246" s="12">
        <v>46250</v>
      </c>
      <c r="E246" t="s">
        <v>133</v>
      </c>
      <c r="F246" t="s">
        <v>73</v>
      </c>
      <c r="G246">
        <v>9.9149198152032554</v>
      </c>
      <c r="H246">
        <v>20.9</v>
      </c>
      <c r="I246">
        <v>20</v>
      </c>
      <c r="J246">
        <v>20.9</v>
      </c>
      <c r="K246">
        <v>46250</v>
      </c>
      <c r="L246" t="s">
        <v>168</v>
      </c>
      <c r="M246">
        <v>11.032858455882351</v>
      </c>
      <c r="N246">
        <v>2.1079343443557188</v>
      </c>
      <c r="O246">
        <v>2.1079343443557188</v>
      </c>
      <c r="P246">
        <v>1.1127531701229576</v>
      </c>
      <c r="Q246">
        <v>0</v>
      </c>
      <c r="R246">
        <v>0</v>
      </c>
      <c r="S246">
        <v>0.8579343443557188</v>
      </c>
      <c r="T246">
        <v>0</v>
      </c>
      <c r="U246">
        <v>0</v>
      </c>
      <c r="V246">
        <v>0</v>
      </c>
      <c r="W246">
        <v>0.1127531701229576</v>
      </c>
      <c r="X246">
        <v>0</v>
      </c>
      <c r="Y246">
        <v>0.1372468298770424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0.47439807728245242</v>
      </c>
      <c r="AL246">
        <v>0.47439807728245242</v>
      </c>
      <c r="AM246">
        <v>0.52788796439628483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0.47211203560371517</v>
      </c>
      <c r="AY246">
        <v>0</v>
      </c>
      <c r="AZ246">
        <v>0</v>
      </c>
      <c r="BA246">
        <v>0</v>
      </c>
      <c r="BB246">
        <v>0.47439807728245242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1.8943413516609393</v>
      </c>
      <c r="BI246">
        <v>1.8943413516609393</v>
      </c>
      <c r="BJ246">
        <v>0.89867189494459176</v>
      </c>
      <c r="CA246">
        <v>0</v>
      </c>
      <c r="CB246">
        <v>0</v>
      </c>
      <c r="CC246">
        <v>0</v>
      </c>
    </row>
    <row r="247" spans="1:82" hidden="1" x14ac:dyDescent="0.25">
      <c r="A247" t="s">
        <v>128</v>
      </c>
      <c r="B247" t="s">
        <v>503</v>
      </c>
      <c r="C247" t="s">
        <v>72</v>
      </c>
      <c r="D247" s="12">
        <v>46250</v>
      </c>
      <c r="E247" t="s">
        <v>133</v>
      </c>
      <c r="F247" t="s">
        <v>73</v>
      </c>
      <c r="G247">
        <v>10.316594561186651</v>
      </c>
      <c r="H247">
        <v>20.9</v>
      </c>
      <c r="I247">
        <v>20</v>
      </c>
      <c r="J247">
        <v>20.9</v>
      </c>
      <c r="K247">
        <v>46250</v>
      </c>
      <c r="L247" t="s">
        <v>168</v>
      </c>
      <c r="M247">
        <v>8.4421568627450938</v>
      </c>
      <c r="N247">
        <v>2.0258623013674009</v>
      </c>
      <c r="O247">
        <v>2.0258623013674009</v>
      </c>
      <c r="P247">
        <v>0.81830848471126183</v>
      </c>
      <c r="Q247">
        <v>0</v>
      </c>
      <c r="R247">
        <v>0</v>
      </c>
      <c r="S247">
        <v>0.77586230136740086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0.25</v>
      </c>
      <c r="Z247">
        <v>0</v>
      </c>
      <c r="AA247">
        <v>0</v>
      </c>
      <c r="AB247">
        <v>0</v>
      </c>
      <c r="AC247">
        <v>0.18169151528873817</v>
      </c>
      <c r="AD247">
        <v>0</v>
      </c>
      <c r="AE247">
        <v>0.81830848471126183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0.49361696465007904</v>
      </c>
      <c r="AL247">
        <v>0.49361696465007904</v>
      </c>
      <c r="AM247">
        <v>0.40393095037057869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0.50638303534992102</v>
      </c>
      <c r="AY247">
        <v>0</v>
      </c>
      <c r="AZ247">
        <v>8.9686014279500348E-2</v>
      </c>
      <c r="BA247">
        <v>0</v>
      </c>
      <c r="BB247">
        <v>0.40393095037057869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2.4756706538148889</v>
      </c>
      <c r="BI247">
        <v>2.4756706538148889</v>
      </c>
      <c r="BJ247">
        <v>1.2220330336093821</v>
      </c>
      <c r="CA247">
        <v>0</v>
      </c>
      <c r="CB247">
        <v>0</v>
      </c>
      <c r="CC247">
        <v>0</v>
      </c>
    </row>
    <row r="248" spans="1:82" hidden="1" x14ac:dyDescent="0.25">
      <c r="A248" t="s">
        <v>128</v>
      </c>
      <c r="B248" t="s">
        <v>503</v>
      </c>
      <c r="C248" t="s">
        <v>72</v>
      </c>
      <c r="D248" s="12">
        <v>46250</v>
      </c>
      <c r="E248" t="s">
        <v>133</v>
      </c>
      <c r="F248" t="s">
        <v>74</v>
      </c>
      <c r="G248">
        <v>3.8126545117428936</v>
      </c>
      <c r="H248">
        <v>9.5</v>
      </c>
      <c r="I248">
        <v>20</v>
      </c>
      <c r="J248">
        <v>9.5</v>
      </c>
      <c r="K248">
        <v>46250</v>
      </c>
      <c r="L248" t="s">
        <v>170</v>
      </c>
      <c r="M248">
        <v>3.3235294117647056</v>
      </c>
      <c r="N248">
        <v>2.4917022957994766</v>
      </c>
      <c r="O248">
        <v>2.4917022957994766</v>
      </c>
      <c r="P248">
        <v>0.87171009110012643</v>
      </c>
      <c r="Q248">
        <v>0</v>
      </c>
      <c r="R248">
        <v>0</v>
      </c>
      <c r="S248">
        <v>1.2417022957994766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0.25</v>
      </c>
      <c r="Z248">
        <v>0</v>
      </c>
      <c r="AA248">
        <v>0</v>
      </c>
      <c r="AB248">
        <v>0</v>
      </c>
      <c r="AC248">
        <v>0.12828990889987357</v>
      </c>
      <c r="AD248">
        <v>0</v>
      </c>
      <c r="AE248">
        <v>0.87171009110012643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0.40133205386767301</v>
      </c>
      <c r="AL248">
        <v>0.40133205386767301</v>
      </c>
      <c r="AM248">
        <v>0.34984520123839008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0.59866794613232699</v>
      </c>
      <c r="AY248">
        <v>0</v>
      </c>
      <c r="AZ248">
        <v>5.1486852629282931E-2</v>
      </c>
      <c r="BA248">
        <v>0</v>
      </c>
      <c r="BB248">
        <v>0.34984520123839008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2.8584070796460179</v>
      </c>
      <c r="BI248">
        <v>2.8584070796460179</v>
      </c>
      <c r="BJ248">
        <v>1.1471703840642336</v>
      </c>
      <c r="CA248">
        <v>0</v>
      </c>
      <c r="CB248">
        <v>0</v>
      </c>
      <c r="CC248">
        <v>0</v>
      </c>
    </row>
    <row r="249" spans="1:82" hidden="1" x14ac:dyDescent="0.25">
      <c r="A249" t="s">
        <v>128</v>
      </c>
      <c r="B249" t="s">
        <v>372</v>
      </c>
      <c r="C249" t="s">
        <v>72</v>
      </c>
      <c r="D249" s="12">
        <v>46250</v>
      </c>
      <c r="E249" t="s">
        <v>133</v>
      </c>
      <c r="F249" t="s">
        <v>74</v>
      </c>
      <c r="G249">
        <v>4.2207252494765797</v>
      </c>
      <c r="H249">
        <v>4.75</v>
      </c>
      <c r="I249">
        <v>20</v>
      </c>
      <c r="J249">
        <v>4.75</v>
      </c>
      <c r="K249">
        <v>46250</v>
      </c>
      <c r="L249" t="s">
        <v>170</v>
      </c>
      <c r="M249">
        <v>4.74609375</v>
      </c>
      <c r="N249">
        <v>1.1253990059146959</v>
      </c>
      <c r="O249">
        <v>1.1253990059146959</v>
      </c>
      <c r="P249">
        <v>1.1244735133111476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0.12447351331114764</v>
      </c>
      <c r="X249">
        <v>0</v>
      </c>
      <c r="Y249">
        <v>9.2549260354823915E-4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0.88857373673191153</v>
      </c>
      <c r="AL249">
        <v>0.88857373673191153</v>
      </c>
      <c r="AM249">
        <v>0.99917763157894735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8.2236842105265495E-4</v>
      </c>
      <c r="AY249">
        <v>0</v>
      </c>
      <c r="AZ249">
        <v>0</v>
      </c>
      <c r="BA249">
        <v>0</v>
      </c>
      <c r="BB249">
        <v>0.88857373673191153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1.0008230452674898</v>
      </c>
      <c r="BI249">
        <v>1.0008230452674898</v>
      </c>
      <c r="BJ249">
        <v>0.88930507314074436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8.230452674897748E-4</v>
      </c>
      <c r="BT249">
        <v>0</v>
      </c>
      <c r="BU249">
        <v>0</v>
      </c>
      <c r="BV249">
        <v>0</v>
      </c>
      <c r="BW249">
        <v>0.11069492685925564</v>
      </c>
      <c r="BX249">
        <v>0</v>
      </c>
      <c r="BY249">
        <v>0.88930507314074436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 hidden="1" x14ac:dyDescent="0.25">
      <c r="A250" t="s">
        <v>128</v>
      </c>
      <c r="B250" t="s">
        <v>502</v>
      </c>
      <c r="C250" t="s">
        <v>72</v>
      </c>
      <c r="D250" s="12">
        <v>46250</v>
      </c>
      <c r="E250" t="s">
        <v>133</v>
      </c>
      <c r="F250" t="s">
        <v>74</v>
      </c>
      <c r="G250">
        <v>4.437063563709744</v>
      </c>
      <c r="H250">
        <v>9.5</v>
      </c>
      <c r="I250">
        <v>20</v>
      </c>
      <c r="J250">
        <v>9.5</v>
      </c>
      <c r="K250">
        <v>46250</v>
      </c>
      <c r="L250" t="s">
        <v>170</v>
      </c>
      <c r="M250">
        <v>4.8685968137254898</v>
      </c>
      <c r="N250">
        <v>2.1410556471851017</v>
      </c>
      <c r="O250">
        <v>2.1410556471851017</v>
      </c>
      <c r="P250">
        <v>1.0972564949362478</v>
      </c>
      <c r="Q250">
        <v>0</v>
      </c>
      <c r="R250">
        <v>0</v>
      </c>
      <c r="S250">
        <v>0.89105564718510166</v>
      </c>
      <c r="T250">
        <v>0</v>
      </c>
      <c r="U250">
        <v>0</v>
      </c>
      <c r="V250">
        <v>0</v>
      </c>
      <c r="W250">
        <v>9.7256494936247773E-2</v>
      </c>
      <c r="X250">
        <v>0</v>
      </c>
      <c r="Y250">
        <v>0.15274350506375223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0.46705932249576254</v>
      </c>
      <c r="AL250">
        <v>0.46705932249576254</v>
      </c>
      <c r="AM250">
        <v>0.51248387512899896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0.48751612487100104</v>
      </c>
      <c r="AY250">
        <v>0</v>
      </c>
      <c r="AZ250">
        <v>0</v>
      </c>
      <c r="BA250">
        <v>0</v>
      </c>
      <c r="BB250">
        <v>0.46705932249576254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1.9512809056641769</v>
      </c>
      <c r="BI250">
        <v>1.9512809056641769</v>
      </c>
      <c r="BJ250">
        <v>0.91136393779842839</v>
      </c>
      <c r="CA250">
        <v>0</v>
      </c>
      <c r="CB250">
        <v>0</v>
      </c>
      <c r="CC250">
        <v>0</v>
      </c>
    </row>
    <row r="251" spans="1:82" hidden="1" x14ac:dyDescent="0.25">
      <c r="A251" t="s">
        <v>128</v>
      </c>
      <c r="B251" t="s">
        <v>372</v>
      </c>
      <c r="C251" t="s">
        <v>72</v>
      </c>
      <c r="D251" s="12">
        <v>46250</v>
      </c>
      <c r="E251" t="s">
        <v>133</v>
      </c>
      <c r="F251" t="s">
        <v>75</v>
      </c>
      <c r="G251">
        <v>10.973885648639106</v>
      </c>
      <c r="H251">
        <v>9.5</v>
      </c>
      <c r="I251">
        <v>20</v>
      </c>
      <c r="J251">
        <v>9.5</v>
      </c>
      <c r="K251">
        <v>46250</v>
      </c>
      <c r="L251" t="s">
        <v>171</v>
      </c>
      <c r="M251">
        <v>12.1875</v>
      </c>
      <c r="N251">
        <v>0.86569154301130469</v>
      </c>
      <c r="O251">
        <v>0.86569154301130469</v>
      </c>
      <c r="P251">
        <v>1.1105911242579238</v>
      </c>
      <c r="Q251">
        <v>0.11059112425792383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0.13430845698869531</v>
      </c>
      <c r="AA251">
        <v>0</v>
      </c>
      <c r="AB251">
        <v>0</v>
      </c>
      <c r="AC251">
        <v>0</v>
      </c>
      <c r="AD251">
        <v>0</v>
      </c>
      <c r="AE251">
        <v>0.86569154301130469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1.1551458577514848</v>
      </c>
      <c r="AL251">
        <v>1.1551458577514848</v>
      </c>
      <c r="AM251">
        <v>1.2828947368421053</v>
      </c>
      <c r="AN251">
        <v>0.12774887909062049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0.15514585775148482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0.77948717948717949</v>
      </c>
      <c r="BI251">
        <v>0.77948717948717949</v>
      </c>
      <c r="BJ251">
        <v>0.90042138655500359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9.9578613444996411E-2</v>
      </c>
      <c r="BV251">
        <v>0</v>
      </c>
      <c r="BW251">
        <v>0</v>
      </c>
      <c r="BX251">
        <v>0</v>
      </c>
      <c r="BY251">
        <v>0.77948717948717949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 hidden="1" x14ac:dyDescent="0.25">
      <c r="A252" t="s">
        <v>128</v>
      </c>
      <c r="B252" t="s">
        <v>502</v>
      </c>
      <c r="C252" t="s">
        <v>72</v>
      </c>
      <c r="D252" s="12">
        <v>46250</v>
      </c>
      <c r="E252" t="s">
        <v>133</v>
      </c>
      <c r="F252" t="s">
        <v>75</v>
      </c>
      <c r="G252">
        <v>8.1620058147253278</v>
      </c>
      <c r="H252">
        <v>17.099999999999998</v>
      </c>
      <c r="I252">
        <v>20</v>
      </c>
      <c r="J252">
        <v>17.099999999999998</v>
      </c>
      <c r="K252">
        <v>46250</v>
      </c>
      <c r="L252" t="s">
        <v>171</v>
      </c>
      <c r="M252">
        <v>10.536044730392156</v>
      </c>
      <c r="N252">
        <v>2.0950732440240802</v>
      </c>
      <c r="O252">
        <v>2.0950732440240802</v>
      </c>
      <c r="P252">
        <v>1.2908646440050007</v>
      </c>
      <c r="Q252">
        <v>0</v>
      </c>
      <c r="R252">
        <v>0</v>
      </c>
      <c r="S252">
        <v>0.80420860001907957</v>
      </c>
      <c r="T252">
        <v>0</v>
      </c>
      <c r="U252">
        <v>4.0864644005000672E-2</v>
      </c>
      <c r="V252">
        <v>0</v>
      </c>
      <c r="W252">
        <v>0.25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0.47731028156288474</v>
      </c>
      <c r="AL252">
        <v>0.47731028156288474</v>
      </c>
      <c r="AM252">
        <v>0.61614296668959989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0.38385703331040011</v>
      </c>
      <c r="AY252">
        <v>0</v>
      </c>
      <c r="AZ252">
        <v>0</v>
      </c>
      <c r="BA252">
        <v>0</v>
      </c>
      <c r="BB252">
        <v>0.47731028156288474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1.6229999432968931</v>
      </c>
      <c r="BI252">
        <v>1.6229999432968931</v>
      </c>
      <c r="BJ252">
        <v>0.77467455991158596</v>
      </c>
      <c r="CA252">
        <v>0</v>
      </c>
      <c r="CB252">
        <v>0</v>
      </c>
      <c r="CC252">
        <v>0</v>
      </c>
    </row>
    <row r="253" spans="1:82" hidden="1" x14ac:dyDescent="0.25">
      <c r="A253" t="s">
        <v>128</v>
      </c>
      <c r="B253" t="s">
        <v>503</v>
      </c>
      <c r="C253" t="s">
        <v>72</v>
      </c>
      <c r="D253" s="12">
        <v>46250</v>
      </c>
      <c r="E253" t="s">
        <v>133</v>
      </c>
      <c r="F253" t="s">
        <v>75</v>
      </c>
      <c r="G253">
        <v>7.4010352286773822</v>
      </c>
      <c r="H253">
        <v>17.099999999999998</v>
      </c>
      <c r="I253">
        <v>20</v>
      </c>
      <c r="J253">
        <v>17.099999999999998</v>
      </c>
      <c r="K253">
        <v>46250</v>
      </c>
      <c r="L253" t="s">
        <v>171</v>
      </c>
      <c r="M253">
        <v>7.984313725490197</v>
      </c>
      <c r="N253">
        <v>2.3104875833776961</v>
      </c>
      <c r="O253">
        <v>2.3104875833776961</v>
      </c>
      <c r="P253">
        <v>1.0788103932477904</v>
      </c>
      <c r="Q253">
        <v>0</v>
      </c>
      <c r="R253">
        <v>0</v>
      </c>
      <c r="S253">
        <v>1.0604875833776961</v>
      </c>
      <c r="T253">
        <v>0</v>
      </c>
      <c r="U253">
        <v>0</v>
      </c>
      <c r="V253">
        <v>0</v>
      </c>
      <c r="W253">
        <v>7.8810393247790378E-2</v>
      </c>
      <c r="X253">
        <v>0</v>
      </c>
      <c r="Y253">
        <v>0.17118960675220962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0.43280907770043175</v>
      </c>
      <c r="AL253">
        <v>0.43280907770043175</v>
      </c>
      <c r="AM253">
        <v>0.46691893131521628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0.53308106868478378</v>
      </c>
      <c r="AY253">
        <v>0</v>
      </c>
      <c r="AZ253">
        <v>0</v>
      </c>
      <c r="BA253">
        <v>0</v>
      </c>
      <c r="BB253">
        <v>0.43280907770043175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2.141699410609037</v>
      </c>
      <c r="BI253">
        <v>2.141699410609037</v>
      </c>
      <c r="BJ253">
        <v>0.92694694661725552</v>
      </c>
      <c r="CA253">
        <v>0</v>
      </c>
      <c r="CB253">
        <v>0</v>
      </c>
      <c r="CC253">
        <v>0</v>
      </c>
    </row>
    <row r="254" spans="1:82" hidden="1" x14ac:dyDescent="0.25">
      <c r="A254" t="s">
        <v>128</v>
      </c>
      <c r="B254" t="s">
        <v>502</v>
      </c>
      <c r="C254" t="s">
        <v>72</v>
      </c>
      <c r="D254" s="12">
        <v>46223</v>
      </c>
      <c r="E254" t="s">
        <v>501</v>
      </c>
      <c r="F254" t="s">
        <v>73</v>
      </c>
      <c r="G254">
        <v>1.8624711255077939</v>
      </c>
      <c r="H254">
        <v>0</v>
      </c>
      <c r="I254">
        <v>0</v>
      </c>
      <c r="J254">
        <v>0</v>
      </c>
      <c r="K254">
        <v>46223</v>
      </c>
      <c r="L254" t="s">
        <v>173</v>
      </c>
      <c r="M254">
        <v>0.88235294117647056</v>
      </c>
      <c r="N254">
        <v>0</v>
      </c>
      <c r="O254">
        <v>0</v>
      </c>
      <c r="P254">
        <v>0.47375389024401721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0.47375389024401721</v>
      </c>
      <c r="AA254">
        <v>0.52624610975598274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H254">
        <v>0</v>
      </c>
      <c r="BI254">
        <v>0</v>
      </c>
      <c r="BJ254">
        <v>2.1108006089088334</v>
      </c>
      <c r="BK254">
        <v>1.1108006089088334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 hidden="1" x14ac:dyDescent="0.25">
      <c r="A255" t="s">
        <v>128</v>
      </c>
      <c r="B255" t="s">
        <v>503</v>
      </c>
      <c r="C255" t="s">
        <v>72</v>
      </c>
      <c r="D255" s="12">
        <v>46223</v>
      </c>
      <c r="E255" t="s">
        <v>501</v>
      </c>
      <c r="F255" t="s">
        <v>73</v>
      </c>
      <c r="G255">
        <v>0.95316362793572351</v>
      </c>
      <c r="H255">
        <v>0</v>
      </c>
      <c r="I255">
        <v>0</v>
      </c>
      <c r="J255">
        <v>0</v>
      </c>
      <c r="K255">
        <v>46223</v>
      </c>
      <c r="L255" t="s">
        <v>173</v>
      </c>
      <c r="M255">
        <v>0.82352941176470595</v>
      </c>
      <c r="N255">
        <v>0</v>
      </c>
      <c r="O255">
        <v>0</v>
      </c>
      <c r="P255">
        <v>0.86399584250632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0.86399584250632</v>
      </c>
      <c r="AA255">
        <v>0.13600415749368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H255">
        <v>0</v>
      </c>
      <c r="BI255">
        <v>0</v>
      </c>
      <c r="BJ255">
        <v>1.1574129767790928</v>
      </c>
      <c r="BK255">
        <v>0.15741297677909283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 hidden="1" x14ac:dyDescent="0.25">
      <c r="A256" t="s">
        <v>128</v>
      </c>
      <c r="B256" t="s">
        <v>372</v>
      </c>
      <c r="C256" t="s">
        <v>72</v>
      </c>
      <c r="D256" s="12">
        <v>46223</v>
      </c>
      <c r="E256" t="s">
        <v>501</v>
      </c>
      <c r="F256" t="s">
        <v>73</v>
      </c>
      <c r="G256">
        <v>3.5876164620550925</v>
      </c>
      <c r="H256">
        <v>7.6</v>
      </c>
      <c r="I256">
        <v>20</v>
      </c>
      <c r="J256">
        <v>7.6</v>
      </c>
      <c r="K256">
        <v>46223</v>
      </c>
      <c r="L256" t="s">
        <v>173</v>
      </c>
      <c r="M256">
        <v>2.8235294117647056</v>
      </c>
      <c r="N256">
        <v>2.1183981287806044</v>
      </c>
      <c r="O256">
        <v>2.1183981287806044</v>
      </c>
      <c r="P256">
        <v>0.78702097663675696</v>
      </c>
      <c r="Q256">
        <v>0</v>
      </c>
      <c r="R256">
        <v>0</v>
      </c>
      <c r="S256">
        <v>0.86839812878060441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0.25</v>
      </c>
      <c r="Z256">
        <v>0</v>
      </c>
      <c r="AA256">
        <v>0</v>
      </c>
      <c r="AB256">
        <v>0</v>
      </c>
      <c r="AC256">
        <v>0.21297902336324304</v>
      </c>
      <c r="AD256">
        <v>0</v>
      </c>
      <c r="AE256">
        <v>0.78702097663675696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0.47205479763882802</v>
      </c>
      <c r="AL256">
        <v>0.47205479763882802</v>
      </c>
      <c r="AM256">
        <v>0.37151702786377705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0.52794520236117193</v>
      </c>
      <c r="AY256">
        <v>0</v>
      </c>
      <c r="AZ256">
        <v>0.10053776977505097</v>
      </c>
      <c r="BA256">
        <v>0</v>
      </c>
      <c r="BB256">
        <v>0.37151702786377705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2.6916666666666669</v>
      </c>
      <c r="BI256">
        <v>2.6916666666666669</v>
      </c>
      <c r="BJ256">
        <v>1.2706141636445121</v>
      </c>
      <c r="CA256">
        <v>0</v>
      </c>
      <c r="CB256">
        <v>0</v>
      </c>
      <c r="CC256">
        <v>0</v>
      </c>
    </row>
    <row r="257" spans="1:82" hidden="1" x14ac:dyDescent="0.25">
      <c r="A257" t="s">
        <v>128</v>
      </c>
      <c r="B257" t="s">
        <v>502</v>
      </c>
      <c r="C257" t="s">
        <v>72</v>
      </c>
      <c r="D257" s="12">
        <v>46223</v>
      </c>
      <c r="E257" t="s">
        <v>501</v>
      </c>
      <c r="F257" t="s">
        <v>74</v>
      </c>
      <c r="G257">
        <v>0</v>
      </c>
      <c r="H257">
        <v>0</v>
      </c>
      <c r="I257">
        <v>0</v>
      </c>
      <c r="J257">
        <v>0</v>
      </c>
      <c r="K257">
        <v>46223</v>
      </c>
      <c r="L257" t="s">
        <v>157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D257">
        <v>0</v>
      </c>
    </row>
    <row r="258" spans="1:82" hidden="1" x14ac:dyDescent="0.25">
      <c r="A258" t="s">
        <v>128</v>
      </c>
      <c r="B258" t="s">
        <v>503</v>
      </c>
      <c r="C258" t="s">
        <v>72</v>
      </c>
      <c r="D258" s="12">
        <v>46223</v>
      </c>
      <c r="E258" t="s">
        <v>501</v>
      </c>
      <c r="F258" t="s">
        <v>74</v>
      </c>
      <c r="G258">
        <v>0</v>
      </c>
      <c r="H258">
        <v>0</v>
      </c>
      <c r="I258">
        <v>0</v>
      </c>
      <c r="J258">
        <v>0</v>
      </c>
      <c r="K258">
        <v>46223</v>
      </c>
      <c r="L258" t="s">
        <v>157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D258">
        <v>0</v>
      </c>
    </row>
    <row r="259" spans="1:82" hidden="1" x14ac:dyDescent="0.25">
      <c r="A259" t="s">
        <v>128</v>
      </c>
      <c r="B259" t="s">
        <v>372</v>
      </c>
      <c r="C259" t="s">
        <v>72</v>
      </c>
      <c r="D259" s="12">
        <v>46223</v>
      </c>
      <c r="E259" t="s">
        <v>501</v>
      </c>
      <c r="F259" t="s">
        <v>74</v>
      </c>
      <c r="G259">
        <v>0</v>
      </c>
      <c r="H259">
        <v>0</v>
      </c>
      <c r="I259">
        <v>20</v>
      </c>
      <c r="J259">
        <v>0</v>
      </c>
      <c r="K259">
        <v>46223</v>
      </c>
      <c r="L259" t="s">
        <v>157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D259">
        <v>0</v>
      </c>
    </row>
    <row r="260" spans="1:82" hidden="1" x14ac:dyDescent="0.25">
      <c r="A260" t="s">
        <v>128</v>
      </c>
      <c r="B260" t="s">
        <v>502</v>
      </c>
      <c r="C260" t="s">
        <v>72</v>
      </c>
      <c r="D260" s="12">
        <v>46223</v>
      </c>
      <c r="E260" t="s">
        <v>501</v>
      </c>
      <c r="F260" t="s">
        <v>75</v>
      </c>
      <c r="G260">
        <v>1.4435762356877018</v>
      </c>
      <c r="H260">
        <v>0</v>
      </c>
      <c r="I260">
        <v>0</v>
      </c>
      <c r="J260">
        <v>0</v>
      </c>
      <c r="K260">
        <v>46223</v>
      </c>
      <c r="L260" t="s">
        <v>165</v>
      </c>
      <c r="M260">
        <v>0.93425605536332179</v>
      </c>
      <c r="N260">
        <v>0</v>
      </c>
      <c r="O260">
        <v>0</v>
      </c>
      <c r="P260">
        <v>0.64718165363691638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0.64718165363691638</v>
      </c>
      <c r="AA260">
        <v>0.35281834636308362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H260">
        <v>0</v>
      </c>
      <c r="BI260">
        <v>0</v>
      </c>
      <c r="BJ260">
        <v>1.5451612300509103</v>
      </c>
      <c r="BK260">
        <v>0.54516123005091033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 hidden="1" x14ac:dyDescent="0.25">
      <c r="A261" t="s">
        <v>128</v>
      </c>
      <c r="B261" t="s">
        <v>372</v>
      </c>
      <c r="C261" t="s">
        <v>72</v>
      </c>
      <c r="D261" s="12">
        <v>46223</v>
      </c>
      <c r="E261" t="s">
        <v>501</v>
      </c>
      <c r="F261" t="s">
        <v>75</v>
      </c>
      <c r="G261">
        <v>3.1779578349000128</v>
      </c>
      <c r="H261">
        <v>2.8499999999999996</v>
      </c>
      <c r="I261">
        <v>20</v>
      </c>
      <c r="J261">
        <v>2.8499999999999996</v>
      </c>
      <c r="K261">
        <v>46223</v>
      </c>
      <c r="L261" t="s">
        <v>165</v>
      </c>
      <c r="M261">
        <v>2.8131487889273359</v>
      </c>
      <c r="N261">
        <v>0.89680233283827326</v>
      </c>
      <c r="O261">
        <v>0.89680233283827326</v>
      </c>
      <c r="P261">
        <v>0.88520645492322747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0.10319766716172674</v>
      </c>
      <c r="AB261">
        <v>0</v>
      </c>
      <c r="AC261">
        <v>1.1595877915045794E-2</v>
      </c>
      <c r="AD261">
        <v>0</v>
      </c>
      <c r="AE261">
        <v>0.88520645492322747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1.1150729245263205</v>
      </c>
      <c r="AL261">
        <v>1.1150729245263205</v>
      </c>
      <c r="AM261">
        <v>0.98706975050081969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0.11507292452632045</v>
      </c>
      <c r="AW261">
        <v>0</v>
      </c>
      <c r="AX261">
        <v>0</v>
      </c>
      <c r="AY261">
        <v>0</v>
      </c>
      <c r="AZ261">
        <v>1.2930249499180313E-2</v>
      </c>
      <c r="BA261">
        <v>0</v>
      </c>
      <c r="BB261">
        <v>0.98706975050081969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1.0130996309963098</v>
      </c>
      <c r="BI261">
        <v>1.0130996309963098</v>
      </c>
      <c r="BJ261">
        <v>1.1296799683715912</v>
      </c>
      <c r="BK261">
        <v>0.1165803373752814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1.3099630996309841E-2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 hidden="1" x14ac:dyDescent="0.25">
      <c r="A262" t="s">
        <v>128</v>
      </c>
      <c r="B262" t="s">
        <v>503</v>
      </c>
      <c r="C262" t="s">
        <v>72</v>
      </c>
      <c r="D262" s="12">
        <v>46223</v>
      </c>
      <c r="E262" t="s">
        <v>501</v>
      </c>
      <c r="F262" t="s">
        <v>75</v>
      </c>
      <c r="G262">
        <v>0</v>
      </c>
      <c r="H262">
        <v>0</v>
      </c>
      <c r="I262">
        <v>0</v>
      </c>
      <c r="J262">
        <v>0</v>
      </c>
      <c r="K262">
        <v>46223</v>
      </c>
      <c r="L262" t="s">
        <v>165</v>
      </c>
      <c r="M262">
        <v>0.16608996539792387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D262">
        <v>0</v>
      </c>
    </row>
    <row r="263" spans="1:82" hidden="1" x14ac:dyDescent="0.25">
      <c r="A263" t="s">
        <v>128</v>
      </c>
      <c r="B263" t="s">
        <v>372</v>
      </c>
      <c r="C263" t="s">
        <v>72</v>
      </c>
      <c r="D263" s="12">
        <v>46224</v>
      </c>
      <c r="E263" t="s">
        <v>501</v>
      </c>
      <c r="F263" t="s">
        <v>73</v>
      </c>
      <c r="G263">
        <v>3.587616462055093</v>
      </c>
      <c r="H263">
        <v>6.6499999999999995</v>
      </c>
      <c r="I263">
        <v>20</v>
      </c>
      <c r="J263">
        <v>6.6499999999999995</v>
      </c>
      <c r="K263">
        <v>46224</v>
      </c>
      <c r="L263" t="s">
        <v>172</v>
      </c>
      <c r="M263">
        <v>3.8807773109243686</v>
      </c>
      <c r="N263">
        <v>1.8535983626830284</v>
      </c>
      <c r="O263">
        <v>1.8535983626830284</v>
      </c>
      <c r="P263">
        <v>1.0817146570626852</v>
      </c>
      <c r="Q263">
        <v>0</v>
      </c>
      <c r="R263">
        <v>0</v>
      </c>
      <c r="S263">
        <v>0.60359836268302836</v>
      </c>
      <c r="T263">
        <v>0</v>
      </c>
      <c r="U263">
        <v>0</v>
      </c>
      <c r="V263">
        <v>0</v>
      </c>
      <c r="W263">
        <v>8.1714657062685214E-2</v>
      </c>
      <c r="X263">
        <v>0</v>
      </c>
      <c r="Y263">
        <v>0.16828534293731479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0.53949119730151773</v>
      </c>
      <c r="AL263">
        <v>0.53949119730151773</v>
      </c>
      <c r="AM263">
        <v>0.58357553547734875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0.41642446452265125</v>
      </c>
      <c r="AY263">
        <v>0</v>
      </c>
      <c r="AZ263">
        <v>0</v>
      </c>
      <c r="BA263">
        <v>0</v>
      </c>
      <c r="BB263">
        <v>0.53949119730151773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1.7135742319664369</v>
      </c>
      <c r="BI263">
        <v>1.7135742319664369</v>
      </c>
      <c r="BJ263">
        <v>0.92445821406860185</v>
      </c>
      <c r="CA263">
        <v>0</v>
      </c>
      <c r="CB263">
        <v>0</v>
      </c>
      <c r="CC263">
        <v>0</v>
      </c>
    </row>
    <row r="264" spans="1:82" hidden="1" x14ac:dyDescent="0.25">
      <c r="A264" t="s">
        <v>128</v>
      </c>
      <c r="B264" t="s">
        <v>502</v>
      </c>
      <c r="C264" t="s">
        <v>72</v>
      </c>
      <c r="D264" s="12">
        <v>46224</v>
      </c>
      <c r="E264" t="s">
        <v>501</v>
      </c>
      <c r="F264" t="s">
        <v>73</v>
      </c>
      <c r="G264">
        <v>1.8624711255077939</v>
      </c>
      <c r="H264">
        <v>0</v>
      </c>
      <c r="I264">
        <v>0</v>
      </c>
      <c r="J264">
        <v>0</v>
      </c>
      <c r="K264">
        <v>46224</v>
      </c>
      <c r="L264" t="s">
        <v>172</v>
      </c>
      <c r="M264">
        <v>0.88235294117647056</v>
      </c>
      <c r="N264">
        <v>0</v>
      </c>
      <c r="O264">
        <v>0</v>
      </c>
      <c r="P264">
        <v>0.47375389024401721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0.47375389024401721</v>
      </c>
      <c r="AA264">
        <v>0.52624610975598274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H264">
        <v>0</v>
      </c>
      <c r="BI264">
        <v>0</v>
      </c>
      <c r="BJ264">
        <v>2.1108006089088334</v>
      </c>
      <c r="BK264">
        <v>1.1108006089088334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 hidden="1" x14ac:dyDescent="0.25">
      <c r="A265" t="s">
        <v>128</v>
      </c>
      <c r="B265" t="s">
        <v>503</v>
      </c>
      <c r="C265" t="s">
        <v>72</v>
      </c>
      <c r="D265" s="12">
        <v>46224</v>
      </c>
      <c r="E265" t="s">
        <v>501</v>
      </c>
      <c r="F265" t="s">
        <v>73</v>
      </c>
      <c r="G265">
        <v>0.95316362793572373</v>
      </c>
      <c r="H265">
        <v>0</v>
      </c>
      <c r="I265">
        <v>0</v>
      </c>
      <c r="J265">
        <v>0</v>
      </c>
      <c r="K265">
        <v>46224</v>
      </c>
      <c r="L265" t="s">
        <v>172</v>
      </c>
      <c r="M265">
        <v>0.82352941176470595</v>
      </c>
      <c r="N265">
        <v>0</v>
      </c>
      <c r="O265">
        <v>0</v>
      </c>
      <c r="P265">
        <v>0.86399584250631978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0.86399584250631978</v>
      </c>
      <c r="AA265">
        <v>0.13600415749368022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H265">
        <v>0</v>
      </c>
      <c r="BI265">
        <v>0</v>
      </c>
      <c r="BJ265">
        <v>1.1574129767790931</v>
      </c>
      <c r="BK265">
        <v>0.15741297677909305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 hidden="1" x14ac:dyDescent="0.25">
      <c r="A266" t="s">
        <v>128</v>
      </c>
      <c r="B266" t="s">
        <v>503</v>
      </c>
      <c r="C266" t="s">
        <v>72</v>
      </c>
      <c r="D266" s="12">
        <v>46224</v>
      </c>
      <c r="E266" t="s">
        <v>501</v>
      </c>
      <c r="F266" t="s">
        <v>74</v>
      </c>
      <c r="G266">
        <v>0</v>
      </c>
      <c r="H266">
        <v>0</v>
      </c>
      <c r="I266">
        <v>0</v>
      </c>
      <c r="J266">
        <v>0</v>
      </c>
      <c r="K266">
        <v>46224</v>
      </c>
      <c r="L266" t="s">
        <v>169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D266">
        <v>0</v>
      </c>
    </row>
    <row r="267" spans="1:82" hidden="1" x14ac:dyDescent="0.25">
      <c r="A267" t="s">
        <v>128</v>
      </c>
      <c r="B267" t="s">
        <v>372</v>
      </c>
      <c r="C267" t="s">
        <v>72</v>
      </c>
      <c r="D267" s="12">
        <v>46224</v>
      </c>
      <c r="E267" t="s">
        <v>501</v>
      </c>
      <c r="F267" t="s">
        <v>74</v>
      </c>
      <c r="G267">
        <v>0</v>
      </c>
      <c r="H267">
        <v>0</v>
      </c>
      <c r="I267">
        <v>20</v>
      </c>
      <c r="J267">
        <v>0</v>
      </c>
      <c r="K267">
        <v>46224</v>
      </c>
      <c r="L267" t="s">
        <v>169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D267">
        <v>0</v>
      </c>
    </row>
    <row r="268" spans="1:82" hidden="1" x14ac:dyDescent="0.25">
      <c r="A268" t="s">
        <v>128</v>
      </c>
      <c r="B268" t="s">
        <v>502</v>
      </c>
      <c r="C268" t="s">
        <v>72</v>
      </c>
      <c r="D268" s="12">
        <v>46224</v>
      </c>
      <c r="E268" t="s">
        <v>501</v>
      </c>
      <c r="F268" t="s">
        <v>74</v>
      </c>
      <c r="G268">
        <v>0</v>
      </c>
      <c r="H268">
        <v>0</v>
      </c>
      <c r="I268">
        <v>0</v>
      </c>
      <c r="J268">
        <v>0</v>
      </c>
      <c r="K268">
        <v>46224</v>
      </c>
      <c r="L268" t="s">
        <v>169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D268">
        <v>0</v>
      </c>
    </row>
    <row r="269" spans="1:82" hidden="1" x14ac:dyDescent="0.25">
      <c r="A269" t="s">
        <v>128</v>
      </c>
      <c r="B269" t="s">
        <v>372</v>
      </c>
      <c r="C269" t="s">
        <v>72</v>
      </c>
      <c r="D269" s="12">
        <v>46224</v>
      </c>
      <c r="E269" t="s">
        <v>501</v>
      </c>
      <c r="F269" t="s">
        <v>75</v>
      </c>
      <c r="G269">
        <v>3.2276134260703255</v>
      </c>
      <c r="H269">
        <v>2.8499999999999996</v>
      </c>
      <c r="I269">
        <v>20</v>
      </c>
      <c r="J269">
        <v>2.8499999999999996</v>
      </c>
      <c r="K269">
        <v>46224</v>
      </c>
      <c r="L269" t="s">
        <v>166</v>
      </c>
      <c r="M269">
        <v>3.5239742956005928</v>
      </c>
      <c r="N269">
        <v>0.88300537387153066</v>
      </c>
      <c r="O269">
        <v>0.88300537387153066</v>
      </c>
      <c r="P269">
        <v>1.0918204352282335</v>
      </c>
      <c r="Q269">
        <v>9.1820435228233466E-2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0.11699462612846934</v>
      </c>
      <c r="AA269">
        <v>0</v>
      </c>
      <c r="AB269">
        <v>0</v>
      </c>
      <c r="AC269">
        <v>0</v>
      </c>
      <c r="AD269">
        <v>0</v>
      </c>
      <c r="AE269">
        <v>0.88300537387153066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1.1324959389720441</v>
      </c>
      <c r="AL269">
        <v>1.1324959389720441</v>
      </c>
      <c r="AM269">
        <v>1.2364822089826644</v>
      </c>
      <c r="AN269">
        <v>0.10398627001062022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0.13249593897204415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0.80874596717632208</v>
      </c>
      <c r="BI269">
        <v>0.80874596717632208</v>
      </c>
      <c r="BJ269">
        <v>0.91590152348720288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8.4098476512797116E-2</v>
      </c>
      <c r="BV269">
        <v>0</v>
      </c>
      <c r="BW269">
        <v>0</v>
      </c>
      <c r="BX269">
        <v>0</v>
      </c>
      <c r="BY269">
        <v>0.80874596717632208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 hidden="1" x14ac:dyDescent="0.25">
      <c r="A270" t="s">
        <v>128</v>
      </c>
      <c r="B270" t="s">
        <v>502</v>
      </c>
      <c r="C270" t="s">
        <v>72</v>
      </c>
      <c r="D270" s="12">
        <v>46224</v>
      </c>
      <c r="E270" t="s">
        <v>501</v>
      </c>
      <c r="F270" t="s">
        <v>75</v>
      </c>
      <c r="G270">
        <v>1.4435762356877015</v>
      </c>
      <c r="H270">
        <v>0</v>
      </c>
      <c r="I270">
        <v>0</v>
      </c>
      <c r="J270">
        <v>0</v>
      </c>
      <c r="K270">
        <v>46224</v>
      </c>
      <c r="L270" t="s">
        <v>166</v>
      </c>
      <c r="M270">
        <v>0.93425605536332179</v>
      </c>
      <c r="N270">
        <v>0</v>
      </c>
      <c r="O270">
        <v>0</v>
      </c>
      <c r="P270">
        <v>0.64718165363691649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0.64718165363691649</v>
      </c>
      <c r="AA270">
        <v>0.35281834636308351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H270">
        <v>0</v>
      </c>
      <c r="BI270">
        <v>0</v>
      </c>
      <c r="BJ270">
        <v>1.5451612300509101</v>
      </c>
      <c r="BK270">
        <v>0.54516123005091011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</row>
    <row r="271" spans="1:82" hidden="1" x14ac:dyDescent="0.25">
      <c r="A271" t="s">
        <v>128</v>
      </c>
      <c r="B271" t="s">
        <v>503</v>
      </c>
      <c r="C271" t="s">
        <v>72</v>
      </c>
      <c r="D271" s="12">
        <v>46224</v>
      </c>
      <c r="E271" t="s">
        <v>501</v>
      </c>
      <c r="F271" t="s">
        <v>75</v>
      </c>
      <c r="G271">
        <v>0</v>
      </c>
      <c r="H271">
        <v>0</v>
      </c>
      <c r="I271">
        <v>0</v>
      </c>
      <c r="J271">
        <v>0</v>
      </c>
      <c r="K271">
        <v>46224</v>
      </c>
      <c r="L271" t="s">
        <v>166</v>
      </c>
      <c r="M271">
        <v>0.16608996539792387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D271">
        <v>0</v>
      </c>
    </row>
    <row r="272" spans="1:82" hidden="1" x14ac:dyDescent="0.25">
      <c r="A272" t="s">
        <v>128</v>
      </c>
      <c r="B272" t="s">
        <v>502</v>
      </c>
      <c r="C272" t="s">
        <v>72</v>
      </c>
      <c r="D272" s="12">
        <v>46225</v>
      </c>
      <c r="E272" t="s">
        <v>501</v>
      </c>
      <c r="F272" t="s">
        <v>73</v>
      </c>
      <c r="G272">
        <v>1.8624711255077939</v>
      </c>
      <c r="H272">
        <v>0</v>
      </c>
      <c r="I272">
        <v>0</v>
      </c>
      <c r="J272">
        <v>0</v>
      </c>
      <c r="K272">
        <v>46225</v>
      </c>
      <c r="L272" t="s">
        <v>163</v>
      </c>
      <c r="M272">
        <v>0.88235294117647056</v>
      </c>
      <c r="N272">
        <v>0</v>
      </c>
      <c r="O272">
        <v>0</v>
      </c>
      <c r="P272">
        <v>0.47375389024401721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0.47375389024401721</v>
      </c>
      <c r="AA272">
        <v>0.52624610975598274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H272">
        <v>0</v>
      </c>
      <c r="BI272">
        <v>0</v>
      </c>
      <c r="BJ272">
        <v>2.1108006089088334</v>
      </c>
      <c r="BK272">
        <v>1.1108006089088334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 hidden="1" x14ac:dyDescent="0.25">
      <c r="A273" t="s">
        <v>128</v>
      </c>
      <c r="B273" t="s">
        <v>503</v>
      </c>
      <c r="C273" t="s">
        <v>72</v>
      </c>
      <c r="D273" s="12">
        <v>46225</v>
      </c>
      <c r="E273" t="s">
        <v>501</v>
      </c>
      <c r="F273" t="s">
        <v>73</v>
      </c>
      <c r="G273">
        <v>2.8594908838071702</v>
      </c>
      <c r="H273">
        <v>0</v>
      </c>
      <c r="I273">
        <v>0</v>
      </c>
      <c r="J273">
        <v>0</v>
      </c>
      <c r="K273">
        <v>46225</v>
      </c>
      <c r="L273" t="s">
        <v>163</v>
      </c>
      <c r="M273">
        <v>2.4760061919504648</v>
      </c>
      <c r="N273">
        <v>0</v>
      </c>
      <c r="O273">
        <v>0</v>
      </c>
      <c r="P273">
        <v>0.86589057023111471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0.86589057023111471</v>
      </c>
      <c r="AA273">
        <v>0.13410942976888529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H273">
        <v>0</v>
      </c>
      <c r="BI273">
        <v>0</v>
      </c>
      <c r="BJ273">
        <v>1.1548803444447837</v>
      </c>
      <c r="BK273">
        <v>0.15488034444478371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1</v>
      </c>
    </row>
    <row r="274" spans="1:82" hidden="1" x14ac:dyDescent="0.25">
      <c r="A274" t="s">
        <v>128</v>
      </c>
      <c r="B274" t="s">
        <v>372</v>
      </c>
      <c r="C274" t="s">
        <v>72</v>
      </c>
      <c r="D274" s="12">
        <v>46225</v>
      </c>
      <c r="E274" t="s">
        <v>501</v>
      </c>
      <c r="F274" t="s">
        <v>73</v>
      </c>
      <c r="G274">
        <v>3.587616462055093</v>
      </c>
      <c r="H274">
        <v>9.5</v>
      </c>
      <c r="I274">
        <v>20</v>
      </c>
      <c r="J274">
        <v>9.5</v>
      </c>
      <c r="K274">
        <v>46225</v>
      </c>
      <c r="L274" t="s">
        <v>163</v>
      </c>
      <c r="M274">
        <v>3.7647058823529398</v>
      </c>
      <c r="N274">
        <v>2.6479976609757552</v>
      </c>
      <c r="O274">
        <v>2.6479976609757552</v>
      </c>
      <c r="P274">
        <v>1.0493613021823422</v>
      </c>
      <c r="Q274">
        <v>0</v>
      </c>
      <c r="R274">
        <v>0</v>
      </c>
      <c r="S274">
        <v>1.3979976609757552</v>
      </c>
      <c r="T274">
        <v>0</v>
      </c>
      <c r="U274">
        <v>0</v>
      </c>
      <c r="V274">
        <v>0</v>
      </c>
      <c r="W274">
        <v>4.9361302182342248E-2</v>
      </c>
      <c r="X274">
        <v>0</v>
      </c>
      <c r="Y274">
        <v>0.20063869781765775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0.37764383811106245</v>
      </c>
      <c r="AL274">
        <v>0.37764383811106245</v>
      </c>
      <c r="AM274">
        <v>0.39628482972136209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0.60371517027863786</v>
      </c>
      <c r="AY274">
        <v>0</v>
      </c>
      <c r="AZ274">
        <v>0</v>
      </c>
      <c r="BA274">
        <v>0</v>
      </c>
      <c r="BB274">
        <v>0.37764383811106245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2.5234375000000009</v>
      </c>
      <c r="BI274">
        <v>2.5234375000000009</v>
      </c>
      <c r="BJ274">
        <v>0.95296062273338444</v>
      </c>
      <c r="CA274">
        <v>0</v>
      </c>
      <c r="CB274">
        <v>0</v>
      </c>
      <c r="CC274">
        <v>0</v>
      </c>
    </row>
    <row r="275" spans="1:82" hidden="1" x14ac:dyDescent="0.25">
      <c r="A275" t="s">
        <v>128</v>
      </c>
      <c r="B275" t="s">
        <v>372</v>
      </c>
      <c r="C275" t="s">
        <v>72</v>
      </c>
      <c r="D275" s="12">
        <v>46225</v>
      </c>
      <c r="E275" t="s">
        <v>501</v>
      </c>
      <c r="F275" t="s">
        <v>74</v>
      </c>
      <c r="G275">
        <v>0</v>
      </c>
      <c r="H275">
        <v>0</v>
      </c>
      <c r="I275">
        <v>20</v>
      </c>
      <c r="J275">
        <v>0</v>
      </c>
      <c r="K275">
        <v>46225</v>
      </c>
      <c r="L275" t="s">
        <v>160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D275">
        <v>0</v>
      </c>
    </row>
    <row r="276" spans="1:82" hidden="1" x14ac:dyDescent="0.25">
      <c r="A276" t="s">
        <v>128</v>
      </c>
      <c r="B276" t="s">
        <v>503</v>
      </c>
      <c r="C276" t="s">
        <v>72</v>
      </c>
      <c r="D276" s="12">
        <v>46225</v>
      </c>
      <c r="E276" t="s">
        <v>501</v>
      </c>
      <c r="F276" t="s">
        <v>74</v>
      </c>
      <c r="G276">
        <v>0</v>
      </c>
      <c r="H276">
        <v>0</v>
      </c>
      <c r="I276">
        <v>0</v>
      </c>
      <c r="J276">
        <v>0</v>
      </c>
      <c r="K276">
        <v>46225</v>
      </c>
      <c r="L276" t="s">
        <v>160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D276">
        <v>0</v>
      </c>
    </row>
    <row r="277" spans="1:82" hidden="1" x14ac:dyDescent="0.25">
      <c r="A277" t="s">
        <v>128</v>
      </c>
      <c r="B277" t="s">
        <v>502</v>
      </c>
      <c r="C277" t="s">
        <v>72</v>
      </c>
      <c r="D277" s="12">
        <v>46225</v>
      </c>
      <c r="E277" t="s">
        <v>501</v>
      </c>
      <c r="F277" t="s">
        <v>74</v>
      </c>
      <c r="G277">
        <v>0</v>
      </c>
      <c r="H277">
        <v>0</v>
      </c>
      <c r="I277">
        <v>0</v>
      </c>
      <c r="J277">
        <v>0</v>
      </c>
      <c r="K277">
        <v>46225</v>
      </c>
      <c r="L277" t="s">
        <v>160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D277">
        <v>0</v>
      </c>
    </row>
    <row r="278" spans="1:82" hidden="1" x14ac:dyDescent="0.25">
      <c r="A278" t="s">
        <v>128</v>
      </c>
      <c r="B278" t="s">
        <v>503</v>
      </c>
      <c r="C278" t="s">
        <v>72</v>
      </c>
      <c r="D278" s="12">
        <v>46225</v>
      </c>
      <c r="E278" t="s">
        <v>501</v>
      </c>
      <c r="F278" t="s">
        <v>75</v>
      </c>
      <c r="G278">
        <v>0.68601396059041697</v>
      </c>
      <c r="H278">
        <v>0</v>
      </c>
      <c r="I278">
        <v>0</v>
      </c>
      <c r="J278">
        <v>0</v>
      </c>
      <c r="K278">
        <v>46225</v>
      </c>
      <c r="L278" t="s">
        <v>212</v>
      </c>
      <c r="M278">
        <v>1.3167000546348568</v>
      </c>
      <c r="N278">
        <v>0</v>
      </c>
      <c r="O278">
        <v>0</v>
      </c>
      <c r="P278">
        <v>1.9193487746249955</v>
      </c>
      <c r="Q278">
        <v>0.91934877462499554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1</v>
      </c>
      <c r="BH278">
        <v>0</v>
      </c>
      <c r="BI278">
        <v>0</v>
      </c>
      <c r="BJ278">
        <v>0.52101004946085483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0.47898995053914517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0.52101004946085483</v>
      </c>
      <c r="CD278">
        <v>0</v>
      </c>
    </row>
    <row r="279" spans="1:82" hidden="1" x14ac:dyDescent="0.25">
      <c r="A279" t="s">
        <v>128</v>
      </c>
      <c r="B279" t="s">
        <v>372</v>
      </c>
      <c r="C279" t="s">
        <v>72</v>
      </c>
      <c r="D279" s="12">
        <v>46225</v>
      </c>
      <c r="E279" t="s">
        <v>501</v>
      </c>
      <c r="F279" t="s">
        <v>75</v>
      </c>
      <c r="G279">
        <v>3.1779578349000128</v>
      </c>
      <c r="H279">
        <v>2.8499999999999996</v>
      </c>
      <c r="I279">
        <v>20</v>
      </c>
      <c r="J279">
        <v>2.8499999999999996</v>
      </c>
      <c r="K279">
        <v>46225</v>
      </c>
      <c r="L279" t="s">
        <v>212</v>
      </c>
      <c r="M279">
        <v>3.7508650519031144</v>
      </c>
      <c r="N279">
        <v>0.89680233283827326</v>
      </c>
      <c r="O279">
        <v>0.89680233283827326</v>
      </c>
      <c r="P279">
        <v>1.18027527323097</v>
      </c>
      <c r="Q279">
        <v>0.18027527323097003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0.10319766716172674</v>
      </c>
      <c r="AA279">
        <v>0</v>
      </c>
      <c r="AB279">
        <v>0</v>
      </c>
      <c r="AC279">
        <v>0</v>
      </c>
      <c r="AD279">
        <v>0</v>
      </c>
      <c r="AE279">
        <v>0.89680233283827326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1.1150729245263205</v>
      </c>
      <c r="AL279">
        <v>1.1150729245263205</v>
      </c>
      <c r="AM279">
        <v>1.3160930006677596</v>
      </c>
      <c r="AN279">
        <v>0.20102007614143913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0.11507292452632045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0.75982472324723238</v>
      </c>
      <c r="BI279">
        <v>0.75982472324723238</v>
      </c>
      <c r="BJ279">
        <v>0.84725997627869343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0.15274002372130657</v>
      </c>
      <c r="BV279">
        <v>0</v>
      </c>
      <c r="BW279">
        <v>0</v>
      </c>
      <c r="BX279">
        <v>0</v>
      </c>
      <c r="BY279">
        <v>0.75982472324723238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 hidden="1" x14ac:dyDescent="0.25">
      <c r="A280" t="s">
        <v>128</v>
      </c>
      <c r="B280" t="s">
        <v>502</v>
      </c>
      <c r="C280" t="s">
        <v>72</v>
      </c>
      <c r="D280" s="12">
        <v>46225</v>
      </c>
      <c r="E280" t="s">
        <v>501</v>
      </c>
      <c r="F280" t="s">
        <v>75</v>
      </c>
      <c r="G280">
        <v>1.5982451180828126</v>
      </c>
      <c r="H280">
        <v>0</v>
      </c>
      <c r="I280">
        <v>0</v>
      </c>
      <c r="J280">
        <v>0</v>
      </c>
      <c r="K280">
        <v>46225</v>
      </c>
      <c r="L280" t="s">
        <v>212</v>
      </c>
      <c r="M280">
        <v>0.93425605536332179</v>
      </c>
      <c r="N280">
        <v>0</v>
      </c>
      <c r="O280">
        <v>0</v>
      </c>
      <c r="P280">
        <v>0.58455117102689225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0.58455117102689225</v>
      </c>
      <c r="AA280">
        <v>0.41544882897310775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H280">
        <v>0</v>
      </c>
      <c r="BI280">
        <v>0</v>
      </c>
      <c r="BJ280">
        <v>1.7107142189849365</v>
      </c>
      <c r="BK280">
        <v>0.71071421898493647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 hidden="1" x14ac:dyDescent="0.25">
      <c r="A281" t="s">
        <v>128</v>
      </c>
      <c r="B281" t="s">
        <v>502</v>
      </c>
      <c r="C281" t="s">
        <v>72</v>
      </c>
      <c r="D281" s="12">
        <v>46226</v>
      </c>
      <c r="E281" t="s">
        <v>501</v>
      </c>
      <c r="F281" t="s">
        <v>73</v>
      </c>
      <c r="G281">
        <v>1.8624711255077939</v>
      </c>
      <c r="H281">
        <v>0</v>
      </c>
      <c r="I281">
        <v>0</v>
      </c>
      <c r="J281">
        <v>0</v>
      </c>
      <c r="K281">
        <v>46226</v>
      </c>
      <c r="L281" t="s">
        <v>229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 hidden="1" x14ac:dyDescent="0.25">
      <c r="A282" t="s">
        <v>128</v>
      </c>
      <c r="B282" t="s">
        <v>372</v>
      </c>
      <c r="C282" t="s">
        <v>72</v>
      </c>
      <c r="D282" s="12">
        <v>46226</v>
      </c>
      <c r="E282" t="s">
        <v>501</v>
      </c>
      <c r="F282" t="s">
        <v>73</v>
      </c>
      <c r="G282">
        <v>3.5876164620550925</v>
      </c>
      <c r="H282">
        <v>8.5499999999999989</v>
      </c>
      <c r="I282">
        <v>20</v>
      </c>
      <c r="J282">
        <v>8.5499999999999989</v>
      </c>
      <c r="K282">
        <v>46226</v>
      </c>
      <c r="L282" t="s">
        <v>229</v>
      </c>
      <c r="M282">
        <v>3.764705882352942</v>
      </c>
      <c r="N282">
        <v>2.3831978948781796</v>
      </c>
      <c r="O282">
        <v>2.3831978948781796</v>
      </c>
      <c r="P282">
        <v>1.0493613021823429</v>
      </c>
      <c r="Q282">
        <v>0</v>
      </c>
      <c r="R282">
        <v>0</v>
      </c>
      <c r="S282">
        <v>1.1331978948781796</v>
      </c>
      <c r="T282">
        <v>0</v>
      </c>
      <c r="U282">
        <v>0</v>
      </c>
      <c r="V282">
        <v>0</v>
      </c>
      <c r="W282">
        <v>4.9361302182342914E-2</v>
      </c>
      <c r="X282">
        <v>0</v>
      </c>
      <c r="Y282">
        <v>0.20063869781765709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0.41960426456784711</v>
      </c>
      <c r="AL282">
        <v>0.41960426456784711</v>
      </c>
      <c r="AM282">
        <v>0.44031647746818042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0.55968352253181952</v>
      </c>
      <c r="AY282">
        <v>0</v>
      </c>
      <c r="AZ282">
        <v>0</v>
      </c>
      <c r="BA282">
        <v>0</v>
      </c>
      <c r="BB282">
        <v>0.41960426456784711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2.271093749999999</v>
      </c>
      <c r="BI282">
        <v>2.271093749999999</v>
      </c>
      <c r="BJ282">
        <v>0.95296062273338378</v>
      </c>
      <c r="CA282">
        <v>0</v>
      </c>
      <c r="CB282">
        <v>0</v>
      </c>
      <c r="CC282">
        <v>0</v>
      </c>
    </row>
    <row r="283" spans="1:82" hidden="1" x14ac:dyDescent="0.25">
      <c r="A283" t="s">
        <v>128</v>
      </c>
      <c r="B283" t="s">
        <v>503</v>
      </c>
      <c r="C283" t="s">
        <v>72</v>
      </c>
      <c r="D283" s="12">
        <v>46226</v>
      </c>
      <c r="E283" t="s">
        <v>501</v>
      </c>
      <c r="F283" t="s">
        <v>73</v>
      </c>
      <c r="G283">
        <v>2.8594908838071702</v>
      </c>
      <c r="H283">
        <v>0</v>
      </c>
      <c r="I283">
        <v>0</v>
      </c>
      <c r="J283">
        <v>0</v>
      </c>
      <c r="K283">
        <v>46226</v>
      </c>
      <c r="L283" t="s">
        <v>229</v>
      </c>
      <c r="M283">
        <v>2.4760061919504648</v>
      </c>
      <c r="N283">
        <v>0</v>
      </c>
      <c r="O283">
        <v>0</v>
      </c>
      <c r="P283">
        <v>0.86589057023111471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0.86589057023111471</v>
      </c>
      <c r="AA283">
        <v>0.13410942976888529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H283">
        <v>0</v>
      </c>
      <c r="BI283">
        <v>0</v>
      </c>
      <c r="BJ283">
        <v>1.1548803444447837</v>
      </c>
      <c r="BK283">
        <v>0.15488034444478371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1</v>
      </c>
    </row>
    <row r="284" spans="1:82" hidden="1" x14ac:dyDescent="0.25">
      <c r="A284" t="s">
        <v>128</v>
      </c>
      <c r="B284" t="s">
        <v>502</v>
      </c>
      <c r="C284" t="s">
        <v>72</v>
      </c>
      <c r="D284" s="12">
        <v>46226</v>
      </c>
      <c r="E284" t="s">
        <v>501</v>
      </c>
      <c r="F284" t="s">
        <v>74</v>
      </c>
      <c r="G284">
        <v>0</v>
      </c>
      <c r="H284">
        <v>0</v>
      </c>
      <c r="I284">
        <v>0</v>
      </c>
      <c r="J284">
        <v>0</v>
      </c>
      <c r="K284">
        <v>46226</v>
      </c>
      <c r="L284" t="s">
        <v>228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D284">
        <v>0</v>
      </c>
    </row>
    <row r="285" spans="1:82" hidden="1" x14ac:dyDescent="0.25">
      <c r="A285" t="s">
        <v>128</v>
      </c>
      <c r="B285" t="s">
        <v>503</v>
      </c>
      <c r="C285" t="s">
        <v>72</v>
      </c>
      <c r="D285" s="12">
        <v>46226</v>
      </c>
      <c r="E285" t="s">
        <v>501</v>
      </c>
      <c r="F285" t="s">
        <v>74</v>
      </c>
      <c r="G285">
        <v>0</v>
      </c>
      <c r="H285">
        <v>0</v>
      </c>
      <c r="I285">
        <v>0</v>
      </c>
      <c r="J285">
        <v>0</v>
      </c>
      <c r="K285">
        <v>46226</v>
      </c>
      <c r="L285" t="s">
        <v>228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D285">
        <v>0</v>
      </c>
    </row>
    <row r="286" spans="1:82" hidden="1" x14ac:dyDescent="0.25">
      <c r="A286" t="s">
        <v>128</v>
      </c>
      <c r="B286" t="s">
        <v>372</v>
      </c>
      <c r="C286" t="s">
        <v>72</v>
      </c>
      <c r="D286" s="12">
        <v>46226</v>
      </c>
      <c r="E286" t="s">
        <v>501</v>
      </c>
      <c r="F286" t="s">
        <v>74</v>
      </c>
      <c r="G286">
        <v>0</v>
      </c>
      <c r="H286">
        <v>0</v>
      </c>
      <c r="I286">
        <v>20</v>
      </c>
      <c r="J286">
        <v>0</v>
      </c>
      <c r="K286">
        <v>46226</v>
      </c>
      <c r="L286" t="s">
        <v>228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D286">
        <v>0</v>
      </c>
    </row>
    <row r="287" spans="1:82" hidden="1" x14ac:dyDescent="0.25">
      <c r="A287" t="s">
        <v>128</v>
      </c>
      <c r="B287" t="s">
        <v>502</v>
      </c>
      <c r="C287" t="s">
        <v>72</v>
      </c>
      <c r="D287" s="12">
        <v>46226</v>
      </c>
      <c r="E287" t="s">
        <v>501</v>
      </c>
      <c r="F287" t="s">
        <v>75</v>
      </c>
      <c r="G287">
        <v>1.4435762356877018</v>
      </c>
      <c r="H287">
        <v>0</v>
      </c>
      <c r="I287">
        <v>0</v>
      </c>
      <c r="J287">
        <v>0</v>
      </c>
      <c r="K287">
        <v>46226</v>
      </c>
      <c r="L287" t="s">
        <v>227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 hidden="1" x14ac:dyDescent="0.25">
      <c r="A288" t="s">
        <v>128</v>
      </c>
      <c r="B288" t="s">
        <v>372</v>
      </c>
      <c r="C288" t="s">
        <v>72</v>
      </c>
      <c r="D288" s="12">
        <v>46226</v>
      </c>
      <c r="E288" t="s">
        <v>501</v>
      </c>
      <c r="F288" t="s">
        <v>75</v>
      </c>
      <c r="G288">
        <v>3.1779578349000133</v>
      </c>
      <c r="H288">
        <v>2.8499999999999996</v>
      </c>
      <c r="I288">
        <v>20</v>
      </c>
      <c r="J288">
        <v>2.8499999999999996</v>
      </c>
      <c r="K288">
        <v>46226</v>
      </c>
      <c r="L288" t="s">
        <v>227</v>
      </c>
      <c r="M288">
        <v>3.7508650519031144</v>
      </c>
      <c r="N288">
        <v>0.89680233283827315</v>
      </c>
      <c r="O288">
        <v>0.89680233283827315</v>
      </c>
      <c r="P288">
        <v>1.1802752732309698</v>
      </c>
      <c r="Q288">
        <v>0.18027527323096981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0.10319766716172685</v>
      </c>
      <c r="AA288">
        <v>0</v>
      </c>
      <c r="AB288">
        <v>0</v>
      </c>
      <c r="AC288">
        <v>0</v>
      </c>
      <c r="AD288">
        <v>0</v>
      </c>
      <c r="AE288">
        <v>0.89680233283827315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1.1150729245263207</v>
      </c>
      <c r="AL288">
        <v>1.1150729245263207</v>
      </c>
      <c r="AM288">
        <v>1.3160930006677596</v>
      </c>
      <c r="AN288">
        <v>0.20102007614143891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0.11507292452632067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0.75982472324723238</v>
      </c>
      <c r="BI288">
        <v>0.75982472324723238</v>
      </c>
      <c r="BJ288">
        <v>0.84725997627869354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0.15274002372130646</v>
      </c>
      <c r="BV288">
        <v>0</v>
      </c>
      <c r="BW288">
        <v>0</v>
      </c>
      <c r="BX288">
        <v>0</v>
      </c>
      <c r="BY288">
        <v>0.75982472324723238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 hidden="1" x14ac:dyDescent="0.25">
      <c r="A289" t="s">
        <v>128</v>
      </c>
      <c r="B289" t="s">
        <v>503</v>
      </c>
      <c r="C289" t="s">
        <v>72</v>
      </c>
      <c r="D289" s="12">
        <v>46226</v>
      </c>
      <c r="E289" t="s">
        <v>501</v>
      </c>
      <c r="F289" t="s">
        <v>75</v>
      </c>
      <c r="G289">
        <v>0</v>
      </c>
      <c r="H289">
        <v>0</v>
      </c>
      <c r="I289">
        <v>0</v>
      </c>
      <c r="J289">
        <v>0</v>
      </c>
      <c r="K289">
        <v>46226</v>
      </c>
      <c r="L289" t="s">
        <v>227</v>
      </c>
      <c r="M289">
        <v>0.61081770169368066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D289">
        <v>0</v>
      </c>
    </row>
    <row r="290" spans="1:82" hidden="1" x14ac:dyDescent="0.25">
      <c r="A290" t="s">
        <v>128</v>
      </c>
      <c r="B290" t="s">
        <v>372</v>
      </c>
      <c r="C290" t="s">
        <v>72</v>
      </c>
      <c r="D290" s="12">
        <v>46227</v>
      </c>
      <c r="E290" t="s">
        <v>501</v>
      </c>
      <c r="F290" t="s">
        <v>73</v>
      </c>
      <c r="G290">
        <v>3.5876164620550925</v>
      </c>
      <c r="H290">
        <v>10.45</v>
      </c>
      <c r="I290">
        <v>20</v>
      </c>
      <c r="J290">
        <v>10.45</v>
      </c>
      <c r="K290">
        <v>46227</v>
      </c>
      <c r="L290" t="s">
        <v>226</v>
      </c>
      <c r="M290">
        <v>3.7647058823529425</v>
      </c>
      <c r="N290">
        <v>2.9127974270733308</v>
      </c>
      <c r="O290">
        <v>2.9127974270733308</v>
      </c>
      <c r="P290">
        <v>1.0493613021823431</v>
      </c>
      <c r="Q290">
        <v>0</v>
      </c>
      <c r="R290">
        <v>0</v>
      </c>
      <c r="S290">
        <v>1.6627974270733308</v>
      </c>
      <c r="T290">
        <v>0</v>
      </c>
      <c r="U290">
        <v>0</v>
      </c>
      <c r="V290">
        <v>0</v>
      </c>
      <c r="W290">
        <v>4.9361302182343136E-2</v>
      </c>
      <c r="X290">
        <v>0</v>
      </c>
      <c r="Y290">
        <v>0.20063869781765686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0.34331258010096583</v>
      </c>
      <c r="AL290">
        <v>0.34331258010096583</v>
      </c>
      <c r="AM290">
        <v>0.36025893611032944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0.63974106388967056</v>
      </c>
      <c r="AY290">
        <v>0</v>
      </c>
      <c r="AZ290">
        <v>0</v>
      </c>
      <c r="BA290">
        <v>0</v>
      </c>
      <c r="BB290">
        <v>0.34331258010096583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2.7757812499999988</v>
      </c>
      <c r="BI290">
        <v>2.7757812499999988</v>
      </c>
      <c r="BJ290">
        <v>0.95296062273338367</v>
      </c>
      <c r="CA290">
        <v>0</v>
      </c>
      <c r="CB290">
        <v>0</v>
      </c>
      <c r="CC290">
        <v>0</v>
      </c>
    </row>
    <row r="291" spans="1:82" hidden="1" x14ac:dyDescent="0.25">
      <c r="A291" t="s">
        <v>128</v>
      </c>
      <c r="B291" t="s">
        <v>502</v>
      </c>
      <c r="C291" t="s">
        <v>72</v>
      </c>
      <c r="D291" s="12">
        <v>46227</v>
      </c>
      <c r="E291" t="s">
        <v>501</v>
      </c>
      <c r="F291" t="s">
        <v>73</v>
      </c>
      <c r="G291">
        <v>1.8624711255077939</v>
      </c>
      <c r="H291">
        <v>0</v>
      </c>
      <c r="I291">
        <v>0</v>
      </c>
      <c r="J291">
        <v>0</v>
      </c>
      <c r="K291">
        <v>46227</v>
      </c>
      <c r="L291" t="s">
        <v>226</v>
      </c>
      <c r="M291">
        <v>1.7647058823529409</v>
      </c>
      <c r="N291">
        <v>0</v>
      </c>
      <c r="O291">
        <v>0</v>
      </c>
      <c r="P291">
        <v>0.9475077804880343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0.9475077804880343</v>
      </c>
      <c r="AA291">
        <v>5.2492219511965699E-2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H291">
        <v>0</v>
      </c>
      <c r="BI291">
        <v>0</v>
      </c>
      <c r="BJ291">
        <v>1.0554003044544167</v>
      </c>
      <c r="BK291">
        <v>5.5400304454416682E-2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1</v>
      </c>
    </row>
    <row r="292" spans="1:82" hidden="1" x14ac:dyDescent="0.25">
      <c r="A292" t="s">
        <v>128</v>
      </c>
      <c r="B292" t="s">
        <v>503</v>
      </c>
      <c r="C292" t="s">
        <v>72</v>
      </c>
      <c r="D292" s="12">
        <v>46227</v>
      </c>
      <c r="E292" t="s">
        <v>501</v>
      </c>
      <c r="F292" t="s">
        <v>73</v>
      </c>
      <c r="G292">
        <v>1.9063272558714477</v>
      </c>
      <c r="H292">
        <v>0</v>
      </c>
      <c r="I292">
        <v>0</v>
      </c>
      <c r="J292">
        <v>0</v>
      </c>
      <c r="K292">
        <v>46227</v>
      </c>
      <c r="L292" t="s">
        <v>226</v>
      </c>
      <c r="M292">
        <v>0.82352941176470595</v>
      </c>
      <c r="N292">
        <v>0</v>
      </c>
      <c r="O292">
        <v>0</v>
      </c>
      <c r="P292">
        <v>0.43199792125315983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0.43199792125315983</v>
      </c>
      <c r="AA292">
        <v>0.56800207874684017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H292">
        <v>0</v>
      </c>
      <c r="BI292">
        <v>0</v>
      </c>
      <c r="BJ292">
        <v>2.3148259535581861</v>
      </c>
      <c r="BK292">
        <v>1.3148259535581861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 hidden="1" x14ac:dyDescent="0.25">
      <c r="A293" t="s">
        <v>128</v>
      </c>
      <c r="B293" t="s">
        <v>503</v>
      </c>
      <c r="C293" t="s">
        <v>72</v>
      </c>
      <c r="D293" s="12">
        <v>46227</v>
      </c>
      <c r="E293" t="s">
        <v>501</v>
      </c>
      <c r="F293" t="s">
        <v>74</v>
      </c>
      <c r="G293">
        <v>0</v>
      </c>
      <c r="H293">
        <v>0</v>
      </c>
      <c r="I293">
        <v>0</v>
      </c>
      <c r="J293">
        <v>0</v>
      </c>
      <c r="K293">
        <v>46227</v>
      </c>
      <c r="L293" t="s">
        <v>225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D293">
        <v>0</v>
      </c>
    </row>
    <row r="294" spans="1:82" hidden="1" x14ac:dyDescent="0.25">
      <c r="A294" t="s">
        <v>128</v>
      </c>
      <c r="B294" t="s">
        <v>372</v>
      </c>
      <c r="C294" t="s">
        <v>72</v>
      </c>
      <c r="D294" s="12">
        <v>46227</v>
      </c>
      <c r="E294" t="s">
        <v>501</v>
      </c>
      <c r="F294" t="s">
        <v>74</v>
      </c>
      <c r="G294">
        <v>0</v>
      </c>
      <c r="H294">
        <v>0.95</v>
      </c>
      <c r="I294">
        <v>20</v>
      </c>
      <c r="J294">
        <v>0.95</v>
      </c>
      <c r="K294">
        <v>46227</v>
      </c>
      <c r="L294" t="s">
        <v>225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D294">
        <v>0</v>
      </c>
    </row>
    <row r="295" spans="1:82" hidden="1" x14ac:dyDescent="0.25">
      <c r="A295" t="s">
        <v>128</v>
      </c>
      <c r="B295" t="s">
        <v>502</v>
      </c>
      <c r="C295" t="s">
        <v>72</v>
      </c>
      <c r="D295" s="12">
        <v>46227</v>
      </c>
      <c r="E295" t="s">
        <v>501</v>
      </c>
      <c r="F295" t="s">
        <v>74</v>
      </c>
      <c r="G295">
        <v>0</v>
      </c>
      <c r="H295">
        <v>0</v>
      </c>
      <c r="I295">
        <v>0</v>
      </c>
      <c r="J295">
        <v>0</v>
      </c>
      <c r="K295">
        <v>46227</v>
      </c>
      <c r="L295" t="s">
        <v>225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D295">
        <v>0</v>
      </c>
    </row>
    <row r="296" spans="1:82" hidden="1" x14ac:dyDescent="0.25">
      <c r="A296" t="s">
        <v>128</v>
      </c>
      <c r="B296" t="s">
        <v>372</v>
      </c>
      <c r="C296" t="s">
        <v>72</v>
      </c>
      <c r="D296" s="12">
        <v>46227</v>
      </c>
      <c r="E296" t="s">
        <v>501</v>
      </c>
      <c r="F296" t="s">
        <v>75</v>
      </c>
      <c r="G296">
        <v>3.1779578349000128</v>
      </c>
      <c r="H296">
        <v>2.8499999999999996</v>
      </c>
      <c r="I296">
        <v>20</v>
      </c>
      <c r="J296">
        <v>2.8499999999999996</v>
      </c>
      <c r="K296">
        <v>46227</v>
      </c>
      <c r="L296" t="s">
        <v>224</v>
      </c>
      <c r="M296">
        <v>2.8685121107266438</v>
      </c>
      <c r="N296">
        <v>0.89680233283827326</v>
      </c>
      <c r="O296">
        <v>0.89680233283827326</v>
      </c>
      <c r="P296">
        <v>0.90262749216648908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5.8251593282158121E-3</v>
      </c>
      <c r="AA296">
        <v>9.7372507833510924E-2</v>
      </c>
      <c r="AB296">
        <v>0</v>
      </c>
      <c r="AC296">
        <v>0</v>
      </c>
      <c r="AD296">
        <v>0</v>
      </c>
      <c r="AE296">
        <v>0.89680233283827326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1.1150729245263205</v>
      </c>
      <c r="AL296">
        <v>1.1150729245263205</v>
      </c>
      <c r="AM296">
        <v>1.0064954774479453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6.4954774479453192E-3</v>
      </c>
      <c r="AU296">
        <v>0</v>
      </c>
      <c r="AV296">
        <v>0.10857744707837513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0.99354644149577787</v>
      </c>
      <c r="BI296">
        <v>0.99354644149577787</v>
      </c>
      <c r="BJ296">
        <v>1.1078767361714157</v>
      </c>
      <c r="BK296">
        <v>0.10787673617141569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0.10319766716172674</v>
      </c>
      <c r="BU296">
        <v>0</v>
      </c>
      <c r="BV296">
        <v>0</v>
      </c>
      <c r="BW296">
        <v>0</v>
      </c>
      <c r="BX296">
        <v>0</v>
      </c>
      <c r="BY296">
        <v>0.99354644149577787</v>
      </c>
      <c r="BZ296">
        <v>0</v>
      </c>
      <c r="CA296">
        <v>0</v>
      </c>
      <c r="CB296">
        <v>0</v>
      </c>
      <c r="CC296">
        <v>0</v>
      </c>
      <c r="CD296">
        <v>0</v>
      </c>
    </row>
    <row r="297" spans="1:82" hidden="1" x14ac:dyDescent="0.25">
      <c r="A297" t="s">
        <v>128</v>
      </c>
      <c r="B297" t="s">
        <v>502</v>
      </c>
      <c r="C297" t="s">
        <v>72</v>
      </c>
      <c r="D297" s="12">
        <v>46227</v>
      </c>
      <c r="E297" t="s">
        <v>501</v>
      </c>
      <c r="F297" t="s">
        <v>75</v>
      </c>
      <c r="G297">
        <v>1.4435762356877015</v>
      </c>
      <c r="H297">
        <v>0</v>
      </c>
      <c r="I297">
        <v>0</v>
      </c>
      <c r="J297">
        <v>0</v>
      </c>
      <c r="K297">
        <v>46227</v>
      </c>
      <c r="L297" t="s">
        <v>224</v>
      </c>
      <c r="M297">
        <v>0.22145328719723184</v>
      </c>
      <c r="N297">
        <v>0</v>
      </c>
      <c r="O297">
        <v>0</v>
      </c>
      <c r="P297">
        <v>0.15340602160282465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0.15340602160282465</v>
      </c>
      <c r="AA297">
        <v>0.84659397839717532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H297">
        <v>0</v>
      </c>
      <c r="BI297">
        <v>0</v>
      </c>
      <c r="BJ297">
        <v>6.5186489392772771</v>
      </c>
      <c r="BK297">
        <v>5.5186489392772771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 hidden="1" x14ac:dyDescent="0.25">
      <c r="A298" t="s">
        <v>128</v>
      </c>
      <c r="B298" t="s">
        <v>503</v>
      </c>
      <c r="C298" t="s">
        <v>72</v>
      </c>
      <c r="D298" s="12">
        <v>46227</v>
      </c>
      <c r="E298" t="s">
        <v>501</v>
      </c>
      <c r="F298" t="s">
        <v>75</v>
      </c>
      <c r="G298">
        <v>0</v>
      </c>
      <c r="H298">
        <v>0</v>
      </c>
      <c r="I298">
        <v>0</v>
      </c>
      <c r="J298">
        <v>0</v>
      </c>
      <c r="K298">
        <v>46227</v>
      </c>
      <c r="L298" t="s">
        <v>224</v>
      </c>
      <c r="M298">
        <v>0.16608996539792387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D298">
        <v>0</v>
      </c>
    </row>
    <row r="299" spans="1:82" hidden="1" x14ac:dyDescent="0.25">
      <c r="A299" t="s">
        <v>128</v>
      </c>
      <c r="B299" t="s">
        <v>502</v>
      </c>
      <c r="C299" t="s">
        <v>72</v>
      </c>
      <c r="D299" s="12">
        <v>46228</v>
      </c>
      <c r="E299" t="s">
        <v>501</v>
      </c>
      <c r="F299" t="s">
        <v>73</v>
      </c>
      <c r="G299">
        <v>1.8624711255077939</v>
      </c>
      <c r="H299">
        <v>0</v>
      </c>
      <c r="I299">
        <v>0</v>
      </c>
      <c r="J299">
        <v>0</v>
      </c>
      <c r="K299">
        <v>46228</v>
      </c>
      <c r="L299" t="s">
        <v>223</v>
      </c>
      <c r="M299">
        <v>1.7647058823529409</v>
      </c>
      <c r="N299">
        <v>0</v>
      </c>
      <c r="O299">
        <v>0</v>
      </c>
      <c r="P299">
        <v>0.9475077804880343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0.9475077804880343</v>
      </c>
      <c r="AA299">
        <v>5.2492219511965699E-2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H299">
        <v>0</v>
      </c>
      <c r="BI299">
        <v>0</v>
      </c>
      <c r="BJ299">
        <v>1.0554003044544167</v>
      </c>
      <c r="BK299">
        <v>5.5400304454416682E-2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1</v>
      </c>
    </row>
    <row r="300" spans="1:82" hidden="1" x14ac:dyDescent="0.25">
      <c r="A300" t="s">
        <v>128</v>
      </c>
      <c r="B300" t="s">
        <v>503</v>
      </c>
      <c r="C300" t="s">
        <v>72</v>
      </c>
      <c r="D300" s="12">
        <v>46228</v>
      </c>
      <c r="E300" t="s">
        <v>501</v>
      </c>
      <c r="F300" t="s">
        <v>73</v>
      </c>
      <c r="G300">
        <v>0.95316362793572351</v>
      </c>
      <c r="H300">
        <v>0</v>
      </c>
      <c r="I300">
        <v>0</v>
      </c>
      <c r="J300">
        <v>0</v>
      </c>
      <c r="K300">
        <v>46228</v>
      </c>
      <c r="L300" t="s">
        <v>223</v>
      </c>
      <c r="M300">
        <v>0.82352941176470595</v>
      </c>
      <c r="N300">
        <v>0</v>
      </c>
      <c r="O300">
        <v>0</v>
      </c>
      <c r="P300">
        <v>0.86399584250632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0.86399584250632</v>
      </c>
      <c r="AA300">
        <v>0.13600415749368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1.1574129767790928</v>
      </c>
      <c r="BK300">
        <v>0.15741297677909283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 hidden="1" x14ac:dyDescent="0.25">
      <c r="A301" t="s">
        <v>128</v>
      </c>
      <c r="B301" t="s">
        <v>372</v>
      </c>
      <c r="C301" t="s">
        <v>72</v>
      </c>
      <c r="D301" s="12">
        <v>46228</v>
      </c>
      <c r="E301" t="s">
        <v>501</v>
      </c>
      <c r="F301" t="s">
        <v>73</v>
      </c>
      <c r="G301">
        <v>3.587616462055093</v>
      </c>
      <c r="H301">
        <v>9.5</v>
      </c>
      <c r="I301">
        <v>20</v>
      </c>
      <c r="J301">
        <v>9.5</v>
      </c>
      <c r="K301">
        <v>46228</v>
      </c>
      <c r="L301" t="s">
        <v>223</v>
      </c>
      <c r="M301">
        <v>2.882352941176471</v>
      </c>
      <c r="N301">
        <v>2.6479976609757552</v>
      </c>
      <c r="O301">
        <v>2.6479976609757552</v>
      </c>
      <c r="P301">
        <v>0.80341724698335615</v>
      </c>
      <c r="Q301">
        <v>0</v>
      </c>
      <c r="R301">
        <v>0</v>
      </c>
      <c r="S301">
        <v>1.3979976609757552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0.25</v>
      </c>
      <c r="Z301">
        <v>0</v>
      </c>
      <c r="AA301">
        <v>0</v>
      </c>
      <c r="AB301">
        <v>0</v>
      </c>
      <c r="AC301">
        <v>0.19658275301664385</v>
      </c>
      <c r="AD301">
        <v>0</v>
      </c>
      <c r="AE301">
        <v>0.80341724698335615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0.37764383811106245</v>
      </c>
      <c r="AL301">
        <v>0.37764383811106245</v>
      </c>
      <c r="AM301">
        <v>0.30340557275541802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0.6223561618889375</v>
      </c>
      <c r="AY301">
        <v>0</v>
      </c>
      <c r="AZ301">
        <v>7.4238265355644428E-2</v>
      </c>
      <c r="BA301">
        <v>0</v>
      </c>
      <c r="BB301">
        <v>0.30340557275541802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3.2959183673469381</v>
      </c>
      <c r="BI301">
        <v>3.2959183673469381</v>
      </c>
      <c r="BJ301">
        <v>1.2446832623456443</v>
      </c>
      <c r="CA301">
        <v>0</v>
      </c>
      <c r="CB301">
        <v>0</v>
      </c>
      <c r="CC301">
        <v>0</v>
      </c>
    </row>
    <row r="302" spans="1:82" hidden="1" x14ac:dyDescent="0.25">
      <c r="A302" t="s">
        <v>128</v>
      </c>
      <c r="B302" t="s">
        <v>502</v>
      </c>
      <c r="C302" t="s">
        <v>72</v>
      </c>
      <c r="D302" s="12">
        <v>46228</v>
      </c>
      <c r="E302" t="s">
        <v>501</v>
      </c>
      <c r="F302" t="s">
        <v>74</v>
      </c>
      <c r="G302">
        <v>0</v>
      </c>
      <c r="H302">
        <v>0</v>
      </c>
      <c r="I302">
        <v>0</v>
      </c>
      <c r="J302">
        <v>0</v>
      </c>
      <c r="K302">
        <v>46228</v>
      </c>
      <c r="L302" t="s">
        <v>222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D302">
        <v>0</v>
      </c>
    </row>
    <row r="303" spans="1:82" hidden="1" x14ac:dyDescent="0.25">
      <c r="A303" t="s">
        <v>128</v>
      </c>
      <c r="B303" t="s">
        <v>372</v>
      </c>
      <c r="C303" t="s">
        <v>72</v>
      </c>
      <c r="D303" s="12">
        <v>46228</v>
      </c>
      <c r="E303" t="s">
        <v>501</v>
      </c>
      <c r="F303" t="s">
        <v>74</v>
      </c>
      <c r="G303">
        <v>0</v>
      </c>
      <c r="H303">
        <v>0</v>
      </c>
      <c r="I303">
        <v>20</v>
      </c>
      <c r="J303">
        <v>0</v>
      </c>
      <c r="K303">
        <v>46228</v>
      </c>
      <c r="L303" t="s">
        <v>222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D303">
        <v>0</v>
      </c>
    </row>
    <row r="304" spans="1:82" hidden="1" x14ac:dyDescent="0.25">
      <c r="A304" t="s">
        <v>128</v>
      </c>
      <c r="B304" t="s">
        <v>503</v>
      </c>
      <c r="C304" t="s">
        <v>72</v>
      </c>
      <c r="D304" s="12">
        <v>46228</v>
      </c>
      <c r="E304" t="s">
        <v>501</v>
      </c>
      <c r="F304" t="s">
        <v>74</v>
      </c>
      <c r="G304">
        <v>0</v>
      </c>
      <c r="H304">
        <v>0</v>
      </c>
      <c r="I304">
        <v>0</v>
      </c>
      <c r="J304">
        <v>0</v>
      </c>
      <c r="K304">
        <v>46228</v>
      </c>
      <c r="L304" t="s">
        <v>222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D304">
        <v>0</v>
      </c>
    </row>
    <row r="305" spans="1:82" hidden="1" x14ac:dyDescent="0.25">
      <c r="A305" t="s">
        <v>128</v>
      </c>
      <c r="B305" t="s">
        <v>372</v>
      </c>
      <c r="C305" t="s">
        <v>72</v>
      </c>
      <c r="D305" s="12">
        <v>46228</v>
      </c>
      <c r="E305" t="s">
        <v>501</v>
      </c>
      <c r="F305" t="s">
        <v>75</v>
      </c>
      <c r="G305">
        <v>3.1779578349000133</v>
      </c>
      <c r="H305">
        <v>2.8499999999999996</v>
      </c>
      <c r="I305">
        <v>20</v>
      </c>
      <c r="J305">
        <v>2.8499999999999996</v>
      </c>
      <c r="K305">
        <v>46228</v>
      </c>
      <c r="L305" t="s">
        <v>221</v>
      </c>
      <c r="M305">
        <v>3.698961937716263</v>
      </c>
      <c r="N305">
        <v>0.89680233283827315</v>
      </c>
      <c r="O305">
        <v>0.89680233283827315</v>
      </c>
      <c r="P305">
        <v>1.1639430508154121</v>
      </c>
      <c r="Q305">
        <v>0.16394305081541205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0.10319766716172685</v>
      </c>
      <c r="AA305">
        <v>0</v>
      </c>
      <c r="AB305">
        <v>0</v>
      </c>
      <c r="AC305">
        <v>0</v>
      </c>
      <c r="AD305">
        <v>0</v>
      </c>
      <c r="AE305">
        <v>0.89680233283827315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1.1150729245263207</v>
      </c>
      <c r="AL305">
        <v>1.1150729245263207</v>
      </c>
      <c r="AM305">
        <v>1.2978813816548294</v>
      </c>
      <c r="AN305">
        <v>0.18280845712850868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0.11507292452632067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0.77048643592142174</v>
      </c>
      <c r="BI305">
        <v>0.77048643592142174</v>
      </c>
      <c r="BJ305">
        <v>0.85914856341076129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0.14085143658923871</v>
      </c>
      <c r="BV305">
        <v>0</v>
      </c>
      <c r="BW305">
        <v>0</v>
      </c>
      <c r="BX305">
        <v>0</v>
      </c>
      <c r="BY305">
        <v>0.77048643592142174</v>
      </c>
      <c r="BZ305">
        <v>0</v>
      </c>
      <c r="CA305">
        <v>0</v>
      </c>
      <c r="CB305">
        <v>0</v>
      </c>
      <c r="CC305">
        <v>0</v>
      </c>
      <c r="CD305">
        <v>0</v>
      </c>
    </row>
    <row r="306" spans="1:82" hidden="1" x14ac:dyDescent="0.25">
      <c r="A306" t="s">
        <v>128</v>
      </c>
      <c r="B306" t="s">
        <v>502</v>
      </c>
      <c r="C306" t="s">
        <v>72</v>
      </c>
      <c r="D306" s="12">
        <v>46228</v>
      </c>
      <c r="E306" t="s">
        <v>501</v>
      </c>
      <c r="F306" t="s">
        <v>75</v>
      </c>
      <c r="G306">
        <v>1.4435762356877015</v>
      </c>
      <c r="H306">
        <v>0</v>
      </c>
      <c r="I306">
        <v>0</v>
      </c>
      <c r="J306">
        <v>0</v>
      </c>
      <c r="K306">
        <v>46228</v>
      </c>
      <c r="L306" t="s">
        <v>221</v>
      </c>
      <c r="M306">
        <v>0.22145328719723184</v>
      </c>
      <c r="N306">
        <v>0</v>
      </c>
      <c r="O306">
        <v>0</v>
      </c>
      <c r="P306">
        <v>0.15340602160282465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0.15340602160282465</v>
      </c>
      <c r="AA306">
        <v>0.84659397839717532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H306">
        <v>0</v>
      </c>
      <c r="BI306">
        <v>0</v>
      </c>
      <c r="BJ306">
        <v>6.5186489392772771</v>
      </c>
      <c r="BK306">
        <v>5.5186489392772771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 hidden="1" x14ac:dyDescent="0.25">
      <c r="A307" t="s">
        <v>128</v>
      </c>
      <c r="B307" t="s">
        <v>503</v>
      </c>
      <c r="C307" t="s">
        <v>72</v>
      </c>
      <c r="D307" s="12">
        <v>46228</v>
      </c>
      <c r="E307" t="s">
        <v>501</v>
      </c>
      <c r="F307" t="s">
        <v>75</v>
      </c>
      <c r="G307">
        <v>0</v>
      </c>
      <c r="H307">
        <v>0</v>
      </c>
      <c r="I307">
        <v>0</v>
      </c>
      <c r="J307">
        <v>0</v>
      </c>
      <c r="K307">
        <v>46228</v>
      </c>
      <c r="L307" t="s">
        <v>221</v>
      </c>
      <c r="M307">
        <v>0.16608996539792387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D307">
        <v>0</v>
      </c>
    </row>
    <row r="308" spans="1:82" hidden="1" x14ac:dyDescent="0.25">
      <c r="A308" t="s">
        <v>128</v>
      </c>
      <c r="B308" t="s">
        <v>502</v>
      </c>
      <c r="C308" t="s">
        <v>72</v>
      </c>
      <c r="D308" s="12">
        <v>46229</v>
      </c>
      <c r="E308" t="s">
        <v>501</v>
      </c>
      <c r="F308" t="s">
        <v>73</v>
      </c>
      <c r="G308">
        <v>1.8624711255077939</v>
      </c>
      <c r="H308">
        <v>0</v>
      </c>
      <c r="I308">
        <v>0</v>
      </c>
      <c r="J308">
        <v>0</v>
      </c>
      <c r="K308">
        <v>46229</v>
      </c>
      <c r="L308" t="s">
        <v>220</v>
      </c>
      <c r="M308">
        <v>1.7647058823529409</v>
      </c>
      <c r="N308">
        <v>0</v>
      </c>
      <c r="O308">
        <v>0</v>
      </c>
      <c r="P308">
        <v>0.9475077804880343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0.9475077804880343</v>
      </c>
      <c r="AA308">
        <v>5.2492219511965699E-2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H308">
        <v>0</v>
      </c>
      <c r="BI308">
        <v>0</v>
      </c>
      <c r="BJ308">
        <v>1.0554003044544167</v>
      </c>
      <c r="BK308">
        <v>5.5400304454416682E-2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1</v>
      </c>
    </row>
    <row r="309" spans="1:82" hidden="1" x14ac:dyDescent="0.25">
      <c r="A309" t="s">
        <v>128</v>
      </c>
      <c r="B309" t="s">
        <v>372</v>
      </c>
      <c r="C309" t="s">
        <v>72</v>
      </c>
      <c r="D309" s="12">
        <v>46229</v>
      </c>
      <c r="E309" t="s">
        <v>501</v>
      </c>
      <c r="F309" t="s">
        <v>73</v>
      </c>
      <c r="G309">
        <v>3.587616462055093</v>
      </c>
      <c r="H309">
        <v>5.6999999999999993</v>
      </c>
      <c r="I309">
        <v>20</v>
      </c>
      <c r="J309">
        <v>5.6999999999999993</v>
      </c>
      <c r="K309">
        <v>46229</v>
      </c>
      <c r="L309" t="s">
        <v>220</v>
      </c>
      <c r="M309">
        <v>3.8235294117647056</v>
      </c>
      <c r="N309">
        <v>1.5887985965854527</v>
      </c>
      <c r="O309">
        <v>1.5887985965854527</v>
      </c>
      <c r="P309">
        <v>1.0657575725289417</v>
      </c>
      <c r="Q309">
        <v>0</v>
      </c>
      <c r="R309">
        <v>0</v>
      </c>
      <c r="S309">
        <v>0.33879859658545275</v>
      </c>
      <c r="T309">
        <v>0</v>
      </c>
      <c r="U309">
        <v>0</v>
      </c>
      <c r="V309">
        <v>0</v>
      </c>
      <c r="W309">
        <v>6.5757572528941655E-2</v>
      </c>
      <c r="X309">
        <v>0</v>
      </c>
      <c r="Y309">
        <v>0.18424242747105835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0.6294063968517708</v>
      </c>
      <c r="AL309">
        <v>0.6294063968517708</v>
      </c>
      <c r="AM309">
        <v>0.6707946336429309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0.3292053663570691</v>
      </c>
      <c r="AY309">
        <v>0</v>
      </c>
      <c r="AZ309">
        <v>0</v>
      </c>
      <c r="BA309">
        <v>0</v>
      </c>
      <c r="BB309">
        <v>0.6294063968517708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1.4907692307692306</v>
      </c>
      <c r="BI309">
        <v>1.4907692307692306</v>
      </c>
      <c r="BJ309">
        <v>0.93829969007594749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0.49076923076923062</v>
      </c>
      <c r="BT309">
        <v>0</v>
      </c>
      <c r="BU309">
        <v>0</v>
      </c>
      <c r="BV309">
        <v>0</v>
      </c>
      <c r="BW309">
        <v>6.170030992405251E-2</v>
      </c>
      <c r="BX309">
        <v>0</v>
      </c>
      <c r="BY309">
        <v>0.93829969007594749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 hidden="1" x14ac:dyDescent="0.25">
      <c r="A310" t="s">
        <v>128</v>
      </c>
      <c r="B310" t="s">
        <v>503</v>
      </c>
      <c r="C310" t="s">
        <v>72</v>
      </c>
      <c r="D310" s="12">
        <v>46229</v>
      </c>
      <c r="E310" t="s">
        <v>501</v>
      </c>
      <c r="F310" t="s">
        <v>73</v>
      </c>
      <c r="G310">
        <v>0.95316362793572373</v>
      </c>
      <c r="H310">
        <v>0</v>
      </c>
      <c r="I310">
        <v>0</v>
      </c>
      <c r="J310">
        <v>0</v>
      </c>
      <c r="K310">
        <v>46229</v>
      </c>
      <c r="L310" t="s">
        <v>220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 hidden="1" x14ac:dyDescent="0.25">
      <c r="A311" t="s">
        <v>128</v>
      </c>
      <c r="B311" t="s">
        <v>502</v>
      </c>
      <c r="C311" t="s">
        <v>72</v>
      </c>
      <c r="D311" s="12">
        <v>46229</v>
      </c>
      <c r="E311" t="s">
        <v>501</v>
      </c>
      <c r="F311" t="s">
        <v>74</v>
      </c>
      <c r="G311">
        <v>0</v>
      </c>
      <c r="H311">
        <v>0</v>
      </c>
      <c r="I311">
        <v>0</v>
      </c>
      <c r="J311">
        <v>0</v>
      </c>
      <c r="K311">
        <v>46229</v>
      </c>
      <c r="L311" t="s">
        <v>219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D311">
        <v>0</v>
      </c>
    </row>
    <row r="312" spans="1:82" hidden="1" x14ac:dyDescent="0.25">
      <c r="A312" t="s">
        <v>128</v>
      </c>
      <c r="B312" t="s">
        <v>372</v>
      </c>
      <c r="C312" t="s">
        <v>72</v>
      </c>
      <c r="D312" s="12">
        <v>46229</v>
      </c>
      <c r="E312" t="s">
        <v>501</v>
      </c>
      <c r="F312" t="s">
        <v>74</v>
      </c>
      <c r="G312">
        <v>0</v>
      </c>
      <c r="H312">
        <v>0.95</v>
      </c>
      <c r="I312">
        <v>20</v>
      </c>
      <c r="J312">
        <v>0.95</v>
      </c>
      <c r="K312">
        <v>46229</v>
      </c>
      <c r="L312" t="s">
        <v>219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D312">
        <v>0</v>
      </c>
    </row>
    <row r="313" spans="1:82" hidden="1" x14ac:dyDescent="0.25">
      <c r="A313" t="s">
        <v>128</v>
      </c>
      <c r="B313" t="s">
        <v>503</v>
      </c>
      <c r="C313" t="s">
        <v>72</v>
      </c>
      <c r="D313" s="12">
        <v>46229</v>
      </c>
      <c r="E313" t="s">
        <v>501</v>
      </c>
      <c r="F313" t="s">
        <v>74</v>
      </c>
      <c r="G313">
        <v>0</v>
      </c>
      <c r="H313">
        <v>0</v>
      </c>
      <c r="I313">
        <v>0</v>
      </c>
      <c r="J313">
        <v>0</v>
      </c>
      <c r="K313">
        <v>46229</v>
      </c>
      <c r="L313" t="s">
        <v>219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D313">
        <v>0</v>
      </c>
    </row>
    <row r="314" spans="1:82" hidden="1" x14ac:dyDescent="0.25">
      <c r="A314" t="s">
        <v>128</v>
      </c>
      <c r="B314" t="s">
        <v>502</v>
      </c>
      <c r="C314" t="s">
        <v>72</v>
      </c>
      <c r="D314" s="12">
        <v>46229</v>
      </c>
      <c r="E314" t="s">
        <v>501</v>
      </c>
      <c r="F314" t="s">
        <v>75</v>
      </c>
      <c r="G314">
        <v>1.4435762356877015</v>
      </c>
      <c r="H314">
        <v>0</v>
      </c>
      <c r="I314">
        <v>0</v>
      </c>
      <c r="J314">
        <v>0</v>
      </c>
      <c r="K314">
        <v>46229</v>
      </c>
      <c r="L314" t="s">
        <v>218</v>
      </c>
      <c r="M314">
        <v>0.22145328719723184</v>
      </c>
      <c r="N314">
        <v>0</v>
      </c>
      <c r="O314">
        <v>0</v>
      </c>
      <c r="P314">
        <v>0.15340602160282465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0.15340602160282465</v>
      </c>
      <c r="AA314">
        <v>0.84659397839717532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H314">
        <v>0</v>
      </c>
      <c r="BI314">
        <v>0</v>
      </c>
      <c r="BJ314">
        <v>6.5186489392772771</v>
      </c>
      <c r="BK314">
        <v>5.5186489392772771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 hidden="1" x14ac:dyDescent="0.25">
      <c r="A315" t="s">
        <v>128</v>
      </c>
      <c r="B315" t="s">
        <v>503</v>
      </c>
      <c r="C315" t="s">
        <v>72</v>
      </c>
      <c r="D315" s="12">
        <v>46229</v>
      </c>
      <c r="E315" t="s">
        <v>501</v>
      </c>
      <c r="F315" t="s">
        <v>75</v>
      </c>
      <c r="G315">
        <v>0</v>
      </c>
      <c r="H315">
        <v>0</v>
      </c>
      <c r="I315">
        <v>0</v>
      </c>
      <c r="J315">
        <v>0</v>
      </c>
      <c r="K315">
        <v>46229</v>
      </c>
      <c r="L315" t="s">
        <v>218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D315">
        <v>0</v>
      </c>
    </row>
    <row r="316" spans="1:82" hidden="1" x14ac:dyDescent="0.25">
      <c r="A316" t="s">
        <v>128</v>
      </c>
      <c r="B316" t="s">
        <v>372</v>
      </c>
      <c r="C316" t="s">
        <v>72</v>
      </c>
      <c r="D316" s="12">
        <v>46229</v>
      </c>
      <c r="E316" t="s">
        <v>501</v>
      </c>
      <c r="F316" t="s">
        <v>75</v>
      </c>
      <c r="G316">
        <v>3.1779578349000128</v>
      </c>
      <c r="H316">
        <v>2.8499999999999996</v>
      </c>
      <c r="I316">
        <v>20</v>
      </c>
      <c r="J316">
        <v>2.8499999999999996</v>
      </c>
      <c r="K316">
        <v>46229</v>
      </c>
      <c r="L316" t="s">
        <v>218</v>
      </c>
      <c r="M316">
        <v>3.7543252595155714</v>
      </c>
      <c r="N316">
        <v>0.89680233283827326</v>
      </c>
      <c r="O316">
        <v>0.89680233283827326</v>
      </c>
      <c r="P316">
        <v>1.181364088058674</v>
      </c>
      <c r="Q316">
        <v>0.18136408805867399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0.10319766716172674</v>
      </c>
      <c r="AA316">
        <v>0</v>
      </c>
      <c r="AB316">
        <v>0</v>
      </c>
      <c r="AC316">
        <v>0</v>
      </c>
      <c r="AD316">
        <v>0</v>
      </c>
      <c r="AE316">
        <v>0.89680233283827326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1.1150729245263205</v>
      </c>
      <c r="AL316">
        <v>1.1150729245263205</v>
      </c>
      <c r="AM316">
        <v>1.317307108601955</v>
      </c>
      <c r="AN316">
        <v>0.20223418407563454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0.11507292452632045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0.7591244239631334</v>
      </c>
      <c r="BI316">
        <v>0.7591244239631334</v>
      </c>
      <c r="BJ316">
        <v>0.84647909150792955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0.15352090849207045</v>
      </c>
      <c r="BV316">
        <v>0</v>
      </c>
      <c r="BW316">
        <v>0</v>
      </c>
      <c r="BX316">
        <v>0</v>
      </c>
      <c r="BY316">
        <v>0.7591244239631334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 hidden="1" x14ac:dyDescent="0.25">
      <c r="A317" t="s">
        <v>128</v>
      </c>
      <c r="B317" t="s">
        <v>372</v>
      </c>
      <c r="C317" t="s">
        <v>72</v>
      </c>
      <c r="D317" s="12">
        <v>46230</v>
      </c>
      <c r="E317" t="s">
        <v>501</v>
      </c>
      <c r="F317" t="s">
        <v>73</v>
      </c>
      <c r="G317">
        <v>3.5876164620550921</v>
      </c>
      <c r="H317">
        <v>3.8</v>
      </c>
      <c r="I317">
        <v>20</v>
      </c>
      <c r="J317">
        <v>3.8</v>
      </c>
      <c r="K317">
        <v>46230</v>
      </c>
      <c r="L317" t="s">
        <v>217</v>
      </c>
      <c r="M317">
        <v>4.7058823529411793</v>
      </c>
      <c r="N317">
        <v>1.0591990643903022</v>
      </c>
      <c r="O317">
        <v>1.0591990643903022</v>
      </c>
      <c r="P317">
        <v>1.3117016277279294</v>
      </c>
      <c r="Q317">
        <v>0.25250256333762722</v>
      </c>
      <c r="R317">
        <v>0</v>
      </c>
      <c r="S317">
        <v>0</v>
      </c>
      <c r="T317">
        <v>0</v>
      </c>
      <c r="U317">
        <v>0</v>
      </c>
      <c r="V317">
        <v>0.1908009356096978</v>
      </c>
      <c r="W317">
        <v>5.9199064390302203E-2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0.94410959527765581</v>
      </c>
      <c r="AL317">
        <v>0.94410959527765581</v>
      </c>
      <c r="AM317">
        <v>1.2383900928792577</v>
      </c>
      <c r="AN317">
        <v>0.23839009287925772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0.94410959527765581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0.80749999999999944</v>
      </c>
      <c r="BI317">
        <v>0.80749999999999944</v>
      </c>
      <c r="BJ317">
        <v>0.7623684981867066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0.19250000000000056</v>
      </c>
      <c r="BV317">
        <v>0</v>
      </c>
      <c r="BW317">
        <v>4.513150181329284E-2</v>
      </c>
      <c r="BX317">
        <v>0</v>
      </c>
      <c r="BY317">
        <v>0.7623684981867066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 hidden="1" x14ac:dyDescent="0.25">
      <c r="A318" t="s">
        <v>128</v>
      </c>
      <c r="B318" t="s">
        <v>502</v>
      </c>
      <c r="C318" t="s">
        <v>72</v>
      </c>
      <c r="D318" s="12">
        <v>46230</v>
      </c>
      <c r="E318" t="s">
        <v>501</v>
      </c>
      <c r="F318" t="s">
        <v>73</v>
      </c>
      <c r="G318">
        <v>1.8624711255077939</v>
      </c>
      <c r="H318">
        <v>0</v>
      </c>
      <c r="I318">
        <v>0</v>
      </c>
      <c r="J318">
        <v>0</v>
      </c>
      <c r="K318">
        <v>46230</v>
      </c>
      <c r="L318" t="s">
        <v>217</v>
      </c>
      <c r="M318">
        <v>0.88235294117647045</v>
      </c>
      <c r="N318">
        <v>0</v>
      </c>
      <c r="O318">
        <v>0</v>
      </c>
      <c r="P318">
        <v>0.47375389024401715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0.47375389024401715</v>
      </c>
      <c r="AA318">
        <v>0.52624610975598285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H318">
        <v>0</v>
      </c>
      <c r="BI318">
        <v>0</v>
      </c>
      <c r="BJ318">
        <v>2.1108006089088334</v>
      </c>
      <c r="BK318">
        <v>1.1108006089088334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 hidden="1" x14ac:dyDescent="0.25">
      <c r="A319" t="s">
        <v>128</v>
      </c>
      <c r="B319" t="s">
        <v>503</v>
      </c>
      <c r="C319" t="s">
        <v>72</v>
      </c>
      <c r="D319" s="12">
        <v>46230</v>
      </c>
      <c r="E319" t="s">
        <v>501</v>
      </c>
      <c r="F319" t="s">
        <v>73</v>
      </c>
      <c r="G319">
        <v>0</v>
      </c>
      <c r="H319">
        <v>0</v>
      </c>
      <c r="I319">
        <v>0</v>
      </c>
      <c r="J319">
        <v>0</v>
      </c>
      <c r="K319">
        <v>46230</v>
      </c>
      <c r="L319" t="s">
        <v>217</v>
      </c>
      <c r="M319">
        <v>0.82352941176470595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D319">
        <v>0</v>
      </c>
    </row>
    <row r="320" spans="1:82" hidden="1" x14ac:dyDescent="0.25">
      <c r="A320" t="s">
        <v>128</v>
      </c>
      <c r="B320" t="s">
        <v>503</v>
      </c>
      <c r="C320" t="s">
        <v>72</v>
      </c>
      <c r="D320" s="12">
        <v>46230</v>
      </c>
      <c r="E320" t="s">
        <v>501</v>
      </c>
      <c r="F320" t="s">
        <v>74</v>
      </c>
      <c r="G320">
        <v>0</v>
      </c>
      <c r="H320">
        <v>0</v>
      </c>
      <c r="I320">
        <v>0</v>
      </c>
      <c r="J320">
        <v>0</v>
      </c>
      <c r="K320">
        <v>46230</v>
      </c>
      <c r="L320" t="s">
        <v>216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D320">
        <v>0</v>
      </c>
    </row>
    <row r="321" spans="1:82" hidden="1" x14ac:dyDescent="0.25">
      <c r="A321" t="s">
        <v>128</v>
      </c>
      <c r="B321" t="s">
        <v>372</v>
      </c>
      <c r="C321" t="s">
        <v>72</v>
      </c>
      <c r="D321" s="12">
        <v>46230</v>
      </c>
      <c r="E321" t="s">
        <v>501</v>
      </c>
      <c r="F321" t="s">
        <v>74</v>
      </c>
      <c r="G321">
        <v>0</v>
      </c>
      <c r="H321">
        <v>0</v>
      </c>
      <c r="I321">
        <v>20</v>
      </c>
      <c r="J321">
        <v>0</v>
      </c>
      <c r="K321">
        <v>46230</v>
      </c>
      <c r="L321" t="s">
        <v>216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D321">
        <v>0</v>
      </c>
    </row>
    <row r="322" spans="1:82" hidden="1" x14ac:dyDescent="0.25">
      <c r="A322" t="s">
        <v>128</v>
      </c>
      <c r="B322" t="s">
        <v>502</v>
      </c>
      <c r="C322" t="s">
        <v>72</v>
      </c>
      <c r="D322" s="12">
        <v>46230</v>
      </c>
      <c r="E322" t="s">
        <v>501</v>
      </c>
      <c r="F322" t="s">
        <v>74</v>
      </c>
      <c r="G322">
        <v>0</v>
      </c>
      <c r="H322">
        <v>0</v>
      </c>
      <c r="I322">
        <v>0</v>
      </c>
      <c r="J322">
        <v>0</v>
      </c>
      <c r="K322">
        <v>46230</v>
      </c>
      <c r="L322" t="s">
        <v>216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D322">
        <v>0</v>
      </c>
    </row>
    <row r="323" spans="1:82" hidden="1" x14ac:dyDescent="0.25">
      <c r="A323" t="s">
        <v>128</v>
      </c>
      <c r="B323" t="s">
        <v>503</v>
      </c>
      <c r="C323" t="s">
        <v>72</v>
      </c>
      <c r="D323" s="12">
        <v>46230</v>
      </c>
      <c r="E323" t="s">
        <v>501</v>
      </c>
      <c r="F323" t="s">
        <v>75</v>
      </c>
      <c r="G323">
        <v>0</v>
      </c>
      <c r="H323">
        <v>0</v>
      </c>
      <c r="I323">
        <v>0</v>
      </c>
      <c r="J323">
        <v>0</v>
      </c>
      <c r="K323">
        <v>46230</v>
      </c>
      <c r="L323" t="s">
        <v>215</v>
      </c>
      <c r="M323">
        <v>0.16608996539792387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D323">
        <v>0</v>
      </c>
    </row>
    <row r="324" spans="1:82" hidden="1" x14ac:dyDescent="0.25">
      <c r="A324" t="s">
        <v>128</v>
      </c>
      <c r="B324" t="s">
        <v>502</v>
      </c>
      <c r="C324" t="s">
        <v>72</v>
      </c>
      <c r="D324" s="12">
        <v>46230</v>
      </c>
      <c r="E324" t="s">
        <v>501</v>
      </c>
      <c r="F324" t="s">
        <v>75</v>
      </c>
      <c r="G324">
        <v>1.4435762356877015</v>
      </c>
      <c r="H324">
        <v>0</v>
      </c>
      <c r="I324">
        <v>0</v>
      </c>
      <c r="J324">
        <v>0</v>
      </c>
      <c r="K324">
        <v>46230</v>
      </c>
      <c r="L324" t="s">
        <v>215</v>
      </c>
      <c r="M324">
        <v>0.11072664359861592</v>
      </c>
      <c r="N324">
        <v>0</v>
      </c>
      <c r="O324">
        <v>0</v>
      </c>
      <c r="P324">
        <v>7.6703010801412327E-2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7.6703010801412327E-2</v>
      </c>
      <c r="AA324">
        <v>0.92329698919858771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H324">
        <v>0</v>
      </c>
      <c r="BI324">
        <v>0</v>
      </c>
      <c r="BJ324">
        <v>13.037297878554554</v>
      </c>
      <c r="BK324">
        <v>12.037297878554554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 hidden="1" x14ac:dyDescent="0.25">
      <c r="A325" t="s">
        <v>128</v>
      </c>
      <c r="B325" t="s">
        <v>372</v>
      </c>
      <c r="C325" t="s">
        <v>72</v>
      </c>
      <c r="D325" s="12">
        <v>46230</v>
      </c>
      <c r="E325" t="s">
        <v>501</v>
      </c>
      <c r="F325" t="s">
        <v>75</v>
      </c>
      <c r="G325">
        <v>3.1779578349000128</v>
      </c>
      <c r="H325">
        <v>2.8499999999999996</v>
      </c>
      <c r="I325">
        <v>20</v>
      </c>
      <c r="J325">
        <v>2.8499999999999996</v>
      </c>
      <c r="K325">
        <v>46230</v>
      </c>
      <c r="L325" t="s">
        <v>215</v>
      </c>
      <c r="M325">
        <v>3.8062283737024223</v>
      </c>
      <c r="N325">
        <v>0.89680233283827326</v>
      </c>
      <c r="O325">
        <v>0.89680233283827326</v>
      </c>
      <c r="P325">
        <v>1.1976963104742315</v>
      </c>
      <c r="Q325">
        <v>0.19769631047423153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0.10319766716172674</v>
      </c>
      <c r="AA325">
        <v>0</v>
      </c>
      <c r="AB325">
        <v>0</v>
      </c>
      <c r="AC325">
        <v>0</v>
      </c>
      <c r="AD325">
        <v>0</v>
      </c>
      <c r="AE325">
        <v>0.89680233283827326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1.1150729245263205</v>
      </c>
      <c r="AL325">
        <v>1.1150729245263205</v>
      </c>
      <c r="AM325">
        <v>1.3355187276148852</v>
      </c>
      <c r="AN325">
        <v>0.22044580308856476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0.11507292452632045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0.74877272727272715</v>
      </c>
      <c r="BI325">
        <v>0.74877272727272715</v>
      </c>
      <c r="BJ325">
        <v>0.83493619480554881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0.16506380519445119</v>
      </c>
      <c r="BV325">
        <v>0</v>
      </c>
      <c r="BW325">
        <v>0</v>
      </c>
      <c r="BX325">
        <v>0</v>
      </c>
      <c r="BY325">
        <v>0.74877272727272715</v>
      </c>
      <c r="BZ325">
        <v>0</v>
      </c>
      <c r="CA325">
        <v>0</v>
      </c>
      <c r="CB325">
        <v>0</v>
      </c>
      <c r="CC325">
        <v>0</v>
      </c>
      <c r="CD325">
        <v>0</v>
      </c>
    </row>
    <row r="326" spans="1:82" hidden="1" x14ac:dyDescent="0.25">
      <c r="A326" t="s">
        <v>128</v>
      </c>
      <c r="B326" t="s">
        <v>502</v>
      </c>
      <c r="C326" t="s">
        <v>72</v>
      </c>
      <c r="D326" s="12">
        <v>46231</v>
      </c>
      <c r="E326" t="s">
        <v>501</v>
      </c>
      <c r="F326" t="s">
        <v>73</v>
      </c>
      <c r="G326">
        <v>1.8624711255077939</v>
      </c>
      <c r="H326">
        <v>0</v>
      </c>
      <c r="I326">
        <v>0</v>
      </c>
      <c r="J326">
        <v>0</v>
      </c>
      <c r="K326">
        <v>46231</v>
      </c>
      <c r="L326" t="s">
        <v>214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 hidden="1" x14ac:dyDescent="0.25">
      <c r="A327" t="s">
        <v>128</v>
      </c>
      <c r="B327" t="s">
        <v>372</v>
      </c>
      <c r="C327" t="s">
        <v>72</v>
      </c>
      <c r="D327" s="12">
        <v>46231</v>
      </c>
      <c r="E327" t="s">
        <v>501</v>
      </c>
      <c r="F327" t="s">
        <v>73</v>
      </c>
      <c r="G327">
        <v>3.5876164620550925</v>
      </c>
      <c r="H327">
        <v>3.8</v>
      </c>
      <c r="I327">
        <v>20</v>
      </c>
      <c r="J327">
        <v>3.8</v>
      </c>
      <c r="K327">
        <v>46231</v>
      </c>
      <c r="L327" t="s">
        <v>214</v>
      </c>
      <c r="M327">
        <v>4.7058823529411749</v>
      </c>
      <c r="N327">
        <v>1.0591990643903022</v>
      </c>
      <c r="O327">
        <v>1.0591990643903022</v>
      </c>
      <c r="P327">
        <v>1.3117016277279279</v>
      </c>
      <c r="Q327">
        <v>0.25250256333762566</v>
      </c>
      <c r="R327">
        <v>0</v>
      </c>
      <c r="S327">
        <v>0</v>
      </c>
      <c r="T327">
        <v>0</v>
      </c>
      <c r="U327">
        <v>0</v>
      </c>
      <c r="V327">
        <v>0.1908009356096978</v>
      </c>
      <c r="W327">
        <v>5.9199064390302203E-2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0.94410959527765603</v>
      </c>
      <c r="AL327">
        <v>0.94410959527765603</v>
      </c>
      <c r="AM327">
        <v>1.2383900928792566</v>
      </c>
      <c r="AN327">
        <v>0.23839009287925661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0.94410959527765603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0.80750000000000022</v>
      </c>
      <c r="BI327">
        <v>0.80750000000000022</v>
      </c>
      <c r="BJ327">
        <v>0.76236849818670738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0.19249999999999978</v>
      </c>
      <c r="BV327">
        <v>0</v>
      </c>
      <c r="BW327">
        <v>4.513150181329284E-2</v>
      </c>
      <c r="BX327">
        <v>0</v>
      </c>
      <c r="BY327">
        <v>0.76236849818670738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 hidden="1" x14ac:dyDescent="0.25">
      <c r="A328" t="s">
        <v>128</v>
      </c>
      <c r="B328" t="s">
        <v>503</v>
      </c>
      <c r="C328" t="s">
        <v>72</v>
      </c>
      <c r="D328" s="12">
        <v>46231</v>
      </c>
      <c r="E328" t="s">
        <v>501</v>
      </c>
      <c r="F328" t="s">
        <v>73</v>
      </c>
      <c r="G328">
        <v>1.906327255871447</v>
      </c>
      <c r="H328">
        <v>0</v>
      </c>
      <c r="I328">
        <v>0</v>
      </c>
      <c r="J328">
        <v>0</v>
      </c>
      <c r="K328">
        <v>46231</v>
      </c>
      <c r="L328" t="s">
        <v>214</v>
      </c>
      <c r="M328">
        <v>1.6470588235294119</v>
      </c>
      <c r="N328">
        <v>0</v>
      </c>
      <c r="O328">
        <v>0</v>
      </c>
      <c r="P328">
        <v>0.86399584250632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0.86399584250632</v>
      </c>
      <c r="AA328">
        <v>0.13600415749368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</v>
      </c>
      <c r="BH328">
        <v>0</v>
      </c>
      <c r="BI328">
        <v>0</v>
      </c>
      <c r="BJ328">
        <v>1.1574129767790928</v>
      </c>
      <c r="BK328">
        <v>0.15741297677909283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1</v>
      </c>
    </row>
    <row r="329" spans="1:82" hidden="1" x14ac:dyDescent="0.25">
      <c r="A329" t="s">
        <v>128</v>
      </c>
      <c r="B329" t="s">
        <v>503</v>
      </c>
      <c r="C329" t="s">
        <v>72</v>
      </c>
      <c r="D329" s="12">
        <v>46231</v>
      </c>
      <c r="E329" t="s">
        <v>501</v>
      </c>
      <c r="F329" t="s">
        <v>74</v>
      </c>
      <c r="G329">
        <v>0</v>
      </c>
      <c r="H329">
        <v>0</v>
      </c>
      <c r="I329">
        <v>0</v>
      </c>
      <c r="J329">
        <v>0</v>
      </c>
      <c r="K329">
        <v>46231</v>
      </c>
      <c r="L329" t="s">
        <v>230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D329">
        <v>0</v>
      </c>
    </row>
    <row r="330" spans="1:82" hidden="1" x14ac:dyDescent="0.25">
      <c r="A330" t="s">
        <v>128</v>
      </c>
      <c r="B330" t="s">
        <v>372</v>
      </c>
      <c r="C330" t="s">
        <v>72</v>
      </c>
      <c r="D330" s="12">
        <v>46231</v>
      </c>
      <c r="E330" t="s">
        <v>501</v>
      </c>
      <c r="F330" t="s">
        <v>74</v>
      </c>
      <c r="G330">
        <v>0</v>
      </c>
      <c r="H330">
        <v>0</v>
      </c>
      <c r="I330">
        <v>20</v>
      </c>
      <c r="J330">
        <v>0</v>
      </c>
      <c r="K330">
        <v>46231</v>
      </c>
      <c r="L330" t="s">
        <v>230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D330">
        <v>0</v>
      </c>
    </row>
    <row r="331" spans="1:82" hidden="1" x14ac:dyDescent="0.25">
      <c r="A331" t="s">
        <v>128</v>
      </c>
      <c r="B331" t="s">
        <v>502</v>
      </c>
      <c r="C331" t="s">
        <v>72</v>
      </c>
      <c r="D331" s="12">
        <v>46231</v>
      </c>
      <c r="E331" t="s">
        <v>501</v>
      </c>
      <c r="F331" t="s">
        <v>74</v>
      </c>
      <c r="G331">
        <v>0</v>
      </c>
      <c r="H331">
        <v>0</v>
      </c>
      <c r="I331">
        <v>0</v>
      </c>
      <c r="J331">
        <v>0</v>
      </c>
      <c r="K331">
        <v>46231</v>
      </c>
      <c r="L331" t="s">
        <v>230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D331">
        <v>0</v>
      </c>
    </row>
    <row r="332" spans="1:82" hidden="1" x14ac:dyDescent="0.25">
      <c r="A332" t="s">
        <v>128</v>
      </c>
      <c r="B332" t="s">
        <v>372</v>
      </c>
      <c r="C332" t="s">
        <v>72</v>
      </c>
      <c r="D332" s="12">
        <v>46231</v>
      </c>
      <c r="E332" t="s">
        <v>501</v>
      </c>
      <c r="F332" t="s">
        <v>75</v>
      </c>
      <c r="G332">
        <v>3.1779578349000128</v>
      </c>
      <c r="H332">
        <v>2.8499999999999996</v>
      </c>
      <c r="I332">
        <v>20</v>
      </c>
      <c r="J332">
        <v>2.8499999999999996</v>
      </c>
      <c r="K332">
        <v>46231</v>
      </c>
      <c r="L332" t="s">
        <v>231</v>
      </c>
      <c r="M332">
        <v>3.8062283737024223</v>
      </c>
      <c r="N332">
        <v>0.89680233283827326</v>
      </c>
      <c r="O332">
        <v>0.89680233283827326</v>
      </c>
      <c r="P332">
        <v>1.1976963104742315</v>
      </c>
      <c r="Q332">
        <v>0.19769631047423153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0.10319766716172674</v>
      </c>
      <c r="AA332">
        <v>0</v>
      </c>
      <c r="AB332">
        <v>0</v>
      </c>
      <c r="AC332">
        <v>0</v>
      </c>
      <c r="AD332">
        <v>0</v>
      </c>
      <c r="AE332">
        <v>0.89680233283827326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1.1150729245263205</v>
      </c>
      <c r="AL332">
        <v>1.1150729245263205</v>
      </c>
      <c r="AM332">
        <v>1.3355187276148852</v>
      </c>
      <c r="AN332">
        <v>0.22044580308856476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0.11507292452632045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0.74877272727272715</v>
      </c>
      <c r="BI332">
        <v>0.74877272727272715</v>
      </c>
      <c r="BJ332">
        <v>0.83493619480554881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0.16506380519445119</v>
      </c>
      <c r="BV332">
        <v>0</v>
      </c>
      <c r="BW332">
        <v>0</v>
      </c>
      <c r="BX332">
        <v>0</v>
      </c>
      <c r="BY332">
        <v>0.74877272727272715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 hidden="1" x14ac:dyDescent="0.25">
      <c r="A333" t="s">
        <v>128</v>
      </c>
      <c r="B333" t="s">
        <v>502</v>
      </c>
      <c r="C333" t="s">
        <v>72</v>
      </c>
      <c r="D333" s="12">
        <v>46231</v>
      </c>
      <c r="E333" t="s">
        <v>501</v>
      </c>
      <c r="F333" t="s">
        <v>75</v>
      </c>
      <c r="G333">
        <v>1.4435762356877015</v>
      </c>
      <c r="H333">
        <v>0</v>
      </c>
      <c r="I333">
        <v>0</v>
      </c>
      <c r="J333">
        <v>0</v>
      </c>
      <c r="K333">
        <v>46231</v>
      </c>
      <c r="L333" t="s">
        <v>231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 hidden="1" x14ac:dyDescent="0.25">
      <c r="A334" t="s">
        <v>128</v>
      </c>
      <c r="B334" t="s">
        <v>503</v>
      </c>
      <c r="C334" t="s">
        <v>72</v>
      </c>
      <c r="D334" s="12">
        <v>46231</v>
      </c>
      <c r="E334" t="s">
        <v>501</v>
      </c>
      <c r="F334" t="s">
        <v>75</v>
      </c>
      <c r="G334">
        <v>0</v>
      </c>
      <c r="H334">
        <v>0</v>
      </c>
      <c r="I334">
        <v>0</v>
      </c>
      <c r="J334">
        <v>0</v>
      </c>
      <c r="K334">
        <v>46231</v>
      </c>
      <c r="L334" t="s">
        <v>231</v>
      </c>
      <c r="M334">
        <v>0.33217993079584773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D334">
        <v>0</v>
      </c>
    </row>
    <row r="335" spans="1:82" hidden="1" x14ac:dyDescent="0.25">
      <c r="A335" t="s">
        <v>128</v>
      </c>
      <c r="B335" t="s">
        <v>502</v>
      </c>
      <c r="C335" t="s">
        <v>72</v>
      </c>
      <c r="D335" s="12">
        <v>46232</v>
      </c>
      <c r="E335" t="s">
        <v>501</v>
      </c>
      <c r="F335" t="s">
        <v>73</v>
      </c>
      <c r="G335">
        <v>1.6433568754480532</v>
      </c>
      <c r="H335">
        <v>0</v>
      </c>
      <c r="I335">
        <v>0</v>
      </c>
      <c r="J335">
        <v>0</v>
      </c>
      <c r="K335">
        <v>46232</v>
      </c>
      <c r="L335" t="s">
        <v>238</v>
      </c>
      <c r="M335">
        <v>0.74999999999999989</v>
      </c>
      <c r="N335">
        <v>0</v>
      </c>
      <c r="O335">
        <v>0</v>
      </c>
      <c r="P335">
        <v>0.45638291426840322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0.45638291426840322</v>
      </c>
      <c r="AA335">
        <v>0.54361708573159673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H335">
        <v>0</v>
      </c>
      <c r="BI335">
        <v>0</v>
      </c>
      <c r="BJ335">
        <v>2.1911425005974046</v>
      </c>
      <c r="BK335">
        <v>1.1911425005974046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 hidden="1" x14ac:dyDescent="0.25">
      <c r="A336" t="s">
        <v>128</v>
      </c>
      <c r="B336" t="s">
        <v>372</v>
      </c>
      <c r="C336" t="s">
        <v>72</v>
      </c>
      <c r="D336" s="12">
        <v>46232</v>
      </c>
      <c r="E336" t="s">
        <v>501</v>
      </c>
      <c r="F336" t="s">
        <v>73</v>
      </c>
      <c r="G336">
        <v>3.587616462055093</v>
      </c>
      <c r="H336">
        <v>8.5499999999999989</v>
      </c>
      <c r="I336">
        <v>20</v>
      </c>
      <c r="J336">
        <v>8.5499999999999989</v>
      </c>
      <c r="K336">
        <v>46232</v>
      </c>
      <c r="L336" t="s">
        <v>238</v>
      </c>
      <c r="M336">
        <v>3.7647058823529393</v>
      </c>
      <c r="N336">
        <v>2.3831978948781791</v>
      </c>
      <c r="O336">
        <v>2.3831978948781791</v>
      </c>
      <c r="P336">
        <v>1.049361302182342</v>
      </c>
      <c r="Q336">
        <v>0</v>
      </c>
      <c r="R336">
        <v>0</v>
      </c>
      <c r="S336">
        <v>1.1331978948781791</v>
      </c>
      <c r="T336">
        <v>0</v>
      </c>
      <c r="U336">
        <v>0</v>
      </c>
      <c r="V336">
        <v>0</v>
      </c>
      <c r="W336">
        <v>4.9361302182342026E-2</v>
      </c>
      <c r="X336">
        <v>0</v>
      </c>
      <c r="Y336">
        <v>0.20063869781765797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0.41960426456784716</v>
      </c>
      <c r="AL336">
        <v>0.41960426456784716</v>
      </c>
      <c r="AM336">
        <v>0.44031647746818009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0.55968352253181997</v>
      </c>
      <c r="AY336">
        <v>0</v>
      </c>
      <c r="AZ336">
        <v>0</v>
      </c>
      <c r="BA336">
        <v>0</v>
      </c>
      <c r="BB336">
        <v>0.41960426456784716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2.2710937500000008</v>
      </c>
      <c r="BI336">
        <v>2.2710937500000008</v>
      </c>
      <c r="BJ336">
        <v>0.95296062273338455</v>
      </c>
      <c r="CA336">
        <v>0</v>
      </c>
      <c r="CB336">
        <v>0</v>
      </c>
      <c r="CC336">
        <v>0</v>
      </c>
    </row>
    <row r="337" spans="1:82" hidden="1" x14ac:dyDescent="0.25">
      <c r="A337" t="s">
        <v>128</v>
      </c>
      <c r="B337" t="s">
        <v>503</v>
      </c>
      <c r="C337" t="s">
        <v>72</v>
      </c>
      <c r="D337" s="12">
        <v>46232</v>
      </c>
      <c r="E337" t="s">
        <v>501</v>
      </c>
      <c r="F337" t="s">
        <v>73</v>
      </c>
      <c r="G337">
        <v>2.8594908838071702</v>
      </c>
      <c r="H337">
        <v>0</v>
      </c>
      <c r="I337">
        <v>0</v>
      </c>
      <c r="J337">
        <v>0</v>
      </c>
      <c r="K337">
        <v>46232</v>
      </c>
      <c r="L337" t="s">
        <v>238</v>
      </c>
      <c r="M337">
        <v>2.4441434468524257</v>
      </c>
      <c r="N337">
        <v>0</v>
      </c>
      <c r="O337">
        <v>0</v>
      </c>
      <c r="P337">
        <v>0.8547477667067277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0.8547477667067277</v>
      </c>
      <c r="AA337">
        <v>0.1452522332932723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H337">
        <v>0</v>
      </c>
      <c r="BI337">
        <v>0</v>
      </c>
      <c r="BJ337">
        <v>1.1699357856796948</v>
      </c>
      <c r="BK337">
        <v>0.16993578567969481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1</v>
      </c>
    </row>
    <row r="338" spans="1:82" hidden="1" x14ac:dyDescent="0.25">
      <c r="A338" t="s">
        <v>128</v>
      </c>
      <c r="B338" t="s">
        <v>502</v>
      </c>
      <c r="C338" t="s">
        <v>72</v>
      </c>
      <c r="D338" s="12">
        <v>46232</v>
      </c>
      <c r="E338" t="s">
        <v>501</v>
      </c>
      <c r="F338" t="s">
        <v>74</v>
      </c>
      <c r="G338">
        <v>0</v>
      </c>
      <c r="H338">
        <v>0</v>
      </c>
      <c r="I338">
        <v>0</v>
      </c>
      <c r="J338">
        <v>0</v>
      </c>
      <c r="K338">
        <v>46232</v>
      </c>
      <c r="L338" t="s">
        <v>237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D338">
        <v>0</v>
      </c>
    </row>
    <row r="339" spans="1:82" hidden="1" x14ac:dyDescent="0.25">
      <c r="A339" t="s">
        <v>128</v>
      </c>
      <c r="B339" t="s">
        <v>372</v>
      </c>
      <c r="C339" t="s">
        <v>72</v>
      </c>
      <c r="D339" s="12">
        <v>46232</v>
      </c>
      <c r="E339" t="s">
        <v>501</v>
      </c>
      <c r="F339" t="s">
        <v>74</v>
      </c>
      <c r="G339">
        <v>0</v>
      </c>
      <c r="H339">
        <v>0</v>
      </c>
      <c r="I339">
        <v>20</v>
      </c>
      <c r="J339">
        <v>0</v>
      </c>
      <c r="K339">
        <v>46232</v>
      </c>
      <c r="L339" t="s">
        <v>237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D339">
        <v>0</v>
      </c>
    </row>
    <row r="340" spans="1:82" hidden="1" x14ac:dyDescent="0.25">
      <c r="A340" t="s">
        <v>128</v>
      </c>
      <c r="B340" t="s">
        <v>503</v>
      </c>
      <c r="C340" t="s">
        <v>72</v>
      </c>
      <c r="D340" s="12">
        <v>46232</v>
      </c>
      <c r="E340" t="s">
        <v>501</v>
      </c>
      <c r="F340" t="s">
        <v>74</v>
      </c>
      <c r="G340">
        <v>0</v>
      </c>
      <c r="H340">
        <v>0</v>
      </c>
      <c r="I340">
        <v>0</v>
      </c>
      <c r="J340">
        <v>0</v>
      </c>
      <c r="K340">
        <v>46232</v>
      </c>
      <c r="L340" t="s">
        <v>237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D340">
        <v>0</v>
      </c>
    </row>
    <row r="341" spans="1:82" hidden="1" x14ac:dyDescent="0.25">
      <c r="A341" t="s">
        <v>128</v>
      </c>
      <c r="B341" t="s">
        <v>502</v>
      </c>
      <c r="C341" t="s">
        <v>72</v>
      </c>
      <c r="D341" s="12">
        <v>46232</v>
      </c>
      <c r="E341" t="s">
        <v>501</v>
      </c>
      <c r="F341" t="s">
        <v>75</v>
      </c>
      <c r="G341">
        <v>1.5982451180828123</v>
      </c>
      <c r="H341">
        <v>0</v>
      </c>
      <c r="I341">
        <v>0</v>
      </c>
      <c r="J341">
        <v>0</v>
      </c>
      <c r="K341">
        <v>46232</v>
      </c>
      <c r="L341" t="s">
        <v>236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</row>
    <row r="342" spans="1:82" hidden="1" x14ac:dyDescent="0.25">
      <c r="A342" t="s">
        <v>128</v>
      </c>
      <c r="B342" t="s">
        <v>503</v>
      </c>
      <c r="C342" t="s">
        <v>72</v>
      </c>
      <c r="D342" s="12">
        <v>46232</v>
      </c>
      <c r="E342" t="s">
        <v>501</v>
      </c>
      <c r="F342" t="s">
        <v>75</v>
      </c>
      <c r="G342">
        <v>0.68601396059041697</v>
      </c>
      <c r="H342">
        <v>0</v>
      </c>
      <c r="I342">
        <v>0</v>
      </c>
      <c r="J342">
        <v>0</v>
      </c>
      <c r="K342">
        <v>46232</v>
      </c>
      <c r="L342" t="s">
        <v>236</v>
      </c>
      <c r="M342">
        <v>1.523159108844776</v>
      </c>
      <c r="N342">
        <v>0</v>
      </c>
      <c r="O342">
        <v>0</v>
      </c>
      <c r="P342">
        <v>2.2203033704064437</v>
      </c>
      <c r="Q342">
        <v>1.2203033704064437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0.45038890330421033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0.54961109669578967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0.45038890330421033</v>
      </c>
      <c r="CD342">
        <v>0</v>
      </c>
    </row>
    <row r="343" spans="1:82" hidden="1" x14ac:dyDescent="0.25">
      <c r="A343" t="s">
        <v>128</v>
      </c>
      <c r="B343" t="s">
        <v>372</v>
      </c>
      <c r="C343" t="s">
        <v>72</v>
      </c>
      <c r="D343" s="12">
        <v>46232</v>
      </c>
      <c r="E343" t="s">
        <v>501</v>
      </c>
      <c r="F343" t="s">
        <v>75</v>
      </c>
      <c r="G343">
        <v>3.1779578349000128</v>
      </c>
      <c r="H343">
        <v>2.8499999999999996</v>
      </c>
      <c r="I343">
        <v>20</v>
      </c>
      <c r="J343">
        <v>2.8499999999999996</v>
      </c>
      <c r="K343">
        <v>46232</v>
      </c>
      <c r="L343" t="s">
        <v>236</v>
      </c>
      <c r="M343">
        <v>3.7508650519031144</v>
      </c>
      <c r="N343">
        <v>0.89680233283827326</v>
      </c>
      <c r="O343">
        <v>0.89680233283827326</v>
      </c>
      <c r="P343">
        <v>1.18027527323097</v>
      </c>
      <c r="Q343">
        <v>0.18027527323097003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0.10319766716172674</v>
      </c>
      <c r="AA343">
        <v>0</v>
      </c>
      <c r="AB343">
        <v>0</v>
      </c>
      <c r="AC343">
        <v>0</v>
      </c>
      <c r="AD343">
        <v>0</v>
      </c>
      <c r="AE343">
        <v>0.89680233283827326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1.1150729245263205</v>
      </c>
      <c r="AL343">
        <v>1.1150729245263205</v>
      </c>
      <c r="AM343">
        <v>1.3160930006677596</v>
      </c>
      <c r="AN343">
        <v>0.20102007614143913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0.11507292452632045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0.75982472324723238</v>
      </c>
      <c r="BI343">
        <v>0.75982472324723238</v>
      </c>
      <c r="BJ343">
        <v>0.84725997627869343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0.15274002372130657</v>
      </c>
      <c r="BV343">
        <v>0</v>
      </c>
      <c r="BW343">
        <v>0</v>
      </c>
      <c r="BX343">
        <v>0</v>
      </c>
      <c r="BY343">
        <v>0.75982472324723238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 hidden="1" x14ac:dyDescent="0.25">
      <c r="A344" t="s">
        <v>128</v>
      </c>
      <c r="B344" t="s">
        <v>503</v>
      </c>
      <c r="C344" t="s">
        <v>72</v>
      </c>
      <c r="D344" s="12">
        <v>46233</v>
      </c>
      <c r="E344" t="s">
        <v>501</v>
      </c>
      <c r="F344" t="s">
        <v>73</v>
      </c>
      <c r="G344">
        <v>2.8594908838071702</v>
      </c>
      <c r="H344">
        <v>0</v>
      </c>
      <c r="I344">
        <v>0</v>
      </c>
      <c r="J344">
        <v>0</v>
      </c>
      <c r="K344">
        <v>46233</v>
      </c>
      <c r="L344" t="s">
        <v>235</v>
      </c>
      <c r="M344">
        <v>2.4760061919504648</v>
      </c>
      <c r="N344">
        <v>0</v>
      </c>
      <c r="O344">
        <v>0</v>
      </c>
      <c r="P344">
        <v>0.86589057023111471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0.86589057023111471</v>
      </c>
      <c r="AA344">
        <v>0.13410942976888529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H344">
        <v>0</v>
      </c>
      <c r="BI344">
        <v>0</v>
      </c>
      <c r="BJ344">
        <v>1.1548803444447837</v>
      </c>
      <c r="BK344">
        <v>0.15488034444478371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1</v>
      </c>
    </row>
    <row r="345" spans="1:82" hidden="1" x14ac:dyDescent="0.25">
      <c r="A345" t="s">
        <v>128</v>
      </c>
      <c r="B345" t="s">
        <v>372</v>
      </c>
      <c r="C345" t="s">
        <v>72</v>
      </c>
      <c r="D345" s="12">
        <v>46233</v>
      </c>
      <c r="E345" t="s">
        <v>501</v>
      </c>
      <c r="F345" t="s">
        <v>73</v>
      </c>
      <c r="G345">
        <v>3.587616462055093</v>
      </c>
      <c r="H345">
        <v>3.8</v>
      </c>
      <c r="I345">
        <v>20</v>
      </c>
      <c r="J345">
        <v>3.8</v>
      </c>
      <c r="K345">
        <v>46233</v>
      </c>
      <c r="L345" t="s">
        <v>235</v>
      </c>
      <c r="M345">
        <v>4.7058823529411775</v>
      </c>
      <c r="N345">
        <v>1.059199064390302</v>
      </c>
      <c r="O345">
        <v>1.059199064390302</v>
      </c>
      <c r="P345">
        <v>1.3117016277279285</v>
      </c>
      <c r="Q345">
        <v>0.25250256333762655</v>
      </c>
      <c r="R345">
        <v>0</v>
      </c>
      <c r="S345">
        <v>0</v>
      </c>
      <c r="T345">
        <v>0</v>
      </c>
      <c r="U345">
        <v>0</v>
      </c>
      <c r="V345">
        <v>0.19080093560969802</v>
      </c>
      <c r="W345">
        <v>5.9199064390301981E-2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0.94410959527765614</v>
      </c>
      <c r="AL345">
        <v>0.94410959527765614</v>
      </c>
      <c r="AM345">
        <v>1.2383900928792573</v>
      </c>
      <c r="AN345">
        <v>0.23839009287925728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0.94410959527765614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0.80749999999999977</v>
      </c>
      <c r="BI345">
        <v>0.80749999999999977</v>
      </c>
      <c r="BJ345">
        <v>0.76236849818670704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0.19250000000000023</v>
      </c>
      <c r="BV345">
        <v>0</v>
      </c>
      <c r="BW345">
        <v>4.5131501813292729E-2</v>
      </c>
      <c r="BX345">
        <v>0</v>
      </c>
      <c r="BY345">
        <v>0.76236849818670704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 hidden="1" x14ac:dyDescent="0.25">
      <c r="A346" t="s">
        <v>128</v>
      </c>
      <c r="B346" t="s">
        <v>502</v>
      </c>
      <c r="C346" t="s">
        <v>72</v>
      </c>
      <c r="D346" s="12">
        <v>46233</v>
      </c>
      <c r="E346" t="s">
        <v>501</v>
      </c>
      <c r="F346" t="s">
        <v>73</v>
      </c>
      <c r="G346">
        <v>1.8624711255077939</v>
      </c>
      <c r="H346">
        <v>0</v>
      </c>
      <c r="I346">
        <v>0</v>
      </c>
      <c r="J346">
        <v>0</v>
      </c>
      <c r="K346">
        <v>46233</v>
      </c>
      <c r="L346" t="s">
        <v>235</v>
      </c>
      <c r="M346">
        <v>0.88235294117647056</v>
      </c>
      <c r="N346">
        <v>0</v>
      </c>
      <c r="O346">
        <v>0</v>
      </c>
      <c r="P346">
        <v>0.47375389024401721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0.47375389024401721</v>
      </c>
      <c r="AA346">
        <v>0.52624610975598274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H346">
        <v>0</v>
      </c>
      <c r="BI346">
        <v>0</v>
      </c>
      <c r="BJ346">
        <v>2.1108006089088334</v>
      </c>
      <c r="BK346">
        <v>1.1108006089088334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 hidden="1" x14ac:dyDescent="0.25">
      <c r="A347" t="s">
        <v>128</v>
      </c>
      <c r="B347" t="s">
        <v>503</v>
      </c>
      <c r="C347" t="s">
        <v>72</v>
      </c>
      <c r="D347" s="12">
        <v>46233</v>
      </c>
      <c r="E347" t="s">
        <v>501</v>
      </c>
      <c r="F347" t="s">
        <v>74</v>
      </c>
      <c r="G347">
        <v>0</v>
      </c>
      <c r="H347">
        <v>0</v>
      </c>
      <c r="I347">
        <v>0</v>
      </c>
      <c r="J347">
        <v>0</v>
      </c>
      <c r="K347">
        <v>46233</v>
      </c>
      <c r="L347" t="s">
        <v>234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D347">
        <v>0</v>
      </c>
    </row>
    <row r="348" spans="1:82" hidden="1" x14ac:dyDescent="0.25">
      <c r="A348" t="s">
        <v>128</v>
      </c>
      <c r="B348" t="s">
        <v>502</v>
      </c>
      <c r="C348" t="s">
        <v>72</v>
      </c>
      <c r="D348" s="12">
        <v>46233</v>
      </c>
      <c r="E348" t="s">
        <v>501</v>
      </c>
      <c r="F348" t="s">
        <v>74</v>
      </c>
      <c r="G348">
        <v>0</v>
      </c>
      <c r="H348">
        <v>0</v>
      </c>
      <c r="I348">
        <v>0</v>
      </c>
      <c r="J348">
        <v>0</v>
      </c>
      <c r="K348">
        <v>46233</v>
      </c>
      <c r="L348" t="s">
        <v>234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D348">
        <v>0</v>
      </c>
    </row>
    <row r="349" spans="1:82" hidden="1" x14ac:dyDescent="0.25">
      <c r="A349" t="s">
        <v>128</v>
      </c>
      <c r="B349" t="s">
        <v>372</v>
      </c>
      <c r="C349" t="s">
        <v>72</v>
      </c>
      <c r="D349" s="12">
        <v>46233</v>
      </c>
      <c r="E349" t="s">
        <v>501</v>
      </c>
      <c r="F349" t="s">
        <v>74</v>
      </c>
      <c r="G349">
        <v>0</v>
      </c>
      <c r="H349">
        <v>0</v>
      </c>
      <c r="I349">
        <v>20</v>
      </c>
      <c r="J349">
        <v>0</v>
      </c>
      <c r="K349">
        <v>46233</v>
      </c>
      <c r="L349" t="s">
        <v>234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D349">
        <v>0</v>
      </c>
    </row>
    <row r="350" spans="1:82" hidden="1" x14ac:dyDescent="0.25">
      <c r="A350" t="s">
        <v>128</v>
      </c>
      <c r="B350" t="s">
        <v>503</v>
      </c>
      <c r="C350" t="s">
        <v>72</v>
      </c>
      <c r="D350" s="12">
        <v>46233</v>
      </c>
      <c r="E350" t="s">
        <v>501</v>
      </c>
      <c r="F350" t="s">
        <v>75</v>
      </c>
      <c r="G350">
        <v>0</v>
      </c>
      <c r="H350">
        <v>0</v>
      </c>
      <c r="I350">
        <v>0</v>
      </c>
      <c r="J350">
        <v>0</v>
      </c>
      <c r="K350">
        <v>46233</v>
      </c>
      <c r="L350" t="s">
        <v>233</v>
      </c>
      <c r="M350">
        <v>0.61081770169368066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D350">
        <v>0</v>
      </c>
    </row>
    <row r="351" spans="1:82" hidden="1" x14ac:dyDescent="0.25">
      <c r="A351" t="s">
        <v>128</v>
      </c>
      <c r="B351" t="s">
        <v>372</v>
      </c>
      <c r="C351" t="s">
        <v>72</v>
      </c>
      <c r="D351" s="12">
        <v>46233</v>
      </c>
      <c r="E351" t="s">
        <v>501</v>
      </c>
      <c r="F351" t="s">
        <v>75</v>
      </c>
      <c r="G351">
        <v>3.1779578349000128</v>
      </c>
      <c r="H351">
        <v>2.8499999999999996</v>
      </c>
      <c r="I351">
        <v>20</v>
      </c>
      <c r="J351">
        <v>2.8499999999999996</v>
      </c>
      <c r="K351">
        <v>46233</v>
      </c>
      <c r="L351" t="s">
        <v>233</v>
      </c>
      <c r="M351">
        <v>3.8062283737024214</v>
      </c>
      <c r="N351">
        <v>0.89680233283827326</v>
      </c>
      <c r="O351">
        <v>0.89680233283827326</v>
      </c>
      <c r="P351">
        <v>1.1976963104742313</v>
      </c>
      <c r="Q351">
        <v>0.19769631047423131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0.10319766716172674</v>
      </c>
      <c r="AA351">
        <v>0</v>
      </c>
      <c r="AB351">
        <v>0</v>
      </c>
      <c r="AC351">
        <v>0</v>
      </c>
      <c r="AD351">
        <v>0</v>
      </c>
      <c r="AE351">
        <v>0.89680233283827326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1.1150729245263205</v>
      </c>
      <c r="AL351">
        <v>1.1150729245263205</v>
      </c>
      <c r="AM351">
        <v>1.3355187276148848</v>
      </c>
      <c r="AN351">
        <v>0.22044580308856432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0.11507292452632045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0.74877272727272737</v>
      </c>
      <c r="BI351">
        <v>0.74877272727272737</v>
      </c>
      <c r="BJ351">
        <v>0.83493619480554904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0.16506380519445096</v>
      </c>
      <c r="BV351">
        <v>0</v>
      </c>
      <c r="BW351">
        <v>0</v>
      </c>
      <c r="BX351">
        <v>0</v>
      </c>
      <c r="BY351">
        <v>0.74877272727272737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 hidden="1" x14ac:dyDescent="0.25">
      <c r="A352" t="s">
        <v>128</v>
      </c>
      <c r="B352" t="s">
        <v>502</v>
      </c>
      <c r="C352" t="s">
        <v>72</v>
      </c>
      <c r="D352" s="12">
        <v>46233</v>
      </c>
      <c r="E352" t="s">
        <v>501</v>
      </c>
      <c r="F352" t="s">
        <v>75</v>
      </c>
      <c r="G352">
        <v>1.4435762356877015</v>
      </c>
      <c r="H352">
        <v>0</v>
      </c>
      <c r="I352">
        <v>0</v>
      </c>
      <c r="J352">
        <v>0</v>
      </c>
      <c r="K352">
        <v>46233</v>
      </c>
      <c r="L352" t="s">
        <v>233</v>
      </c>
      <c r="M352">
        <v>0.81660899653979235</v>
      </c>
      <c r="N352">
        <v>0</v>
      </c>
      <c r="O352">
        <v>0</v>
      </c>
      <c r="P352">
        <v>0.56568470466041587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0.56568470466041587</v>
      </c>
      <c r="AA352">
        <v>0.43431529533958413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H352">
        <v>0</v>
      </c>
      <c r="BI352">
        <v>0</v>
      </c>
      <c r="BJ352">
        <v>1.767769203871804</v>
      </c>
      <c r="BK352">
        <v>0.76776920387180403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 hidden="1" x14ac:dyDescent="0.25">
      <c r="A353" t="s">
        <v>128</v>
      </c>
      <c r="B353" t="s">
        <v>503</v>
      </c>
      <c r="C353" t="s">
        <v>72</v>
      </c>
      <c r="D353" s="12">
        <v>46234</v>
      </c>
      <c r="E353" t="s">
        <v>501</v>
      </c>
      <c r="F353" t="s">
        <v>73</v>
      </c>
      <c r="G353">
        <v>1.9063272558714477</v>
      </c>
      <c r="H353">
        <v>0</v>
      </c>
      <c r="I353">
        <v>0</v>
      </c>
      <c r="J353">
        <v>0</v>
      </c>
      <c r="K353">
        <v>46234</v>
      </c>
      <c r="L353" t="s">
        <v>213</v>
      </c>
      <c r="M353">
        <v>1.6470588235294119</v>
      </c>
      <c r="N353">
        <v>0</v>
      </c>
      <c r="O353">
        <v>0</v>
      </c>
      <c r="P353">
        <v>0.86399584250631967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0.86399584250631967</v>
      </c>
      <c r="AA353">
        <v>0.13600415749368033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H353">
        <v>0</v>
      </c>
      <c r="BI353">
        <v>0</v>
      </c>
      <c r="BJ353">
        <v>1.1574129767790931</v>
      </c>
      <c r="BK353">
        <v>0.15741297677909305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1</v>
      </c>
    </row>
    <row r="354" spans="1:82" hidden="1" x14ac:dyDescent="0.25">
      <c r="A354" t="s">
        <v>128</v>
      </c>
      <c r="B354" t="s">
        <v>502</v>
      </c>
      <c r="C354" t="s">
        <v>72</v>
      </c>
      <c r="D354" s="12">
        <v>46234</v>
      </c>
      <c r="E354" t="s">
        <v>501</v>
      </c>
      <c r="F354" t="s">
        <v>73</v>
      </c>
      <c r="G354">
        <v>1.8624711255077939</v>
      </c>
      <c r="H354">
        <v>0</v>
      </c>
      <c r="I354">
        <v>0</v>
      </c>
      <c r="J354">
        <v>0</v>
      </c>
      <c r="K354">
        <v>46234</v>
      </c>
      <c r="L354" t="s">
        <v>213</v>
      </c>
      <c r="M354">
        <v>1.7647058823529416</v>
      </c>
      <c r="N354">
        <v>0</v>
      </c>
      <c r="O354">
        <v>0</v>
      </c>
      <c r="P354">
        <v>0.94750778048803463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0.94750778048803463</v>
      </c>
      <c r="AA354">
        <v>5.2492219511965366E-2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H354">
        <v>0</v>
      </c>
      <c r="BI354">
        <v>0</v>
      </c>
      <c r="BJ354">
        <v>1.0554003044544162</v>
      </c>
      <c r="BK354">
        <v>5.5400304454416238E-2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</row>
    <row r="355" spans="1:82" hidden="1" x14ac:dyDescent="0.25">
      <c r="A355" t="s">
        <v>128</v>
      </c>
      <c r="B355" t="s">
        <v>372</v>
      </c>
      <c r="C355" t="s">
        <v>72</v>
      </c>
      <c r="D355" s="12">
        <v>46234</v>
      </c>
      <c r="E355" t="s">
        <v>501</v>
      </c>
      <c r="F355" t="s">
        <v>73</v>
      </c>
      <c r="G355">
        <v>3.587616462055093</v>
      </c>
      <c r="H355">
        <v>8.5499999999999989</v>
      </c>
      <c r="I355">
        <v>20</v>
      </c>
      <c r="J355">
        <v>8.5499999999999989</v>
      </c>
      <c r="K355">
        <v>46234</v>
      </c>
      <c r="L355" t="s">
        <v>213</v>
      </c>
      <c r="M355">
        <v>3.8235294117647038</v>
      </c>
      <c r="N355">
        <v>2.3831978948781791</v>
      </c>
      <c r="O355">
        <v>2.3831978948781791</v>
      </c>
      <c r="P355">
        <v>1.0657575725289412</v>
      </c>
      <c r="Q355">
        <v>0</v>
      </c>
      <c r="R355">
        <v>0</v>
      </c>
      <c r="S355">
        <v>1.1331978948781791</v>
      </c>
      <c r="T355">
        <v>0</v>
      </c>
      <c r="U355">
        <v>0</v>
      </c>
      <c r="V355">
        <v>0</v>
      </c>
      <c r="W355">
        <v>6.5757572528941211E-2</v>
      </c>
      <c r="X355">
        <v>0</v>
      </c>
      <c r="Y355">
        <v>0.18424242747105879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0.41960426456784716</v>
      </c>
      <c r="AL355">
        <v>0.41960426456784716</v>
      </c>
      <c r="AM355">
        <v>0.4471964224286204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0.55280357757137955</v>
      </c>
      <c r="AY355">
        <v>0</v>
      </c>
      <c r="AZ355">
        <v>0</v>
      </c>
      <c r="BA355">
        <v>0</v>
      </c>
      <c r="BB355">
        <v>0.41960426456784716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2.2361538461538473</v>
      </c>
      <c r="BI355">
        <v>2.2361538461538473</v>
      </c>
      <c r="BJ355">
        <v>0.93829969007594793</v>
      </c>
      <c r="CA355">
        <v>0</v>
      </c>
      <c r="CB355">
        <v>0</v>
      </c>
      <c r="CC355">
        <v>0</v>
      </c>
    </row>
    <row r="356" spans="1:82" hidden="1" x14ac:dyDescent="0.25">
      <c r="A356" t="s">
        <v>128</v>
      </c>
      <c r="B356" t="s">
        <v>372</v>
      </c>
      <c r="C356" t="s">
        <v>72</v>
      </c>
      <c r="D356" s="12">
        <v>46234</v>
      </c>
      <c r="E356" t="s">
        <v>501</v>
      </c>
      <c r="F356" t="s">
        <v>74</v>
      </c>
      <c r="G356">
        <v>0</v>
      </c>
      <c r="H356">
        <v>0.95</v>
      </c>
      <c r="I356">
        <v>20</v>
      </c>
      <c r="J356">
        <v>0.95</v>
      </c>
      <c r="K356">
        <v>46234</v>
      </c>
      <c r="L356" t="s">
        <v>190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D356">
        <v>0</v>
      </c>
    </row>
    <row r="357" spans="1:82" hidden="1" x14ac:dyDescent="0.25">
      <c r="A357" t="s">
        <v>128</v>
      </c>
      <c r="B357" t="s">
        <v>502</v>
      </c>
      <c r="C357" t="s">
        <v>72</v>
      </c>
      <c r="D357" s="12">
        <v>46234</v>
      </c>
      <c r="E357" t="s">
        <v>501</v>
      </c>
      <c r="F357" t="s">
        <v>74</v>
      </c>
      <c r="G357">
        <v>0</v>
      </c>
      <c r="H357">
        <v>0</v>
      </c>
      <c r="I357">
        <v>0</v>
      </c>
      <c r="J357">
        <v>0</v>
      </c>
      <c r="K357">
        <v>46234</v>
      </c>
      <c r="L357" t="s">
        <v>190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D357">
        <v>0</v>
      </c>
    </row>
    <row r="358" spans="1:82" hidden="1" x14ac:dyDescent="0.25">
      <c r="A358" t="s">
        <v>128</v>
      </c>
      <c r="B358" t="s">
        <v>503</v>
      </c>
      <c r="C358" t="s">
        <v>72</v>
      </c>
      <c r="D358" s="12">
        <v>46234</v>
      </c>
      <c r="E358" t="s">
        <v>501</v>
      </c>
      <c r="F358" t="s">
        <v>74</v>
      </c>
      <c r="G358">
        <v>0</v>
      </c>
      <c r="H358">
        <v>0</v>
      </c>
      <c r="I358">
        <v>0</v>
      </c>
      <c r="J358">
        <v>0</v>
      </c>
      <c r="K358">
        <v>46234</v>
      </c>
      <c r="L358" t="s">
        <v>190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D358">
        <v>0</v>
      </c>
    </row>
    <row r="359" spans="1:82" hidden="1" x14ac:dyDescent="0.25">
      <c r="A359" t="s">
        <v>128</v>
      </c>
      <c r="B359" t="s">
        <v>502</v>
      </c>
      <c r="C359" t="s">
        <v>72</v>
      </c>
      <c r="D359" s="12">
        <v>46234</v>
      </c>
      <c r="E359" t="s">
        <v>501</v>
      </c>
      <c r="F359" t="s">
        <v>75</v>
      </c>
      <c r="G359">
        <v>1.4435762356877015</v>
      </c>
      <c r="H359">
        <v>0</v>
      </c>
      <c r="I359">
        <v>0</v>
      </c>
      <c r="J359">
        <v>0</v>
      </c>
      <c r="K359">
        <v>46234</v>
      </c>
      <c r="L359" t="s">
        <v>189</v>
      </c>
      <c r="M359">
        <v>0.92733564013840819</v>
      </c>
      <c r="N359">
        <v>0</v>
      </c>
      <c r="O359">
        <v>0</v>
      </c>
      <c r="P359">
        <v>0.64238771546182816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0.64238771546182816</v>
      </c>
      <c r="AA359">
        <v>0.35761228453817184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H359">
        <v>0</v>
      </c>
      <c r="BI359">
        <v>0</v>
      </c>
      <c r="BJ359">
        <v>1.5566922840065143</v>
      </c>
      <c r="BK359">
        <v>0.55669228400651427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</row>
    <row r="360" spans="1:82" hidden="1" x14ac:dyDescent="0.25">
      <c r="A360" t="s">
        <v>128</v>
      </c>
      <c r="B360" t="s">
        <v>503</v>
      </c>
      <c r="C360" t="s">
        <v>72</v>
      </c>
      <c r="D360" s="12">
        <v>46234</v>
      </c>
      <c r="E360" t="s">
        <v>501</v>
      </c>
      <c r="F360" t="s">
        <v>75</v>
      </c>
      <c r="G360">
        <v>0</v>
      </c>
      <c r="H360">
        <v>0</v>
      </c>
      <c r="I360">
        <v>0</v>
      </c>
      <c r="J360">
        <v>0</v>
      </c>
      <c r="K360">
        <v>46234</v>
      </c>
      <c r="L360" t="s">
        <v>189</v>
      </c>
      <c r="M360">
        <v>0.33217993079584773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D360">
        <v>0</v>
      </c>
    </row>
    <row r="361" spans="1:82" hidden="1" x14ac:dyDescent="0.25">
      <c r="A361" t="s">
        <v>128</v>
      </c>
      <c r="B361" t="s">
        <v>372</v>
      </c>
      <c r="C361" t="s">
        <v>72</v>
      </c>
      <c r="D361" s="12">
        <v>46234</v>
      </c>
      <c r="E361" t="s">
        <v>501</v>
      </c>
      <c r="F361" t="s">
        <v>75</v>
      </c>
      <c r="G361">
        <v>3.1779578349000128</v>
      </c>
      <c r="H361">
        <v>2.8499999999999996</v>
      </c>
      <c r="I361">
        <v>20</v>
      </c>
      <c r="J361">
        <v>2.8499999999999996</v>
      </c>
      <c r="K361">
        <v>46234</v>
      </c>
      <c r="L361" t="s">
        <v>189</v>
      </c>
      <c r="M361">
        <v>3.7543252595155714</v>
      </c>
      <c r="N361">
        <v>0.89680233283827326</v>
      </c>
      <c r="O361">
        <v>0.89680233283827326</v>
      </c>
      <c r="P361">
        <v>1.181364088058674</v>
      </c>
      <c r="Q361">
        <v>0.18136408805867399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0.10319766716172674</v>
      </c>
      <c r="AA361">
        <v>0</v>
      </c>
      <c r="AB361">
        <v>0</v>
      </c>
      <c r="AC361">
        <v>0</v>
      </c>
      <c r="AD361">
        <v>0</v>
      </c>
      <c r="AE361">
        <v>0.89680233283827326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1.1150729245263205</v>
      </c>
      <c r="AL361">
        <v>1.1150729245263205</v>
      </c>
      <c r="AM361">
        <v>1.317307108601955</v>
      </c>
      <c r="AN361">
        <v>0.20223418407563454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0.11507292452632045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0.7591244239631334</v>
      </c>
      <c r="BI361">
        <v>0.7591244239631334</v>
      </c>
      <c r="BJ361">
        <v>0.84647909150792955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0.15352090849207045</v>
      </c>
      <c r="BV361">
        <v>0</v>
      </c>
      <c r="BW361">
        <v>0</v>
      </c>
      <c r="BX361">
        <v>0</v>
      </c>
      <c r="BY361">
        <v>0.7591244239631334</v>
      </c>
      <c r="BZ361">
        <v>0</v>
      </c>
      <c r="CA361">
        <v>0</v>
      </c>
      <c r="CB361">
        <v>0</v>
      </c>
      <c r="CC361">
        <v>0</v>
      </c>
      <c r="CD361">
        <v>0</v>
      </c>
    </row>
    <row r="362" spans="1:82" hidden="1" x14ac:dyDescent="0.25">
      <c r="A362" t="s">
        <v>128</v>
      </c>
      <c r="B362" t="s">
        <v>503</v>
      </c>
      <c r="C362" t="s">
        <v>72</v>
      </c>
      <c r="D362" s="12">
        <v>46235</v>
      </c>
      <c r="E362" t="s">
        <v>501</v>
      </c>
      <c r="F362" t="s">
        <v>73</v>
      </c>
      <c r="G362">
        <v>0</v>
      </c>
      <c r="H362">
        <v>0</v>
      </c>
      <c r="I362">
        <v>0</v>
      </c>
      <c r="J362">
        <v>0</v>
      </c>
      <c r="K362">
        <v>46235</v>
      </c>
      <c r="L362" t="s">
        <v>188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D362">
        <v>0</v>
      </c>
    </row>
    <row r="363" spans="1:82" hidden="1" x14ac:dyDescent="0.25">
      <c r="A363" t="s">
        <v>128</v>
      </c>
      <c r="B363" t="s">
        <v>372</v>
      </c>
      <c r="C363" t="s">
        <v>72</v>
      </c>
      <c r="D363" s="12">
        <v>46235</v>
      </c>
      <c r="E363" t="s">
        <v>501</v>
      </c>
      <c r="F363" t="s">
        <v>73</v>
      </c>
      <c r="G363">
        <v>3.5876164620550925</v>
      </c>
      <c r="H363">
        <v>5.6999999999999993</v>
      </c>
      <c r="I363">
        <v>20</v>
      </c>
      <c r="J363">
        <v>5.6999999999999993</v>
      </c>
      <c r="K363">
        <v>46235</v>
      </c>
      <c r="L363" t="s">
        <v>188</v>
      </c>
      <c r="M363">
        <v>3.7647058823529407</v>
      </c>
      <c r="N363">
        <v>1.588798596585453</v>
      </c>
      <c r="O363">
        <v>1.588798596585453</v>
      </c>
      <c r="P363">
        <v>1.0493613021823425</v>
      </c>
      <c r="Q363">
        <v>0</v>
      </c>
      <c r="R363">
        <v>0</v>
      </c>
      <c r="S363">
        <v>0.33879859658545297</v>
      </c>
      <c r="T363">
        <v>0</v>
      </c>
      <c r="U363">
        <v>0</v>
      </c>
      <c r="V363">
        <v>0</v>
      </c>
      <c r="W363">
        <v>4.936130218234247E-2</v>
      </c>
      <c r="X363">
        <v>0</v>
      </c>
      <c r="Y363">
        <v>0.20063869781765753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0.62940639685177069</v>
      </c>
      <c r="AL363">
        <v>0.62940639685177069</v>
      </c>
      <c r="AM363">
        <v>0.66047471620227038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0.33952528379772962</v>
      </c>
      <c r="AY363">
        <v>0</v>
      </c>
      <c r="AZ363">
        <v>0</v>
      </c>
      <c r="BA363">
        <v>0</v>
      </c>
      <c r="BB363">
        <v>0.62940639685177069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1.5140625000000001</v>
      </c>
      <c r="BI363">
        <v>1.5140625000000001</v>
      </c>
      <c r="BJ363">
        <v>0.95296062273338411</v>
      </c>
      <c r="CA363">
        <v>0</v>
      </c>
      <c r="CB363">
        <v>0</v>
      </c>
      <c r="CC363">
        <v>0</v>
      </c>
    </row>
    <row r="364" spans="1:82" hidden="1" x14ac:dyDescent="0.25">
      <c r="A364" t="s">
        <v>128</v>
      </c>
      <c r="B364" t="s">
        <v>502</v>
      </c>
      <c r="C364" t="s">
        <v>72</v>
      </c>
      <c r="D364" s="12">
        <v>46235</v>
      </c>
      <c r="E364" t="s">
        <v>501</v>
      </c>
      <c r="F364" t="s">
        <v>73</v>
      </c>
      <c r="G364">
        <v>1.8624711255077939</v>
      </c>
      <c r="H364">
        <v>0</v>
      </c>
      <c r="I364">
        <v>0</v>
      </c>
      <c r="J364">
        <v>0</v>
      </c>
      <c r="K364">
        <v>46235</v>
      </c>
      <c r="L364" t="s">
        <v>188</v>
      </c>
      <c r="M364">
        <v>1.7647058823529416</v>
      </c>
      <c r="N364">
        <v>0</v>
      </c>
      <c r="O364">
        <v>0</v>
      </c>
      <c r="P364">
        <v>0.94750778048803463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0.94750778048803463</v>
      </c>
      <c r="AA364">
        <v>5.2492219511965366E-2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H364">
        <v>0</v>
      </c>
      <c r="BI364">
        <v>0</v>
      </c>
      <c r="BJ364">
        <v>1.0554003044544162</v>
      </c>
      <c r="BK364">
        <v>5.5400304454416238E-2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1</v>
      </c>
    </row>
    <row r="365" spans="1:82" hidden="1" x14ac:dyDescent="0.25">
      <c r="A365" t="s">
        <v>128</v>
      </c>
      <c r="B365" t="s">
        <v>503</v>
      </c>
      <c r="C365" t="s">
        <v>72</v>
      </c>
      <c r="D365" s="12">
        <v>46235</v>
      </c>
      <c r="E365" t="s">
        <v>501</v>
      </c>
      <c r="F365" t="s">
        <v>74</v>
      </c>
      <c r="G365">
        <v>0</v>
      </c>
      <c r="H365">
        <v>0</v>
      </c>
      <c r="I365">
        <v>0</v>
      </c>
      <c r="J365">
        <v>0</v>
      </c>
      <c r="K365">
        <v>46235</v>
      </c>
      <c r="L365" t="s">
        <v>187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D365">
        <v>0</v>
      </c>
    </row>
    <row r="366" spans="1:82" hidden="1" x14ac:dyDescent="0.25">
      <c r="A366" t="s">
        <v>128</v>
      </c>
      <c r="B366" t="s">
        <v>372</v>
      </c>
      <c r="C366" t="s">
        <v>72</v>
      </c>
      <c r="D366" s="12">
        <v>46235</v>
      </c>
      <c r="E366" t="s">
        <v>501</v>
      </c>
      <c r="F366" t="s">
        <v>74</v>
      </c>
      <c r="G366">
        <v>0</v>
      </c>
      <c r="H366">
        <v>0</v>
      </c>
      <c r="I366">
        <v>20</v>
      </c>
      <c r="J366">
        <v>0</v>
      </c>
      <c r="K366">
        <v>46235</v>
      </c>
      <c r="L366" t="s">
        <v>187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D366">
        <v>0</v>
      </c>
    </row>
    <row r="367" spans="1:82" hidden="1" x14ac:dyDescent="0.25">
      <c r="A367" t="s">
        <v>128</v>
      </c>
      <c r="B367" t="s">
        <v>502</v>
      </c>
      <c r="C367" t="s">
        <v>72</v>
      </c>
      <c r="D367" s="12">
        <v>46235</v>
      </c>
      <c r="E367" t="s">
        <v>501</v>
      </c>
      <c r="F367" t="s">
        <v>74</v>
      </c>
      <c r="G367">
        <v>0</v>
      </c>
      <c r="H367">
        <v>0</v>
      </c>
      <c r="I367">
        <v>0</v>
      </c>
      <c r="J367">
        <v>0</v>
      </c>
      <c r="K367">
        <v>46235</v>
      </c>
      <c r="L367" t="s">
        <v>187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D367">
        <v>0</v>
      </c>
    </row>
    <row r="368" spans="1:82" hidden="1" x14ac:dyDescent="0.25">
      <c r="A368" t="s">
        <v>128</v>
      </c>
      <c r="B368" t="s">
        <v>502</v>
      </c>
      <c r="C368" t="s">
        <v>72</v>
      </c>
      <c r="D368" s="12">
        <v>46235</v>
      </c>
      <c r="E368" t="s">
        <v>501</v>
      </c>
      <c r="F368" t="s">
        <v>75</v>
      </c>
      <c r="G368">
        <v>1.4435762356877015</v>
      </c>
      <c r="H368">
        <v>0</v>
      </c>
      <c r="I368">
        <v>0</v>
      </c>
      <c r="J368">
        <v>0</v>
      </c>
      <c r="K368">
        <v>46235</v>
      </c>
      <c r="L368" t="s">
        <v>186</v>
      </c>
      <c r="M368">
        <v>0.22145328719723184</v>
      </c>
      <c r="N368">
        <v>0</v>
      </c>
      <c r="O368">
        <v>0</v>
      </c>
      <c r="P368">
        <v>0.15340602160282465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0.15340602160282465</v>
      </c>
      <c r="AA368">
        <v>0.84659397839717532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H368">
        <v>0</v>
      </c>
      <c r="BI368">
        <v>0</v>
      </c>
      <c r="BJ368">
        <v>6.5186489392772771</v>
      </c>
      <c r="BK368">
        <v>5.5186489392772771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 hidden="1" x14ac:dyDescent="0.25">
      <c r="A369" t="s">
        <v>128</v>
      </c>
      <c r="B369" t="s">
        <v>372</v>
      </c>
      <c r="C369" t="s">
        <v>72</v>
      </c>
      <c r="D369" s="12">
        <v>46235</v>
      </c>
      <c r="E369" t="s">
        <v>501</v>
      </c>
      <c r="F369" t="s">
        <v>75</v>
      </c>
      <c r="G369">
        <v>3.2276134260703255</v>
      </c>
      <c r="H369">
        <v>2.8499999999999996</v>
      </c>
      <c r="I369">
        <v>20</v>
      </c>
      <c r="J369">
        <v>2.8499999999999996</v>
      </c>
      <c r="K369">
        <v>46235</v>
      </c>
      <c r="L369" t="s">
        <v>186</v>
      </c>
      <c r="M369">
        <v>3.7508650519031144</v>
      </c>
      <c r="N369">
        <v>0.88300537387153066</v>
      </c>
      <c r="O369">
        <v>0.88300537387153066</v>
      </c>
      <c r="P369">
        <v>1.1621171921043396</v>
      </c>
      <c r="Q369">
        <v>0.16211719210433961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0.11699462612846934</v>
      </c>
      <c r="AA369">
        <v>0</v>
      </c>
      <c r="AB369">
        <v>0</v>
      </c>
      <c r="AC369">
        <v>0</v>
      </c>
      <c r="AD369">
        <v>0</v>
      </c>
      <c r="AE369">
        <v>0.88300537387153066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1.1324959389720441</v>
      </c>
      <c r="AL369">
        <v>1.1324959389720441</v>
      </c>
      <c r="AM369">
        <v>1.3160930006677596</v>
      </c>
      <c r="AN369">
        <v>0.18359706169571544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0.13249593897204415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0.75982472324723238</v>
      </c>
      <c r="BI369">
        <v>0.75982472324723238</v>
      </c>
      <c r="BJ369">
        <v>0.860498413408048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0.139501586591952</v>
      </c>
      <c r="BV369">
        <v>0</v>
      </c>
      <c r="BW369">
        <v>0</v>
      </c>
      <c r="BX369">
        <v>0</v>
      </c>
      <c r="BY369">
        <v>0.75982472324723238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 hidden="1" x14ac:dyDescent="0.25">
      <c r="A370" t="s">
        <v>128</v>
      </c>
      <c r="B370" t="s">
        <v>503</v>
      </c>
      <c r="C370" t="s">
        <v>72</v>
      </c>
      <c r="D370" s="12">
        <v>46235</v>
      </c>
      <c r="E370" t="s">
        <v>501</v>
      </c>
      <c r="F370" t="s">
        <v>75</v>
      </c>
      <c r="G370">
        <v>0</v>
      </c>
      <c r="H370">
        <v>0</v>
      </c>
      <c r="I370">
        <v>0</v>
      </c>
      <c r="J370">
        <v>0</v>
      </c>
      <c r="K370">
        <v>46235</v>
      </c>
      <c r="L370" t="s">
        <v>186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D370">
        <v>0</v>
      </c>
    </row>
    <row r="371" spans="1:82" hidden="1" x14ac:dyDescent="0.25">
      <c r="A371" t="s">
        <v>128</v>
      </c>
      <c r="B371" t="s">
        <v>503</v>
      </c>
      <c r="C371" t="s">
        <v>72</v>
      </c>
      <c r="D371" s="12">
        <v>46236</v>
      </c>
      <c r="E371" t="s">
        <v>501</v>
      </c>
      <c r="F371" t="s">
        <v>73</v>
      </c>
      <c r="G371">
        <v>0.44854758961681102</v>
      </c>
      <c r="H371">
        <v>0</v>
      </c>
      <c r="I371">
        <v>0</v>
      </c>
      <c r="J371">
        <v>0</v>
      </c>
      <c r="K371">
        <v>46236</v>
      </c>
      <c r="L371" t="s">
        <v>185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 hidden="1" x14ac:dyDescent="0.25">
      <c r="A372" t="s">
        <v>128</v>
      </c>
      <c r="B372" t="s">
        <v>372</v>
      </c>
      <c r="C372" t="s">
        <v>72</v>
      </c>
      <c r="D372" s="12">
        <v>46236</v>
      </c>
      <c r="E372" t="s">
        <v>501</v>
      </c>
      <c r="F372" t="s">
        <v>73</v>
      </c>
      <c r="G372">
        <v>3.5876164620550925</v>
      </c>
      <c r="H372">
        <v>9.5</v>
      </c>
      <c r="I372">
        <v>20</v>
      </c>
      <c r="J372">
        <v>9.5</v>
      </c>
      <c r="K372">
        <v>46236</v>
      </c>
      <c r="L372" t="s">
        <v>185</v>
      </c>
      <c r="M372">
        <v>3.8235294117647038</v>
      </c>
      <c r="N372">
        <v>2.6479976609757556</v>
      </c>
      <c r="O372">
        <v>2.6479976609757556</v>
      </c>
      <c r="P372">
        <v>1.0657575725289412</v>
      </c>
      <c r="Q372">
        <v>0</v>
      </c>
      <c r="R372">
        <v>0</v>
      </c>
      <c r="S372">
        <v>1.3979976609757556</v>
      </c>
      <c r="T372">
        <v>0</v>
      </c>
      <c r="U372">
        <v>0</v>
      </c>
      <c r="V372">
        <v>0</v>
      </c>
      <c r="W372">
        <v>6.5757572528941211E-2</v>
      </c>
      <c r="X372">
        <v>0</v>
      </c>
      <c r="Y372">
        <v>0.18424242747105879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0.37764383811106239</v>
      </c>
      <c r="AL372">
        <v>0.37764383811106239</v>
      </c>
      <c r="AM372">
        <v>0.40247678018575828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0.59752321981424172</v>
      </c>
      <c r="AY372">
        <v>0</v>
      </c>
      <c r="AZ372">
        <v>0</v>
      </c>
      <c r="BA372">
        <v>0</v>
      </c>
      <c r="BB372">
        <v>0.37764383811106239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2.484615384615386</v>
      </c>
      <c r="BI372">
        <v>2.484615384615386</v>
      </c>
      <c r="BJ372">
        <v>0.93829969007594782</v>
      </c>
      <c r="CA372">
        <v>0</v>
      </c>
      <c r="CB372">
        <v>0</v>
      </c>
      <c r="CC372">
        <v>0</v>
      </c>
    </row>
    <row r="373" spans="1:82" hidden="1" x14ac:dyDescent="0.25">
      <c r="A373" t="s">
        <v>128</v>
      </c>
      <c r="B373" t="s">
        <v>502</v>
      </c>
      <c r="C373" t="s">
        <v>72</v>
      </c>
      <c r="D373" s="12">
        <v>46236</v>
      </c>
      <c r="E373" t="s">
        <v>501</v>
      </c>
      <c r="F373" t="s">
        <v>73</v>
      </c>
      <c r="G373">
        <v>1.8624711255077939</v>
      </c>
      <c r="H373">
        <v>0</v>
      </c>
      <c r="I373">
        <v>0</v>
      </c>
      <c r="J373">
        <v>0</v>
      </c>
      <c r="K373">
        <v>46236</v>
      </c>
      <c r="L373" t="s">
        <v>185</v>
      </c>
      <c r="M373">
        <v>1.7647058823529416</v>
      </c>
      <c r="N373">
        <v>0</v>
      </c>
      <c r="O373">
        <v>0</v>
      </c>
      <c r="P373">
        <v>0.94750778048803463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0.94750778048803463</v>
      </c>
      <c r="AA373">
        <v>5.2492219511965366E-2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H373">
        <v>0</v>
      </c>
      <c r="BI373">
        <v>0</v>
      </c>
      <c r="BJ373">
        <v>1.0554003044544162</v>
      </c>
      <c r="BK373">
        <v>5.5400304454416238E-2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1</v>
      </c>
    </row>
    <row r="374" spans="1:82" hidden="1" x14ac:dyDescent="0.25">
      <c r="A374" t="s">
        <v>128</v>
      </c>
      <c r="B374" t="s">
        <v>502</v>
      </c>
      <c r="C374" t="s">
        <v>72</v>
      </c>
      <c r="D374" s="12">
        <v>46236</v>
      </c>
      <c r="E374" t="s">
        <v>501</v>
      </c>
      <c r="F374" t="s">
        <v>74</v>
      </c>
      <c r="G374">
        <v>0</v>
      </c>
      <c r="H374">
        <v>0</v>
      </c>
      <c r="I374">
        <v>0</v>
      </c>
      <c r="J374">
        <v>0</v>
      </c>
      <c r="K374">
        <v>46236</v>
      </c>
      <c r="L374" t="s">
        <v>184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D374">
        <v>0</v>
      </c>
    </row>
    <row r="375" spans="1:82" hidden="1" x14ac:dyDescent="0.25">
      <c r="A375" t="s">
        <v>128</v>
      </c>
      <c r="B375" t="s">
        <v>503</v>
      </c>
      <c r="C375" t="s">
        <v>72</v>
      </c>
      <c r="D375" s="12">
        <v>46236</v>
      </c>
      <c r="E375" t="s">
        <v>501</v>
      </c>
      <c r="F375" t="s">
        <v>74</v>
      </c>
      <c r="G375">
        <v>0</v>
      </c>
      <c r="H375">
        <v>0</v>
      </c>
      <c r="I375">
        <v>0</v>
      </c>
      <c r="J375">
        <v>0</v>
      </c>
      <c r="K375">
        <v>46236</v>
      </c>
      <c r="L375" t="s">
        <v>184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D375">
        <v>0</v>
      </c>
    </row>
    <row r="376" spans="1:82" hidden="1" x14ac:dyDescent="0.25">
      <c r="A376" t="s">
        <v>128</v>
      </c>
      <c r="B376" t="s">
        <v>372</v>
      </c>
      <c r="C376" t="s">
        <v>72</v>
      </c>
      <c r="D376" s="12">
        <v>46236</v>
      </c>
      <c r="E376" t="s">
        <v>501</v>
      </c>
      <c r="F376" t="s">
        <v>74</v>
      </c>
      <c r="G376">
        <v>0</v>
      </c>
      <c r="H376">
        <v>0.95</v>
      </c>
      <c r="I376">
        <v>20</v>
      </c>
      <c r="J376">
        <v>0.95</v>
      </c>
      <c r="K376">
        <v>46236</v>
      </c>
      <c r="L376" t="s">
        <v>184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D376">
        <v>0</v>
      </c>
    </row>
    <row r="377" spans="1:82" hidden="1" x14ac:dyDescent="0.25">
      <c r="A377" t="s">
        <v>128</v>
      </c>
      <c r="B377" t="s">
        <v>503</v>
      </c>
      <c r="C377" t="s">
        <v>72</v>
      </c>
      <c r="D377" s="12">
        <v>46236</v>
      </c>
      <c r="E377" t="s">
        <v>501</v>
      </c>
      <c r="F377" t="s">
        <v>75</v>
      </c>
      <c r="G377">
        <v>0</v>
      </c>
      <c r="H377">
        <v>0</v>
      </c>
      <c r="I377">
        <v>0</v>
      </c>
      <c r="J377">
        <v>0</v>
      </c>
      <c r="K377">
        <v>46236</v>
      </c>
      <c r="L377" t="s">
        <v>183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D377">
        <v>0</v>
      </c>
    </row>
    <row r="378" spans="1:82" hidden="1" x14ac:dyDescent="0.25">
      <c r="A378" t="s">
        <v>128</v>
      </c>
      <c r="B378" t="s">
        <v>372</v>
      </c>
      <c r="C378" t="s">
        <v>72</v>
      </c>
      <c r="D378" s="12">
        <v>46236</v>
      </c>
      <c r="E378" t="s">
        <v>501</v>
      </c>
      <c r="F378" t="s">
        <v>75</v>
      </c>
      <c r="G378">
        <v>3.1779578349000133</v>
      </c>
      <c r="H378">
        <v>2.8499999999999996</v>
      </c>
      <c r="I378">
        <v>20</v>
      </c>
      <c r="J378">
        <v>2.8499999999999996</v>
      </c>
      <c r="K378">
        <v>46236</v>
      </c>
      <c r="L378" t="s">
        <v>183</v>
      </c>
      <c r="M378">
        <v>3.7543252595155714</v>
      </c>
      <c r="N378">
        <v>0.89680233283827315</v>
      </c>
      <c r="O378">
        <v>0.89680233283827315</v>
      </c>
      <c r="P378">
        <v>1.1813640880586738</v>
      </c>
      <c r="Q378">
        <v>0.18136408805867377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0.10319766716172685</v>
      </c>
      <c r="AA378">
        <v>0</v>
      </c>
      <c r="AB378">
        <v>0</v>
      </c>
      <c r="AC378">
        <v>0</v>
      </c>
      <c r="AD378">
        <v>0</v>
      </c>
      <c r="AE378">
        <v>0.89680233283827315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1.1150729245263207</v>
      </c>
      <c r="AL378">
        <v>1.1150729245263207</v>
      </c>
      <c r="AM378">
        <v>1.317307108601955</v>
      </c>
      <c r="AN378">
        <v>0.20223418407563432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0.11507292452632067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0.7591244239631334</v>
      </c>
      <c r="BI378">
        <v>0.7591244239631334</v>
      </c>
      <c r="BJ378">
        <v>0.84647909150792966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0.15352090849207034</v>
      </c>
      <c r="BV378">
        <v>0</v>
      </c>
      <c r="BW378">
        <v>0</v>
      </c>
      <c r="BX378">
        <v>0</v>
      </c>
      <c r="BY378">
        <v>0.7591244239631334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 hidden="1" x14ac:dyDescent="0.25">
      <c r="A379" t="s">
        <v>128</v>
      </c>
      <c r="B379" t="s">
        <v>502</v>
      </c>
      <c r="C379" t="s">
        <v>72</v>
      </c>
      <c r="D379" s="12">
        <v>46236</v>
      </c>
      <c r="E379" t="s">
        <v>501</v>
      </c>
      <c r="F379" t="s">
        <v>75</v>
      </c>
      <c r="G379">
        <v>1.4435762356877015</v>
      </c>
      <c r="H379">
        <v>0</v>
      </c>
      <c r="I379">
        <v>0</v>
      </c>
      <c r="J379">
        <v>0</v>
      </c>
      <c r="K379">
        <v>46236</v>
      </c>
      <c r="L379" t="s">
        <v>183</v>
      </c>
      <c r="M379">
        <v>0.22145328719723184</v>
      </c>
      <c r="N379">
        <v>0</v>
      </c>
      <c r="O379">
        <v>0</v>
      </c>
      <c r="P379">
        <v>0.15340602160282465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0.15340602160282465</v>
      </c>
      <c r="AA379">
        <v>0.84659397839717532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H379">
        <v>0</v>
      </c>
      <c r="BI379">
        <v>0</v>
      </c>
      <c r="BJ379">
        <v>6.5186489392772771</v>
      </c>
      <c r="BK379">
        <v>5.5186489392772771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 hidden="1" x14ac:dyDescent="0.25">
      <c r="A380" t="s">
        <v>128</v>
      </c>
      <c r="B380" t="s">
        <v>503</v>
      </c>
      <c r="C380" t="s">
        <v>72</v>
      </c>
      <c r="D380" s="12">
        <v>46237</v>
      </c>
      <c r="E380" t="s">
        <v>501</v>
      </c>
      <c r="F380" t="s">
        <v>73</v>
      </c>
      <c r="G380">
        <v>0.95316362793572373</v>
      </c>
      <c r="H380">
        <v>0</v>
      </c>
      <c r="I380">
        <v>0</v>
      </c>
      <c r="J380">
        <v>0</v>
      </c>
      <c r="K380">
        <v>46237</v>
      </c>
      <c r="L380" t="s">
        <v>232</v>
      </c>
      <c r="M380">
        <v>0.82352941176470595</v>
      </c>
      <c r="N380">
        <v>0</v>
      </c>
      <c r="O380">
        <v>0</v>
      </c>
      <c r="P380">
        <v>0.86399584250631978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0.86399584250631978</v>
      </c>
      <c r="AA380">
        <v>0.13600415749368022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H380">
        <v>0</v>
      </c>
      <c r="BI380">
        <v>0</v>
      </c>
      <c r="BJ380">
        <v>1.1574129767790931</v>
      </c>
      <c r="BK380">
        <v>0.15741297677909305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 hidden="1" x14ac:dyDescent="0.25">
      <c r="A381" t="s">
        <v>128</v>
      </c>
      <c r="B381" t="s">
        <v>502</v>
      </c>
      <c r="C381" t="s">
        <v>72</v>
      </c>
      <c r="D381" s="12">
        <v>46237</v>
      </c>
      <c r="E381" t="s">
        <v>501</v>
      </c>
      <c r="F381" t="s">
        <v>73</v>
      </c>
      <c r="G381">
        <v>1.8624711255077939</v>
      </c>
      <c r="H381">
        <v>0</v>
      </c>
      <c r="I381">
        <v>0</v>
      </c>
      <c r="J381">
        <v>0</v>
      </c>
      <c r="K381">
        <v>46237</v>
      </c>
      <c r="L381" t="s">
        <v>232</v>
      </c>
      <c r="M381">
        <v>0.1764705882352941</v>
      </c>
      <c r="N381">
        <v>0</v>
      </c>
      <c r="O381">
        <v>0</v>
      </c>
      <c r="P381">
        <v>9.4750778048803427E-2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9.4750778048803427E-2</v>
      </c>
      <c r="AA381">
        <v>0.90524922195119661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H381">
        <v>0</v>
      </c>
      <c r="BI381">
        <v>0</v>
      </c>
      <c r="BJ381">
        <v>10.554003044544167</v>
      </c>
      <c r="BK381">
        <v>9.5540030445441673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 hidden="1" x14ac:dyDescent="0.25">
      <c r="A382" t="s">
        <v>128</v>
      </c>
      <c r="B382" t="s">
        <v>372</v>
      </c>
      <c r="C382" t="s">
        <v>72</v>
      </c>
      <c r="D382" s="12">
        <v>46237</v>
      </c>
      <c r="E382" t="s">
        <v>501</v>
      </c>
      <c r="F382" t="s">
        <v>73</v>
      </c>
      <c r="G382">
        <v>3.5876164620550925</v>
      </c>
      <c r="H382">
        <v>8.5499999999999989</v>
      </c>
      <c r="I382">
        <v>20</v>
      </c>
      <c r="J382">
        <v>8.5499999999999989</v>
      </c>
      <c r="K382">
        <v>46237</v>
      </c>
      <c r="L382" t="s">
        <v>232</v>
      </c>
      <c r="M382">
        <v>3.7647058823529407</v>
      </c>
      <c r="N382">
        <v>2.3831978948781796</v>
      </c>
      <c r="O382">
        <v>2.3831978948781796</v>
      </c>
      <c r="P382">
        <v>1.0493613021823425</v>
      </c>
      <c r="Q382">
        <v>0</v>
      </c>
      <c r="R382">
        <v>0</v>
      </c>
      <c r="S382">
        <v>1.1331978948781796</v>
      </c>
      <c r="T382">
        <v>0</v>
      </c>
      <c r="U382">
        <v>0</v>
      </c>
      <c r="V382">
        <v>0</v>
      </c>
      <c r="W382">
        <v>4.936130218234247E-2</v>
      </c>
      <c r="X382">
        <v>0</v>
      </c>
      <c r="Y382">
        <v>0.20063869781765753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0.41960426456784711</v>
      </c>
      <c r="AL382">
        <v>0.41960426456784711</v>
      </c>
      <c r="AM382">
        <v>0.44031647746818026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0.55968352253181974</v>
      </c>
      <c r="AY382">
        <v>0</v>
      </c>
      <c r="AZ382">
        <v>0</v>
      </c>
      <c r="BA382">
        <v>0</v>
      </c>
      <c r="BB382">
        <v>0.41960426456784711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2.2710937499999999</v>
      </c>
      <c r="BI382">
        <v>2.2710937499999999</v>
      </c>
      <c r="BJ382">
        <v>0.95296062273338411</v>
      </c>
      <c r="CA382">
        <v>0</v>
      </c>
      <c r="CB382">
        <v>0</v>
      </c>
      <c r="CC382">
        <v>0</v>
      </c>
    </row>
    <row r="383" spans="1:82" hidden="1" x14ac:dyDescent="0.25">
      <c r="A383" t="s">
        <v>128</v>
      </c>
      <c r="B383" t="s">
        <v>502</v>
      </c>
      <c r="C383" t="s">
        <v>72</v>
      </c>
      <c r="D383" s="12">
        <v>46237</v>
      </c>
      <c r="E383" t="s">
        <v>501</v>
      </c>
      <c r="F383" t="s">
        <v>74</v>
      </c>
      <c r="G383">
        <v>0</v>
      </c>
      <c r="H383">
        <v>0</v>
      </c>
      <c r="I383">
        <v>0</v>
      </c>
      <c r="J383">
        <v>0</v>
      </c>
      <c r="K383">
        <v>46237</v>
      </c>
      <c r="L383" t="s">
        <v>182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D383">
        <v>0</v>
      </c>
    </row>
    <row r="384" spans="1:82" hidden="1" x14ac:dyDescent="0.25">
      <c r="A384" t="s">
        <v>128</v>
      </c>
      <c r="B384" t="s">
        <v>503</v>
      </c>
      <c r="C384" t="s">
        <v>72</v>
      </c>
      <c r="D384" s="12">
        <v>46237</v>
      </c>
      <c r="E384" t="s">
        <v>501</v>
      </c>
      <c r="F384" t="s">
        <v>74</v>
      </c>
      <c r="G384">
        <v>0</v>
      </c>
      <c r="H384">
        <v>0</v>
      </c>
      <c r="I384">
        <v>0</v>
      </c>
      <c r="J384">
        <v>0</v>
      </c>
      <c r="K384">
        <v>46237</v>
      </c>
      <c r="L384" t="s">
        <v>182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D384">
        <v>0</v>
      </c>
    </row>
    <row r="385" spans="1:82" hidden="1" x14ac:dyDescent="0.25">
      <c r="A385" t="s">
        <v>128</v>
      </c>
      <c r="B385" t="s">
        <v>372</v>
      </c>
      <c r="C385" t="s">
        <v>72</v>
      </c>
      <c r="D385" s="12">
        <v>46237</v>
      </c>
      <c r="E385" t="s">
        <v>501</v>
      </c>
      <c r="F385" t="s">
        <v>74</v>
      </c>
      <c r="G385">
        <v>0</v>
      </c>
      <c r="H385">
        <v>0</v>
      </c>
      <c r="I385">
        <v>20</v>
      </c>
      <c r="J385">
        <v>0</v>
      </c>
      <c r="K385">
        <v>46237</v>
      </c>
      <c r="L385" t="s">
        <v>182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D385">
        <v>0</v>
      </c>
    </row>
    <row r="386" spans="1:82" hidden="1" x14ac:dyDescent="0.25">
      <c r="A386" t="s">
        <v>128</v>
      </c>
      <c r="B386" t="s">
        <v>372</v>
      </c>
      <c r="C386" t="s">
        <v>72</v>
      </c>
      <c r="D386" s="12">
        <v>46237</v>
      </c>
      <c r="E386" t="s">
        <v>501</v>
      </c>
      <c r="F386" t="s">
        <v>75</v>
      </c>
      <c r="G386">
        <v>3.1779578349000128</v>
      </c>
      <c r="H386">
        <v>2.8499999999999996</v>
      </c>
      <c r="I386">
        <v>20</v>
      </c>
      <c r="J386">
        <v>2.8499999999999996</v>
      </c>
      <c r="K386">
        <v>46237</v>
      </c>
      <c r="L386" t="s">
        <v>181</v>
      </c>
      <c r="M386">
        <v>3.7508650519031144</v>
      </c>
      <c r="N386">
        <v>0.89680233283827326</v>
      </c>
      <c r="O386">
        <v>0.89680233283827326</v>
      </c>
      <c r="P386">
        <v>1.18027527323097</v>
      </c>
      <c r="Q386">
        <v>0.18027527323097003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0.10319766716172674</v>
      </c>
      <c r="AA386">
        <v>0</v>
      </c>
      <c r="AB386">
        <v>0</v>
      </c>
      <c r="AC386">
        <v>0</v>
      </c>
      <c r="AD386">
        <v>0</v>
      </c>
      <c r="AE386">
        <v>0.89680233283827326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1.1150729245263205</v>
      </c>
      <c r="AL386">
        <v>1.1150729245263205</v>
      </c>
      <c r="AM386">
        <v>1.3160930006677596</v>
      </c>
      <c r="AN386">
        <v>0.20102007614143913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0.11507292452632045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0.75982472324723238</v>
      </c>
      <c r="BI386">
        <v>0.75982472324723238</v>
      </c>
      <c r="BJ386">
        <v>0.84725997627869343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0.15274002372130657</v>
      </c>
      <c r="BV386">
        <v>0</v>
      </c>
      <c r="BW386">
        <v>0</v>
      </c>
      <c r="BX386">
        <v>0</v>
      </c>
      <c r="BY386">
        <v>0.75982472324723238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 hidden="1" x14ac:dyDescent="0.25">
      <c r="A387" t="s">
        <v>128</v>
      </c>
      <c r="B387" t="s">
        <v>502</v>
      </c>
      <c r="C387" t="s">
        <v>72</v>
      </c>
      <c r="D387" s="12">
        <v>46237</v>
      </c>
      <c r="E387" t="s">
        <v>501</v>
      </c>
      <c r="F387" t="s">
        <v>75</v>
      </c>
      <c r="G387">
        <v>1.4435762356877015</v>
      </c>
      <c r="H387">
        <v>0</v>
      </c>
      <c r="I387">
        <v>0</v>
      </c>
      <c r="J387">
        <v>0</v>
      </c>
      <c r="K387">
        <v>46237</v>
      </c>
      <c r="L387" t="s">
        <v>181</v>
      </c>
      <c r="M387">
        <v>1.5986159169550174</v>
      </c>
      <c r="N387">
        <v>0</v>
      </c>
      <c r="O387">
        <v>0</v>
      </c>
      <c r="P387">
        <v>1.1073997184453905</v>
      </c>
      <c r="Q387">
        <v>0.10739971844539054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0.90301630327650595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9.6983696723494051E-2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0.90301630327650595</v>
      </c>
      <c r="CD387">
        <v>0</v>
      </c>
    </row>
    <row r="388" spans="1:82" hidden="1" x14ac:dyDescent="0.25">
      <c r="A388" t="s">
        <v>128</v>
      </c>
      <c r="B388" t="s">
        <v>503</v>
      </c>
      <c r="C388" t="s">
        <v>72</v>
      </c>
      <c r="D388" s="12">
        <v>46237</v>
      </c>
      <c r="E388" t="s">
        <v>501</v>
      </c>
      <c r="F388" t="s">
        <v>75</v>
      </c>
      <c r="G388">
        <v>0</v>
      </c>
      <c r="H388">
        <v>0</v>
      </c>
      <c r="I388">
        <v>0</v>
      </c>
      <c r="J388">
        <v>0</v>
      </c>
      <c r="K388">
        <v>46237</v>
      </c>
      <c r="L388" t="s">
        <v>181</v>
      </c>
      <c r="M388">
        <v>0.16608996539792387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D388">
        <v>0</v>
      </c>
    </row>
    <row r="389" spans="1:82" hidden="1" x14ac:dyDescent="0.25">
      <c r="A389" t="s">
        <v>128</v>
      </c>
      <c r="B389" t="s">
        <v>503</v>
      </c>
      <c r="C389" t="s">
        <v>72</v>
      </c>
      <c r="D389" s="12">
        <v>46238</v>
      </c>
      <c r="E389" t="s">
        <v>501</v>
      </c>
      <c r="F389" t="s">
        <v>73</v>
      </c>
      <c r="G389">
        <v>0.95316362793572351</v>
      </c>
      <c r="H389">
        <v>0</v>
      </c>
      <c r="I389">
        <v>0</v>
      </c>
      <c r="J389">
        <v>0</v>
      </c>
      <c r="K389">
        <v>46238</v>
      </c>
      <c r="L389" t="s">
        <v>180</v>
      </c>
      <c r="M389">
        <v>0.82352941176470595</v>
      </c>
      <c r="N389">
        <v>0</v>
      </c>
      <c r="O389">
        <v>0</v>
      </c>
      <c r="P389">
        <v>0.86399584250632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0.86399584250632</v>
      </c>
      <c r="AA389">
        <v>0.13600415749368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H389">
        <v>0</v>
      </c>
      <c r="BI389">
        <v>0</v>
      </c>
      <c r="BJ389">
        <v>1.1574129767790928</v>
      </c>
      <c r="BK389">
        <v>0.15741297677909283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 hidden="1" x14ac:dyDescent="0.25">
      <c r="A390" t="s">
        <v>128</v>
      </c>
      <c r="B390" t="s">
        <v>372</v>
      </c>
      <c r="C390" t="s">
        <v>72</v>
      </c>
      <c r="D390" s="12">
        <v>46238</v>
      </c>
      <c r="E390" t="s">
        <v>501</v>
      </c>
      <c r="F390" t="s">
        <v>73</v>
      </c>
      <c r="G390">
        <v>3.5876164620550925</v>
      </c>
      <c r="H390">
        <v>5.6999999999999993</v>
      </c>
      <c r="I390">
        <v>20</v>
      </c>
      <c r="J390">
        <v>5.6999999999999993</v>
      </c>
      <c r="K390">
        <v>46238</v>
      </c>
      <c r="L390" t="s">
        <v>180</v>
      </c>
      <c r="M390">
        <v>3.8827614379084978</v>
      </c>
      <c r="N390">
        <v>1.588798596585453</v>
      </c>
      <c r="O390">
        <v>1.588798596585453</v>
      </c>
      <c r="P390">
        <v>1.0822677058640593</v>
      </c>
      <c r="Q390">
        <v>0</v>
      </c>
      <c r="R390">
        <v>0</v>
      </c>
      <c r="S390">
        <v>0.33879859658545297</v>
      </c>
      <c r="T390">
        <v>0</v>
      </c>
      <c r="U390">
        <v>0</v>
      </c>
      <c r="V390">
        <v>0</v>
      </c>
      <c r="W390">
        <v>8.2267705864059293E-2</v>
      </c>
      <c r="X390">
        <v>0</v>
      </c>
      <c r="Y390">
        <v>0.16773229413594071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0.62940639685177069</v>
      </c>
      <c r="AL390">
        <v>0.62940639685177069</v>
      </c>
      <c r="AM390">
        <v>0.68118621717692951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0.31881378282307049</v>
      </c>
      <c r="AY390">
        <v>0</v>
      </c>
      <c r="AZ390">
        <v>0</v>
      </c>
      <c r="BA390">
        <v>0</v>
      </c>
      <c r="BB390">
        <v>0.62940639685177069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1.4680273540241973</v>
      </c>
      <c r="BI390">
        <v>1.4680273540241973</v>
      </c>
      <c r="BJ390">
        <v>0.92398580737620872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0.46802735402419726</v>
      </c>
      <c r="BT390">
        <v>0</v>
      </c>
      <c r="BU390">
        <v>0</v>
      </c>
      <c r="BV390">
        <v>0</v>
      </c>
      <c r="BW390">
        <v>7.6014192623791277E-2</v>
      </c>
      <c r="BX390">
        <v>0</v>
      </c>
      <c r="BY390">
        <v>0.92398580737620872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 hidden="1" x14ac:dyDescent="0.25">
      <c r="A391" t="s">
        <v>128</v>
      </c>
      <c r="B391" t="s">
        <v>502</v>
      </c>
      <c r="C391" t="s">
        <v>72</v>
      </c>
      <c r="D391" s="12">
        <v>46238</v>
      </c>
      <c r="E391" t="s">
        <v>501</v>
      </c>
      <c r="F391" t="s">
        <v>73</v>
      </c>
      <c r="G391">
        <v>1.8624711255077939</v>
      </c>
      <c r="H391">
        <v>0</v>
      </c>
      <c r="I391">
        <v>0</v>
      </c>
      <c r="J391">
        <v>0</v>
      </c>
      <c r="K391">
        <v>46238</v>
      </c>
      <c r="L391" t="s">
        <v>180</v>
      </c>
      <c r="M391">
        <v>1.7058823529411764</v>
      </c>
      <c r="N391">
        <v>0</v>
      </c>
      <c r="O391">
        <v>0</v>
      </c>
      <c r="P391">
        <v>0.91592418780509988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0.91592418780509988</v>
      </c>
      <c r="AA391">
        <v>8.4075812194900124E-2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H391">
        <v>0</v>
      </c>
      <c r="BI391">
        <v>0</v>
      </c>
      <c r="BJ391">
        <v>1.0917934184011207</v>
      </c>
      <c r="BK391">
        <v>9.1793418401120652E-2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1</v>
      </c>
    </row>
    <row r="392" spans="1:82" hidden="1" x14ac:dyDescent="0.25">
      <c r="A392" t="s">
        <v>128</v>
      </c>
      <c r="B392" t="s">
        <v>502</v>
      </c>
      <c r="C392" t="s">
        <v>72</v>
      </c>
      <c r="D392" s="12">
        <v>46238</v>
      </c>
      <c r="E392" t="s">
        <v>501</v>
      </c>
      <c r="F392" t="s">
        <v>74</v>
      </c>
      <c r="G392">
        <v>0</v>
      </c>
      <c r="H392">
        <v>0</v>
      </c>
      <c r="I392">
        <v>0</v>
      </c>
      <c r="J392">
        <v>0</v>
      </c>
      <c r="K392">
        <v>46238</v>
      </c>
      <c r="L392" t="s">
        <v>179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D392">
        <v>0</v>
      </c>
    </row>
    <row r="393" spans="1:82" hidden="1" x14ac:dyDescent="0.25">
      <c r="A393" t="s">
        <v>128</v>
      </c>
      <c r="B393" t="s">
        <v>503</v>
      </c>
      <c r="C393" t="s">
        <v>72</v>
      </c>
      <c r="D393" s="12">
        <v>46238</v>
      </c>
      <c r="E393" t="s">
        <v>501</v>
      </c>
      <c r="F393" t="s">
        <v>74</v>
      </c>
      <c r="G393">
        <v>0</v>
      </c>
      <c r="H393">
        <v>0</v>
      </c>
      <c r="I393">
        <v>0</v>
      </c>
      <c r="J393">
        <v>0</v>
      </c>
      <c r="K393">
        <v>46238</v>
      </c>
      <c r="L393" t="s">
        <v>179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D393">
        <v>0</v>
      </c>
    </row>
    <row r="394" spans="1:82" hidden="1" x14ac:dyDescent="0.25">
      <c r="A394" t="s">
        <v>128</v>
      </c>
      <c r="B394" t="s">
        <v>372</v>
      </c>
      <c r="C394" t="s">
        <v>72</v>
      </c>
      <c r="D394" s="12">
        <v>46238</v>
      </c>
      <c r="E394" t="s">
        <v>501</v>
      </c>
      <c r="F394" t="s">
        <v>74</v>
      </c>
      <c r="G394">
        <v>0</v>
      </c>
      <c r="H394">
        <v>0</v>
      </c>
      <c r="I394">
        <v>20</v>
      </c>
      <c r="J394">
        <v>0</v>
      </c>
      <c r="K394">
        <v>46238</v>
      </c>
      <c r="L394" t="s">
        <v>179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D394">
        <v>0</v>
      </c>
    </row>
    <row r="395" spans="1:82" hidden="1" x14ac:dyDescent="0.25">
      <c r="A395" t="s">
        <v>128</v>
      </c>
      <c r="B395" t="s">
        <v>503</v>
      </c>
      <c r="C395" t="s">
        <v>72</v>
      </c>
      <c r="D395" s="12">
        <v>46238</v>
      </c>
      <c r="E395" t="s">
        <v>501</v>
      </c>
      <c r="F395" t="s">
        <v>75</v>
      </c>
      <c r="G395">
        <v>0</v>
      </c>
      <c r="H395">
        <v>0</v>
      </c>
      <c r="I395">
        <v>0</v>
      </c>
      <c r="J395">
        <v>0</v>
      </c>
      <c r="K395">
        <v>46238</v>
      </c>
      <c r="L395" t="s">
        <v>178</v>
      </c>
      <c r="M395">
        <v>0.16608996539792387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D395">
        <v>0</v>
      </c>
    </row>
    <row r="396" spans="1:82" hidden="1" x14ac:dyDescent="0.25">
      <c r="A396" t="s">
        <v>128</v>
      </c>
      <c r="B396" t="s">
        <v>372</v>
      </c>
      <c r="C396" t="s">
        <v>72</v>
      </c>
      <c r="D396" s="12">
        <v>46238</v>
      </c>
      <c r="E396" t="s">
        <v>501</v>
      </c>
      <c r="F396" t="s">
        <v>75</v>
      </c>
      <c r="G396">
        <v>3.2276134260703255</v>
      </c>
      <c r="H396">
        <v>2.8499999999999996</v>
      </c>
      <c r="I396">
        <v>20</v>
      </c>
      <c r="J396">
        <v>2.8499999999999996</v>
      </c>
      <c r="K396">
        <v>46238</v>
      </c>
      <c r="L396" t="s">
        <v>178</v>
      </c>
      <c r="M396">
        <v>3.7574009996155326</v>
      </c>
      <c r="N396">
        <v>0.88300537387153066</v>
      </c>
      <c r="O396">
        <v>0.88300537387153066</v>
      </c>
      <c r="P396">
        <v>1.164142201561676</v>
      </c>
      <c r="Q396">
        <v>0.16414220156167603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0.11699462612846934</v>
      </c>
      <c r="AA396">
        <v>0</v>
      </c>
      <c r="AB396">
        <v>0</v>
      </c>
      <c r="AC396">
        <v>0</v>
      </c>
      <c r="AD396">
        <v>0</v>
      </c>
      <c r="AE396">
        <v>0.88300537387153066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1.1324959389720441</v>
      </c>
      <c r="AL396">
        <v>1.1324959389720441</v>
      </c>
      <c r="AM396">
        <v>1.318386315654573</v>
      </c>
      <c r="AN396">
        <v>0.18589037668252884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0.13249593897204415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0.75850301852041324</v>
      </c>
      <c r="BI396">
        <v>0.75850301852041324</v>
      </c>
      <c r="BJ396">
        <v>0.85900158817240524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0.14099841182759476</v>
      </c>
      <c r="BV396">
        <v>0</v>
      </c>
      <c r="BW396">
        <v>0</v>
      </c>
      <c r="BX396">
        <v>0</v>
      </c>
      <c r="BY396">
        <v>0.75850301852041324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 hidden="1" x14ac:dyDescent="0.25">
      <c r="A397" t="s">
        <v>128</v>
      </c>
      <c r="B397" t="s">
        <v>502</v>
      </c>
      <c r="C397" t="s">
        <v>72</v>
      </c>
      <c r="D397" s="12">
        <v>46238</v>
      </c>
      <c r="E397" t="s">
        <v>501</v>
      </c>
      <c r="F397" t="s">
        <v>75</v>
      </c>
      <c r="G397">
        <v>1.4435762356877015</v>
      </c>
      <c r="H397">
        <v>0</v>
      </c>
      <c r="I397">
        <v>0</v>
      </c>
      <c r="J397">
        <v>0</v>
      </c>
      <c r="K397">
        <v>46238</v>
      </c>
      <c r="L397" t="s">
        <v>178</v>
      </c>
      <c r="M397">
        <v>1.1003460207612457</v>
      </c>
      <c r="N397">
        <v>0</v>
      </c>
      <c r="O397">
        <v>0</v>
      </c>
      <c r="P397">
        <v>0.76223616983903497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0.76223616983903497</v>
      </c>
      <c r="AA397">
        <v>0.23776383016096503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H397">
        <v>0</v>
      </c>
      <c r="BI397">
        <v>0</v>
      </c>
      <c r="BJ397">
        <v>1.3119293462696406</v>
      </c>
      <c r="BK397">
        <v>0.31192934626964064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1</v>
      </c>
    </row>
    <row r="398" spans="1:82" hidden="1" x14ac:dyDescent="0.25">
      <c r="A398" t="s">
        <v>128</v>
      </c>
      <c r="B398" t="s">
        <v>372</v>
      </c>
      <c r="C398" t="s">
        <v>72</v>
      </c>
      <c r="D398" s="12">
        <v>46239</v>
      </c>
      <c r="E398" t="s">
        <v>501</v>
      </c>
      <c r="F398" t="s">
        <v>73</v>
      </c>
      <c r="G398">
        <v>3.5876164620550925</v>
      </c>
      <c r="H398">
        <v>10.45</v>
      </c>
      <c r="I398">
        <v>20</v>
      </c>
      <c r="J398">
        <v>10.45</v>
      </c>
      <c r="K398">
        <v>46239</v>
      </c>
      <c r="L398" t="s">
        <v>177</v>
      </c>
      <c r="M398">
        <v>3.7647058823529398</v>
      </c>
      <c r="N398">
        <v>2.9127974270733308</v>
      </c>
      <c r="O398">
        <v>2.9127974270733308</v>
      </c>
      <c r="P398">
        <v>1.0493613021823422</v>
      </c>
      <c r="Q398">
        <v>0</v>
      </c>
      <c r="R398">
        <v>0</v>
      </c>
      <c r="S398">
        <v>1.6627974270733308</v>
      </c>
      <c r="T398">
        <v>0</v>
      </c>
      <c r="U398">
        <v>0</v>
      </c>
      <c r="V398">
        <v>0</v>
      </c>
      <c r="W398">
        <v>4.9361302182342248E-2</v>
      </c>
      <c r="X398">
        <v>0</v>
      </c>
      <c r="Y398">
        <v>0.20063869781765775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0.34331258010096583</v>
      </c>
      <c r="AL398">
        <v>0.34331258010096583</v>
      </c>
      <c r="AM398">
        <v>0.36025893611032916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0.63974106388967078</v>
      </c>
      <c r="AY398">
        <v>0</v>
      </c>
      <c r="AZ398">
        <v>0</v>
      </c>
      <c r="BA398">
        <v>0</v>
      </c>
      <c r="BB398">
        <v>0.34331258010096583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2.775781250000001</v>
      </c>
      <c r="BI398">
        <v>2.775781250000001</v>
      </c>
      <c r="BJ398">
        <v>0.95296062273338433</v>
      </c>
      <c r="CA398">
        <v>0</v>
      </c>
      <c r="CB398">
        <v>0</v>
      </c>
      <c r="CC398">
        <v>0</v>
      </c>
    </row>
    <row r="399" spans="1:82" hidden="1" x14ac:dyDescent="0.25">
      <c r="A399" t="s">
        <v>128</v>
      </c>
      <c r="B399" t="s">
        <v>503</v>
      </c>
      <c r="C399" t="s">
        <v>72</v>
      </c>
      <c r="D399" s="12">
        <v>46239</v>
      </c>
      <c r="E399" t="s">
        <v>501</v>
      </c>
      <c r="F399" t="s">
        <v>73</v>
      </c>
      <c r="G399">
        <v>2.8594908838071702</v>
      </c>
      <c r="H399">
        <v>0</v>
      </c>
      <c r="I399">
        <v>0</v>
      </c>
      <c r="J399">
        <v>0</v>
      </c>
      <c r="K399">
        <v>46239</v>
      </c>
      <c r="L399" t="s">
        <v>177</v>
      </c>
      <c r="M399">
        <v>1.6524767801857587</v>
      </c>
      <c r="N399">
        <v>0</v>
      </c>
      <c r="O399">
        <v>0</v>
      </c>
      <c r="P399">
        <v>0.57789195606234134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0.57789195606234134</v>
      </c>
      <c r="AA399">
        <v>0.42210804393765866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H399">
        <v>0</v>
      </c>
      <c r="BI399">
        <v>0</v>
      </c>
      <c r="BJ399">
        <v>1.7304272702008727</v>
      </c>
      <c r="BK399">
        <v>0.73042727020087272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1</v>
      </c>
    </row>
    <row r="400" spans="1:82" hidden="1" x14ac:dyDescent="0.25">
      <c r="A400" t="s">
        <v>128</v>
      </c>
      <c r="B400" t="s">
        <v>502</v>
      </c>
      <c r="C400" t="s">
        <v>72</v>
      </c>
      <c r="D400" s="12">
        <v>46239</v>
      </c>
      <c r="E400" t="s">
        <v>501</v>
      </c>
      <c r="F400" t="s">
        <v>73</v>
      </c>
      <c r="G400">
        <v>1.8624711255077939</v>
      </c>
      <c r="H400">
        <v>0</v>
      </c>
      <c r="I400">
        <v>0</v>
      </c>
      <c r="J400">
        <v>0</v>
      </c>
      <c r="K400">
        <v>46239</v>
      </c>
      <c r="L400" t="s">
        <v>177</v>
      </c>
      <c r="M400">
        <v>1.7647058823529409</v>
      </c>
      <c r="N400">
        <v>0</v>
      </c>
      <c r="O400">
        <v>0</v>
      </c>
      <c r="P400">
        <v>0.9475077804880343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0.9475077804880343</v>
      </c>
      <c r="AA400">
        <v>5.2492219511965699E-2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H400">
        <v>0</v>
      </c>
      <c r="BI400">
        <v>0</v>
      </c>
      <c r="BJ400">
        <v>1.0554003044544167</v>
      </c>
      <c r="BK400">
        <v>5.5400304454416682E-2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</row>
    <row r="401" spans="1:82" hidden="1" x14ac:dyDescent="0.25">
      <c r="A401" t="s">
        <v>128</v>
      </c>
      <c r="B401" t="s">
        <v>372</v>
      </c>
      <c r="C401" t="s">
        <v>72</v>
      </c>
      <c r="D401" s="12">
        <v>46239</v>
      </c>
      <c r="E401" t="s">
        <v>501</v>
      </c>
      <c r="F401" t="s">
        <v>74</v>
      </c>
      <c r="G401">
        <v>0</v>
      </c>
      <c r="H401">
        <v>0</v>
      </c>
      <c r="I401">
        <v>20</v>
      </c>
      <c r="J401">
        <v>0</v>
      </c>
      <c r="K401">
        <v>46239</v>
      </c>
      <c r="L401" t="s">
        <v>176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D401">
        <v>0</v>
      </c>
    </row>
    <row r="402" spans="1:82" hidden="1" x14ac:dyDescent="0.25">
      <c r="A402" t="s">
        <v>128</v>
      </c>
      <c r="B402" t="s">
        <v>502</v>
      </c>
      <c r="C402" t="s">
        <v>72</v>
      </c>
      <c r="D402" s="12">
        <v>46239</v>
      </c>
      <c r="E402" t="s">
        <v>501</v>
      </c>
      <c r="F402" t="s">
        <v>74</v>
      </c>
      <c r="G402">
        <v>0</v>
      </c>
      <c r="H402">
        <v>0</v>
      </c>
      <c r="I402">
        <v>0</v>
      </c>
      <c r="J402">
        <v>0</v>
      </c>
      <c r="K402">
        <v>46239</v>
      </c>
      <c r="L402" t="s">
        <v>176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D402">
        <v>0</v>
      </c>
    </row>
    <row r="403" spans="1:82" hidden="1" x14ac:dyDescent="0.25">
      <c r="A403" t="s">
        <v>128</v>
      </c>
      <c r="B403" t="s">
        <v>503</v>
      </c>
      <c r="C403" t="s">
        <v>72</v>
      </c>
      <c r="D403" s="12">
        <v>46239</v>
      </c>
      <c r="E403" t="s">
        <v>501</v>
      </c>
      <c r="F403" t="s">
        <v>74</v>
      </c>
      <c r="G403">
        <v>0</v>
      </c>
      <c r="H403">
        <v>0</v>
      </c>
      <c r="I403">
        <v>0</v>
      </c>
      <c r="J403">
        <v>0</v>
      </c>
      <c r="K403">
        <v>46239</v>
      </c>
      <c r="L403" t="s">
        <v>176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D403">
        <v>0</v>
      </c>
    </row>
    <row r="404" spans="1:82" hidden="1" x14ac:dyDescent="0.25">
      <c r="A404" t="s">
        <v>128</v>
      </c>
      <c r="B404" t="s">
        <v>503</v>
      </c>
      <c r="C404" t="s">
        <v>72</v>
      </c>
      <c r="D404" s="12">
        <v>46239</v>
      </c>
      <c r="E404" t="s">
        <v>501</v>
      </c>
      <c r="F404" t="s">
        <v>75</v>
      </c>
      <c r="G404">
        <v>0.68601396059041697</v>
      </c>
      <c r="H404">
        <v>0</v>
      </c>
      <c r="I404">
        <v>0</v>
      </c>
      <c r="J404">
        <v>0</v>
      </c>
      <c r="K404">
        <v>46239</v>
      </c>
      <c r="L404" t="s">
        <v>175</v>
      </c>
      <c r="M404">
        <v>1.1506100892369333</v>
      </c>
      <c r="N404">
        <v>0</v>
      </c>
      <c r="O404">
        <v>0</v>
      </c>
      <c r="P404">
        <v>1.6772400495270714</v>
      </c>
      <c r="Q404">
        <v>0.6772400495270714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1</v>
      </c>
      <c r="BH404">
        <v>0</v>
      </c>
      <c r="BI404">
        <v>0</v>
      </c>
      <c r="BJ404">
        <v>0.59621757796802455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0.40378242203197545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0.59621757796802455</v>
      </c>
      <c r="CD404">
        <v>0</v>
      </c>
    </row>
    <row r="405" spans="1:82" hidden="1" x14ac:dyDescent="0.25">
      <c r="A405" t="s">
        <v>128</v>
      </c>
      <c r="B405" t="s">
        <v>372</v>
      </c>
      <c r="C405" t="s">
        <v>72</v>
      </c>
      <c r="D405" s="12">
        <v>46239</v>
      </c>
      <c r="E405" t="s">
        <v>501</v>
      </c>
      <c r="F405" t="s">
        <v>75</v>
      </c>
      <c r="G405">
        <v>3.1779578349000128</v>
      </c>
      <c r="H405">
        <v>2.8499999999999996</v>
      </c>
      <c r="I405">
        <v>20</v>
      </c>
      <c r="J405">
        <v>2.8499999999999996</v>
      </c>
      <c r="K405">
        <v>46239</v>
      </c>
      <c r="L405" t="s">
        <v>175</v>
      </c>
      <c r="M405">
        <v>3.7508650519031144</v>
      </c>
      <c r="N405">
        <v>0.89680233283827326</v>
      </c>
      <c r="O405">
        <v>0.89680233283827326</v>
      </c>
      <c r="P405">
        <v>1.18027527323097</v>
      </c>
      <c r="Q405">
        <v>0.18027527323097003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0.10319766716172674</v>
      </c>
      <c r="AA405">
        <v>0</v>
      </c>
      <c r="AB405">
        <v>0</v>
      </c>
      <c r="AC405">
        <v>0</v>
      </c>
      <c r="AD405">
        <v>0</v>
      </c>
      <c r="AE405">
        <v>0.89680233283827326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1.1150729245263205</v>
      </c>
      <c r="AL405">
        <v>1.1150729245263205</v>
      </c>
      <c r="AM405">
        <v>1.3160930006677596</v>
      </c>
      <c r="AN405">
        <v>0.20102007614143913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0.11507292452632045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0.75982472324723238</v>
      </c>
      <c r="BI405">
        <v>0.75982472324723238</v>
      </c>
      <c r="BJ405">
        <v>0.84725997627869343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0.15274002372130657</v>
      </c>
      <c r="BV405">
        <v>0</v>
      </c>
      <c r="BW405">
        <v>0</v>
      </c>
      <c r="BX405">
        <v>0</v>
      </c>
      <c r="BY405">
        <v>0.75982472324723238</v>
      </c>
      <c r="BZ405">
        <v>0</v>
      </c>
      <c r="CA405">
        <v>0</v>
      </c>
      <c r="CB405">
        <v>0</v>
      </c>
      <c r="CC405">
        <v>0</v>
      </c>
      <c r="CD405">
        <v>0</v>
      </c>
    </row>
    <row r="406" spans="1:82" hidden="1" x14ac:dyDescent="0.25">
      <c r="A406" t="s">
        <v>128</v>
      </c>
      <c r="B406" t="s">
        <v>502</v>
      </c>
      <c r="C406" t="s">
        <v>72</v>
      </c>
      <c r="D406" s="12">
        <v>46239</v>
      </c>
      <c r="E406" t="s">
        <v>501</v>
      </c>
      <c r="F406" t="s">
        <v>75</v>
      </c>
      <c r="G406">
        <v>1.5982451180828126</v>
      </c>
      <c r="H406">
        <v>0</v>
      </c>
      <c r="I406">
        <v>0</v>
      </c>
      <c r="J406">
        <v>0</v>
      </c>
      <c r="K406">
        <v>46239</v>
      </c>
      <c r="L406" t="s">
        <v>175</v>
      </c>
      <c r="M406">
        <v>1.0449826989619375</v>
      </c>
      <c r="N406">
        <v>0</v>
      </c>
      <c r="O406">
        <v>0</v>
      </c>
      <c r="P406">
        <v>0.65383130981526461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0.65383130981526461</v>
      </c>
      <c r="AA406">
        <v>0.34616869018473539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H406">
        <v>0</v>
      </c>
      <c r="BI406">
        <v>0</v>
      </c>
      <c r="BJ406">
        <v>1.5294464871719633</v>
      </c>
      <c r="BK406">
        <v>0.5294464871719633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1</v>
      </c>
    </row>
    <row r="407" spans="1:82" hidden="1" x14ac:dyDescent="0.25">
      <c r="A407" t="s">
        <v>128</v>
      </c>
      <c r="B407" t="s">
        <v>372</v>
      </c>
      <c r="C407" t="s">
        <v>72</v>
      </c>
      <c r="D407" s="12">
        <v>46240</v>
      </c>
      <c r="E407" t="s">
        <v>501</v>
      </c>
      <c r="F407" t="s">
        <v>73</v>
      </c>
      <c r="G407">
        <v>3.5876164620550925</v>
      </c>
      <c r="H407">
        <v>11.4</v>
      </c>
      <c r="I407">
        <v>20</v>
      </c>
      <c r="J407">
        <v>11.4</v>
      </c>
      <c r="K407">
        <v>46240</v>
      </c>
      <c r="L407" t="s">
        <v>191</v>
      </c>
      <c r="M407">
        <v>3.7647058823529425</v>
      </c>
      <c r="N407">
        <v>3.1775971931709059</v>
      </c>
      <c r="O407">
        <v>3.1775971931709059</v>
      </c>
      <c r="P407">
        <v>1.0493613021823431</v>
      </c>
      <c r="Q407">
        <v>0</v>
      </c>
      <c r="R407">
        <v>0</v>
      </c>
      <c r="S407">
        <v>1.9275971931709059</v>
      </c>
      <c r="T407">
        <v>0</v>
      </c>
      <c r="U407">
        <v>0</v>
      </c>
      <c r="V407">
        <v>0</v>
      </c>
      <c r="W407">
        <v>4.9361302182343136E-2</v>
      </c>
      <c r="X407">
        <v>0</v>
      </c>
      <c r="Y407">
        <v>0.20063869781765686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0.31470319842588534</v>
      </c>
      <c r="AL407">
        <v>0.31470319842588534</v>
      </c>
      <c r="AM407">
        <v>0.33023735810113536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0.6697626418988647</v>
      </c>
      <c r="AY407">
        <v>0</v>
      </c>
      <c r="AZ407">
        <v>0</v>
      </c>
      <c r="BA407">
        <v>0</v>
      </c>
      <c r="BB407">
        <v>0.31470319842588534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3.0281249999999984</v>
      </c>
      <c r="BI407">
        <v>3.0281249999999984</v>
      </c>
      <c r="BJ407">
        <v>0.95296062273338367</v>
      </c>
      <c r="CA407">
        <v>0</v>
      </c>
      <c r="CB407">
        <v>0</v>
      </c>
      <c r="CC407">
        <v>0</v>
      </c>
    </row>
    <row r="408" spans="1:82" hidden="1" x14ac:dyDescent="0.25">
      <c r="A408" t="s">
        <v>128</v>
      </c>
      <c r="B408" t="s">
        <v>502</v>
      </c>
      <c r="C408" t="s">
        <v>72</v>
      </c>
      <c r="D408" s="12">
        <v>46240</v>
      </c>
      <c r="E408" t="s">
        <v>501</v>
      </c>
      <c r="F408" t="s">
        <v>73</v>
      </c>
      <c r="G408">
        <v>1.8624711255077939</v>
      </c>
      <c r="H408">
        <v>0</v>
      </c>
      <c r="I408">
        <v>0</v>
      </c>
      <c r="J408">
        <v>0</v>
      </c>
      <c r="K408">
        <v>46240</v>
      </c>
      <c r="L408" t="s">
        <v>191</v>
      </c>
      <c r="M408">
        <v>0.88235294117647045</v>
      </c>
      <c r="N408">
        <v>0</v>
      </c>
      <c r="O408">
        <v>0</v>
      </c>
      <c r="P408">
        <v>0.47375389024401715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0.47375389024401715</v>
      </c>
      <c r="AA408">
        <v>0.52624610975598285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H408">
        <v>0</v>
      </c>
      <c r="BI408">
        <v>0</v>
      </c>
      <c r="BJ408">
        <v>2.1108006089088334</v>
      </c>
      <c r="BK408">
        <v>1.1108006089088334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 hidden="1" x14ac:dyDescent="0.25">
      <c r="A409" t="s">
        <v>128</v>
      </c>
      <c r="B409" t="s">
        <v>503</v>
      </c>
      <c r="C409" t="s">
        <v>72</v>
      </c>
      <c r="D409" s="12">
        <v>46240</v>
      </c>
      <c r="E409" t="s">
        <v>501</v>
      </c>
      <c r="F409" t="s">
        <v>73</v>
      </c>
      <c r="G409">
        <v>2.8594908838071702</v>
      </c>
      <c r="H409">
        <v>0</v>
      </c>
      <c r="I409">
        <v>0</v>
      </c>
      <c r="J409">
        <v>0</v>
      </c>
      <c r="K409">
        <v>46240</v>
      </c>
      <c r="L409" t="s">
        <v>191</v>
      </c>
      <c r="M409">
        <v>1.6524767801857585</v>
      </c>
      <c r="N409">
        <v>0</v>
      </c>
      <c r="O409">
        <v>0</v>
      </c>
      <c r="P409">
        <v>0.57789195606234123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0.57789195606234123</v>
      </c>
      <c r="AA409">
        <v>0.42210804393765877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H409">
        <v>0</v>
      </c>
      <c r="BI409">
        <v>0</v>
      </c>
      <c r="BJ409">
        <v>1.7304272702008729</v>
      </c>
      <c r="BK409">
        <v>0.73042727020087295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1</v>
      </c>
    </row>
    <row r="410" spans="1:82" hidden="1" x14ac:dyDescent="0.25">
      <c r="A410" t="s">
        <v>128</v>
      </c>
      <c r="B410" t="s">
        <v>372</v>
      </c>
      <c r="C410" t="s">
        <v>72</v>
      </c>
      <c r="D410" s="12">
        <v>46240</v>
      </c>
      <c r="E410" t="s">
        <v>501</v>
      </c>
      <c r="F410" t="s">
        <v>74</v>
      </c>
      <c r="G410">
        <v>0</v>
      </c>
      <c r="H410">
        <v>0</v>
      </c>
      <c r="I410">
        <v>20</v>
      </c>
      <c r="J410">
        <v>0</v>
      </c>
      <c r="K410">
        <v>46240</v>
      </c>
      <c r="L410" t="s">
        <v>192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D410">
        <v>0</v>
      </c>
    </row>
    <row r="411" spans="1:82" hidden="1" x14ac:dyDescent="0.25">
      <c r="A411" t="s">
        <v>128</v>
      </c>
      <c r="B411" t="s">
        <v>502</v>
      </c>
      <c r="C411" t="s">
        <v>72</v>
      </c>
      <c r="D411" s="12">
        <v>46240</v>
      </c>
      <c r="E411" t="s">
        <v>501</v>
      </c>
      <c r="F411" t="s">
        <v>74</v>
      </c>
      <c r="G411">
        <v>0</v>
      </c>
      <c r="H411">
        <v>0</v>
      </c>
      <c r="I411">
        <v>0</v>
      </c>
      <c r="J411">
        <v>0</v>
      </c>
      <c r="K411">
        <v>46240</v>
      </c>
      <c r="L411" t="s">
        <v>192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D411">
        <v>0</v>
      </c>
    </row>
    <row r="412" spans="1:82" hidden="1" x14ac:dyDescent="0.25">
      <c r="A412" t="s">
        <v>128</v>
      </c>
      <c r="B412" t="s">
        <v>503</v>
      </c>
      <c r="C412" t="s">
        <v>72</v>
      </c>
      <c r="D412" s="12">
        <v>46240</v>
      </c>
      <c r="E412" t="s">
        <v>501</v>
      </c>
      <c r="F412" t="s">
        <v>74</v>
      </c>
      <c r="G412">
        <v>0</v>
      </c>
      <c r="H412">
        <v>0</v>
      </c>
      <c r="I412">
        <v>0</v>
      </c>
      <c r="J412">
        <v>0</v>
      </c>
      <c r="K412">
        <v>46240</v>
      </c>
      <c r="L412" t="s">
        <v>192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D412">
        <v>0</v>
      </c>
    </row>
    <row r="413" spans="1:82" hidden="1" x14ac:dyDescent="0.25">
      <c r="A413" t="s">
        <v>128</v>
      </c>
      <c r="B413" t="s">
        <v>372</v>
      </c>
      <c r="C413" t="s">
        <v>72</v>
      </c>
      <c r="D413" s="12">
        <v>46240</v>
      </c>
      <c r="E413" t="s">
        <v>501</v>
      </c>
      <c r="F413" t="s">
        <v>75</v>
      </c>
      <c r="G413">
        <v>3.1779578349000128</v>
      </c>
      <c r="H413">
        <v>2.8499999999999996</v>
      </c>
      <c r="I413">
        <v>20</v>
      </c>
      <c r="J413">
        <v>2.8499999999999996</v>
      </c>
      <c r="K413">
        <v>46240</v>
      </c>
      <c r="L413" t="s">
        <v>210</v>
      </c>
      <c r="M413">
        <v>3.7508650519031144</v>
      </c>
      <c r="N413">
        <v>0.89680233283827326</v>
      </c>
      <c r="O413">
        <v>0.89680233283827326</v>
      </c>
      <c r="P413">
        <v>1.18027527323097</v>
      </c>
      <c r="Q413">
        <v>0.18027527323097003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0.10319766716172674</v>
      </c>
      <c r="AA413">
        <v>0</v>
      </c>
      <c r="AB413">
        <v>0</v>
      </c>
      <c r="AC413">
        <v>0</v>
      </c>
      <c r="AD413">
        <v>0</v>
      </c>
      <c r="AE413">
        <v>0.89680233283827326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1.1150729245263205</v>
      </c>
      <c r="AL413">
        <v>1.1150729245263205</v>
      </c>
      <c r="AM413">
        <v>1.3160930006677596</v>
      </c>
      <c r="AN413">
        <v>0.20102007614143913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0.11507292452632045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0.75982472324723238</v>
      </c>
      <c r="BI413">
        <v>0.75982472324723238</v>
      </c>
      <c r="BJ413">
        <v>0.84725997627869343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0.15274002372130657</v>
      </c>
      <c r="BV413">
        <v>0</v>
      </c>
      <c r="BW413">
        <v>0</v>
      </c>
      <c r="BX413">
        <v>0</v>
      </c>
      <c r="BY413">
        <v>0.75982472324723238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 hidden="1" x14ac:dyDescent="0.25">
      <c r="A414" t="s">
        <v>128</v>
      </c>
      <c r="B414" t="s">
        <v>502</v>
      </c>
      <c r="C414" t="s">
        <v>72</v>
      </c>
      <c r="D414" s="12">
        <v>46240</v>
      </c>
      <c r="E414" t="s">
        <v>501</v>
      </c>
      <c r="F414" t="s">
        <v>75</v>
      </c>
      <c r="G414">
        <v>1.4435762356877015</v>
      </c>
      <c r="H414">
        <v>0</v>
      </c>
      <c r="I414">
        <v>0</v>
      </c>
      <c r="J414">
        <v>0</v>
      </c>
      <c r="K414">
        <v>46240</v>
      </c>
      <c r="L414" t="s">
        <v>210</v>
      </c>
      <c r="M414">
        <v>0.11072664359861592</v>
      </c>
      <c r="N414">
        <v>0</v>
      </c>
      <c r="O414">
        <v>0</v>
      </c>
      <c r="P414">
        <v>7.6703010801412327E-2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7.6703010801412327E-2</v>
      </c>
      <c r="AA414">
        <v>0.92329698919858771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H414">
        <v>0</v>
      </c>
      <c r="BI414">
        <v>0</v>
      </c>
      <c r="BJ414">
        <v>13.037297878554554</v>
      </c>
      <c r="BK414">
        <v>12.037297878554554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 hidden="1" x14ac:dyDescent="0.25">
      <c r="A415" t="s">
        <v>128</v>
      </c>
      <c r="B415" t="s">
        <v>503</v>
      </c>
      <c r="C415" t="s">
        <v>72</v>
      </c>
      <c r="D415" s="12">
        <v>46240</v>
      </c>
      <c r="E415" t="s">
        <v>501</v>
      </c>
      <c r="F415" t="s">
        <v>75</v>
      </c>
      <c r="G415">
        <v>0</v>
      </c>
      <c r="H415">
        <v>0</v>
      </c>
      <c r="I415">
        <v>0</v>
      </c>
      <c r="J415">
        <v>0</v>
      </c>
      <c r="K415">
        <v>46240</v>
      </c>
      <c r="L415" t="s">
        <v>210</v>
      </c>
      <c r="M415">
        <v>0.44472773629575663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D415">
        <v>0</v>
      </c>
    </row>
    <row r="416" spans="1:82" hidden="1" x14ac:dyDescent="0.25">
      <c r="A416" t="s">
        <v>128</v>
      </c>
      <c r="B416" t="s">
        <v>372</v>
      </c>
      <c r="C416" t="s">
        <v>72</v>
      </c>
      <c r="D416" s="12">
        <v>46241</v>
      </c>
      <c r="E416" t="s">
        <v>501</v>
      </c>
      <c r="F416" t="s">
        <v>73</v>
      </c>
      <c r="G416">
        <v>3.587616462055093</v>
      </c>
      <c r="H416">
        <v>8.5499999999999989</v>
      </c>
      <c r="I416">
        <v>20</v>
      </c>
      <c r="J416">
        <v>8.5499999999999989</v>
      </c>
      <c r="K416">
        <v>46241</v>
      </c>
      <c r="L416" t="s">
        <v>209</v>
      </c>
      <c r="M416">
        <v>3.7647058823529398</v>
      </c>
      <c r="N416">
        <v>2.3831978948781791</v>
      </c>
      <c r="O416">
        <v>2.3831978948781791</v>
      </c>
      <c r="P416">
        <v>1.0493613021823422</v>
      </c>
      <c r="Q416">
        <v>0</v>
      </c>
      <c r="R416">
        <v>0</v>
      </c>
      <c r="S416">
        <v>1.1331978948781791</v>
      </c>
      <c r="T416">
        <v>0</v>
      </c>
      <c r="U416">
        <v>0</v>
      </c>
      <c r="V416">
        <v>0</v>
      </c>
      <c r="W416">
        <v>4.9361302182342248E-2</v>
      </c>
      <c r="X416">
        <v>0</v>
      </c>
      <c r="Y416">
        <v>0.20063869781765775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0.41960426456784716</v>
      </c>
      <c r="AL416">
        <v>0.41960426456784716</v>
      </c>
      <c r="AM416">
        <v>0.44031647746818015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0.55968352253181985</v>
      </c>
      <c r="AY416">
        <v>0</v>
      </c>
      <c r="AZ416">
        <v>0</v>
      </c>
      <c r="BA416">
        <v>0</v>
      </c>
      <c r="BB416">
        <v>0.41960426456784716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2.2710937500000004</v>
      </c>
      <c r="BI416">
        <v>2.2710937500000004</v>
      </c>
      <c r="BJ416">
        <v>0.95296062273338444</v>
      </c>
      <c r="CA416">
        <v>0</v>
      </c>
      <c r="CB416">
        <v>0</v>
      </c>
      <c r="CC416">
        <v>0</v>
      </c>
    </row>
    <row r="417" spans="1:82" hidden="1" x14ac:dyDescent="0.25">
      <c r="A417" t="s">
        <v>128</v>
      </c>
      <c r="B417" t="s">
        <v>503</v>
      </c>
      <c r="C417" t="s">
        <v>72</v>
      </c>
      <c r="D417" s="12">
        <v>46241</v>
      </c>
      <c r="E417" t="s">
        <v>501</v>
      </c>
      <c r="F417" t="s">
        <v>73</v>
      </c>
      <c r="G417">
        <v>1.906327255871447</v>
      </c>
      <c r="H417">
        <v>0</v>
      </c>
      <c r="I417">
        <v>0</v>
      </c>
      <c r="J417">
        <v>0</v>
      </c>
      <c r="K417">
        <v>46241</v>
      </c>
      <c r="L417" t="s">
        <v>209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 hidden="1" x14ac:dyDescent="0.25">
      <c r="A418" t="s">
        <v>128</v>
      </c>
      <c r="B418" t="s">
        <v>502</v>
      </c>
      <c r="C418" t="s">
        <v>72</v>
      </c>
      <c r="D418" s="12">
        <v>46241</v>
      </c>
      <c r="E418" t="s">
        <v>501</v>
      </c>
      <c r="F418" t="s">
        <v>73</v>
      </c>
      <c r="G418">
        <v>1.8624711255077937</v>
      </c>
      <c r="H418">
        <v>0</v>
      </c>
      <c r="I418">
        <v>0</v>
      </c>
      <c r="J418">
        <v>0</v>
      </c>
      <c r="K418">
        <v>46241</v>
      </c>
      <c r="L418" t="s">
        <v>209</v>
      </c>
      <c r="M418">
        <v>0.88235294117647045</v>
      </c>
      <c r="N418">
        <v>0</v>
      </c>
      <c r="O418">
        <v>0</v>
      </c>
      <c r="P418">
        <v>0.47375389024401721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0.47375389024401721</v>
      </c>
      <c r="AA418">
        <v>0.52624610975598274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H418">
        <v>0</v>
      </c>
      <c r="BI418">
        <v>0</v>
      </c>
      <c r="BJ418">
        <v>2.1108006089088334</v>
      </c>
      <c r="BK418">
        <v>1.1108006089088334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 hidden="1" x14ac:dyDescent="0.25">
      <c r="A419" t="s">
        <v>128</v>
      </c>
      <c r="B419" t="s">
        <v>503</v>
      </c>
      <c r="C419" t="s">
        <v>72</v>
      </c>
      <c r="D419" s="12">
        <v>46241</v>
      </c>
      <c r="E419" t="s">
        <v>501</v>
      </c>
      <c r="F419" t="s">
        <v>74</v>
      </c>
      <c r="G419">
        <v>0</v>
      </c>
      <c r="H419">
        <v>0</v>
      </c>
      <c r="I419">
        <v>0</v>
      </c>
      <c r="J419">
        <v>0</v>
      </c>
      <c r="K419">
        <v>46241</v>
      </c>
      <c r="L419" t="s">
        <v>208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D419">
        <v>0</v>
      </c>
    </row>
    <row r="420" spans="1:82" hidden="1" x14ac:dyDescent="0.25">
      <c r="A420" t="s">
        <v>128</v>
      </c>
      <c r="B420" t="s">
        <v>502</v>
      </c>
      <c r="C420" t="s">
        <v>72</v>
      </c>
      <c r="D420" s="12">
        <v>46241</v>
      </c>
      <c r="E420" t="s">
        <v>501</v>
      </c>
      <c r="F420" t="s">
        <v>74</v>
      </c>
      <c r="G420">
        <v>0</v>
      </c>
      <c r="H420">
        <v>0</v>
      </c>
      <c r="I420">
        <v>0</v>
      </c>
      <c r="J420">
        <v>0</v>
      </c>
      <c r="K420">
        <v>46241</v>
      </c>
      <c r="L420" t="s">
        <v>208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D420">
        <v>0</v>
      </c>
    </row>
    <row r="421" spans="1:82" hidden="1" x14ac:dyDescent="0.25">
      <c r="A421" t="s">
        <v>128</v>
      </c>
      <c r="B421" t="s">
        <v>372</v>
      </c>
      <c r="C421" t="s">
        <v>72</v>
      </c>
      <c r="D421" s="12">
        <v>46241</v>
      </c>
      <c r="E421" t="s">
        <v>501</v>
      </c>
      <c r="F421" t="s">
        <v>74</v>
      </c>
      <c r="G421">
        <v>0</v>
      </c>
      <c r="H421">
        <v>0</v>
      </c>
      <c r="I421">
        <v>20</v>
      </c>
      <c r="J421">
        <v>0</v>
      </c>
      <c r="K421">
        <v>46241</v>
      </c>
      <c r="L421" t="s">
        <v>208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D421">
        <v>0</v>
      </c>
    </row>
    <row r="422" spans="1:82" hidden="1" x14ac:dyDescent="0.25">
      <c r="A422" t="s">
        <v>128</v>
      </c>
      <c r="B422" t="s">
        <v>502</v>
      </c>
      <c r="C422" t="s">
        <v>72</v>
      </c>
      <c r="D422" s="12">
        <v>46241</v>
      </c>
      <c r="E422" t="s">
        <v>501</v>
      </c>
      <c r="F422" t="s">
        <v>75</v>
      </c>
      <c r="G422">
        <v>1.4435762356877015</v>
      </c>
      <c r="H422">
        <v>0</v>
      </c>
      <c r="I422">
        <v>0</v>
      </c>
      <c r="J422">
        <v>0</v>
      </c>
      <c r="K422">
        <v>46241</v>
      </c>
      <c r="L422" t="s">
        <v>207</v>
      </c>
      <c r="M422">
        <v>0.11072664359861592</v>
      </c>
      <c r="N422">
        <v>0</v>
      </c>
      <c r="O422">
        <v>0</v>
      </c>
      <c r="P422">
        <v>7.6703010801412327E-2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7.6703010801412327E-2</v>
      </c>
      <c r="AA422">
        <v>0.92329698919858771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H422">
        <v>0</v>
      </c>
      <c r="BI422">
        <v>0</v>
      </c>
      <c r="BJ422">
        <v>13.037297878554554</v>
      </c>
      <c r="BK422">
        <v>12.037297878554554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</row>
    <row r="423" spans="1:82" hidden="1" x14ac:dyDescent="0.25">
      <c r="A423" t="s">
        <v>128</v>
      </c>
      <c r="B423" t="s">
        <v>503</v>
      </c>
      <c r="C423" t="s">
        <v>72</v>
      </c>
      <c r="D423" s="12">
        <v>46241</v>
      </c>
      <c r="E423" t="s">
        <v>501</v>
      </c>
      <c r="F423" t="s">
        <v>75</v>
      </c>
      <c r="G423">
        <v>0</v>
      </c>
      <c r="H423">
        <v>0</v>
      </c>
      <c r="I423">
        <v>0</v>
      </c>
      <c r="J423">
        <v>0</v>
      </c>
      <c r="K423">
        <v>46241</v>
      </c>
      <c r="L423" t="s">
        <v>207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D423">
        <v>0</v>
      </c>
    </row>
    <row r="424" spans="1:82" hidden="1" x14ac:dyDescent="0.25">
      <c r="A424" t="s">
        <v>128</v>
      </c>
      <c r="B424" t="s">
        <v>372</v>
      </c>
      <c r="C424" t="s">
        <v>72</v>
      </c>
      <c r="D424" s="12">
        <v>46241</v>
      </c>
      <c r="E424" t="s">
        <v>501</v>
      </c>
      <c r="F424" t="s">
        <v>75</v>
      </c>
      <c r="G424">
        <v>3.1779578349000133</v>
      </c>
      <c r="H424">
        <v>2.8499999999999996</v>
      </c>
      <c r="I424">
        <v>20</v>
      </c>
      <c r="J424">
        <v>2.8499999999999996</v>
      </c>
      <c r="K424">
        <v>46241</v>
      </c>
      <c r="L424" t="s">
        <v>207</v>
      </c>
      <c r="M424">
        <v>3.7508650519031144</v>
      </c>
      <c r="N424">
        <v>0.89680233283827315</v>
      </c>
      <c r="O424">
        <v>0.89680233283827315</v>
      </c>
      <c r="P424">
        <v>1.1802752732309698</v>
      </c>
      <c r="Q424">
        <v>0.18027527323096981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0.10319766716172685</v>
      </c>
      <c r="AA424">
        <v>0</v>
      </c>
      <c r="AB424">
        <v>0</v>
      </c>
      <c r="AC424">
        <v>0</v>
      </c>
      <c r="AD424">
        <v>0</v>
      </c>
      <c r="AE424">
        <v>0.89680233283827315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1.1150729245263207</v>
      </c>
      <c r="AL424">
        <v>1.1150729245263207</v>
      </c>
      <c r="AM424">
        <v>1.3160930006677596</v>
      </c>
      <c r="AN424">
        <v>0.20102007614143891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0.11507292452632067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0.75982472324723238</v>
      </c>
      <c r="BI424">
        <v>0.75982472324723238</v>
      </c>
      <c r="BJ424">
        <v>0.84725997627869354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0.15274002372130646</v>
      </c>
      <c r="BV424">
        <v>0</v>
      </c>
      <c r="BW424">
        <v>0</v>
      </c>
      <c r="BX424">
        <v>0</v>
      </c>
      <c r="BY424">
        <v>0.75982472324723238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 hidden="1" x14ac:dyDescent="0.25">
      <c r="A425" t="s">
        <v>128</v>
      </c>
      <c r="B425" t="s">
        <v>372</v>
      </c>
      <c r="C425" t="s">
        <v>72</v>
      </c>
      <c r="D425" s="12">
        <v>46242</v>
      </c>
      <c r="E425" t="s">
        <v>501</v>
      </c>
      <c r="F425" t="s">
        <v>73</v>
      </c>
      <c r="G425">
        <v>3.5876164620550925</v>
      </c>
      <c r="H425">
        <v>8.5499999999999989</v>
      </c>
      <c r="I425">
        <v>20</v>
      </c>
      <c r="J425">
        <v>8.5499999999999989</v>
      </c>
      <c r="K425">
        <v>46242</v>
      </c>
      <c r="L425" t="s">
        <v>206</v>
      </c>
      <c r="M425">
        <v>3.764705882352942</v>
      </c>
      <c r="N425">
        <v>2.3831978948781796</v>
      </c>
      <c r="O425">
        <v>2.3831978948781796</v>
      </c>
      <c r="P425">
        <v>1.0493613021823429</v>
      </c>
      <c r="Q425">
        <v>0</v>
      </c>
      <c r="R425">
        <v>0</v>
      </c>
      <c r="S425">
        <v>1.1331978948781796</v>
      </c>
      <c r="T425">
        <v>0</v>
      </c>
      <c r="U425">
        <v>0</v>
      </c>
      <c r="V425">
        <v>0</v>
      </c>
      <c r="W425">
        <v>4.9361302182342914E-2</v>
      </c>
      <c r="X425">
        <v>0</v>
      </c>
      <c r="Y425">
        <v>0.20063869781765709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0.41960426456784711</v>
      </c>
      <c r="AL425">
        <v>0.41960426456784711</v>
      </c>
      <c r="AM425">
        <v>0.44031647746818042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0.55968352253181952</v>
      </c>
      <c r="AY425">
        <v>0</v>
      </c>
      <c r="AZ425">
        <v>0</v>
      </c>
      <c r="BA425">
        <v>0</v>
      </c>
      <c r="BB425">
        <v>0.41960426456784711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2.271093749999999</v>
      </c>
      <c r="BI425">
        <v>2.271093749999999</v>
      </c>
      <c r="BJ425">
        <v>0.95296062273338378</v>
      </c>
      <c r="CA425">
        <v>0</v>
      </c>
      <c r="CB425">
        <v>0</v>
      </c>
      <c r="CC425">
        <v>0</v>
      </c>
    </row>
    <row r="426" spans="1:82" hidden="1" x14ac:dyDescent="0.25">
      <c r="A426" t="s">
        <v>128</v>
      </c>
      <c r="B426" t="s">
        <v>502</v>
      </c>
      <c r="C426" t="s">
        <v>72</v>
      </c>
      <c r="D426" s="12">
        <v>46242</v>
      </c>
      <c r="E426" t="s">
        <v>501</v>
      </c>
      <c r="F426" t="s">
        <v>73</v>
      </c>
      <c r="G426">
        <v>1.8624711255077939</v>
      </c>
      <c r="H426">
        <v>0</v>
      </c>
      <c r="I426">
        <v>0</v>
      </c>
      <c r="J426">
        <v>0</v>
      </c>
      <c r="K426">
        <v>46242</v>
      </c>
      <c r="L426" t="s">
        <v>206</v>
      </c>
      <c r="M426">
        <v>0.88235294117647056</v>
      </c>
      <c r="N426">
        <v>0</v>
      </c>
      <c r="O426">
        <v>0</v>
      </c>
      <c r="P426">
        <v>0.47375389024401721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0.47375389024401721</v>
      </c>
      <c r="AA426">
        <v>0.52624610975598274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H426">
        <v>0</v>
      </c>
      <c r="BI426">
        <v>0</v>
      </c>
      <c r="BJ426">
        <v>2.1108006089088334</v>
      </c>
      <c r="BK426">
        <v>1.1108006089088334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 hidden="1" x14ac:dyDescent="0.25">
      <c r="A427" t="s">
        <v>128</v>
      </c>
      <c r="B427" t="s">
        <v>503</v>
      </c>
      <c r="C427" t="s">
        <v>72</v>
      </c>
      <c r="D427" s="12">
        <v>46242</v>
      </c>
      <c r="E427" t="s">
        <v>501</v>
      </c>
      <c r="F427" t="s">
        <v>73</v>
      </c>
      <c r="G427">
        <v>0.95316362793572351</v>
      </c>
      <c r="H427">
        <v>0</v>
      </c>
      <c r="I427">
        <v>0</v>
      </c>
      <c r="J427">
        <v>0</v>
      </c>
      <c r="K427">
        <v>46242</v>
      </c>
      <c r="L427" t="s">
        <v>206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 hidden="1" x14ac:dyDescent="0.25">
      <c r="A428" t="s">
        <v>128</v>
      </c>
      <c r="B428" t="s">
        <v>372</v>
      </c>
      <c r="C428" t="s">
        <v>72</v>
      </c>
      <c r="D428" s="12">
        <v>46242</v>
      </c>
      <c r="E428" t="s">
        <v>501</v>
      </c>
      <c r="F428" t="s">
        <v>74</v>
      </c>
      <c r="G428">
        <v>0</v>
      </c>
      <c r="H428">
        <v>0</v>
      </c>
      <c r="I428">
        <v>20</v>
      </c>
      <c r="J428">
        <v>0</v>
      </c>
      <c r="K428">
        <v>46242</v>
      </c>
      <c r="L428" t="s">
        <v>205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D428">
        <v>0</v>
      </c>
    </row>
    <row r="429" spans="1:82" hidden="1" x14ac:dyDescent="0.25">
      <c r="A429" t="s">
        <v>128</v>
      </c>
      <c r="B429" t="s">
        <v>502</v>
      </c>
      <c r="C429" t="s">
        <v>72</v>
      </c>
      <c r="D429" s="12">
        <v>46242</v>
      </c>
      <c r="E429" t="s">
        <v>501</v>
      </c>
      <c r="F429" t="s">
        <v>74</v>
      </c>
      <c r="G429">
        <v>0</v>
      </c>
      <c r="H429">
        <v>0</v>
      </c>
      <c r="I429">
        <v>0</v>
      </c>
      <c r="J429">
        <v>0</v>
      </c>
      <c r="K429">
        <v>46242</v>
      </c>
      <c r="L429" t="s">
        <v>205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D429">
        <v>0</v>
      </c>
    </row>
    <row r="430" spans="1:82" hidden="1" x14ac:dyDescent="0.25">
      <c r="A430" t="s">
        <v>128</v>
      </c>
      <c r="B430" t="s">
        <v>503</v>
      </c>
      <c r="C430" t="s">
        <v>72</v>
      </c>
      <c r="D430" s="12">
        <v>46242</v>
      </c>
      <c r="E430" t="s">
        <v>501</v>
      </c>
      <c r="F430" t="s">
        <v>74</v>
      </c>
      <c r="G430">
        <v>0</v>
      </c>
      <c r="H430">
        <v>0</v>
      </c>
      <c r="I430">
        <v>0</v>
      </c>
      <c r="J430">
        <v>0</v>
      </c>
      <c r="K430">
        <v>46242</v>
      </c>
      <c r="L430" t="s">
        <v>205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D430">
        <v>0</v>
      </c>
    </row>
    <row r="431" spans="1:82" hidden="1" x14ac:dyDescent="0.25">
      <c r="A431" t="s">
        <v>128</v>
      </c>
      <c r="B431" t="s">
        <v>372</v>
      </c>
      <c r="C431" t="s">
        <v>72</v>
      </c>
      <c r="D431" s="12">
        <v>46242</v>
      </c>
      <c r="E431" t="s">
        <v>501</v>
      </c>
      <c r="F431" t="s">
        <v>75</v>
      </c>
      <c r="G431">
        <v>3.1779578349000133</v>
      </c>
      <c r="H431">
        <v>2.8499999999999996</v>
      </c>
      <c r="I431">
        <v>20</v>
      </c>
      <c r="J431">
        <v>2.8499999999999996</v>
      </c>
      <c r="K431">
        <v>46242</v>
      </c>
      <c r="L431" t="s">
        <v>204</v>
      </c>
      <c r="M431">
        <v>3.7508650519031144</v>
      </c>
      <c r="N431">
        <v>0.89680233283827315</v>
      </c>
      <c r="O431">
        <v>0.89680233283827315</v>
      </c>
      <c r="P431">
        <v>1.1802752732309698</v>
      </c>
      <c r="Q431">
        <v>0.18027527323096981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0.10319766716172685</v>
      </c>
      <c r="AA431">
        <v>0</v>
      </c>
      <c r="AB431">
        <v>0</v>
      </c>
      <c r="AC431">
        <v>0</v>
      </c>
      <c r="AD431">
        <v>0</v>
      </c>
      <c r="AE431">
        <v>0.89680233283827315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1.1150729245263207</v>
      </c>
      <c r="AL431">
        <v>1.1150729245263207</v>
      </c>
      <c r="AM431">
        <v>1.3160930006677596</v>
      </c>
      <c r="AN431">
        <v>0.20102007614143891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0.11507292452632067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0.75982472324723238</v>
      </c>
      <c r="BI431">
        <v>0.75982472324723238</v>
      </c>
      <c r="BJ431">
        <v>0.84725997627869354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0.15274002372130646</v>
      </c>
      <c r="BV431">
        <v>0</v>
      </c>
      <c r="BW431">
        <v>0</v>
      </c>
      <c r="BX431">
        <v>0</v>
      </c>
      <c r="BY431">
        <v>0.75982472324723238</v>
      </c>
      <c r="BZ431">
        <v>0</v>
      </c>
      <c r="CA431">
        <v>0</v>
      </c>
      <c r="CB431">
        <v>0</v>
      </c>
      <c r="CC431">
        <v>0</v>
      </c>
      <c r="CD431">
        <v>0</v>
      </c>
    </row>
    <row r="432" spans="1:82" hidden="1" x14ac:dyDescent="0.25">
      <c r="A432" t="s">
        <v>128</v>
      </c>
      <c r="B432" t="s">
        <v>502</v>
      </c>
      <c r="C432" t="s">
        <v>72</v>
      </c>
      <c r="D432" s="12">
        <v>46242</v>
      </c>
      <c r="E432" t="s">
        <v>501</v>
      </c>
      <c r="F432" t="s">
        <v>75</v>
      </c>
      <c r="G432">
        <v>1.4435762356877015</v>
      </c>
      <c r="H432">
        <v>0</v>
      </c>
      <c r="I432">
        <v>0</v>
      </c>
      <c r="J432">
        <v>0</v>
      </c>
      <c r="K432">
        <v>46242</v>
      </c>
      <c r="L432" t="s">
        <v>204</v>
      </c>
      <c r="M432">
        <v>0.93425605536332179</v>
      </c>
      <c r="N432">
        <v>0</v>
      </c>
      <c r="O432">
        <v>0</v>
      </c>
      <c r="P432">
        <v>0.64718165363691649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0.64718165363691649</v>
      </c>
      <c r="AA432">
        <v>0.35281834636308351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1.5451612300509101</v>
      </c>
      <c r="BK432">
        <v>0.54516123005091011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 hidden="1" x14ac:dyDescent="0.25">
      <c r="A433" t="s">
        <v>128</v>
      </c>
      <c r="B433" t="s">
        <v>503</v>
      </c>
      <c r="C433" t="s">
        <v>72</v>
      </c>
      <c r="D433" s="12">
        <v>46242</v>
      </c>
      <c r="E433" t="s">
        <v>501</v>
      </c>
      <c r="F433" t="s">
        <v>75</v>
      </c>
      <c r="G433">
        <v>0</v>
      </c>
      <c r="H433">
        <v>0</v>
      </c>
      <c r="I433">
        <v>0</v>
      </c>
      <c r="J433">
        <v>0</v>
      </c>
      <c r="K433">
        <v>46242</v>
      </c>
      <c r="L433" t="s">
        <v>204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D433">
        <v>0</v>
      </c>
    </row>
    <row r="434" spans="1:82" hidden="1" x14ac:dyDescent="0.25">
      <c r="A434" t="s">
        <v>128</v>
      </c>
      <c r="B434" t="s">
        <v>502</v>
      </c>
      <c r="C434" t="s">
        <v>72</v>
      </c>
      <c r="D434" s="12">
        <v>46243</v>
      </c>
      <c r="E434" t="s">
        <v>501</v>
      </c>
      <c r="F434" t="s">
        <v>73</v>
      </c>
      <c r="G434">
        <v>1.8624711255077939</v>
      </c>
      <c r="H434">
        <v>0</v>
      </c>
      <c r="I434">
        <v>0</v>
      </c>
      <c r="J434">
        <v>0</v>
      </c>
      <c r="K434">
        <v>46243</v>
      </c>
      <c r="L434" t="s">
        <v>203</v>
      </c>
      <c r="M434">
        <v>0.88235294117647045</v>
      </c>
      <c r="N434">
        <v>0</v>
      </c>
      <c r="O434">
        <v>0</v>
      </c>
      <c r="P434">
        <v>0.47375389024401715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0.47375389024401715</v>
      </c>
      <c r="AA434">
        <v>0.52624610975598285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0</v>
      </c>
      <c r="BJ434">
        <v>2.1108006089088334</v>
      </c>
      <c r="BK434">
        <v>1.1108006089088334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 hidden="1" x14ac:dyDescent="0.25">
      <c r="A435" t="s">
        <v>128</v>
      </c>
      <c r="B435" t="s">
        <v>372</v>
      </c>
      <c r="C435" t="s">
        <v>72</v>
      </c>
      <c r="D435" s="12">
        <v>46243</v>
      </c>
      <c r="E435" t="s">
        <v>501</v>
      </c>
      <c r="F435" t="s">
        <v>73</v>
      </c>
      <c r="G435">
        <v>3.5876164620550925</v>
      </c>
      <c r="H435">
        <v>8.5499999999999989</v>
      </c>
      <c r="I435">
        <v>20</v>
      </c>
      <c r="J435">
        <v>8.5499999999999989</v>
      </c>
      <c r="K435">
        <v>46243</v>
      </c>
      <c r="L435" t="s">
        <v>203</v>
      </c>
      <c r="M435">
        <v>3.764705882352942</v>
      </c>
      <c r="N435">
        <v>2.3831978948781796</v>
      </c>
      <c r="O435">
        <v>2.3831978948781796</v>
      </c>
      <c r="P435">
        <v>1.0493613021823429</v>
      </c>
      <c r="Q435">
        <v>0</v>
      </c>
      <c r="R435">
        <v>0</v>
      </c>
      <c r="S435">
        <v>1.1331978948781796</v>
      </c>
      <c r="T435">
        <v>0</v>
      </c>
      <c r="U435">
        <v>0</v>
      </c>
      <c r="V435">
        <v>0</v>
      </c>
      <c r="W435">
        <v>4.9361302182342914E-2</v>
      </c>
      <c r="X435">
        <v>0</v>
      </c>
      <c r="Y435">
        <v>0.20063869781765709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0.41960426456784711</v>
      </c>
      <c r="AL435">
        <v>0.41960426456784711</v>
      </c>
      <c r="AM435">
        <v>0.44031647746818042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0.55968352253181952</v>
      </c>
      <c r="AY435">
        <v>0</v>
      </c>
      <c r="AZ435">
        <v>0</v>
      </c>
      <c r="BA435">
        <v>0</v>
      </c>
      <c r="BB435">
        <v>0.41960426456784711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2.271093749999999</v>
      </c>
      <c r="BI435">
        <v>2.271093749999999</v>
      </c>
      <c r="BJ435">
        <v>0.95296062273338378</v>
      </c>
      <c r="CA435">
        <v>0</v>
      </c>
      <c r="CB435">
        <v>0</v>
      </c>
      <c r="CC435">
        <v>0</v>
      </c>
    </row>
    <row r="436" spans="1:82" hidden="1" x14ac:dyDescent="0.25">
      <c r="A436" t="s">
        <v>128</v>
      </c>
      <c r="B436" t="s">
        <v>503</v>
      </c>
      <c r="C436" t="s">
        <v>72</v>
      </c>
      <c r="D436" s="12">
        <v>46243</v>
      </c>
      <c r="E436" t="s">
        <v>501</v>
      </c>
      <c r="F436" t="s">
        <v>73</v>
      </c>
      <c r="G436">
        <v>0.95316362793572373</v>
      </c>
      <c r="H436">
        <v>0</v>
      </c>
      <c r="I436">
        <v>0</v>
      </c>
      <c r="J436">
        <v>0</v>
      </c>
      <c r="K436">
        <v>46243</v>
      </c>
      <c r="L436" t="s">
        <v>203</v>
      </c>
      <c r="M436">
        <v>0.82352941176470595</v>
      </c>
      <c r="N436">
        <v>0</v>
      </c>
      <c r="O436">
        <v>0</v>
      </c>
      <c r="P436">
        <v>0.86399584250631978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0.86399584250631978</v>
      </c>
      <c r="AA436">
        <v>0.13600415749368022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H436">
        <v>0</v>
      </c>
      <c r="BI436">
        <v>0</v>
      </c>
      <c r="BJ436">
        <v>1.1574129767790931</v>
      </c>
      <c r="BK436">
        <v>0.15741297677909305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 hidden="1" x14ac:dyDescent="0.25">
      <c r="A437" t="s">
        <v>128</v>
      </c>
      <c r="B437" t="s">
        <v>502</v>
      </c>
      <c r="C437" t="s">
        <v>72</v>
      </c>
      <c r="D437" s="12">
        <v>46243</v>
      </c>
      <c r="E437" t="s">
        <v>501</v>
      </c>
      <c r="F437" t="s">
        <v>74</v>
      </c>
      <c r="G437">
        <v>0</v>
      </c>
      <c r="H437">
        <v>0</v>
      </c>
      <c r="I437">
        <v>0</v>
      </c>
      <c r="J437">
        <v>0</v>
      </c>
      <c r="K437">
        <v>46243</v>
      </c>
      <c r="L437" t="s">
        <v>211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D437">
        <v>0</v>
      </c>
    </row>
    <row r="438" spans="1:82" hidden="1" x14ac:dyDescent="0.25">
      <c r="A438" t="s">
        <v>128</v>
      </c>
      <c r="B438" t="s">
        <v>503</v>
      </c>
      <c r="C438" t="s">
        <v>72</v>
      </c>
      <c r="D438" s="12">
        <v>46243</v>
      </c>
      <c r="E438" t="s">
        <v>501</v>
      </c>
      <c r="F438" t="s">
        <v>74</v>
      </c>
      <c r="G438">
        <v>0</v>
      </c>
      <c r="H438">
        <v>0</v>
      </c>
      <c r="I438">
        <v>0</v>
      </c>
      <c r="J438">
        <v>0</v>
      </c>
      <c r="K438">
        <v>46243</v>
      </c>
      <c r="L438" t="s">
        <v>211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D438">
        <v>0</v>
      </c>
    </row>
    <row r="439" spans="1:82" hidden="1" x14ac:dyDescent="0.25">
      <c r="A439" t="s">
        <v>128</v>
      </c>
      <c r="B439" t="s">
        <v>372</v>
      </c>
      <c r="C439" t="s">
        <v>72</v>
      </c>
      <c r="D439" s="12">
        <v>46243</v>
      </c>
      <c r="E439" t="s">
        <v>501</v>
      </c>
      <c r="F439" t="s">
        <v>74</v>
      </c>
      <c r="G439">
        <v>0</v>
      </c>
      <c r="H439">
        <v>1.9</v>
      </c>
      <c r="I439">
        <v>20</v>
      </c>
      <c r="J439">
        <v>1.9</v>
      </c>
      <c r="K439">
        <v>46243</v>
      </c>
      <c r="L439" t="s">
        <v>211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D439">
        <v>0</v>
      </c>
    </row>
    <row r="440" spans="1:82" hidden="1" x14ac:dyDescent="0.25">
      <c r="A440" t="s">
        <v>128</v>
      </c>
      <c r="B440" t="s">
        <v>502</v>
      </c>
      <c r="C440" t="s">
        <v>72</v>
      </c>
      <c r="D440" s="12">
        <v>46243</v>
      </c>
      <c r="E440" t="s">
        <v>501</v>
      </c>
      <c r="F440" t="s">
        <v>75</v>
      </c>
      <c r="G440">
        <v>1.4435762356877015</v>
      </c>
      <c r="H440">
        <v>0</v>
      </c>
      <c r="I440">
        <v>0</v>
      </c>
      <c r="J440">
        <v>0</v>
      </c>
      <c r="K440">
        <v>46243</v>
      </c>
      <c r="L440" t="s">
        <v>202</v>
      </c>
      <c r="M440">
        <v>0.93425605536332179</v>
      </c>
      <c r="N440">
        <v>0</v>
      </c>
      <c r="O440">
        <v>0</v>
      </c>
      <c r="P440">
        <v>0.64718165363691649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0.64718165363691649</v>
      </c>
      <c r="AA440">
        <v>0.35281834636308351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H440">
        <v>0</v>
      </c>
      <c r="BI440">
        <v>0</v>
      </c>
      <c r="BJ440">
        <v>1.5451612300509101</v>
      </c>
      <c r="BK440">
        <v>0.54516123005091011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 hidden="1" x14ac:dyDescent="0.25">
      <c r="A441" t="s">
        <v>128</v>
      </c>
      <c r="B441" t="s">
        <v>372</v>
      </c>
      <c r="C441" t="s">
        <v>72</v>
      </c>
      <c r="D441" s="12">
        <v>46243</v>
      </c>
      <c r="E441" t="s">
        <v>501</v>
      </c>
      <c r="F441" t="s">
        <v>75</v>
      </c>
      <c r="G441">
        <v>3.1779578349000133</v>
      </c>
      <c r="H441">
        <v>2.8499999999999996</v>
      </c>
      <c r="I441">
        <v>20</v>
      </c>
      <c r="J441">
        <v>2.8499999999999996</v>
      </c>
      <c r="K441">
        <v>46243</v>
      </c>
      <c r="L441" t="s">
        <v>202</v>
      </c>
      <c r="M441">
        <v>3.7508650519031144</v>
      </c>
      <c r="N441">
        <v>0.89680233283827315</v>
      </c>
      <c r="O441">
        <v>0.89680233283827315</v>
      </c>
      <c r="P441">
        <v>1.1802752732309698</v>
      </c>
      <c r="Q441">
        <v>0.18027527323096981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0.10319766716172685</v>
      </c>
      <c r="AA441">
        <v>0</v>
      </c>
      <c r="AB441">
        <v>0</v>
      </c>
      <c r="AC441">
        <v>0</v>
      </c>
      <c r="AD441">
        <v>0</v>
      </c>
      <c r="AE441">
        <v>0.89680233283827315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1.1150729245263207</v>
      </c>
      <c r="AL441">
        <v>1.1150729245263207</v>
      </c>
      <c r="AM441">
        <v>1.3160930006677596</v>
      </c>
      <c r="AN441">
        <v>0.20102007614143891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0.11507292452632067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0.75982472324723238</v>
      </c>
      <c r="BI441">
        <v>0.75982472324723238</v>
      </c>
      <c r="BJ441">
        <v>0.84725997627869354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0.15274002372130646</v>
      </c>
      <c r="BV441">
        <v>0</v>
      </c>
      <c r="BW441">
        <v>0</v>
      </c>
      <c r="BX441">
        <v>0</v>
      </c>
      <c r="BY441">
        <v>0.75982472324723238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 hidden="1" x14ac:dyDescent="0.25">
      <c r="A442" t="s">
        <v>128</v>
      </c>
      <c r="B442" t="s">
        <v>503</v>
      </c>
      <c r="C442" t="s">
        <v>72</v>
      </c>
      <c r="D442" s="12">
        <v>46243</v>
      </c>
      <c r="E442" t="s">
        <v>501</v>
      </c>
      <c r="F442" t="s">
        <v>75</v>
      </c>
      <c r="G442">
        <v>0</v>
      </c>
      <c r="H442">
        <v>0</v>
      </c>
      <c r="I442">
        <v>0</v>
      </c>
      <c r="J442">
        <v>0</v>
      </c>
      <c r="K442">
        <v>46243</v>
      </c>
      <c r="L442" t="s">
        <v>202</v>
      </c>
      <c r="M442">
        <v>0.16608996539792387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D442">
        <v>0</v>
      </c>
    </row>
    <row r="443" spans="1:82" hidden="1" x14ac:dyDescent="0.25">
      <c r="A443" t="s">
        <v>128</v>
      </c>
      <c r="B443" t="s">
        <v>372</v>
      </c>
      <c r="C443" t="s">
        <v>72</v>
      </c>
      <c r="D443" s="12">
        <v>46244</v>
      </c>
      <c r="E443" t="s">
        <v>501</v>
      </c>
      <c r="F443" t="s">
        <v>73</v>
      </c>
      <c r="G443">
        <v>3.5876164620550925</v>
      </c>
      <c r="H443">
        <v>6.6499999999999995</v>
      </c>
      <c r="I443">
        <v>20</v>
      </c>
      <c r="J443">
        <v>6.6499999999999995</v>
      </c>
      <c r="K443">
        <v>46244</v>
      </c>
      <c r="L443" t="s">
        <v>200</v>
      </c>
      <c r="M443">
        <v>3.7647058823529407</v>
      </c>
      <c r="N443">
        <v>1.8535983626830286</v>
      </c>
      <c r="O443">
        <v>1.8535983626830286</v>
      </c>
      <c r="P443">
        <v>1.0493613021823425</v>
      </c>
      <c r="Q443">
        <v>0</v>
      </c>
      <c r="R443">
        <v>0</v>
      </c>
      <c r="S443">
        <v>0.60359836268302858</v>
      </c>
      <c r="T443">
        <v>0</v>
      </c>
      <c r="U443">
        <v>0</v>
      </c>
      <c r="V443">
        <v>0</v>
      </c>
      <c r="W443">
        <v>4.936130218234247E-2</v>
      </c>
      <c r="X443">
        <v>0</v>
      </c>
      <c r="Y443">
        <v>0.20063869781765753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0.53949119730151773</v>
      </c>
      <c r="AL443">
        <v>0.53949119730151773</v>
      </c>
      <c r="AM443">
        <v>0.56612118531623168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0.43387881468376832</v>
      </c>
      <c r="AY443">
        <v>0</v>
      </c>
      <c r="AZ443">
        <v>0</v>
      </c>
      <c r="BA443">
        <v>0</v>
      </c>
      <c r="BB443">
        <v>0.53949119730151773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1.7664062500000002</v>
      </c>
      <c r="BI443">
        <v>1.7664062500000002</v>
      </c>
      <c r="BJ443">
        <v>0.95296062273338411</v>
      </c>
      <c r="CA443">
        <v>0</v>
      </c>
      <c r="CB443">
        <v>0</v>
      </c>
      <c r="CC443">
        <v>0</v>
      </c>
    </row>
    <row r="444" spans="1:82" hidden="1" x14ac:dyDescent="0.25">
      <c r="A444" t="s">
        <v>128</v>
      </c>
      <c r="B444" t="s">
        <v>503</v>
      </c>
      <c r="C444" t="s">
        <v>72</v>
      </c>
      <c r="D444" s="12">
        <v>46244</v>
      </c>
      <c r="E444" t="s">
        <v>501</v>
      </c>
      <c r="F444" t="s">
        <v>73</v>
      </c>
      <c r="G444">
        <v>0</v>
      </c>
      <c r="H444">
        <v>0</v>
      </c>
      <c r="I444">
        <v>0</v>
      </c>
      <c r="J444">
        <v>0</v>
      </c>
      <c r="K444">
        <v>46244</v>
      </c>
      <c r="L444" t="s">
        <v>200</v>
      </c>
      <c r="M444">
        <v>0.82352941176470595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D444">
        <v>0</v>
      </c>
    </row>
    <row r="445" spans="1:82" hidden="1" x14ac:dyDescent="0.25">
      <c r="A445" t="s">
        <v>128</v>
      </c>
      <c r="B445" t="s">
        <v>502</v>
      </c>
      <c r="C445" t="s">
        <v>72</v>
      </c>
      <c r="D445" s="12">
        <v>46244</v>
      </c>
      <c r="E445" t="s">
        <v>501</v>
      </c>
      <c r="F445" t="s">
        <v>73</v>
      </c>
      <c r="G445">
        <v>1.8624711255077939</v>
      </c>
      <c r="H445">
        <v>0</v>
      </c>
      <c r="I445">
        <v>0</v>
      </c>
      <c r="J445">
        <v>0</v>
      </c>
      <c r="K445">
        <v>46244</v>
      </c>
      <c r="L445" t="s">
        <v>200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 hidden="1" x14ac:dyDescent="0.25">
      <c r="A446" t="s">
        <v>128</v>
      </c>
      <c r="B446" t="s">
        <v>502</v>
      </c>
      <c r="C446" t="s">
        <v>72</v>
      </c>
      <c r="D446" s="12">
        <v>46244</v>
      </c>
      <c r="E446" t="s">
        <v>501</v>
      </c>
      <c r="F446" t="s">
        <v>74</v>
      </c>
      <c r="G446">
        <v>0</v>
      </c>
      <c r="H446">
        <v>0</v>
      </c>
      <c r="I446">
        <v>0</v>
      </c>
      <c r="J446">
        <v>0</v>
      </c>
      <c r="K446">
        <v>46244</v>
      </c>
      <c r="L446" t="s">
        <v>199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D446">
        <v>0</v>
      </c>
    </row>
    <row r="447" spans="1:82" hidden="1" x14ac:dyDescent="0.25">
      <c r="A447" t="s">
        <v>128</v>
      </c>
      <c r="B447" t="s">
        <v>503</v>
      </c>
      <c r="C447" t="s">
        <v>72</v>
      </c>
      <c r="D447" s="12">
        <v>46244</v>
      </c>
      <c r="E447" t="s">
        <v>501</v>
      </c>
      <c r="F447" t="s">
        <v>74</v>
      </c>
      <c r="G447">
        <v>0</v>
      </c>
      <c r="H447">
        <v>0</v>
      </c>
      <c r="I447">
        <v>0</v>
      </c>
      <c r="J447">
        <v>0</v>
      </c>
      <c r="K447">
        <v>46244</v>
      </c>
      <c r="L447" t="s">
        <v>199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D447">
        <v>0</v>
      </c>
    </row>
    <row r="448" spans="1:82" hidden="1" x14ac:dyDescent="0.25">
      <c r="A448" t="s">
        <v>128</v>
      </c>
      <c r="B448" t="s">
        <v>372</v>
      </c>
      <c r="C448" t="s">
        <v>72</v>
      </c>
      <c r="D448" s="12">
        <v>46244</v>
      </c>
      <c r="E448" t="s">
        <v>501</v>
      </c>
      <c r="F448" t="s">
        <v>74</v>
      </c>
      <c r="G448">
        <v>0</v>
      </c>
      <c r="H448">
        <v>0</v>
      </c>
      <c r="I448">
        <v>20</v>
      </c>
      <c r="J448">
        <v>0</v>
      </c>
      <c r="K448">
        <v>46244</v>
      </c>
      <c r="L448" t="s">
        <v>199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D448">
        <v>0</v>
      </c>
    </row>
    <row r="449" spans="1:82" hidden="1" x14ac:dyDescent="0.25">
      <c r="A449" t="s">
        <v>128</v>
      </c>
      <c r="B449" t="s">
        <v>502</v>
      </c>
      <c r="C449" t="s">
        <v>72</v>
      </c>
      <c r="D449" s="12">
        <v>46244</v>
      </c>
      <c r="E449" t="s">
        <v>501</v>
      </c>
      <c r="F449" t="s">
        <v>75</v>
      </c>
      <c r="G449">
        <v>1.4435762356877018</v>
      </c>
      <c r="H449">
        <v>0</v>
      </c>
      <c r="I449">
        <v>0</v>
      </c>
      <c r="J449">
        <v>0</v>
      </c>
      <c r="K449">
        <v>46244</v>
      </c>
      <c r="L449" t="s">
        <v>198</v>
      </c>
      <c r="M449">
        <v>0.82352941176470573</v>
      </c>
      <c r="N449">
        <v>0</v>
      </c>
      <c r="O449">
        <v>0</v>
      </c>
      <c r="P449">
        <v>0.57047864283550398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0.57047864283550398</v>
      </c>
      <c r="AA449">
        <v>0.42952135716449602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H449">
        <v>0</v>
      </c>
      <c r="BI449">
        <v>0</v>
      </c>
      <c r="BJ449">
        <v>1.752914000477924</v>
      </c>
      <c r="BK449">
        <v>0.75291400047792401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</row>
    <row r="450" spans="1:82" hidden="1" x14ac:dyDescent="0.25">
      <c r="A450" t="s">
        <v>128</v>
      </c>
      <c r="B450" t="s">
        <v>503</v>
      </c>
      <c r="C450" t="s">
        <v>72</v>
      </c>
      <c r="D450" s="12">
        <v>46244</v>
      </c>
      <c r="E450" t="s">
        <v>501</v>
      </c>
      <c r="F450" t="s">
        <v>75</v>
      </c>
      <c r="G450">
        <v>0</v>
      </c>
      <c r="H450">
        <v>0</v>
      </c>
      <c r="I450">
        <v>0</v>
      </c>
      <c r="J450">
        <v>0</v>
      </c>
      <c r="K450">
        <v>46244</v>
      </c>
      <c r="L450" t="s">
        <v>198</v>
      </c>
      <c r="M450">
        <v>0.16608996539792387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D450">
        <v>0</v>
      </c>
    </row>
    <row r="451" spans="1:82" hidden="1" x14ac:dyDescent="0.25">
      <c r="A451" t="s">
        <v>128</v>
      </c>
      <c r="B451" t="s">
        <v>372</v>
      </c>
      <c r="C451" t="s">
        <v>72</v>
      </c>
      <c r="D451" s="12">
        <v>46244</v>
      </c>
      <c r="E451" t="s">
        <v>501</v>
      </c>
      <c r="F451" t="s">
        <v>75</v>
      </c>
      <c r="G451">
        <v>3.1779578349000128</v>
      </c>
      <c r="H451">
        <v>2.8499999999999996</v>
      </c>
      <c r="I451">
        <v>20</v>
      </c>
      <c r="J451">
        <v>2.8499999999999996</v>
      </c>
      <c r="K451">
        <v>46244</v>
      </c>
      <c r="L451" t="s">
        <v>198</v>
      </c>
      <c r="M451">
        <v>3.7508650519031144</v>
      </c>
      <c r="N451">
        <v>0.89680233283827326</v>
      </c>
      <c r="O451">
        <v>0.89680233283827326</v>
      </c>
      <c r="P451">
        <v>1.18027527323097</v>
      </c>
      <c r="Q451">
        <v>0.18027527323097003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0.10319766716172674</v>
      </c>
      <c r="AA451">
        <v>0</v>
      </c>
      <c r="AB451">
        <v>0</v>
      </c>
      <c r="AC451">
        <v>0</v>
      </c>
      <c r="AD451">
        <v>0</v>
      </c>
      <c r="AE451">
        <v>0.89680233283827326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1.1150729245263205</v>
      </c>
      <c r="AL451">
        <v>1.1150729245263205</v>
      </c>
      <c r="AM451">
        <v>1.3160930006677596</v>
      </c>
      <c r="AN451">
        <v>0.20102007614143913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0.11507292452632045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0.75982472324723238</v>
      </c>
      <c r="BI451">
        <v>0.75982472324723238</v>
      </c>
      <c r="BJ451">
        <v>0.84725997627869343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0.15274002372130657</v>
      </c>
      <c r="BV451">
        <v>0</v>
      </c>
      <c r="BW451">
        <v>0</v>
      </c>
      <c r="BX451">
        <v>0</v>
      </c>
      <c r="BY451">
        <v>0.75982472324723238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 hidden="1" x14ac:dyDescent="0.25">
      <c r="A452" t="s">
        <v>128</v>
      </c>
      <c r="B452" t="s">
        <v>503</v>
      </c>
      <c r="C452" t="s">
        <v>72</v>
      </c>
      <c r="D452" s="12">
        <v>46245</v>
      </c>
      <c r="E452" t="s">
        <v>501</v>
      </c>
      <c r="F452" t="s">
        <v>73</v>
      </c>
      <c r="G452">
        <v>1.906327255871447</v>
      </c>
      <c r="H452">
        <v>0</v>
      </c>
      <c r="I452">
        <v>0</v>
      </c>
      <c r="J452">
        <v>0</v>
      </c>
      <c r="K452">
        <v>46245</v>
      </c>
      <c r="L452" t="s">
        <v>197</v>
      </c>
      <c r="M452">
        <v>0.82352941176470595</v>
      </c>
      <c r="N452">
        <v>0</v>
      </c>
      <c r="O452">
        <v>0</v>
      </c>
      <c r="P452">
        <v>0.43199792125316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0.43199792125316</v>
      </c>
      <c r="AA452">
        <v>0.56800207874684006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H452">
        <v>0</v>
      </c>
      <c r="BI452">
        <v>0</v>
      </c>
      <c r="BJ452">
        <v>2.3148259535581857</v>
      </c>
      <c r="BK452">
        <v>1.3148259535581857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 hidden="1" x14ac:dyDescent="0.25">
      <c r="A453" t="s">
        <v>128</v>
      </c>
      <c r="B453" t="s">
        <v>502</v>
      </c>
      <c r="C453" t="s">
        <v>72</v>
      </c>
      <c r="D453" s="12">
        <v>46245</v>
      </c>
      <c r="E453" t="s">
        <v>501</v>
      </c>
      <c r="F453" t="s">
        <v>73</v>
      </c>
      <c r="G453">
        <v>1.8624711255077939</v>
      </c>
      <c r="H453">
        <v>0</v>
      </c>
      <c r="I453">
        <v>0</v>
      </c>
      <c r="J453">
        <v>0</v>
      </c>
      <c r="K453">
        <v>46245</v>
      </c>
      <c r="L453" t="s">
        <v>197</v>
      </c>
      <c r="M453">
        <v>0.88235294117647045</v>
      </c>
      <c r="N453">
        <v>0</v>
      </c>
      <c r="O453">
        <v>0</v>
      </c>
      <c r="P453">
        <v>0.47375389024401715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0.47375389024401715</v>
      </c>
      <c r="AA453">
        <v>0.52624610975598285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H453">
        <v>0</v>
      </c>
      <c r="BI453">
        <v>0</v>
      </c>
      <c r="BJ453">
        <v>2.1108006089088334</v>
      </c>
      <c r="BK453">
        <v>1.1108006089088334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 hidden="1" x14ac:dyDescent="0.25">
      <c r="A454" t="s">
        <v>128</v>
      </c>
      <c r="B454" t="s">
        <v>372</v>
      </c>
      <c r="C454" t="s">
        <v>72</v>
      </c>
      <c r="D454" s="12">
        <v>46245</v>
      </c>
      <c r="E454" t="s">
        <v>501</v>
      </c>
      <c r="F454" t="s">
        <v>73</v>
      </c>
      <c r="G454">
        <v>3.5876164620550925</v>
      </c>
      <c r="H454">
        <v>8.5499999999999989</v>
      </c>
      <c r="I454">
        <v>20</v>
      </c>
      <c r="J454">
        <v>8.5499999999999989</v>
      </c>
      <c r="K454">
        <v>46245</v>
      </c>
      <c r="L454" t="s">
        <v>197</v>
      </c>
      <c r="M454">
        <v>3.7647058823529398</v>
      </c>
      <c r="N454">
        <v>2.3831978948781796</v>
      </c>
      <c r="O454">
        <v>2.3831978948781796</v>
      </c>
      <c r="P454">
        <v>1.0493613021823422</v>
      </c>
      <c r="Q454">
        <v>0</v>
      </c>
      <c r="R454">
        <v>0</v>
      </c>
      <c r="S454">
        <v>1.1331978948781796</v>
      </c>
      <c r="T454">
        <v>0</v>
      </c>
      <c r="U454">
        <v>0</v>
      </c>
      <c r="V454">
        <v>0</v>
      </c>
      <c r="W454">
        <v>4.9361302182342248E-2</v>
      </c>
      <c r="X454">
        <v>0</v>
      </c>
      <c r="Y454">
        <v>0.20063869781765775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0.41960426456784711</v>
      </c>
      <c r="AL454">
        <v>0.41960426456784711</v>
      </c>
      <c r="AM454">
        <v>0.44031647746818015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0.55968352253181985</v>
      </c>
      <c r="AY454">
        <v>0</v>
      </c>
      <c r="AZ454">
        <v>0</v>
      </c>
      <c r="BA454">
        <v>0</v>
      </c>
      <c r="BB454">
        <v>0.41960426456784711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2.2710937500000004</v>
      </c>
      <c r="BI454">
        <v>2.2710937500000004</v>
      </c>
      <c r="BJ454">
        <v>0.95296062273338433</v>
      </c>
      <c r="CA454">
        <v>0</v>
      </c>
      <c r="CB454">
        <v>0</v>
      </c>
      <c r="CC454">
        <v>0</v>
      </c>
    </row>
    <row r="455" spans="1:82" hidden="1" x14ac:dyDescent="0.25">
      <c r="A455" t="s">
        <v>128</v>
      </c>
      <c r="B455" t="s">
        <v>372</v>
      </c>
      <c r="C455" t="s">
        <v>72</v>
      </c>
      <c r="D455" s="12">
        <v>46245</v>
      </c>
      <c r="E455" t="s">
        <v>501</v>
      </c>
      <c r="F455" t="s">
        <v>74</v>
      </c>
      <c r="G455">
        <v>0</v>
      </c>
      <c r="H455">
        <v>0</v>
      </c>
      <c r="I455">
        <v>20</v>
      </c>
      <c r="J455">
        <v>0</v>
      </c>
      <c r="K455">
        <v>46245</v>
      </c>
      <c r="L455" t="s">
        <v>196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D455">
        <v>0</v>
      </c>
    </row>
    <row r="456" spans="1:82" hidden="1" x14ac:dyDescent="0.25">
      <c r="A456" t="s">
        <v>128</v>
      </c>
      <c r="B456" t="s">
        <v>502</v>
      </c>
      <c r="C456" t="s">
        <v>72</v>
      </c>
      <c r="D456" s="12">
        <v>46245</v>
      </c>
      <c r="E456" t="s">
        <v>501</v>
      </c>
      <c r="F456" t="s">
        <v>74</v>
      </c>
      <c r="G456">
        <v>0</v>
      </c>
      <c r="H456">
        <v>0</v>
      </c>
      <c r="I456">
        <v>0</v>
      </c>
      <c r="J456">
        <v>0</v>
      </c>
      <c r="K456">
        <v>46245</v>
      </c>
      <c r="L456" t="s">
        <v>196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D456">
        <v>0</v>
      </c>
    </row>
    <row r="457" spans="1:82" hidden="1" x14ac:dyDescent="0.25">
      <c r="A457" t="s">
        <v>128</v>
      </c>
      <c r="B457" t="s">
        <v>503</v>
      </c>
      <c r="C457" t="s">
        <v>72</v>
      </c>
      <c r="D457" s="12">
        <v>46245</v>
      </c>
      <c r="E457" t="s">
        <v>501</v>
      </c>
      <c r="F457" t="s">
        <v>74</v>
      </c>
      <c r="G457">
        <v>0</v>
      </c>
      <c r="H457">
        <v>0</v>
      </c>
      <c r="I457">
        <v>0</v>
      </c>
      <c r="J457">
        <v>0</v>
      </c>
      <c r="K457">
        <v>46245</v>
      </c>
      <c r="L457" t="s">
        <v>196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D457">
        <v>0</v>
      </c>
    </row>
    <row r="458" spans="1:82" hidden="1" x14ac:dyDescent="0.25">
      <c r="A458" t="s">
        <v>128</v>
      </c>
      <c r="B458" t="s">
        <v>502</v>
      </c>
      <c r="C458" t="s">
        <v>72</v>
      </c>
      <c r="D458" s="12">
        <v>46245</v>
      </c>
      <c r="E458" t="s">
        <v>501</v>
      </c>
      <c r="F458" t="s">
        <v>75</v>
      </c>
      <c r="G458">
        <v>1.4435762356877018</v>
      </c>
      <c r="H458">
        <v>0</v>
      </c>
      <c r="I458">
        <v>0</v>
      </c>
      <c r="J458">
        <v>0</v>
      </c>
      <c r="K458">
        <v>46245</v>
      </c>
      <c r="L458" t="s">
        <v>195</v>
      </c>
      <c r="M458">
        <v>0.93425605536332157</v>
      </c>
      <c r="N458">
        <v>0</v>
      </c>
      <c r="O458">
        <v>0</v>
      </c>
      <c r="P458">
        <v>0.64718165363691627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0.64718165363691627</v>
      </c>
      <c r="AA458">
        <v>0.35281834636308373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H458">
        <v>0</v>
      </c>
      <c r="BI458">
        <v>0</v>
      </c>
      <c r="BJ458">
        <v>1.5451612300509108</v>
      </c>
      <c r="BK458">
        <v>0.54516123005091077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 hidden="1" x14ac:dyDescent="0.25">
      <c r="A459" t="s">
        <v>128</v>
      </c>
      <c r="B459" t="s">
        <v>372</v>
      </c>
      <c r="C459" t="s">
        <v>72</v>
      </c>
      <c r="D459" s="12">
        <v>46245</v>
      </c>
      <c r="E459" t="s">
        <v>501</v>
      </c>
      <c r="F459" t="s">
        <v>75</v>
      </c>
      <c r="G459">
        <v>3.1779578349000128</v>
      </c>
      <c r="H459">
        <v>2.8499999999999996</v>
      </c>
      <c r="I459">
        <v>20</v>
      </c>
      <c r="J459">
        <v>2.8499999999999996</v>
      </c>
      <c r="K459">
        <v>46245</v>
      </c>
      <c r="L459" t="s">
        <v>195</v>
      </c>
      <c r="M459">
        <v>3.7508650519031144</v>
      </c>
      <c r="N459">
        <v>0.89680233283827326</v>
      </c>
      <c r="O459">
        <v>0.89680233283827326</v>
      </c>
      <c r="P459">
        <v>1.18027527323097</v>
      </c>
      <c r="Q459">
        <v>0.18027527323097003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0.10319766716172674</v>
      </c>
      <c r="AA459">
        <v>0</v>
      </c>
      <c r="AB459">
        <v>0</v>
      </c>
      <c r="AC459">
        <v>0</v>
      </c>
      <c r="AD459">
        <v>0</v>
      </c>
      <c r="AE459">
        <v>0.89680233283827326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1.1150729245263205</v>
      </c>
      <c r="AL459">
        <v>1.1150729245263205</v>
      </c>
      <c r="AM459">
        <v>1.3160930006677596</v>
      </c>
      <c r="AN459">
        <v>0.20102007614143913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0.11507292452632045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0.75982472324723238</v>
      </c>
      <c r="BI459">
        <v>0.75982472324723238</v>
      </c>
      <c r="BJ459">
        <v>0.84725997627869343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0.15274002372130657</v>
      </c>
      <c r="BV459">
        <v>0</v>
      </c>
      <c r="BW459">
        <v>0</v>
      </c>
      <c r="BX459">
        <v>0</v>
      </c>
      <c r="BY459">
        <v>0.75982472324723238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 hidden="1" x14ac:dyDescent="0.25">
      <c r="A460" t="s">
        <v>128</v>
      </c>
      <c r="B460" t="s">
        <v>503</v>
      </c>
      <c r="C460" t="s">
        <v>72</v>
      </c>
      <c r="D460" s="12">
        <v>46245</v>
      </c>
      <c r="E460" t="s">
        <v>501</v>
      </c>
      <c r="F460" t="s">
        <v>75</v>
      </c>
      <c r="G460">
        <v>0</v>
      </c>
      <c r="H460">
        <v>0</v>
      </c>
      <c r="I460">
        <v>0</v>
      </c>
      <c r="J460">
        <v>0</v>
      </c>
      <c r="K460">
        <v>46245</v>
      </c>
      <c r="L460" t="s">
        <v>195</v>
      </c>
      <c r="M460">
        <v>0.16608996539792387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D460">
        <v>0</v>
      </c>
    </row>
    <row r="461" spans="1:82" hidden="1" x14ac:dyDescent="0.25">
      <c r="A461" t="s">
        <v>128</v>
      </c>
      <c r="B461" t="s">
        <v>372</v>
      </c>
      <c r="C461" t="s">
        <v>72</v>
      </c>
      <c r="D461" s="12">
        <v>46246</v>
      </c>
      <c r="E461" t="s">
        <v>501</v>
      </c>
      <c r="F461" t="s">
        <v>73</v>
      </c>
      <c r="G461">
        <v>3.5876164620550925</v>
      </c>
      <c r="H461">
        <v>10.45</v>
      </c>
      <c r="I461">
        <v>20</v>
      </c>
      <c r="J461">
        <v>10.45</v>
      </c>
      <c r="K461">
        <v>46246</v>
      </c>
      <c r="L461" t="s">
        <v>194</v>
      </c>
      <c r="M461">
        <v>3.7647058823529398</v>
      </c>
      <c r="N461">
        <v>2.9127974270733308</v>
      </c>
      <c r="O461">
        <v>2.9127974270733308</v>
      </c>
      <c r="P461">
        <v>1.0493613021823422</v>
      </c>
      <c r="Q461">
        <v>0</v>
      </c>
      <c r="R461">
        <v>0</v>
      </c>
      <c r="S461">
        <v>1.6627974270733308</v>
      </c>
      <c r="T461">
        <v>0</v>
      </c>
      <c r="U461">
        <v>0</v>
      </c>
      <c r="V461">
        <v>0</v>
      </c>
      <c r="W461">
        <v>4.9361302182342248E-2</v>
      </c>
      <c r="X461">
        <v>0</v>
      </c>
      <c r="Y461">
        <v>0.20063869781765775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0.34331258010096583</v>
      </c>
      <c r="AL461">
        <v>0.34331258010096583</v>
      </c>
      <c r="AM461">
        <v>0.36025893611032916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0.63974106388967078</v>
      </c>
      <c r="AY461">
        <v>0</v>
      </c>
      <c r="AZ461">
        <v>0</v>
      </c>
      <c r="BA461">
        <v>0</v>
      </c>
      <c r="BB461">
        <v>0.34331258010096583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2.775781250000001</v>
      </c>
      <c r="BI461">
        <v>2.775781250000001</v>
      </c>
      <c r="BJ461">
        <v>0.95296062273338433</v>
      </c>
      <c r="CA461">
        <v>0</v>
      </c>
      <c r="CB461">
        <v>0</v>
      </c>
      <c r="CC461">
        <v>0</v>
      </c>
    </row>
    <row r="462" spans="1:82" hidden="1" x14ac:dyDescent="0.25">
      <c r="A462" t="s">
        <v>128</v>
      </c>
      <c r="B462" t="s">
        <v>503</v>
      </c>
      <c r="C462" t="s">
        <v>72</v>
      </c>
      <c r="D462" s="12">
        <v>46246</v>
      </c>
      <c r="E462" t="s">
        <v>501</v>
      </c>
      <c r="F462" t="s">
        <v>73</v>
      </c>
      <c r="G462">
        <v>2.8594908838071702</v>
      </c>
      <c r="H462">
        <v>0</v>
      </c>
      <c r="I462">
        <v>0</v>
      </c>
      <c r="J462">
        <v>0</v>
      </c>
      <c r="K462">
        <v>46246</v>
      </c>
      <c r="L462" t="s">
        <v>194</v>
      </c>
      <c r="M462">
        <v>1.6470588235294119</v>
      </c>
      <c r="N462">
        <v>0</v>
      </c>
      <c r="O462">
        <v>0</v>
      </c>
      <c r="P462">
        <v>0.57599722833754674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0.57599722833754674</v>
      </c>
      <c r="AA462">
        <v>0.42400277166245326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H462">
        <v>0</v>
      </c>
      <c r="BI462">
        <v>0</v>
      </c>
      <c r="BJ462">
        <v>1.7361194651686389</v>
      </c>
      <c r="BK462">
        <v>0.73611946516863891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1</v>
      </c>
    </row>
    <row r="463" spans="1:82" hidden="1" x14ac:dyDescent="0.25">
      <c r="A463" t="s">
        <v>128</v>
      </c>
      <c r="B463" t="s">
        <v>502</v>
      </c>
      <c r="C463" t="s">
        <v>72</v>
      </c>
      <c r="D463" s="12">
        <v>46246</v>
      </c>
      <c r="E463" t="s">
        <v>501</v>
      </c>
      <c r="F463" t="s">
        <v>73</v>
      </c>
      <c r="G463">
        <v>1.6433568754480532</v>
      </c>
      <c r="H463">
        <v>0</v>
      </c>
      <c r="I463">
        <v>0</v>
      </c>
      <c r="J463">
        <v>0</v>
      </c>
      <c r="K463">
        <v>46246</v>
      </c>
      <c r="L463" t="s">
        <v>194</v>
      </c>
      <c r="M463">
        <v>1.6323529411764706</v>
      </c>
      <c r="N463">
        <v>0</v>
      </c>
      <c r="O463">
        <v>0</v>
      </c>
      <c r="P463">
        <v>0.99330398987828949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0.99330398987828949</v>
      </c>
      <c r="AA463">
        <v>6.696010121710505E-3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H463">
        <v>0</v>
      </c>
      <c r="BI463">
        <v>0</v>
      </c>
      <c r="BJ463">
        <v>1.0067411489231317</v>
      </c>
      <c r="BK463">
        <v>6.7411489231317123E-3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1</v>
      </c>
    </row>
    <row r="464" spans="1:82" hidden="1" x14ac:dyDescent="0.25">
      <c r="A464" t="s">
        <v>128</v>
      </c>
      <c r="B464" t="s">
        <v>502</v>
      </c>
      <c r="C464" t="s">
        <v>72</v>
      </c>
      <c r="D464" s="12">
        <v>46246</v>
      </c>
      <c r="E464" t="s">
        <v>501</v>
      </c>
      <c r="F464" t="s">
        <v>74</v>
      </c>
      <c r="G464">
        <v>0</v>
      </c>
      <c r="H464">
        <v>0</v>
      </c>
      <c r="I464">
        <v>0</v>
      </c>
      <c r="J464">
        <v>0</v>
      </c>
      <c r="K464">
        <v>46246</v>
      </c>
      <c r="L464" t="s">
        <v>193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D464">
        <v>0</v>
      </c>
    </row>
    <row r="465" spans="1:82" hidden="1" x14ac:dyDescent="0.25">
      <c r="A465" t="s">
        <v>128</v>
      </c>
      <c r="B465" t="s">
        <v>503</v>
      </c>
      <c r="C465" t="s">
        <v>72</v>
      </c>
      <c r="D465" s="12">
        <v>46246</v>
      </c>
      <c r="E465" t="s">
        <v>501</v>
      </c>
      <c r="F465" t="s">
        <v>74</v>
      </c>
      <c r="G465">
        <v>0</v>
      </c>
      <c r="H465">
        <v>0</v>
      </c>
      <c r="I465">
        <v>0</v>
      </c>
      <c r="J465">
        <v>0</v>
      </c>
      <c r="K465">
        <v>46246</v>
      </c>
      <c r="L465" t="s">
        <v>193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D465">
        <v>0</v>
      </c>
    </row>
    <row r="466" spans="1:82" hidden="1" x14ac:dyDescent="0.25">
      <c r="A466" t="s">
        <v>128</v>
      </c>
      <c r="B466" t="s">
        <v>372</v>
      </c>
      <c r="C466" t="s">
        <v>72</v>
      </c>
      <c r="D466" s="12">
        <v>46246</v>
      </c>
      <c r="E466" t="s">
        <v>501</v>
      </c>
      <c r="F466" t="s">
        <v>74</v>
      </c>
      <c r="G466">
        <v>0</v>
      </c>
      <c r="H466">
        <v>0.95</v>
      </c>
      <c r="I466">
        <v>20</v>
      </c>
      <c r="J466">
        <v>0.95</v>
      </c>
      <c r="K466">
        <v>46246</v>
      </c>
      <c r="L466" t="s">
        <v>193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0</v>
      </c>
      <c r="CD466">
        <v>0</v>
      </c>
    </row>
    <row r="467" spans="1:82" hidden="1" x14ac:dyDescent="0.25">
      <c r="A467" t="s">
        <v>128</v>
      </c>
      <c r="B467" t="s">
        <v>502</v>
      </c>
      <c r="C467" t="s">
        <v>72</v>
      </c>
      <c r="D467" s="12">
        <v>46246</v>
      </c>
      <c r="E467" t="s">
        <v>501</v>
      </c>
      <c r="F467" t="s">
        <v>75</v>
      </c>
      <c r="G467">
        <v>1.5982451180828126</v>
      </c>
      <c r="H467">
        <v>0</v>
      </c>
      <c r="I467">
        <v>0</v>
      </c>
      <c r="J467">
        <v>0</v>
      </c>
      <c r="K467">
        <v>46246</v>
      </c>
      <c r="L467" t="s">
        <v>201</v>
      </c>
      <c r="M467">
        <v>0.93425605536332179</v>
      </c>
      <c r="N467">
        <v>0</v>
      </c>
      <c r="O467">
        <v>0</v>
      </c>
      <c r="P467">
        <v>0.58455117102689225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0.58455117102689225</v>
      </c>
      <c r="AA467">
        <v>0.41544882897310775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H467">
        <v>0</v>
      </c>
      <c r="BI467">
        <v>0</v>
      </c>
      <c r="BJ467">
        <v>1.7107142189849365</v>
      </c>
      <c r="BK467">
        <v>0.71071421898493647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 hidden="1" x14ac:dyDescent="0.25">
      <c r="A468" t="s">
        <v>128</v>
      </c>
      <c r="B468" t="s">
        <v>372</v>
      </c>
      <c r="C468" t="s">
        <v>72</v>
      </c>
      <c r="D468" s="12">
        <v>46246</v>
      </c>
      <c r="E468" t="s">
        <v>501</v>
      </c>
      <c r="F468" t="s">
        <v>75</v>
      </c>
      <c r="G468">
        <v>3.1779578349000128</v>
      </c>
      <c r="H468">
        <v>2.8499999999999996</v>
      </c>
      <c r="I468">
        <v>20</v>
      </c>
      <c r="J468">
        <v>2.8499999999999996</v>
      </c>
      <c r="K468">
        <v>46246</v>
      </c>
      <c r="L468" t="s">
        <v>201</v>
      </c>
      <c r="M468">
        <v>3.7508650519031144</v>
      </c>
      <c r="N468">
        <v>0.89680233283827326</v>
      </c>
      <c r="O468">
        <v>0.89680233283827326</v>
      </c>
      <c r="P468">
        <v>1.18027527323097</v>
      </c>
      <c r="Q468">
        <v>0.18027527323097003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0.10319766716172674</v>
      </c>
      <c r="AA468">
        <v>0</v>
      </c>
      <c r="AB468">
        <v>0</v>
      </c>
      <c r="AC468">
        <v>0</v>
      </c>
      <c r="AD468">
        <v>0</v>
      </c>
      <c r="AE468">
        <v>0.89680233283827326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1.1150729245263205</v>
      </c>
      <c r="AL468">
        <v>1.1150729245263205</v>
      </c>
      <c r="AM468">
        <v>1.3160930006677596</v>
      </c>
      <c r="AN468">
        <v>0.20102007614143913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0.11507292452632045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0.75982472324723238</v>
      </c>
      <c r="BI468">
        <v>0.75982472324723238</v>
      </c>
      <c r="BJ468">
        <v>0.84725997627869343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0.15274002372130657</v>
      </c>
      <c r="BV468">
        <v>0</v>
      </c>
      <c r="BW468">
        <v>0</v>
      </c>
      <c r="BX468">
        <v>0</v>
      </c>
      <c r="BY468">
        <v>0.75982472324723238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 hidden="1" x14ac:dyDescent="0.25">
      <c r="A469" t="s">
        <v>128</v>
      </c>
      <c r="B469" t="s">
        <v>503</v>
      </c>
      <c r="C469" t="s">
        <v>72</v>
      </c>
      <c r="D469" s="12">
        <v>46246</v>
      </c>
      <c r="E469" t="s">
        <v>501</v>
      </c>
      <c r="F469" t="s">
        <v>75</v>
      </c>
      <c r="G469">
        <v>0.68601396059041697</v>
      </c>
      <c r="H469">
        <v>0</v>
      </c>
      <c r="I469">
        <v>0</v>
      </c>
      <c r="J469">
        <v>0</v>
      </c>
      <c r="K469">
        <v>46246</v>
      </c>
      <c r="L469" t="s">
        <v>201</v>
      </c>
      <c r="M469">
        <v>1.0380622837370239</v>
      </c>
      <c r="N469">
        <v>0</v>
      </c>
      <c r="O469">
        <v>0</v>
      </c>
      <c r="P469">
        <v>1.5131795318620296</v>
      </c>
      <c r="Q469">
        <v>0.51317953186202958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1</v>
      </c>
      <c r="BH469">
        <v>0</v>
      </c>
      <c r="BI469">
        <v>0</v>
      </c>
      <c r="BJ469">
        <v>0.66086011536876854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0.33913988463123146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0.66086011536876854</v>
      </c>
      <c r="CD469">
        <v>0</v>
      </c>
    </row>
    <row r="470" spans="1:82" hidden="1" x14ac:dyDescent="0.25">
      <c r="A470" t="s">
        <v>128</v>
      </c>
      <c r="B470" t="s">
        <v>503</v>
      </c>
      <c r="C470" t="s">
        <v>72</v>
      </c>
      <c r="D470" s="12">
        <v>46247</v>
      </c>
      <c r="E470" t="s">
        <v>501</v>
      </c>
      <c r="F470" t="s">
        <v>73</v>
      </c>
      <c r="G470">
        <v>2.8594908838071702</v>
      </c>
      <c r="H470">
        <v>0</v>
      </c>
      <c r="I470">
        <v>0</v>
      </c>
      <c r="J470">
        <v>0</v>
      </c>
      <c r="K470">
        <v>46247</v>
      </c>
      <c r="L470" t="s">
        <v>174</v>
      </c>
      <c r="M470">
        <v>1.6470588235294119</v>
      </c>
      <c r="N470">
        <v>0</v>
      </c>
      <c r="O470">
        <v>0</v>
      </c>
      <c r="P470">
        <v>0.57599722833754674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0.57599722833754674</v>
      </c>
      <c r="AA470">
        <v>0.42400277166245326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H470">
        <v>0</v>
      </c>
      <c r="BI470">
        <v>0</v>
      </c>
      <c r="BJ470">
        <v>1.7361194651686389</v>
      </c>
      <c r="BK470">
        <v>0.73611946516863891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1</v>
      </c>
    </row>
    <row r="471" spans="1:82" hidden="1" x14ac:dyDescent="0.25">
      <c r="A471" t="s">
        <v>128</v>
      </c>
      <c r="B471" t="s">
        <v>372</v>
      </c>
      <c r="C471" t="s">
        <v>72</v>
      </c>
      <c r="D471" s="12">
        <v>46247</v>
      </c>
      <c r="E471" t="s">
        <v>501</v>
      </c>
      <c r="F471" t="s">
        <v>73</v>
      </c>
      <c r="G471">
        <v>3.587616462055093</v>
      </c>
      <c r="H471">
        <v>10.45</v>
      </c>
      <c r="I471">
        <v>20</v>
      </c>
      <c r="J471">
        <v>10.45</v>
      </c>
      <c r="K471">
        <v>46247</v>
      </c>
      <c r="L471" t="s">
        <v>174</v>
      </c>
      <c r="M471">
        <v>3.7647058823529407</v>
      </c>
      <c r="N471">
        <v>2.9127974270733303</v>
      </c>
      <c r="O471">
        <v>2.9127974270733303</v>
      </c>
      <c r="P471">
        <v>1.0493613021823425</v>
      </c>
      <c r="Q471">
        <v>0</v>
      </c>
      <c r="R471">
        <v>0</v>
      </c>
      <c r="S471">
        <v>1.6627974270733303</v>
      </c>
      <c r="T471">
        <v>0</v>
      </c>
      <c r="U471">
        <v>0</v>
      </c>
      <c r="V471">
        <v>0</v>
      </c>
      <c r="W471">
        <v>4.936130218234247E-2</v>
      </c>
      <c r="X471">
        <v>0</v>
      </c>
      <c r="Y471">
        <v>0.20063869781765753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0.34331258010096588</v>
      </c>
      <c r="AL471">
        <v>0.34331258010096588</v>
      </c>
      <c r="AM471">
        <v>0.36025893611032928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0.63974106388967078</v>
      </c>
      <c r="AY471">
        <v>0</v>
      </c>
      <c r="AZ471">
        <v>0</v>
      </c>
      <c r="BA471">
        <v>0</v>
      </c>
      <c r="BB471">
        <v>0.34331258010096588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2.7757812500000001</v>
      </c>
      <c r="BI471">
        <v>2.7757812500000001</v>
      </c>
      <c r="BJ471">
        <v>0.95296062273338422</v>
      </c>
      <c r="CA471">
        <v>0</v>
      </c>
      <c r="CB471">
        <v>0</v>
      </c>
      <c r="CC471">
        <v>0</v>
      </c>
    </row>
    <row r="472" spans="1:82" hidden="1" x14ac:dyDescent="0.25">
      <c r="A472" t="s">
        <v>128</v>
      </c>
      <c r="B472" t="s">
        <v>502</v>
      </c>
      <c r="C472" t="s">
        <v>72</v>
      </c>
      <c r="D472" s="12">
        <v>46247</v>
      </c>
      <c r="E472" t="s">
        <v>501</v>
      </c>
      <c r="F472" t="s">
        <v>73</v>
      </c>
      <c r="G472">
        <v>1.8624711255077939</v>
      </c>
      <c r="H472">
        <v>0</v>
      </c>
      <c r="I472">
        <v>0</v>
      </c>
      <c r="J472">
        <v>0</v>
      </c>
      <c r="K472">
        <v>46247</v>
      </c>
      <c r="L472" t="s">
        <v>174</v>
      </c>
      <c r="M472">
        <v>1.7647058823529409</v>
      </c>
      <c r="N472">
        <v>0</v>
      </c>
      <c r="O472">
        <v>0</v>
      </c>
      <c r="P472">
        <v>0.9475077804880343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0.9475077804880343</v>
      </c>
      <c r="AA472">
        <v>5.2492219511965699E-2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H472">
        <v>0</v>
      </c>
      <c r="BI472">
        <v>0</v>
      </c>
      <c r="BJ472">
        <v>1.0554003044544167</v>
      </c>
      <c r="BK472">
        <v>5.5400304454416682E-2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1</v>
      </c>
    </row>
    <row r="473" spans="1:82" hidden="1" x14ac:dyDescent="0.25">
      <c r="A473" t="s">
        <v>128</v>
      </c>
      <c r="B473" t="s">
        <v>502</v>
      </c>
      <c r="C473" t="s">
        <v>72</v>
      </c>
      <c r="D473" s="12">
        <v>46247</v>
      </c>
      <c r="E473" t="s">
        <v>501</v>
      </c>
      <c r="F473" t="s">
        <v>74</v>
      </c>
      <c r="G473">
        <v>0</v>
      </c>
      <c r="H473">
        <v>0</v>
      </c>
      <c r="I473">
        <v>0</v>
      </c>
      <c r="J473">
        <v>0</v>
      </c>
      <c r="K473">
        <v>46247</v>
      </c>
      <c r="L473" t="s">
        <v>162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D473">
        <v>0</v>
      </c>
    </row>
    <row r="474" spans="1:82" hidden="1" x14ac:dyDescent="0.25">
      <c r="A474" t="s">
        <v>128</v>
      </c>
      <c r="B474" t="s">
        <v>503</v>
      </c>
      <c r="C474" t="s">
        <v>72</v>
      </c>
      <c r="D474" s="12">
        <v>46247</v>
      </c>
      <c r="E474" t="s">
        <v>501</v>
      </c>
      <c r="F474" t="s">
        <v>74</v>
      </c>
      <c r="G474">
        <v>0</v>
      </c>
      <c r="H474">
        <v>0</v>
      </c>
      <c r="I474">
        <v>0</v>
      </c>
      <c r="J474">
        <v>0</v>
      </c>
      <c r="K474">
        <v>46247</v>
      </c>
      <c r="L474" t="s">
        <v>162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D474">
        <v>0</v>
      </c>
    </row>
    <row r="475" spans="1:82" hidden="1" x14ac:dyDescent="0.25">
      <c r="A475" t="s">
        <v>128</v>
      </c>
      <c r="B475" t="s">
        <v>372</v>
      </c>
      <c r="C475" t="s">
        <v>72</v>
      </c>
      <c r="D475" s="12">
        <v>46247</v>
      </c>
      <c r="E475" t="s">
        <v>501</v>
      </c>
      <c r="F475" t="s">
        <v>74</v>
      </c>
      <c r="G475">
        <v>0</v>
      </c>
      <c r="H475">
        <v>0.95</v>
      </c>
      <c r="I475">
        <v>20</v>
      </c>
      <c r="J475">
        <v>0.95</v>
      </c>
      <c r="K475">
        <v>46247</v>
      </c>
      <c r="L475" t="s">
        <v>162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D475">
        <v>0</v>
      </c>
    </row>
    <row r="476" spans="1:82" hidden="1" x14ac:dyDescent="0.25">
      <c r="A476" t="s">
        <v>128</v>
      </c>
      <c r="B476" t="s">
        <v>502</v>
      </c>
      <c r="C476" t="s">
        <v>72</v>
      </c>
      <c r="D476" s="12">
        <v>46247</v>
      </c>
      <c r="E476" t="s">
        <v>501</v>
      </c>
      <c r="F476" t="s">
        <v>75</v>
      </c>
      <c r="G476">
        <v>1.4435762356877015</v>
      </c>
      <c r="H476">
        <v>0</v>
      </c>
      <c r="I476">
        <v>0</v>
      </c>
      <c r="J476">
        <v>0</v>
      </c>
      <c r="K476">
        <v>46247</v>
      </c>
      <c r="L476" t="s">
        <v>161</v>
      </c>
      <c r="M476">
        <v>0.92733564013840819</v>
      </c>
      <c r="N476">
        <v>0</v>
      </c>
      <c r="O476">
        <v>0</v>
      </c>
      <c r="P476">
        <v>0.64238771546182816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0.64238771546182816</v>
      </c>
      <c r="AA476">
        <v>0.35761228453817184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H476">
        <v>0</v>
      </c>
      <c r="BI476">
        <v>0</v>
      </c>
      <c r="BJ476">
        <v>1.5566922840065143</v>
      </c>
      <c r="BK476">
        <v>0.55669228400651427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 hidden="1" x14ac:dyDescent="0.25">
      <c r="A477" t="s">
        <v>128</v>
      </c>
      <c r="B477" t="s">
        <v>503</v>
      </c>
      <c r="C477" t="s">
        <v>72</v>
      </c>
      <c r="D477" s="12">
        <v>46247</v>
      </c>
      <c r="E477" t="s">
        <v>501</v>
      </c>
      <c r="F477" t="s">
        <v>75</v>
      </c>
      <c r="G477">
        <v>0</v>
      </c>
      <c r="H477">
        <v>0</v>
      </c>
      <c r="I477">
        <v>0</v>
      </c>
      <c r="J477">
        <v>0</v>
      </c>
      <c r="K477">
        <v>46247</v>
      </c>
      <c r="L477" t="s">
        <v>161</v>
      </c>
      <c r="M477">
        <v>0.33217993079584773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D477">
        <v>0</v>
      </c>
    </row>
    <row r="478" spans="1:82" hidden="1" x14ac:dyDescent="0.25">
      <c r="A478" t="s">
        <v>128</v>
      </c>
      <c r="B478" t="s">
        <v>372</v>
      </c>
      <c r="C478" t="s">
        <v>72</v>
      </c>
      <c r="D478" s="12">
        <v>46247</v>
      </c>
      <c r="E478" t="s">
        <v>501</v>
      </c>
      <c r="F478" t="s">
        <v>75</v>
      </c>
      <c r="G478">
        <v>3.1779578349000128</v>
      </c>
      <c r="H478">
        <v>2.8499999999999996</v>
      </c>
      <c r="I478">
        <v>20</v>
      </c>
      <c r="J478">
        <v>2.8499999999999996</v>
      </c>
      <c r="K478">
        <v>46247</v>
      </c>
      <c r="L478" t="s">
        <v>161</v>
      </c>
      <c r="M478">
        <v>3.7508650519031144</v>
      </c>
      <c r="N478">
        <v>0.89680233283827326</v>
      </c>
      <c r="O478">
        <v>0.89680233283827326</v>
      </c>
      <c r="P478">
        <v>1.18027527323097</v>
      </c>
      <c r="Q478">
        <v>0.18027527323097003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0.10319766716172674</v>
      </c>
      <c r="AA478">
        <v>0</v>
      </c>
      <c r="AB478">
        <v>0</v>
      </c>
      <c r="AC478">
        <v>0</v>
      </c>
      <c r="AD478">
        <v>0</v>
      </c>
      <c r="AE478">
        <v>0.89680233283827326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1.1150729245263205</v>
      </c>
      <c r="AL478">
        <v>1.1150729245263205</v>
      </c>
      <c r="AM478">
        <v>1.3160930006677596</v>
      </c>
      <c r="AN478">
        <v>0.20102007614143913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0.11507292452632045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0.75982472324723238</v>
      </c>
      <c r="BI478">
        <v>0.75982472324723238</v>
      </c>
      <c r="BJ478">
        <v>0.84725997627869343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0.15274002372130657</v>
      </c>
      <c r="BV478">
        <v>0</v>
      </c>
      <c r="BW478">
        <v>0</v>
      </c>
      <c r="BX478">
        <v>0</v>
      </c>
      <c r="BY478">
        <v>0.75982472324723238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 hidden="1" x14ac:dyDescent="0.25">
      <c r="A479" t="s">
        <v>128</v>
      </c>
      <c r="B479" t="s">
        <v>502</v>
      </c>
      <c r="C479" t="s">
        <v>72</v>
      </c>
      <c r="D479" s="12">
        <v>46248</v>
      </c>
      <c r="E479" t="s">
        <v>501</v>
      </c>
      <c r="F479" t="s">
        <v>73</v>
      </c>
      <c r="G479">
        <v>1.8624711255077939</v>
      </c>
      <c r="H479">
        <v>0</v>
      </c>
      <c r="I479">
        <v>0</v>
      </c>
      <c r="J479">
        <v>0</v>
      </c>
      <c r="K479">
        <v>46248</v>
      </c>
      <c r="L479" t="s">
        <v>159</v>
      </c>
      <c r="M479">
        <v>1.7647058823529409</v>
      </c>
      <c r="N479">
        <v>0</v>
      </c>
      <c r="O479">
        <v>0</v>
      </c>
      <c r="P479">
        <v>0.9475077804880343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0.9475077804880343</v>
      </c>
      <c r="AA479">
        <v>5.2492219511965699E-2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H479">
        <v>0</v>
      </c>
      <c r="BI479">
        <v>0</v>
      </c>
      <c r="BJ479">
        <v>1.0554003044544167</v>
      </c>
      <c r="BK479">
        <v>5.5400304454416682E-2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1</v>
      </c>
      <c r="CD479">
        <v>1</v>
      </c>
    </row>
    <row r="480" spans="1:82" hidden="1" x14ac:dyDescent="0.25">
      <c r="A480" t="s">
        <v>128</v>
      </c>
      <c r="B480" t="s">
        <v>372</v>
      </c>
      <c r="C480" t="s">
        <v>72</v>
      </c>
      <c r="D480" s="12">
        <v>46248</v>
      </c>
      <c r="E480" t="s">
        <v>501</v>
      </c>
      <c r="F480" t="s">
        <v>73</v>
      </c>
      <c r="G480">
        <v>3.5876164620550925</v>
      </c>
      <c r="H480">
        <v>10.45</v>
      </c>
      <c r="I480">
        <v>20</v>
      </c>
      <c r="J480">
        <v>10.45</v>
      </c>
      <c r="K480">
        <v>46248</v>
      </c>
      <c r="L480" t="s">
        <v>159</v>
      </c>
      <c r="M480">
        <v>3.7647058823529398</v>
      </c>
      <c r="N480">
        <v>2.9127974270733308</v>
      </c>
      <c r="O480">
        <v>2.9127974270733308</v>
      </c>
      <c r="P480">
        <v>1.0493613021823422</v>
      </c>
      <c r="Q480">
        <v>0</v>
      </c>
      <c r="R480">
        <v>0</v>
      </c>
      <c r="S480">
        <v>1.6627974270733308</v>
      </c>
      <c r="T480">
        <v>0</v>
      </c>
      <c r="U480">
        <v>0</v>
      </c>
      <c r="V480">
        <v>0</v>
      </c>
      <c r="W480">
        <v>4.9361302182342248E-2</v>
      </c>
      <c r="X480">
        <v>0</v>
      </c>
      <c r="Y480">
        <v>0.20063869781765775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0.34331258010096583</v>
      </c>
      <c r="AL480">
        <v>0.34331258010096583</v>
      </c>
      <c r="AM480">
        <v>0.36025893611032916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0.63974106388967078</v>
      </c>
      <c r="AY480">
        <v>0</v>
      </c>
      <c r="AZ480">
        <v>0</v>
      </c>
      <c r="BA480">
        <v>0</v>
      </c>
      <c r="BB480">
        <v>0.34331258010096583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2.775781250000001</v>
      </c>
      <c r="BI480">
        <v>2.775781250000001</v>
      </c>
      <c r="BJ480">
        <v>0.95296062273338433</v>
      </c>
      <c r="CA480">
        <v>0</v>
      </c>
      <c r="CB480">
        <v>0</v>
      </c>
      <c r="CC480">
        <v>0</v>
      </c>
    </row>
    <row r="481" spans="1:82" hidden="1" x14ac:dyDescent="0.25">
      <c r="A481" t="s">
        <v>128</v>
      </c>
      <c r="B481" t="s">
        <v>503</v>
      </c>
      <c r="C481" t="s">
        <v>72</v>
      </c>
      <c r="D481" s="12">
        <v>46248</v>
      </c>
      <c r="E481" t="s">
        <v>501</v>
      </c>
      <c r="F481" t="s">
        <v>73</v>
      </c>
      <c r="G481">
        <v>1.906327255871447</v>
      </c>
      <c r="H481">
        <v>0</v>
      </c>
      <c r="I481">
        <v>0</v>
      </c>
      <c r="J481">
        <v>0</v>
      </c>
      <c r="K481">
        <v>46248</v>
      </c>
      <c r="L481" t="s">
        <v>159</v>
      </c>
      <c r="M481">
        <v>0.82352941176470595</v>
      </c>
      <c r="N481">
        <v>0</v>
      </c>
      <c r="O481">
        <v>0</v>
      </c>
      <c r="P481">
        <v>0.43199792125316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0.43199792125316</v>
      </c>
      <c r="AA481">
        <v>0.56800207874684006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H481">
        <v>0</v>
      </c>
      <c r="BI481">
        <v>0</v>
      </c>
      <c r="BJ481">
        <v>2.3148259535581857</v>
      </c>
      <c r="BK481">
        <v>1.3148259535581857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 hidden="1" x14ac:dyDescent="0.25">
      <c r="A482" t="s">
        <v>128</v>
      </c>
      <c r="B482" t="s">
        <v>503</v>
      </c>
      <c r="C482" t="s">
        <v>72</v>
      </c>
      <c r="D482" s="12">
        <v>46248</v>
      </c>
      <c r="E482" t="s">
        <v>501</v>
      </c>
      <c r="F482" t="s">
        <v>74</v>
      </c>
      <c r="G482">
        <v>0</v>
      </c>
      <c r="H482">
        <v>0</v>
      </c>
      <c r="I482">
        <v>0</v>
      </c>
      <c r="J482">
        <v>0</v>
      </c>
      <c r="K482">
        <v>46248</v>
      </c>
      <c r="L482" t="s">
        <v>158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D482">
        <v>0</v>
      </c>
    </row>
    <row r="483" spans="1:82" hidden="1" x14ac:dyDescent="0.25">
      <c r="A483" t="s">
        <v>128</v>
      </c>
      <c r="B483" t="s">
        <v>372</v>
      </c>
      <c r="C483" t="s">
        <v>72</v>
      </c>
      <c r="D483" s="12">
        <v>46248</v>
      </c>
      <c r="E483" t="s">
        <v>501</v>
      </c>
      <c r="F483" t="s">
        <v>74</v>
      </c>
      <c r="G483">
        <v>0</v>
      </c>
      <c r="H483">
        <v>0.95</v>
      </c>
      <c r="I483">
        <v>20</v>
      </c>
      <c r="J483">
        <v>0.95</v>
      </c>
      <c r="K483">
        <v>46248</v>
      </c>
      <c r="L483" t="s">
        <v>158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0</v>
      </c>
      <c r="CD483">
        <v>0</v>
      </c>
    </row>
    <row r="484" spans="1:82" hidden="1" x14ac:dyDescent="0.25">
      <c r="A484" t="s">
        <v>128</v>
      </c>
      <c r="B484" t="s">
        <v>502</v>
      </c>
      <c r="C484" t="s">
        <v>72</v>
      </c>
      <c r="D484" s="12">
        <v>46248</v>
      </c>
      <c r="E484" t="s">
        <v>501</v>
      </c>
      <c r="F484" t="s">
        <v>74</v>
      </c>
      <c r="G484">
        <v>0</v>
      </c>
      <c r="H484">
        <v>0</v>
      </c>
      <c r="I484">
        <v>0</v>
      </c>
      <c r="J484">
        <v>0</v>
      </c>
      <c r="K484">
        <v>46248</v>
      </c>
      <c r="L484" t="s">
        <v>158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D484">
        <v>0</v>
      </c>
    </row>
    <row r="485" spans="1:82" hidden="1" x14ac:dyDescent="0.25">
      <c r="A485" t="s">
        <v>128</v>
      </c>
      <c r="B485" t="s">
        <v>372</v>
      </c>
      <c r="C485" t="s">
        <v>72</v>
      </c>
      <c r="D485" s="12">
        <v>46248</v>
      </c>
      <c r="E485" t="s">
        <v>501</v>
      </c>
      <c r="F485" t="s">
        <v>75</v>
      </c>
      <c r="G485">
        <v>3.1779578349000128</v>
      </c>
      <c r="H485">
        <v>2.8499999999999996</v>
      </c>
      <c r="I485">
        <v>20</v>
      </c>
      <c r="J485">
        <v>2.8499999999999996</v>
      </c>
      <c r="K485">
        <v>46248</v>
      </c>
      <c r="L485" t="s">
        <v>156</v>
      </c>
      <c r="M485">
        <v>3.7508650519031144</v>
      </c>
      <c r="N485">
        <v>0.89680233283827326</v>
      </c>
      <c r="O485">
        <v>0.89680233283827326</v>
      </c>
      <c r="P485">
        <v>1.18027527323097</v>
      </c>
      <c r="Q485">
        <v>0.18027527323097003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0.10319766716172674</v>
      </c>
      <c r="AA485">
        <v>0</v>
      </c>
      <c r="AB485">
        <v>0</v>
      </c>
      <c r="AC485">
        <v>0</v>
      </c>
      <c r="AD485">
        <v>0</v>
      </c>
      <c r="AE485">
        <v>0.89680233283827326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1.1150729245263205</v>
      </c>
      <c r="AL485">
        <v>1.1150729245263205</v>
      </c>
      <c r="AM485">
        <v>1.3160930006677596</v>
      </c>
      <c r="AN485">
        <v>0.20102007614143913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0.11507292452632045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0.75982472324723238</v>
      </c>
      <c r="BI485">
        <v>0.75982472324723238</v>
      </c>
      <c r="BJ485">
        <v>0.84725997627869343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0.15274002372130657</v>
      </c>
      <c r="BV485">
        <v>0</v>
      </c>
      <c r="BW485">
        <v>0</v>
      </c>
      <c r="BX485">
        <v>0</v>
      </c>
      <c r="BY485">
        <v>0.75982472324723238</v>
      </c>
      <c r="BZ485">
        <v>0</v>
      </c>
      <c r="CA485">
        <v>0</v>
      </c>
      <c r="CB485">
        <v>0</v>
      </c>
      <c r="CC485">
        <v>0</v>
      </c>
      <c r="CD485">
        <v>0</v>
      </c>
    </row>
    <row r="486" spans="1:82" hidden="1" x14ac:dyDescent="0.25">
      <c r="A486" t="s">
        <v>128</v>
      </c>
      <c r="B486" t="s">
        <v>502</v>
      </c>
      <c r="C486" t="s">
        <v>72</v>
      </c>
      <c r="D486" s="12">
        <v>46248</v>
      </c>
      <c r="E486" t="s">
        <v>501</v>
      </c>
      <c r="F486" t="s">
        <v>75</v>
      </c>
      <c r="G486">
        <v>1.4435762356877015</v>
      </c>
      <c r="H486">
        <v>0</v>
      </c>
      <c r="I486">
        <v>0</v>
      </c>
      <c r="J486">
        <v>0</v>
      </c>
      <c r="K486">
        <v>46248</v>
      </c>
      <c r="L486" t="s">
        <v>156</v>
      </c>
      <c r="M486">
        <v>0.92733564013840819</v>
      </c>
      <c r="N486">
        <v>0</v>
      </c>
      <c r="O486">
        <v>0</v>
      </c>
      <c r="P486">
        <v>0.64238771546182816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0.64238771546182816</v>
      </c>
      <c r="AA486">
        <v>0.35761228453817184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H486">
        <v>0</v>
      </c>
      <c r="BI486">
        <v>0</v>
      </c>
      <c r="BJ486">
        <v>1.5566922840065143</v>
      </c>
      <c r="BK486">
        <v>0.55669228400651427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</row>
    <row r="487" spans="1:82" hidden="1" x14ac:dyDescent="0.25">
      <c r="A487" t="s">
        <v>128</v>
      </c>
      <c r="B487" t="s">
        <v>503</v>
      </c>
      <c r="C487" t="s">
        <v>72</v>
      </c>
      <c r="D487" s="12">
        <v>46248</v>
      </c>
      <c r="E487" t="s">
        <v>501</v>
      </c>
      <c r="F487" t="s">
        <v>75</v>
      </c>
      <c r="G487">
        <v>0</v>
      </c>
      <c r="H487">
        <v>0</v>
      </c>
      <c r="I487">
        <v>0</v>
      </c>
      <c r="J487">
        <v>0</v>
      </c>
      <c r="K487">
        <v>46248</v>
      </c>
      <c r="L487" t="s">
        <v>156</v>
      </c>
      <c r="M487">
        <v>0.16608996539792387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D487">
        <v>0</v>
      </c>
    </row>
    <row r="488" spans="1:82" hidden="1" x14ac:dyDescent="0.25">
      <c r="A488" t="s">
        <v>128</v>
      </c>
      <c r="B488" t="s">
        <v>503</v>
      </c>
      <c r="C488" t="s">
        <v>72</v>
      </c>
      <c r="D488" s="12">
        <v>46249</v>
      </c>
      <c r="E488" t="s">
        <v>501</v>
      </c>
      <c r="F488" t="s">
        <v>73</v>
      </c>
      <c r="G488">
        <v>0</v>
      </c>
      <c r="H488">
        <v>0</v>
      </c>
      <c r="I488">
        <v>0</v>
      </c>
      <c r="J488">
        <v>0</v>
      </c>
      <c r="K488">
        <v>46249</v>
      </c>
      <c r="L488" t="s">
        <v>155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D488">
        <v>0</v>
      </c>
    </row>
    <row r="489" spans="1:82" hidden="1" x14ac:dyDescent="0.25">
      <c r="A489" t="s">
        <v>128</v>
      </c>
      <c r="B489" t="s">
        <v>372</v>
      </c>
      <c r="C489" t="s">
        <v>72</v>
      </c>
      <c r="D489" s="12">
        <v>46249</v>
      </c>
      <c r="E489" t="s">
        <v>501</v>
      </c>
      <c r="F489" t="s">
        <v>73</v>
      </c>
      <c r="G489">
        <v>3.5876164620550925</v>
      </c>
      <c r="H489">
        <v>8.5499999999999989</v>
      </c>
      <c r="I489">
        <v>20</v>
      </c>
      <c r="J489">
        <v>8.5499999999999989</v>
      </c>
      <c r="K489">
        <v>46249</v>
      </c>
      <c r="L489" t="s">
        <v>155</v>
      </c>
      <c r="M489">
        <v>3.8235294117647038</v>
      </c>
      <c r="N489">
        <v>2.3831978948781796</v>
      </c>
      <c r="O489">
        <v>2.3831978948781796</v>
      </c>
      <c r="P489">
        <v>1.0657575725289412</v>
      </c>
      <c r="Q489">
        <v>0</v>
      </c>
      <c r="R489">
        <v>0</v>
      </c>
      <c r="S489">
        <v>1.1331978948781796</v>
      </c>
      <c r="T489">
        <v>0</v>
      </c>
      <c r="U489">
        <v>0</v>
      </c>
      <c r="V489">
        <v>0</v>
      </c>
      <c r="W489">
        <v>6.5757572528941211E-2</v>
      </c>
      <c r="X489">
        <v>0</v>
      </c>
      <c r="Y489">
        <v>0.18424242747105879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0.41960426456784711</v>
      </c>
      <c r="AL489">
        <v>0.41960426456784711</v>
      </c>
      <c r="AM489">
        <v>0.4471964224286204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0.55280357757137955</v>
      </c>
      <c r="AY489">
        <v>0</v>
      </c>
      <c r="AZ489">
        <v>0</v>
      </c>
      <c r="BA489">
        <v>0</v>
      </c>
      <c r="BB489">
        <v>0.41960426456784711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2.2361538461538473</v>
      </c>
      <c r="BI489">
        <v>2.2361538461538473</v>
      </c>
      <c r="BJ489">
        <v>0.93829969007594782</v>
      </c>
      <c r="CA489">
        <v>0</v>
      </c>
      <c r="CB489">
        <v>0</v>
      </c>
      <c r="CC489">
        <v>0</v>
      </c>
    </row>
    <row r="490" spans="1:82" hidden="1" x14ac:dyDescent="0.25">
      <c r="A490" t="s">
        <v>128</v>
      </c>
      <c r="B490" t="s">
        <v>502</v>
      </c>
      <c r="C490" t="s">
        <v>72</v>
      </c>
      <c r="D490" s="12">
        <v>46249</v>
      </c>
      <c r="E490" t="s">
        <v>501</v>
      </c>
      <c r="F490" t="s">
        <v>73</v>
      </c>
      <c r="G490">
        <v>1.8624711255077939</v>
      </c>
      <c r="H490">
        <v>0</v>
      </c>
      <c r="I490">
        <v>0</v>
      </c>
      <c r="J490">
        <v>0</v>
      </c>
      <c r="K490">
        <v>46249</v>
      </c>
      <c r="L490" t="s">
        <v>155</v>
      </c>
      <c r="M490">
        <v>1.7647058823529409</v>
      </c>
      <c r="N490">
        <v>0</v>
      </c>
      <c r="O490">
        <v>0</v>
      </c>
      <c r="P490">
        <v>0.9475077804880343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0.9475077804880343</v>
      </c>
      <c r="AA490">
        <v>5.2492219511965699E-2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H490">
        <v>0</v>
      </c>
      <c r="BI490">
        <v>0</v>
      </c>
      <c r="BJ490">
        <v>1.0554003044544167</v>
      </c>
      <c r="BK490">
        <v>5.5400304454416682E-2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1</v>
      </c>
    </row>
    <row r="491" spans="1:82" hidden="1" x14ac:dyDescent="0.25">
      <c r="A491" t="s">
        <v>128</v>
      </c>
      <c r="B491" t="s">
        <v>502</v>
      </c>
      <c r="C491" t="s">
        <v>72</v>
      </c>
      <c r="D491" s="12">
        <v>46249</v>
      </c>
      <c r="E491" t="s">
        <v>501</v>
      </c>
      <c r="F491" t="s">
        <v>74</v>
      </c>
      <c r="G491">
        <v>0</v>
      </c>
      <c r="H491">
        <v>0</v>
      </c>
      <c r="I491">
        <v>0</v>
      </c>
      <c r="J491">
        <v>0</v>
      </c>
      <c r="K491">
        <v>46249</v>
      </c>
      <c r="L491" t="s">
        <v>164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D491">
        <v>0</v>
      </c>
    </row>
    <row r="492" spans="1:82" hidden="1" x14ac:dyDescent="0.25">
      <c r="A492" t="s">
        <v>128</v>
      </c>
      <c r="B492" t="s">
        <v>372</v>
      </c>
      <c r="C492" t="s">
        <v>72</v>
      </c>
      <c r="D492" s="12">
        <v>46249</v>
      </c>
      <c r="E492" t="s">
        <v>501</v>
      </c>
      <c r="F492" t="s">
        <v>74</v>
      </c>
      <c r="G492">
        <v>0</v>
      </c>
      <c r="H492">
        <v>0</v>
      </c>
      <c r="I492">
        <v>20</v>
      </c>
      <c r="J492">
        <v>0</v>
      </c>
      <c r="K492">
        <v>46249</v>
      </c>
      <c r="L492" t="s">
        <v>164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D492">
        <v>0</v>
      </c>
    </row>
    <row r="493" spans="1:82" hidden="1" x14ac:dyDescent="0.25">
      <c r="A493" t="s">
        <v>128</v>
      </c>
      <c r="B493" t="s">
        <v>503</v>
      </c>
      <c r="C493" t="s">
        <v>72</v>
      </c>
      <c r="D493" s="12">
        <v>46249</v>
      </c>
      <c r="E493" t="s">
        <v>501</v>
      </c>
      <c r="F493" t="s">
        <v>74</v>
      </c>
      <c r="G493">
        <v>0</v>
      </c>
      <c r="H493">
        <v>0</v>
      </c>
      <c r="I493">
        <v>0</v>
      </c>
      <c r="J493">
        <v>0</v>
      </c>
      <c r="K493">
        <v>46249</v>
      </c>
      <c r="L493" t="s">
        <v>164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D493">
        <v>0</v>
      </c>
    </row>
    <row r="494" spans="1:82" hidden="1" x14ac:dyDescent="0.25">
      <c r="A494" t="s">
        <v>128</v>
      </c>
      <c r="B494" t="s">
        <v>372</v>
      </c>
      <c r="C494" t="s">
        <v>72</v>
      </c>
      <c r="D494" s="12">
        <v>46249</v>
      </c>
      <c r="E494" t="s">
        <v>501</v>
      </c>
      <c r="F494" t="s">
        <v>75</v>
      </c>
      <c r="G494">
        <v>3.2276134260703255</v>
      </c>
      <c r="H494">
        <v>2.8499999999999996</v>
      </c>
      <c r="I494">
        <v>20</v>
      </c>
      <c r="J494">
        <v>2.8499999999999996</v>
      </c>
      <c r="K494">
        <v>46249</v>
      </c>
      <c r="L494" t="s">
        <v>167</v>
      </c>
      <c r="M494">
        <v>3.7543252595155714</v>
      </c>
      <c r="N494">
        <v>0.88300537387153066</v>
      </c>
      <c r="O494">
        <v>0.88300537387153066</v>
      </c>
      <c r="P494">
        <v>1.1631892559346944</v>
      </c>
      <c r="Q494">
        <v>0.16318925593469435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0.11699462612846934</v>
      </c>
      <c r="AA494">
        <v>0</v>
      </c>
      <c r="AB494">
        <v>0</v>
      </c>
      <c r="AC494">
        <v>0</v>
      </c>
      <c r="AD494">
        <v>0</v>
      </c>
      <c r="AE494">
        <v>0.88300537387153066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1.1324959389720441</v>
      </c>
      <c r="AL494">
        <v>1.1324959389720441</v>
      </c>
      <c r="AM494">
        <v>1.317307108601955</v>
      </c>
      <c r="AN494">
        <v>0.18481116962991084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0.13249593897204415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0.7591244239631334</v>
      </c>
      <c r="BI494">
        <v>0.7591244239631334</v>
      </c>
      <c r="BJ494">
        <v>0.85970532731274096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0.14029467268725904</v>
      </c>
      <c r="BV494">
        <v>0</v>
      </c>
      <c r="BW494">
        <v>0</v>
      </c>
      <c r="BX494">
        <v>0</v>
      </c>
      <c r="BY494">
        <v>0.7591244239631334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 hidden="1" x14ac:dyDescent="0.25">
      <c r="A495" t="s">
        <v>128</v>
      </c>
      <c r="B495" t="s">
        <v>502</v>
      </c>
      <c r="C495" t="s">
        <v>72</v>
      </c>
      <c r="D495" s="12">
        <v>46249</v>
      </c>
      <c r="E495" t="s">
        <v>501</v>
      </c>
      <c r="F495" t="s">
        <v>75</v>
      </c>
      <c r="G495">
        <v>1.4435762356877015</v>
      </c>
      <c r="H495">
        <v>0</v>
      </c>
      <c r="I495">
        <v>0</v>
      </c>
      <c r="J495">
        <v>0</v>
      </c>
      <c r="K495">
        <v>46249</v>
      </c>
      <c r="L495" t="s">
        <v>167</v>
      </c>
      <c r="M495">
        <v>0.22145328719723184</v>
      </c>
      <c r="N495">
        <v>0</v>
      </c>
      <c r="O495">
        <v>0</v>
      </c>
      <c r="P495">
        <v>0.15340602160282465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0.15340602160282465</v>
      </c>
      <c r="AA495">
        <v>0.84659397839717532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H495">
        <v>0</v>
      </c>
      <c r="BI495">
        <v>0</v>
      </c>
      <c r="BJ495">
        <v>6.5186489392772771</v>
      </c>
      <c r="BK495">
        <v>5.5186489392772771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 hidden="1" x14ac:dyDescent="0.25">
      <c r="A496" t="s">
        <v>128</v>
      </c>
      <c r="B496" t="s">
        <v>503</v>
      </c>
      <c r="C496" t="s">
        <v>72</v>
      </c>
      <c r="D496" s="12">
        <v>46249</v>
      </c>
      <c r="E496" t="s">
        <v>501</v>
      </c>
      <c r="F496" t="s">
        <v>75</v>
      </c>
      <c r="G496">
        <v>0</v>
      </c>
      <c r="H496">
        <v>0</v>
      </c>
      <c r="I496">
        <v>0</v>
      </c>
      <c r="J496">
        <v>0</v>
      </c>
      <c r="K496">
        <v>46249</v>
      </c>
      <c r="L496" t="s">
        <v>167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D496">
        <v>0</v>
      </c>
    </row>
    <row r="497" spans="1:82" hidden="1" x14ac:dyDescent="0.25">
      <c r="A497" t="s">
        <v>128</v>
      </c>
      <c r="B497" t="s">
        <v>503</v>
      </c>
      <c r="C497" t="s">
        <v>72</v>
      </c>
      <c r="D497" s="12">
        <v>46250</v>
      </c>
      <c r="E497" t="s">
        <v>501</v>
      </c>
      <c r="F497" t="s">
        <v>73</v>
      </c>
      <c r="G497">
        <v>0.44854758961681102</v>
      </c>
      <c r="H497">
        <v>0</v>
      </c>
      <c r="I497">
        <v>0</v>
      </c>
      <c r="J497">
        <v>0</v>
      </c>
      <c r="K497">
        <v>46250</v>
      </c>
      <c r="L497" t="s">
        <v>168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 hidden="1" x14ac:dyDescent="0.25">
      <c r="A498" t="s">
        <v>128</v>
      </c>
      <c r="B498" t="s">
        <v>502</v>
      </c>
      <c r="C498" t="s">
        <v>72</v>
      </c>
      <c r="D498" s="12">
        <v>46250</v>
      </c>
      <c r="E498" t="s">
        <v>501</v>
      </c>
      <c r="F498" t="s">
        <v>73</v>
      </c>
      <c r="G498">
        <v>1.8624711255077939</v>
      </c>
      <c r="H498">
        <v>0</v>
      </c>
      <c r="I498">
        <v>0</v>
      </c>
      <c r="J498">
        <v>0</v>
      </c>
      <c r="K498">
        <v>46250</v>
      </c>
      <c r="L498" t="s">
        <v>168</v>
      </c>
      <c r="M498">
        <v>1.7647058823529409</v>
      </c>
      <c r="N498">
        <v>0</v>
      </c>
      <c r="O498">
        <v>0</v>
      </c>
      <c r="P498">
        <v>0.9475077804880343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0.9475077804880343</v>
      </c>
      <c r="AA498">
        <v>5.2492219511965699E-2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H498">
        <v>0</v>
      </c>
      <c r="BI498">
        <v>0</v>
      </c>
      <c r="BJ498">
        <v>1.0554003044544167</v>
      </c>
      <c r="BK498">
        <v>5.5400304454416682E-2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1</v>
      </c>
    </row>
    <row r="499" spans="1:82" hidden="1" x14ac:dyDescent="0.25">
      <c r="A499" t="s">
        <v>128</v>
      </c>
      <c r="B499" t="s">
        <v>372</v>
      </c>
      <c r="C499" t="s">
        <v>72</v>
      </c>
      <c r="D499" s="12">
        <v>46250</v>
      </c>
      <c r="E499" t="s">
        <v>501</v>
      </c>
      <c r="F499" t="s">
        <v>73</v>
      </c>
      <c r="G499">
        <v>3.5876164620550925</v>
      </c>
      <c r="H499">
        <v>6.6499999999999995</v>
      </c>
      <c r="I499">
        <v>20</v>
      </c>
      <c r="J499">
        <v>6.6499999999999995</v>
      </c>
      <c r="K499">
        <v>46250</v>
      </c>
      <c r="L499" t="s">
        <v>168</v>
      </c>
      <c r="M499">
        <v>3.7647058823529407</v>
      </c>
      <c r="N499">
        <v>1.8535983626830286</v>
      </c>
      <c r="O499">
        <v>1.8535983626830286</v>
      </c>
      <c r="P499">
        <v>1.0493613021823425</v>
      </c>
      <c r="Q499">
        <v>0</v>
      </c>
      <c r="R499">
        <v>0</v>
      </c>
      <c r="S499">
        <v>0.60359836268302858</v>
      </c>
      <c r="T499">
        <v>0</v>
      </c>
      <c r="U499">
        <v>0</v>
      </c>
      <c r="V499">
        <v>0</v>
      </c>
      <c r="W499">
        <v>4.936130218234247E-2</v>
      </c>
      <c r="X499">
        <v>0</v>
      </c>
      <c r="Y499">
        <v>0.20063869781765753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0.53949119730151773</v>
      </c>
      <c r="AL499">
        <v>0.53949119730151773</v>
      </c>
      <c r="AM499">
        <v>0.56612118531623168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0.43387881468376832</v>
      </c>
      <c r="AY499">
        <v>0</v>
      </c>
      <c r="AZ499">
        <v>0</v>
      </c>
      <c r="BA499">
        <v>0</v>
      </c>
      <c r="BB499">
        <v>0.53949119730151773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1.7664062500000002</v>
      </c>
      <c r="BI499">
        <v>1.7664062500000002</v>
      </c>
      <c r="BJ499">
        <v>0.95296062273338411</v>
      </c>
      <c r="CA499">
        <v>0</v>
      </c>
      <c r="CB499">
        <v>0</v>
      </c>
      <c r="CC499">
        <v>0</v>
      </c>
    </row>
    <row r="500" spans="1:82" hidden="1" x14ac:dyDescent="0.25">
      <c r="A500" t="s">
        <v>128</v>
      </c>
      <c r="B500" t="s">
        <v>503</v>
      </c>
      <c r="C500" t="s">
        <v>72</v>
      </c>
      <c r="D500" s="12">
        <v>46250</v>
      </c>
      <c r="E500" t="s">
        <v>501</v>
      </c>
      <c r="F500" t="s">
        <v>74</v>
      </c>
      <c r="G500">
        <v>0</v>
      </c>
      <c r="H500">
        <v>0</v>
      </c>
      <c r="I500">
        <v>0</v>
      </c>
      <c r="J500">
        <v>0</v>
      </c>
      <c r="K500">
        <v>46250</v>
      </c>
      <c r="L500" t="s">
        <v>170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D500">
        <v>0</v>
      </c>
    </row>
    <row r="501" spans="1:82" hidden="1" x14ac:dyDescent="0.25">
      <c r="A501" t="s">
        <v>128</v>
      </c>
      <c r="B501" t="s">
        <v>372</v>
      </c>
      <c r="C501" t="s">
        <v>72</v>
      </c>
      <c r="D501" s="12">
        <v>46250</v>
      </c>
      <c r="E501" t="s">
        <v>501</v>
      </c>
      <c r="F501" t="s">
        <v>74</v>
      </c>
      <c r="G501">
        <v>0</v>
      </c>
      <c r="H501">
        <v>0.95</v>
      </c>
      <c r="I501">
        <v>20</v>
      </c>
      <c r="J501">
        <v>0.95</v>
      </c>
      <c r="K501">
        <v>46250</v>
      </c>
      <c r="L501" t="s">
        <v>170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D501">
        <v>0</v>
      </c>
    </row>
    <row r="502" spans="1:82" hidden="1" x14ac:dyDescent="0.25">
      <c r="A502" t="s">
        <v>128</v>
      </c>
      <c r="B502" t="s">
        <v>502</v>
      </c>
      <c r="C502" t="s">
        <v>72</v>
      </c>
      <c r="D502" s="12">
        <v>46250</v>
      </c>
      <c r="E502" t="s">
        <v>501</v>
      </c>
      <c r="F502" t="s">
        <v>74</v>
      </c>
      <c r="G502">
        <v>0</v>
      </c>
      <c r="H502">
        <v>0</v>
      </c>
      <c r="I502">
        <v>0</v>
      </c>
      <c r="J502">
        <v>0</v>
      </c>
      <c r="K502">
        <v>46250</v>
      </c>
      <c r="L502" t="s">
        <v>170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D502">
        <v>0</v>
      </c>
    </row>
    <row r="503" spans="1:82" hidden="1" x14ac:dyDescent="0.25">
      <c r="A503" t="s">
        <v>128</v>
      </c>
      <c r="B503" t="s">
        <v>502</v>
      </c>
      <c r="C503" t="s">
        <v>72</v>
      </c>
      <c r="D503" s="12">
        <v>46250</v>
      </c>
      <c r="E503" t="s">
        <v>501</v>
      </c>
      <c r="F503" t="s">
        <v>75</v>
      </c>
      <c r="G503">
        <v>1.4435762356877015</v>
      </c>
      <c r="H503">
        <v>0</v>
      </c>
      <c r="I503">
        <v>0</v>
      </c>
      <c r="J503">
        <v>0</v>
      </c>
      <c r="K503">
        <v>46250</v>
      </c>
      <c r="L503" t="s">
        <v>171</v>
      </c>
      <c r="M503">
        <v>0.22145328719723184</v>
      </c>
      <c r="N503">
        <v>0</v>
      </c>
      <c r="O503">
        <v>0</v>
      </c>
      <c r="P503">
        <v>0.15340602160282465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0.15340602160282465</v>
      </c>
      <c r="AA503">
        <v>0.84659397839717532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H503">
        <v>0</v>
      </c>
      <c r="BI503">
        <v>0</v>
      </c>
      <c r="BJ503">
        <v>6.5186489392772771</v>
      </c>
      <c r="BK503">
        <v>5.5186489392772771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 hidden="1" x14ac:dyDescent="0.25">
      <c r="A504" t="s">
        <v>128</v>
      </c>
      <c r="B504" t="s">
        <v>372</v>
      </c>
      <c r="C504" t="s">
        <v>72</v>
      </c>
      <c r="D504" s="12">
        <v>46250</v>
      </c>
      <c r="E504" t="s">
        <v>501</v>
      </c>
      <c r="F504" t="s">
        <v>75</v>
      </c>
      <c r="G504">
        <v>3.1779578349000133</v>
      </c>
      <c r="H504">
        <v>2.8499999999999996</v>
      </c>
      <c r="I504">
        <v>20</v>
      </c>
      <c r="J504">
        <v>2.8499999999999996</v>
      </c>
      <c r="K504">
        <v>46250</v>
      </c>
      <c r="L504" t="s">
        <v>171</v>
      </c>
      <c r="M504">
        <v>3.7508650519031144</v>
      </c>
      <c r="N504">
        <v>0.89680233283827315</v>
      </c>
      <c r="O504">
        <v>0.89680233283827315</v>
      </c>
      <c r="P504">
        <v>1.1802752732309698</v>
      </c>
      <c r="Q504">
        <v>0.18027527323096981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0.10319766716172685</v>
      </c>
      <c r="AA504">
        <v>0</v>
      </c>
      <c r="AB504">
        <v>0</v>
      </c>
      <c r="AC504">
        <v>0</v>
      </c>
      <c r="AD504">
        <v>0</v>
      </c>
      <c r="AE504">
        <v>0.89680233283827315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1.1150729245263207</v>
      </c>
      <c r="AL504">
        <v>1.1150729245263207</v>
      </c>
      <c r="AM504">
        <v>1.3160930006677596</v>
      </c>
      <c r="AN504">
        <v>0.20102007614143891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0.11507292452632067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0.75982472324723238</v>
      </c>
      <c r="BI504">
        <v>0.75982472324723238</v>
      </c>
      <c r="BJ504">
        <v>0.84725997627869354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0.15274002372130646</v>
      </c>
      <c r="BV504">
        <v>0</v>
      </c>
      <c r="BW504">
        <v>0</v>
      </c>
      <c r="BX504">
        <v>0</v>
      </c>
      <c r="BY504">
        <v>0.75982472324723238</v>
      </c>
      <c r="BZ504">
        <v>0</v>
      </c>
      <c r="CA504">
        <v>0</v>
      </c>
      <c r="CB504">
        <v>0</v>
      </c>
      <c r="CC504">
        <v>0</v>
      </c>
      <c r="CD504">
        <v>0</v>
      </c>
    </row>
    <row r="505" spans="1:82" hidden="1" x14ac:dyDescent="0.25">
      <c r="A505" t="s">
        <v>128</v>
      </c>
      <c r="B505" t="s">
        <v>503</v>
      </c>
      <c r="C505" t="s">
        <v>72</v>
      </c>
      <c r="D505" s="12">
        <v>46250</v>
      </c>
      <c r="E505" t="s">
        <v>501</v>
      </c>
      <c r="F505" t="s">
        <v>75</v>
      </c>
      <c r="G505">
        <v>0</v>
      </c>
      <c r="H505">
        <v>0</v>
      </c>
      <c r="I505">
        <v>0</v>
      </c>
      <c r="J505">
        <v>0</v>
      </c>
      <c r="K505">
        <v>46250</v>
      </c>
      <c r="L505" t="s">
        <v>171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D505">
        <v>0</v>
      </c>
    </row>
    <row r="506" spans="1:82" hidden="1" x14ac:dyDescent="0.25">
      <c r="A506" t="s">
        <v>128</v>
      </c>
      <c r="B506" t="s">
        <v>503</v>
      </c>
      <c r="C506" t="s">
        <v>72</v>
      </c>
      <c r="D506" s="12">
        <v>46223</v>
      </c>
      <c r="E506" t="s">
        <v>134</v>
      </c>
      <c r="F506" t="s">
        <v>73</v>
      </c>
      <c r="G506">
        <v>1.4014745308310994</v>
      </c>
      <c r="H506">
        <v>5.6999999999999993</v>
      </c>
      <c r="I506">
        <v>10</v>
      </c>
      <c r="J506">
        <v>5.6999999999999993</v>
      </c>
      <c r="K506">
        <v>46223</v>
      </c>
      <c r="L506" t="s">
        <v>173</v>
      </c>
      <c r="M506">
        <v>0.94117647058823517</v>
      </c>
      <c r="N506">
        <v>4.0671449067431835</v>
      </c>
      <c r="O506">
        <v>4.0671449067431835</v>
      </c>
      <c r="P506">
        <v>0.67156159450867847</v>
      </c>
      <c r="Q506">
        <v>0</v>
      </c>
      <c r="R506">
        <v>0</v>
      </c>
      <c r="S506">
        <v>2.8171449067431835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0.25</v>
      </c>
      <c r="Z506">
        <v>0</v>
      </c>
      <c r="AA506">
        <v>0</v>
      </c>
      <c r="AB506">
        <v>0</v>
      </c>
      <c r="AC506">
        <v>0.32843840549132153</v>
      </c>
      <c r="AD506">
        <v>0</v>
      </c>
      <c r="AE506">
        <v>0.67156159450867847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0.24587272470721044</v>
      </c>
      <c r="AL506">
        <v>0.24587272470721044</v>
      </c>
      <c r="AM506">
        <v>0.1651186790505676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0.75412727529278956</v>
      </c>
      <c r="AY506">
        <v>0</v>
      </c>
      <c r="AZ506">
        <v>8.0754045656642848E-2</v>
      </c>
      <c r="BA506">
        <v>0</v>
      </c>
      <c r="BB506">
        <v>0.1651186790505676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6.0562500000000004</v>
      </c>
      <c r="BI506">
        <v>6.0562500000000004</v>
      </c>
      <c r="BJ506">
        <v>1.4890666890080433</v>
      </c>
      <c r="CA506">
        <v>0</v>
      </c>
      <c r="CB506">
        <v>0</v>
      </c>
      <c r="CC506">
        <v>0</v>
      </c>
    </row>
    <row r="507" spans="1:82" hidden="1" x14ac:dyDescent="0.25">
      <c r="A507" t="s">
        <v>128</v>
      </c>
      <c r="B507" t="s">
        <v>372</v>
      </c>
      <c r="C507" t="s">
        <v>72</v>
      </c>
      <c r="D507" s="12">
        <v>46223</v>
      </c>
      <c r="E507" t="s">
        <v>134</v>
      </c>
      <c r="F507" t="s">
        <v>73</v>
      </c>
      <c r="G507">
        <v>5.8323914011879046</v>
      </c>
      <c r="H507">
        <v>5.6999999999999993</v>
      </c>
      <c r="I507">
        <v>10</v>
      </c>
      <c r="J507">
        <v>5.6999999999999993</v>
      </c>
      <c r="K507">
        <v>46223</v>
      </c>
      <c r="L507" t="s">
        <v>173</v>
      </c>
      <c r="M507">
        <v>4.2297794117647056</v>
      </c>
      <c r="N507">
        <v>0.97730066587078834</v>
      </c>
      <c r="O507">
        <v>0.97730066587078834</v>
      </c>
      <c r="P507">
        <v>0.72522214659722783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2.2699334129211657E-2</v>
      </c>
      <c r="AB507">
        <v>0</v>
      </c>
      <c r="AC507">
        <v>0.25207851927356051</v>
      </c>
      <c r="AD507">
        <v>0</v>
      </c>
      <c r="AE507">
        <v>0.72522214659722783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1.0232265616119132</v>
      </c>
      <c r="AL507">
        <v>1.0232265616119132</v>
      </c>
      <c r="AM507">
        <v>0.74206656346749233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2.3226561611913166E-2</v>
      </c>
      <c r="AW507">
        <v>0</v>
      </c>
      <c r="AX507">
        <v>0</v>
      </c>
      <c r="AY507">
        <v>0</v>
      </c>
      <c r="AZ507">
        <v>0.25793343653250767</v>
      </c>
      <c r="BA507">
        <v>0</v>
      </c>
      <c r="BB507">
        <v>0.74206656346749233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1.3475880052151237</v>
      </c>
      <c r="BI507">
        <v>1.3475880052151237</v>
      </c>
      <c r="BJ507">
        <v>1.3788878410457281</v>
      </c>
      <c r="BK507">
        <v>3.1299835830604472E-2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0.34758800521512367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 hidden="1" x14ac:dyDescent="0.25">
      <c r="A508" t="s">
        <v>128</v>
      </c>
      <c r="B508" t="s">
        <v>502</v>
      </c>
      <c r="C508" t="s">
        <v>72</v>
      </c>
      <c r="D508" s="12">
        <v>46223</v>
      </c>
      <c r="E508" t="s">
        <v>134</v>
      </c>
      <c r="F508" t="s">
        <v>73</v>
      </c>
      <c r="G508">
        <v>2.6268630234208663</v>
      </c>
      <c r="H508">
        <v>5.6999999999999993</v>
      </c>
      <c r="I508">
        <v>10</v>
      </c>
      <c r="J508">
        <v>5.6999999999999993</v>
      </c>
      <c r="K508">
        <v>46223</v>
      </c>
      <c r="L508" t="s">
        <v>173</v>
      </c>
      <c r="M508">
        <v>1.7708333333333337</v>
      </c>
      <c r="N508">
        <v>2.1698885511651462</v>
      </c>
      <c r="O508">
        <v>2.1698885511651462</v>
      </c>
      <c r="P508">
        <v>0.67412473263537098</v>
      </c>
      <c r="Q508">
        <v>0</v>
      </c>
      <c r="R508">
        <v>0</v>
      </c>
      <c r="S508">
        <v>0.91988855116514623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0.25</v>
      </c>
      <c r="Z508">
        <v>0</v>
      </c>
      <c r="AA508">
        <v>0</v>
      </c>
      <c r="AB508">
        <v>0</v>
      </c>
      <c r="AC508">
        <v>0.32587526736462902</v>
      </c>
      <c r="AD508">
        <v>0</v>
      </c>
      <c r="AE508">
        <v>0.67412473263537098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0.46085316200366083</v>
      </c>
      <c r="AL508">
        <v>0.46085316200366083</v>
      </c>
      <c r="AM508">
        <v>0.31067251461988316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0.53914683799633911</v>
      </c>
      <c r="AY508">
        <v>0</v>
      </c>
      <c r="AZ508">
        <v>0.15018064738377768</v>
      </c>
      <c r="BA508">
        <v>0</v>
      </c>
      <c r="BB508">
        <v>0.31067251461988316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3.2188235294117638</v>
      </c>
      <c r="BI508">
        <v>3.2188235294117638</v>
      </c>
      <c r="BJ508">
        <v>1.4834050014611948</v>
      </c>
      <c r="CA508">
        <v>0</v>
      </c>
      <c r="CB508">
        <v>0</v>
      </c>
      <c r="CC508">
        <v>0</v>
      </c>
    </row>
    <row r="509" spans="1:82" hidden="1" x14ac:dyDescent="0.25">
      <c r="A509" t="s">
        <v>128</v>
      </c>
      <c r="B509" t="s">
        <v>503</v>
      </c>
      <c r="C509" t="s">
        <v>72</v>
      </c>
      <c r="D509" s="12">
        <v>46223</v>
      </c>
      <c r="E509" t="s">
        <v>134</v>
      </c>
      <c r="F509" t="s">
        <v>74</v>
      </c>
      <c r="G509">
        <v>1.7587131367292226</v>
      </c>
      <c r="H509">
        <v>0</v>
      </c>
      <c r="I509">
        <v>10</v>
      </c>
      <c r="J509">
        <v>0</v>
      </c>
      <c r="K509">
        <v>46223</v>
      </c>
      <c r="L509" t="s">
        <v>157</v>
      </c>
      <c r="M509">
        <v>1.0127450980392154</v>
      </c>
      <c r="N509">
        <v>0</v>
      </c>
      <c r="O509">
        <v>0</v>
      </c>
      <c r="P509">
        <v>0.57584439263510268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0.57584439263510268</v>
      </c>
      <c r="AA509">
        <v>0.42415560736489732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H509">
        <v>0</v>
      </c>
      <c r="BI509">
        <v>0</v>
      </c>
      <c r="BJ509">
        <v>1.7365802511750315</v>
      </c>
      <c r="BK509">
        <v>0.73658025117503145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</v>
      </c>
      <c r="CD509">
        <v>1</v>
      </c>
    </row>
    <row r="510" spans="1:82" hidden="1" x14ac:dyDescent="0.25">
      <c r="A510" t="s">
        <v>128</v>
      </c>
      <c r="B510" t="s">
        <v>372</v>
      </c>
      <c r="C510" t="s">
        <v>72</v>
      </c>
      <c r="D510" s="12">
        <v>46223</v>
      </c>
      <c r="E510" t="s">
        <v>134</v>
      </c>
      <c r="F510" t="s">
        <v>74</v>
      </c>
      <c r="G510">
        <v>1.2742252699784016</v>
      </c>
      <c r="H510">
        <v>0</v>
      </c>
      <c r="I510">
        <v>10</v>
      </c>
      <c r="J510">
        <v>0</v>
      </c>
      <c r="K510">
        <v>46223</v>
      </c>
      <c r="L510" t="s">
        <v>157</v>
      </c>
      <c r="M510">
        <v>0.94117647058823517</v>
      </c>
      <c r="N510">
        <v>0</v>
      </c>
      <c r="O510">
        <v>0</v>
      </c>
      <c r="P510">
        <v>0.73862643659875649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0.73862643659875649</v>
      </c>
      <c r="AA510">
        <v>0.26137356340124351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H510">
        <v>0</v>
      </c>
      <c r="BI510">
        <v>0</v>
      </c>
      <c r="BJ510">
        <v>1.3538643493520519</v>
      </c>
      <c r="BK510">
        <v>0.35386434935205191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 hidden="1" x14ac:dyDescent="0.25">
      <c r="A511" t="s">
        <v>128</v>
      </c>
      <c r="B511" t="s">
        <v>502</v>
      </c>
      <c r="C511" t="s">
        <v>72</v>
      </c>
      <c r="D511" s="12">
        <v>46223</v>
      </c>
      <c r="E511" t="s">
        <v>134</v>
      </c>
      <c r="F511" t="s">
        <v>74</v>
      </c>
      <c r="G511">
        <v>2.7219304471256209</v>
      </c>
      <c r="H511">
        <v>0</v>
      </c>
      <c r="I511">
        <v>10</v>
      </c>
      <c r="J511">
        <v>0</v>
      </c>
      <c r="K511">
        <v>46223</v>
      </c>
      <c r="L511" t="s">
        <v>157</v>
      </c>
      <c r="M511">
        <v>2.0078431372549019</v>
      </c>
      <c r="N511">
        <v>0</v>
      </c>
      <c r="O511">
        <v>0</v>
      </c>
      <c r="P511">
        <v>0.73765409376099211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0.73765409376099211</v>
      </c>
      <c r="AA511">
        <v>0.26234590623900789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H511">
        <v>0</v>
      </c>
      <c r="BI511">
        <v>0</v>
      </c>
      <c r="BJ511">
        <v>1.3556489531582683</v>
      </c>
      <c r="BK511">
        <v>0.35564895315826828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1</v>
      </c>
      <c r="CD511">
        <v>1</v>
      </c>
    </row>
    <row r="512" spans="1:82" hidden="1" x14ac:dyDescent="0.25">
      <c r="A512" t="s">
        <v>128</v>
      </c>
      <c r="B512" t="s">
        <v>503</v>
      </c>
      <c r="C512" t="s">
        <v>72</v>
      </c>
      <c r="D512" s="12">
        <v>46223</v>
      </c>
      <c r="E512" t="s">
        <v>134</v>
      </c>
      <c r="F512" t="s">
        <v>75</v>
      </c>
      <c r="G512">
        <v>2.6380697050938338</v>
      </c>
      <c r="H512">
        <v>2.8499999999999996</v>
      </c>
      <c r="I512">
        <v>10</v>
      </c>
      <c r="J512">
        <v>2.8499999999999996</v>
      </c>
      <c r="K512">
        <v>46223</v>
      </c>
      <c r="L512" t="s">
        <v>165</v>
      </c>
      <c r="M512">
        <v>2.0220588235294117</v>
      </c>
      <c r="N512">
        <v>1.0803353658536583</v>
      </c>
      <c r="O512">
        <v>1.0803353658536583</v>
      </c>
      <c r="P512">
        <v>0.76649181013868961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8.0335365853658303E-2</v>
      </c>
      <c r="Z512">
        <v>0</v>
      </c>
      <c r="AA512">
        <v>0</v>
      </c>
      <c r="AB512">
        <v>0</v>
      </c>
      <c r="AC512">
        <v>0.23350818986131039</v>
      </c>
      <c r="AD512">
        <v>0</v>
      </c>
      <c r="AE512">
        <v>0.76649181013868961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0.92563849301538037</v>
      </c>
      <c r="AL512">
        <v>0.92563849301538037</v>
      </c>
      <c r="AM512">
        <v>0.70949432404540769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7.436150698461963E-2</v>
      </c>
      <c r="AY512">
        <v>0</v>
      </c>
      <c r="AZ512">
        <v>0.21614416896997268</v>
      </c>
      <c r="BA512">
        <v>0</v>
      </c>
      <c r="BB512">
        <v>0.70949432404540769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1.4094545454545453</v>
      </c>
      <c r="BI512">
        <v>1.4094545454545453</v>
      </c>
      <c r="BJ512">
        <v>1.3046453814282233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0.30464538142822328</v>
      </c>
      <c r="BR512">
        <v>0</v>
      </c>
      <c r="BS512">
        <v>0.10480916402632201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 hidden="1" x14ac:dyDescent="0.25">
      <c r="A513" t="s">
        <v>128</v>
      </c>
      <c r="B513" t="s">
        <v>372</v>
      </c>
      <c r="C513" t="s">
        <v>72</v>
      </c>
      <c r="D513" s="12">
        <v>46223</v>
      </c>
      <c r="E513" t="s">
        <v>134</v>
      </c>
      <c r="F513" t="s">
        <v>75</v>
      </c>
      <c r="G513">
        <v>3.3729492440604751</v>
      </c>
      <c r="H513">
        <v>2.8499999999999996</v>
      </c>
      <c r="I513">
        <v>10</v>
      </c>
      <c r="J513">
        <v>2.8499999999999996</v>
      </c>
      <c r="K513">
        <v>46223</v>
      </c>
      <c r="L513" t="s">
        <v>165</v>
      </c>
      <c r="M513">
        <v>4.4273356401384074</v>
      </c>
      <c r="N513">
        <v>0.84495786736745238</v>
      </c>
      <c r="O513">
        <v>0.84495786736745238</v>
      </c>
      <c r="P513">
        <v>1.3126007300390399</v>
      </c>
      <c r="Q513">
        <v>0.31260073003903988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0.15504213263254762</v>
      </c>
      <c r="AA513">
        <v>0</v>
      </c>
      <c r="AB513">
        <v>0</v>
      </c>
      <c r="AC513">
        <v>0</v>
      </c>
      <c r="AD513">
        <v>0</v>
      </c>
      <c r="AE513">
        <v>0.84495786736745238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1.1834909628282371</v>
      </c>
      <c r="AL513">
        <v>1.1834909628282371</v>
      </c>
      <c r="AM513">
        <v>1.5534511018029502</v>
      </c>
      <c r="AN513">
        <v>0.36996013897471314</v>
      </c>
      <c r="AO513">
        <v>0</v>
      </c>
      <c r="AP513">
        <v>0</v>
      </c>
      <c r="AQ513">
        <v>0</v>
      </c>
      <c r="AR513">
        <v>0</v>
      </c>
      <c r="AS513">
        <v>0.31650903717176293</v>
      </c>
      <c r="AT513">
        <v>0.18349096282823707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0.6437280187573271</v>
      </c>
      <c r="BI513">
        <v>0.6437280187573271</v>
      </c>
      <c r="BJ513">
        <v>0.76184629271862248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0.23815370728137752</v>
      </c>
      <c r="BV513">
        <v>0</v>
      </c>
      <c r="BW513">
        <v>0</v>
      </c>
      <c r="BX513">
        <v>0</v>
      </c>
      <c r="BY513">
        <v>0.6437280187573271</v>
      </c>
      <c r="BZ513">
        <v>0</v>
      </c>
      <c r="CA513">
        <v>0</v>
      </c>
      <c r="CB513">
        <v>0</v>
      </c>
      <c r="CC513">
        <v>0</v>
      </c>
      <c r="CD513">
        <v>0</v>
      </c>
    </row>
    <row r="514" spans="1:82" hidden="1" x14ac:dyDescent="0.25">
      <c r="A514" t="s">
        <v>128</v>
      </c>
      <c r="B514" t="s">
        <v>502</v>
      </c>
      <c r="C514" t="s">
        <v>72</v>
      </c>
      <c r="D514" s="12">
        <v>46223</v>
      </c>
      <c r="E514" t="s">
        <v>134</v>
      </c>
      <c r="F514" t="s">
        <v>75</v>
      </c>
      <c r="G514">
        <v>2.4017033356990778</v>
      </c>
      <c r="H514">
        <v>2.8499999999999996</v>
      </c>
      <c r="I514">
        <v>10</v>
      </c>
      <c r="J514">
        <v>2.8499999999999996</v>
      </c>
      <c r="K514">
        <v>46223</v>
      </c>
      <c r="L514" t="s">
        <v>165</v>
      </c>
      <c r="M514">
        <v>2.1049596309111882</v>
      </c>
      <c r="N514">
        <v>1.1866578014184395</v>
      </c>
      <c r="O514">
        <v>1.1866578014184395</v>
      </c>
      <c r="P514">
        <v>0.87644447989180363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0.18665780141843946</v>
      </c>
      <c r="Z514">
        <v>0</v>
      </c>
      <c r="AA514">
        <v>0</v>
      </c>
      <c r="AB514">
        <v>0</v>
      </c>
      <c r="AC514">
        <v>0.12355552010819637</v>
      </c>
      <c r="AD514">
        <v>0</v>
      </c>
      <c r="AE514">
        <v>0.87644447989180363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0.84270292480669406</v>
      </c>
      <c r="AL514">
        <v>0.84270292480669406</v>
      </c>
      <c r="AM514">
        <v>0.73858232663550472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0.15729707519330594</v>
      </c>
      <c r="AY514">
        <v>0</v>
      </c>
      <c r="AZ514">
        <v>0.10412059817118935</v>
      </c>
      <c r="BA514">
        <v>0</v>
      </c>
      <c r="BB514">
        <v>0.73858232663550472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1.3539452054794519</v>
      </c>
      <c r="BI514">
        <v>1.3539452054794519</v>
      </c>
      <c r="BJ514">
        <v>1.1409735846855344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0.14097358468553445</v>
      </c>
      <c r="BR514">
        <v>0</v>
      </c>
      <c r="BS514">
        <v>0.2129716207939174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</row>
    <row r="515" spans="1:82" hidden="1" x14ac:dyDescent="0.25">
      <c r="A515" t="s">
        <v>128</v>
      </c>
      <c r="B515" t="s">
        <v>372</v>
      </c>
      <c r="C515" t="s">
        <v>72</v>
      </c>
      <c r="D515" s="12">
        <v>46224</v>
      </c>
      <c r="E515" t="s">
        <v>134</v>
      </c>
      <c r="F515" t="s">
        <v>73</v>
      </c>
      <c r="G515">
        <v>5.8323914011879054</v>
      </c>
      <c r="H515">
        <v>5.6999999999999993</v>
      </c>
      <c r="I515">
        <v>10</v>
      </c>
      <c r="J515">
        <v>5.6999999999999993</v>
      </c>
      <c r="K515">
        <v>46224</v>
      </c>
      <c r="L515" t="s">
        <v>172</v>
      </c>
      <c r="M515">
        <v>4.2886029411764692</v>
      </c>
      <c r="N515">
        <v>0.97730066587078823</v>
      </c>
      <c r="O515">
        <v>0.97730066587078823</v>
      </c>
      <c r="P515">
        <v>0.7353078087837166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2.2699334129211768E-2</v>
      </c>
      <c r="AB515">
        <v>0</v>
      </c>
      <c r="AC515">
        <v>0.24199285708707163</v>
      </c>
      <c r="AD515">
        <v>0</v>
      </c>
      <c r="AE515">
        <v>0.7353078087837166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1.0232265616119134</v>
      </c>
      <c r="AL515">
        <v>1.0232265616119134</v>
      </c>
      <c r="AM515">
        <v>0.75238648090815263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2.3226561611913388E-2</v>
      </c>
      <c r="AW515">
        <v>0</v>
      </c>
      <c r="AX515">
        <v>0</v>
      </c>
      <c r="AY515">
        <v>0</v>
      </c>
      <c r="AZ515">
        <v>0.24761351909184737</v>
      </c>
      <c r="BA515">
        <v>0</v>
      </c>
      <c r="BB515">
        <v>0.75238648090815263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1.3291041577368199</v>
      </c>
      <c r="BI515">
        <v>1.3291041577368199</v>
      </c>
      <c r="BJ515">
        <v>1.3599746773451442</v>
      </c>
      <c r="BK515">
        <v>3.0870519608324321E-2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0.32910415773681989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</row>
    <row r="516" spans="1:82" hidden="1" x14ac:dyDescent="0.25">
      <c r="A516" t="s">
        <v>128</v>
      </c>
      <c r="B516" t="s">
        <v>502</v>
      </c>
      <c r="C516" t="s">
        <v>72</v>
      </c>
      <c r="D516" s="12">
        <v>46224</v>
      </c>
      <c r="E516" t="s">
        <v>134</v>
      </c>
      <c r="F516" t="s">
        <v>73</v>
      </c>
      <c r="G516">
        <v>3.9027679205110006</v>
      </c>
      <c r="H516">
        <v>5.6999999999999993</v>
      </c>
      <c r="I516">
        <v>10</v>
      </c>
      <c r="J516">
        <v>5.6999999999999993</v>
      </c>
      <c r="K516">
        <v>46224</v>
      </c>
      <c r="L516" t="s">
        <v>172</v>
      </c>
      <c r="M516">
        <v>2.0061274509803924</v>
      </c>
      <c r="N516">
        <v>1.4605019094380796</v>
      </c>
      <c r="O516">
        <v>1.4605019094380796</v>
      </c>
      <c r="P516">
        <v>0.51402683732158083</v>
      </c>
      <c r="Q516">
        <v>0</v>
      </c>
      <c r="R516">
        <v>0</v>
      </c>
      <c r="S516">
        <v>0.21050190943807956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0.25</v>
      </c>
      <c r="Z516">
        <v>0</v>
      </c>
      <c r="AA516">
        <v>0</v>
      </c>
      <c r="AB516">
        <v>0</v>
      </c>
      <c r="AC516">
        <v>0.48597316267841917</v>
      </c>
      <c r="AD516">
        <v>0</v>
      </c>
      <c r="AE516">
        <v>0.51402683732158083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0.68469612640543875</v>
      </c>
      <c r="AL516">
        <v>0.68469612640543875</v>
      </c>
      <c r="AM516">
        <v>0.35195218438252501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0.31530387359456125</v>
      </c>
      <c r="AY516">
        <v>0</v>
      </c>
      <c r="AZ516">
        <v>0.33274394202291374</v>
      </c>
      <c r="BA516">
        <v>0</v>
      </c>
      <c r="BB516">
        <v>0.35195218438252501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2.8412950519242512</v>
      </c>
      <c r="BI516">
        <v>2.8412950519242512</v>
      </c>
      <c r="BJ516">
        <v>1.9454237160274748</v>
      </c>
      <c r="CA516">
        <v>0</v>
      </c>
      <c r="CB516">
        <v>0</v>
      </c>
      <c r="CC516">
        <v>0</v>
      </c>
    </row>
    <row r="517" spans="1:82" hidden="1" x14ac:dyDescent="0.25">
      <c r="A517" t="s">
        <v>128</v>
      </c>
      <c r="B517" t="s">
        <v>503</v>
      </c>
      <c r="C517" t="s">
        <v>72</v>
      </c>
      <c r="D517" s="12">
        <v>46224</v>
      </c>
      <c r="E517" t="s">
        <v>134</v>
      </c>
      <c r="F517" t="s">
        <v>73</v>
      </c>
      <c r="G517">
        <v>1.4014745308310996</v>
      </c>
      <c r="H517">
        <v>5.6999999999999993</v>
      </c>
      <c r="I517">
        <v>10</v>
      </c>
      <c r="J517">
        <v>5.6999999999999993</v>
      </c>
      <c r="K517">
        <v>46224</v>
      </c>
      <c r="L517" t="s">
        <v>172</v>
      </c>
      <c r="M517">
        <v>1.0896139705882353</v>
      </c>
      <c r="N517">
        <v>4.0671449067431835</v>
      </c>
      <c r="O517">
        <v>4.0671449067431835</v>
      </c>
      <c r="P517">
        <v>0.77747682645511551</v>
      </c>
      <c r="Q517">
        <v>0</v>
      </c>
      <c r="R517">
        <v>0</v>
      </c>
      <c r="S517">
        <v>2.8171449067431835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0.25</v>
      </c>
      <c r="Z517">
        <v>0</v>
      </c>
      <c r="AA517">
        <v>0</v>
      </c>
      <c r="AB517">
        <v>0</v>
      </c>
      <c r="AC517">
        <v>0.22252317354488449</v>
      </c>
      <c r="AD517">
        <v>0</v>
      </c>
      <c r="AE517">
        <v>0.77747682645511551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0.2458727247072105</v>
      </c>
      <c r="AL517">
        <v>0.2458727247072105</v>
      </c>
      <c r="AM517">
        <v>0.19116034571723428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0.75412727529278945</v>
      </c>
      <c r="AY517">
        <v>0</v>
      </c>
      <c r="AZ517">
        <v>5.4712378989976218E-2</v>
      </c>
      <c r="BA517">
        <v>0</v>
      </c>
      <c r="BB517">
        <v>0.19116034571723428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5.2312104597216358</v>
      </c>
      <c r="BI517">
        <v>5.2312104597216358</v>
      </c>
      <c r="BJ517">
        <v>1.2862119692486178</v>
      </c>
      <c r="CA517">
        <v>0</v>
      </c>
      <c r="CB517">
        <v>0</v>
      </c>
      <c r="CC517">
        <v>0</v>
      </c>
    </row>
    <row r="518" spans="1:82" hidden="1" x14ac:dyDescent="0.25">
      <c r="A518" t="s">
        <v>128</v>
      </c>
      <c r="B518" t="s">
        <v>372</v>
      </c>
      <c r="C518" t="s">
        <v>72</v>
      </c>
      <c r="D518" s="12">
        <v>46224</v>
      </c>
      <c r="E518" t="s">
        <v>134</v>
      </c>
      <c r="F518" t="s">
        <v>74</v>
      </c>
      <c r="G518">
        <v>1.2742252699784016</v>
      </c>
      <c r="H518">
        <v>0</v>
      </c>
      <c r="I518">
        <v>10</v>
      </c>
      <c r="J518">
        <v>0</v>
      </c>
      <c r="K518">
        <v>46224</v>
      </c>
      <c r="L518" t="s">
        <v>169</v>
      </c>
      <c r="M518">
        <v>0.94117647058823517</v>
      </c>
      <c r="N518">
        <v>0</v>
      </c>
      <c r="O518">
        <v>0</v>
      </c>
      <c r="P518">
        <v>0.73862643659875649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0.73862643659875649</v>
      </c>
      <c r="AA518">
        <v>0.26137356340124351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H518">
        <v>0</v>
      </c>
      <c r="BI518">
        <v>0</v>
      </c>
      <c r="BJ518">
        <v>1.3538643493520519</v>
      </c>
      <c r="BK518">
        <v>0.35386434935205191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</row>
    <row r="519" spans="1:82" hidden="1" x14ac:dyDescent="0.25">
      <c r="A519" t="s">
        <v>128</v>
      </c>
      <c r="B519" t="s">
        <v>502</v>
      </c>
      <c r="C519" t="s">
        <v>72</v>
      </c>
      <c r="D519" s="12">
        <v>46224</v>
      </c>
      <c r="E519" t="s">
        <v>134</v>
      </c>
      <c r="F519" t="s">
        <v>74</v>
      </c>
      <c r="G519">
        <v>2.7219304471256209</v>
      </c>
      <c r="H519">
        <v>0</v>
      </c>
      <c r="I519">
        <v>10</v>
      </c>
      <c r="J519">
        <v>0</v>
      </c>
      <c r="K519">
        <v>46224</v>
      </c>
      <c r="L519" t="s">
        <v>169</v>
      </c>
      <c r="M519">
        <v>2.0078431372549019</v>
      </c>
      <c r="N519">
        <v>0</v>
      </c>
      <c r="O519">
        <v>0</v>
      </c>
      <c r="P519">
        <v>0.73765409376099211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0.73765409376099211</v>
      </c>
      <c r="AA519">
        <v>0.26234590623900789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H519">
        <v>0</v>
      </c>
      <c r="BI519">
        <v>0</v>
      </c>
      <c r="BJ519">
        <v>1.3556489531582683</v>
      </c>
      <c r="BK519">
        <v>0.35564895315826828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1</v>
      </c>
      <c r="CD519">
        <v>1</v>
      </c>
    </row>
    <row r="520" spans="1:82" hidden="1" x14ac:dyDescent="0.25">
      <c r="A520" t="s">
        <v>128</v>
      </c>
      <c r="B520" t="s">
        <v>503</v>
      </c>
      <c r="C520" t="s">
        <v>72</v>
      </c>
      <c r="D520" s="12">
        <v>46224</v>
      </c>
      <c r="E520" t="s">
        <v>134</v>
      </c>
      <c r="F520" t="s">
        <v>74</v>
      </c>
      <c r="G520">
        <v>1.7587131367292226</v>
      </c>
      <c r="H520">
        <v>0</v>
      </c>
      <c r="I520">
        <v>10</v>
      </c>
      <c r="J520">
        <v>0</v>
      </c>
      <c r="K520">
        <v>46224</v>
      </c>
      <c r="L520" t="s">
        <v>169</v>
      </c>
      <c r="M520">
        <v>0.94999999999999973</v>
      </c>
      <c r="N520">
        <v>0</v>
      </c>
      <c r="O520">
        <v>0</v>
      </c>
      <c r="P520">
        <v>0.54016768292682915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0.54016768292682915</v>
      </c>
      <c r="AA520">
        <v>0.45983231707317085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H520">
        <v>0</v>
      </c>
      <c r="BI520">
        <v>0</v>
      </c>
      <c r="BJ520">
        <v>1.8512769860307612</v>
      </c>
      <c r="BK520">
        <v>0.85127698603076118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 hidden="1" x14ac:dyDescent="0.25">
      <c r="A521" t="s">
        <v>128</v>
      </c>
      <c r="B521" t="s">
        <v>372</v>
      </c>
      <c r="C521" t="s">
        <v>72</v>
      </c>
      <c r="D521" s="12">
        <v>46224</v>
      </c>
      <c r="E521" t="s">
        <v>134</v>
      </c>
      <c r="F521" t="s">
        <v>75</v>
      </c>
      <c r="G521">
        <v>3.3729492440604751</v>
      </c>
      <c r="H521">
        <v>0.95</v>
      </c>
      <c r="I521">
        <v>10</v>
      </c>
      <c r="J521">
        <v>0.95</v>
      </c>
      <c r="K521">
        <v>46224</v>
      </c>
      <c r="L521" t="s">
        <v>166</v>
      </c>
      <c r="M521">
        <v>3.4861591695501715</v>
      </c>
      <c r="N521">
        <v>0.28165262245581746</v>
      </c>
      <c r="O521">
        <v>0.28165262245581746</v>
      </c>
      <c r="P521">
        <v>1.0335640762128429</v>
      </c>
      <c r="Q521">
        <v>3.3564076212842853E-2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0.71834737754418254</v>
      </c>
      <c r="AA521">
        <v>0</v>
      </c>
      <c r="AB521">
        <v>0</v>
      </c>
      <c r="AC521">
        <v>0</v>
      </c>
      <c r="AD521">
        <v>0</v>
      </c>
      <c r="AE521">
        <v>0.28165262245581746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3.5504728884847108</v>
      </c>
      <c r="AL521">
        <v>3.5504728884847108</v>
      </c>
      <c r="AM521">
        <v>3.6696412311054436</v>
      </c>
      <c r="BD521">
        <v>0</v>
      </c>
      <c r="BE521">
        <v>0</v>
      </c>
      <c r="BF521">
        <v>0</v>
      </c>
      <c r="BH521">
        <v>0.2725062034739455</v>
      </c>
      <c r="BI521">
        <v>0.2725062034739455</v>
      </c>
      <c r="BJ521">
        <v>0.96752588737814171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3.2474112621858287E-2</v>
      </c>
      <c r="BV521">
        <v>0</v>
      </c>
      <c r="BW521">
        <v>0</v>
      </c>
      <c r="BX521">
        <v>0</v>
      </c>
      <c r="BY521">
        <v>0.2725062034739455</v>
      </c>
      <c r="BZ521">
        <v>0</v>
      </c>
      <c r="CA521">
        <v>0</v>
      </c>
      <c r="CB521">
        <v>0</v>
      </c>
      <c r="CC521">
        <v>0</v>
      </c>
      <c r="CD521">
        <v>0</v>
      </c>
    </row>
    <row r="522" spans="1:82" hidden="1" x14ac:dyDescent="0.25">
      <c r="A522" t="s">
        <v>128</v>
      </c>
      <c r="B522" t="s">
        <v>502</v>
      </c>
      <c r="C522" t="s">
        <v>72</v>
      </c>
      <c r="D522" s="12">
        <v>46224</v>
      </c>
      <c r="E522" t="s">
        <v>134</v>
      </c>
      <c r="F522" t="s">
        <v>75</v>
      </c>
      <c r="G522">
        <v>2.4017033356990773</v>
      </c>
      <c r="H522">
        <v>0.95</v>
      </c>
      <c r="I522">
        <v>10</v>
      </c>
      <c r="J522">
        <v>0.95</v>
      </c>
      <c r="K522">
        <v>46224</v>
      </c>
      <c r="L522" t="s">
        <v>166</v>
      </c>
      <c r="M522">
        <v>2.1049596309111882</v>
      </c>
      <c r="N522">
        <v>0.39555260047281321</v>
      </c>
      <c r="O522">
        <v>0.39555260047281321</v>
      </c>
      <c r="P522">
        <v>0.87644447989180385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0.48089187941899064</v>
      </c>
      <c r="AA522">
        <v>0.12355552010819615</v>
      </c>
      <c r="AB522">
        <v>0</v>
      </c>
      <c r="AC522">
        <v>0</v>
      </c>
      <c r="AD522">
        <v>0</v>
      </c>
      <c r="AE522">
        <v>0.39555260047281321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2.5281087744200814</v>
      </c>
      <c r="AL522">
        <v>2.5281087744200814</v>
      </c>
      <c r="AM522">
        <v>2.2157469799065139</v>
      </c>
      <c r="BD522">
        <v>0</v>
      </c>
      <c r="BE522">
        <v>0</v>
      </c>
      <c r="BF522">
        <v>0</v>
      </c>
      <c r="BH522">
        <v>0.45131506849315062</v>
      </c>
      <c r="BI522">
        <v>0.45131506849315062</v>
      </c>
      <c r="BJ522">
        <v>1.1409735846855342</v>
      </c>
      <c r="BK522">
        <v>0.14097358468553423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0.60444739952718685</v>
      </c>
      <c r="BU522">
        <v>0</v>
      </c>
      <c r="BV522">
        <v>0</v>
      </c>
      <c r="BW522">
        <v>0</v>
      </c>
      <c r="BX522">
        <v>0</v>
      </c>
      <c r="BY522">
        <v>0.45131506849315062</v>
      </c>
      <c r="BZ522">
        <v>0</v>
      </c>
      <c r="CA522">
        <v>0</v>
      </c>
      <c r="CB522">
        <v>0</v>
      </c>
      <c r="CC522">
        <v>0</v>
      </c>
      <c r="CD522">
        <v>0</v>
      </c>
    </row>
    <row r="523" spans="1:82" hidden="1" x14ac:dyDescent="0.25">
      <c r="A523" t="s">
        <v>128</v>
      </c>
      <c r="B523" t="s">
        <v>503</v>
      </c>
      <c r="C523" t="s">
        <v>72</v>
      </c>
      <c r="D523" s="12">
        <v>46224</v>
      </c>
      <c r="E523" t="s">
        <v>134</v>
      </c>
      <c r="F523" t="s">
        <v>75</v>
      </c>
      <c r="G523">
        <v>2.6380697050938338</v>
      </c>
      <c r="H523">
        <v>0.95</v>
      </c>
      <c r="I523">
        <v>10</v>
      </c>
      <c r="J523">
        <v>0.95</v>
      </c>
      <c r="K523">
        <v>46224</v>
      </c>
      <c r="L523" t="s">
        <v>166</v>
      </c>
      <c r="M523">
        <v>1.1362456747404843</v>
      </c>
      <c r="N523">
        <v>0.36011178861788617</v>
      </c>
      <c r="O523">
        <v>0.36011178861788617</v>
      </c>
      <c r="P523">
        <v>0.43071101288435026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7.0599224266464089E-2</v>
      </c>
      <c r="AA523">
        <v>0.56928898711564968</v>
      </c>
      <c r="AB523">
        <v>0</v>
      </c>
      <c r="AC523">
        <v>0</v>
      </c>
      <c r="AD523">
        <v>0</v>
      </c>
      <c r="AE523">
        <v>0.36011178861788617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2.7769154790461408</v>
      </c>
      <c r="AL523">
        <v>2.7769154790461408</v>
      </c>
      <c r="AM523">
        <v>1.196048078674194</v>
      </c>
      <c r="BD523">
        <v>0</v>
      </c>
      <c r="BE523">
        <v>0</v>
      </c>
      <c r="BF523">
        <v>0</v>
      </c>
      <c r="BH523">
        <v>0.83608679101636851</v>
      </c>
      <c r="BI523">
        <v>0.83608679101636851</v>
      </c>
      <c r="BJ523">
        <v>2.3217423517993696</v>
      </c>
      <c r="BK523">
        <v>1.3217423517993696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0.63988821138211383</v>
      </c>
      <c r="BU523">
        <v>0</v>
      </c>
      <c r="BV523">
        <v>0</v>
      </c>
      <c r="BW523">
        <v>0</v>
      </c>
      <c r="BX523">
        <v>0</v>
      </c>
      <c r="BY523">
        <v>0.83608679101636851</v>
      </c>
      <c r="BZ523">
        <v>0</v>
      </c>
      <c r="CA523">
        <v>0</v>
      </c>
      <c r="CB523">
        <v>0</v>
      </c>
      <c r="CC523">
        <v>0</v>
      </c>
      <c r="CD523">
        <v>0</v>
      </c>
    </row>
    <row r="524" spans="1:82" hidden="1" x14ac:dyDescent="0.25">
      <c r="A524" t="s">
        <v>128</v>
      </c>
      <c r="B524" t="s">
        <v>503</v>
      </c>
      <c r="C524" t="s">
        <v>72</v>
      </c>
      <c r="D524" s="12">
        <v>46225</v>
      </c>
      <c r="E524" t="s">
        <v>134</v>
      </c>
      <c r="F524" t="s">
        <v>73</v>
      </c>
      <c r="G524">
        <v>2.8029490616621988</v>
      </c>
      <c r="H524">
        <v>3.8</v>
      </c>
      <c r="I524">
        <v>10</v>
      </c>
      <c r="J524">
        <v>3.8</v>
      </c>
      <c r="K524">
        <v>46225</v>
      </c>
      <c r="L524" t="s">
        <v>163</v>
      </c>
      <c r="M524">
        <v>1.0896139705882353</v>
      </c>
      <c r="N524">
        <v>1.3557149689143948</v>
      </c>
      <c r="O524">
        <v>1.3557149689143948</v>
      </c>
      <c r="P524">
        <v>0.38873841322755781</v>
      </c>
      <c r="Q524">
        <v>0</v>
      </c>
      <c r="R524">
        <v>0</v>
      </c>
      <c r="S524">
        <v>0.1057149689143948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0.25</v>
      </c>
      <c r="Z524">
        <v>0</v>
      </c>
      <c r="AA524">
        <v>0</v>
      </c>
      <c r="AB524">
        <v>0</v>
      </c>
      <c r="AC524">
        <v>0.61126158677244224</v>
      </c>
      <c r="AD524">
        <v>0</v>
      </c>
      <c r="AE524">
        <v>0.38873841322755781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0.73761817412163133</v>
      </c>
      <c r="AL524">
        <v>0.73761817412163133</v>
      </c>
      <c r="AM524">
        <v>0.28674051857585142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0.26238182587836867</v>
      </c>
      <c r="AY524">
        <v>0</v>
      </c>
      <c r="AZ524">
        <v>0.45087765554577991</v>
      </c>
      <c r="BA524">
        <v>0</v>
      </c>
      <c r="BB524">
        <v>0.28674051857585142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3.4874736398144242</v>
      </c>
      <c r="BI524">
        <v>3.4874736398144242</v>
      </c>
      <c r="BJ524">
        <v>2.5724239384972352</v>
      </c>
      <c r="CA524">
        <v>0</v>
      </c>
      <c r="CB524">
        <v>0</v>
      </c>
      <c r="CC524">
        <v>0</v>
      </c>
    </row>
    <row r="525" spans="1:82" hidden="1" x14ac:dyDescent="0.25">
      <c r="A525" t="s">
        <v>128</v>
      </c>
      <c r="B525" t="s">
        <v>372</v>
      </c>
      <c r="C525" t="s">
        <v>72</v>
      </c>
      <c r="D525" s="12">
        <v>46225</v>
      </c>
      <c r="E525" t="s">
        <v>134</v>
      </c>
      <c r="F525" t="s">
        <v>73</v>
      </c>
      <c r="G525">
        <v>4.6378052105831538</v>
      </c>
      <c r="H525">
        <v>3.8</v>
      </c>
      <c r="I525">
        <v>10</v>
      </c>
      <c r="J525">
        <v>3.8</v>
      </c>
      <c r="K525">
        <v>46225</v>
      </c>
      <c r="L525" t="s">
        <v>163</v>
      </c>
      <c r="M525">
        <v>2.7656250000000009</v>
      </c>
      <c r="N525">
        <v>0.81935308350783254</v>
      </c>
      <c r="O525">
        <v>0.81935308350783254</v>
      </c>
      <c r="P525">
        <v>0.59632193988851323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0.18064691649216746</v>
      </c>
      <c r="AB525">
        <v>0</v>
      </c>
      <c r="AC525">
        <v>0.22303114361931931</v>
      </c>
      <c r="AD525">
        <v>0</v>
      </c>
      <c r="AE525">
        <v>0.59632193988851323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1.2204750554166195</v>
      </c>
      <c r="AL525">
        <v>1.2204750554166195</v>
      </c>
      <c r="AM525">
        <v>0.7277960526315792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0.22047505541661949</v>
      </c>
      <c r="AW525">
        <v>0</v>
      </c>
      <c r="AX525">
        <v>0</v>
      </c>
      <c r="AY525">
        <v>0</v>
      </c>
      <c r="AZ525">
        <v>0.2722039473684208</v>
      </c>
      <c r="BA525">
        <v>0</v>
      </c>
      <c r="BB525">
        <v>0.7277960526315792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1.3740112994350278</v>
      </c>
      <c r="BI525">
        <v>1.3740112994350278</v>
      </c>
      <c r="BJ525">
        <v>1.6769465168210269</v>
      </c>
      <c r="BK525">
        <v>0.30293521738599916</v>
      </c>
      <c r="BL525">
        <v>0</v>
      </c>
      <c r="BM525">
        <v>0</v>
      </c>
      <c r="BN525">
        <v>0</v>
      </c>
      <c r="BO525">
        <v>0</v>
      </c>
      <c r="BP525">
        <v>0.12598870056497224</v>
      </c>
      <c r="BQ525">
        <v>0.37401129943502776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</row>
    <row r="526" spans="1:82" hidden="1" x14ac:dyDescent="0.25">
      <c r="A526" t="s">
        <v>128</v>
      </c>
      <c r="B526" t="s">
        <v>502</v>
      </c>
      <c r="C526" t="s">
        <v>72</v>
      </c>
      <c r="D526" s="12">
        <v>46225</v>
      </c>
      <c r="E526" t="s">
        <v>134</v>
      </c>
      <c r="F526" t="s">
        <v>73</v>
      </c>
      <c r="G526">
        <v>2.6268630234208659</v>
      </c>
      <c r="H526">
        <v>3.8</v>
      </c>
      <c r="I526">
        <v>10</v>
      </c>
      <c r="J526">
        <v>3.8</v>
      </c>
      <c r="K526">
        <v>46225</v>
      </c>
      <c r="L526" t="s">
        <v>163</v>
      </c>
      <c r="M526">
        <v>2.0061274509803924</v>
      </c>
      <c r="N526">
        <v>1.4465923674434311</v>
      </c>
      <c r="O526">
        <v>1.4465923674434311</v>
      </c>
      <c r="P526">
        <v>0.76369701544920576</v>
      </c>
      <c r="Q526">
        <v>0</v>
      </c>
      <c r="R526">
        <v>0</v>
      </c>
      <c r="S526">
        <v>0.19659236744343112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0.25</v>
      </c>
      <c r="Z526">
        <v>0</v>
      </c>
      <c r="AA526">
        <v>0</v>
      </c>
      <c r="AB526">
        <v>0</v>
      </c>
      <c r="AC526">
        <v>0.23630298455079424</v>
      </c>
      <c r="AD526">
        <v>0</v>
      </c>
      <c r="AE526">
        <v>0.76369701544920576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0.691279743005491</v>
      </c>
      <c r="AL526">
        <v>0.691279743005491</v>
      </c>
      <c r="AM526">
        <v>0.52792827657378749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0.308720256994509</v>
      </c>
      <c r="AY526">
        <v>0</v>
      </c>
      <c r="AZ526">
        <v>0.16335146643170351</v>
      </c>
      <c r="BA526">
        <v>0</v>
      </c>
      <c r="BB526">
        <v>0.52792827657378749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1.8941967012828342</v>
      </c>
      <c r="BI526">
        <v>1.8941967012828342</v>
      </c>
      <c r="BJ526">
        <v>1.3094198088646465</v>
      </c>
      <c r="CA526">
        <v>0</v>
      </c>
      <c r="CB526">
        <v>0</v>
      </c>
      <c r="CC526">
        <v>0</v>
      </c>
    </row>
    <row r="527" spans="1:82" hidden="1" x14ac:dyDescent="0.25">
      <c r="A527" t="s">
        <v>128</v>
      </c>
      <c r="B527" t="s">
        <v>503</v>
      </c>
      <c r="C527" t="s">
        <v>72</v>
      </c>
      <c r="D527" s="12">
        <v>46225</v>
      </c>
      <c r="E527" t="s">
        <v>134</v>
      </c>
      <c r="F527" t="s">
        <v>74</v>
      </c>
      <c r="G527">
        <v>1.7587131367292226</v>
      </c>
      <c r="H527">
        <v>0</v>
      </c>
      <c r="I527">
        <v>10</v>
      </c>
      <c r="J527">
        <v>0</v>
      </c>
      <c r="K527">
        <v>46225</v>
      </c>
      <c r="L527" t="s">
        <v>160</v>
      </c>
      <c r="M527">
        <v>6.2745098039215685E-2</v>
      </c>
      <c r="N527">
        <v>0</v>
      </c>
      <c r="O527">
        <v>0</v>
      </c>
      <c r="P527">
        <v>3.5676709708273552E-2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3.5676709708273552E-2</v>
      </c>
      <c r="AA527">
        <v>0.96432329029172648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H527">
        <v>0</v>
      </c>
      <c r="BI527">
        <v>0</v>
      </c>
      <c r="BJ527">
        <v>28.029490616621985</v>
      </c>
      <c r="BK527">
        <v>27.029490616621985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 hidden="1" x14ac:dyDescent="0.25">
      <c r="A528" t="s">
        <v>128</v>
      </c>
      <c r="B528" t="s">
        <v>372</v>
      </c>
      <c r="C528" t="s">
        <v>72</v>
      </c>
      <c r="D528" s="12">
        <v>46225</v>
      </c>
      <c r="E528" t="s">
        <v>134</v>
      </c>
      <c r="F528" t="s">
        <v>74</v>
      </c>
      <c r="G528">
        <v>1.2742252699784016</v>
      </c>
      <c r="H528">
        <v>0</v>
      </c>
      <c r="I528">
        <v>10</v>
      </c>
      <c r="J528">
        <v>0</v>
      </c>
      <c r="K528">
        <v>46225</v>
      </c>
      <c r="L528" t="s">
        <v>160</v>
      </c>
      <c r="M528">
        <v>0.94117647058823517</v>
      </c>
      <c r="N528">
        <v>0</v>
      </c>
      <c r="O528">
        <v>0</v>
      </c>
      <c r="P528">
        <v>0.73862643659875649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0.73862643659875649</v>
      </c>
      <c r="AA528">
        <v>0.26137356340124351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H528">
        <v>0</v>
      </c>
      <c r="BI528">
        <v>0</v>
      </c>
      <c r="BJ528">
        <v>1.3538643493520519</v>
      </c>
      <c r="BK528">
        <v>0.35386434935205191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 hidden="1" x14ac:dyDescent="0.25">
      <c r="A529" t="s">
        <v>128</v>
      </c>
      <c r="B529" t="s">
        <v>502</v>
      </c>
      <c r="C529" t="s">
        <v>72</v>
      </c>
      <c r="D529" s="12">
        <v>46225</v>
      </c>
      <c r="E529" t="s">
        <v>134</v>
      </c>
      <c r="F529" t="s">
        <v>74</v>
      </c>
      <c r="G529">
        <v>2.7219304471256209</v>
      </c>
      <c r="H529">
        <v>0</v>
      </c>
      <c r="I529">
        <v>10</v>
      </c>
      <c r="J529">
        <v>0</v>
      </c>
      <c r="K529">
        <v>46225</v>
      </c>
      <c r="L529" t="s">
        <v>160</v>
      </c>
      <c r="M529">
        <v>2.0078431372549019</v>
      </c>
      <c r="N529">
        <v>0</v>
      </c>
      <c r="O529">
        <v>0</v>
      </c>
      <c r="P529">
        <v>0.73765409376099211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0.73765409376099211</v>
      </c>
      <c r="AA529">
        <v>0.26234590623900789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H529">
        <v>0</v>
      </c>
      <c r="BI529">
        <v>0</v>
      </c>
      <c r="BJ529">
        <v>1.3556489531582683</v>
      </c>
      <c r="BK529">
        <v>0.35564895315826828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1</v>
      </c>
    </row>
    <row r="530" spans="1:82" hidden="1" x14ac:dyDescent="0.25">
      <c r="A530" t="s">
        <v>128</v>
      </c>
      <c r="B530" t="s">
        <v>502</v>
      </c>
      <c r="C530" t="s">
        <v>72</v>
      </c>
      <c r="D530" s="12">
        <v>46225</v>
      </c>
      <c r="E530" t="s">
        <v>134</v>
      </c>
      <c r="F530" t="s">
        <v>75</v>
      </c>
      <c r="G530">
        <v>2.4017033356990778</v>
      </c>
      <c r="H530">
        <v>4.75</v>
      </c>
      <c r="I530">
        <v>10</v>
      </c>
      <c r="J530">
        <v>4.75</v>
      </c>
      <c r="K530">
        <v>46225</v>
      </c>
      <c r="L530" t="s">
        <v>212</v>
      </c>
      <c r="M530">
        <v>2.1049596309111882</v>
      </c>
      <c r="N530">
        <v>1.9777630023640658</v>
      </c>
      <c r="O530">
        <v>1.9777630023640658</v>
      </c>
      <c r="P530">
        <v>0.87644447989180363</v>
      </c>
      <c r="Q530">
        <v>0</v>
      </c>
      <c r="R530">
        <v>0</v>
      </c>
      <c r="S530">
        <v>0.72776300236406577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0.25</v>
      </c>
      <c r="Z530">
        <v>0</v>
      </c>
      <c r="AA530">
        <v>0</v>
      </c>
      <c r="AB530">
        <v>0</v>
      </c>
      <c r="AC530">
        <v>0.12355552010819637</v>
      </c>
      <c r="AD530">
        <v>0</v>
      </c>
      <c r="AE530">
        <v>0.87644447989180363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0.50562175488401639</v>
      </c>
      <c r="AL530">
        <v>0.50562175488401639</v>
      </c>
      <c r="AM530">
        <v>0.44314939598130276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0.49437824511598361</v>
      </c>
      <c r="AY530">
        <v>0</v>
      </c>
      <c r="AZ530">
        <v>6.2472358902713632E-2</v>
      </c>
      <c r="BA530">
        <v>0</v>
      </c>
      <c r="BB530">
        <v>0.44314939598130276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2.2565753424657533</v>
      </c>
      <c r="BI530">
        <v>2.2565753424657533</v>
      </c>
      <c r="BJ530">
        <v>1.1409735846855344</v>
      </c>
      <c r="CA530">
        <v>0</v>
      </c>
      <c r="CB530">
        <v>0</v>
      </c>
      <c r="CC530">
        <v>0</v>
      </c>
    </row>
    <row r="531" spans="1:82" hidden="1" x14ac:dyDescent="0.25">
      <c r="A531" t="s">
        <v>128</v>
      </c>
      <c r="B531" t="s">
        <v>503</v>
      </c>
      <c r="C531" t="s">
        <v>72</v>
      </c>
      <c r="D531" s="12">
        <v>46225</v>
      </c>
      <c r="E531" t="s">
        <v>134</v>
      </c>
      <c r="F531" t="s">
        <v>75</v>
      </c>
      <c r="G531">
        <v>2.6380697050938338</v>
      </c>
      <c r="H531">
        <v>4.75</v>
      </c>
      <c r="I531">
        <v>10</v>
      </c>
      <c r="J531">
        <v>4.75</v>
      </c>
      <c r="K531">
        <v>46225</v>
      </c>
      <c r="L531" t="s">
        <v>212</v>
      </c>
      <c r="M531">
        <v>1.8823529411764703</v>
      </c>
      <c r="N531">
        <v>1.8005589430894309</v>
      </c>
      <c r="O531">
        <v>1.8005589430894309</v>
      </c>
      <c r="P531">
        <v>0.71353419416547093</v>
      </c>
      <c r="Q531">
        <v>0</v>
      </c>
      <c r="R531">
        <v>0</v>
      </c>
      <c r="S531">
        <v>0.55055894308943087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0.25</v>
      </c>
      <c r="Z531">
        <v>0</v>
      </c>
      <c r="AA531">
        <v>0</v>
      </c>
      <c r="AB531">
        <v>0</v>
      </c>
      <c r="AC531">
        <v>0.28646580583452907</v>
      </c>
      <c r="AD531">
        <v>0</v>
      </c>
      <c r="AE531">
        <v>0.71353419416547093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0.55538309580922818</v>
      </c>
      <c r="AL531">
        <v>0.55538309580922818</v>
      </c>
      <c r="AM531">
        <v>0.3962848297213622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0.44461690419077182</v>
      </c>
      <c r="AY531">
        <v>0</v>
      </c>
      <c r="AZ531">
        <v>0.15909826608786598</v>
      </c>
      <c r="BA531">
        <v>0</v>
      </c>
      <c r="BB531">
        <v>0.3962848297213622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2.5234375000000004</v>
      </c>
      <c r="BI531">
        <v>2.5234375000000004</v>
      </c>
      <c r="BJ531">
        <v>1.4014745308310994</v>
      </c>
      <c r="CA531">
        <v>0</v>
      </c>
      <c r="CB531">
        <v>0</v>
      </c>
      <c r="CC531">
        <v>0</v>
      </c>
    </row>
    <row r="532" spans="1:82" hidden="1" x14ac:dyDescent="0.25">
      <c r="A532" t="s">
        <v>128</v>
      </c>
      <c r="B532" t="s">
        <v>372</v>
      </c>
      <c r="C532" t="s">
        <v>72</v>
      </c>
      <c r="D532" s="12">
        <v>46225</v>
      </c>
      <c r="E532" t="s">
        <v>134</v>
      </c>
      <c r="F532" t="s">
        <v>75</v>
      </c>
      <c r="G532">
        <v>3.902039321560157</v>
      </c>
      <c r="H532">
        <v>4.75</v>
      </c>
      <c r="I532">
        <v>10</v>
      </c>
      <c r="J532">
        <v>4.75</v>
      </c>
      <c r="K532">
        <v>46225</v>
      </c>
      <c r="L532" t="s">
        <v>212</v>
      </c>
      <c r="M532">
        <v>3.8019031141868513</v>
      </c>
      <c r="N532">
        <v>1.2173121818005672</v>
      </c>
      <c r="O532">
        <v>1.2173121818005672</v>
      </c>
      <c r="P532">
        <v>0.97433746840529833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0.21731218180056722</v>
      </c>
      <c r="Z532">
        <v>0</v>
      </c>
      <c r="AA532">
        <v>0</v>
      </c>
      <c r="AB532">
        <v>0</v>
      </c>
      <c r="AC532">
        <v>2.5662531594701665E-2</v>
      </c>
      <c r="AD532">
        <v>0</v>
      </c>
      <c r="AE532">
        <v>0.97433746840529833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0.82148196243371729</v>
      </c>
      <c r="AL532">
        <v>0.82148196243371729</v>
      </c>
      <c r="AM532">
        <v>0.80040065561828444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0.17851803756628271</v>
      </c>
      <c r="AY532">
        <v>0</v>
      </c>
      <c r="AZ532">
        <v>2.1081306815432854E-2</v>
      </c>
      <c r="BA532">
        <v>0</v>
      </c>
      <c r="BB532">
        <v>0.80040065561828444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1.2493742889647326</v>
      </c>
      <c r="BI532">
        <v>1.2493742889647326</v>
      </c>
      <c r="BJ532">
        <v>1.0263384427129787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2.6338442712978694E-2</v>
      </c>
      <c r="BR532">
        <v>0</v>
      </c>
      <c r="BS532">
        <v>0.22303584625175388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 hidden="1" x14ac:dyDescent="0.25">
      <c r="A533" t="s">
        <v>128</v>
      </c>
      <c r="B533" t="s">
        <v>502</v>
      </c>
      <c r="C533" t="s">
        <v>72</v>
      </c>
      <c r="D533" s="12">
        <v>46226</v>
      </c>
      <c r="E533" t="s">
        <v>134</v>
      </c>
      <c r="F533" t="s">
        <v>73</v>
      </c>
      <c r="G533">
        <v>4.0528743789921924</v>
      </c>
      <c r="H533">
        <v>2.8499999999999996</v>
      </c>
      <c r="I533">
        <v>10</v>
      </c>
      <c r="J533">
        <v>2.8499999999999996</v>
      </c>
      <c r="K533">
        <v>46226</v>
      </c>
      <c r="L533" t="s">
        <v>229</v>
      </c>
      <c r="M533">
        <v>2.0030637254901964</v>
      </c>
      <c r="N533">
        <v>0.70320462306277909</v>
      </c>
      <c r="O533">
        <v>0.70320462306277909</v>
      </c>
      <c r="P533">
        <v>0.49423286738738942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0.29679537693722091</v>
      </c>
      <c r="AB533">
        <v>0</v>
      </c>
      <c r="AC533">
        <v>0.20897175567538967</v>
      </c>
      <c r="AD533">
        <v>0</v>
      </c>
      <c r="AE533">
        <v>0.49423286738738942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1.4220611856112957</v>
      </c>
      <c r="AL533">
        <v>1.4220611856112957</v>
      </c>
      <c r="AM533">
        <v>0.7028293773649813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0.42206118561129569</v>
      </c>
      <c r="AW533">
        <v>0</v>
      </c>
      <c r="AX533">
        <v>0</v>
      </c>
      <c r="AY533">
        <v>0</v>
      </c>
      <c r="AZ533">
        <v>0.2971706226350187</v>
      </c>
      <c r="BA533">
        <v>0</v>
      </c>
      <c r="BB533">
        <v>0.7028293773649813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1.4228204343836031</v>
      </c>
      <c r="BI533">
        <v>1.4228204343836031</v>
      </c>
      <c r="BJ533">
        <v>2.0233377138315256</v>
      </c>
      <c r="BK533">
        <v>0.60051727944792255</v>
      </c>
      <c r="BL533">
        <v>0</v>
      </c>
      <c r="BM533">
        <v>0</v>
      </c>
      <c r="BN533">
        <v>0</v>
      </c>
      <c r="BO533">
        <v>0</v>
      </c>
      <c r="BP533">
        <v>7.7179565616396939E-2</v>
      </c>
      <c r="BQ533">
        <v>0.42282043438360306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 hidden="1" x14ac:dyDescent="0.25">
      <c r="A534" t="s">
        <v>128</v>
      </c>
      <c r="B534" t="s">
        <v>503</v>
      </c>
      <c r="C534" t="s">
        <v>72</v>
      </c>
      <c r="D534" s="12">
        <v>46226</v>
      </c>
      <c r="E534" t="s">
        <v>134</v>
      </c>
      <c r="F534" t="s">
        <v>73</v>
      </c>
      <c r="G534">
        <v>1.4014745308310994</v>
      </c>
      <c r="H534">
        <v>2.8499999999999996</v>
      </c>
      <c r="I534">
        <v>10</v>
      </c>
      <c r="J534">
        <v>2.8499999999999996</v>
      </c>
      <c r="K534">
        <v>46226</v>
      </c>
      <c r="L534" t="s">
        <v>229</v>
      </c>
      <c r="M534">
        <v>1.7647058823529416</v>
      </c>
      <c r="N534">
        <v>2.0335724533715918</v>
      </c>
      <c r="O534">
        <v>2.0335724533715918</v>
      </c>
      <c r="P534">
        <v>1.2591779897037725</v>
      </c>
      <c r="Q534">
        <v>0</v>
      </c>
      <c r="R534">
        <v>0</v>
      </c>
      <c r="S534">
        <v>0.77439446366781928</v>
      </c>
      <c r="T534">
        <v>0</v>
      </c>
      <c r="U534">
        <v>9.1779897037724822E-3</v>
      </c>
      <c r="V534">
        <v>0</v>
      </c>
      <c r="W534">
        <v>0.25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0.49174544941442089</v>
      </c>
      <c r="AL534">
        <v>0.49174544941442089</v>
      </c>
      <c r="AM534">
        <v>0.61919504643962875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0.38080495356037125</v>
      </c>
      <c r="AY534">
        <v>0</v>
      </c>
      <c r="AZ534">
        <v>0</v>
      </c>
      <c r="BA534">
        <v>0</v>
      </c>
      <c r="BB534">
        <v>0.49174544941442089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1.6149999999999995</v>
      </c>
      <c r="BI534">
        <v>1.6149999999999995</v>
      </c>
      <c r="BJ534">
        <v>0.79416890080428948</v>
      </c>
      <c r="CA534">
        <v>0</v>
      </c>
      <c r="CB534">
        <v>0</v>
      </c>
      <c r="CC534">
        <v>0</v>
      </c>
    </row>
    <row r="535" spans="1:82" hidden="1" x14ac:dyDescent="0.25">
      <c r="A535" t="s">
        <v>128</v>
      </c>
      <c r="B535" t="s">
        <v>372</v>
      </c>
      <c r="C535" t="s">
        <v>72</v>
      </c>
      <c r="D535" s="12">
        <v>46226</v>
      </c>
      <c r="E535" t="s">
        <v>134</v>
      </c>
      <c r="F535" t="s">
        <v>73</v>
      </c>
      <c r="G535">
        <v>5.9729309530237575</v>
      </c>
      <c r="H535">
        <v>2.8499999999999996</v>
      </c>
      <c r="I535">
        <v>10</v>
      </c>
      <c r="J535">
        <v>2.8499999999999996</v>
      </c>
      <c r="K535">
        <v>46226</v>
      </c>
      <c r="L535" t="s">
        <v>229</v>
      </c>
      <c r="M535">
        <v>4.8831269349845199</v>
      </c>
      <c r="N535">
        <v>0.47715267804279665</v>
      </c>
      <c r="O535">
        <v>0.47715267804279665</v>
      </c>
      <c r="P535">
        <v>0.81754284008799205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0.3403901620451954</v>
      </c>
      <c r="AA535">
        <v>0.18245715991200795</v>
      </c>
      <c r="AB535">
        <v>0</v>
      </c>
      <c r="AC535">
        <v>0</v>
      </c>
      <c r="AD535">
        <v>0</v>
      </c>
      <c r="AE535">
        <v>0.47715267804279665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2.0957652466750027</v>
      </c>
      <c r="AL535">
        <v>2.0957652466750027</v>
      </c>
      <c r="AM535">
        <v>1.7133778719243931</v>
      </c>
      <c r="BD535">
        <v>0</v>
      </c>
      <c r="BE535">
        <v>0</v>
      </c>
      <c r="BF535">
        <v>0</v>
      </c>
      <c r="BH535">
        <v>0.58364241559676644</v>
      </c>
      <c r="BI535">
        <v>0.58364241559676644</v>
      </c>
      <c r="BJ535">
        <v>1.2231774910931519</v>
      </c>
      <c r="BK535">
        <v>0.22317749109315188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0.5228473219572034</v>
      </c>
      <c r="BU535">
        <v>0</v>
      </c>
      <c r="BV535">
        <v>0</v>
      </c>
      <c r="BW535">
        <v>0</v>
      </c>
      <c r="BX535">
        <v>0</v>
      </c>
      <c r="BY535">
        <v>0.58364241559676644</v>
      </c>
      <c r="BZ535">
        <v>0</v>
      </c>
      <c r="CA535">
        <v>0</v>
      </c>
      <c r="CB535">
        <v>0</v>
      </c>
      <c r="CC535">
        <v>0</v>
      </c>
      <c r="CD535">
        <v>0</v>
      </c>
    </row>
    <row r="536" spans="1:82" hidden="1" x14ac:dyDescent="0.25">
      <c r="A536" t="s">
        <v>128</v>
      </c>
      <c r="B536" t="s">
        <v>372</v>
      </c>
      <c r="C536" t="s">
        <v>72</v>
      </c>
      <c r="D536" s="12">
        <v>46226</v>
      </c>
      <c r="E536" t="s">
        <v>134</v>
      </c>
      <c r="F536" t="s">
        <v>74</v>
      </c>
      <c r="G536">
        <v>1.2742252699784016</v>
      </c>
      <c r="H536">
        <v>0</v>
      </c>
      <c r="I536">
        <v>10</v>
      </c>
      <c r="J536">
        <v>0</v>
      </c>
      <c r="K536">
        <v>46226</v>
      </c>
      <c r="L536" t="s">
        <v>228</v>
      </c>
      <c r="M536">
        <v>0.94117647058823517</v>
      </c>
      <c r="N536">
        <v>0</v>
      </c>
      <c r="O536">
        <v>0</v>
      </c>
      <c r="P536">
        <v>0.73862643659875649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0.73862643659875649</v>
      </c>
      <c r="AA536">
        <v>0.26137356340124351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H536">
        <v>0</v>
      </c>
      <c r="BI536">
        <v>0</v>
      </c>
      <c r="BJ536">
        <v>1.3538643493520519</v>
      </c>
      <c r="BK536">
        <v>0.35386434935205191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</row>
    <row r="537" spans="1:82" hidden="1" x14ac:dyDescent="0.25">
      <c r="A537" t="s">
        <v>128</v>
      </c>
      <c r="B537" t="s">
        <v>503</v>
      </c>
      <c r="C537" t="s">
        <v>72</v>
      </c>
      <c r="D537" s="12">
        <v>46226</v>
      </c>
      <c r="E537" t="s">
        <v>134</v>
      </c>
      <c r="F537" t="s">
        <v>74</v>
      </c>
      <c r="G537">
        <v>1.7587131367292226</v>
      </c>
      <c r="H537">
        <v>0</v>
      </c>
      <c r="I537">
        <v>10</v>
      </c>
      <c r="J537">
        <v>0</v>
      </c>
      <c r="K537">
        <v>46226</v>
      </c>
      <c r="L537" t="s">
        <v>228</v>
      </c>
      <c r="M537">
        <v>6.2745098039215685E-2</v>
      </c>
      <c r="N537">
        <v>0</v>
      </c>
      <c r="O537">
        <v>0</v>
      </c>
      <c r="P537">
        <v>3.5676709708273552E-2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3.5676709708273552E-2</v>
      </c>
      <c r="AA537">
        <v>0.96432329029172648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H537">
        <v>0</v>
      </c>
      <c r="BI537">
        <v>0</v>
      </c>
      <c r="BJ537">
        <v>28.029490616621985</v>
      </c>
      <c r="BK537">
        <v>27.029490616621985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</row>
    <row r="538" spans="1:82" hidden="1" x14ac:dyDescent="0.25">
      <c r="A538" t="s">
        <v>128</v>
      </c>
      <c r="B538" t="s">
        <v>502</v>
      </c>
      <c r="C538" t="s">
        <v>72</v>
      </c>
      <c r="D538" s="12">
        <v>46226</v>
      </c>
      <c r="E538" t="s">
        <v>134</v>
      </c>
      <c r="F538" t="s">
        <v>74</v>
      </c>
      <c r="G538">
        <v>2.7219304471256209</v>
      </c>
      <c r="H538">
        <v>0</v>
      </c>
      <c r="I538">
        <v>10</v>
      </c>
      <c r="J538">
        <v>0</v>
      </c>
      <c r="K538">
        <v>46226</v>
      </c>
      <c r="L538" t="s">
        <v>228</v>
      </c>
      <c r="M538">
        <v>2.0078431372549019</v>
      </c>
      <c r="N538">
        <v>0</v>
      </c>
      <c r="O538">
        <v>0</v>
      </c>
      <c r="P538">
        <v>0.73765409376099211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0.73765409376099211</v>
      </c>
      <c r="AA538">
        <v>0.26234590623900789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H538">
        <v>0</v>
      </c>
      <c r="BI538">
        <v>0</v>
      </c>
      <c r="BJ538">
        <v>1.3556489531582683</v>
      </c>
      <c r="BK538">
        <v>0.35564895315826828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</v>
      </c>
      <c r="CD538">
        <v>1</v>
      </c>
    </row>
    <row r="539" spans="1:82" hidden="1" x14ac:dyDescent="0.25">
      <c r="A539" t="s">
        <v>128</v>
      </c>
      <c r="B539" t="s">
        <v>502</v>
      </c>
      <c r="C539" t="s">
        <v>72</v>
      </c>
      <c r="D539" s="12">
        <v>46226</v>
      </c>
      <c r="E539" t="s">
        <v>134</v>
      </c>
      <c r="F539" t="s">
        <v>75</v>
      </c>
      <c r="G539">
        <v>2.4017033356990778</v>
      </c>
      <c r="H539">
        <v>3.8</v>
      </c>
      <c r="I539">
        <v>10</v>
      </c>
      <c r="J539">
        <v>3.8</v>
      </c>
      <c r="K539">
        <v>46226</v>
      </c>
      <c r="L539" t="s">
        <v>227</v>
      </c>
      <c r="M539">
        <v>2.0490196078431375</v>
      </c>
      <c r="N539">
        <v>1.5822104018912526</v>
      </c>
      <c r="O539">
        <v>1.5822104018912526</v>
      </c>
      <c r="P539">
        <v>0.85315266768645992</v>
      </c>
      <c r="Q539">
        <v>0</v>
      </c>
      <c r="R539">
        <v>0</v>
      </c>
      <c r="S539">
        <v>0.33221040189125262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0.25</v>
      </c>
      <c r="Z539">
        <v>0</v>
      </c>
      <c r="AA539">
        <v>0</v>
      </c>
      <c r="AB539">
        <v>0</v>
      </c>
      <c r="AC539">
        <v>0.14684733231354008</v>
      </c>
      <c r="AD539">
        <v>0</v>
      </c>
      <c r="AE539">
        <v>0.85315266768645992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0.63202719360502047</v>
      </c>
      <c r="AL539">
        <v>0.63202719360502047</v>
      </c>
      <c r="AM539">
        <v>0.53921568627450989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0.36797280639497953</v>
      </c>
      <c r="AY539">
        <v>0</v>
      </c>
      <c r="AZ539">
        <v>9.2811507330510579E-2</v>
      </c>
      <c r="BA539">
        <v>0</v>
      </c>
      <c r="BB539">
        <v>0.53921568627450989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1.8545454545454543</v>
      </c>
      <c r="BI539">
        <v>1.8545454545454543</v>
      </c>
      <c r="BJ539">
        <v>1.1721231590493106</v>
      </c>
      <c r="CA539">
        <v>0</v>
      </c>
      <c r="CB539">
        <v>0</v>
      </c>
      <c r="CC539">
        <v>0</v>
      </c>
    </row>
    <row r="540" spans="1:82" hidden="1" x14ac:dyDescent="0.25">
      <c r="A540" t="s">
        <v>128</v>
      </c>
      <c r="B540" t="s">
        <v>372</v>
      </c>
      <c r="C540" t="s">
        <v>72</v>
      </c>
      <c r="D540" s="12">
        <v>46226</v>
      </c>
      <c r="E540" t="s">
        <v>134</v>
      </c>
      <c r="F540" t="s">
        <v>75</v>
      </c>
      <c r="G540">
        <v>3.505221763435395</v>
      </c>
      <c r="H540">
        <v>3.8</v>
      </c>
      <c r="I540">
        <v>10</v>
      </c>
      <c r="J540">
        <v>3.8</v>
      </c>
      <c r="K540">
        <v>46226</v>
      </c>
      <c r="L540" t="s">
        <v>227</v>
      </c>
      <c r="M540">
        <v>3.161901293024949</v>
      </c>
      <c r="N540">
        <v>1.0840968864337128</v>
      </c>
      <c r="O540">
        <v>1.0840968864337128</v>
      </c>
      <c r="P540">
        <v>0.90205456499449421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8.4096886433712825E-2</v>
      </c>
      <c r="Z540">
        <v>0</v>
      </c>
      <c r="AA540">
        <v>0</v>
      </c>
      <c r="AB540">
        <v>0</v>
      </c>
      <c r="AC540">
        <v>9.7945435005505788E-2</v>
      </c>
      <c r="AD540">
        <v>0</v>
      </c>
      <c r="AE540">
        <v>0.90205456499449421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0.92242677985141974</v>
      </c>
      <c r="AL540">
        <v>0.92242677985141974</v>
      </c>
      <c r="AM540">
        <v>0.83207928763814454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7.7573220148580257E-2</v>
      </c>
      <c r="AY540">
        <v>0</v>
      </c>
      <c r="AZ540">
        <v>9.0347492213275205E-2</v>
      </c>
      <c r="BA540">
        <v>0</v>
      </c>
      <c r="BB540">
        <v>0.83207928763814454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1.2018085474023732</v>
      </c>
      <c r="BI540">
        <v>1.2018085474023732</v>
      </c>
      <c r="BJ540">
        <v>1.1085803883782837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0.10858038837828365</v>
      </c>
      <c r="BR540">
        <v>0</v>
      </c>
      <c r="BS540">
        <v>9.3228159024089541E-2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 hidden="1" x14ac:dyDescent="0.25">
      <c r="A541" t="s">
        <v>128</v>
      </c>
      <c r="B541" t="s">
        <v>503</v>
      </c>
      <c r="C541" t="s">
        <v>72</v>
      </c>
      <c r="D541" s="12">
        <v>46226</v>
      </c>
      <c r="E541" t="s">
        <v>134</v>
      </c>
      <c r="F541" t="s">
        <v>75</v>
      </c>
      <c r="G541">
        <v>2.3277085633180881</v>
      </c>
      <c r="H541">
        <v>3.8</v>
      </c>
      <c r="I541">
        <v>10</v>
      </c>
      <c r="J541">
        <v>3.8</v>
      </c>
      <c r="K541">
        <v>46226</v>
      </c>
      <c r="L541" t="s">
        <v>227</v>
      </c>
      <c r="M541">
        <v>2.0484429065743943</v>
      </c>
      <c r="N541">
        <v>1.6325067750677511</v>
      </c>
      <c r="O541">
        <v>1.6325067750677511</v>
      </c>
      <c r="P541">
        <v>0.88002550613741448</v>
      </c>
      <c r="Q541">
        <v>0</v>
      </c>
      <c r="R541">
        <v>0</v>
      </c>
      <c r="S541">
        <v>0.3825067750677511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0.25</v>
      </c>
      <c r="Z541">
        <v>0</v>
      </c>
      <c r="AA541">
        <v>0</v>
      </c>
      <c r="AB541">
        <v>0</v>
      </c>
      <c r="AC541">
        <v>0.11997449386258552</v>
      </c>
      <c r="AD541">
        <v>0</v>
      </c>
      <c r="AE541">
        <v>0.88002550613741448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0.61255488508370737</v>
      </c>
      <c r="AL541">
        <v>0.61255488508370737</v>
      </c>
      <c r="AM541">
        <v>0.53906392278273541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0.38744511491629263</v>
      </c>
      <c r="AY541">
        <v>0</v>
      </c>
      <c r="AZ541">
        <v>7.3490962300971963E-2</v>
      </c>
      <c r="BA541">
        <v>0</v>
      </c>
      <c r="BB541">
        <v>0.53906392278273541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1.8550675675675676</v>
      </c>
      <c r="BI541">
        <v>1.8550675675675676</v>
      </c>
      <c r="BJ541">
        <v>1.1363307006738641</v>
      </c>
      <c r="CA541">
        <v>0</v>
      </c>
      <c r="CB541">
        <v>0</v>
      </c>
      <c r="CC541">
        <v>0</v>
      </c>
    </row>
    <row r="542" spans="1:82" hidden="1" x14ac:dyDescent="0.25">
      <c r="A542" t="s">
        <v>128</v>
      </c>
      <c r="B542" t="s">
        <v>372</v>
      </c>
      <c r="C542" t="s">
        <v>72</v>
      </c>
      <c r="D542" s="12">
        <v>46227</v>
      </c>
      <c r="E542" t="s">
        <v>134</v>
      </c>
      <c r="F542" t="s">
        <v>73</v>
      </c>
      <c r="G542">
        <v>4.7783447624190059</v>
      </c>
      <c r="H542">
        <v>2.8499999999999996</v>
      </c>
      <c r="I542">
        <v>10</v>
      </c>
      <c r="J542">
        <v>2.8499999999999996</v>
      </c>
      <c r="K542">
        <v>46227</v>
      </c>
      <c r="L542" t="s">
        <v>226</v>
      </c>
      <c r="M542">
        <v>1.9411764705882353</v>
      </c>
      <c r="N542">
        <v>0.5964408475534958</v>
      </c>
      <c r="O542">
        <v>0.5964408475534958</v>
      </c>
      <c r="P542">
        <v>0.4062445401293161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0.4035591524465042</v>
      </c>
      <c r="AB542">
        <v>0</v>
      </c>
      <c r="AC542">
        <v>0.1901963074241797</v>
      </c>
      <c r="AD542">
        <v>0</v>
      </c>
      <c r="AE542">
        <v>0.4062445401293161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1.6766121973400023</v>
      </c>
      <c r="AL542">
        <v>1.6766121973400023</v>
      </c>
      <c r="AM542">
        <v>0.68111455108359142</v>
      </c>
      <c r="BD542">
        <v>0</v>
      </c>
      <c r="BE542">
        <v>0</v>
      </c>
      <c r="BF542">
        <v>0</v>
      </c>
      <c r="BH542">
        <v>1.468181818181818</v>
      </c>
      <c r="BI542">
        <v>1.468181818181818</v>
      </c>
      <c r="BJ542">
        <v>2.4615715442764574</v>
      </c>
      <c r="BK542">
        <v>0.99338972609463938</v>
      </c>
      <c r="BL542">
        <v>0</v>
      </c>
      <c r="BM542">
        <v>0</v>
      </c>
      <c r="BN542">
        <v>0</v>
      </c>
      <c r="BO542">
        <v>0</v>
      </c>
      <c r="BP542">
        <v>3.1818181818181968E-2</v>
      </c>
      <c r="BQ542">
        <v>0.46818181818181803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</row>
    <row r="543" spans="1:82" hidden="1" x14ac:dyDescent="0.25">
      <c r="A543" t="s">
        <v>128</v>
      </c>
      <c r="B543" t="s">
        <v>502</v>
      </c>
      <c r="C543" t="s">
        <v>72</v>
      </c>
      <c r="D543" s="12">
        <v>46227</v>
      </c>
      <c r="E543" t="s">
        <v>134</v>
      </c>
      <c r="F543" t="s">
        <v>73</v>
      </c>
      <c r="G543">
        <v>3.9778211497515952</v>
      </c>
      <c r="H543">
        <v>2.8499999999999996</v>
      </c>
      <c r="I543">
        <v>10</v>
      </c>
      <c r="J543">
        <v>2.8499999999999996</v>
      </c>
      <c r="K543">
        <v>46227</v>
      </c>
      <c r="L543" t="s">
        <v>226</v>
      </c>
      <c r="M543">
        <v>1.1207107843137254</v>
      </c>
      <c r="N543">
        <v>0.71647263481868084</v>
      </c>
      <c r="O543">
        <v>0.71647263481868084</v>
      </c>
      <c r="P543">
        <v>0.2817398626340229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0.28352736518131916</v>
      </c>
      <c r="AB543">
        <v>0</v>
      </c>
      <c r="AC543">
        <v>0.43473277218465795</v>
      </c>
      <c r="AD543">
        <v>0</v>
      </c>
      <c r="AE543">
        <v>0.2817398626340229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1.3957267192110863</v>
      </c>
      <c r="AL543">
        <v>1.3957267192110863</v>
      </c>
      <c r="AM543">
        <v>0.39323185414516687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0.39572671921108626</v>
      </c>
      <c r="AW543">
        <v>0</v>
      </c>
      <c r="AX543">
        <v>0</v>
      </c>
      <c r="AY543">
        <v>0</v>
      </c>
      <c r="AZ543">
        <v>0.60676814585483307</v>
      </c>
      <c r="BA543">
        <v>0</v>
      </c>
      <c r="BB543">
        <v>0.39323185414516687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2.5430289775833788</v>
      </c>
      <c r="BI543">
        <v>2.5430289775833788</v>
      </c>
      <c r="BJ543">
        <v>3.5493734917411723</v>
      </c>
      <c r="CA543">
        <v>0</v>
      </c>
      <c r="CB543">
        <v>0</v>
      </c>
      <c r="CC543">
        <v>0</v>
      </c>
    </row>
    <row r="544" spans="1:82" hidden="1" x14ac:dyDescent="0.25">
      <c r="A544" t="s">
        <v>128</v>
      </c>
      <c r="B544" t="s">
        <v>503</v>
      </c>
      <c r="C544" t="s">
        <v>72</v>
      </c>
      <c r="D544" s="12">
        <v>46227</v>
      </c>
      <c r="E544" t="s">
        <v>134</v>
      </c>
      <c r="F544" t="s">
        <v>73</v>
      </c>
      <c r="G544">
        <v>5.6058981233243985</v>
      </c>
      <c r="H544">
        <v>2.8499999999999996</v>
      </c>
      <c r="I544">
        <v>10</v>
      </c>
      <c r="J544">
        <v>2.8499999999999996</v>
      </c>
      <c r="K544">
        <v>46227</v>
      </c>
      <c r="L544" t="s">
        <v>226</v>
      </c>
      <c r="M544">
        <v>1.7647058823529416</v>
      </c>
      <c r="N544">
        <v>0.50839311334289794</v>
      </c>
      <c r="O544">
        <v>0.50839311334289794</v>
      </c>
      <c r="P544">
        <v>0.31479449742594307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0.49160688665710206</v>
      </c>
      <c r="AB544">
        <v>0</v>
      </c>
      <c r="AC544">
        <v>0.19359861591695487</v>
      </c>
      <c r="AD544">
        <v>0</v>
      </c>
      <c r="AE544">
        <v>0.31479449742594307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1.966981797657684</v>
      </c>
      <c r="AL544">
        <v>1.966981797657684</v>
      </c>
      <c r="AM544">
        <v>0.61919504643962875</v>
      </c>
      <c r="BD544">
        <v>0</v>
      </c>
      <c r="BE544">
        <v>0</v>
      </c>
      <c r="BF544">
        <v>0</v>
      </c>
      <c r="BH544">
        <v>1.6149999999999995</v>
      </c>
      <c r="BI544">
        <v>1.6149999999999995</v>
      </c>
      <c r="BJ544">
        <v>3.1766756032171584</v>
      </c>
      <c r="CA544">
        <v>0</v>
      </c>
      <c r="CB544">
        <v>0</v>
      </c>
      <c r="CC544">
        <v>0</v>
      </c>
    </row>
    <row r="545" spans="1:82" hidden="1" x14ac:dyDescent="0.25">
      <c r="A545" t="s">
        <v>128</v>
      </c>
      <c r="B545" t="s">
        <v>372</v>
      </c>
      <c r="C545" t="s">
        <v>72</v>
      </c>
      <c r="D545" s="12">
        <v>46227</v>
      </c>
      <c r="E545" t="s">
        <v>134</v>
      </c>
      <c r="F545" t="s">
        <v>74</v>
      </c>
      <c r="G545">
        <v>1.2742252699784016</v>
      </c>
      <c r="H545">
        <v>0</v>
      </c>
      <c r="I545">
        <v>10</v>
      </c>
      <c r="J545">
        <v>0</v>
      </c>
      <c r="K545">
        <v>46227</v>
      </c>
      <c r="L545" t="s">
        <v>225</v>
      </c>
      <c r="M545">
        <v>0.94117647058823517</v>
      </c>
      <c r="N545">
        <v>0</v>
      </c>
      <c r="O545">
        <v>0</v>
      </c>
      <c r="P545">
        <v>0.73862643659875649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0.73862643659875649</v>
      </c>
      <c r="AA545">
        <v>0.26137356340124351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H545">
        <v>0</v>
      </c>
      <c r="BI545">
        <v>0</v>
      </c>
      <c r="BJ545">
        <v>1.3538643493520519</v>
      </c>
      <c r="BK545">
        <v>0.35386434935205191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</row>
    <row r="546" spans="1:82" hidden="1" x14ac:dyDescent="0.25">
      <c r="A546" t="s">
        <v>128</v>
      </c>
      <c r="B546" t="s">
        <v>503</v>
      </c>
      <c r="C546" t="s">
        <v>72</v>
      </c>
      <c r="D546" s="12">
        <v>46227</v>
      </c>
      <c r="E546" t="s">
        <v>134</v>
      </c>
      <c r="F546" t="s">
        <v>74</v>
      </c>
      <c r="G546">
        <v>1.7587131367292226</v>
      </c>
      <c r="H546">
        <v>0</v>
      </c>
      <c r="I546">
        <v>10</v>
      </c>
      <c r="J546">
        <v>0</v>
      </c>
      <c r="K546">
        <v>46227</v>
      </c>
      <c r="L546" t="s">
        <v>225</v>
      </c>
      <c r="M546">
        <v>1.0127450980392154</v>
      </c>
      <c r="N546">
        <v>0</v>
      </c>
      <c r="O546">
        <v>0</v>
      </c>
      <c r="P546">
        <v>0.57584439263510268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0.57584439263510268</v>
      </c>
      <c r="AA546">
        <v>0.42415560736489732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H546">
        <v>0</v>
      </c>
      <c r="BI546">
        <v>0</v>
      </c>
      <c r="BJ546">
        <v>1.7365802511750315</v>
      </c>
      <c r="BK546">
        <v>0.73658025117503145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1</v>
      </c>
    </row>
    <row r="547" spans="1:82" hidden="1" x14ac:dyDescent="0.25">
      <c r="A547" t="s">
        <v>128</v>
      </c>
      <c r="B547" t="s">
        <v>502</v>
      </c>
      <c r="C547" t="s">
        <v>72</v>
      </c>
      <c r="D547" s="12">
        <v>46227</v>
      </c>
      <c r="E547" t="s">
        <v>134</v>
      </c>
      <c r="F547" t="s">
        <v>74</v>
      </c>
      <c r="G547">
        <v>2.7219304471256209</v>
      </c>
      <c r="H547">
        <v>0</v>
      </c>
      <c r="I547">
        <v>10</v>
      </c>
      <c r="J547">
        <v>0</v>
      </c>
      <c r="K547">
        <v>46227</v>
      </c>
      <c r="L547" t="s">
        <v>225</v>
      </c>
      <c r="M547">
        <v>2.0078431372549019</v>
      </c>
      <c r="N547">
        <v>0</v>
      </c>
      <c r="O547">
        <v>0</v>
      </c>
      <c r="P547">
        <v>0.73765409376099211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0.73765409376099211</v>
      </c>
      <c r="AA547">
        <v>0.26234590623900789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H547">
        <v>0</v>
      </c>
      <c r="BI547">
        <v>0</v>
      </c>
      <c r="BJ547">
        <v>1.3556489531582683</v>
      </c>
      <c r="BK547">
        <v>0.35564895315826828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D547">
        <v>1</v>
      </c>
    </row>
    <row r="548" spans="1:82" hidden="1" x14ac:dyDescent="0.25">
      <c r="A548" t="s">
        <v>128</v>
      </c>
      <c r="B548" t="s">
        <v>503</v>
      </c>
      <c r="C548" t="s">
        <v>72</v>
      </c>
      <c r="D548" s="12">
        <v>46227</v>
      </c>
      <c r="E548" t="s">
        <v>134</v>
      </c>
      <c r="F548" t="s">
        <v>75</v>
      </c>
      <c r="G548">
        <v>2.3277085633180885</v>
      </c>
      <c r="H548">
        <v>3.8</v>
      </c>
      <c r="I548">
        <v>10</v>
      </c>
      <c r="J548">
        <v>3.8</v>
      </c>
      <c r="K548">
        <v>46227</v>
      </c>
      <c r="L548" t="s">
        <v>224</v>
      </c>
      <c r="M548">
        <v>2.1881487889273359</v>
      </c>
      <c r="N548">
        <v>1.6325067750677507</v>
      </c>
      <c r="O548">
        <v>1.6325067750677507</v>
      </c>
      <c r="P548">
        <v>0.94004413757372884</v>
      </c>
      <c r="Q548">
        <v>0</v>
      </c>
      <c r="R548">
        <v>0</v>
      </c>
      <c r="S548">
        <v>0.38250677506775066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0.25</v>
      </c>
      <c r="Z548">
        <v>0</v>
      </c>
      <c r="AA548">
        <v>0</v>
      </c>
      <c r="AB548">
        <v>0</v>
      </c>
      <c r="AC548">
        <v>5.9955862426271156E-2</v>
      </c>
      <c r="AD548">
        <v>0</v>
      </c>
      <c r="AE548">
        <v>0.94004413757372884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0.61255488508370748</v>
      </c>
      <c r="AL548">
        <v>0.61255488508370748</v>
      </c>
      <c r="AM548">
        <v>0.57582862866508844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0.38744511491629252</v>
      </c>
      <c r="AY548">
        <v>0</v>
      </c>
      <c r="AZ548">
        <v>3.6726256418619041E-2</v>
      </c>
      <c r="BA548">
        <v>0</v>
      </c>
      <c r="BB548">
        <v>0.57582862866508844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1.7366277920537654</v>
      </c>
      <c r="BI548">
        <v>1.7366277920537654</v>
      </c>
      <c r="BJ548">
        <v>1.063779837594667</v>
      </c>
      <c r="CA548">
        <v>0</v>
      </c>
      <c r="CB548">
        <v>0</v>
      </c>
      <c r="CC548">
        <v>0</v>
      </c>
    </row>
    <row r="549" spans="1:82" hidden="1" x14ac:dyDescent="0.25">
      <c r="A549" t="s">
        <v>128</v>
      </c>
      <c r="B549" t="s">
        <v>372</v>
      </c>
      <c r="C549" t="s">
        <v>72</v>
      </c>
      <c r="D549" s="12">
        <v>46227</v>
      </c>
      <c r="E549" t="s">
        <v>134</v>
      </c>
      <c r="F549" t="s">
        <v>75</v>
      </c>
      <c r="G549">
        <v>2.2486328293736499</v>
      </c>
      <c r="H549">
        <v>3.8</v>
      </c>
      <c r="I549">
        <v>10</v>
      </c>
      <c r="J549">
        <v>3.8</v>
      </c>
      <c r="K549">
        <v>46227</v>
      </c>
      <c r="L549" t="s">
        <v>224</v>
      </c>
      <c r="M549">
        <v>2.9307958477508644</v>
      </c>
      <c r="N549">
        <v>1.689915734734905</v>
      </c>
      <c r="O549">
        <v>1.689915734734905</v>
      </c>
      <c r="P549">
        <v>1.3033678995815554</v>
      </c>
      <c r="Q549">
        <v>0</v>
      </c>
      <c r="R549">
        <v>0</v>
      </c>
      <c r="S549">
        <v>0.38654783515334956</v>
      </c>
      <c r="T549">
        <v>0</v>
      </c>
      <c r="U549">
        <v>5.3367899581555411E-2</v>
      </c>
      <c r="V549">
        <v>0</v>
      </c>
      <c r="W549">
        <v>0.25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0.59174548141411842</v>
      </c>
      <c r="AL549">
        <v>0.59174548141411842</v>
      </c>
      <c r="AM549">
        <v>0.77126206519759599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0.22873793480240401</v>
      </c>
      <c r="AY549">
        <v>0</v>
      </c>
      <c r="AZ549">
        <v>0</v>
      </c>
      <c r="BA549">
        <v>0</v>
      </c>
      <c r="BB549">
        <v>0.59174548141411842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1.2965761511216058</v>
      </c>
      <c r="BI549">
        <v>1.2965761511216058</v>
      </c>
      <c r="BJ549">
        <v>0.76724307873551945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0.29657615112160585</v>
      </c>
      <c r="BT549">
        <v>0</v>
      </c>
      <c r="BU549">
        <v>0</v>
      </c>
      <c r="BV549">
        <v>0</v>
      </c>
      <c r="BW549">
        <v>0.23275692126448055</v>
      </c>
      <c r="BX549">
        <v>0</v>
      </c>
      <c r="BY549">
        <v>0.76724307873551945</v>
      </c>
      <c r="BZ549">
        <v>0</v>
      </c>
      <c r="CA549">
        <v>0</v>
      </c>
      <c r="CB549">
        <v>0</v>
      </c>
      <c r="CC549">
        <v>0</v>
      </c>
      <c r="CD549">
        <v>0</v>
      </c>
    </row>
    <row r="550" spans="1:82" hidden="1" x14ac:dyDescent="0.25">
      <c r="A550" t="s">
        <v>128</v>
      </c>
      <c r="B550" t="s">
        <v>502</v>
      </c>
      <c r="C550" t="s">
        <v>72</v>
      </c>
      <c r="D550" s="12">
        <v>46227</v>
      </c>
      <c r="E550" t="s">
        <v>134</v>
      </c>
      <c r="F550" t="s">
        <v>75</v>
      </c>
      <c r="G550">
        <v>2.4017033356990769</v>
      </c>
      <c r="H550">
        <v>3.8</v>
      </c>
      <c r="I550">
        <v>10</v>
      </c>
      <c r="J550">
        <v>3.8</v>
      </c>
      <c r="K550">
        <v>46227</v>
      </c>
      <c r="L550" t="s">
        <v>224</v>
      </c>
      <c r="M550">
        <v>1.9382929642445217</v>
      </c>
      <c r="N550">
        <v>1.5822104018912533</v>
      </c>
      <c r="O550">
        <v>1.5822104018912533</v>
      </c>
      <c r="P550">
        <v>0.8070492868263982</v>
      </c>
      <c r="Q550">
        <v>0</v>
      </c>
      <c r="R550">
        <v>0</v>
      </c>
      <c r="S550">
        <v>0.33221040189125328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0.25</v>
      </c>
      <c r="Z550">
        <v>0</v>
      </c>
      <c r="AA550">
        <v>0</v>
      </c>
      <c r="AB550">
        <v>0</v>
      </c>
      <c r="AC550">
        <v>0.1929507131736018</v>
      </c>
      <c r="AD550">
        <v>0</v>
      </c>
      <c r="AE550">
        <v>0.8070492868263982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0.63202719360502024</v>
      </c>
      <c r="AL550">
        <v>0.63202719360502024</v>
      </c>
      <c r="AM550">
        <v>0.51007709585382155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0.36797280639497976</v>
      </c>
      <c r="AY550">
        <v>0</v>
      </c>
      <c r="AZ550">
        <v>0.12195009775119869</v>
      </c>
      <c r="BA550">
        <v>0</v>
      </c>
      <c r="BB550">
        <v>0.51007709585382155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1.960487950014876</v>
      </c>
      <c r="BI550">
        <v>1.960487950014876</v>
      </c>
      <c r="BJ550">
        <v>1.2390816971443614</v>
      </c>
      <c r="CA550">
        <v>0</v>
      </c>
      <c r="CB550">
        <v>0</v>
      </c>
      <c r="CC550">
        <v>0</v>
      </c>
    </row>
    <row r="551" spans="1:82" hidden="1" x14ac:dyDescent="0.25">
      <c r="A551" t="s">
        <v>128</v>
      </c>
      <c r="B551" t="s">
        <v>372</v>
      </c>
      <c r="C551" t="s">
        <v>72</v>
      </c>
      <c r="D551" s="12">
        <v>46228</v>
      </c>
      <c r="E551" t="s">
        <v>134</v>
      </c>
      <c r="F551" t="s">
        <v>73</v>
      </c>
      <c r="G551">
        <v>2.3891723812095034</v>
      </c>
      <c r="H551">
        <v>2.8499999999999996</v>
      </c>
      <c r="I551">
        <v>10</v>
      </c>
      <c r="J551">
        <v>2.8499999999999996</v>
      </c>
      <c r="K551">
        <v>46228</v>
      </c>
      <c r="L551" t="s">
        <v>223</v>
      </c>
      <c r="M551">
        <v>3.8235294117647038</v>
      </c>
      <c r="N551">
        <v>1.1928816951069914</v>
      </c>
      <c r="O551">
        <v>1.1928816951069914</v>
      </c>
      <c r="P551">
        <v>1.6003572792973046</v>
      </c>
      <c r="Q551">
        <v>0.40747558419031327</v>
      </c>
      <c r="R551">
        <v>0</v>
      </c>
      <c r="S551">
        <v>0</v>
      </c>
      <c r="T551">
        <v>0</v>
      </c>
      <c r="U551">
        <v>0</v>
      </c>
      <c r="V551">
        <v>5.711830489300862E-2</v>
      </c>
      <c r="W551">
        <v>0.19288169510699138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0.83830609867000128</v>
      </c>
      <c r="AL551">
        <v>0.83830609867000128</v>
      </c>
      <c r="AM551">
        <v>1.3415892672858611</v>
      </c>
      <c r="AN551">
        <v>0.34158926728586114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0.83830609867000128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0.74538461538461565</v>
      </c>
      <c r="BI551">
        <v>0.74538461538461565</v>
      </c>
      <c r="BJ551">
        <v>0.62486046893171665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0.25461538461538435</v>
      </c>
      <c r="BV551">
        <v>0</v>
      </c>
      <c r="BW551">
        <v>0.12052414645289899</v>
      </c>
      <c r="BX551">
        <v>0</v>
      </c>
      <c r="BY551">
        <v>0.62486046893171665</v>
      </c>
      <c r="BZ551">
        <v>0</v>
      </c>
      <c r="CA551">
        <v>0</v>
      </c>
      <c r="CB551">
        <v>0</v>
      </c>
      <c r="CC551">
        <v>0</v>
      </c>
      <c r="CD551">
        <v>0</v>
      </c>
    </row>
    <row r="552" spans="1:82" hidden="1" x14ac:dyDescent="0.25">
      <c r="A552" t="s">
        <v>128</v>
      </c>
      <c r="B552" t="s">
        <v>502</v>
      </c>
      <c r="C552" t="s">
        <v>72</v>
      </c>
      <c r="D552" s="12">
        <v>46228</v>
      </c>
      <c r="E552" t="s">
        <v>134</v>
      </c>
      <c r="F552" t="s">
        <v>73</v>
      </c>
      <c r="G552">
        <v>0</v>
      </c>
      <c r="H552">
        <v>2.8499999999999996</v>
      </c>
      <c r="I552">
        <v>10</v>
      </c>
      <c r="J552">
        <v>2.8499999999999996</v>
      </c>
      <c r="K552">
        <v>46228</v>
      </c>
      <c r="L552" t="s">
        <v>223</v>
      </c>
      <c r="M552">
        <v>1.1176470588235294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0.39215686274509809</v>
      </c>
      <c r="AI552">
        <v>0</v>
      </c>
      <c r="AJ552">
        <v>0</v>
      </c>
      <c r="AK552">
        <v>0</v>
      </c>
      <c r="AL552">
        <v>0</v>
      </c>
      <c r="AM552">
        <v>0.39215686274509809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0.60784313725490191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G552">
        <v>0</v>
      </c>
      <c r="BH552">
        <v>2.5499999999999998</v>
      </c>
      <c r="BI552">
        <v>2.5499999999999998</v>
      </c>
      <c r="BJ552">
        <v>0</v>
      </c>
      <c r="CA552">
        <v>0.60784313725490191</v>
      </c>
      <c r="CB552">
        <v>0.39215686274509809</v>
      </c>
    </row>
    <row r="553" spans="1:82" hidden="1" x14ac:dyDescent="0.25">
      <c r="A553" t="s">
        <v>128</v>
      </c>
      <c r="B553" t="s">
        <v>503</v>
      </c>
      <c r="C553" t="s">
        <v>72</v>
      </c>
      <c r="D553" s="12">
        <v>46228</v>
      </c>
      <c r="E553" t="s">
        <v>134</v>
      </c>
      <c r="F553" t="s">
        <v>73</v>
      </c>
      <c r="G553">
        <v>1.4014745308310994</v>
      </c>
      <c r="H553">
        <v>2.8499999999999996</v>
      </c>
      <c r="I553">
        <v>10</v>
      </c>
      <c r="J553">
        <v>2.8499999999999996</v>
      </c>
      <c r="K553">
        <v>46228</v>
      </c>
      <c r="L553" t="s">
        <v>223</v>
      </c>
      <c r="M553">
        <v>1.7954963235294119</v>
      </c>
      <c r="N553">
        <v>2.0335724533715918</v>
      </c>
      <c r="O553">
        <v>2.0335724533715918</v>
      </c>
      <c r="P553">
        <v>1.2811480223366247</v>
      </c>
      <c r="Q553">
        <v>0</v>
      </c>
      <c r="R553">
        <v>0</v>
      </c>
      <c r="S553">
        <v>0.75242443103496703</v>
      </c>
      <c r="T553">
        <v>0</v>
      </c>
      <c r="U553">
        <v>3.1148022336624726E-2</v>
      </c>
      <c r="V553">
        <v>0</v>
      </c>
      <c r="W553">
        <v>0.25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0.49174544941442089</v>
      </c>
      <c r="AL553">
        <v>0.49174544941442089</v>
      </c>
      <c r="AM553">
        <v>0.62999871001032004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0.37000128998967996</v>
      </c>
      <c r="AY553">
        <v>0</v>
      </c>
      <c r="AZ553">
        <v>0</v>
      </c>
      <c r="BA553">
        <v>0</v>
      </c>
      <c r="BB553">
        <v>0.49174544941442089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1.5873048374712051</v>
      </c>
      <c r="BI553">
        <v>1.5873048374712051</v>
      </c>
      <c r="BJ553">
        <v>0.78054993065996214</v>
      </c>
      <c r="CA553">
        <v>0</v>
      </c>
      <c r="CB553">
        <v>0</v>
      </c>
      <c r="CC553">
        <v>0</v>
      </c>
    </row>
    <row r="554" spans="1:82" hidden="1" x14ac:dyDescent="0.25">
      <c r="A554" t="s">
        <v>128</v>
      </c>
      <c r="B554" t="s">
        <v>503</v>
      </c>
      <c r="C554" t="s">
        <v>72</v>
      </c>
      <c r="D554" s="12">
        <v>46228</v>
      </c>
      <c r="E554" t="s">
        <v>134</v>
      </c>
      <c r="F554" t="s">
        <v>74</v>
      </c>
      <c r="G554">
        <v>1.7587131367292226</v>
      </c>
      <c r="H554">
        <v>0</v>
      </c>
      <c r="I554">
        <v>10</v>
      </c>
      <c r="J554">
        <v>0</v>
      </c>
      <c r="K554">
        <v>46228</v>
      </c>
      <c r="L554" t="s">
        <v>222</v>
      </c>
      <c r="M554">
        <v>1.0127450980392154</v>
      </c>
      <c r="N554">
        <v>0</v>
      </c>
      <c r="O554">
        <v>0</v>
      </c>
      <c r="P554">
        <v>0.57584439263510268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0.57584439263510268</v>
      </c>
      <c r="AA554">
        <v>0.42415560736489732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H554">
        <v>0</v>
      </c>
      <c r="BI554">
        <v>0</v>
      </c>
      <c r="BJ554">
        <v>1.7365802511750315</v>
      </c>
      <c r="BK554">
        <v>0.73658025117503145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1</v>
      </c>
    </row>
    <row r="555" spans="1:82" hidden="1" x14ac:dyDescent="0.25">
      <c r="A555" t="s">
        <v>128</v>
      </c>
      <c r="B555" t="s">
        <v>372</v>
      </c>
      <c r="C555" t="s">
        <v>72</v>
      </c>
      <c r="D555" s="12">
        <v>46228</v>
      </c>
      <c r="E555" t="s">
        <v>134</v>
      </c>
      <c r="F555" t="s">
        <v>74</v>
      </c>
      <c r="G555">
        <v>1.2742252699784016</v>
      </c>
      <c r="H555">
        <v>0</v>
      </c>
      <c r="I555">
        <v>10</v>
      </c>
      <c r="J555">
        <v>0</v>
      </c>
      <c r="K555">
        <v>46228</v>
      </c>
      <c r="L555" t="s">
        <v>222</v>
      </c>
      <c r="M555">
        <v>0.94117647058823517</v>
      </c>
      <c r="N555">
        <v>0</v>
      </c>
      <c r="O555">
        <v>0</v>
      </c>
      <c r="P555">
        <v>0.73862643659875649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0.73862643659875649</v>
      </c>
      <c r="AA555">
        <v>0.26137356340124351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H555">
        <v>0</v>
      </c>
      <c r="BI555">
        <v>0</v>
      </c>
      <c r="BJ555">
        <v>1.3538643493520519</v>
      </c>
      <c r="BK555">
        <v>0.35386434935205191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 hidden="1" x14ac:dyDescent="0.25">
      <c r="A556" t="s">
        <v>128</v>
      </c>
      <c r="B556" t="s">
        <v>502</v>
      </c>
      <c r="C556" t="s">
        <v>72</v>
      </c>
      <c r="D556" s="12">
        <v>46228</v>
      </c>
      <c r="E556" t="s">
        <v>134</v>
      </c>
      <c r="F556" t="s">
        <v>74</v>
      </c>
      <c r="G556">
        <v>2.7219304471256209</v>
      </c>
      <c r="H556">
        <v>0</v>
      </c>
      <c r="I556">
        <v>10</v>
      </c>
      <c r="J556">
        <v>0</v>
      </c>
      <c r="K556">
        <v>46228</v>
      </c>
      <c r="L556" t="s">
        <v>222</v>
      </c>
      <c r="M556">
        <v>2.0078431372549019</v>
      </c>
      <c r="N556">
        <v>0</v>
      </c>
      <c r="O556">
        <v>0</v>
      </c>
      <c r="P556">
        <v>0.73765409376099211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0.73765409376099211</v>
      </c>
      <c r="AA556">
        <v>0.26234590623900789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H556">
        <v>0</v>
      </c>
      <c r="BI556">
        <v>0</v>
      </c>
      <c r="BJ556">
        <v>1.3556489531582683</v>
      </c>
      <c r="BK556">
        <v>0.35564895315826828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1</v>
      </c>
      <c r="CD556">
        <v>1</v>
      </c>
    </row>
    <row r="557" spans="1:82" hidden="1" x14ac:dyDescent="0.25">
      <c r="A557" t="s">
        <v>128</v>
      </c>
      <c r="B557" t="s">
        <v>372</v>
      </c>
      <c r="C557" t="s">
        <v>72</v>
      </c>
      <c r="D557" s="12">
        <v>46228</v>
      </c>
      <c r="E557" t="s">
        <v>134</v>
      </c>
      <c r="F557" t="s">
        <v>75</v>
      </c>
      <c r="G557">
        <v>3.3729492440604751</v>
      </c>
      <c r="H557">
        <v>2.8499999999999996</v>
      </c>
      <c r="I557">
        <v>10</v>
      </c>
      <c r="J557">
        <v>2.8499999999999996</v>
      </c>
      <c r="K557">
        <v>46228</v>
      </c>
      <c r="L557" t="s">
        <v>221</v>
      </c>
      <c r="M557">
        <v>3.1003460207612457</v>
      </c>
      <c r="N557">
        <v>0.84495786736745238</v>
      </c>
      <c r="O557">
        <v>0.84495786736745238</v>
      </c>
      <c r="P557">
        <v>0.91917956554511915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7.4221698177666773E-2</v>
      </c>
      <c r="AA557">
        <v>8.0820434454880852E-2</v>
      </c>
      <c r="AB557">
        <v>0</v>
      </c>
      <c r="AC557">
        <v>0</v>
      </c>
      <c r="AD557">
        <v>0</v>
      </c>
      <c r="AE557">
        <v>0.84495786736745238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1.1834909628282371</v>
      </c>
      <c r="AL557">
        <v>1.1834909628282371</v>
      </c>
      <c r="AM557">
        <v>1.0878407090390336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8.7840709039033626E-2</v>
      </c>
      <c r="AU557">
        <v>0</v>
      </c>
      <c r="AV557">
        <v>9.5650253789203443E-2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0.91925223214285701</v>
      </c>
      <c r="BI557">
        <v>0.91925223214285701</v>
      </c>
      <c r="BJ557">
        <v>1.0879267093007559</v>
      </c>
      <c r="BK557">
        <v>8.7926709300755856E-2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0.15504213263254762</v>
      </c>
      <c r="BU557">
        <v>0</v>
      </c>
      <c r="BV557">
        <v>0</v>
      </c>
      <c r="BW557">
        <v>0</v>
      </c>
      <c r="BX557">
        <v>0</v>
      </c>
      <c r="BY557">
        <v>0.91925223214285701</v>
      </c>
      <c r="BZ557">
        <v>0</v>
      </c>
      <c r="CA557">
        <v>0</v>
      </c>
      <c r="CB557">
        <v>0</v>
      </c>
      <c r="CC557">
        <v>0</v>
      </c>
      <c r="CD557">
        <v>0</v>
      </c>
    </row>
    <row r="558" spans="1:82" hidden="1" x14ac:dyDescent="0.25">
      <c r="A558" t="s">
        <v>128</v>
      </c>
      <c r="B558" t="s">
        <v>502</v>
      </c>
      <c r="C558" t="s">
        <v>72</v>
      </c>
      <c r="D558" s="12">
        <v>46228</v>
      </c>
      <c r="E558" t="s">
        <v>134</v>
      </c>
      <c r="F558" t="s">
        <v>75</v>
      </c>
      <c r="G558">
        <v>2.4017033356990769</v>
      </c>
      <c r="H558">
        <v>2.8499999999999996</v>
      </c>
      <c r="I558">
        <v>10</v>
      </c>
      <c r="J558">
        <v>2.8499999999999996</v>
      </c>
      <c r="K558">
        <v>46228</v>
      </c>
      <c r="L558" t="s">
        <v>221</v>
      </c>
      <c r="M558">
        <v>1.8823529411764703</v>
      </c>
      <c r="N558">
        <v>1.1866578014184397</v>
      </c>
      <c r="O558">
        <v>1.1866578014184397</v>
      </c>
      <c r="P558">
        <v>0.78375747462105416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0.18665780141843968</v>
      </c>
      <c r="Z558">
        <v>0</v>
      </c>
      <c r="AA558">
        <v>0</v>
      </c>
      <c r="AB558">
        <v>0</v>
      </c>
      <c r="AC558">
        <v>0.21624252537894584</v>
      </c>
      <c r="AD558">
        <v>0</v>
      </c>
      <c r="AE558">
        <v>0.78375747462105416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0.84270292480669373</v>
      </c>
      <c r="AL558">
        <v>0.84270292480669373</v>
      </c>
      <c r="AM558">
        <v>0.66047471620227038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0.15729707519330627</v>
      </c>
      <c r="AY558">
        <v>0</v>
      </c>
      <c r="AZ558">
        <v>0.18222820860442335</v>
      </c>
      <c r="BA558">
        <v>0</v>
      </c>
      <c r="BB558">
        <v>0.66047471620227038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1.5140625000000001</v>
      </c>
      <c r="BI558">
        <v>1.5140625000000001</v>
      </c>
      <c r="BJ558">
        <v>1.2759048970901348</v>
      </c>
      <c r="CA558">
        <v>0</v>
      </c>
      <c r="CB558">
        <v>0</v>
      </c>
      <c r="CC558">
        <v>0</v>
      </c>
    </row>
    <row r="559" spans="1:82" hidden="1" x14ac:dyDescent="0.25">
      <c r="A559" t="s">
        <v>128</v>
      </c>
      <c r="B559" t="s">
        <v>503</v>
      </c>
      <c r="C559" t="s">
        <v>72</v>
      </c>
      <c r="D559" s="12">
        <v>46228</v>
      </c>
      <c r="E559" t="s">
        <v>134</v>
      </c>
      <c r="F559" t="s">
        <v>75</v>
      </c>
      <c r="G559">
        <v>2.6380697050938338</v>
      </c>
      <c r="H559">
        <v>2.8499999999999996</v>
      </c>
      <c r="I559">
        <v>10</v>
      </c>
      <c r="J559">
        <v>2.8499999999999996</v>
      </c>
      <c r="K559">
        <v>46228</v>
      </c>
      <c r="L559" t="s">
        <v>221</v>
      </c>
      <c r="M559">
        <v>2.0635813148788924</v>
      </c>
      <c r="N559">
        <v>1.0803353658536583</v>
      </c>
      <c r="O559">
        <v>1.0803353658536583</v>
      </c>
      <c r="P559">
        <v>0.78223153500998666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8.0335365853658303E-2</v>
      </c>
      <c r="Z559">
        <v>0</v>
      </c>
      <c r="AA559">
        <v>0</v>
      </c>
      <c r="AB559">
        <v>0</v>
      </c>
      <c r="AC559">
        <v>0.21776846499001334</v>
      </c>
      <c r="AD559">
        <v>0</v>
      </c>
      <c r="AE559">
        <v>0.78223153500998666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0.92563849301538037</v>
      </c>
      <c r="AL559">
        <v>0.92563849301538037</v>
      </c>
      <c r="AM559">
        <v>0.7240636192557518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7.436150698461963E-2</v>
      </c>
      <c r="AY559">
        <v>0</v>
      </c>
      <c r="AZ559">
        <v>0.20157487375962857</v>
      </c>
      <c r="BA559">
        <v>0</v>
      </c>
      <c r="BB559">
        <v>0.7240636192557518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1.3810941102494236</v>
      </c>
      <c r="BI559">
        <v>1.3810941102494236</v>
      </c>
      <c r="BJ559">
        <v>1.2783938709236942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0.27839387092369416</v>
      </c>
      <c r="BR559">
        <v>0</v>
      </c>
      <c r="BS559">
        <v>0.10270023932572947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 hidden="1" x14ac:dyDescent="0.25">
      <c r="A560" t="s">
        <v>128</v>
      </c>
      <c r="B560" t="s">
        <v>502</v>
      </c>
      <c r="C560" t="s">
        <v>72</v>
      </c>
      <c r="D560" s="12">
        <v>46229</v>
      </c>
      <c r="E560" t="s">
        <v>134</v>
      </c>
      <c r="F560" t="s">
        <v>73</v>
      </c>
      <c r="G560">
        <v>0</v>
      </c>
      <c r="H560">
        <v>4.75</v>
      </c>
      <c r="I560">
        <v>10</v>
      </c>
      <c r="J560">
        <v>4.75</v>
      </c>
      <c r="K560">
        <v>46229</v>
      </c>
      <c r="L560" t="s">
        <v>220</v>
      </c>
      <c r="M560">
        <v>1.1176470588235294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0.23529411764705882</v>
      </c>
      <c r="AI560">
        <v>0</v>
      </c>
      <c r="AJ560">
        <v>0</v>
      </c>
      <c r="AK560">
        <v>0</v>
      </c>
      <c r="AL560">
        <v>0</v>
      </c>
      <c r="AM560">
        <v>0.23529411764705882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0.76470588235294112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G560">
        <v>0</v>
      </c>
      <c r="BH560">
        <v>4.25</v>
      </c>
      <c r="BI560">
        <v>4.25</v>
      </c>
      <c r="BJ560">
        <v>0</v>
      </c>
      <c r="CA560">
        <v>0.76470588235294112</v>
      </c>
      <c r="CB560">
        <v>0.23529411764705882</v>
      </c>
    </row>
    <row r="561" spans="1:82" hidden="1" x14ac:dyDescent="0.25">
      <c r="A561" t="s">
        <v>128</v>
      </c>
      <c r="B561" t="s">
        <v>503</v>
      </c>
      <c r="C561" t="s">
        <v>72</v>
      </c>
      <c r="D561" s="12">
        <v>46229</v>
      </c>
      <c r="E561" t="s">
        <v>134</v>
      </c>
      <c r="F561" t="s">
        <v>73</v>
      </c>
      <c r="G561">
        <v>1.4014745308310996</v>
      </c>
      <c r="H561">
        <v>4.75</v>
      </c>
      <c r="I561">
        <v>10</v>
      </c>
      <c r="J561">
        <v>4.75</v>
      </c>
      <c r="K561">
        <v>46229</v>
      </c>
      <c r="L561" t="s">
        <v>220</v>
      </c>
      <c r="M561">
        <v>1.9131433823529416</v>
      </c>
      <c r="N561">
        <v>3.3892874222859866</v>
      </c>
      <c r="O561">
        <v>3.3892874222859866</v>
      </c>
      <c r="P561">
        <v>1.3650932216502094</v>
      </c>
      <c r="Q561">
        <v>0</v>
      </c>
      <c r="R561">
        <v>0</v>
      </c>
      <c r="S561">
        <v>2.0241942006357769</v>
      </c>
      <c r="T561">
        <v>0</v>
      </c>
      <c r="U561">
        <v>0.11509322165020941</v>
      </c>
      <c r="V561">
        <v>0</v>
      </c>
      <c r="W561">
        <v>0.25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0.29504726964865258</v>
      </c>
      <c r="AL561">
        <v>0.29504726964865258</v>
      </c>
      <c r="AM561">
        <v>0.40276702786377716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0.59723297213622284</v>
      </c>
      <c r="AY561">
        <v>0</v>
      </c>
      <c r="AZ561">
        <v>0</v>
      </c>
      <c r="BA561">
        <v>0</v>
      </c>
      <c r="BB561">
        <v>0.29504726964865258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2.4828248858995909</v>
      </c>
      <c r="BI561">
        <v>2.4828248858995909</v>
      </c>
      <c r="BJ561">
        <v>0.73255070360040164</v>
      </c>
      <c r="CA561">
        <v>0</v>
      </c>
      <c r="CB561">
        <v>0</v>
      </c>
      <c r="CC561">
        <v>0</v>
      </c>
    </row>
    <row r="562" spans="1:82" hidden="1" x14ac:dyDescent="0.25">
      <c r="A562" t="s">
        <v>128</v>
      </c>
      <c r="B562" t="s">
        <v>372</v>
      </c>
      <c r="C562" t="s">
        <v>72</v>
      </c>
      <c r="D562" s="12">
        <v>46229</v>
      </c>
      <c r="E562" t="s">
        <v>134</v>
      </c>
      <c r="F562" t="s">
        <v>73</v>
      </c>
      <c r="G562">
        <v>3.5134887958963281</v>
      </c>
      <c r="H562">
        <v>4.75</v>
      </c>
      <c r="I562">
        <v>10</v>
      </c>
      <c r="J562">
        <v>4.75</v>
      </c>
      <c r="K562">
        <v>46229</v>
      </c>
      <c r="L562" t="s">
        <v>220</v>
      </c>
      <c r="M562">
        <v>3.5854779411764697</v>
      </c>
      <c r="N562">
        <v>1.351932587787924</v>
      </c>
      <c r="O562">
        <v>1.351932587787924</v>
      </c>
      <c r="P562">
        <v>1.0204893624149942</v>
      </c>
      <c r="Q562">
        <v>0</v>
      </c>
      <c r="R562">
        <v>0</v>
      </c>
      <c r="S562">
        <v>0.10193258778792402</v>
      </c>
      <c r="T562">
        <v>0</v>
      </c>
      <c r="U562">
        <v>0</v>
      </c>
      <c r="V562">
        <v>0</v>
      </c>
      <c r="W562">
        <v>2.0489362414994217E-2</v>
      </c>
      <c r="X562">
        <v>0</v>
      </c>
      <c r="Y562">
        <v>0.22951063758500578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0.739681851767648</v>
      </c>
      <c r="AL562">
        <v>0.739681851767648</v>
      </c>
      <c r="AM562">
        <v>0.75483746130030938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0.24516253869969062</v>
      </c>
      <c r="AY562">
        <v>0</v>
      </c>
      <c r="AZ562">
        <v>0</v>
      </c>
      <c r="BA562">
        <v>0</v>
      </c>
      <c r="BB562">
        <v>0.739681851767648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1.3247885157651889</v>
      </c>
      <c r="BI562">
        <v>1.3247885157651889</v>
      </c>
      <c r="BJ562">
        <v>0.97992202254170879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0.32478851576518886</v>
      </c>
      <c r="BT562">
        <v>0</v>
      </c>
      <c r="BU562">
        <v>0</v>
      </c>
      <c r="BV562">
        <v>0</v>
      </c>
      <c r="BW562">
        <v>2.0077977458291207E-2</v>
      </c>
      <c r="BX562">
        <v>0</v>
      </c>
      <c r="BY562">
        <v>0.97992202254170879</v>
      </c>
      <c r="BZ562">
        <v>0</v>
      </c>
      <c r="CA562">
        <v>0</v>
      </c>
      <c r="CB562">
        <v>0</v>
      </c>
      <c r="CC562">
        <v>0</v>
      </c>
      <c r="CD562">
        <v>0</v>
      </c>
    </row>
    <row r="563" spans="1:82" hidden="1" x14ac:dyDescent="0.25">
      <c r="A563" t="s">
        <v>128</v>
      </c>
      <c r="B563" t="s">
        <v>502</v>
      </c>
      <c r="C563" t="s">
        <v>72</v>
      </c>
      <c r="D563" s="12">
        <v>46229</v>
      </c>
      <c r="E563" t="s">
        <v>134</v>
      </c>
      <c r="F563" t="s">
        <v>74</v>
      </c>
      <c r="G563">
        <v>2.7219304471256209</v>
      </c>
      <c r="H563">
        <v>0</v>
      </c>
      <c r="I563">
        <v>10</v>
      </c>
      <c r="J563">
        <v>0</v>
      </c>
      <c r="K563">
        <v>46229</v>
      </c>
      <c r="L563" t="s">
        <v>219</v>
      </c>
      <c r="M563">
        <v>2.0078431372549019</v>
      </c>
      <c r="N563">
        <v>0</v>
      </c>
      <c r="O563">
        <v>0</v>
      </c>
      <c r="P563">
        <v>0.73765409376099211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0.73765409376099211</v>
      </c>
      <c r="AA563">
        <v>0.26234590623900789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H563">
        <v>0</v>
      </c>
      <c r="BI563">
        <v>0</v>
      </c>
      <c r="BJ563">
        <v>1.3556489531582683</v>
      </c>
      <c r="BK563">
        <v>0.35564895315826828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1</v>
      </c>
      <c r="CD563">
        <v>1</v>
      </c>
    </row>
    <row r="564" spans="1:82" hidden="1" x14ac:dyDescent="0.25">
      <c r="A564" t="s">
        <v>128</v>
      </c>
      <c r="B564" t="s">
        <v>372</v>
      </c>
      <c r="C564" t="s">
        <v>72</v>
      </c>
      <c r="D564" s="12">
        <v>46229</v>
      </c>
      <c r="E564" t="s">
        <v>134</v>
      </c>
      <c r="F564" t="s">
        <v>74</v>
      </c>
      <c r="G564">
        <v>1.2742252699784016</v>
      </c>
      <c r="H564">
        <v>0</v>
      </c>
      <c r="I564">
        <v>10</v>
      </c>
      <c r="J564">
        <v>0</v>
      </c>
      <c r="K564">
        <v>46229</v>
      </c>
      <c r="L564" t="s">
        <v>219</v>
      </c>
      <c r="M564">
        <v>0.94117647058823517</v>
      </c>
      <c r="N564">
        <v>0</v>
      </c>
      <c r="O564">
        <v>0</v>
      </c>
      <c r="P564">
        <v>0.73862643659875649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0.73862643659875649</v>
      </c>
      <c r="AA564">
        <v>0.26137356340124351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H564">
        <v>0</v>
      </c>
      <c r="BI564">
        <v>0</v>
      </c>
      <c r="BJ564">
        <v>1.3538643493520519</v>
      </c>
      <c r="BK564">
        <v>0.35386434935205191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</row>
    <row r="565" spans="1:82" hidden="1" x14ac:dyDescent="0.25">
      <c r="A565" t="s">
        <v>128</v>
      </c>
      <c r="B565" t="s">
        <v>503</v>
      </c>
      <c r="C565" t="s">
        <v>72</v>
      </c>
      <c r="D565" s="12">
        <v>46229</v>
      </c>
      <c r="E565" t="s">
        <v>134</v>
      </c>
      <c r="F565" t="s">
        <v>74</v>
      </c>
      <c r="G565">
        <v>1.7587131367292226</v>
      </c>
      <c r="H565">
        <v>0</v>
      </c>
      <c r="I565">
        <v>10</v>
      </c>
      <c r="J565">
        <v>0</v>
      </c>
      <c r="K565">
        <v>46229</v>
      </c>
      <c r="L565" t="s">
        <v>219</v>
      </c>
      <c r="M565">
        <v>6.2745098039215685E-2</v>
      </c>
      <c r="N565">
        <v>0</v>
      </c>
      <c r="O565">
        <v>0</v>
      </c>
      <c r="P565">
        <v>3.5676709708273552E-2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3.5676709708273552E-2</v>
      </c>
      <c r="AA565">
        <v>0.96432329029172648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H565">
        <v>0</v>
      </c>
      <c r="BI565">
        <v>0</v>
      </c>
      <c r="BJ565">
        <v>28.029490616621985</v>
      </c>
      <c r="BK565">
        <v>27.029490616621985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</row>
    <row r="566" spans="1:82" hidden="1" x14ac:dyDescent="0.25">
      <c r="A566" t="s">
        <v>128</v>
      </c>
      <c r="B566" t="s">
        <v>372</v>
      </c>
      <c r="C566" t="s">
        <v>72</v>
      </c>
      <c r="D566" s="12">
        <v>46229</v>
      </c>
      <c r="E566" t="s">
        <v>134</v>
      </c>
      <c r="F566" t="s">
        <v>75</v>
      </c>
      <c r="G566">
        <v>3.3729492440604751</v>
      </c>
      <c r="H566">
        <v>1.9</v>
      </c>
      <c r="I566">
        <v>10</v>
      </c>
      <c r="J566">
        <v>1.9</v>
      </c>
      <c r="K566">
        <v>46229</v>
      </c>
      <c r="L566" t="s">
        <v>218</v>
      </c>
      <c r="M566">
        <v>3.2655709342560537</v>
      </c>
      <c r="N566">
        <v>0.56330524491163492</v>
      </c>
      <c r="O566">
        <v>0.56330524491163492</v>
      </c>
      <c r="P566">
        <v>0.96816486047232786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0.40485961556069294</v>
      </c>
      <c r="AA566">
        <v>3.1835139527672141E-2</v>
      </c>
      <c r="AB566">
        <v>0</v>
      </c>
      <c r="AC566">
        <v>0</v>
      </c>
      <c r="AD566">
        <v>0</v>
      </c>
      <c r="AE566">
        <v>0.56330524491163492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1.7752364442423554</v>
      </c>
      <c r="AL566">
        <v>1.7752364442423554</v>
      </c>
      <c r="AM566">
        <v>1.7187215443452915</v>
      </c>
      <c r="BD566">
        <v>0</v>
      </c>
      <c r="BE566">
        <v>0</v>
      </c>
      <c r="BF566">
        <v>0</v>
      </c>
      <c r="BH566">
        <v>0.58182781456953669</v>
      </c>
      <c r="BI566">
        <v>0.58182781456953669</v>
      </c>
      <c r="BJ566">
        <v>1.0328819406977248</v>
      </c>
      <c r="BK566">
        <v>3.2881940697724765E-2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0.43669475508836508</v>
      </c>
      <c r="BU566">
        <v>0</v>
      </c>
      <c r="BV566">
        <v>0</v>
      </c>
      <c r="BW566">
        <v>0</v>
      </c>
      <c r="BX566">
        <v>0</v>
      </c>
      <c r="BY566">
        <v>0.58182781456953669</v>
      </c>
      <c r="BZ566">
        <v>0</v>
      </c>
      <c r="CA566">
        <v>0</v>
      </c>
      <c r="CB566">
        <v>0</v>
      </c>
      <c r="CC566">
        <v>0</v>
      </c>
      <c r="CD566">
        <v>0</v>
      </c>
    </row>
    <row r="567" spans="1:82" hidden="1" x14ac:dyDescent="0.25">
      <c r="A567" t="s">
        <v>128</v>
      </c>
      <c r="B567" t="s">
        <v>502</v>
      </c>
      <c r="C567" t="s">
        <v>72</v>
      </c>
      <c r="D567" s="12">
        <v>46229</v>
      </c>
      <c r="E567" t="s">
        <v>134</v>
      </c>
      <c r="F567" t="s">
        <v>75</v>
      </c>
      <c r="G567">
        <v>2.4017033356990769</v>
      </c>
      <c r="H567">
        <v>1.9</v>
      </c>
      <c r="I567">
        <v>10</v>
      </c>
      <c r="J567">
        <v>1.9</v>
      </c>
      <c r="K567">
        <v>46229</v>
      </c>
      <c r="L567" t="s">
        <v>218</v>
      </c>
      <c r="M567">
        <v>1.8823529411764703</v>
      </c>
      <c r="N567">
        <v>0.79110520094562664</v>
      </c>
      <c r="O567">
        <v>0.79110520094562664</v>
      </c>
      <c r="P567">
        <v>0.78375747462105416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0.20889479905437336</v>
      </c>
      <c r="AB567">
        <v>0</v>
      </c>
      <c r="AC567">
        <v>7.3477263245724789E-3</v>
      </c>
      <c r="AD567">
        <v>0</v>
      </c>
      <c r="AE567">
        <v>0.78375747462105416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1.2640543872100405</v>
      </c>
      <c r="AL567">
        <v>1.2640543872100405</v>
      </c>
      <c r="AM567">
        <v>0.99071207430340547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0.26405438721004049</v>
      </c>
      <c r="AW567">
        <v>0</v>
      </c>
      <c r="AX567">
        <v>0</v>
      </c>
      <c r="AY567">
        <v>0</v>
      </c>
      <c r="AZ567">
        <v>9.2879256965945345E-3</v>
      </c>
      <c r="BA567">
        <v>0</v>
      </c>
      <c r="BB567">
        <v>0.99071207430340547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1.0093750000000001</v>
      </c>
      <c r="BI567">
        <v>1.0093750000000001</v>
      </c>
      <c r="BJ567">
        <v>1.2759048970901348</v>
      </c>
      <c r="BK567">
        <v>0.26652989709013464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9.3750000000001332E-3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0</v>
      </c>
      <c r="CA567">
        <v>0</v>
      </c>
      <c r="CB567">
        <v>0</v>
      </c>
      <c r="CC567">
        <v>0</v>
      </c>
      <c r="CD567">
        <v>0</v>
      </c>
    </row>
    <row r="568" spans="1:82" hidden="1" x14ac:dyDescent="0.25">
      <c r="A568" t="s">
        <v>128</v>
      </c>
      <c r="B568" t="s">
        <v>503</v>
      </c>
      <c r="C568" t="s">
        <v>72</v>
      </c>
      <c r="D568" s="12">
        <v>46229</v>
      </c>
      <c r="E568" t="s">
        <v>134</v>
      </c>
      <c r="F568" t="s">
        <v>75</v>
      </c>
      <c r="G568">
        <v>2.6380697050938342</v>
      </c>
      <c r="H568">
        <v>1.9</v>
      </c>
      <c r="I568">
        <v>10</v>
      </c>
      <c r="J568">
        <v>1.9</v>
      </c>
      <c r="K568">
        <v>46229</v>
      </c>
      <c r="L568" t="s">
        <v>218</v>
      </c>
      <c r="M568">
        <v>2.0484429065743948</v>
      </c>
      <c r="N568">
        <v>0.72022357723577224</v>
      </c>
      <c r="O568">
        <v>0.72022357723577224</v>
      </c>
      <c r="P568">
        <v>0.77649309365065966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5.6269516414887422E-2</v>
      </c>
      <c r="AA568">
        <v>0.22350690634934034</v>
      </c>
      <c r="AB568">
        <v>0</v>
      </c>
      <c r="AC568">
        <v>0</v>
      </c>
      <c r="AD568">
        <v>0</v>
      </c>
      <c r="AE568">
        <v>0.72022357723577224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1.3884577395230706</v>
      </c>
      <c r="AL568">
        <v>1.3884577395230706</v>
      </c>
      <c r="AM568">
        <v>1.078127845565471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7.8127845565471032E-2</v>
      </c>
      <c r="AU568">
        <v>0</v>
      </c>
      <c r="AV568">
        <v>0.31032989395759958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0.92753378378378359</v>
      </c>
      <c r="BI568">
        <v>0.92753378378378359</v>
      </c>
      <c r="BJ568">
        <v>1.2878414607637128</v>
      </c>
      <c r="BK568">
        <v>0.28784146076371275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0.27977642276422776</v>
      </c>
      <c r="BU568">
        <v>0</v>
      </c>
      <c r="BV568">
        <v>0</v>
      </c>
      <c r="BW568">
        <v>0</v>
      </c>
      <c r="BX568">
        <v>0</v>
      </c>
      <c r="BY568">
        <v>0.92753378378378359</v>
      </c>
      <c r="BZ568">
        <v>0</v>
      </c>
      <c r="CA568">
        <v>0</v>
      </c>
      <c r="CB568">
        <v>0</v>
      </c>
      <c r="CC568">
        <v>0</v>
      </c>
      <c r="CD568">
        <v>0</v>
      </c>
    </row>
    <row r="569" spans="1:82" hidden="1" x14ac:dyDescent="0.25">
      <c r="A569" t="s">
        <v>128</v>
      </c>
      <c r="B569" t="s">
        <v>372</v>
      </c>
      <c r="C569" t="s">
        <v>72</v>
      </c>
      <c r="D569" s="12">
        <v>46230</v>
      </c>
      <c r="E569" t="s">
        <v>134</v>
      </c>
      <c r="F569" t="s">
        <v>73</v>
      </c>
      <c r="G569">
        <v>3.5134887958963268</v>
      </c>
      <c r="H569">
        <v>4.75</v>
      </c>
      <c r="I569">
        <v>10</v>
      </c>
      <c r="J569">
        <v>4.75</v>
      </c>
      <c r="K569">
        <v>46230</v>
      </c>
      <c r="L569" t="s">
        <v>217</v>
      </c>
      <c r="M569">
        <v>1.703125</v>
      </c>
      <c r="N569">
        <v>1.3519325877879245</v>
      </c>
      <c r="O569">
        <v>1.3519325877879245</v>
      </c>
      <c r="P569">
        <v>0.48473898706869661</v>
      </c>
      <c r="Q569">
        <v>0</v>
      </c>
      <c r="R569">
        <v>0</v>
      </c>
      <c r="S569">
        <v>0.10193258778792447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0.25</v>
      </c>
      <c r="Z569">
        <v>0</v>
      </c>
      <c r="AA569">
        <v>0</v>
      </c>
      <c r="AB569">
        <v>0</v>
      </c>
      <c r="AC569">
        <v>0.51526101293130333</v>
      </c>
      <c r="AD569">
        <v>0</v>
      </c>
      <c r="AE569">
        <v>0.48473898706869661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0.73968185176764778</v>
      </c>
      <c r="AL569">
        <v>0.73968185176764778</v>
      </c>
      <c r="AM569">
        <v>0.35855263157894735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0.26031814823235222</v>
      </c>
      <c r="AY569">
        <v>0</v>
      </c>
      <c r="AZ569">
        <v>0.38112922018870043</v>
      </c>
      <c r="BA569">
        <v>0</v>
      </c>
      <c r="BB569">
        <v>0.35855263157894735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2.7889908256880735</v>
      </c>
      <c r="BI569">
        <v>2.7889908256880735</v>
      </c>
      <c r="BJ569">
        <v>2.0629658985079349</v>
      </c>
      <c r="CA569">
        <v>0</v>
      </c>
      <c r="CB569">
        <v>0</v>
      </c>
      <c r="CC569">
        <v>0</v>
      </c>
    </row>
    <row r="570" spans="1:82" hidden="1" x14ac:dyDescent="0.25">
      <c r="A570" t="s">
        <v>128</v>
      </c>
      <c r="B570" t="s">
        <v>503</v>
      </c>
      <c r="C570" t="s">
        <v>72</v>
      </c>
      <c r="D570" s="12">
        <v>46230</v>
      </c>
      <c r="E570" t="s">
        <v>134</v>
      </c>
      <c r="F570" t="s">
        <v>73</v>
      </c>
      <c r="G570">
        <v>1.0717158176943695</v>
      </c>
      <c r="H570">
        <v>4.75</v>
      </c>
      <c r="I570">
        <v>10</v>
      </c>
      <c r="J570">
        <v>4.75</v>
      </c>
      <c r="K570">
        <v>46230</v>
      </c>
      <c r="L570" t="s">
        <v>217</v>
      </c>
      <c r="M570">
        <v>0.1176470588235294</v>
      </c>
      <c r="N570">
        <v>4.4321450906816775</v>
      </c>
      <c r="O570">
        <v>4.4321450906816775</v>
      </c>
      <c r="P570">
        <v>0.10977449141007251</v>
      </c>
      <c r="Q570">
        <v>0</v>
      </c>
      <c r="R570">
        <v>0</v>
      </c>
      <c r="S570">
        <v>3.1821450906816775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0.25</v>
      </c>
      <c r="Z570">
        <v>0</v>
      </c>
      <c r="AA570">
        <v>0</v>
      </c>
      <c r="AB570">
        <v>0</v>
      </c>
      <c r="AC570">
        <v>0.89022550858992755</v>
      </c>
      <c r="AD570">
        <v>0</v>
      </c>
      <c r="AE570">
        <v>0.10977449141007251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0.22562438267249885</v>
      </c>
      <c r="AL570">
        <v>0.22562438267249885</v>
      </c>
      <c r="AM570">
        <v>2.4767801857585137E-2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0.77437561732750115</v>
      </c>
      <c r="AY570">
        <v>0</v>
      </c>
      <c r="AZ570">
        <v>0.2008565808149137</v>
      </c>
      <c r="BA570">
        <v>0</v>
      </c>
      <c r="BB570">
        <v>2.4767801857585137E-2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40.375000000000007</v>
      </c>
      <c r="BI570">
        <v>40.375000000000007</v>
      </c>
      <c r="BJ570">
        <v>9.1095844504021422</v>
      </c>
      <c r="CA570">
        <v>0</v>
      </c>
      <c r="CB570">
        <v>0</v>
      </c>
      <c r="CC570">
        <v>0</v>
      </c>
    </row>
    <row r="571" spans="1:82" hidden="1" x14ac:dyDescent="0.25">
      <c r="A571" t="s">
        <v>128</v>
      </c>
      <c r="B571" t="s">
        <v>502</v>
      </c>
      <c r="C571" t="s">
        <v>72</v>
      </c>
      <c r="D571" s="12">
        <v>46230</v>
      </c>
      <c r="E571" t="s">
        <v>134</v>
      </c>
      <c r="F571" t="s">
        <v>73</v>
      </c>
      <c r="G571">
        <v>2.6268630234208659</v>
      </c>
      <c r="H571">
        <v>4.75</v>
      </c>
      <c r="I571">
        <v>10</v>
      </c>
      <c r="J571">
        <v>4.75</v>
      </c>
      <c r="K571">
        <v>46230</v>
      </c>
      <c r="L571" t="s">
        <v>217</v>
      </c>
      <c r="M571">
        <v>2.0061274509803924</v>
      </c>
      <c r="N571">
        <v>1.8082404593042891</v>
      </c>
      <c r="O571">
        <v>1.8082404593042891</v>
      </c>
      <c r="P571">
        <v>0.76369701544920576</v>
      </c>
      <c r="Q571">
        <v>0</v>
      </c>
      <c r="R571">
        <v>0</v>
      </c>
      <c r="S571">
        <v>0.55824045930428912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0.25</v>
      </c>
      <c r="Z571">
        <v>0</v>
      </c>
      <c r="AA571">
        <v>0</v>
      </c>
      <c r="AB571">
        <v>0</v>
      </c>
      <c r="AC571">
        <v>0.23630298455079424</v>
      </c>
      <c r="AD571">
        <v>0</v>
      </c>
      <c r="AE571">
        <v>0.76369701544920576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0.55302379440439287</v>
      </c>
      <c r="AL571">
        <v>0.55302379440439287</v>
      </c>
      <c r="AM571">
        <v>0.42234262125902999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0.44697620559560713</v>
      </c>
      <c r="AY571">
        <v>0</v>
      </c>
      <c r="AZ571">
        <v>0.13068117314536287</v>
      </c>
      <c r="BA571">
        <v>0</v>
      </c>
      <c r="BB571">
        <v>0.42234262125902999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2.3677458766035429</v>
      </c>
      <c r="BI571">
        <v>2.3677458766035429</v>
      </c>
      <c r="BJ571">
        <v>1.3094198088646465</v>
      </c>
      <c r="CA571">
        <v>0</v>
      </c>
      <c r="CB571">
        <v>0</v>
      </c>
      <c r="CC571">
        <v>0</v>
      </c>
    </row>
    <row r="572" spans="1:82" hidden="1" x14ac:dyDescent="0.25">
      <c r="A572" t="s">
        <v>128</v>
      </c>
      <c r="B572" t="s">
        <v>503</v>
      </c>
      <c r="C572" t="s">
        <v>72</v>
      </c>
      <c r="D572" s="12">
        <v>46230</v>
      </c>
      <c r="E572" t="s">
        <v>134</v>
      </c>
      <c r="F572" t="s">
        <v>74</v>
      </c>
      <c r="G572">
        <v>1.7587131367292226</v>
      </c>
      <c r="H572">
        <v>0</v>
      </c>
      <c r="I572">
        <v>10</v>
      </c>
      <c r="J572">
        <v>0</v>
      </c>
      <c r="K572">
        <v>46230</v>
      </c>
      <c r="L572" t="s">
        <v>216</v>
      </c>
      <c r="M572">
        <v>6.2745098039215685E-2</v>
      </c>
      <c r="N572">
        <v>0</v>
      </c>
      <c r="O572">
        <v>0</v>
      </c>
      <c r="P572">
        <v>3.5676709708273552E-2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3.5676709708273552E-2</v>
      </c>
      <c r="AA572">
        <v>0.96432329029172648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H572">
        <v>0</v>
      </c>
      <c r="BI572">
        <v>0</v>
      </c>
      <c r="BJ572">
        <v>28.029490616621985</v>
      </c>
      <c r="BK572">
        <v>27.029490616621985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</row>
    <row r="573" spans="1:82" hidden="1" x14ac:dyDescent="0.25">
      <c r="A573" t="s">
        <v>128</v>
      </c>
      <c r="B573" t="s">
        <v>502</v>
      </c>
      <c r="C573" t="s">
        <v>72</v>
      </c>
      <c r="D573" s="12">
        <v>46230</v>
      </c>
      <c r="E573" t="s">
        <v>134</v>
      </c>
      <c r="F573" t="s">
        <v>74</v>
      </c>
      <c r="G573">
        <v>2.7219304471256209</v>
      </c>
      <c r="H573">
        <v>0</v>
      </c>
      <c r="I573">
        <v>10</v>
      </c>
      <c r="J573">
        <v>0</v>
      </c>
      <c r="K573">
        <v>46230</v>
      </c>
      <c r="L573" t="s">
        <v>216</v>
      </c>
      <c r="M573">
        <v>2.0078431372549019</v>
      </c>
      <c r="N573">
        <v>0</v>
      </c>
      <c r="O573">
        <v>0</v>
      </c>
      <c r="P573">
        <v>0.73765409376099211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0.73765409376099211</v>
      </c>
      <c r="AA573">
        <v>0.26234590623900789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H573">
        <v>0</v>
      </c>
      <c r="BI573">
        <v>0</v>
      </c>
      <c r="BJ573">
        <v>1.3556489531582683</v>
      </c>
      <c r="BK573">
        <v>0.35564895315826828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1</v>
      </c>
      <c r="CD573">
        <v>1</v>
      </c>
    </row>
    <row r="574" spans="1:82" hidden="1" x14ac:dyDescent="0.25">
      <c r="A574" t="s">
        <v>128</v>
      </c>
      <c r="B574" t="s">
        <v>372</v>
      </c>
      <c r="C574" t="s">
        <v>72</v>
      </c>
      <c r="D574" s="12">
        <v>46230</v>
      </c>
      <c r="E574" t="s">
        <v>134</v>
      </c>
      <c r="F574" t="s">
        <v>74</v>
      </c>
      <c r="G574">
        <v>1.2742252699784016</v>
      </c>
      <c r="H574">
        <v>0</v>
      </c>
      <c r="I574">
        <v>10</v>
      </c>
      <c r="J574">
        <v>0</v>
      </c>
      <c r="K574">
        <v>46230</v>
      </c>
      <c r="L574" t="s">
        <v>216</v>
      </c>
      <c r="M574">
        <v>0.94117647058823517</v>
      </c>
      <c r="N574">
        <v>0</v>
      </c>
      <c r="O574">
        <v>0</v>
      </c>
      <c r="P574">
        <v>0.73862643659875649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0.73862643659875649</v>
      </c>
      <c r="AA574">
        <v>0.26137356340124351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H574">
        <v>0</v>
      </c>
      <c r="BI574">
        <v>0</v>
      </c>
      <c r="BJ574">
        <v>1.3538643493520519</v>
      </c>
      <c r="BK574">
        <v>0.35386434935205191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</row>
    <row r="575" spans="1:82" hidden="1" x14ac:dyDescent="0.25">
      <c r="A575" t="s">
        <v>128</v>
      </c>
      <c r="B575" t="s">
        <v>503</v>
      </c>
      <c r="C575" t="s">
        <v>72</v>
      </c>
      <c r="D575" s="12">
        <v>46230</v>
      </c>
      <c r="E575" t="s">
        <v>134</v>
      </c>
      <c r="F575" t="s">
        <v>75</v>
      </c>
      <c r="G575">
        <v>2.6380697050938342</v>
      </c>
      <c r="H575">
        <v>3.8</v>
      </c>
      <c r="I575">
        <v>10</v>
      </c>
      <c r="J575">
        <v>3.8</v>
      </c>
      <c r="K575">
        <v>46230</v>
      </c>
      <c r="L575" t="s">
        <v>215</v>
      </c>
      <c r="M575">
        <v>1.7162629757785473</v>
      </c>
      <c r="N575">
        <v>1.4404471544715445</v>
      </c>
      <c r="O575">
        <v>1.4404471544715445</v>
      </c>
      <c r="P575">
        <v>0.65057529468028252</v>
      </c>
      <c r="Q575">
        <v>0</v>
      </c>
      <c r="R575">
        <v>0</v>
      </c>
      <c r="S575">
        <v>0.19044715447154448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0.25</v>
      </c>
      <c r="Z575">
        <v>0</v>
      </c>
      <c r="AA575">
        <v>0</v>
      </c>
      <c r="AB575">
        <v>0</v>
      </c>
      <c r="AC575">
        <v>0.34942470531971748</v>
      </c>
      <c r="AD575">
        <v>0</v>
      </c>
      <c r="AE575">
        <v>0.65057529468028252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0.69422886976153531</v>
      </c>
      <c r="AL575">
        <v>0.69422886976153531</v>
      </c>
      <c r="AM575">
        <v>0.45164815152067034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0.30577113023846469</v>
      </c>
      <c r="AY575">
        <v>0</v>
      </c>
      <c r="AZ575">
        <v>0.24258071824086497</v>
      </c>
      <c r="BA575">
        <v>0</v>
      </c>
      <c r="BB575">
        <v>0.45164815152067034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2.2141129032258058</v>
      </c>
      <c r="BI575">
        <v>2.2141129032258058</v>
      </c>
      <c r="BJ575">
        <v>1.5371010983308828</v>
      </c>
      <c r="CA575">
        <v>0</v>
      </c>
      <c r="CB575">
        <v>0</v>
      </c>
      <c r="CC575">
        <v>0</v>
      </c>
    </row>
    <row r="576" spans="1:82" hidden="1" x14ac:dyDescent="0.25">
      <c r="A576" t="s">
        <v>128</v>
      </c>
      <c r="B576" t="s">
        <v>372</v>
      </c>
      <c r="C576" t="s">
        <v>72</v>
      </c>
      <c r="D576" s="12">
        <v>46230</v>
      </c>
      <c r="E576" t="s">
        <v>134</v>
      </c>
      <c r="F576" t="s">
        <v>75</v>
      </c>
      <c r="G576">
        <v>3.3729492440604751</v>
      </c>
      <c r="H576">
        <v>3.8</v>
      </c>
      <c r="I576">
        <v>10</v>
      </c>
      <c r="J576">
        <v>3.8</v>
      </c>
      <c r="K576">
        <v>46230</v>
      </c>
      <c r="L576" t="s">
        <v>215</v>
      </c>
      <c r="M576">
        <v>3.1548442906574392</v>
      </c>
      <c r="N576">
        <v>1.1266104898232698</v>
      </c>
      <c r="O576">
        <v>1.1266104898232698</v>
      </c>
      <c r="P576">
        <v>0.93533701884571685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0.12661048982326983</v>
      </c>
      <c r="Z576">
        <v>0</v>
      </c>
      <c r="AA576">
        <v>0</v>
      </c>
      <c r="AB576">
        <v>0</v>
      </c>
      <c r="AC576">
        <v>6.466298115428315E-2</v>
      </c>
      <c r="AD576">
        <v>0</v>
      </c>
      <c r="AE576">
        <v>0.93533701884571685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0.88761822212117769</v>
      </c>
      <c r="AL576">
        <v>0.88761822212117769</v>
      </c>
      <c r="AM576">
        <v>0.83022218175195772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0.11238177787882231</v>
      </c>
      <c r="AY576">
        <v>0</v>
      </c>
      <c r="AZ576">
        <v>5.7396040369219969E-2</v>
      </c>
      <c r="BA576">
        <v>0</v>
      </c>
      <c r="BB576">
        <v>0.83022218175195772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1.2044968467233343</v>
      </c>
      <c r="BI576">
        <v>1.2044968467233343</v>
      </c>
      <c r="BJ576">
        <v>1.0691333496391306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6.9133349639130648E-2</v>
      </c>
      <c r="BR576">
        <v>0</v>
      </c>
      <c r="BS576">
        <v>0.1353634970842037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>
        <v>0</v>
      </c>
    </row>
    <row r="577" spans="1:82" hidden="1" x14ac:dyDescent="0.25">
      <c r="A577" t="s">
        <v>128</v>
      </c>
      <c r="B577" t="s">
        <v>502</v>
      </c>
      <c r="C577" t="s">
        <v>72</v>
      </c>
      <c r="D577" s="12">
        <v>46230</v>
      </c>
      <c r="E577" t="s">
        <v>134</v>
      </c>
      <c r="F577" t="s">
        <v>75</v>
      </c>
      <c r="G577">
        <v>2.4723416691019913</v>
      </c>
      <c r="H577">
        <v>3.8</v>
      </c>
      <c r="I577">
        <v>10</v>
      </c>
      <c r="J577">
        <v>3.8</v>
      </c>
      <c r="K577">
        <v>46230</v>
      </c>
      <c r="L577" t="s">
        <v>215</v>
      </c>
      <c r="M577">
        <v>2.1049596309111882</v>
      </c>
      <c r="N577">
        <v>1.5370043904086457</v>
      </c>
      <c r="O577">
        <v>1.5370043904086457</v>
      </c>
      <c r="P577">
        <v>0.85140320903775235</v>
      </c>
      <c r="Q577">
        <v>0</v>
      </c>
      <c r="R577">
        <v>0</v>
      </c>
      <c r="S577">
        <v>0.28700439040864567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0.25</v>
      </c>
      <c r="Z577">
        <v>0</v>
      </c>
      <c r="AA577">
        <v>0</v>
      </c>
      <c r="AB577">
        <v>0</v>
      </c>
      <c r="AC577">
        <v>0.14859679096224765</v>
      </c>
      <c r="AD577">
        <v>0</v>
      </c>
      <c r="AE577">
        <v>0.85140320903775235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0.6506162287110504</v>
      </c>
      <c r="AL577">
        <v>0.6506162287110504</v>
      </c>
      <c r="AM577">
        <v>0.55393674497662848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0.3493837712889496</v>
      </c>
      <c r="AY577">
        <v>0</v>
      </c>
      <c r="AZ577">
        <v>9.6679483734421923E-2</v>
      </c>
      <c r="BA577">
        <v>0</v>
      </c>
      <c r="BB577">
        <v>0.55393674497662848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1.8052602739726025</v>
      </c>
      <c r="BI577">
        <v>1.8052602739726025</v>
      </c>
      <c r="BJ577">
        <v>1.1745316312939322</v>
      </c>
      <c r="CA577">
        <v>0</v>
      </c>
      <c r="CB577">
        <v>0</v>
      </c>
      <c r="CC577">
        <v>0</v>
      </c>
    </row>
    <row r="578" spans="1:82" hidden="1" x14ac:dyDescent="0.25">
      <c r="A578" t="s">
        <v>128</v>
      </c>
      <c r="B578" t="s">
        <v>372</v>
      </c>
      <c r="C578" t="s">
        <v>72</v>
      </c>
      <c r="D578" s="12">
        <v>46231</v>
      </c>
      <c r="E578" t="s">
        <v>134</v>
      </c>
      <c r="F578" t="s">
        <v>73</v>
      </c>
      <c r="G578">
        <v>7.0269775917926545</v>
      </c>
      <c r="H578">
        <v>4.75</v>
      </c>
      <c r="I578">
        <v>10</v>
      </c>
      <c r="J578">
        <v>4.75</v>
      </c>
      <c r="K578">
        <v>46231</v>
      </c>
      <c r="L578" t="s">
        <v>214</v>
      </c>
      <c r="M578">
        <v>5.2297794117647056</v>
      </c>
      <c r="N578">
        <v>0.67596629389396212</v>
      </c>
      <c r="O578">
        <v>0.67596629389396212</v>
      </c>
      <c r="P578">
        <v>0.74424307512705967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6.827678123309755E-2</v>
      </c>
      <c r="AA578">
        <v>0.25575692487294033</v>
      </c>
      <c r="AB578">
        <v>0</v>
      </c>
      <c r="AC578">
        <v>0</v>
      </c>
      <c r="AD578">
        <v>0</v>
      </c>
      <c r="AE578">
        <v>0.67596629389396212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1.4793637035352958</v>
      </c>
      <c r="AL578">
        <v>1.4793637035352958</v>
      </c>
      <c r="AM578">
        <v>1.1010061919504643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0.10100619195046434</v>
      </c>
      <c r="AU578">
        <v>0</v>
      </c>
      <c r="AV578">
        <v>0.37835751158483144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0.90826010544815472</v>
      </c>
      <c r="BI578">
        <v>0.90826010544815472</v>
      </c>
      <c r="BJ578">
        <v>1.3436470333691404</v>
      </c>
      <c r="BK578">
        <v>0.34364703336914038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0.32403370610603788</v>
      </c>
      <c r="BU578">
        <v>0</v>
      </c>
      <c r="BV578">
        <v>0</v>
      </c>
      <c r="BW578">
        <v>0</v>
      </c>
      <c r="BX578">
        <v>0</v>
      </c>
      <c r="BY578">
        <v>0.90826010544815472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 hidden="1" x14ac:dyDescent="0.25">
      <c r="A579" t="s">
        <v>128</v>
      </c>
      <c r="B579" t="s">
        <v>503</v>
      </c>
      <c r="C579" t="s">
        <v>72</v>
      </c>
      <c r="D579" s="12">
        <v>46231</v>
      </c>
      <c r="E579" t="s">
        <v>134</v>
      </c>
      <c r="F579" t="s">
        <v>73</v>
      </c>
      <c r="G579">
        <v>1.4014745308310996</v>
      </c>
      <c r="H579">
        <v>4.75</v>
      </c>
      <c r="I579">
        <v>10</v>
      </c>
      <c r="J579">
        <v>4.75</v>
      </c>
      <c r="K579">
        <v>46231</v>
      </c>
      <c r="L579" t="s">
        <v>214</v>
      </c>
      <c r="M579">
        <v>2.6176470588235294</v>
      </c>
      <c r="N579">
        <v>3.3892874222859866</v>
      </c>
      <c r="O579">
        <v>3.3892874222859866</v>
      </c>
      <c r="P579">
        <v>1.867780684727262</v>
      </c>
      <c r="Q579">
        <v>0</v>
      </c>
      <c r="R579">
        <v>0</v>
      </c>
      <c r="S579">
        <v>1.5215067375587246</v>
      </c>
      <c r="T579">
        <v>0</v>
      </c>
      <c r="U579">
        <v>0.617780684727262</v>
      </c>
      <c r="V579">
        <v>0</v>
      </c>
      <c r="W579">
        <v>0.25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0.29504726964865258</v>
      </c>
      <c r="AL579">
        <v>0.29504726964865258</v>
      </c>
      <c r="AM579">
        <v>0.55108359133126938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0.44891640866873062</v>
      </c>
      <c r="AY579">
        <v>0</v>
      </c>
      <c r="AZ579">
        <v>0</v>
      </c>
      <c r="BA579">
        <v>0</v>
      </c>
      <c r="BB579">
        <v>0.29504726964865258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1.8146067415730336</v>
      </c>
      <c r="BI579">
        <v>1.8146067415730336</v>
      </c>
      <c r="BJ579">
        <v>0.53539476458716162</v>
      </c>
      <c r="CA579">
        <v>0</v>
      </c>
      <c r="CB579">
        <v>0</v>
      </c>
      <c r="CC579">
        <v>0</v>
      </c>
    </row>
    <row r="580" spans="1:82" hidden="1" x14ac:dyDescent="0.25">
      <c r="A580" t="s">
        <v>128</v>
      </c>
      <c r="B580" t="s">
        <v>502</v>
      </c>
      <c r="C580" t="s">
        <v>72</v>
      </c>
      <c r="D580" s="12">
        <v>46231</v>
      </c>
      <c r="E580" t="s">
        <v>134</v>
      </c>
      <c r="F580" t="s">
        <v>73</v>
      </c>
      <c r="G580">
        <v>3.9778211497515952</v>
      </c>
      <c r="H580">
        <v>4.75</v>
      </c>
      <c r="I580">
        <v>10</v>
      </c>
      <c r="J580">
        <v>4.75</v>
      </c>
      <c r="K580">
        <v>46231</v>
      </c>
      <c r="L580" t="s">
        <v>214</v>
      </c>
      <c r="M580">
        <v>2</v>
      </c>
      <c r="N580">
        <v>1.1941210580311348</v>
      </c>
      <c r="O580">
        <v>1.1941210580311348</v>
      </c>
      <c r="P580">
        <v>0.50278781390784621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0.19412105803113477</v>
      </c>
      <c r="Z580">
        <v>0</v>
      </c>
      <c r="AA580">
        <v>0</v>
      </c>
      <c r="AB580">
        <v>0</v>
      </c>
      <c r="AC580">
        <v>0.49721218609215379</v>
      </c>
      <c r="AD580">
        <v>0</v>
      </c>
      <c r="AE580">
        <v>0.50278781390784621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0.83743603152665158</v>
      </c>
      <c r="AL580">
        <v>0.83743603152665158</v>
      </c>
      <c r="AM580">
        <v>0.42105263157894735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0.16256396847334842</v>
      </c>
      <c r="AY580">
        <v>0</v>
      </c>
      <c r="AZ580">
        <v>0.41638339994770424</v>
      </c>
      <c r="BA580">
        <v>0</v>
      </c>
      <c r="BB580">
        <v>0.42105263157894735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2.375</v>
      </c>
      <c r="BI580">
        <v>2.375</v>
      </c>
      <c r="BJ580">
        <v>1.9889105748757976</v>
      </c>
      <c r="CA580">
        <v>0</v>
      </c>
      <c r="CB580">
        <v>0</v>
      </c>
      <c r="CC580">
        <v>0</v>
      </c>
    </row>
    <row r="581" spans="1:82" hidden="1" x14ac:dyDescent="0.25">
      <c r="A581" t="s">
        <v>128</v>
      </c>
      <c r="B581" t="s">
        <v>502</v>
      </c>
      <c r="C581" t="s">
        <v>72</v>
      </c>
      <c r="D581" s="12">
        <v>46231</v>
      </c>
      <c r="E581" t="s">
        <v>134</v>
      </c>
      <c r="F581" t="s">
        <v>74</v>
      </c>
      <c r="G581">
        <v>2.7219304471256209</v>
      </c>
      <c r="H581">
        <v>0</v>
      </c>
      <c r="I581">
        <v>10</v>
      </c>
      <c r="J581">
        <v>0</v>
      </c>
      <c r="K581">
        <v>46231</v>
      </c>
      <c r="L581" t="s">
        <v>230</v>
      </c>
      <c r="M581">
        <v>2.0078431372549019</v>
      </c>
      <c r="N581">
        <v>0</v>
      </c>
      <c r="O581">
        <v>0</v>
      </c>
      <c r="P581">
        <v>0.73765409376099211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0.73765409376099211</v>
      </c>
      <c r="AA581">
        <v>0.26234590623900789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H581">
        <v>0</v>
      </c>
      <c r="BI581">
        <v>0</v>
      </c>
      <c r="BJ581">
        <v>1.3556489531582683</v>
      </c>
      <c r="BK581">
        <v>0.35564895315826828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1</v>
      </c>
    </row>
    <row r="582" spans="1:82" hidden="1" x14ac:dyDescent="0.25">
      <c r="A582" t="s">
        <v>128</v>
      </c>
      <c r="B582" t="s">
        <v>503</v>
      </c>
      <c r="C582" t="s">
        <v>72</v>
      </c>
      <c r="D582" s="12">
        <v>46231</v>
      </c>
      <c r="E582" t="s">
        <v>134</v>
      </c>
      <c r="F582" t="s">
        <v>74</v>
      </c>
      <c r="G582">
        <v>1.7587131367292226</v>
      </c>
      <c r="H582">
        <v>0</v>
      </c>
      <c r="I582">
        <v>10</v>
      </c>
      <c r="J582">
        <v>0</v>
      </c>
      <c r="K582">
        <v>46231</v>
      </c>
      <c r="L582" t="s">
        <v>230</v>
      </c>
      <c r="M582">
        <v>6.2745098039215685E-2</v>
      </c>
      <c r="N582">
        <v>0</v>
      </c>
      <c r="O582">
        <v>0</v>
      </c>
      <c r="P582">
        <v>3.5676709708273552E-2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3.5676709708273552E-2</v>
      </c>
      <c r="AA582">
        <v>0.96432329029172648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H582">
        <v>0</v>
      </c>
      <c r="BI582">
        <v>0</v>
      </c>
      <c r="BJ582">
        <v>28.029490616621985</v>
      </c>
      <c r="BK582">
        <v>27.029490616621985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 hidden="1" x14ac:dyDescent="0.25">
      <c r="A583" t="s">
        <v>128</v>
      </c>
      <c r="B583" t="s">
        <v>372</v>
      </c>
      <c r="C583" t="s">
        <v>72</v>
      </c>
      <c r="D583" s="12">
        <v>46231</v>
      </c>
      <c r="E583" t="s">
        <v>134</v>
      </c>
      <c r="F583" t="s">
        <v>74</v>
      </c>
      <c r="G583">
        <v>1.2742252699784016</v>
      </c>
      <c r="H583">
        <v>0</v>
      </c>
      <c r="I583">
        <v>10</v>
      </c>
      <c r="J583">
        <v>0</v>
      </c>
      <c r="K583">
        <v>46231</v>
      </c>
      <c r="L583" t="s">
        <v>230</v>
      </c>
      <c r="M583">
        <v>0.94117647058823517</v>
      </c>
      <c r="N583">
        <v>0</v>
      </c>
      <c r="O583">
        <v>0</v>
      </c>
      <c r="P583">
        <v>0.73862643659875649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0.73862643659875649</v>
      </c>
      <c r="AA583">
        <v>0.26137356340124351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H583">
        <v>0</v>
      </c>
      <c r="BI583">
        <v>0</v>
      </c>
      <c r="BJ583">
        <v>1.3538643493520519</v>
      </c>
      <c r="BK583">
        <v>0.35386434935205191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</row>
    <row r="584" spans="1:82" hidden="1" x14ac:dyDescent="0.25">
      <c r="A584" t="s">
        <v>128</v>
      </c>
      <c r="B584" t="s">
        <v>503</v>
      </c>
      <c r="C584" t="s">
        <v>72</v>
      </c>
      <c r="D584" s="12">
        <v>46231</v>
      </c>
      <c r="E584" t="s">
        <v>134</v>
      </c>
      <c r="F584" t="s">
        <v>75</v>
      </c>
      <c r="G584">
        <v>2.6380697050938338</v>
      </c>
      <c r="H584">
        <v>1.9</v>
      </c>
      <c r="I584">
        <v>10</v>
      </c>
      <c r="J584">
        <v>1.9</v>
      </c>
      <c r="K584">
        <v>46231</v>
      </c>
      <c r="L584" t="s">
        <v>231</v>
      </c>
      <c r="M584">
        <v>1.7162629757785468</v>
      </c>
      <c r="N584">
        <v>0.72022357723577235</v>
      </c>
      <c r="O584">
        <v>0.72022357723577235</v>
      </c>
      <c r="P584">
        <v>0.65057529468028252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0.27977642276422765</v>
      </c>
      <c r="AB584">
        <v>0</v>
      </c>
      <c r="AC584">
        <v>6.9648282555489827E-2</v>
      </c>
      <c r="AD584">
        <v>0</v>
      </c>
      <c r="AE584">
        <v>0.65057529468028252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1.3884577395230704</v>
      </c>
      <c r="AL584">
        <v>1.3884577395230704</v>
      </c>
      <c r="AM584">
        <v>0.90329630304134045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0.38845773952307039</v>
      </c>
      <c r="AW584">
        <v>0</v>
      </c>
      <c r="AX584">
        <v>0</v>
      </c>
      <c r="AY584">
        <v>0</v>
      </c>
      <c r="AZ584">
        <v>9.6703696958659546E-2</v>
      </c>
      <c r="BA584">
        <v>0</v>
      </c>
      <c r="BB584">
        <v>0.90329630304134045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1.1070564516129031</v>
      </c>
      <c r="BI584">
        <v>1.1070564516129031</v>
      </c>
      <c r="BJ584">
        <v>1.5371010983308828</v>
      </c>
      <c r="BK584">
        <v>0.43004464671797971</v>
      </c>
      <c r="BL584">
        <v>0</v>
      </c>
      <c r="BM584">
        <v>0</v>
      </c>
      <c r="BN584">
        <v>0</v>
      </c>
      <c r="BO584">
        <v>0</v>
      </c>
      <c r="BP584">
        <v>0.39294354838709689</v>
      </c>
      <c r="BQ584">
        <v>0.10705645161290311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 hidden="1" x14ac:dyDescent="0.25">
      <c r="A585" t="s">
        <v>128</v>
      </c>
      <c r="B585" t="s">
        <v>502</v>
      </c>
      <c r="C585" t="s">
        <v>72</v>
      </c>
      <c r="D585" s="12">
        <v>46231</v>
      </c>
      <c r="E585" t="s">
        <v>134</v>
      </c>
      <c r="F585" t="s">
        <v>75</v>
      </c>
      <c r="G585">
        <v>2.4017033356990769</v>
      </c>
      <c r="H585">
        <v>1.9</v>
      </c>
      <c r="I585">
        <v>10</v>
      </c>
      <c r="J585">
        <v>1.9</v>
      </c>
      <c r="K585">
        <v>46231</v>
      </c>
      <c r="L585" t="s">
        <v>231</v>
      </c>
      <c r="M585">
        <v>1.9930795847750864</v>
      </c>
      <c r="N585">
        <v>0.79110520094562664</v>
      </c>
      <c r="O585">
        <v>0.79110520094562664</v>
      </c>
      <c r="P585">
        <v>0.82986085548111621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3.875565453548957E-2</v>
      </c>
      <c r="AA585">
        <v>0.17013914451888379</v>
      </c>
      <c r="AB585">
        <v>0</v>
      </c>
      <c r="AC585">
        <v>0</v>
      </c>
      <c r="AD585">
        <v>0</v>
      </c>
      <c r="AE585">
        <v>0.79110520094562664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1.2640543872100405</v>
      </c>
      <c r="AL585">
        <v>1.2640543872100405</v>
      </c>
      <c r="AM585">
        <v>1.0489892551447824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4.8989255144782362E-2</v>
      </c>
      <c r="AU585">
        <v>0</v>
      </c>
      <c r="AV585">
        <v>0.21506513206525812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0.95329861111111114</v>
      </c>
      <c r="BI585">
        <v>0.95329861111111114</v>
      </c>
      <c r="BJ585">
        <v>1.2050212916962384</v>
      </c>
      <c r="BK585">
        <v>0.20502129169623839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0.20889479905437336</v>
      </c>
      <c r="BU585">
        <v>0</v>
      </c>
      <c r="BV585">
        <v>0</v>
      </c>
      <c r="BW585">
        <v>0</v>
      </c>
      <c r="BX585">
        <v>0</v>
      </c>
      <c r="BY585">
        <v>0.95329861111111114</v>
      </c>
      <c r="BZ585">
        <v>0</v>
      </c>
      <c r="CA585">
        <v>0</v>
      </c>
      <c r="CB585">
        <v>0</v>
      </c>
      <c r="CC585">
        <v>0</v>
      </c>
      <c r="CD585">
        <v>0</v>
      </c>
    </row>
    <row r="586" spans="1:82" hidden="1" x14ac:dyDescent="0.25">
      <c r="A586" t="s">
        <v>128</v>
      </c>
      <c r="B586" t="s">
        <v>372</v>
      </c>
      <c r="C586" t="s">
        <v>72</v>
      </c>
      <c r="D586" s="12">
        <v>46231</v>
      </c>
      <c r="E586" t="s">
        <v>134</v>
      </c>
      <c r="F586" t="s">
        <v>75</v>
      </c>
      <c r="G586">
        <v>3.3729492440604751</v>
      </c>
      <c r="H586">
        <v>1.9</v>
      </c>
      <c r="I586">
        <v>10</v>
      </c>
      <c r="J586">
        <v>1.9</v>
      </c>
      <c r="K586">
        <v>46231</v>
      </c>
      <c r="L586" t="s">
        <v>231</v>
      </c>
      <c r="M586">
        <v>3.5415224913494807</v>
      </c>
      <c r="N586">
        <v>0.56330524491163492</v>
      </c>
      <c r="O586">
        <v>0.56330524491163492</v>
      </c>
      <c r="P586">
        <v>1.0499779970261489</v>
      </c>
      <c r="Q586">
        <v>4.9977997026148913E-2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0.43669475508836508</v>
      </c>
      <c r="AA586">
        <v>0</v>
      </c>
      <c r="AB586">
        <v>0</v>
      </c>
      <c r="AC586">
        <v>0</v>
      </c>
      <c r="AD586">
        <v>0</v>
      </c>
      <c r="AE586">
        <v>0.56330524491163492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1.7752364442423554</v>
      </c>
      <c r="AL586">
        <v>1.7752364442423554</v>
      </c>
      <c r="AM586">
        <v>1.8639592059734109</v>
      </c>
      <c r="BD586">
        <v>0</v>
      </c>
      <c r="BE586">
        <v>0</v>
      </c>
      <c r="BF586">
        <v>0</v>
      </c>
      <c r="BH586">
        <v>0.53649242794333174</v>
      </c>
      <c r="BI586">
        <v>0.53649242794333174</v>
      </c>
      <c r="BJ586">
        <v>0.95240091014506822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4.7599089854931775E-2</v>
      </c>
      <c r="BV586">
        <v>0</v>
      </c>
      <c r="BW586">
        <v>0</v>
      </c>
      <c r="BX586">
        <v>0</v>
      </c>
      <c r="BY586">
        <v>0.53649242794333174</v>
      </c>
      <c r="BZ586">
        <v>0</v>
      </c>
      <c r="CA586">
        <v>0</v>
      </c>
      <c r="CB586">
        <v>0</v>
      </c>
      <c r="CC586">
        <v>0</v>
      </c>
      <c r="CD586">
        <v>0</v>
      </c>
    </row>
    <row r="587" spans="1:82" hidden="1" x14ac:dyDescent="0.25">
      <c r="A587" t="s">
        <v>128</v>
      </c>
      <c r="B587" t="s">
        <v>503</v>
      </c>
      <c r="C587" t="s">
        <v>72</v>
      </c>
      <c r="D587" s="12">
        <v>46232</v>
      </c>
      <c r="E587" t="s">
        <v>134</v>
      </c>
      <c r="F587" t="s">
        <v>73</v>
      </c>
      <c r="G587">
        <v>2.8029490616621993</v>
      </c>
      <c r="H587">
        <v>3.8</v>
      </c>
      <c r="I587">
        <v>10</v>
      </c>
      <c r="J587">
        <v>3.8</v>
      </c>
      <c r="K587">
        <v>46232</v>
      </c>
      <c r="L587" t="s">
        <v>238</v>
      </c>
      <c r="M587">
        <v>1.7647058823529416</v>
      </c>
      <c r="N587">
        <v>1.3557149689143946</v>
      </c>
      <c r="O587">
        <v>1.3557149689143946</v>
      </c>
      <c r="P587">
        <v>0.62958899485188613</v>
      </c>
      <c r="Q587">
        <v>0</v>
      </c>
      <c r="R587">
        <v>0</v>
      </c>
      <c r="S587">
        <v>0.10571496891439458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0.25</v>
      </c>
      <c r="Z587">
        <v>0</v>
      </c>
      <c r="AA587">
        <v>0</v>
      </c>
      <c r="AB587">
        <v>0</v>
      </c>
      <c r="AC587">
        <v>0.37041100514811387</v>
      </c>
      <c r="AD587">
        <v>0</v>
      </c>
      <c r="AE587">
        <v>0.62958899485188613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0.73761817412163144</v>
      </c>
      <c r="AL587">
        <v>0.73761817412163144</v>
      </c>
      <c r="AM587">
        <v>0.46439628482972151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0.26238182587836856</v>
      </c>
      <c r="AY587">
        <v>0</v>
      </c>
      <c r="AZ587">
        <v>0.27322188929190994</v>
      </c>
      <c r="BA587">
        <v>0</v>
      </c>
      <c r="BB587">
        <v>0.46439628482972151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2.1533333333333329</v>
      </c>
      <c r="BI587">
        <v>2.1533333333333329</v>
      </c>
      <c r="BJ587">
        <v>1.5883378016085792</v>
      </c>
      <c r="CA587">
        <v>0</v>
      </c>
      <c r="CB587">
        <v>0</v>
      </c>
      <c r="CC587">
        <v>0</v>
      </c>
    </row>
    <row r="588" spans="1:82" hidden="1" x14ac:dyDescent="0.25">
      <c r="A588" t="s">
        <v>128</v>
      </c>
      <c r="B588" t="s">
        <v>372</v>
      </c>
      <c r="C588" t="s">
        <v>72</v>
      </c>
      <c r="D588" s="12">
        <v>46232</v>
      </c>
      <c r="E588" t="s">
        <v>134</v>
      </c>
      <c r="F588" t="s">
        <v>73</v>
      </c>
      <c r="G588">
        <v>5.8323914011879054</v>
      </c>
      <c r="H588">
        <v>3.8</v>
      </c>
      <c r="I588">
        <v>10</v>
      </c>
      <c r="J588">
        <v>3.8</v>
      </c>
      <c r="K588">
        <v>46232</v>
      </c>
      <c r="L588" t="s">
        <v>238</v>
      </c>
      <c r="M588">
        <v>4.2886029411764683</v>
      </c>
      <c r="N588">
        <v>0.65153377724719219</v>
      </c>
      <c r="O588">
        <v>0.65153377724719219</v>
      </c>
      <c r="P588">
        <v>0.73530780878371649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8.3774031536524296E-2</v>
      </c>
      <c r="AA588">
        <v>0.26469219121628351</v>
      </c>
      <c r="AB588">
        <v>0</v>
      </c>
      <c r="AC588">
        <v>0</v>
      </c>
      <c r="AD588">
        <v>0</v>
      </c>
      <c r="AE588">
        <v>0.65153377724719219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1.53483984241787</v>
      </c>
      <c r="AL588">
        <v>1.53483984241787</v>
      </c>
      <c r="AM588">
        <v>1.1285797213622286</v>
      </c>
      <c r="BD588">
        <v>0</v>
      </c>
      <c r="BE588">
        <v>0</v>
      </c>
      <c r="BF588">
        <v>0</v>
      </c>
      <c r="BH588">
        <v>0.88606943849121345</v>
      </c>
      <c r="BI588">
        <v>0.88606943849121345</v>
      </c>
      <c r="BJ588">
        <v>1.3599746773451447</v>
      </c>
      <c r="BK588">
        <v>0.35997467734514466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0.34846622275280781</v>
      </c>
      <c r="BU588">
        <v>0</v>
      </c>
      <c r="BV588">
        <v>0</v>
      </c>
      <c r="BW588">
        <v>0</v>
      </c>
      <c r="BX588">
        <v>0</v>
      </c>
      <c r="BY588">
        <v>0.88606943849121345</v>
      </c>
      <c r="BZ588">
        <v>0</v>
      </c>
      <c r="CA588">
        <v>0</v>
      </c>
      <c r="CB588">
        <v>0</v>
      </c>
      <c r="CC588">
        <v>0</v>
      </c>
      <c r="CD588">
        <v>0</v>
      </c>
    </row>
    <row r="589" spans="1:82" hidden="1" x14ac:dyDescent="0.25">
      <c r="A589" t="s">
        <v>128</v>
      </c>
      <c r="B589" t="s">
        <v>502</v>
      </c>
      <c r="C589" t="s">
        <v>72</v>
      </c>
      <c r="D589" s="12">
        <v>46232</v>
      </c>
      <c r="E589" t="s">
        <v>134</v>
      </c>
      <c r="F589" t="s">
        <v>73</v>
      </c>
      <c r="G589">
        <v>4.0528743789921924</v>
      </c>
      <c r="H589">
        <v>3.8</v>
      </c>
      <c r="I589">
        <v>10</v>
      </c>
      <c r="J589">
        <v>3.8</v>
      </c>
      <c r="K589">
        <v>46232</v>
      </c>
      <c r="L589" t="s">
        <v>238</v>
      </c>
      <c r="M589">
        <v>1.1176470588235294</v>
      </c>
      <c r="N589">
        <v>0.93760616408370556</v>
      </c>
      <c r="O589">
        <v>0.93760616408370556</v>
      </c>
      <c r="P589">
        <v>0.27576651884814873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6.2393835916294438E-2</v>
      </c>
      <c r="AB589">
        <v>0</v>
      </c>
      <c r="AC589">
        <v>0.66183964523555683</v>
      </c>
      <c r="AD589">
        <v>0</v>
      </c>
      <c r="AE589">
        <v>0.27576651884814873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1.0665458892084718</v>
      </c>
      <c r="AL589">
        <v>1.0665458892084718</v>
      </c>
      <c r="AM589">
        <v>0.29411764705882354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6.654588920847182E-2</v>
      </c>
      <c r="AW589">
        <v>0</v>
      </c>
      <c r="AX589">
        <v>0</v>
      </c>
      <c r="AY589">
        <v>0</v>
      </c>
      <c r="AZ589">
        <v>0.70588235294117641</v>
      </c>
      <c r="BA589">
        <v>0</v>
      </c>
      <c r="BB589">
        <v>0.29411764705882354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3.4</v>
      </c>
      <c r="BI589">
        <v>3.4</v>
      </c>
      <c r="BJ589">
        <v>3.6262560233088035</v>
      </c>
      <c r="CA589">
        <v>0</v>
      </c>
      <c r="CB589">
        <v>0</v>
      </c>
      <c r="CC589">
        <v>0</v>
      </c>
    </row>
    <row r="590" spans="1:82" hidden="1" x14ac:dyDescent="0.25">
      <c r="A590" t="s">
        <v>128</v>
      </c>
      <c r="B590" t="s">
        <v>502</v>
      </c>
      <c r="C590" t="s">
        <v>72</v>
      </c>
      <c r="D590" s="12">
        <v>46232</v>
      </c>
      <c r="E590" t="s">
        <v>134</v>
      </c>
      <c r="F590" t="s">
        <v>74</v>
      </c>
      <c r="G590">
        <v>2.7219304471256209</v>
      </c>
      <c r="H590">
        <v>0</v>
      </c>
      <c r="I590">
        <v>10</v>
      </c>
      <c r="J590">
        <v>0</v>
      </c>
      <c r="K590">
        <v>46232</v>
      </c>
      <c r="L590" t="s">
        <v>237</v>
      </c>
      <c r="M590">
        <v>2.0078431372549019</v>
      </c>
      <c r="N590">
        <v>0</v>
      </c>
      <c r="O590">
        <v>0</v>
      </c>
      <c r="P590">
        <v>0.73765409376099211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0.73765409376099211</v>
      </c>
      <c r="AA590">
        <v>0.26234590623900789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</v>
      </c>
      <c r="BH590">
        <v>0</v>
      </c>
      <c r="BI590">
        <v>0</v>
      </c>
      <c r="BJ590">
        <v>1.3556489531582683</v>
      </c>
      <c r="BK590">
        <v>0.35564895315826828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1</v>
      </c>
      <c r="CD590">
        <v>1</v>
      </c>
    </row>
    <row r="591" spans="1:82" hidden="1" x14ac:dyDescent="0.25">
      <c r="A591" t="s">
        <v>128</v>
      </c>
      <c r="B591" t="s">
        <v>503</v>
      </c>
      <c r="C591" t="s">
        <v>72</v>
      </c>
      <c r="D591" s="12">
        <v>46232</v>
      </c>
      <c r="E591" t="s">
        <v>134</v>
      </c>
      <c r="F591" t="s">
        <v>74</v>
      </c>
      <c r="G591">
        <v>1.7587131367292226</v>
      </c>
      <c r="H591">
        <v>0</v>
      </c>
      <c r="I591">
        <v>10</v>
      </c>
      <c r="J591">
        <v>0</v>
      </c>
      <c r="K591">
        <v>46232</v>
      </c>
      <c r="L591" t="s">
        <v>237</v>
      </c>
      <c r="M591">
        <v>6.2745098039215685E-2</v>
      </c>
      <c r="N591">
        <v>0</v>
      </c>
      <c r="O591">
        <v>0</v>
      </c>
      <c r="P591">
        <v>3.5676709708273552E-2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3.5676709708273552E-2</v>
      </c>
      <c r="AA591">
        <v>0.96432329029172648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H591">
        <v>0</v>
      </c>
      <c r="BI591">
        <v>0</v>
      </c>
      <c r="BJ591">
        <v>28.029490616621985</v>
      </c>
      <c r="BK591">
        <v>27.029490616621985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</row>
    <row r="592" spans="1:82" hidden="1" x14ac:dyDescent="0.25">
      <c r="A592" t="s">
        <v>128</v>
      </c>
      <c r="B592" t="s">
        <v>372</v>
      </c>
      <c r="C592" t="s">
        <v>72</v>
      </c>
      <c r="D592" s="12">
        <v>46232</v>
      </c>
      <c r="E592" t="s">
        <v>134</v>
      </c>
      <c r="F592" t="s">
        <v>74</v>
      </c>
      <c r="G592">
        <v>1.2742252699784016</v>
      </c>
      <c r="H592">
        <v>0</v>
      </c>
      <c r="I592">
        <v>10</v>
      </c>
      <c r="J592">
        <v>0</v>
      </c>
      <c r="K592">
        <v>46232</v>
      </c>
      <c r="L592" t="s">
        <v>237</v>
      </c>
      <c r="M592">
        <v>0.94117647058823517</v>
      </c>
      <c r="N592">
        <v>0</v>
      </c>
      <c r="O592">
        <v>0</v>
      </c>
      <c r="P592">
        <v>0.73862643659875649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0.73862643659875649</v>
      </c>
      <c r="AA592">
        <v>0.26137356340124351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H592">
        <v>0</v>
      </c>
      <c r="BI592">
        <v>0</v>
      </c>
      <c r="BJ592">
        <v>1.3538643493520519</v>
      </c>
      <c r="BK592">
        <v>0.35386434935205191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 hidden="1" x14ac:dyDescent="0.25">
      <c r="A593" t="s">
        <v>128</v>
      </c>
      <c r="B593" t="s">
        <v>503</v>
      </c>
      <c r="C593" t="s">
        <v>72</v>
      </c>
      <c r="D593" s="12">
        <v>46232</v>
      </c>
      <c r="E593" t="s">
        <v>134</v>
      </c>
      <c r="F593" t="s">
        <v>75</v>
      </c>
      <c r="G593">
        <v>2.3277085633180881</v>
      </c>
      <c r="H593">
        <v>4.75</v>
      </c>
      <c r="I593">
        <v>10</v>
      </c>
      <c r="J593">
        <v>4.75</v>
      </c>
      <c r="K593">
        <v>46232</v>
      </c>
      <c r="L593" t="s">
        <v>236</v>
      </c>
      <c r="M593">
        <v>2.0484429065743943</v>
      </c>
      <c r="N593">
        <v>2.040633468834689</v>
      </c>
      <c r="O593">
        <v>2.040633468834689</v>
      </c>
      <c r="P593">
        <v>0.88002550613741448</v>
      </c>
      <c r="Q593">
        <v>0</v>
      </c>
      <c r="R593">
        <v>0</v>
      </c>
      <c r="S593">
        <v>0.79063346883468899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0.25</v>
      </c>
      <c r="Z593">
        <v>0</v>
      </c>
      <c r="AA593">
        <v>0</v>
      </c>
      <c r="AB593">
        <v>0</v>
      </c>
      <c r="AC593">
        <v>0.11997449386258552</v>
      </c>
      <c r="AD593">
        <v>0</v>
      </c>
      <c r="AE593">
        <v>0.88002550613741448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0.49004390806696591</v>
      </c>
      <c r="AL593">
        <v>0.49004390806696591</v>
      </c>
      <c r="AM593">
        <v>0.43125113822618827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0.50995609193303415</v>
      </c>
      <c r="AY593">
        <v>0</v>
      </c>
      <c r="AZ593">
        <v>5.8792769840777637E-2</v>
      </c>
      <c r="BA593">
        <v>0</v>
      </c>
      <c r="BB593">
        <v>0.43125113822618827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2.3188344594594597</v>
      </c>
      <c r="BI593">
        <v>2.3188344594594597</v>
      </c>
      <c r="BJ593">
        <v>1.1363307006738641</v>
      </c>
      <c r="CA593">
        <v>0</v>
      </c>
      <c r="CB593">
        <v>0</v>
      </c>
      <c r="CC593">
        <v>0</v>
      </c>
    </row>
    <row r="594" spans="1:82" hidden="1" x14ac:dyDescent="0.25">
      <c r="A594" t="s">
        <v>128</v>
      </c>
      <c r="B594" t="s">
        <v>372</v>
      </c>
      <c r="C594" t="s">
        <v>72</v>
      </c>
      <c r="D594" s="12">
        <v>46232</v>
      </c>
      <c r="E594" t="s">
        <v>134</v>
      </c>
      <c r="F594" t="s">
        <v>75</v>
      </c>
      <c r="G594">
        <v>2.2486328293736499</v>
      </c>
      <c r="H594">
        <v>4.75</v>
      </c>
      <c r="I594">
        <v>10</v>
      </c>
      <c r="J594">
        <v>4.75</v>
      </c>
      <c r="K594">
        <v>46232</v>
      </c>
      <c r="L594" t="s">
        <v>236</v>
      </c>
      <c r="M594">
        <v>2.5449826989619382</v>
      </c>
      <c r="N594">
        <v>2.1123946684186312</v>
      </c>
      <c r="O594">
        <v>2.1123946684186312</v>
      </c>
      <c r="P594">
        <v>1.1317911335799697</v>
      </c>
      <c r="Q594">
        <v>0</v>
      </c>
      <c r="R594">
        <v>0</v>
      </c>
      <c r="S594">
        <v>0.86239466841863122</v>
      </c>
      <c r="T594">
        <v>0</v>
      </c>
      <c r="U594">
        <v>0</v>
      </c>
      <c r="V594">
        <v>0</v>
      </c>
      <c r="W594">
        <v>0.13179113357996974</v>
      </c>
      <c r="X594">
        <v>0</v>
      </c>
      <c r="Y594">
        <v>0.11820886642003026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0.47339638513129473</v>
      </c>
      <c r="AL594">
        <v>0.47339638513129473</v>
      </c>
      <c r="AM594">
        <v>0.53578583136040803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0.46421416863959197</v>
      </c>
      <c r="AY594">
        <v>0</v>
      </c>
      <c r="AZ594">
        <v>0</v>
      </c>
      <c r="BA594">
        <v>0</v>
      </c>
      <c r="BB594">
        <v>0.47339638513129473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1.8664174031271241</v>
      </c>
      <c r="BI594">
        <v>1.8664174031271241</v>
      </c>
      <c r="BJ594">
        <v>0.88355525178651895</v>
      </c>
      <c r="CA594">
        <v>0</v>
      </c>
      <c r="CB594">
        <v>0</v>
      </c>
      <c r="CC594">
        <v>0</v>
      </c>
    </row>
    <row r="595" spans="1:82" hidden="1" x14ac:dyDescent="0.25">
      <c r="A595" t="s">
        <v>128</v>
      </c>
      <c r="B595" t="s">
        <v>502</v>
      </c>
      <c r="C595" t="s">
        <v>72</v>
      </c>
      <c r="D595" s="12">
        <v>46232</v>
      </c>
      <c r="E595" t="s">
        <v>134</v>
      </c>
      <c r="F595" t="s">
        <v>75</v>
      </c>
      <c r="G595">
        <v>2.4017033356990769</v>
      </c>
      <c r="H595">
        <v>4.75</v>
      </c>
      <c r="I595">
        <v>10</v>
      </c>
      <c r="J595">
        <v>4.75</v>
      </c>
      <c r="K595">
        <v>46232</v>
      </c>
      <c r="L595" t="s">
        <v>236</v>
      </c>
      <c r="M595">
        <v>1.8823529411764703</v>
      </c>
      <c r="N595">
        <v>1.9777630023640667</v>
      </c>
      <c r="O595">
        <v>1.9777630023640667</v>
      </c>
      <c r="P595">
        <v>0.78375747462105416</v>
      </c>
      <c r="Q595">
        <v>0</v>
      </c>
      <c r="R595">
        <v>0</v>
      </c>
      <c r="S595">
        <v>0.72776300236406666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0.25</v>
      </c>
      <c r="Z595">
        <v>0</v>
      </c>
      <c r="AA595">
        <v>0</v>
      </c>
      <c r="AB595">
        <v>0</v>
      </c>
      <c r="AC595">
        <v>0.21624252537894584</v>
      </c>
      <c r="AD595">
        <v>0</v>
      </c>
      <c r="AE595">
        <v>0.78375747462105416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0.50562175488401617</v>
      </c>
      <c r="AL595">
        <v>0.50562175488401617</v>
      </c>
      <c r="AM595">
        <v>0.3962848297213622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0.49437824511598383</v>
      </c>
      <c r="AY595">
        <v>0</v>
      </c>
      <c r="AZ595">
        <v>0.10933692516265398</v>
      </c>
      <c r="BA595">
        <v>0</v>
      </c>
      <c r="BB595">
        <v>0.3962848297213622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2.5234375000000004</v>
      </c>
      <c r="BI595">
        <v>2.5234375000000004</v>
      </c>
      <c r="BJ595">
        <v>1.2759048970901348</v>
      </c>
      <c r="CA595">
        <v>0</v>
      </c>
      <c r="CB595">
        <v>0</v>
      </c>
      <c r="CC595">
        <v>0</v>
      </c>
    </row>
    <row r="596" spans="1:82" hidden="1" x14ac:dyDescent="0.25">
      <c r="A596" t="s">
        <v>128</v>
      </c>
      <c r="B596" t="s">
        <v>503</v>
      </c>
      <c r="C596" t="s">
        <v>72</v>
      </c>
      <c r="D596" s="12">
        <v>46233</v>
      </c>
      <c r="E596" t="s">
        <v>134</v>
      </c>
      <c r="F596" t="s">
        <v>73</v>
      </c>
      <c r="G596">
        <v>2.8029490616621988</v>
      </c>
      <c r="H596">
        <v>2.8499999999999996</v>
      </c>
      <c r="I596">
        <v>10</v>
      </c>
      <c r="J596">
        <v>2.8499999999999996</v>
      </c>
      <c r="K596">
        <v>46233</v>
      </c>
      <c r="L596" t="s">
        <v>235</v>
      </c>
      <c r="M596">
        <v>1.6470588235294119</v>
      </c>
      <c r="N596">
        <v>1.0167862266857959</v>
      </c>
      <c r="O596">
        <v>1.0167862266857959</v>
      </c>
      <c r="P596">
        <v>0.58761639519509379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1.678622668579588E-2</v>
      </c>
      <c r="Z596">
        <v>0</v>
      </c>
      <c r="AA596">
        <v>0</v>
      </c>
      <c r="AB596">
        <v>0</v>
      </c>
      <c r="AC596">
        <v>0.41238360480490621</v>
      </c>
      <c r="AD596">
        <v>0</v>
      </c>
      <c r="AE596">
        <v>0.58761639519509379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0.98349089882884178</v>
      </c>
      <c r="AL596">
        <v>0.98349089882884178</v>
      </c>
      <c r="AM596">
        <v>0.57791537667698667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1.6509101171158225E-2</v>
      </c>
      <c r="AY596">
        <v>0</v>
      </c>
      <c r="AZ596">
        <v>0.40557552215185511</v>
      </c>
      <c r="BA596">
        <v>0</v>
      </c>
      <c r="BB596">
        <v>0.57791537667698667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1.7303571428571425</v>
      </c>
      <c r="BI596">
        <v>1.7303571428571425</v>
      </c>
      <c r="BJ596">
        <v>1.7017905017234778</v>
      </c>
      <c r="CA596">
        <v>0</v>
      </c>
      <c r="CB596">
        <v>0</v>
      </c>
      <c r="CC596">
        <v>0</v>
      </c>
    </row>
    <row r="597" spans="1:82" hidden="1" x14ac:dyDescent="0.25">
      <c r="A597" t="s">
        <v>128</v>
      </c>
      <c r="B597" t="s">
        <v>502</v>
      </c>
      <c r="C597" t="s">
        <v>72</v>
      </c>
      <c r="D597" s="12">
        <v>46233</v>
      </c>
      <c r="E597" t="s">
        <v>134</v>
      </c>
      <c r="F597" t="s">
        <v>73</v>
      </c>
      <c r="G597">
        <v>2.6268630234208659</v>
      </c>
      <c r="H597">
        <v>2.8499999999999996</v>
      </c>
      <c r="I597">
        <v>10</v>
      </c>
      <c r="J597">
        <v>2.8499999999999996</v>
      </c>
      <c r="K597">
        <v>46233</v>
      </c>
      <c r="L597" t="s">
        <v>235</v>
      </c>
      <c r="M597">
        <v>2.0061274509803924</v>
      </c>
      <c r="N597">
        <v>1.0849442755825733</v>
      </c>
      <c r="O597">
        <v>1.0849442755825733</v>
      </c>
      <c r="P597">
        <v>0.76369701544920576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8.4944275582573336E-2</v>
      </c>
      <c r="Z597">
        <v>0</v>
      </c>
      <c r="AA597">
        <v>0</v>
      </c>
      <c r="AB597">
        <v>0</v>
      </c>
      <c r="AC597">
        <v>0.23630298455079424</v>
      </c>
      <c r="AD597">
        <v>0</v>
      </c>
      <c r="AE597">
        <v>0.76369701544920576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0.92170632400732144</v>
      </c>
      <c r="AL597">
        <v>0.92170632400732144</v>
      </c>
      <c r="AM597">
        <v>0.70390436876505003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7.8293675992678557E-2</v>
      </c>
      <c r="AY597">
        <v>0</v>
      </c>
      <c r="AZ597">
        <v>0.21780195524227142</v>
      </c>
      <c r="BA597">
        <v>0</v>
      </c>
      <c r="BB597">
        <v>0.70390436876505003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1.4206475259621256</v>
      </c>
      <c r="BI597">
        <v>1.4206475259621256</v>
      </c>
      <c r="BJ597">
        <v>1.3094198088646465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0.30941980886464648</v>
      </c>
      <c r="BR597">
        <v>0</v>
      </c>
      <c r="BS597">
        <v>0.11122771709747914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</row>
    <row r="598" spans="1:82" hidden="1" x14ac:dyDescent="0.25">
      <c r="A598" t="s">
        <v>128</v>
      </c>
      <c r="B598" t="s">
        <v>372</v>
      </c>
      <c r="C598" t="s">
        <v>72</v>
      </c>
      <c r="D598" s="12">
        <v>46233</v>
      </c>
      <c r="E598" t="s">
        <v>134</v>
      </c>
      <c r="F598" t="s">
        <v>73</v>
      </c>
      <c r="G598">
        <v>5.7621216252699776</v>
      </c>
      <c r="H598">
        <v>2.8499999999999996</v>
      </c>
      <c r="I598">
        <v>10</v>
      </c>
      <c r="J598">
        <v>2.8499999999999996</v>
      </c>
      <c r="K598">
        <v>46233</v>
      </c>
      <c r="L598" t="s">
        <v>235</v>
      </c>
      <c r="M598">
        <v>4.1104779411764714</v>
      </c>
      <c r="N598">
        <v>0.49460948333704535</v>
      </c>
      <c r="O598">
        <v>0.49460948333704535</v>
      </c>
      <c r="P598">
        <v>0.71336188447495319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0.21875240113790784</v>
      </c>
      <c r="AA598">
        <v>0.28663811552504681</v>
      </c>
      <c r="AB598">
        <v>0</v>
      </c>
      <c r="AC598">
        <v>0</v>
      </c>
      <c r="AD598">
        <v>0</v>
      </c>
      <c r="AE598">
        <v>0.49460948333704535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2.0217970614982379</v>
      </c>
      <c r="AL598">
        <v>2.0217970614982379</v>
      </c>
      <c r="AM598">
        <v>1.4422729618163059</v>
      </c>
      <c r="BD598">
        <v>0</v>
      </c>
      <c r="BE598">
        <v>0</v>
      </c>
      <c r="BF598">
        <v>0</v>
      </c>
      <c r="BH598">
        <v>0.69335002906846721</v>
      </c>
      <c r="BI598">
        <v>0.69335002906846721</v>
      </c>
      <c r="BJ598">
        <v>1.4018130513603448</v>
      </c>
      <c r="BK598">
        <v>0.40181305136034484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0.50539051666295465</v>
      </c>
      <c r="BU598">
        <v>0</v>
      </c>
      <c r="BV598">
        <v>0</v>
      </c>
      <c r="BW598">
        <v>0</v>
      </c>
      <c r="BX598">
        <v>0</v>
      </c>
      <c r="BY598">
        <v>0.69335002906846721</v>
      </c>
      <c r="BZ598">
        <v>0</v>
      </c>
      <c r="CA598">
        <v>0</v>
      </c>
      <c r="CB598">
        <v>0</v>
      </c>
      <c r="CC598">
        <v>0</v>
      </c>
      <c r="CD598">
        <v>0</v>
      </c>
    </row>
    <row r="599" spans="1:82" hidden="1" x14ac:dyDescent="0.25">
      <c r="A599" t="s">
        <v>128</v>
      </c>
      <c r="B599" t="s">
        <v>503</v>
      </c>
      <c r="C599" t="s">
        <v>72</v>
      </c>
      <c r="D599" s="12">
        <v>46233</v>
      </c>
      <c r="E599" t="s">
        <v>134</v>
      </c>
      <c r="F599" t="s">
        <v>74</v>
      </c>
      <c r="G599">
        <v>1.7587131367292226</v>
      </c>
      <c r="H599">
        <v>0</v>
      </c>
      <c r="I599">
        <v>10</v>
      </c>
      <c r="J599">
        <v>0</v>
      </c>
      <c r="K599">
        <v>46233</v>
      </c>
      <c r="L599" t="s">
        <v>234</v>
      </c>
      <c r="M599">
        <v>1.0127450980392154</v>
      </c>
      <c r="N599">
        <v>0</v>
      </c>
      <c r="O599">
        <v>0</v>
      </c>
      <c r="P599">
        <v>0.57584439263510268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0.57584439263510268</v>
      </c>
      <c r="AA599">
        <v>0.42415560736489732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H599">
        <v>0</v>
      </c>
      <c r="BI599">
        <v>0</v>
      </c>
      <c r="BJ599">
        <v>1.7365802511750315</v>
      </c>
      <c r="BK599">
        <v>0.73658025117503145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1</v>
      </c>
    </row>
    <row r="600" spans="1:82" hidden="1" x14ac:dyDescent="0.25">
      <c r="A600" t="s">
        <v>128</v>
      </c>
      <c r="B600" t="s">
        <v>502</v>
      </c>
      <c r="C600" t="s">
        <v>72</v>
      </c>
      <c r="D600" s="12">
        <v>46233</v>
      </c>
      <c r="E600" t="s">
        <v>134</v>
      </c>
      <c r="F600" t="s">
        <v>74</v>
      </c>
      <c r="G600">
        <v>2.7219304471256209</v>
      </c>
      <c r="H600">
        <v>0</v>
      </c>
      <c r="I600">
        <v>10</v>
      </c>
      <c r="J600">
        <v>0</v>
      </c>
      <c r="K600">
        <v>46233</v>
      </c>
      <c r="L600" t="s">
        <v>234</v>
      </c>
      <c r="M600">
        <v>2.0078431372549019</v>
      </c>
      <c r="N600">
        <v>0</v>
      </c>
      <c r="O600">
        <v>0</v>
      </c>
      <c r="P600">
        <v>0.73765409376099211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0.73765409376099211</v>
      </c>
      <c r="AA600">
        <v>0.26234590623900789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</v>
      </c>
      <c r="BH600">
        <v>0</v>
      </c>
      <c r="BI600">
        <v>0</v>
      </c>
      <c r="BJ600">
        <v>1.3556489531582683</v>
      </c>
      <c r="BK600">
        <v>0.35564895315826828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1</v>
      </c>
      <c r="CD600">
        <v>1</v>
      </c>
    </row>
    <row r="601" spans="1:82" hidden="1" x14ac:dyDescent="0.25">
      <c r="A601" t="s">
        <v>128</v>
      </c>
      <c r="B601" t="s">
        <v>372</v>
      </c>
      <c r="C601" t="s">
        <v>72</v>
      </c>
      <c r="D601" s="12">
        <v>46233</v>
      </c>
      <c r="E601" t="s">
        <v>134</v>
      </c>
      <c r="F601" t="s">
        <v>74</v>
      </c>
      <c r="G601">
        <v>1.2742252699784016</v>
      </c>
      <c r="H601">
        <v>0</v>
      </c>
      <c r="I601">
        <v>10</v>
      </c>
      <c r="J601">
        <v>0</v>
      </c>
      <c r="K601">
        <v>46233</v>
      </c>
      <c r="L601" t="s">
        <v>234</v>
      </c>
      <c r="M601">
        <v>0.94117647058823517</v>
      </c>
      <c r="N601">
        <v>0</v>
      </c>
      <c r="O601">
        <v>0</v>
      </c>
      <c r="P601">
        <v>0.73862643659875649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0.73862643659875649</v>
      </c>
      <c r="AA601">
        <v>0.26137356340124351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H601">
        <v>0</v>
      </c>
      <c r="BI601">
        <v>0</v>
      </c>
      <c r="BJ601">
        <v>1.3538643493520519</v>
      </c>
      <c r="BK601">
        <v>0.35386434935205191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</row>
    <row r="602" spans="1:82" hidden="1" x14ac:dyDescent="0.25">
      <c r="A602" t="s">
        <v>128</v>
      </c>
      <c r="B602" t="s">
        <v>503</v>
      </c>
      <c r="C602" t="s">
        <v>72</v>
      </c>
      <c r="D602" s="12">
        <v>46233</v>
      </c>
      <c r="E602" t="s">
        <v>134</v>
      </c>
      <c r="F602" t="s">
        <v>75</v>
      </c>
      <c r="G602">
        <v>2.3277085633180885</v>
      </c>
      <c r="H602">
        <v>3.8</v>
      </c>
      <c r="I602">
        <v>10</v>
      </c>
      <c r="J602">
        <v>3.8</v>
      </c>
      <c r="K602">
        <v>46233</v>
      </c>
      <c r="L602" t="s">
        <v>233</v>
      </c>
      <c r="M602">
        <v>2.0635813148788924</v>
      </c>
      <c r="N602">
        <v>1.6325067750677507</v>
      </c>
      <c r="O602">
        <v>1.6325067750677507</v>
      </c>
      <c r="P602">
        <v>0.88652907301131822</v>
      </c>
      <c r="Q602">
        <v>0</v>
      </c>
      <c r="R602">
        <v>0</v>
      </c>
      <c r="S602">
        <v>0.38250677506775066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0.25</v>
      </c>
      <c r="Z602">
        <v>0</v>
      </c>
      <c r="AA602">
        <v>0</v>
      </c>
      <c r="AB602">
        <v>0</v>
      </c>
      <c r="AC602">
        <v>0.11347092698868178</v>
      </c>
      <c r="AD602">
        <v>0</v>
      </c>
      <c r="AE602">
        <v>0.88652907301131822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0.61255488508370748</v>
      </c>
      <c r="AL602">
        <v>0.61255488508370748</v>
      </c>
      <c r="AM602">
        <v>0.54304771444181377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0.38744511491629252</v>
      </c>
      <c r="AY602">
        <v>0</v>
      </c>
      <c r="AZ602">
        <v>6.9507170641893712E-2</v>
      </c>
      <c r="BA602">
        <v>0</v>
      </c>
      <c r="BB602">
        <v>0.54304771444181377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1.8414588136658983</v>
      </c>
      <c r="BI602">
        <v>1.8414588136658983</v>
      </c>
      <c r="BJ602">
        <v>1.1279945919914947</v>
      </c>
      <c r="CA602">
        <v>0</v>
      </c>
      <c r="CB602">
        <v>0</v>
      </c>
      <c r="CC602">
        <v>0</v>
      </c>
    </row>
    <row r="603" spans="1:82" hidden="1" x14ac:dyDescent="0.25">
      <c r="A603" t="s">
        <v>128</v>
      </c>
      <c r="B603" t="s">
        <v>372</v>
      </c>
      <c r="C603" t="s">
        <v>72</v>
      </c>
      <c r="D603" s="12">
        <v>46233</v>
      </c>
      <c r="E603" t="s">
        <v>134</v>
      </c>
      <c r="F603" t="s">
        <v>75</v>
      </c>
      <c r="G603">
        <v>3.3729492440604751</v>
      </c>
      <c r="H603">
        <v>3.8</v>
      </c>
      <c r="I603">
        <v>10</v>
      </c>
      <c r="J603">
        <v>3.8</v>
      </c>
      <c r="K603">
        <v>46233</v>
      </c>
      <c r="L603" t="s">
        <v>233</v>
      </c>
      <c r="M603">
        <v>3.5949826989619371</v>
      </c>
      <c r="N603">
        <v>1.1266104898232698</v>
      </c>
      <c r="O603">
        <v>1.1266104898232698</v>
      </c>
      <c r="P603">
        <v>1.0658276893114971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6.5827689311497073E-2</v>
      </c>
      <c r="X603">
        <v>0</v>
      </c>
      <c r="Y603">
        <v>6.0782800511772761E-2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0.88761822212117769</v>
      </c>
      <c r="AL603">
        <v>0.88761822212117769</v>
      </c>
      <c r="AM603">
        <v>0.94604807867419405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5.3951921325805952E-2</v>
      </c>
      <c r="AY603">
        <v>0</v>
      </c>
      <c r="AZ603">
        <v>0</v>
      </c>
      <c r="BA603">
        <v>0</v>
      </c>
      <c r="BB603">
        <v>0.88761822212117769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1.0570287309302662</v>
      </c>
      <c r="BI603">
        <v>1.0570287309302662</v>
      </c>
      <c r="BJ603">
        <v>0.9382379628793277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5.7028730930266169E-2</v>
      </c>
      <c r="BT603">
        <v>0</v>
      </c>
      <c r="BU603">
        <v>0</v>
      </c>
      <c r="BV603">
        <v>0</v>
      </c>
      <c r="BW603">
        <v>6.1762037120672297E-2</v>
      </c>
      <c r="BX603">
        <v>0</v>
      </c>
      <c r="BY603">
        <v>0.9382379628793277</v>
      </c>
      <c r="BZ603">
        <v>0</v>
      </c>
      <c r="CA603">
        <v>0</v>
      </c>
      <c r="CB603">
        <v>0</v>
      </c>
      <c r="CC603">
        <v>0</v>
      </c>
      <c r="CD603">
        <v>0</v>
      </c>
    </row>
    <row r="604" spans="1:82" hidden="1" x14ac:dyDescent="0.25">
      <c r="A604" t="s">
        <v>128</v>
      </c>
      <c r="B604" t="s">
        <v>502</v>
      </c>
      <c r="C604" t="s">
        <v>72</v>
      </c>
      <c r="D604" s="12">
        <v>46233</v>
      </c>
      <c r="E604" t="s">
        <v>134</v>
      </c>
      <c r="F604" t="s">
        <v>75</v>
      </c>
      <c r="G604">
        <v>2.4017033356990773</v>
      </c>
      <c r="H604">
        <v>3.8</v>
      </c>
      <c r="I604">
        <v>10</v>
      </c>
      <c r="J604">
        <v>3.8</v>
      </c>
      <c r="K604">
        <v>46233</v>
      </c>
      <c r="L604" t="s">
        <v>233</v>
      </c>
      <c r="M604">
        <v>2.1049596309111882</v>
      </c>
      <c r="N604">
        <v>1.5822104018912528</v>
      </c>
      <c r="O604">
        <v>1.5822104018912528</v>
      </c>
      <c r="P604">
        <v>0.87644447989180385</v>
      </c>
      <c r="Q604">
        <v>0</v>
      </c>
      <c r="R604">
        <v>0</v>
      </c>
      <c r="S604">
        <v>0.33221040189125284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0.25</v>
      </c>
      <c r="Z604">
        <v>0</v>
      </c>
      <c r="AA604">
        <v>0</v>
      </c>
      <c r="AB604">
        <v>0</v>
      </c>
      <c r="AC604">
        <v>0.12355552010819615</v>
      </c>
      <c r="AD604">
        <v>0</v>
      </c>
      <c r="AE604">
        <v>0.87644447989180385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0.63202719360502035</v>
      </c>
      <c r="AL604">
        <v>0.63202719360502035</v>
      </c>
      <c r="AM604">
        <v>0.55393674497662848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0.36797280639497965</v>
      </c>
      <c r="AY604">
        <v>0</v>
      </c>
      <c r="AZ604">
        <v>7.8090448628391873E-2</v>
      </c>
      <c r="BA604">
        <v>0</v>
      </c>
      <c r="BB604">
        <v>0.55393674497662848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1.8052602739726025</v>
      </c>
      <c r="BI604">
        <v>1.8052602739726025</v>
      </c>
      <c r="BJ604">
        <v>1.1409735846855342</v>
      </c>
      <c r="CA604">
        <v>0</v>
      </c>
      <c r="CB604">
        <v>0</v>
      </c>
      <c r="CC604">
        <v>0</v>
      </c>
    </row>
    <row r="605" spans="1:82" hidden="1" x14ac:dyDescent="0.25">
      <c r="A605" t="s">
        <v>128</v>
      </c>
      <c r="B605" t="s">
        <v>372</v>
      </c>
      <c r="C605" t="s">
        <v>72</v>
      </c>
      <c r="D605" s="12">
        <v>46234</v>
      </c>
      <c r="E605" t="s">
        <v>134</v>
      </c>
      <c r="F605" t="s">
        <v>73</v>
      </c>
      <c r="G605">
        <v>4.5675354346652268</v>
      </c>
      <c r="H605">
        <v>3.8</v>
      </c>
      <c r="I605">
        <v>10</v>
      </c>
      <c r="J605">
        <v>3.8</v>
      </c>
      <c r="K605">
        <v>46234</v>
      </c>
      <c r="L605" t="s">
        <v>213</v>
      </c>
      <c r="M605">
        <v>3.1104779411764705</v>
      </c>
      <c r="N605">
        <v>0.83195851556179934</v>
      </c>
      <c r="O605">
        <v>0.83195851556179934</v>
      </c>
      <c r="P605">
        <v>0.68099700279707842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0.16804148443820066</v>
      </c>
      <c r="AB605">
        <v>0</v>
      </c>
      <c r="AC605">
        <v>0.15096151276472092</v>
      </c>
      <c r="AD605">
        <v>0</v>
      </c>
      <c r="AE605">
        <v>0.68099700279707842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1.2019830091224282</v>
      </c>
      <c r="AL605">
        <v>1.2019830091224282</v>
      </c>
      <c r="AM605">
        <v>0.81854682662538703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0.20198300912242817</v>
      </c>
      <c r="AW605">
        <v>0</v>
      </c>
      <c r="AX605">
        <v>0</v>
      </c>
      <c r="AY605">
        <v>0</v>
      </c>
      <c r="AZ605">
        <v>0.18145317337461297</v>
      </c>
      <c r="BA605">
        <v>0</v>
      </c>
      <c r="BB605">
        <v>0.81854682662538703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1.2216772058388985</v>
      </c>
      <c r="BI605">
        <v>1.2216772058388985</v>
      </c>
      <c r="BJ605">
        <v>1.4684352440505191</v>
      </c>
      <c r="BK605">
        <v>0.24675803821162057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0.22167720583889849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</row>
    <row r="606" spans="1:82" hidden="1" x14ac:dyDescent="0.25">
      <c r="A606" t="s">
        <v>128</v>
      </c>
      <c r="B606" t="s">
        <v>503</v>
      </c>
      <c r="C606" t="s">
        <v>72</v>
      </c>
      <c r="D606" s="12">
        <v>46234</v>
      </c>
      <c r="E606" t="s">
        <v>134</v>
      </c>
      <c r="F606" t="s">
        <v>73</v>
      </c>
      <c r="G606">
        <v>5.2761394101876693</v>
      </c>
      <c r="H606">
        <v>3.8</v>
      </c>
      <c r="I606">
        <v>10</v>
      </c>
      <c r="J606">
        <v>3.8</v>
      </c>
      <c r="K606">
        <v>46234</v>
      </c>
      <c r="L606" t="s">
        <v>213</v>
      </c>
      <c r="M606">
        <v>1.9131433823529425</v>
      </c>
      <c r="N606">
        <v>0.72022357723577213</v>
      </c>
      <c r="O606">
        <v>0.72022357723577213</v>
      </c>
      <c r="P606">
        <v>0.36260288700083704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0.27977642276422787</v>
      </c>
      <c r="AB606">
        <v>0</v>
      </c>
      <c r="AC606">
        <v>0.35762069023493509</v>
      </c>
      <c r="AD606">
        <v>0</v>
      </c>
      <c r="AE606">
        <v>0.36260288700083704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1.3884577395230708</v>
      </c>
      <c r="AL606">
        <v>1.3884577395230708</v>
      </c>
      <c r="AM606">
        <v>0.50345878482972173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0.38845773952307083</v>
      </c>
      <c r="AW606">
        <v>0</v>
      </c>
      <c r="AX606">
        <v>0</v>
      </c>
      <c r="AY606">
        <v>0</v>
      </c>
      <c r="AZ606">
        <v>0.49654121517027827</v>
      </c>
      <c r="BA606">
        <v>0</v>
      </c>
      <c r="BB606">
        <v>0.50345878482972173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1.986259908719672</v>
      </c>
      <c r="BI606">
        <v>1.986259908719672</v>
      </c>
      <c r="BJ606">
        <v>2.757837942966217</v>
      </c>
      <c r="CA606">
        <v>0</v>
      </c>
      <c r="CB606">
        <v>0</v>
      </c>
      <c r="CC606">
        <v>0</v>
      </c>
    </row>
    <row r="607" spans="1:82" hidden="1" x14ac:dyDescent="0.25">
      <c r="A607" t="s">
        <v>128</v>
      </c>
      <c r="B607" t="s">
        <v>502</v>
      </c>
      <c r="C607" t="s">
        <v>72</v>
      </c>
      <c r="D607" s="12">
        <v>46234</v>
      </c>
      <c r="E607" t="s">
        <v>134</v>
      </c>
      <c r="F607" t="s">
        <v>73</v>
      </c>
      <c r="G607">
        <v>3.9027679205110006</v>
      </c>
      <c r="H607">
        <v>3.8</v>
      </c>
      <c r="I607">
        <v>10</v>
      </c>
      <c r="J607">
        <v>3.8</v>
      </c>
      <c r="K607">
        <v>46234</v>
      </c>
      <c r="L607" t="s">
        <v>213</v>
      </c>
      <c r="M607">
        <v>2.0030637254901964</v>
      </c>
      <c r="N607">
        <v>0.97366793962538645</v>
      </c>
      <c r="O607">
        <v>0.97366793962538645</v>
      </c>
      <c r="P607">
        <v>0.51324182382536587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2.6332060374613553E-2</v>
      </c>
      <c r="AB607">
        <v>0</v>
      </c>
      <c r="AC607">
        <v>0.46042611580002057</v>
      </c>
      <c r="AD607">
        <v>0</v>
      </c>
      <c r="AE607">
        <v>0.51324182382536587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1.0270441896081581</v>
      </c>
      <c r="AL607">
        <v>1.0270441896081581</v>
      </c>
      <c r="AM607">
        <v>0.52712203302373595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2.7044189608158131E-2</v>
      </c>
      <c r="AW607">
        <v>0</v>
      </c>
      <c r="AX607">
        <v>0</v>
      </c>
      <c r="AY607">
        <v>0</v>
      </c>
      <c r="AZ607">
        <v>0.47287796697626405</v>
      </c>
      <c r="BA607">
        <v>0</v>
      </c>
      <c r="BB607">
        <v>0.52712203302373595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1.897093912511471</v>
      </c>
      <c r="BI607">
        <v>1.897093912511471</v>
      </c>
      <c r="BJ607">
        <v>1.9483992799859138</v>
      </c>
      <c r="CA607">
        <v>0</v>
      </c>
      <c r="CB607">
        <v>0</v>
      </c>
      <c r="CC607">
        <v>0</v>
      </c>
    </row>
    <row r="608" spans="1:82" hidden="1" x14ac:dyDescent="0.25">
      <c r="A608" t="s">
        <v>128</v>
      </c>
      <c r="B608" t="s">
        <v>502</v>
      </c>
      <c r="C608" t="s">
        <v>72</v>
      </c>
      <c r="D608" s="12">
        <v>46234</v>
      </c>
      <c r="E608" t="s">
        <v>134</v>
      </c>
      <c r="F608" t="s">
        <v>74</v>
      </c>
      <c r="G608">
        <v>2.7219304471256209</v>
      </c>
      <c r="H608">
        <v>0</v>
      </c>
      <c r="I608">
        <v>10</v>
      </c>
      <c r="J608">
        <v>0</v>
      </c>
      <c r="K608">
        <v>46234</v>
      </c>
      <c r="L608" t="s">
        <v>190</v>
      </c>
      <c r="M608">
        <v>2.0078431372549019</v>
      </c>
      <c r="N608">
        <v>0</v>
      </c>
      <c r="O608">
        <v>0</v>
      </c>
      <c r="P608">
        <v>0.73765409376099211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0.73765409376099211</v>
      </c>
      <c r="AA608">
        <v>0.26234590623900789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H608">
        <v>0</v>
      </c>
      <c r="BI608">
        <v>0</v>
      </c>
      <c r="BJ608">
        <v>1.3556489531582683</v>
      </c>
      <c r="BK608">
        <v>0.35564895315826828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1</v>
      </c>
    </row>
    <row r="609" spans="1:82" hidden="1" x14ac:dyDescent="0.25">
      <c r="A609" t="s">
        <v>128</v>
      </c>
      <c r="B609" t="s">
        <v>503</v>
      </c>
      <c r="C609" t="s">
        <v>72</v>
      </c>
      <c r="D609" s="12">
        <v>46234</v>
      </c>
      <c r="E609" t="s">
        <v>134</v>
      </c>
      <c r="F609" t="s">
        <v>74</v>
      </c>
      <c r="G609">
        <v>1.7587131367292226</v>
      </c>
      <c r="H609">
        <v>0</v>
      </c>
      <c r="I609">
        <v>10</v>
      </c>
      <c r="J609">
        <v>0</v>
      </c>
      <c r="K609">
        <v>46234</v>
      </c>
      <c r="L609" t="s">
        <v>190</v>
      </c>
      <c r="M609">
        <v>1.0127450980392154</v>
      </c>
      <c r="N609">
        <v>0</v>
      </c>
      <c r="O609">
        <v>0</v>
      </c>
      <c r="P609">
        <v>0.57584439263510268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0.57584439263510268</v>
      </c>
      <c r="AA609">
        <v>0.42415560736489732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H609">
        <v>0</v>
      </c>
      <c r="BI609">
        <v>0</v>
      </c>
      <c r="BJ609">
        <v>1.7365802511750315</v>
      </c>
      <c r="BK609">
        <v>0.73658025117503145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1</v>
      </c>
      <c r="CD609">
        <v>1</v>
      </c>
    </row>
    <row r="610" spans="1:82" hidden="1" x14ac:dyDescent="0.25">
      <c r="A610" t="s">
        <v>128</v>
      </c>
      <c r="B610" t="s">
        <v>372</v>
      </c>
      <c r="C610" t="s">
        <v>72</v>
      </c>
      <c r="D610" s="12">
        <v>46234</v>
      </c>
      <c r="E610" t="s">
        <v>134</v>
      </c>
      <c r="F610" t="s">
        <v>74</v>
      </c>
      <c r="G610">
        <v>1.2742252699784016</v>
      </c>
      <c r="H610">
        <v>0</v>
      </c>
      <c r="I610">
        <v>10</v>
      </c>
      <c r="J610">
        <v>0</v>
      </c>
      <c r="K610">
        <v>46234</v>
      </c>
      <c r="L610" t="s">
        <v>190</v>
      </c>
      <c r="M610">
        <v>0.94117647058823517</v>
      </c>
      <c r="N610">
        <v>0</v>
      </c>
      <c r="O610">
        <v>0</v>
      </c>
      <c r="P610">
        <v>0.73862643659875649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0.73862643659875649</v>
      </c>
      <c r="AA610">
        <v>0.26137356340124351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H610">
        <v>0</v>
      </c>
      <c r="BI610">
        <v>0</v>
      </c>
      <c r="BJ610">
        <v>1.3538643493520519</v>
      </c>
      <c r="BK610">
        <v>0.35386434935205191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 hidden="1" x14ac:dyDescent="0.25">
      <c r="A611" t="s">
        <v>128</v>
      </c>
      <c r="B611" t="s">
        <v>502</v>
      </c>
      <c r="C611" t="s">
        <v>72</v>
      </c>
      <c r="D611" s="12">
        <v>46234</v>
      </c>
      <c r="E611" t="s">
        <v>134</v>
      </c>
      <c r="F611" t="s">
        <v>75</v>
      </c>
      <c r="G611">
        <v>2.4017033356990773</v>
      </c>
      <c r="H611">
        <v>2.8499999999999996</v>
      </c>
      <c r="I611">
        <v>10</v>
      </c>
      <c r="J611">
        <v>2.8499999999999996</v>
      </c>
      <c r="K611">
        <v>46234</v>
      </c>
      <c r="L611" t="s">
        <v>189</v>
      </c>
      <c r="M611">
        <v>2.0490196078431371</v>
      </c>
      <c r="N611">
        <v>1.1866578014184397</v>
      </c>
      <c r="O611">
        <v>1.1866578014184397</v>
      </c>
      <c r="P611">
        <v>0.85315266768645981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0.18665780141843968</v>
      </c>
      <c r="Z611">
        <v>0</v>
      </c>
      <c r="AA611">
        <v>0</v>
      </c>
      <c r="AB611">
        <v>0</v>
      </c>
      <c r="AC611">
        <v>0.14684733231354019</v>
      </c>
      <c r="AD611">
        <v>0</v>
      </c>
      <c r="AE611">
        <v>0.85315266768645981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0.84270292480669395</v>
      </c>
      <c r="AL611">
        <v>0.84270292480669395</v>
      </c>
      <c r="AM611">
        <v>0.71895424836601307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0.15729707519330605</v>
      </c>
      <c r="AY611">
        <v>0</v>
      </c>
      <c r="AZ611">
        <v>0.12374867644068088</v>
      </c>
      <c r="BA611">
        <v>0</v>
      </c>
      <c r="BB611">
        <v>0.71895424836601307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1.3909090909090909</v>
      </c>
      <c r="BI611">
        <v>1.3909090909090909</v>
      </c>
      <c r="BJ611">
        <v>1.1721231590493106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0.17212315904931064</v>
      </c>
      <c r="BR611">
        <v>0</v>
      </c>
      <c r="BS611">
        <v>0.21878593185978024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 hidden="1" x14ac:dyDescent="0.25">
      <c r="A612" t="s">
        <v>128</v>
      </c>
      <c r="B612" t="s">
        <v>372</v>
      </c>
      <c r="C612" t="s">
        <v>72</v>
      </c>
      <c r="D612" s="12">
        <v>46234</v>
      </c>
      <c r="E612" t="s">
        <v>134</v>
      </c>
      <c r="F612" t="s">
        <v>75</v>
      </c>
      <c r="G612">
        <v>2.2486328293736499</v>
      </c>
      <c r="H612">
        <v>2.8499999999999996</v>
      </c>
      <c r="I612">
        <v>10</v>
      </c>
      <c r="J612">
        <v>2.8499999999999996</v>
      </c>
      <c r="K612">
        <v>46234</v>
      </c>
      <c r="L612" t="s">
        <v>189</v>
      </c>
      <c r="M612">
        <v>2.6538062283737021</v>
      </c>
      <c r="N612">
        <v>1.2674368010511787</v>
      </c>
      <c r="O612">
        <v>1.2674368010511787</v>
      </c>
      <c r="P612">
        <v>1.1801865532279505</v>
      </c>
      <c r="Q612">
        <v>0</v>
      </c>
      <c r="R612">
        <v>0</v>
      </c>
      <c r="S612">
        <v>1.743680105117873E-2</v>
      </c>
      <c r="T612">
        <v>0</v>
      </c>
      <c r="U612">
        <v>0</v>
      </c>
      <c r="V612">
        <v>0</v>
      </c>
      <c r="W612">
        <v>0.18018655322795052</v>
      </c>
      <c r="X612">
        <v>0</v>
      </c>
      <c r="Y612">
        <v>6.9813446772049481E-2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0.78899397521882464</v>
      </c>
      <c r="AL612">
        <v>0.78899397521882464</v>
      </c>
      <c r="AM612">
        <v>0.93116008013112361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6.8839919868876387E-2</v>
      </c>
      <c r="AY612">
        <v>0</v>
      </c>
      <c r="AZ612">
        <v>0</v>
      </c>
      <c r="BA612">
        <v>0</v>
      </c>
      <c r="BB612">
        <v>0.78899397521882464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1.0739292000782319</v>
      </c>
      <c r="BI612">
        <v>1.0739292000782319</v>
      </c>
      <c r="BJ612">
        <v>0.84732366867329667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7.3929200078231894E-2</v>
      </c>
      <c r="BT612">
        <v>0</v>
      </c>
      <c r="BU612">
        <v>0</v>
      </c>
      <c r="BV612">
        <v>0</v>
      </c>
      <c r="BW612">
        <v>0.15267633132670333</v>
      </c>
      <c r="BX612">
        <v>0</v>
      </c>
      <c r="BY612">
        <v>0.84732366867329667</v>
      </c>
      <c r="BZ612">
        <v>0</v>
      </c>
      <c r="CA612">
        <v>0</v>
      </c>
      <c r="CB612">
        <v>0</v>
      </c>
      <c r="CC612">
        <v>0</v>
      </c>
      <c r="CD612">
        <v>0</v>
      </c>
    </row>
    <row r="613" spans="1:82" hidden="1" x14ac:dyDescent="0.25">
      <c r="A613" t="s">
        <v>128</v>
      </c>
      <c r="B613" t="s">
        <v>503</v>
      </c>
      <c r="C613" t="s">
        <v>72</v>
      </c>
      <c r="D613" s="12">
        <v>46234</v>
      </c>
      <c r="E613" t="s">
        <v>134</v>
      </c>
      <c r="F613" t="s">
        <v>75</v>
      </c>
      <c r="G613">
        <v>2.6380697050938338</v>
      </c>
      <c r="H613">
        <v>2.8499999999999996</v>
      </c>
      <c r="I613">
        <v>10</v>
      </c>
      <c r="J613">
        <v>2.8499999999999996</v>
      </c>
      <c r="K613">
        <v>46234</v>
      </c>
      <c r="L613" t="s">
        <v>189</v>
      </c>
      <c r="M613">
        <v>2.188148788927335</v>
      </c>
      <c r="N613">
        <v>1.0803353658536583</v>
      </c>
      <c r="O613">
        <v>1.0803353658536583</v>
      </c>
      <c r="P613">
        <v>0.82945070962387801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8.0335365853658303E-2</v>
      </c>
      <c r="Z613">
        <v>0</v>
      </c>
      <c r="AA613">
        <v>0</v>
      </c>
      <c r="AB613">
        <v>0</v>
      </c>
      <c r="AC613">
        <v>0.17054929037612199</v>
      </c>
      <c r="AD613">
        <v>0</v>
      </c>
      <c r="AE613">
        <v>0.82945070962387801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0.92563849301538037</v>
      </c>
      <c r="AL613">
        <v>0.92563849301538037</v>
      </c>
      <c r="AM613">
        <v>0.76777150488678425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7.436150698461963E-2</v>
      </c>
      <c r="AY613">
        <v>0</v>
      </c>
      <c r="AZ613">
        <v>0.15786698812859612</v>
      </c>
      <c r="BA613">
        <v>0</v>
      </c>
      <c r="BB613">
        <v>0.76777150488678425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1.3024708440403243</v>
      </c>
      <c r="BI613">
        <v>1.3024708440403243</v>
      </c>
      <c r="BJ613">
        <v>1.2056171492739565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0.20561714927395647</v>
      </c>
      <c r="BR613">
        <v>0</v>
      </c>
      <c r="BS613">
        <v>9.6853694766367848E-2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0</v>
      </c>
      <c r="CC613">
        <v>0</v>
      </c>
      <c r="CD613">
        <v>0</v>
      </c>
    </row>
    <row r="614" spans="1:82" hidden="1" x14ac:dyDescent="0.25">
      <c r="A614" t="s">
        <v>128</v>
      </c>
      <c r="B614" t="s">
        <v>372</v>
      </c>
      <c r="C614" t="s">
        <v>72</v>
      </c>
      <c r="D614" s="12">
        <v>46235</v>
      </c>
      <c r="E614" t="s">
        <v>134</v>
      </c>
      <c r="F614" t="s">
        <v>73</v>
      </c>
      <c r="G614">
        <v>5.3405029697624178</v>
      </c>
      <c r="H614">
        <v>4.75</v>
      </c>
      <c r="I614">
        <v>10</v>
      </c>
      <c r="J614">
        <v>4.75</v>
      </c>
      <c r="K614">
        <v>46235</v>
      </c>
      <c r="L614" t="s">
        <v>188</v>
      </c>
      <c r="M614">
        <v>4.3235294117647047</v>
      </c>
      <c r="N614">
        <v>0.88942933407100278</v>
      </c>
      <c r="O614">
        <v>0.88942933407100278</v>
      </c>
      <c r="P614">
        <v>0.80957344958784749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0.11057066592899722</v>
      </c>
      <c r="AB614">
        <v>0</v>
      </c>
      <c r="AC614">
        <v>7.9855884483155282E-2</v>
      </c>
      <c r="AD614">
        <v>0</v>
      </c>
      <c r="AE614">
        <v>0.80957344958784749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1.1243164146868247</v>
      </c>
      <c r="AL614">
        <v>1.1243164146868247</v>
      </c>
      <c r="AM614">
        <v>0.91021671826625361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0.12431641468682475</v>
      </c>
      <c r="AW614">
        <v>0</v>
      </c>
      <c r="AX614">
        <v>0</v>
      </c>
      <c r="AY614">
        <v>0</v>
      </c>
      <c r="AZ614">
        <v>8.978328173374639E-2</v>
      </c>
      <c r="BA614">
        <v>0</v>
      </c>
      <c r="BB614">
        <v>0.91021671826625361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1.0986394557823131</v>
      </c>
      <c r="BI614">
        <v>1.0986394557823131</v>
      </c>
      <c r="BJ614">
        <v>1.2352183739586549</v>
      </c>
      <c r="BK614">
        <v>0.13657891817634171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9.8639455782313146E-2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0</v>
      </c>
    </row>
    <row r="615" spans="1:82" hidden="1" x14ac:dyDescent="0.25">
      <c r="A615" t="s">
        <v>128</v>
      </c>
      <c r="B615" t="s">
        <v>503</v>
      </c>
      <c r="C615" t="s">
        <v>72</v>
      </c>
      <c r="D615" s="12">
        <v>46235</v>
      </c>
      <c r="E615" t="s">
        <v>134</v>
      </c>
      <c r="F615" t="s">
        <v>73</v>
      </c>
      <c r="G615">
        <v>1.4014745308311001</v>
      </c>
      <c r="H615">
        <v>4.75</v>
      </c>
      <c r="I615">
        <v>10</v>
      </c>
      <c r="J615">
        <v>4.75</v>
      </c>
      <c r="K615">
        <v>46235</v>
      </c>
      <c r="L615" t="s">
        <v>188</v>
      </c>
      <c r="M615">
        <v>1.9131433823529425</v>
      </c>
      <c r="N615">
        <v>3.3892874222859852</v>
      </c>
      <c r="O615">
        <v>3.3892874222859852</v>
      </c>
      <c r="P615">
        <v>1.3650932216502096</v>
      </c>
      <c r="Q615">
        <v>0</v>
      </c>
      <c r="R615">
        <v>0</v>
      </c>
      <c r="S615">
        <v>2.0241942006357756</v>
      </c>
      <c r="T615">
        <v>0</v>
      </c>
      <c r="U615">
        <v>0.11509322165020963</v>
      </c>
      <c r="V615">
        <v>0</v>
      </c>
      <c r="W615">
        <v>0.25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0.29504726964865263</v>
      </c>
      <c r="AL615">
        <v>0.29504726964865263</v>
      </c>
      <c r="AM615">
        <v>0.40276702786377738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0.59723297213622262</v>
      </c>
      <c r="AY615">
        <v>0</v>
      </c>
      <c r="AZ615">
        <v>0</v>
      </c>
      <c r="BA615">
        <v>0</v>
      </c>
      <c r="BB615">
        <v>0.29504726964865263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2.4828248858995901</v>
      </c>
      <c r="BI615">
        <v>2.4828248858995901</v>
      </c>
      <c r="BJ615">
        <v>0.73255070360040153</v>
      </c>
      <c r="CA615">
        <v>0</v>
      </c>
      <c r="CB615">
        <v>0</v>
      </c>
      <c r="CC615">
        <v>0</v>
      </c>
    </row>
    <row r="616" spans="1:82" hidden="1" x14ac:dyDescent="0.25">
      <c r="A616" t="s">
        <v>128</v>
      </c>
      <c r="B616" t="s">
        <v>502</v>
      </c>
      <c r="C616" t="s">
        <v>72</v>
      </c>
      <c r="D616" s="12">
        <v>46235</v>
      </c>
      <c r="E616" t="s">
        <v>134</v>
      </c>
      <c r="F616" t="s">
        <v>73</v>
      </c>
      <c r="G616">
        <v>0</v>
      </c>
      <c r="H616">
        <v>4.75</v>
      </c>
      <c r="I616">
        <v>10</v>
      </c>
      <c r="J616">
        <v>4.75</v>
      </c>
      <c r="K616">
        <v>46235</v>
      </c>
      <c r="L616" t="s">
        <v>188</v>
      </c>
      <c r="M616">
        <v>2.0000000000000004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0.42105263157894746</v>
      </c>
      <c r="AI616">
        <v>0</v>
      </c>
      <c r="AJ616">
        <v>0</v>
      </c>
      <c r="AK616">
        <v>0</v>
      </c>
      <c r="AL616">
        <v>0</v>
      </c>
      <c r="AM616">
        <v>0.42105263157894746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0.57894736842105254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G616">
        <v>0</v>
      </c>
      <c r="BH616">
        <v>2.3749999999999996</v>
      </c>
      <c r="BI616">
        <v>2.3749999999999996</v>
      </c>
      <c r="BJ616">
        <v>0</v>
      </c>
      <c r="CA616">
        <v>0.57894736842105254</v>
      </c>
      <c r="CB616">
        <v>0.42105263157894746</v>
      </c>
    </row>
    <row r="617" spans="1:82" hidden="1" x14ac:dyDescent="0.25">
      <c r="A617" t="s">
        <v>128</v>
      </c>
      <c r="B617" t="s">
        <v>372</v>
      </c>
      <c r="C617" t="s">
        <v>72</v>
      </c>
      <c r="D617" s="12">
        <v>46235</v>
      </c>
      <c r="E617" t="s">
        <v>134</v>
      </c>
      <c r="F617" t="s">
        <v>74</v>
      </c>
      <c r="G617">
        <v>1.2742252699784016</v>
      </c>
      <c r="H617">
        <v>0</v>
      </c>
      <c r="I617">
        <v>10</v>
      </c>
      <c r="J617">
        <v>0</v>
      </c>
      <c r="K617">
        <v>46235</v>
      </c>
      <c r="L617" t="s">
        <v>187</v>
      </c>
      <c r="M617">
        <v>0.94117647058823517</v>
      </c>
      <c r="N617">
        <v>0</v>
      </c>
      <c r="O617">
        <v>0</v>
      </c>
      <c r="P617">
        <v>0.73862643659875649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0.73862643659875649</v>
      </c>
      <c r="AA617">
        <v>0.26137356340124351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H617">
        <v>0</v>
      </c>
      <c r="BI617">
        <v>0</v>
      </c>
      <c r="BJ617">
        <v>1.3538643493520519</v>
      </c>
      <c r="BK617">
        <v>0.35386434935205191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</row>
    <row r="618" spans="1:82" hidden="1" x14ac:dyDescent="0.25">
      <c r="A618" t="s">
        <v>128</v>
      </c>
      <c r="B618" t="s">
        <v>502</v>
      </c>
      <c r="C618" t="s">
        <v>72</v>
      </c>
      <c r="D618" s="12">
        <v>46235</v>
      </c>
      <c r="E618" t="s">
        <v>134</v>
      </c>
      <c r="F618" t="s">
        <v>74</v>
      </c>
      <c r="G618">
        <v>2.5618168914123487</v>
      </c>
      <c r="H618">
        <v>0</v>
      </c>
      <c r="I618">
        <v>10</v>
      </c>
      <c r="J618">
        <v>0</v>
      </c>
      <c r="K618">
        <v>46235</v>
      </c>
      <c r="L618" t="s">
        <v>187</v>
      </c>
      <c r="M618">
        <v>2.0078431372549019</v>
      </c>
      <c r="N618">
        <v>0</v>
      </c>
      <c r="O618">
        <v>0</v>
      </c>
      <c r="P618">
        <v>0.78375747462105427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0.78375747462105427</v>
      </c>
      <c r="AA618">
        <v>0.21624252537894573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H618">
        <v>0</v>
      </c>
      <c r="BI618">
        <v>0</v>
      </c>
      <c r="BJ618">
        <v>1.2759048970901345</v>
      </c>
      <c r="BK618">
        <v>0.27590489709013455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</v>
      </c>
      <c r="CD618">
        <v>1</v>
      </c>
    </row>
    <row r="619" spans="1:82" hidden="1" x14ac:dyDescent="0.25">
      <c r="A619" t="s">
        <v>128</v>
      </c>
      <c r="B619" t="s">
        <v>503</v>
      </c>
      <c r="C619" t="s">
        <v>72</v>
      </c>
      <c r="D619" s="12">
        <v>46235</v>
      </c>
      <c r="E619" t="s">
        <v>134</v>
      </c>
      <c r="F619" t="s">
        <v>74</v>
      </c>
      <c r="G619">
        <v>1.7587131367292226</v>
      </c>
      <c r="H619">
        <v>0</v>
      </c>
      <c r="I619">
        <v>10</v>
      </c>
      <c r="J619">
        <v>0</v>
      </c>
      <c r="K619">
        <v>46235</v>
      </c>
      <c r="L619" t="s">
        <v>187</v>
      </c>
      <c r="M619">
        <v>1.0127450980392154</v>
      </c>
      <c r="N619">
        <v>0</v>
      </c>
      <c r="O619">
        <v>0</v>
      </c>
      <c r="P619">
        <v>0.57584439263510268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0.57584439263510268</v>
      </c>
      <c r="AA619">
        <v>0.42415560736489732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H619">
        <v>0</v>
      </c>
      <c r="BI619">
        <v>0</v>
      </c>
      <c r="BJ619">
        <v>1.7365802511750315</v>
      </c>
      <c r="BK619">
        <v>0.73658025117503145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1</v>
      </c>
    </row>
    <row r="620" spans="1:82" hidden="1" x14ac:dyDescent="0.25">
      <c r="A620" t="s">
        <v>128</v>
      </c>
      <c r="B620" t="s">
        <v>503</v>
      </c>
      <c r="C620" t="s">
        <v>72</v>
      </c>
      <c r="D620" s="12">
        <v>46235</v>
      </c>
      <c r="E620" t="s">
        <v>134</v>
      </c>
      <c r="F620" t="s">
        <v>75</v>
      </c>
      <c r="G620">
        <v>2.3277085633180881</v>
      </c>
      <c r="H620">
        <v>0.95</v>
      </c>
      <c r="I620">
        <v>10</v>
      </c>
      <c r="J620">
        <v>0.95</v>
      </c>
      <c r="K620">
        <v>46235</v>
      </c>
      <c r="L620" t="s">
        <v>186</v>
      </c>
      <c r="M620">
        <v>2.188148788927335</v>
      </c>
      <c r="N620">
        <v>0.40812669376693778</v>
      </c>
      <c r="O620">
        <v>0.40812669376693778</v>
      </c>
      <c r="P620">
        <v>0.94004413757372862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0.53191744380679085</v>
      </c>
      <c r="AA620">
        <v>5.9955862426271378E-2</v>
      </c>
      <c r="AB620">
        <v>0</v>
      </c>
      <c r="AC620">
        <v>0</v>
      </c>
      <c r="AD620">
        <v>0</v>
      </c>
      <c r="AE620">
        <v>0.40812669376693778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2.4502195403348295</v>
      </c>
      <c r="AL620">
        <v>2.4502195403348295</v>
      </c>
      <c r="AM620">
        <v>2.3033145146603529</v>
      </c>
      <c r="BD620">
        <v>0</v>
      </c>
      <c r="BE620">
        <v>0</v>
      </c>
      <c r="BF620">
        <v>0</v>
      </c>
      <c r="BH620">
        <v>0.43415694801344151</v>
      </c>
      <c r="BI620">
        <v>0.43415694801344151</v>
      </c>
      <c r="BJ620">
        <v>1.0637798375946672</v>
      </c>
      <c r="BK620">
        <v>6.377983759466721E-2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0.59187330623306222</v>
      </c>
      <c r="BU620">
        <v>0</v>
      </c>
      <c r="BV620">
        <v>0</v>
      </c>
      <c r="BW620">
        <v>0</v>
      </c>
      <c r="BX620">
        <v>0</v>
      </c>
      <c r="BY620">
        <v>0.43415694801344151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 hidden="1" x14ac:dyDescent="0.25">
      <c r="A621" t="s">
        <v>128</v>
      </c>
      <c r="B621" t="s">
        <v>372</v>
      </c>
      <c r="C621" t="s">
        <v>72</v>
      </c>
      <c r="D621" s="12">
        <v>46235</v>
      </c>
      <c r="E621" t="s">
        <v>134</v>
      </c>
      <c r="F621" t="s">
        <v>75</v>
      </c>
      <c r="G621">
        <v>2.2486328293736499</v>
      </c>
      <c r="H621">
        <v>0.95</v>
      </c>
      <c r="I621">
        <v>10</v>
      </c>
      <c r="J621">
        <v>0.95</v>
      </c>
      <c r="K621">
        <v>46235</v>
      </c>
      <c r="L621" t="s">
        <v>186</v>
      </c>
      <c r="M621">
        <v>2.1591695501730106</v>
      </c>
      <c r="N621">
        <v>0.42247893368372624</v>
      </c>
      <c r="O621">
        <v>0.42247893368372624</v>
      </c>
      <c r="P621">
        <v>0.96021436757838363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0.53773543389465739</v>
      </c>
      <c r="AA621">
        <v>3.9785632421616368E-2</v>
      </c>
      <c r="AB621">
        <v>0</v>
      </c>
      <c r="AC621">
        <v>0</v>
      </c>
      <c r="AD621">
        <v>0</v>
      </c>
      <c r="AE621">
        <v>0.42247893368372624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2.3669819256564737</v>
      </c>
      <c r="AL621">
        <v>2.3669819256564737</v>
      </c>
      <c r="AM621">
        <v>2.2728100528136954</v>
      </c>
      <c r="BD621">
        <v>0</v>
      </c>
      <c r="BE621">
        <v>0</v>
      </c>
      <c r="BF621">
        <v>0</v>
      </c>
      <c r="BH621">
        <v>0.43998397435897429</v>
      </c>
      <c r="BI621">
        <v>0.43998397435897429</v>
      </c>
      <c r="BJ621">
        <v>1.0414341148861936</v>
      </c>
      <c r="BK621">
        <v>4.143411488619364E-2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0.57752106631627376</v>
      </c>
      <c r="BU621">
        <v>0</v>
      </c>
      <c r="BV621">
        <v>0</v>
      </c>
      <c r="BW621">
        <v>0</v>
      </c>
      <c r="BX621">
        <v>0</v>
      </c>
      <c r="BY621">
        <v>0.43998397435897429</v>
      </c>
      <c r="BZ621">
        <v>0</v>
      </c>
      <c r="CA621">
        <v>0</v>
      </c>
      <c r="CB621">
        <v>0</v>
      </c>
      <c r="CC621">
        <v>0</v>
      </c>
      <c r="CD621">
        <v>0</v>
      </c>
    </row>
    <row r="622" spans="1:82" hidden="1" x14ac:dyDescent="0.25">
      <c r="A622" t="s">
        <v>128</v>
      </c>
      <c r="B622" t="s">
        <v>502</v>
      </c>
      <c r="C622" t="s">
        <v>72</v>
      </c>
      <c r="D622" s="12">
        <v>46235</v>
      </c>
      <c r="E622" t="s">
        <v>134</v>
      </c>
      <c r="F622" t="s">
        <v>75</v>
      </c>
      <c r="G622">
        <v>2.4017033356990769</v>
      </c>
      <c r="H622">
        <v>0.95</v>
      </c>
      <c r="I622">
        <v>10</v>
      </c>
      <c r="J622">
        <v>0.95</v>
      </c>
      <c r="K622">
        <v>46235</v>
      </c>
      <c r="L622" t="s">
        <v>186</v>
      </c>
      <c r="M622">
        <v>1.9930795847750864</v>
      </c>
      <c r="N622">
        <v>0.39555260047281332</v>
      </c>
      <c r="O622">
        <v>0.39555260047281332</v>
      </c>
      <c r="P622">
        <v>0.82986085548111621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0.43430825500830289</v>
      </c>
      <c r="AA622">
        <v>0.17013914451888379</v>
      </c>
      <c r="AB622">
        <v>0</v>
      </c>
      <c r="AC622">
        <v>0</v>
      </c>
      <c r="AD622">
        <v>0</v>
      </c>
      <c r="AE622">
        <v>0.39555260047281332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2.528108774420081</v>
      </c>
      <c r="AL622">
        <v>2.528108774420081</v>
      </c>
      <c r="AM622">
        <v>2.0979785102895647</v>
      </c>
      <c r="BD622">
        <v>0</v>
      </c>
      <c r="BE622">
        <v>0</v>
      </c>
      <c r="BF622">
        <v>0</v>
      </c>
      <c r="BH622">
        <v>0.47664930555555557</v>
      </c>
      <c r="BI622">
        <v>0.47664930555555557</v>
      </c>
      <c r="BJ622">
        <v>1.2050212916962384</v>
      </c>
      <c r="BK622">
        <v>0.20502129169623839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0.60444739952718662</v>
      </c>
      <c r="BU622">
        <v>0</v>
      </c>
      <c r="BV622">
        <v>0</v>
      </c>
      <c r="BW622">
        <v>0</v>
      </c>
      <c r="BX622">
        <v>0</v>
      </c>
      <c r="BY622">
        <v>0.47664930555555557</v>
      </c>
      <c r="BZ622">
        <v>0</v>
      </c>
      <c r="CA622">
        <v>0</v>
      </c>
      <c r="CB622">
        <v>0</v>
      </c>
      <c r="CC622">
        <v>0</v>
      </c>
      <c r="CD622">
        <v>0</v>
      </c>
    </row>
    <row r="623" spans="1:82" hidden="1" x14ac:dyDescent="0.25">
      <c r="A623" t="s">
        <v>128</v>
      </c>
      <c r="B623" t="s">
        <v>372</v>
      </c>
      <c r="C623" t="s">
        <v>72</v>
      </c>
      <c r="D623" s="12">
        <v>46236</v>
      </c>
      <c r="E623" t="s">
        <v>134</v>
      </c>
      <c r="F623" t="s">
        <v>73</v>
      </c>
      <c r="G623">
        <v>3.5134887958963272</v>
      </c>
      <c r="H623">
        <v>4.75</v>
      </c>
      <c r="I623">
        <v>10</v>
      </c>
      <c r="J623">
        <v>4.75</v>
      </c>
      <c r="K623">
        <v>46236</v>
      </c>
      <c r="L623" t="s">
        <v>185</v>
      </c>
      <c r="M623">
        <v>2.9411764705882346</v>
      </c>
      <c r="N623">
        <v>1.3519325877879242</v>
      </c>
      <c r="O623">
        <v>1.3519325877879242</v>
      </c>
      <c r="P623">
        <v>0.83710996147859074</v>
      </c>
      <c r="Q623">
        <v>0</v>
      </c>
      <c r="R623">
        <v>0</v>
      </c>
      <c r="S623">
        <v>0.10193258778792424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0.25</v>
      </c>
      <c r="Z623">
        <v>0</v>
      </c>
      <c r="AA623">
        <v>0</v>
      </c>
      <c r="AB623">
        <v>0</v>
      </c>
      <c r="AC623">
        <v>0.16289003852140926</v>
      </c>
      <c r="AD623">
        <v>0</v>
      </c>
      <c r="AE623">
        <v>0.83710996147859074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0.73968185176764789</v>
      </c>
      <c r="AL623">
        <v>0.73968185176764789</v>
      </c>
      <c r="AM623">
        <v>0.6191950464396283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0.26031814823235211</v>
      </c>
      <c r="AY623">
        <v>0</v>
      </c>
      <c r="AZ623">
        <v>0.12048680532801959</v>
      </c>
      <c r="BA623">
        <v>0</v>
      </c>
      <c r="BB623">
        <v>0.6191950464396283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1.6150000000000004</v>
      </c>
      <c r="BI623">
        <v>1.6150000000000004</v>
      </c>
      <c r="BJ623">
        <v>1.1945861906047515</v>
      </c>
      <c r="CA623">
        <v>0</v>
      </c>
      <c r="CB623">
        <v>0</v>
      </c>
      <c r="CC623">
        <v>0</v>
      </c>
    </row>
    <row r="624" spans="1:82" hidden="1" x14ac:dyDescent="0.25">
      <c r="A624" t="s">
        <v>128</v>
      </c>
      <c r="B624" t="s">
        <v>502</v>
      </c>
      <c r="C624" t="s">
        <v>72</v>
      </c>
      <c r="D624" s="12">
        <v>46236</v>
      </c>
      <c r="E624" t="s">
        <v>134</v>
      </c>
      <c r="F624" t="s">
        <v>73</v>
      </c>
      <c r="G624">
        <v>0</v>
      </c>
      <c r="H624">
        <v>4.75</v>
      </c>
      <c r="I624">
        <v>10</v>
      </c>
      <c r="J624">
        <v>4.75</v>
      </c>
      <c r="K624">
        <v>46236</v>
      </c>
      <c r="L624" t="s">
        <v>185</v>
      </c>
      <c r="M624">
        <v>2.0000000000000004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0.42105263157894746</v>
      </c>
      <c r="AI624">
        <v>0</v>
      </c>
      <c r="AJ624">
        <v>0</v>
      </c>
      <c r="AK624">
        <v>0</v>
      </c>
      <c r="AL624">
        <v>0</v>
      </c>
      <c r="AM624">
        <v>0.42105263157894746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0.57894736842105254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G624">
        <v>0</v>
      </c>
      <c r="BH624">
        <v>2.3749999999999996</v>
      </c>
      <c r="BI624">
        <v>2.3749999999999996</v>
      </c>
      <c r="BJ624">
        <v>0</v>
      </c>
      <c r="CA624">
        <v>0.57894736842105254</v>
      </c>
      <c r="CB624">
        <v>0.42105263157894746</v>
      </c>
    </row>
    <row r="625" spans="1:82" hidden="1" x14ac:dyDescent="0.25">
      <c r="A625" t="s">
        <v>128</v>
      </c>
      <c r="B625" t="s">
        <v>503</v>
      </c>
      <c r="C625" t="s">
        <v>72</v>
      </c>
      <c r="D625" s="12">
        <v>46236</v>
      </c>
      <c r="E625" t="s">
        <v>134</v>
      </c>
      <c r="F625" t="s">
        <v>73</v>
      </c>
      <c r="G625">
        <v>1.4014745308311001</v>
      </c>
      <c r="H625">
        <v>4.75</v>
      </c>
      <c r="I625">
        <v>10</v>
      </c>
      <c r="J625">
        <v>4.75</v>
      </c>
      <c r="K625">
        <v>46236</v>
      </c>
      <c r="L625" t="s">
        <v>185</v>
      </c>
      <c r="M625">
        <v>1.0896139705882353</v>
      </c>
      <c r="N625">
        <v>3.3892874222859852</v>
      </c>
      <c r="O625">
        <v>3.3892874222859852</v>
      </c>
      <c r="P625">
        <v>0.77747682645511529</v>
      </c>
      <c r="Q625">
        <v>0</v>
      </c>
      <c r="R625">
        <v>0</v>
      </c>
      <c r="S625">
        <v>2.1392874222859852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0.25</v>
      </c>
      <c r="Z625">
        <v>0</v>
      </c>
      <c r="AA625">
        <v>0</v>
      </c>
      <c r="AB625">
        <v>0</v>
      </c>
      <c r="AC625">
        <v>0.22252317354488471</v>
      </c>
      <c r="AD625">
        <v>0</v>
      </c>
      <c r="AE625">
        <v>0.77747682645511529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0.29504726964865263</v>
      </c>
      <c r="AL625">
        <v>0.29504726964865263</v>
      </c>
      <c r="AM625">
        <v>0.2293924148606811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0.70495273035134742</v>
      </c>
      <c r="AY625">
        <v>0</v>
      </c>
      <c r="AZ625">
        <v>6.5654854787971534E-2</v>
      </c>
      <c r="BA625">
        <v>0</v>
      </c>
      <c r="BB625">
        <v>0.2293924148606811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4.3593420497680304</v>
      </c>
      <c r="BI625">
        <v>4.3593420497680304</v>
      </c>
      <c r="BJ625">
        <v>1.2862119692486182</v>
      </c>
      <c r="CA625">
        <v>0</v>
      </c>
      <c r="CB625">
        <v>0</v>
      </c>
      <c r="CC625">
        <v>0</v>
      </c>
    </row>
    <row r="626" spans="1:82" hidden="1" x14ac:dyDescent="0.25">
      <c r="A626" t="s">
        <v>128</v>
      </c>
      <c r="B626" t="s">
        <v>372</v>
      </c>
      <c r="C626" t="s">
        <v>72</v>
      </c>
      <c r="D626" s="12">
        <v>46236</v>
      </c>
      <c r="E626" t="s">
        <v>134</v>
      </c>
      <c r="F626" t="s">
        <v>74</v>
      </c>
      <c r="G626">
        <v>1.2742252699784016</v>
      </c>
      <c r="H626">
        <v>0</v>
      </c>
      <c r="I626">
        <v>10</v>
      </c>
      <c r="J626">
        <v>0</v>
      </c>
      <c r="K626">
        <v>46236</v>
      </c>
      <c r="L626" t="s">
        <v>184</v>
      </c>
      <c r="M626">
        <v>0.94117647058823517</v>
      </c>
      <c r="N626">
        <v>0</v>
      </c>
      <c r="O626">
        <v>0</v>
      </c>
      <c r="P626">
        <v>0.73862643659875649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0.73862643659875649</v>
      </c>
      <c r="AA626">
        <v>0.26137356340124351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H626">
        <v>0</v>
      </c>
      <c r="BI626">
        <v>0</v>
      </c>
      <c r="BJ626">
        <v>1.3538643493520519</v>
      </c>
      <c r="BK626">
        <v>0.35386434935205191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</row>
    <row r="627" spans="1:82" hidden="1" x14ac:dyDescent="0.25">
      <c r="A627" t="s">
        <v>128</v>
      </c>
      <c r="B627" t="s">
        <v>502</v>
      </c>
      <c r="C627" t="s">
        <v>72</v>
      </c>
      <c r="D627" s="12">
        <v>46236</v>
      </c>
      <c r="E627" t="s">
        <v>134</v>
      </c>
      <c r="F627" t="s">
        <v>74</v>
      </c>
      <c r="G627">
        <v>2.7219304471256209</v>
      </c>
      <c r="H627">
        <v>0</v>
      </c>
      <c r="I627">
        <v>10</v>
      </c>
      <c r="J627">
        <v>0</v>
      </c>
      <c r="K627">
        <v>46236</v>
      </c>
      <c r="L627" t="s">
        <v>184</v>
      </c>
      <c r="M627">
        <v>2.0078431372549019</v>
      </c>
      <c r="N627">
        <v>0</v>
      </c>
      <c r="O627">
        <v>0</v>
      </c>
      <c r="P627">
        <v>0.73765409376099211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0.73765409376099211</v>
      </c>
      <c r="AA627">
        <v>0.26234590623900789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</v>
      </c>
      <c r="BH627">
        <v>0</v>
      </c>
      <c r="BI627">
        <v>0</v>
      </c>
      <c r="BJ627">
        <v>1.3556489531582683</v>
      </c>
      <c r="BK627">
        <v>0.35564895315826828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</row>
    <row r="628" spans="1:82" hidden="1" x14ac:dyDescent="0.25">
      <c r="A628" t="s">
        <v>128</v>
      </c>
      <c r="B628" t="s">
        <v>503</v>
      </c>
      <c r="C628" t="s">
        <v>72</v>
      </c>
      <c r="D628" s="12">
        <v>46236</v>
      </c>
      <c r="E628" t="s">
        <v>134</v>
      </c>
      <c r="F628" t="s">
        <v>74</v>
      </c>
      <c r="G628">
        <v>1.7587131367292226</v>
      </c>
      <c r="H628">
        <v>0</v>
      </c>
      <c r="I628">
        <v>10</v>
      </c>
      <c r="J628">
        <v>0</v>
      </c>
      <c r="K628">
        <v>46236</v>
      </c>
      <c r="L628" t="s">
        <v>184</v>
      </c>
      <c r="M628">
        <v>6.2745098039215685E-2</v>
      </c>
      <c r="N628">
        <v>0</v>
      </c>
      <c r="O628">
        <v>0</v>
      </c>
      <c r="P628">
        <v>3.5676709708273552E-2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3.5676709708273552E-2</v>
      </c>
      <c r="AA628">
        <v>0.96432329029172648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H628">
        <v>0</v>
      </c>
      <c r="BI628">
        <v>0</v>
      </c>
      <c r="BJ628">
        <v>28.029490616621985</v>
      </c>
      <c r="BK628">
        <v>27.029490616621985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</row>
    <row r="629" spans="1:82" hidden="1" x14ac:dyDescent="0.25">
      <c r="A629" t="s">
        <v>128</v>
      </c>
      <c r="B629" t="s">
        <v>372</v>
      </c>
      <c r="C629" t="s">
        <v>72</v>
      </c>
      <c r="D629" s="12">
        <v>46236</v>
      </c>
      <c r="E629" t="s">
        <v>134</v>
      </c>
      <c r="F629" t="s">
        <v>75</v>
      </c>
      <c r="G629">
        <v>2.2486328293736499</v>
      </c>
      <c r="H629">
        <v>0.95</v>
      </c>
      <c r="I629">
        <v>10</v>
      </c>
      <c r="J629">
        <v>0.95</v>
      </c>
      <c r="K629">
        <v>46236</v>
      </c>
      <c r="L629" t="s">
        <v>183</v>
      </c>
      <c r="M629">
        <v>2.0484429065743952</v>
      </c>
      <c r="N629">
        <v>0.42247893368372624</v>
      </c>
      <c r="O629">
        <v>0.42247893368372624</v>
      </c>
      <c r="P629">
        <v>0.91097260513846667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0.48849367145474043</v>
      </c>
      <c r="AA629">
        <v>8.9027394861533327E-2</v>
      </c>
      <c r="AB629">
        <v>0</v>
      </c>
      <c r="AC629">
        <v>0</v>
      </c>
      <c r="AD629">
        <v>0</v>
      </c>
      <c r="AE629">
        <v>0.42247893368372624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2.3669819256564737</v>
      </c>
      <c r="AL629">
        <v>2.3669819256564737</v>
      </c>
      <c r="AM629">
        <v>2.1562556911309425</v>
      </c>
      <c r="BD629">
        <v>0</v>
      </c>
      <c r="BE629">
        <v>0</v>
      </c>
      <c r="BF629">
        <v>0</v>
      </c>
      <c r="BH629">
        <v>0.46376689189189169</v>
      </c>
      <c r="BI629">
        <v>0.46376689189189169</v>
      </c>
      <c r="BJ629">
        <v>1.0977278508259876</v>
      </c>
      <c r="BK629">
        <v>9.7727850825987561E-2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0.57752106631627376</v>
      </c>
      <c r="BU629">
        <v>0</v>
      </c>
      <c r="BV629">
        <v>0</v>
      </c>
      <c r="BW629">
        <v>0</v>
      </c>
      <c r="BX629">
        <v>0</v>
      </c>
      <c r="BY629">
        <v>0.46376689189189169</v>
      </c>
      <c r="BZ629">
        <v>0</v>
      </c>
      <c r="CA629">
        <v>0</v>
      </c>
      <c r="CB629">
        <v>0</v>
      </c>
      <c r="CC629">
        <v>0</v>
      </c>
      <c r="CD629">
        <v>0</v>
      </c>
    </row>
    <row r="630" spans="1:82" hidden="1" x14ac:dyDescent="0.25">
      <c r="A630" t="s">
        <v>128</v>
      </c>
      <c r="B630" t="s">
        <v>502</v>
      </c>
      <c r="C630" t="s">
        <v>72</v>
      </c>
      <c r="D630" s="12">
        <v>46236</v>
      </c>
      <c r="E630" t="s">
        <v>134</v>
      </c>
      <c r="F630" t="s">
        <v>75</v>
      </c>
      <c r="G630">
        <v>2.4017033356990769</v>
      </c>
      <c r="H630">
        <v>0.95</v>
      </c>
      <c r="I630">
        <v>10</v>
      </c>
      <c r="J630">
        <v>0.95</v>
      </c>
      <c r="K630">
        <v>46236</v>
      </c>
      <c r="L630" t="s">
        <v>183</v>
      </c>
      <c r="M630">
        <v>1.9930795847750864</v>
      </c>
      <c r="N630">
        <v>0.39555260047281332</v>
      </c>
      <c r="O630">
        <v>0.39555260047281332</v>
      </c>
      <c r="P630">
        <v>0.82986085548111621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0.43430825500830289</v>
      </c>
      <c r="AA630">
        <v>0.17013914451888379</v>
      </c>
      <c r="AB630">
        <v>0</v>
      </c>
      <c r="AC630">
        <v>0</v>
      </c>
      <c r="AD630">
        <v>0</v>
      </c>
      <c r="AE630">
        <v>0.39555260047281332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2.528108774420081</v>
      </c>
      <c r="AL630">
        <v>2.528108774420081</v>
      </c>
      <c r="AM630">
        <v>2.0979785102895647</v>
      </c>
      <c r="BD630">
        <v>0</v>
      </c>
      <c r="BE630">
        <v>0</v>
      </c>
      <c r="BF630">
        <v>0</v>
      </c>
      <c r="BH630">
        <v>0.47664930555555557</v>
      </c>
      <c r="BI630">
        <v>0.47664930555555557</v>
      </c>
      <c r="BJ630">
        <v>1.2050212916962384</v>
      </c>
      <c r="BK630">
        <v>0.20502129169623839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0.60444739952718662</v>
      </c>
      <c r="BU630">
        <v>0</v>
      </c>
      <c r="BV630">
        <v>0</v>
      </c>
      <c r="BW630">
        <v>0</v>
      </c>
      <c r="BX630">
        <v>0</v>
      </c>
      <c r="BY630">
        <v>0.47664930555555557</v>
      </c>
      <c r="BZ630">
        <v>0</v>
      </c>
      <c r="CA630">
        <v>0</v>
      </c>
      <c r="CB630">
        <v>0</v>
      </c>
      <c r="CC630">
        <v>0</v>
      </c>
      <c r="CD630">
        <v>0</v>
      </c>
    </row>
    <row r="631" spans="1:82" hidden="1" x14ac:dyDescent="0.25">
      <c r="A631" t="s">
        <v>128</v>
      </c>
      <c r="B631" t="s">
        <v>503</v>
      </c>
      <c r="C631" t="s">
        <v>72</v>
      </c>
      <c r="D631" s="12">
        <v>46236</v>
      </c>
      <c r="E631" t="s">
        <v>134</v>
      </c>
      <c r="F631" t="s">
        <v>75</v>
      </c>
      <c r="G631">
        <v>2.6380697050938338</v>
      </c>
      <c r="H631">
        <v>0.95</v>
      </c>
      <c r="I631">
        <v>10</v>
      </c>
      <c r="J631">
        <v>0.95</v>
      </c>
      <c r="K631">
        <v>46236</v>
      </c>
      <c r="L631" t="s">
        <v>183</v>
      </c>
      <c r="M631">
        <v>1.8823529411764703</v>
      </c>
      <c r="N631">
        <v>0.36011178861788617</v>
      </c>
      <c r="O631">
        <v>0.36011178861788617</v>
      </c>
      <c r="P631">
        <v>0.71353419416547093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0.35342240554758475</v>
      </c>
      <c r="AA631">
        <v>0.28646580583452907</v>
      </c>
      <c r="AB631">
        <v>0</v>
      </c>
      <c r="AC631">
        <v>0</v>
      </c>
      <c r="AD631">
        <v>0</v>
      </c>
      <c r="AE631">
        <v>0.36011178861788617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2.7769154790461408</v>
      </c>
      <c r="AL631">
        <v>2.7769154790461408</v>
      </c>
      <c r="AM631">
        <v>1.9814241486068109</v>
      </c>
      <c r="BD631">
        <v>0</v>
      </c>
      <c r="BE631">
        <v>0</v>
      </c>
      <c r="BF631">
        <v>0</v>
      </c>
      <c r="BH631">
        <v>0.50468750000000007</v>
      </c>
      <c r="BI631">
        <v>0.50468750000000007</v>
      </c>
      <c r="BJ631">
        <v>1.4014745308310994</v>
      </c>
      <c r="BK631">
        <v>0.40147453083109941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0.63988821138211383</v>
      </c>
      <c r="BU631">
        <v>0</v>
      </c>
      <c r="BV631">
        <v>0</v>
      </c>
      <c r="BW631">
        <v>0</v>
      </c>
      <c r="BX631">
        <v>0</v>
      </c>
      <c r="BY631">
        <v>0.50468750000000007</v>
      </c>
      <c r="BZ631">
        <v>0</v>
      </c>
      <c r="CA631">
        <v>0</v>
      </c>
      <c r="CB631">
        <v>0</v>
      </c>
      <c r="CC631">
        <v>0</v>
      </c>
      <c r="CD631">
        <v>0</v>
      </c>
    </row>
    <row r="632" spans="1:82" hidden="1" x14ac:dyDescent="0.25">
      <c r="A632" t="s">
        <v>128</v>
      </c>
      <c r="B632" t="s">
        <v>372</v>
      </c>
      <c r="C632" t="s">
        <v>72</v>
      </c>
      <c r="D632" s="12">
        <v>46237</v>
      </c>
      <c r="E632" t="s">
        <v>134</v>
      </c>
      <c r="F632" t="s">
        <v>73</v>
      </c>
      <c r="G632">
        <v>5.8323914011879037</v>
      </c>
      <c r="H632">
        <v>0</v>
      </c>
      <c r="I632">
        <v>10</v>
      </c>
      <c r="J632">
        <v>0</v>
      </c>
      <c r="K632">
        <v>46237</v>
      </c>
      <c r="L632" t="s">
        <v>232</v>
      </c>
      <c r="M632">
        <v>4.2886029411764701</v>
      </c>
      <c r="N632">
        <v>0</v>
      </c>
      <c r="O632">
        <v>0</v>
      </c>
      <c r="P632">
        <v>0.73530780878371693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0.73530780878371693</v>
      </c>
      <c r="AA632">
        <v>0.26469219121628307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H632">
        <v>0</v>
      </c>
      <c r="BI632">
        <v>0</v>
      </c>
      <c r="BJ632">
        <v>1.3599746773451435</v>
      </c>
      <c r="BK632">
        <v>0.35997467734514355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1</v>
      </c>
    </row>
    <row r="633" spans="1:82" hidden="1" x14ac:dyDescent="0.25">
      <c r="A633" t="s">
        <v>128</v>
      </c>
      <c r="B633" t="s">
        <v>503</v>
      </c>
      <c r="C633" t="s">
        <v>72</v>
      </c>
      <c r="D633" s="12">
        <v>46237</v>
      </c>
      <c r="E633" t="s">
        <v>134</v>
      </c>
      <c r="F633" t="s">
        <v>73</v>
      </c>
      <c r="G633">
        <v>1.4014745308310996</v>
      </c>
      <c r="H633">
        <v>0</v>
      </c>
      <c r="I633">
        <v>10</v>
      </c>
      <c r="J633">
        <v>0</v>
      </c>
      <c r="K633">
        <v>46237</v>
      </c>
      <c r="L633" t="s">
        <v>232</v>
      </c>
      <c r="M633">
        <v>2.5882352941176476</v>
      </c>
      <c r="N633">
        <v>0</v>
      </c>
      <c r="O633">
        <v>0</v>
      </c>
      <c r="P633">
        <v>1.8467943848988662</v>
      </c>
      <c r="Q633">
        <v>0.84679438489886616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1</v>
      </c>
      <c r="BH633">
        <v>0</v>
      </c>
      <c r="BI633">
        <v>0</v>
      </c>
      <c r="BJ633">
        <v>0.5414787960029247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0.4585212039970753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0.5414787960029247</v>
      </c>
      <c r="CD633">
        <v>0</v>
      </c>
    </row>
    <row r="634" spans="1:82" hidden="1" x14ac:dyDescent="0.25">
      <c r="A634" t="s">
        <v>128</v>
      </c>
      <c r="B634" t="s">
        <v>502</v>
      </c>
      <c r="C634" t="s">
        <v>72</v>
      </c>
      <c r="D634" s="12">
        <v>46237</v>
      </c>
      <c r="E634" t="s">
        <v>134</v>
      </c>
      <c r="F634" t="s">
        <v>73</v>
      </c>
      <c r="G634">
        <v>2.6268630234208659</v>
      </c>
      <c r="H634">
        <v>0</v>
      </c>
      <c r="I634">
        <v>10</v>
      </c>
      <c r="J634">
        <v>0</v>
      </c>
      <c r="K634">
        <v>46237</v>
      </c>
      <c r="L634" t="s">
        <v>232</v>
      </c>
      <c r="M634">
        <v>2.0061274509803924</v>
      </c>
      <c r="N634">
        <v>0</v>
      </c>
      <c r="O634">
        <v>0</v>
      </c>
      <c r="P634">
        <v>0.76369701544920576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0.76369701544920576</v>
      </c>
      <c r="AA634">
        <v>0.23630298455079424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H634">
        <v>0</v>
      </c>
      <c r="BI634">
        <v>0</v>
      </c>
      <c r="BJ634">
        <v>1.3094198088646465</v>
      </c>
      <c r="BK634">
        <v>0.30941980886464648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</v>
      </c>
      <c r="CD634">
        <v>1</v>
      </c>
    </row>
    <row r="635" spans="1:82" hidden="1" x14ac:dyDescent="0.25">
      <c r="A635" t="s">
        <v>128</v>
      </c>
      <c r="B635" t="s">
        <v>503</v>
      </c>
      <c r="C635" t="s">
        <v>72</v>
      </c>
      <c r="D635" s="12">
        <v>46237</v>
      </c>
      <c r="E635" t="s">
        <v>134</v>
      </c>
      <c r="F635" t="s">
        <v>74</v>
      </c>
      <c r="G635">
        <v>1.7587131367292226</v>
      </c>
      <c r="H635">
        <v>0</v>
      </c>
      <c r="I635">
        <v>10</v>
      </c>
      <c r="J635">
        <v>0</v>
      </c>
      <c r="K635">
        <v>46237</v>
      </c>
      <c r="L635" t="s">
        <v>182</v>
      </c>
      <c r="M635">
        <v>6.2745098039215685E-2</v>
      </c>
      <c r="N635">
        <v>0</v>
      </c>
      <c r="O635">
        <v>0</v>
      </c>
      <c r="P635">
        <v>3.5676709708273552E-2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3.5676709708273552E-2</v>
      </c>
      <c r="AA635">
        <v>0.96432329029172648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H635">
        <v>0</v>
      </c>
      <c r="BI635">
        <v>0</v>
      </c>
      <c r="BJ635">
        <v>28.029490616621985</v>
      </c>
      <c r="BK635">
        <v>27.029490616621985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</row>
    <row r="636" spans="1:82" hidden="1" x14ac:dyDescent="0.25">
      <c r="A636" t="s">
        <v>128</v>
      </c>
      <c r="B636" t="s">
        <v>502</v>
      </c>
      <c r="C636" t="s">
        <v>72</v>
      </c>
      <c r="D636" s="12">
        <v>46237</v>
      </c>
      <c r="E636" t="s">
        <v>134</v>
      </c>
      <c r="F636" t="s">
        <v>74</v>
      </c>
      <c r="G636">
        <v>2.7219304471256209</v>
      </c>
      <c r="H636">
        <v>0</v>
      </c>
      <c r="I636">
        <v>10</v>
      </c>
      <c r="J636">
        <v>0</v>
      </c>
      <c r="K636">
        <v>46237</v>
      </c>
      <c r="L636" t="s">
        <v>182</v>
      </c>
      <c r="M636">
        <v>2.0078431372549019</v>
      </c>
      <c r="N636">
        <v>0</v>
      </c>
      <c r="O636">
        <v>0</v>
      </c>
      <c r="P636">
        <v>0.73765409376099211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0.73765409376099211</v>
      </c>
      <c r="AA636">
        <v>0.26234590623900789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</v>
      </c>
      <c r="BH636">
        <v>0</v>
      </c>
      <c r="BI636">
        <v>0</v>
      </c>
      <c r="BJ636">
        <v>1.3556489531582683</v>
      </c>
      <c r="BK636">
        <v>0.35564895315826828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1</v>
      </c>
    </row>
    <row r="637" spans="1:82" hidden="1" x14ac:dyDescent="0.25">
      <c r="A637" t="s">
        <v>128</v>
      </c>
      <c r="B637" t="s">
        <v>372</v>
      </c>
      <c r="C637" t="s">
        <v>72</v>
      </c>
      <c r="D637" s="12">
        <v>46237</v>
      </c>
      <c r="E637" t="s">
        <v>134</v>
      </c>
      <c r="F637" t="s">
        <v>74</v>
      </c>
      <c r="G637">
        <v>1.2742252699784016</v>
      </c>
      <c r="H637">
        <v>0</v>
      </c>
      <c r="I637">
        <v>10</v>
      </c>
      <c r="J637">
        <v>0</v>
      </c>
      <c r="K637">
        <v>46237</v>
      </c>
      <c r="L637" t="s">
        <v>182</v>
      </c>
      <c r="M637">
        <v>0.94117647058823517</v>
      </c>
      <c r="N637">
        <v>0</v>
      </c>
      <c r="O637">
        <v>0</v>
      </c>
      <c r="P637">
        <v>0.73862643659875649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0.73862643659875649</v>
      </c>
      <c r="AA637">
        <v>0.26137356340124351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H637">
        <v>0</v>
      </c>
      <c r="BI637">
        <v>0</v>
      </c>
      <c r="BJ637">
        <v>1.3538643493520519</v>
      </c>
      <c r="BK637">
        <v>0.35386434935205191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 hidden="1" x14ac:dyDescent="0.25">
      <c r="A638" t="s">
        <v>128</v>
      </c>
      <c r="B638" t="s">
        <v>502</v>
      </c>
      <c r="C638" t="s">
        <v>72</v>
      </c>
      <c r="D638" s="12">
        <v>46237</v>
      </c>
      <c r="E638" t="s">
        <v>134</v>
      </c>
      <c r="F638" t="s">
        <v>75</v>
      </c>
      <c r="G638">
        <v>2.4017033356990773</v>
      </c>
      <c r="H638">
        <v>0</v>
      </c>
      <c r="I638">
        <v>10</v>
      </c>
      <c r="J638">
        <v>0</v>
      </c>
      <c r="K638">
        <v>46237</v>
      </c>
      <c r="L638" t="s">
        <v>181</v>
      </c>
      <c r="M638">
        <v>2.1049596309111882</v>
      </c>
      <c r="N638">
        <v>0</v>
      </c>
      <c r="O638">
        <v>0</v>
      </c>
      <c r="P638">
        <v>0.87644447989180385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0.87644447989180385</v>
      </c>
      <c r="AA638">
        <v>0.12355552010819615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H638">
        <v>0</v>
      </c>
      <c r="BI638">
        <v>0</v>
      </c>
      <c r="BJ638">
        <v>1.1409735846855342</v>
      </c>
      <c r="BK638">
        <v>0.14097358468553423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1</v>
      </c>
      <c r="CD638">
        <v>1</v>
      </c>
    </row>
    <row r="639" spans="1:82" hidden="1" x14ac:dyDescent="0.25">
      <c r="A639" t="s">
        <v>128</v>
      </c>
      <c r="B639" t="s">
        <v>372</v>
      </c>
      <c r="C639" t="s">
        <v>72</v>
      </c>
      <c r="D639" s="12">
        <v>46237</v>
      </c>
      <c r="E639" t="s">
        <v>134</v>
      </c>
      <c r="F639" t="s">
        <v>75</v>
      </c>
      <c r="G639">
        <v>3.3729492440604751</v>
      </c>
      <c r="H639">
        <v>0</v>
      </c>
      <c r="I639">
        <v>10</v>
      </c>
      <c r="J639">
        <v>0</v>
      </c>
      <c r="K639">
        <v>46237</v>
      </c>
      <c r="L639" t="s">
        <v>181</v>
      </c>
      <c r="M639">
        <v>3.4861591695501724</v>
      </c>
      <c r="N639">
        <v>0</v>
      </c>
      <c r="O639">
        <v>0</v>
      </c>
      <c r="P639">
        <v>1.0335640762128431</v>
      </c>
      <c r="Q639">
        <v>3.3564076212843075E-2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0</v>
      </c>
      <c r="BJ639">
        <v>0.96752588737814149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3.2474112621858509E-2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0.96752588737814149</v>
      </c>
      <c r="CD639">
        <v>0</v>
      </c>
    </row>
    <row r="640" spans="1:82" hidden="1" x14ac:dyDescent="0.25">
      <c r="A640" t="s">
        <v>128</v>
      </c>
      <c r="B640" t="s">
        <v>503</v>
      </c>
      <c r="C640" t="s">
        <v>72</v>
      </c>
      <c r="D640" s="12">
        <v>46237</v>
      </c>
      <c r="E640" t="s">
        <v>134</v>
      </c>
      <c r="F640" t="s">
        <v>75</v>
      </c>
      <c r="G640">
        <v>2.6380697050938342</v>
      </c>
      <c r="H640">
        <v>0</v>
      </c>
      <c r="I640">
        <v>10</v>
      </c>
      <c r="J640">
        <v>0</v>
      </c>
      <c r="K640">
        <v>46237</v>
      </c>
      <c r="L640" t="s">
        <v>181</v>
      </c>
      <c r="M640">
        <v>2.214532871972319</v>
      </c>
      <c r="N640">
        <v>0</v>
      </c>
      <c r="O640">
        <v>0</v>
      </c>
      <c r="P640">
        <v>0.8394519931358484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0.8394519931358484</v>
      </c>
      <c r="AA640">
        <v>0.1605480068641516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1</v>
      </c>
      <c r="BH640">
        <v>0</v>
      </c>
      <c r="BI640">
        <v>0</v>
      </c>
      <c r="BJ640">
        <v>1.1912533512064343</v>
      </c>
      <c r="BK640">
        <v>0.19125335120643427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1</v>
      </c>
      <c r="CD640">
        <v>1</v>
      </c>
    </row>
    <row r="641" spans="1:82" hidden="1" x14ac:dyDescent="0.25">
      <c r="A641" t="s">
        <v>128</v>
      </c>
      <c r="B641" t="s">
        <v>502</v>
      </c>
      <c r="C641" t="s">
        <v>72</v>
      </c>
      <c r="D641" s="12">
        <v>46238</v>
      </c>
      <c r="E641" t="s">
        <v>134</v>
      </c>
      <c r="F641" t="s">
        <v>73</v>
      </c>
      <c r="G641">
        <v>3.9027679205110002</v>
      </c>
      <c r="H641">
        <v>0</v>
      </c>
      <c r="I641">
        <v>10</v>
      </c>
      <c r="J641">
        <v>0</v>
      </c>
      <c r="K641">
        <v>46238</v>
      </c>
      <c r="L641" t="s">
        <v>180</v>
      </c>
      <c r="M641">
        <v>2.0061274509803924</v>
      </c>
      <c r="N641">
        <v>0</v>
      </c>
      <c r="O641">
        <v>0</v>
      </c>
      <c r="P641">
        <v>0.51402683732158083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0.51402683732158083</v>
      </c>
      <c r="AA641">
        <v>0.48597316267841917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H641">
        <v>0</v>
      </c>
      <c r="BI641">
        <v>0</v>
      </c>
      <c r="BJ641">
        <v>1.9454237160274745</v>
      </c>
      <c r="BK641">
        <v>0.94542371602747455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1</v>
      </c>
      <c r="CD641">
        <v>1</v>
      </c>
    </row>
    <row r="642" spans="1:82" hidden="1" x14ac:dyDescent="0.25">
      <c r="A642" t="s">
        <v>128</v>
      </c>
      <c r="B642" t="s">
        <v>372</v>
      </c>
      <c r="C642" t="s">
        <v>72</v>
      </c>
      <c r="D642" s="12">
        <v>46238</v>
      </c>
      <c r="E642" t="s">
        <v>134</v>
      </c>
      <c r="F642" t="s">
        <v>73</v>
      </c>
      <c r="G642">
        <v>5.8323914011879046</v>
      </c>
      <c r="H642">
        <v>0</v>
      </c>
      <c r="I642">
        <v>10</v>
      </c>
      <c r="J642">
        <v>0</v>
      </c>
      <c r="K642">
        <v>46238</v>
      </c>
      <c r="L642" t="s">
        <v>180</v>
      </c>
      <c r="M642">
        <v>4.2886029411764701</v>
      </c>
      <c r="N642">
        <v>0</v>
      </c>
      <c r="O642">
        <v>0</v>
      </c>
      <c r="P642">
        <v>0.73530780878371682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0.73530780878371682</v>
      </c>
      <c r="AA642">
        <v>0.26469219121628318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H642">
        <v>0</v>
      </c>
      <c r="BI642">
        <v>0</v>
      </c>
      <c r="BJ642">
        <v>1.3599746773451438</v>
      </c>
      <c r="BK642">
        <v>0.35997467734514377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1</v>
      </c>
    </row>
    <row r="643" spans="1:82" hidden="1" x14ac:dyDescent="0.25">
      <c r="A643" t="s">
        <v>128</v>
      </c>
      <c r="B643" t="s">
        <v>503</v>
      </c>
      <c r="C643" t="s">
        <v>72</v>
      </c>
      <c r="D643" s="12">
        <v>46238</v>
      </c>
      <c r="E643" t="s">
        <v>134</v>
      </c>
      <c r="F643" t="s">
        <v>73</v>
      </c>
      <c r="G643">
        <v>1.4014745308310994</v>
      </c>
      <c r="H643">
        <v>0</v>
      </c>
      <c r="I643">
        <v>10</v>
      </c>
      <c r="J643">
        <v>0</v>
      </c>
      <c r="K643">
        <v>46238</v>
      </c>
      <c r="L643" t="s">
        <v>180</v>
      </c>
      <c r="M643">
        <v>3.2941176470588225</v>
      </c>
      <c r="N643">
        <v>0</v>
      </c>
      <c r="O643">
        <v>0</v>
      </c>
      <c r="P643">
        <v>2.3504655807803743</v>
      </c>
      <c r="Q643">
        <v>1.3504655807803743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1</v>
      </c>
      <c r="BH643">
        <v>0</v>
      </c>
      <c r="BI643">
        <v>0</v>
      </c>
      <c r="BJ643">
        <v>0.42544762543086961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0.57455237456913033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0.42544762543086967</v>
      </c>
      <c r="CD643">
        <v>0</v>
      </c>
    </row>
    <row r="644" spans="1:82" hidden="1" x14ac:dyDescent="0.25">
      <c r="A644" t="s">
        <v>128</v>
      </c>
      <c r="B644" t="s">
        <v>502</v>
      </c>
      <c r="C644" t="s">
        <v>72</v>
      </c>
      <c r="D644" s="12">
        <v>46238</v>
      </c>
      <c r="E644" t="s">
        <v>134</v>
      </c>
      <c r="F644" t="s">
        <v>74</v>
      </c>
      <c r="G644">
        <v>2.7219304471256209</v>
      </c>
      <c r="H644">
        <v>0</v>
      </c>
      <c r="I644">
        <v>10</v>
      </c>
      <c r="J644">
        <v>0</v>
      </c>
      <c r="K644">
        <v>46238</v>
      </c>
      <c r="L644" t="s">
        <v>179</v>
      </c>
      <c r="M644">
        <v>2.0078431372549019</v>
      </c>
      <c r="N644">
        <v>0</v>
      </c>
      <c r="O644">
        <v>0</v>
      </c>
      <c r="P644">
        <v>0.73765409376099211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0.73765409376099211</v>
      </c>
      <c r="AA644">
        <v>0.26234590623900789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H644">
        <v>0</v>
      </c>
      <c r="BI644">
        <v>0</v>
      </c>
      <c r="BJ644">
        <v>1.3556489531582683</v>
      </c>
      <c r="BK644">
        <v>0.35564895315826828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1</v>
      </c>
    </row>
    <row r="645" spans="1:82" hidden="1" x14ac:dyDescent="0.25">
      <c r="A645" t="s">
        <v>128</v>
      </c>
      <c r="B645" t="s">
        <v>503</v>
      </c>
      <c r="C645" t="s">
        <v>72</v>
      </c>
      <c r="D645" s="12">
        <v>46238</v>
      </c>
      <c r="E645" t="s">
        <v>134</v>
      </c>
      <c r="F645" t="s">
        <v>74</v>
      </c>
      <c r="G645">
        <v>1.7587131367292226</v>
      </c>
      <c r="H645">
        <v>0</v>
      </c>
      <c r="I645">
        <v>10</v>
      </c>
      <c r="J645">
        <v>0</v>
      </c>
      <c r="K645">
        <v>46238</v>
      </c>
      <c r="L645" t="s">
        <v>179</v>
      </c>
      <c r="M645">
        <v>6.2745098039215685E-2</v>
      </c>
      <c r="N645">
        <v>0</v>
      </c>
      <c r="O645">
        <v>0</v>
      </c>
      <c r="P645">
        <v>3.5676709708273552E-2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3.5676709708273552E-2</v>
      </c>
      <c r="AA645">
        <v>0.96432329029172648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H645">
        <v>0</v>
      </c>
      <c r="BI645">
        <v>0</v>
      </c>
      <c r="BJ645">
        <v>28.029490616621985</v>
      </c>
      <c r="BK645">
        <v>27.029490616621985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 hidden="1" x14ac:dyDescent="0.25">
      <c r="A646" t="s">
        <v>128</v>
      </c>
      <c r="B646" t="s">
        <v>372</v>
      </c>
      <c r="C646" t="s">
        <v>72</v>
      </c>
      <c r="D646" s="12">
        <v>46238</v>
      </c>
      <c r="E646" t="s">
        <v>134</v>
      </c>
      <c r="F646" t="s">
        <v>74</v>
      </c>
      <c r="G646">
        <v>1.2742252699784016</v>
      </c>
      <c r="H646">
        <v>0</v>
      </c>
      <c r="I646">
        <v>10</v>
      </c>
      <c r="J646">
        <v>0</v>
      </c>
      <c r="K646">
        <v>46238</v>
      </c>
      <c r="L646" t="s">
        <v>179</v>
      </c>
      <c r="M646">
        <v>0.94117647058823517</v>
      </c>
      <c r="N646">
        <v>0</v>
      </c>
      <c r="O646">
        <v>0</v>
      </c>
      <c r="P646">
        <v>0.73862643659875649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0.73862643659875649</v>
      </c>
      <c r="AA646">
        <v>0.26137356340124351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H646">
        <v>0</v>
      </c>
      <c r="BI646">
        <v>0</v>
      </c>
      <c r="BJ646">
        <v>1.3538643493520519</v>
      </c>
      <c r="BK646">
        <v>0.35386434935205191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</row>
    <row r="647" spans="1:82" hidden="1" x14ac:dyDescent="0.25">
      <c r="A647" t="s">
        <v>128</v>
      </c>
      <c r="B647" t="s">
        <v>502</v>
      </c>
      <c r="C647" t="s">
        <v>72</v>
      </c>
      <c r="D647" s="12">
        <v>46238</v>
      </c>
      <c r="E647" t="s">
        <v>134</v>
      </c>
      <c r="F647" t="s">
        <v>75</v>
      </c>
      <c r="G647">
        <v>2.4017033356990773</v>
      </c>
      <c r="H647">
        <v>0</v>
      </c>
      <c r="I647">
        <v>10</v>
      </c>
      <c r="J647">
        <v>0</v>
      </c>
      <c r="K647">
        <v>46238</v>
      </c>
      <c r="L647" t="s">
        <v>178</v>
      </c>
      <c r="M647">
        <v>2.1049596309111882</v>
      </c>
      <c r="N647">
        <v>0</v>
      </c>
      <c r="O647">
        <v>0</v>
      </c>
      <c r="P647">
        <v>0.87644447989180385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0.87644447989180385</v>
      </c>
      <c r="AA647">
        <v>0.12355552010819615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H647">
        <v>0</v>
      </c>
      <c r="BI647">
        <v>0</v>
      </c>
      <c r="BJ647">
        <v>1.1409735846855342</v>
      </c>
      <c r="BK647">
        <v>0.14097358468553423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1</v>
      </c>
      <c r="CD647">
        <v>1</v>
      </c>
    </row>
    <row r="648" spans="1:82" hidden="1" x14ac:dyDescent="0.25">
      <c r="A648" t="s">
        <v>128</v>
      </c>
      <c r="B648" t="s">
        <v>372</v>
      </c>
      <c r="C648" t="s">
        <v>72</v>
      </c>
      <c r="D648" s="12">
        <v>46238</v>
      </c>
      <c r="E648" t="s">
        <v>134</v>
      </c>
      <c r="F648" t="s">
        <v>75</v>
      </c>
      <c r="G648">
        <v>3.3729492440604751</v>
      </c>
      <c r="H648">
        <v>0</v>
      </c>
      <c r="I648">
        <v>10</v>
      </c>
      <c r="J648">
        <v>0</v>
      </c>
      <c r="K648">
        <v>46238</v>
      </c>
      <c r="L648" t="s">
        <v>178</v>
      </c>
      <c r="M648">
        <v>3.4861591695501724</v>
      </c>
      <c r="N648">
        <v>0</v>
      </c>
      <c r="O648">
        <v>0</v>
      </c>
      <c r="P648">
        <v>1.0335640762128431</v>
      </c>
      <c r="Q648">
        <v>3.3564076212843075E-2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1</v>
      </c>
      <c r="BH648">
        <v>0</v>
      </c>
      <c r="BI648">
        <v>0</v>
      </c>
      <c r="BJ648">
        <v>0.96752588737814149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3.2474112621858509E-2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0.96752588737814149</v>
      </c>
      <c r="CD648">
        <v>0</v>
      </c>
    </row>
    <row r="649" spans="1:82" hidden="1" x14ac:dyDescent="0.25">
      <c r="A649" t="s">
        <v>128</v>
      </c>
      <c r="B649" t="s">
        <v>503</v>
      </c>
      <c r="C649" t="s">
        <v>72</v>
      </c>
      <c r="D649" s="12">
        <v>46238</v>
      </c>
      <c r="E649" t="s">
        <v>134</v>
      </c>
      <c r="F649" t="s">
        <v>75</v>
      </c>
      <c r="G649">
        <v>2.6380697050938342</v>
      </c>
      <c r="H649">
        <v>0</v>
      </c>
      <c r="I649">
        <v>10</v>
      </c>
      <c r="J649">
        <v>0</v>
      </c>
      <c r="K649">
        <v>46238</v>
      </c>
      <c r="L649" t="s">
        <v>178</v>
      </c>
      <c r="M649">
        <v>1.5501730103806233</v>
      </c>
      <c r="N649">
        <v>0</v>
      </c>
      <c r="O649">
        <v>0</v>
      </c>
      <c r="P649">
        <v>0.5876163951950939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0.5876163951950939</v>
      </c>
      <c r="AA649">
        <v>0.4123836048049061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H649">
        <v>0</v>
      </c>
      <c r="BI649">
        <v>0</v>
      </c>
      <c r="BJ649">
        <v>1.7017905017234773</v>
      </c>
      <c r="BK649">
        <v>0.70179050172347734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1</v>
      </c>
    </row>
    <row r="650" spans="1:82" hidden="1" x14ac:dyDescent="0.25">
      <c r="A650" t="s">
        <v>128</v>
      </c>
      <c r="B650" t="s">
        <v>503</v>
      </c>
      <c r="C650" t="s">
        <v>72</v>
      </c>
      <c r="D650" s="12">
        <v>46239</v>
      </c>
      <c r="E650" t="s">
        <v>134</v>
      </c>
      <c r="F650" t="s">
        <v>73</v>
      </c>
      <c r="G650">
        <v>2.8029490616621993</v>
      </c>
      <c r="H650">
        <v>0</v>
      </c>
      <c r="I650">
        <v>10</v>
      </c>
      <c r="J650">
        <v>0</v>
      </c>
      <c r="K650">
        <v>46239</v>
      </c>
      <c r="L650" t="s">
        <v>177</v>
      </c>
      <c r="M650">
        <v>2.3416289592760191</v>
      </c>
      <c r="N650">
        <v>0</v>
      </c>
      <c r="O650">
        <v>0</v>
      </c>
      <c r="P650">
        <v>0.8354161662457722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0.8354161662457722</v>
      </c>
      <c r="AA650">
        <v>0.1645838337542278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</v>
      </c>
      <c r="BH650">
        <v>0</v>
      </c>
      <c r="BI650">
        <v>0</v>
      </c>
      <c r="BJ650">
        <v>1.1970081983137115</v>
      </c>
      <c r="BK650">
        <v>0.19700819831371152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1</v>
      </c>
    </row>
    <row r="651" spans="1:82" hidden="1" x14ac:dyDescent="0.25">
      <c r="A651" t="s">
        <v>128</v>
      </c>
      <c r="B651" t="s">
        <v>502</v>
      </c>
      <c r="C651" t="s">
        <v>72</v>
      </c>
      <c r="D651" s="12">
        <v>46239</v>
      </c>
      <c r="E651" t="s">
        <v>134</v>
      </c>
      <c r="F651" t="s">
        <v>73</v>
      </c>
      <c r="G651">
        <v>2.6268630234208659</v>
      </c>
      <c r="H651">
        <v>0</v>
      </c>
      <c r="I651">
        <v>10</v>
      </c>
      <c r="J651">
        <v>0</v>
      </c>
      <c r="K651">
        <v>46239</v>
      </c>
      <c r="L651" t="s">
        <v>177</v>
      </c>
      <c r="M651">
        <v>2.003063725490196</v>
      </c>
      <c r="N651">
        <v>0</v>
      </c>
      <c r="O651">
        <v>0</v>
      </c>
      <c r="P651">
        <v>0.76253070968340053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0.76253070968340053</v>
      </c>
      <c r="AA651">
        <v>0.23746929031659947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H651">
        <v>0</v>
      </c>
      <c r="BI651">
        <v>0</v>
      </c>
      <c r="BJ651">
        <v>1.3114225922982115</v>
      </c>
      <c r="BK651">
        <v>0.31142259229821145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1</v>
      </c>
    </row>
    <row r="652" spans="1:82" hidden="1" x14ac:dyDescent="0.25">
      <c r="A652" t="s">
        <v>128</v>
      </c>
      <c r="B652" t="s">
        <v>372</v>
      </c>
      <c r="C652" t="s">
        <v>72</v>
      </c>
      <c r="D652" s="12">
        <v>46239</v>
      </c>
      <c r="E652" t="s">
        <v>134</v>
      </c>
      <c r="F652" t="s">
        <v>73</v>
      </c>
      <c r="G652">
        <v>4.6378052105831538</v>
      </c>
      <c r="H652">
        <v>0</v>
      </c>
      <c r="I652">
        <v>10</v>
      </c>
      <c r="J652">
        <v>0</v>
      </c>
      <c r="K652">
        <v>46239</v>
      </c>
      <c r="L652" t="s">
        <v>177</v>
      </c>
      <c r="M652">
        <v>2.40625</v>
      </c>
      <c r="N652">
        <v>0</v>
      </c>
      <c r="O652">
        <v>0</v>
      </c>
      <c r="P652">
        <v>0.51883377820808485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0.51883377820808485</v>
      </c>
      <c r="AA652">
        <v>0.48116622179191515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</v>
      </c>
      <c r="BH652">
        <v>0</v>
      </c>
      <c r="BI652">
        <v>0</v>
      </c>
      <c r="BJ652">
        <v>1.9273995680345575</v>
      </c>
      <c r="BK652">
        <v>0.92739956803455748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</row>
    <row r="653" spans="1:82" hidden="1" x14ac:dyDescent="0.25">
      <c r="A653" t="s">
        <v>128</v>
      </c>
      <c r="B653" t="s">
        <v>503</v>
      </c>
      <c r="C653" t="s">
        <v>72</v>
      </c>
      <c r="D653" s="12">
        <v>46239</v>
      </c>
      <c r="E653" t="s">
        <v>134</v>
      </c>
      <c r="F653" t="s">
        <v>74</v>
      </c>
      <c r="G653">
        <v>1.7587131367292226</v>
      </c>
      <c r="H653">
        <v>0</v>
      </c>
      <c r="I653">
        <v>10</v>
      </c>
      <c r="J653">
        <v>0</v>
      </c>
      <c r="K653">
        <v>46239</v>
      </c>
      <c r="L653" t="s">
        <v>176</v>
      </c>
      <c r="M653">
        <v>6.2745098039215685E-2</v>
      </c>
      <c r="N653">
        <v>0</v>
      </c>
      <c r="O653">
        <v>0</v>
      </c>
      <c r="P653">
        <v>3.5676709708273552E-2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3.5676709708273552E-2</v>
      </c>
      <c r="AA653">
        <v>0.96432329029172648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H653">
        <v>0</v>
      </c>
      <c r="BI653">
        <v>0</v>
      </c>
      <c r="BJ653">
        <v>28.029490616621985</v>
      </c>
      <c r="BK653">
        <v>27.029490616621985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 hidden="1" x14ac:dyDescent="0.25">
      <c r="A654" t="s">
        <v>128</v>
      </c>
      <c r="B654" t="s">
        <v>502</v>
      </c>
      <c r="C654" t="s">
        <v>72</v>
      </c>
      <c r="D654" s="12">
        <v>46239</v>
      </c>
      <c r="E654" t="s">
        <v>134</v>
      </c>
      <c r="F654" t="s">
        <v>74</v>
      </c>
      <c r="G654">
        <v>2.7219304471256209</v>
      </c>
      <c r="H654">
        <v>0</v>
      </c>
      <c r="I654">
        <v>10</v>
      </c>
      <c r="J654">
        <v>0</v>
      </c>
      <c r="K654">
        <v>46239</v>
      </c>
      <c r="L654" t="s">
        <v>176</v>
      </c>
      <c r="M654">
        <v>2.0078431372549019</v>
      </c>
      <c r="N654">
        <v>0</v>
      </c>
      <c r="O654">
        <v>0</v>
      </c>
      <c r="P654">
        <v>0.73765409376099211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0.73765409376099211</v>
      </c>
      <c r="AA654">
        <v>0.26234590623900789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</v>
      </c>
      <c r="BH654">
        <v>0</v>
      </c>
      <c r="BI654">
        <v>0</v>
      </c>
      <c r="BJ654">
        <v>1.3556489531582683</v>
      </c>
      <c r="BK654">
        <v>0.35564895315826828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1</v>
      </c>
      <c r="CD654">
        <v>1</v>
      </c>
    </row>
    <row r="655" spans="1:82" hidden="1" x14ac:dyDescent="0.25">
      <c r="A655" t="s">
        <v>128</v>
      </c>
      <c r="B655" t="s">
        <v>372</v>
      </c>
      <c r="C655" t="s">
        <v>72</v>
      </c>
      <c r="D655" s="12">
        <v>46239</v>
      </c>
      <c r="E655" t="s">
        <v>134</v>
      </c>
      <c r="F655" t="s">
        <v>74</v>
      </c>
      <c r="G655">
        <v>1.2742252699784016</v>
      </c>
      <c r="H655">
        <v>0</v>
      </c>
      <c r="I655">
        <v>10</v>
      </c>
      <c r="J655">
        <v>0</v>
      </c>
      <c r="K655">
        <v>46239</v>
      </c>
      <c r="L655" t="s">
        <v>176</v>
      </c>
      <c r="M655">
        <v>0.94117647058823517</v>
      </c>
      <c r="N655">
        <v>0</v>
      </c>
      <c r="O655">
        <v>0</v>
      </c>
      <c r="P655">
        <v>0.73862643659875649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0.73862643659875649</v>
      </c>
      <c r="AA655">
        <v>0.26137356340124351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H655">
        <v>0</v>
      </c>
      <c r="BI655">
        <v>0</v>
      </c>
      <c r="BJ655">
        <v>1.3538643493520519</v>
      </c>
      <c r="BK655">
        <v>0.35386434935205191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</row>
    <row r="656" spans="1:82" hidden="1" x14ac:dyDescent="0.25">
      <c r="A656" t="s">
        <v>128</v>
      </c>
      <c r="B656" t="s">
        <v>372</v>
      </c>
      <c r="C656" t="s">
        <v>72</v>
      </c>
      <c r="D656" s="12">
        <v>46239</v>
      </c>
      <c r="E656" t="s">
        <v>134</v>
      </c>
      <c r="F656" t="s">
        <v>75</v>
      </c>
      <c r="G656">
        <v>3.902039321560157</v>
      </c>
      <c r="H656">
        <v>0</v>
      </c>
      <c r="I656">
        <v>10</v>
      </c>
      <c r="J656">
        <v>0</v>
      </c>
      <c r="K656">
        <v>46239</v>
      </c>
      <c r="L656" t="s">
        <v>175</v>
      </c>
      <c r="M656">
        <v>3.8460207612456743</v>
      </c>
      <c r="N656">
        <v>0</v>
      </c>
      <c r="O656">
        <v>0</v>
      </c>
      <c r="P656">
        <v>0.98564377349942112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0.98564377349942112</v>
      </c>
      <c r="AA656">
        <v>1.4356226500578884E-2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H656">
        <v>0</v>
      </c>
      <c r="BI656">
        <v>0</v>
      </c>
      <c r="BJ656">
        <v>1.0145653296724115</v>
      </c>
      <c r="BK656">
        <v>1.4565329672411531E-2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1</v>
      </c>
      <c r="CD656">
        <v>1</v>
      </c>
    </row>
    <row r="657" spans="1:82" hidden="1" x14ac:dyDescent="0.25">
      <c r="A657" t="s">
        <v>128</v>
      </c>
      <c r="B657" t="s">
        <v>503</v>
      </c>
      <c r="C657" t="s">
        <v>72</v>
      </c>
      <c r="D657" s="12">
        <v>46239</v>
      </c>
      <c r="E657" t="s">
        <v>134</v>
      </c>
      <c r="F657" t="s">
        <v>75</v>
      </c>
      <c r="G657">
        <v>2.6380697050938338</v>
      </c>
      <c r="H657">
        <v>0</v>
      </c>
      <c r="I657">
        <v>10</v>
      </c>
      <c r="J657">
        <v>0</v>
      </c>
      <c r="K657">
        <v>46239</v>
      </c>
      <c r="L657" t="s">
        <v>175</v>
      </c>
      <c r="M657">
        <v>2.2113388341762041</v>
      </c>
      <c r="N657">
        <v>0</v>
      </c>
      <c r="O657">
        <v>0</v>
      </c>
      <c r="P657">
        <v>0.83824124506882536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0.83824124506882536</v>
      </c>
      <c r="AA657">
        <v>0.16175875493117464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</v>
      </c>
      <c r="BH657">
        <v>0</v>
      </c>
      <c r="BI657">
        <v>0</v>
      </c>
      <c r="BJ657">
        <v>1.1929739867642675</v>
      </c>
      <c r="BK657">
        <v>0.19297398676426747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</v>
      </c>
    </row>
    <row r="658" spans="1:82" hidden="1" x14ac:dyDescent="0.25">
      <c r="A658" t="s">
        <v>128</v>
      </c>
      <c r="B658" t="s">
        <v>502</v>
      </c>
      <c r="C658" t="s">
        <v>72</v>
      </c>
      <c r="D658" s="12">
        <v>46239</v>
      </c>
      <c r="E658" t="s">
        <v>134</v>
      </c>
      <c r="F658" t="s">
        <v>75</v>
      </c>
      <c r="G658">
        <v>2.4017033356990773</v>
      </c>
      <c r="H658">
        <v>0</v>
      </c>
      <c r="I658">
        <v>10</v>
      </c>
      <c r="J658">
        <v>0</v>
      </c>
      <c r="K658">
        <v>46239</v>
      </c>
      <c r="L658" t="s">
        <v>175</v>
      </c>
      <c r="M658">
        <v>2.0490196078431371</v>
      </c>
      <c r="N658">
        <v>0</v>
      </c>
      <c r="O658">
        <v>0</v>
      </c>
      <c r="P658">
        <v>0.85315266768645981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0.85315266768645981</v>
      </c>
      <c r="AA658">
        <v>0.14684733231354019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</v>
      </c>
      <c r="BH658">
        <v>0</v>
      </c>
      <c r="BI658">
        <v>0</v>
      </c>
      <c r="BJ658">
        <v>1.1721231590493106</v>
      </c>
      <c r="BK658">
        <v>0.17212315904931064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1</v>
      </c>
    </row>
    <row r="659" spans="1:82" hidden="1" x14ac:dyDescent="0.25">
      <c r="A659" t="s">
        <v>128</v>
      </c>
      <c r="B659" t="s">
        <v>503</v>
      </c>
      <c r="C659" t="s">
        <v>72</v>
      </c>
      <c r="D659" s="12">
        <v>46240</v>
      </c>
      <c r="E659" t="s">
        <v>134</v>
      </c>
      <c r="F659" t="s">
        <v>73</v>
      </c>
      <c r="G659">
        <v>1.4014745308310996</v>
      </c>
      <c r="H659">
        <v>0</v>
      </c>
      <c r="I659">
        <v>10</v>
      </c>
      <c r="J659">
        <v>0</v>
      </c>
      <c r="K659">
        <v>46240</v>
      </c>
      <c r="L659" t="s">
        <v>191</v>
      </c>
      <c r="M659">
        <v>2.514705882352942</v>
      </c>
      <c r="N659">
        <v>0</v>
      </c>
      <c r="O659">
        <v>0</v>
      </c>
      <c r="P659">
        <v>1.7943286353278758</v>
      </c>
      <c r="Q659">
        <v>0.79432863532787579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1</v>
      </c>
      <c r="BH659">
        <v>0</v>
      </c>
      <c r="BI659">
        <v>0</v>
      </c>
      <c r="BJ659">
        <v>0.55731150933634355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0.44268849066365645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0.55731150933634355</v>
      </c>
      <c r="CD659">
        <v>0</v>
      </c>
    </row>
    <row r="660" spans="1:82" hidden="1" x14ac:dyDescent="0.25">
      <c r="A660" t="s">
        <v>128</v>
      </c>
      <c r="B660" t="s">
        <v>372</v>
      </c>
      <c r="C660" t="s">
        <v>72</v>
      </c>
      <c r="D660" s="12">
        <v>46240</v>
      </c>
      <c r="E660" t="s">
        <v>134</v>
      </c>
      <c r="F660" t="s">
        <v>73</v>
      </c>
      <c r="G660">
        <v>5.9729309530237575</v>
      </c>
      <c r="H660">
        <v>0</v>
      </c>
      <c r="I660">
        <v>10</v>
      </c>
      <c r="J660">
        <v>0</v>
      </c>
      <c r="K660">
        <v>46240</v>
      </c>
      <c r="L660" t="s">
        <v>191</v>
      </c>
      <c r="M660">
        <v>3.9419504643962866</v>
      </c>
      <c r="N660">
        <v>0</v>
      </c>
      <c r="O660">
        <v>0</v>
      </c>
      <c r="P660">
        <v>0.65996920028025763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0.65996920028025763</v>
      </c>
      <c r="AA660">
        <v>0.34003079971974237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H660">
        <v>0</v>
      </c>
      <c r="BI660">
        <v>0</v>
      </c>
      <c r="BJ660">
        <v>1.5152222248785963</v>
      </c>
      <c r="BK660">
        <v>0.51522222487859626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1</v>
      </c>
      <c r="CD660">
        <v>1</v>
      </c>
    </row>
    <row r="661" spans="1:82" hidden="1" x14ac:dyDescent="0.25">
      <c r="A661" t="s">
        <v>128</v>
      </c>
      <c r="B661" t="s">
        <v>502</v>
      </c>
      <c r="C661" t="s">
        <v>72</v>
      </c>
      <c r="D661" s="12">
        <v>46240</v>
      </c>
      <c r="E661" t="s">
        <v>134</v>
      </c>
      <c r="F661" t="s">
        <v>73</v>
      </c>
      <c r="G661">
        <v>4.0528743789921924</v>
      </c>
      <c r="H661">
        <v>0</v>
      </c>
      <c r="I661">
        <v>10</v>
      </c>
      <c r="J661">
        <v>0</v>
      </c>
      <c r="K661">
        <v>46240</v>
      </c>
      <c r="L661" t="s">
        <v>191</v>
      </c>
      <c r="M661">
        <v>1.1207107843137254</v>
      </c>
      <c r="N661">
        <v>0</v>
      </c>
      <c r="O661">
        <v>0</v>
      </c>
      <c r="P661">
        <v>0.27652245777042977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0.27652245777042977</v>
      </c>
      <c r="AA661">
        <v>0.72347754222957028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</v>
      </c>
      <c r="BH661">
        <v>0</v>
      </c>
      <c r="BI661">
        <v>0</v>
      </c>
      <c r="BJ661">
        <v>3.6163428029061011</v>
      </c>
      <c r="BK661">
        <v>2.6163428029061011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1</v>
      </c>
      <c r="CD661">
        <v>1</v>
      </c>
    </row>
    <row r="662" spans="1:82" hidden="1" x14ac:dyDescent="0.25">
      <c r="A662" t="s">
        <v>128</v>
      </c>
      <c r="B662" t="s">
        <v>503</v>
      </c>
      <c r="C662" t="s">
        <v>72</v>
      </c>
      <c r="D662" s="12">
        <v>46240</v>
      </c>
      <c r="E662" t="s">
        <v>134</v>
      </c>
      <c r="F662" t="s">
        <v>74</v>
      </c>
      <c r="G662">
        <v>1.7587131367292226</v>
      </c>
      <c r="H662">
        <v>0</v>
      </c>
      <c r="I662">
        <v>10</v>
      </c>
      <c r="J662">
        <v>0</v>
      </c>
      <c r="K662">
        <v>46240</v>
      </c>
      <c r="L662" t="s">
        <v>192</v>
      </c>
      <c r="M662">
        <v>6.2745098039215685E-2</v>
      </c>
      <c r="N662">
        <v>0</v>
      </c>
      <c r="O662">
        <v>0</v>
      </c>
      <c r="P662">
        <v>3.5676709708273552E-2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3.5676709708273552E-2</v>
      </c>
      <c r="AA662">
        <v>0.96432329029172648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H662">
        <v>0</v>
      </c>
      <c r="BI662">
        <v>0</v>
      </c>
      <c r="BJ662">
        <v>28.029490616621985</v>
      </c>
      <c r="BK662">
        <v>27.029490616621985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 hidden="1" x14ac:dyDescent="0.25">
      <c r="A663" t="s">
        <v>128</v>
      </c>
      <c r="B663" t="s">
        <v>372</v>
      </c>
      <c r="C663" t="s">
        <v>72</v>
      </c>
      <c r="D663" s="12">
        <v>46240</v>
      </c>
      <c r="E663" t="s">
        <v>134</v>
      </c>
      <c r="F663" t="s">
        <v>74</v>
      </c>
      <c r="G663">
        <v>1.2742252699784016</v>
      </c>
      <c r="H663">
        <v>0</v>
      </c>
      <c r="I663">
        <v>10</v>
      </c>
      <c r="J663">
        <v>0</v>
      </c>
      <c r="K663">
        <v>46240</v>
      </c>
      <c r="L663" t="s">
        <v>192</v>
      </c>
      <c r="M663">
        <v>0.94117647058823517</v>
      </c>
      <c r="N663">
        <v>0</v>
      </c>
      <c r="O663">
        <v>0</v>
      </c>
      <c r="P663">
        <v>0.73862643659875649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0.73862643659875649</v>
      </c>
      <c r="AA663">
        <v>0.26137356340124351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H663">
        <v>0</v>
      </c>
      <c r="BI663">
        <v>0</v>
      </c>
      <c r="BJ663">
        <v>1.3538643493520519</v>
      </c>
      <c r="BK663">
        <v>0.35386434935205191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 hidden="1" x14ac:dyDescent="0.25">
      <c r="A664" t="s">
        <v>128</v>
      </c>
      <c r="B664" t="s">
        <v>502</v>
      </c>
      <c r="C664" t="s">
        <v>72</v>
      </c>
      <c r="D664" s="12">
        <v>46240</v>
      </c>
      <c r="E664" t="s">
        <v>134</v>
      </c>
      <c r="F664" t="s">
        <v>74</v>
      </c>
      <c r="G664">
        <v>2.7219304471256209</v>
      </c>
      <c r="H664">
        <v>0</v>
      </c>
      <c r="I664">
        <v>10</v>
      </c>
      <c r="J664">
        <v>0</v>
      </c>
      <c r="K664">
        <v>46240</v>
      </c>
      <c r="L664" t="s">
        <v>192</v>
      </c>
      <c r="M664">
        <v>1.0666666666666669</v>
      </c>
      <c r="N664">
        <v>0</v>
      </c>
      <c r="O664">
        <v>0</v>
      </c>
      <c r="P664">
        <v>0.39187873731052714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0.39187873731052714</v>
      </c>
      <c r="AA664">
        <v>0.60812126268947286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H664">
        <v>0</v>
      </c>
      <c r="BI664">
        <v>0</v>
      </c>
      <c r="BJ664">
        <v>2.5518097941802691</v>
      </c>
      <c r="BK664">
        <v>1.5518097941802691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1</v>
      </c>
    </row>
    <row r="665" spans="1:82" hidden="1" x14ac:dyDescent="0.25">
      <c r="A665" t="s">
        <v>128</v>
      </c>
      <c r="B665" t="s">
        <v>502</v>
      </c>
      <c r="C665" t="s">
        <v>72</v>
      </c>
      <c r="D665" s="12">
        <v>46240</v>
      </c>
      <c r="E665" t="s">
        <v>134</v>
      </c>
      <c r="F665" t="s">
        <v>75</v>
      </c>
      <c r="G665">
        <v>2.4017033356990773</v>
      </c>
      <c r="H665">
        <v>0</v>
      </c>
      <c r="I665">
        <v>10</v>
      </c>
      <c r="J665">
        <v>0</v>
      </c>
      <c r="K665">
        <v>46240</v>
      </c>
      <c r="L665" t="s">
        <v>210</v>
      </c>
      <c r="M665">
        <v>1.9382929642445217</v>
      </c>
      <c r="N665">
        <v>0</v>
      </c>
      <c r="O665">
        <v>0</v>
      </c>
      <c r="P665">
        <v>0.80704928682639809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0.80704928682639809</v>
      </c>
      <c r="AA665">
        <v>0.19295071317360191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</v>
      </c>
      <c r="BH665">
        <v>0</v>
      </c>
      <c r="BI665">
        <v>0</v>
      </c>
      <c r="BJ665">
        <v>1.2390816971443617</v>
      </c>
      <c r="BK665">
        <v>0.23908169714436167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1</v>
      </c>
    </row>
    <row r="666" spans="1:82" hidden="1" x14ac:dyDescent="0.25">
      <c r="A666" t="s">
        <v>128</v>
      </c>
      <c r="B666" t="s">
        <v>372</v>
      </c>
      <c r="C666" t="s">
        <v>72</v>
      </c>
      <c r="D666" s="12">
        <v>46240</v>
      </c>
      <c r="E666" t="s">
        <v>134</v>
      </c>
      <c r="F666" t="s">
        <v>75</v>
      </c>
      <c r="G666">
        <v>3.505221763435395</v>
      </c>
      <c r="H666">
        <v>0</v>
      </c>
      <c r="I666">
        <v>10</v>
      </c>
      <c r="J666">
        <v>0</v>
      </c>
      <c r="K666">
        <v>46240</v>
      </c>
      <c r="L666" t="s">
        <v>210</v>
      </c>
      <c r="M666">
        <v>3.1065379712256411</v>
      </c>
      <c r="N666">
        <v>0</v>
      </c>
      <c r="O666">
        <v>0</v>
      </c>
      <c r="P666">
        <v>0.88626003741942638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0.88626003741942638</v>
      </c>
      <c r="AA666">
        <v>0.11373996258057362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H666">
        <v>0</v>
      </c>
      <c r="BI666">
        <v>0</v>
      </c>
      <c r="BJ666">
        <v>1.1283370092052856</v>
      </c>
      <c r="BK666">
        <v>0.12833700920528557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1</v>
      </c>
      <c r="CD666">
        <v>1</v>
      </c>
    </row>
    <row r="667" spans="1:82" hidden="1" x14ac:dyDescent="0.25">
      <c r="A667" t="s">
        <v>128</v>
      </c>
      <c r="B667" t="s">
        <v>503</v>
      </c>
      <c r="C667" t="s">
        <v>72</v>
      </c>
      <c r="D667" s="12">
        <v>46240</v>
      </c>
      <c r="E667" t="s">
        <v>134</v>
      </c>
      <c r="F667" t="s">
        <v>75</v>
      </c>
      <c r="G667">
        <v>2.3277085633180881</v>
      </c>
      <c r="H667">
        <v>0</v>
      </c>
      <c r="I667">
        <v>10</v>
      </c>
      <c r="J667">
        <v>0</v>
      </c>
      <c r="K667">
        <v>46240</v>
      </c>
      <c r="L667" t="s">
        <v>210</v>
      </c>
      <c r="M667">
        <v>2.0484429065743943</v>
      </c>
      <c r="N667">
        <v>0</v>
      </c>
      <c r="O667">
        <v>0</v>
      </c>
      <c r="P667">
        <v>0.88002550613741448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0.88002550613741448</v>
      </c>
      <c r="AA667">
        <v>0.11997449386258552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</v>
      </c>
      <c r="BH667">
        <v>0</v>
      </c>
      <c r="BI667">
        <v>0</v>
      </c>
      <c r="BJ667">
        <v>1.1363307006738641</v>
      </c>
      <c r="BK667">
        <v>0.1363307006738641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1</v>
      </c>
      <c r="CD667">
        <v>1</v>
      </c>
    </row>
    <row r="668" spans="1:82" hidden="1" x14ac:dyDescent="0.25">
      <c r="A668" t="s">
        <v>128</v>
      </c>
      <c r="B668" t="s">
        <v>503</v>
      </c>
      <c r="C668" t="s">
        <v>72</v>
      </c>
      <c r="D668" s="12">
        <v>46241</v>
      </c>
      <c r="E668" t="s">
        <v>134</v>
      </c>
      <c r="F668" t="s">
        <v>73</v>
      </c>
      <c r="G668">
        <v>5.6058981233243976</v>
      </c>
      <c r="H668">
        <v>0</v>
      </c>
      <c r="I668">
        <v>10</v>
      </c>
      <c r="J668">
        <v>0</v>
      </c>
      <c r="K668">
        <v>46241</v>
      </c>
      <c r="L668" t="s">
        <v>209</v>
      </c>
      <c r="M668">
        <v>4.0294117647058805</v>
      </c>
      <c r="N668">
        <v>0</v>
      </c>
      <c r="O668">
        <v>0</v>
      </c>
      <c r="P668">
        <v>0.71878076912256972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0.71878076912256972</v>
      </c>
      <c r="AA668">
        <v>0.28121923087743028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H668">
        <v>0</v>
      </c>
      <c r="BI668">
        <v>0</v>
      </c>
      <c r="BJ668">
        <v>1.3912447897301432</v>
      </c>
      <c r="BK668">
        <v>0.39124478973014321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1</v>
      </c>
    </row>
    <row r="669" spans="1:82" hidden="1" x14ac:dyDescent="0.25">
      <c r="A669" t="s">
        <v>128</v>
      </c>
      <c r="B669" t="s">
        <v>502</v>
      </c>
      <c r="C669" t="s">
        <v>72</v>
      </c>
      <c r="D669" s="12">
        <v>46241</v>
      </c>
      <c r="E669" t="s">
        <v>134</v>
      </c>
      <c r="F669" t="s">
        <v>73</v>
      </c>
      <c r="G669">
        <v>3.9778211497515952</v>
      </c>
      <c r="H669">
        <v>0</v>
      </c>
      <c r="I669">
        <v>10</v>
      </c>
      <c r="J669">
        <v>0</v>
      </c>
      <c r="K669">
        <v>46241</v>
      </c>
      <c r="L669" t="s">
        <v>209</v>
      </c>
      <c r="M669">
        <v>1.0030637254901962</v>
      </c>
      <c r="N669">
        <v>0</v>
      </c>
      <c r="O669">
        <v>0</v>
      </c>
      <c r="P669">
        <v>0.25216410887473784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0.25216410887473784</v>
      </c>
      <c r="AA669">
        <v>0.74783589112526216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H669">
        <v>0</v>
      </c>
      <c r="BI669">
        <v>0</v>
      </c>
      <c r="BJ669">
        <v>3.9656714211329276</v>
      </c>
      <c r="BK669">
        <v>2.9656714211329276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1</v>
      </c>
    </row>
    <row r="670" spans="1:82" hidden="1" x14ac:dyDescent="0.25">
      <c r="A670" t="s">
        <v>128</v>
      </c>
      <c r="B670" t="s">
        <v>372</v>
      </c>
      <c r="C670" t="s">
        <v>72</v>
      </c>
      <c r="D670" s="12">
        <v>46241</v>
      </c>
      <c r="E670" t="s">
        <v>134</v>
      </c>
      <c r="F670" t="s">
        <v>73</v>
      </c>
      <c r="G670">
        <v>4.7783447624190067</v>
      </c>
      <c r="H670">
        <v>0</v>
      </c>
      <c r="I670">
        <v>10</v>
      </c>
      <c r="J670">
        <v>0</v>
      </c>
      <c r="K670">
        <v>46241</v>
      </c>
      <c r="L670" t="s">
        <v>209</v>
      </c>
      <c r="M670">
        <v>2.8823529411764706</v>
      </c>
      <c r="N670">
        <v>0</v>
      </c>
      <c r="O670">
        <v>0</v>
      </c>
      <c r="P670">
        <v>0.60321158988898438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0.60321158988898438</v>
      </c>
      <c r="AA670">
        <v>0.39678841011101562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H670">
        <v>0</v>
      </c>
      <c r="BI670">
        <v>0</v>
      </c>
      <c r="BJ670">
        <v>1.6577930808392471</v>
      </c>
      <c r="BK670">
        <v>0.65779308083924715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1</v>
      </c>
    </row>
    <row r="671" spans="1:82" hidden="1" x14ac:dyDescent="0.25">
      <c r="A671" t="s">
        <v>128</v>
      </c>
      <c r="B671" t="s">
        <v>502</v>
      </c>
      <c r="C671" t="s">
        <v>72</v>
      </c>
      <c r="D671" s="12">
        <v>46241</v>
      </c>
      <c r="E671" t="s">
        <v>134</v>
      </c>
      <c r="F671" t="s">
        <v>74</v>
      </c>
      <c r="G671">
        <v>2.7219304471256209</v>
      </c>
      <c r="H671">
        <v>0</v>
      </c>
      <c r="I671">
        <v>10</v>
      </c>
      <c r="J671">
        <v>0</v>
      </c>
      <c r="K671">
        <v>46241</v>
      </c>
      <c r="L671" t="s">
        <v>208</v>
      </c>
      <c r="M671">
        <v>2.0078431372549019</v>
      </c>
      <c r="N671">
        <v>0</v>
      </c>
      <c r="O671">
        <v>0</v>
      </c>
      <c r="P671">
        <v>0.73765409376099211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0.73765409376099211</v>
      </c>
      <c r="AA671">
        <v>0.26234590623900789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H671">
        <v>0</v>
      </c>
      <c r="BI671">
        <v>0</v>
      </c>
      <c r="BJ671">
        <v>1.3556489531582683</v>
      </c>
      <c r="BK671">
        <v>0.35564895315826828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1</v>
      </c>
    </row>
    <row r="672" spans="1:82" hidden="1" x14ac:dyDescent="0.25">
      <c r="A672" t="s">
        <v>128</v>
      </c>
      <c r="B672" t="s">
        <v>503</v>
      </c>
      <c r="C672" t="s">
        <v>72</v>
      </c>
      <c r="D672" s="12">
        <v>46241</v>
      </c>
      <c r="E672" t="s">
        <v>134</v>
      </c>
      <c r="F672" t="s">
        <v>74</v>
      </c>
      <c r="G672">
        <v>1.7587131367292226</v>
      </c>
      <c r="H672">
        <v>0</v>
      </c>
      <c r="I672">
        <v>10</v>
      </c>
      <c r="J672">
        <v>0</v>
      </c>
      <c r="K672">
        <v>46241</v>
      </c>
      <c r="L672" t="s">
        <v>208</v>
      </c>
      <c r="M672">
        <v>6.2745098039215685E-2</v>
      </c>
      <c r="N672">
        <v>0</v>
      </c>
      <c r="O672">
        <v>0</v>
      </c>
      <c r="P672">
        <v>3.5676709708273552E-2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3.5676709708273552E-2</v>
      </c>
      <c r="AA672">
        <v>0.96432329029172648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H672">
        <v>0</v>
      </c>
      <c r="BI672">
        <v>0</v>
      </c>
      <c r="BJ672">
        <v>28.029490616621985</v>
      </c>
      <c r="BK672">
        <v>27.029490616621985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</row>
    <row r="673" spans="1:82" hidden="1" x14ac:dyDescent="0.25">
      <c r="A673" t="s">
        <v>128</v>
      </c>
      <c r="B673" t="s">
        <v>372</v>
      </c>
      <c r="C673" t="s">
        <v>72</v>
      </c>
      <c r="D673" s="12">
        <v>46241</v>
      </c>
      <c r="E673" t="s">
        <v>134</v>
      </c>
      <c r="F673" t="s">
        <v>74</v>
      </c>
      <c r="G673">
        <v>1.2742252699784016</v>
      </c>
      <c r="H673">
        <v>0</v>
      </c>
      <c r="I673">
        <v>10</v>
      </c>
      <c r="J673">
        <v>0</v>
      </c>
      <c r="K673">
        <v>46241</v>
      </c>
      <c r="L673" t="s">
        <v>208</v>
      </c>
      <c r="M673">
        <v>0.94117647058823517</v>
      </c>
      <c r="N673">
        <v>0</v>
      </c>
      <c r="O673">
        <v>0</v>
      </c>
      <c r="P673">
        <v>0.73862643659875649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0.73862643659875649</v>
      </c>
      <c r="AA673">
        <v>0.26137356340124351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H673">
        <v>0</v>
      </c>
      <c r="BI673">
        <v>0</v>
      </c>
      <c r="BJ673">
        <v>1.3538643493520519</v>
      </c>
      <c r="BK673">
        <v>0.35386434935205191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 hidden="1" x14ac:dyDescent="0.25">
      <c r="A674" t="s">
        <v>128</v>
      </c>
      <c r="B674" t="s">
        <v>503</v>
      </c>
      <c r="C674" t="s">
        <v>72</v>
      </c>
      <c r="D674" s="12">
        <v>46241</v>
      </c>
      <c r="E674" t="s">
        <v>134</v>
      </c>
      <c r="F674" t="s">
        <v>75</v>
      </c>
      <c r="G674">
        <v>2.3277085633180885</v>
      </c>
      <c r="H674">
        <v>0</v>
      </c>
      <c r="I674">
        <v>10</v>
      </c>
      <c r="J674">
        <v>0</v>
      </c>
      <c r="K674">
        <v>46241</v>
      </c>
      <c r="L674" t="s">
        <v>207</v>
      </c>
      <c r="M674">
        <v>2.269896193771626</v>
      </c>
      <c r="N674">
        <v>0</v>
      </c>
      <c r="O674">
        <v>0</v>
      </c>
      <c r="P674">
        <v>0.97516339869281032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0.97516339869281032</v>
      </c>
      <c r="AA674">
        <v>2.4836601307189676E-2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H674">
        <v>0</v>
      </c>
      <c r="BI674">
        <v>0</v>
      </c>
      <c r="BJ674">
        <v>1.0254691689008044</v>
      </c>
      <c r="BK674">
        <v>2.5469168900804418E-2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1</v>
      </c>
    </row>
    <row r="675" spans="1:82" hidden="1" x14ac:dyDescent="0.25">
      <c r="A675" t="s">
        <v>128</v>
      </c>
      <c r="B675" t="s">
        <v>372</v>
      </c>
      <c r="C675" t="s">
        <v>72</v>
      </c>
      <c r="D675" s="12">
        <v>46241</v>
      </c>
      <c r="E675" t="s">
        <v>134</v>
      </c>
      <c r="F675" t="s">
        <v>75</v>
      </c>
      <c r="G675">
        <v>2.2486328293736499</v>
      </c>
      <c r="H675">
        <v>0</v>
      </c>
      <c r="I675">
        <v>10</v>
      </c>
      <c r="J675">
        <v>0</v>
      </c>
      <c r="K675">
        <v>46241</v>
      </c>
      <c r="L675" t="s">
        <v>207</v>
      </c>
      <c r="M675">
        <v>2.1038062283737027</v>
      </c>
      <c r="N675">
        <v>0</v>
      </c>
      <c r="O675">
        <v>0</v>
      </c>
      <c r="P675">
        <v>0.9355934863584251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0.9355934863584251</v>
      </c>
      <c r="AA675">
        <v>6.4406513641574903E-2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H675">
        <v>0</v>
      </c>
      <c r="BI675">
        <v>0</v>
      </c>
      <c r="BJ675">
        <v>1.0688402758042512</v>
      </c>
      <c r="BK675">
        <v>6.8840275804251227E-2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1</v>
      </c>
    </row>
    <row r="676" spans="1:82" hidden="1" x14ac:dyDescent="0.25">
      <c r="A676" t="s">
        <v>128</v>
      </c>
      <c r="B676" t="s">
        <v>502</v>
      </c>
      <c r="C676" t="s">
        <v>72</v>
      </c>
      <c r="D676" s="12">
        <v>46241</v>
      </c>
      <c r="E676" t="s">
        <v>134</v>
      </c>
      <c r="F676" t="s">
        <v>75</v>
      </c>
      <c r="G676">
        <v>2.4017033356990773</v>
      </c>
      <c r="H676">
        <v>0</v>
      </c>
      <c r="I676">
        <v>10</v>
      </c>
      <c r="J676">
        <v>0</v>
      </c>
      <c r="K676">
        <v>46241</v>
      </c>
      <c r="L676" t="s">
        <v>207</v>
      </c>
      <c r="M676">
        <v>1.9382929642445217</v>
      </c>
      <c r="N676">
        <v>0</v>
      </c>
      <c r="O676">
        <v>0</v>
      </c>
      <c r="P676">
        <v>0.80704928682639809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0.80704928682639809</v>
      </c>
      <c r="AA676">
        <v>0.19295071317360191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H676">
        <v>0</v>
      </c>
      <c r="BI676">
        <v>0</v>
      </c>
      <c r="BJ676">
        <v>1.2390816971443617</v>
      </c>
      <c r="BK676">
        <v>0.23908169714436167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1</v>
      </c>
    </row>
    <row r="677" spans="1:82" hidden="1" x14ac:dyDescent="0.25">
      <c r="A677" t="s">
        <v>128</v>
      </c>
      <c r="B677" t="s">
        <v>372</v>
      </c>
      <c r="C677" t="s">
        <v>72</v>
      </c>
      <c r="D677" s="12">
        <v>46242</v>
      </c>
      <c r="E677" t="s">
        <v>134</v>
      </c>
      <c r="F677" t="s">
        <v>73</v>
      </c>
      <c r="G677">
        <v>2.3891723812095034</v>
      </c>
      <c r="H677">
        <v>0</v>
      </c>
      <c r="I677">
        <v>10</v>
      </c>
      <c r="J677">
        <v>0</v>
      </c>
      <c r="K677">
        <v>46242</v>
      </c>
      <c r="L677" t="s">
        <v>206</v>
      </c>
      <c r="M677">
        <v>2.882352941176471</v>
      </c>
      <c r="N677">
        <v>0</v>
      </c>
      <c r="O677">
        <v>0</v>
      </c>
      <c r="P677">
        <v>1.206423179777969</v>
      </c>
      <c r="Q677">
        <v>0.20642317977796898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1</v>
      </c>
      <c r="BH677">
        <v>0</v>
      </c>
      <c r="BI677">
        <v>0</v>
      </c>
      <c r="BJ677">
        <v>0.82889654041962346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0.17110345958037654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0.82889654041962346</v>
      </c>
      <c r="CD677">
        <v>0</v>
      </c>
    </row>
    <row r="678" spans="1:82" hidden="1" x14ac:dyDescent="0.25">
      <c r="A678" t="s">
        <v>128</v>
      </c>
      <c r="B678" t="s">
        <v>502</v>
      </c>
      <c r="C678" t="s">
        <v>72</v>
      </c>
      <c r="D678" s="12">
        <v>46242</v>
      </c>
      <c r="E678" t="s">
        <v>134</v>
      </c>
      <c r="F678" t="s">
        <v>73</v>
      </c>
      <c r="G678">
        <v>0</v>
      </c>
      <c r="H678">
        <v>0</v>
      </c>
      <c r="I678">
        <v>10</v>
      </c>
      <c r="J678">
        <v>0</v>
      </c>
      <c r="K678">
        <v>46242</v>
      </c>
      <c r="L678" t="s">
        <v>206</v>
      </c>
      <c r="M678">
        <v>2.0000000000000004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D678">
        <v>0</v>
      </c>
    </row>
    <row r="679" spans="1:82" hidden="1" x14ac:dyDescent="0.25">
      <c r="A679" t="s">
        <v>128</v>
      </c>
      <c r="B679" t="s">
        <v>503</v>
      </c>
      <c r="C679" t="s">
        <v>72</v>
      </c>
      <c r="D679" s="12">
        <v>46242</v>
      </c>
      <c r="E679" t="s">
        <v>134</v>
      </c>
      <c r="F679" t="s">
        <v>73</v>
      </c>
      <c r="G679">
        <v>1.4014745308310994</v>
      </c>
      <c r="H679">
        <v>0</v>
      </c>
      <c r="I679">
        <v>10</v>
      </c>
      <c r="J679">
        <v>0</v>
      </c>
      <c r="K679">
        <v>46242</v>
      </c>
      <c r="L679" t="s">
        <v>206</v>
      </c>
      <c r="M679">
        <v>1.6470588235294119</v>
      </c>
      <c r="N679">
        <v>0</v>
      </c>
      <c r="O679">
        <v>0</v>
      </c>
      <c r="P679">
        <v>1.1752327903901876</v>
      </c>
      <c r="Q679">
        <v>0.17523279039018758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1</v>
      </c>
      <c r="BH679">
        <v>0</v>
      </c>
      <c r="BI679">
        <v>0</v>
      </c>
      <c r="BJ679">
        <v>0.85089525086173889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0.14910474913826111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0.85089525086173889</v>
      </c>
      <c r="CD679">
        <v>0</v>
      </c>
    </row>
    <row r="680" spans="1:82" hidden="1" x14ac:dyDescent="0.25">
      <c r="A680" t="s">
        <v>128</v>
      </c>
      <c r="B680" t="s">
        <v>372</v>
      </c>
      <c r="C680" t="s">
        <v>72</v>
      </c>
      <c r="D680" s="12">
        <v>46242</v>
      </c>
      <c r="E680" t="s">
        <v>134</v>
      </c>
      <c r="F680" t="s">
        <v>74</v>
      </c>
      <c r="G680">
        <v>1.2742252699784016</v>
      </c>
      <c r="H680">
        <v>0</v>
      </c>
      <c r="I680">
        <v>10</v>
      </c>
      <c r="J680">
        <v>0</v>
      </c>
      <c r="K680">
        <v>46242</v>
      </c>
      <c r="L680" t="s">
        <v>205</v>
      </c>
      <c r="M680">
        <v>0.94117647058823517</v>
      </c>
      <c r="N680">
        <v>0</v>
      </c>
      <c r="O680">
        <v>0</v>
      </c>
      <c r="P680">
        <v>0.73862643659875649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0.73862643659875649</v>
      </c>
      <c r="AA680">
        <v>0.26137356340124351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H680">
        <v>0</v>
      </c>
      <c r="BI680">
        <v>0</v>
      </c>
      <c r="BJ680">
        <v>1.3538643493520519</v>
      </c>
      <c r="BK680">
        <v>0.35386434935205191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 hidden="1" x14ac:dyDescent="0.25">
      <c r="A681" t="s">
        <v>128</v>
      </c>
      <c r="B681" t="s">
        <v>502</v>
      </c>
      <c r="C681" t="s">
        <v>72</v>
      </c>
      <c r="D681" s="12">
        <v>46242</v>
      </c>
      <c r="E681" t="s">
        <v>134</v>
      </c>
      <c r="F681" t="s">
        <v>74</v>
      </c>
      <c r="G681">
        <v>2.7219304471256209</v>
      </c>
      <c r="H681">
        <v>0</v>
      </c>
      <c r="I681">
        <v>10</v>
      </c>
      <c r="J681">
        <v>0</v>
      </c>
      <c r="K681">
        <v>46242</v>
      </c>
      <c r="L681" t="s">
        <v>205</v>
      </c>
      <c r="M681">
        <v>2.0078431372549019</v>
      </c>
      <c r="N681">
        <v>0</v>
      </c>
      <c r="O681">
        <v>0</v>
      </c>
      <c r="P681">
        <v>0.73765409376099211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0.73765409376099211</v>
      </c>
      <c r="AA681">
        <v>0.26234590623900789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H681">
        <v>0</v>
      </c>
      <c r="BI681">
        <v>0</v>
      </c>
      <c r="BJ681">
        <v>1.3556489531582683</v>
      </c>
      <c r="BK681">
        <v>0.35564895315826828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1</v>
      </c>
      <c r="CD681">
        <v>1</v>
      </c>
    </row>
    <row r="682" spans="1:82" hidden="1" x14ac:dyDescent="0.25">
      <c r="A682" t="s">
        <v>128</v>
      </c>
      <c r="B682" t="s">
        <v>503</v>
      </c>
      <c r="C682" t="s">
        <v>72</v>
      </c>
      <c r="D682" s="12">
        <v>46242</v>
      </c>
      <c r="E682" t="s">
        <v>134</v>
      </c>
      <c r="F682" t="s">
        <v>74</v>
      </c>
      <c r="G682">
        <v>1.7587131367292226</v>
      </c>
      <c r="H682">
        <v>0</v>
      </c>
      <c r="I682">
        <v>10</v>
      </c>
      <c r="J682">
        <v>0</v>
      </c>
      <c r="K682">
        <v>46242</v>
      </c>
      <c r="L682" t="s">
        <v>205</v>
      </c>
      <c r="M682">
        <v>6.2745098039215685E-2</v>
      </c>
      <c r="N682">
        <v>0</v>
      </c>
      <c r="O682">
        <v>0</v>
      </c>
      <c r="P682">
        <v>3.5676709708273552E-2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3.5676709708273552E-2</v>
      </c>
      <c r="AA682">
        <v>0.96432329029172648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H682">
        <v>0</v>
      </c>
      <c r="BI682">
        <v>0</v>
      </c>
      <c r="BJ682">
        <v>28.029490616621985</v>
      </c>
      <c r="BK682">
        <v>27.029490616621985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</row>
    <row r="683" spans="1:82" hidden="1" x14ac:dyDescent="0.25">
      <c r="A683" t="s">
        <v>128</v>
      </c>
      <c r="B683" t="s">
        <v>372</v>
      </c>
      <c r="C683" t="s">
        <v>72</v>
      </c>
      <c r="D683" s="12">
        <v>46242</v>
      </c>
      <c r="E683" t="s">
        <v>134</v>
      </c>
      <c r="F683" t="s">
        <v>75</v>
      </c>
      <c r="G683">
        <v>3.3729492440604751</v>
      </c>
      <c r="H683">
        <v>0</v>
      </c>
      <c r="I683">
        <v>10</v>
      </c>
      <c r="J683">
        <v>0</v>
      </c>
      <c r="K683">
        <v>46242</v>
      </c>
      <c r="L683" t="s">
        <v>204</v>
      </c>
      <c r="M683">
        <v>3.0449826989619369</v>
      </c>
      <c r="N683">
        <v>0</v>
      </c>
      <c r="O683">
        <v>0</v>
      </c>
      <c r="P683">
        <v>0.9027656447318132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0.9027656447318132</v>
      </c>
      <c r="AA683">
        <v>9.7234355268186801E-2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H683">
        <v>0</v>
      </c>
      <c r="BI683">
        <v>0</v>
      </c>
      <c r="BJ683">
        <v>1.1077071949244064</v>
      </c>
      <c r="BK683">
        <v>0.10770719492440639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1</v>
      </c>
    </row>
    <row r="684" spans="1:82" hidden="1" x14ac:dyDescent="0.25">
      <c r="A684" t="s">
        <v>128</v>
      </c>
      <c r="B684" t="s">
        <v>502</v>
      </c>
      <c r="C684" t="s">
        <v>72</v>
      </c>
      <c r="D684" s="12">
        <v>46242</v>
      </c>
      <c r="E684" t="s">
        <v>134</v>
      </c>
      <c r="F684" t="s">
        <v>75</v>
      </c>
      <c r="G684">
        <v>2.4017033356990773</v>
      </c>
      <c r="H684">
        <v>0</v>
      </c>
      <c r="I684">
        <v>10</v>
      </c>
      <c r="J684">
        <v>0</v>
      </c>
      <c r="K684">
        <v>46242</v>
      </c>
      <c r="L684" t="s">
        <v>204</v>
      </c>
      <c r="M684">
        <v>1.9930795847750868</v>
      </c>
      <c r="N684">
        <v>0</v>
      </c>
      <c r="O684">
        <v>0</v>
      </c>
      <c r="P684">
        <v>0.82986085548111621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0.82986085548111621</v>
      </c>
      <c r="AA684">
        <v>0.17013914451888379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</v>
      </c>
      <c r="BH684">
        <v>0</v>
      </c>
      <c r="BI684">
        <v>0</v>
      </c>
      <c r="BJ684">
        <v>1.2050212916962382</v>
      </c>
      <c r="BK684">
        <v>0.20502129169623817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1</v>
      </c>
      <c r="CD684">
        <v>1</v>
      </c>
    </row>
    <row r="685" spans="1:82" hidden="1" x14ac:dyDescent="0.25">
      <c r="A685" t="s">
        <v>128</v>
      </c>
      <c r="B685" t="s">
        <v>503</v>
      </c>
      <c r="C685" t="s">
        <v>72</v>
      </c>
      <c r="D685" s="12">
        <v>46242</v>
      </c>
      <c r="E685" t="s">
        <v>134</v>
      </c>
      <c r="F685" t="s">
        <v>75</v>
      </c>
      <c r="G685">
        <v>2.6380697050938342</v>
      </c>
      <c r="H685">
        <v>0</v>
      </c>
      <c r="I685">
        <v>10</v>
      </c>
      <c r="J685">
        <v>0</v>
      </c>
      <c r="K685">
        <v>46242</v>
      </c>
      <c r="L685" t="s">
        <v>204</v>
      </c>
      <c r="M685">
        <v>1.9238754325259515</v>
      </c>
      <c r="N685">
        <v>0</v>
      </c>
      <c r="O685">
        <v>0</v>
      </c>
      <c r="P685">
        <v>0.72927391903676808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0.72927391903676808</v>
      </c>
      <c r="AA685">
        <v>0.27072608096323192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H685">
        <v>0</v>
      </c>
      <c r="BI685">
        <v>0</v>
      </c>
      <c r="BJ685">
        <v>1.3712268790865434</v>
      </c>
      <c r="BK685">
        <v>0.37122687908654339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</v>
      </c>
      <c r="CD685">
        <v>1</v>
      </c>
    </row>
    <row r="686" spans="1:82" hidden="1" x14ac:dyDescent="0.25">
      <c r="A686" t="s">
        <v>128</v>
      </c>
      <c r="B686" t="s">
        <v>503</v>
      </c>
      <c r="C686" t="s">
        <v>72</v>
      </c>
      <c r="D686" s="12">
        <v>46243</v>
      </c>
      <c r="E686" t="s">
        <v>134</v>
      </c>
      <c r="F686" t="s">
        <v>73</v>
      </c>
      <c r="G686">
        <v>1.4014745308310996</v>
      </c>
      <c r="H686">
        <v>0</v>
      </c>
      <c r="I686">
        <v>10</v>
      </c>
      <c r="J686">
        <v>0</v>
      </c>
      <c r="K686">
        <v>46243</v>
      </c>
      <c r="L686" t="s">
        <v>203</v>
      </c>
      <c r="M686">
        <v>1.6911764705882355</v>
      </c>
      <c r="N686">
        <v>0</v>
      </c>
      <c r="O686">
        <v>0</v>
      </c>
      <c r="P686">
        <v>1.2067122401327817</v>
      </c>
      <c r="Q686">
        <v>0.20671224013278167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1</v>
      </c>
      <c r="BH686">
        <v>0</v>
      </c>
      <c r="BI686">
        <v>0</v>
      </c>
      <c r="BJ686">
        <v>0.82869798344795442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0.17130201655204558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0.82869798344795442</v>
      </c>
      <c r="CD686">
        <v>0</v>
      </c>
    </row>
    <row r="687" spans="1:82" hidden="1" x14ac:dyDescent="0.25">
      <c r="A687" t="s">
        <v>128</v>
      </c>
      <c r="B687" t="s">
        <v>502</v>
      </c>
      <c r="C687" t="s">
        <v>72</v>
      </c>
      <c r="D687" s="12">
        <v>46243</v>
      </c>
      <c r="E687" t="s">
        <v>134</v>
      </c>
      <c r="F687" t="s">
        <v>73</v>
      </c>
      <c r="G687">
        <v>0</v>
      </c>
      <c r="H687">
        <v>0</v>
      </c>
      <c r="I687">
        <v>10</v>
      </c>
      <c r="J687">
        <v>0</v>
      </c>
      <c r="K687">
        <v>46243</v>
      </c>
      <c r="L687" t="s">
        <v>203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D687">
        <v>0</v>
      </c>
    </row>
    <row r="688" spans="1:82" hidden="1" x14ac:dyDescent="0.25">
      <c r="A688" t="s">
        <v>128</v>
      </c>
      <c r="B688" t="s">
        <v>372</v>
      </c>
      <c r="C688" t="s">
        <v>72</v>
      </c>
      <c r="D688" s="12">
        <v>46243</v>
      </c>
      <c r="E688" t="s">
        <v>134</v>
      </c>
      <c r="F688" t="s">
        <v>73</v>
      </c>
      <c r="G688">
        <v>3.5134887958963272</v>
      </c>
      <c r="H688">
        <v>0</v>
      </c>
      <c r="I688">
        <v>10</v>
      </c>
      <c r="J688">
        <v>0</v>
      </c>
      <c r="K688">
        <v>46243</v>
      </c>
      <c r="L688" t="s">
        <v>203</v>
      </c>
      <c r="M688">
        <v>2.882352941176471</v>
      </c>
      <c r="N688">
        <v>0</v>
      </c>
      <c r="O688">
        <v>0</v>
      </c>
      <c r="P688">
        <v>0.82036776224901919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0.82036776224901919</v>
      </c>
      <c r="AA688">
        <v>0.17963223775098081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</v>
      </c>
      <c r="BH688">
        <v>0</v>
      </c>
      <c r="BI688">
        <v>0</v>
      </c>
      <c r="BJ688">
        <v>1.218965500617093</v>
      </c>
      <c r="BK688">
        <v>0.21896550061709297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1</v>
      </c>
    </row>
    <row r="689" spans="1:82" hidden="1" x14ac:dyDescent="0.25">
      <c r="A689" t="s">
        <v>128</v>
      </c>
      <c r="B689" t="s">
        <v>372</v>
      </c>
      <c r="C689" t="s">
        <v>72</v>
      </c>
      <c r="D689" s="12">
        <v>46243</v>
      </c>
      <c r="E689" t="s">
        <v>134</v>
      </c>
      <c r="F689" t="s">
        <v>74</v>
      </c>
      <c r="G689">
        <v>1.2742252699784016</v>
      </c>
      <c r="H689">
        <v>0</v>
      </c>
      <c r="I689">
        <v>10</v>
      </c>
      <c r="J689">
        <v>0</v>
      </c>
      <c r="K689">
        <v>46243</v>
      </c>
      <c r="L689" t="s">
        <v>211</v>
      </c>
      <c r="M689">
        <v>0.94117647058823517</v>
      </c>
      <c r="N689">
        <v>0</v>
      </c>
      <c r="O689">
        <v>0</v>
      </c>
      <c r="P689">
        <v>0.73862643659875649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0.73862643659875649</v>
      </c>
      <c r="AA689">
        <v>0.26137356340124351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H689">
        <v>0</v>
      </c>
      <c r="BI689">
        <v>0</v>
      </c>
      <c r="BJ689">
        <v>1.3538643493520519</v>
      </c>
      <c r="BK689">
        <v>0.35386434935205191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</row>
    <row r="690" spans="1:82" hidden="1" x14ac:dyDescent="0.25">
      <c r="A690" t="s">
        <v>128</v>
      </c>
      <c r="B690" t="s">
        <v>502</v>
      </c>
      <c r="C690" t="s">
        <v>72</v>
      </c>
      <c r="D690" s="12">
        <v>46243</v>
      </c>
      <c r="E690" t="s">
        <v>134</v>
      </c>
      <c r="F690" t="s">
        <v>74</v>
      </c>
      <c r="G690">
        <v>2.7219304471256209</v>
      </c>
      <c r="H690">
        <v>0</v>
      </c>
      <c r="I690">
        <v>10</v>
      </c>
      <c r="J690">
        <v>0</v>
      </c>
      <c r="K690">
        <v>46243</v>
      </c>
      <c r="L690" t="s">
        <v>211</v>
      </c>
      <c r="M690">
        <v>2.0078431372549019</v>
      </c>
      <c r="N690">
        <v>0</v>
      </c>
      <c r="O690">
        <v>0</v>
      </c>
      <c r="P690">
        <v>0.73765409376099211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0.73765409376099211</v>
      </c>
      <c r="AA690">
        <v>0.26234590623900789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</v>
      </c>
      <c r="BH690">
        <v>0</v>
      </c>
      <c r="BI690">
        <v>0</v>
      </c>
      <c r="BJ690">
        <v>1.3556489531582683</v>
      </c>
      <c r="BK690">
        <v>0.35564895315826828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1</v>
      </c>
      <c r="CD690">
        <v>1</v>
      </c>
    </row>
    <row r="691" spans="1:82" hidden="1" x14ac:dyDescent="0.25">
      <c r="A691" t="s">
        <v>128</v>
      </c>
      <c r="B691" t="s">
        <v>503</v>
      </c>
      <c r="C691" t="s">
        <v>72</v>
      </c>
      <c r="D691" s="12">
        <v>46243</v>
      </c>
      <c r="E691" t="s">
        <v>134</v>
      </c>
      <c r="F691" t="s">
        <v>74</v>
      </c>
      <c r="G691">
        <v>1.7587131367292226</v>
      </c>
      <c r="H691">
        <v>0</v>
      </c>
      <c r="I691">
        <v>10</v>
      </c>
      <c r="J691">
        <v>0</v>
      </c>
      <c r="K691">
        <v>46243</v>
      </c>
      <c r="L691" t="s">
        <v>211</v>
      </c>
      <c r="M691">
        <v>6.2745098039215685E-2</v>
      </c>
      <c r="N691">
        <v>0</v>
      </c>
      <c r="O691">
        <v>0</v>
      </c>
      <c r="P691">
        <v>3.5676709708273552E-2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3.5676709708273552E-2</v>
      </c>
      <c r="AA691">
        <v>0.96432329029172648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H691">
        <v>0</v>
      </c>
      <c r="BI691">
        <v>0</v>
      </c>
      <c r="BJ691">
        <v>28.029490616621985</v>
      </c>
      <c r="BK691">
        <v>27.029490616621985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</row>
    <row r="692" spans="1:82" hidden="1" x14ac:dyDescent="0.25">
      <c r="A692" t="s">
        <v>128</v>
      </c>
      <c r="B692" t="s">
        <v>502</v>
      </c>
      <c r="C692" t="s">
        <v>72</v>
      </c>
      <c r="D692" s="12">
        <v>46243</v>
      </c>
      <c r="E692" t="s">
        <v>134</v>
      </c>
      <c r="F692" t="s">
        <v>75</v>
      </c>
      <c r="G692">
        <v>2.4017033356990769</v>
      </c>
      <c r="H692">
        <v>0</v>
      </c>
      <c r="I692">
        <v>10</v>
      </c>
      <c r="J692">
        <v>0</v>
      </c>
      <c r="K692">
        <v>46243</v>
      </c>
      <c r="L692" t="s">
        <v>202</v>
      </c>
      <c r="M692">
        <v>1.9930795847750864</v>
      </c>
      <c r="N692">
        <v>0</v>
      </c>
      <c r="O692">
        <v>0</v>
      </c>
      <c r="P692">
        <v>0.82986085548111621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0.82986085548111621</v>
      </c>
      <c r="AA692">
        <v>0.17013914451888379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H692">
        <v>0</v>
      </c>
      <c r="BI692">
        <v>0</v>
      </c>
      <c r="BJ692">
        <v>1.2050212916962384</v>
      </c>
      <c r="BK692">
        <v>0.20502129169623839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1</v>
      </c>
      <c r="CD692">
        <v>1</v>
      </c>
    </row>
    <row r="693" spans="1:82" hidden="1" x14ac:dyDescent="0.25">
      <c r="A693" t="s">
        <v>128</v>
      </c>
      <c r="B693" t="s">
        <v>503</v>
      </c>
      <c r="C693" t="s">
        <v>72</v>
      </c>
      <c r="D693" s="12">
        <v>46243</v>
      </c>
      <c r="E693" t="s">
        <v>134</v>
      </c>
      <c r="F693" t="s">
        <v>75</v>
      </c>
      <c r="G693">
        <v>2.6380697050938342</v>
      </c>
      <c r="H693">
        <v>0</v>
      </c>
      <c r="I693">
        <v>10</v>
      </c>
      <c r="J693">
        <v>0</v>
      </c>
      <c r="K693">
        <v>46243</v>
      </c>
      <c r="L693" t="s">
        <v>202</v>
      </c>
      <c r="M693">
        <v>1.882352941176471</v>
      </c>
      <c r="N693">
        <v>0</v>
      </c>
      <c r="O693">
        <v>0</v>
      </c>
      <c r="P693">
        <v>0.71353419416547115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0.71353419416547115</v>
      </c>
      <c r="AA693">
        <v>0.28646580583452885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1</v>
      </c>
      <c r="BH693">
        <v>0</v>
      </c>
      <c r="BI693">
        <v>0</v>
      </c>
      <c r="BJ693">
        <v>1.4014745308310992</v>
      </c>
      <c r="BK693">
        <v>0.40147453083109919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1</v>
      </c>
    </row>
    <row r="694" spans="1:82" hidden="1" x14ac:dyDescent="0.25">
      <c r="A694" t="s">
        <v>128</v>
      </c>
      <c r="B694" t="s">
        <v>372</v>
      </c>
      <c r="C694" t="s">
        <v>72</v>
      </c>
      <c r="D694" s="12">
        <v>46243</v>
      </c>
      <c r="E694" t="s">
        <v>134</v>
      </c>
      <c r="F694" t="s">
        <v>75</v>
      </c>
      <c r="G694">
        <v>3.3729492440604751</v>
      </c>
      <c r="H694">
        <v>0</v>
      </c>
      <c r="I694">
        <v>10</v>
      </c>
      <c r="J694">
        <v>0</v>
      </c>
      <c r="K694">
        <v>46243</v>
      </c>
      <c r="L694" t="s">
        <v>202</v>
      </c>
      <c r="M694">
        <v>3.0449826989619369</v>
      </c>
      <c r="N694">
        <v>0</v>
      </c>
      <c r="O694">
        <v>0</v>
      </c>
      <c r="P694">
        <v>0.9027656447318132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0.9027656447318132</v>
      </c>
      <c r="AA694">
        <v>9.7234355268186801E-2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H694">
        <v>0</v>
      </c>
      <c r="BI694">
        <v>0</v>
      </c>
      <c r="BJ694">
        <v>1.1077071949244064</v>
      </c>
      <c r="BK694">
        <v>0.10770719492440639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1</v>
      </c>
    </row>
    <row r="695" spans="1:82" hidden="1" x14ac:dyDescent="0.25">
      <c r="A695" t="s">
        <v>128</v>
      </c>
      <c r="B695" t="s">
        <v>372</v>
      </c>
      <c r="C695" t="s">
        <v>72</v>
      </c>
      <c r="D695" s="12">
        <v>46244</v>
      </c>
      <c r="E695" t="s">
        <v>134</v>
      </c>
      <c r="F695" t="s">
        <v>73</v>
      </c>
      <c r="G695">
        <v>3.5134887958963272</v>
      </c>
      <c r="H695">
        <v>0</v>
      </c>
      <c r="I695">
        <v>10</v>
      </c>
      <c r="J695">
        <v>0</v>
      </c>
      <c r="K695">
        <v>46244</v>
      </c>
      <c r="L695" t="s">
        <v>200</v>
      </c>
      <c r="M695">
        <v>2.6443014705882351</v>
      </c>
      <c r="N695">
        <v>0</v>
      </c>
      <c r="O695">
        <v>0</v>
      </c>
      <c r="P695">
        <v>0.75261417474184555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0.75261417474184555</v>
      </c>
      <c r="AA695">
        <v>0.24738582525815445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H695">
        <v>0</v>
      </c>
      <c r="BI695">
        <v>0</v>
      </c>
      <c r="BJ695">
        <v>1.3287020542006271</v>
      </c>
      <c r="BK695">
        <v>0.32870205420062715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1</v>
      </c>
    </row>
    <row r="696" spans="1:82" hidden="1" x14ac:dyDescent="0.25">
      <c r="A696" t="s">
        <v>128</v>
      </c>
      <c r="B696" t="s">
        <v>503</v>
      </c>
      <c r="C696" t="s">
        <v>72</v>
      </c>
      <c r="D696" s="12">
        <v>46244</v>
      </c>
      <c r="E696" t="s">
        <v>134</v>
      </c>
      <c r="F696" t="s">
        <v>73</v>
      </c>
      <c r="G696">
        <v>1.0717158176943695</v>
      </c>
      <c r="H696">
        <v>0</v>
      </c>
      <c r="I696">
        <v>10</v>
      </c>
      <c r="J696">
        <v>0</v>
      </c>
      <c r="K696">
        <v>46244</v>
      </c>
      <c r="L696" t="s">
        <v>200</v>
      </c>
      <c r="M696">
        <v>3.2205882352941169</v>
      </c>
      <c r="N696">
        <v>0</v>
      </c>
      <c r="O696">
        <v>0</v>
      </c>
      <c r="P696">
        <v>3.0050767023507343</v>
      </c>
      <c r="Q696">
        <v>2.0050767023507343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1</v>
      </c>
      <c r="BH696">
        <v>0</v>
      </c>
      <c r="BI696">
        <v>0</v>
      </c>
      <c r="BJ696">
        <v>0.33277020823386827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0.66722979176613173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0.33277020823386827</v>
      </c>
      <c r="CD696">
        <v>0</v>
      </c>
    </row>
    <row r="697" spans="1:82" hidden="1" x14ac:dyDescent="0.25">
      <c r="A697" t="s">
        <v>128</v>
      </c>
      <c r="B697" t="s">
        <v>502</v>
      </c>
      <c r="C697" t="s">
        <v>72</v>
      </c>
      <c r="D697" s="12">
        <v>46244</v>
      </c>
      <c r="E697" t="s">
        <v>134</v>
      </c>
      <c r="F697" t="s">
        <v>73</v>
      </c>
      <c r="G697">
        <v>2.6268630234208659</v>
      </c>
      <c r="H697">
        <v>0</v>
      </c>
      <c r="I697">
        <v>10</v>
      </c>
      <c r="J697">
        <v>0</v>
      </c>
      <c r="K697">
        <v>46244</v>
      </c>
      <c r="L697" t="s">
        <v>200</v>
      </c>
      <c r="M697">
        <v>2.003063725490196</v>
      </c>
      <c r="N697">
        <v>0</v>
      </c>
      <c r="O697">
        <v>0</v>
      </c>
      <c r="P697">
        <v>0.76253070968340053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0.76253070968340053</v>
      </c>
      <c r="AA697">
        <v>0.23746929031659947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H697">
        <v>0</v>
      </c>
      <c r="BI697">
        <v>0</v>
      </c>
      <c r="BJ697">
        <v>1.3114225922982115</v>
      </c>
      <c r="BK697">
        <v>0.31142259229821145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1</v>
      </c>
    </row>
    <row r="698" spans="1:82" hidden="1" x14ac:dyDescent="0.25">
      <c r="A698" t="s">
        <v>128</v>
      </c>
      <c r="B698" t="s">
        <v>503</v>
      </c>
      <c r="C698" t="s">
        <v>72</v>
      </c>
      <c r="D698" s="12">
        <v>46244</v>
      </c>
      <c r="E698" t="s">
        <v>134</v>
      </c>
      <c r="F698" t="s">
        <v>74</v>
      </c>
      <c r="G698">
        <v>1.7587131367292226</v>
      </c>
      <c r="H698">
        <v>0</v>
      </c>
      <c r="I698">
        <v>10</v>
      </c>
      <c r="J698">
        <v>0</v>
      </c>
      <c r="K698">
        <v>46244</v>
      </c>
      <c r="L698" t="s">
        <v>199</v>
      </c>
      <c r="M698">
        <v>6.2745098039215685E-2</v>
      </c>
      <c r="N698">
        <v>0</v>
      </c>
      <c r="O698">
        <v>0</v>
      </c>
      <c r="P698">
        <v>3.5676709708273552E-2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3.5676709708273552E-2</v>
      </c>
      <c r="AA698">
        <v>0.96432329029172648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H698">
        <v>0</v>
      </c>
      <c r="BI698">
        <v>0</v>
      </c>
      <c r="BJ698">
        <v>28.029490616621985</v>
      </c>
      <c r="BK698">
        <v>27.029490616621985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</row>
    <row r="699" spans="1:82" hidden="1" x14ac:dyDescent="0.25">
      <c r="A699" t="s">
        <v>128</v>
      </c>
      <c r="B699" t="s">
        <v>502</v>
      </c>
      <c r="C699" t="s">
        <v>72</v>
      </c>
      <c r="D699" s="12">
        <v>46244</v>
      </c>
      <c r="E699" t="s">
        <v>134</v>
      </c>
      <c r="F699" t="s">
        <v>74</v>
      </c>
      <c r="G699">
        <v>2.7219304471256209</v>
      </c>
      <c r="H699">
        <v>0</v>
      </c>
      <c r="I699">
        <v>10</v>
      </c>
      <c r="J699">
        <v>0</v>
      </c>
      <c r="K699">
        <v>46244</v>
      </c>
      <c r="L699" t="s">
        <v>199</v>
      </c>
      <c r="M699">
        <v>2.0078431372549019</v>
      </c>
      <c r="N699">
        <v>0</v>
      </c>
      <c r="O699">
        <v>0</v>
      </c>
      <c r="P699">
        <v>0.73765409376099211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0.73765409376099211</v>
      </c>
      <c r="AA699">
        <v>0.26234590623900789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H699">
        <v>0</v>
      </c>
      <c r="BI699">
        <v>0</v>
      </c>
      <c r="BJ699">
        <v>1.3556489531582683</v>
      </c>
      <c r="BK699">
        <v>0.35564895315826828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1</v>
      </c>
      <c r="CD699">
        <v>1</v>
      </c>
    </row>
    <row r="700" spans="1:82" hidden="1" x14ac:dyDescent="0.25">
      <c r="A700" t="s">
        <v>128</v>
      </c>
      <c r="B700" t="s">
        <v>372</v>
      </c>
      <c r="C700" t="s">
        <v>72</v>
      </c>
      <c r="D700" s="12">
        <v>46244</v>
      </c>
      <c r="E700" t="s">
        <v>134</v>
      </c>
      <c r="F700" t="s">
        <v>74</v>
      </c>
      <c r="G700">
        <v>1.2742252699784016</v>
      </c>
      <c r="H700">
        <v>0</v>
      </c>
      <c r="I700">
        <v>10</v>
      </c>
      <c r="J700">
        <v>0</v>
      </c>
      <c r="K700">
        <v>46244</v>
      </c>
      <c r="L700" t="s">
        <v>199</v>
      </c>
      <c r="M700">
        <v>0.94117647058823517</v>
      </c>
      <c r="N700">
        <v>0</v>
      </c>
      <c r="O700">
        <v>0</v>
      </c>
      <c r="P700">
        <v>0.73862643659875649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0.73862643659875649</v>
      </c>
      <c r="AA700">
        <v>0.26137356340124351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H700">
        <v>0</v>
      </c>
      <c r="BI700">
        <v>0</v>
      </c>
      <c r="BJ700">
        <v>1.3538643493520519</v>
      </c>
      <c r="BK700">
        <v>0.35386434935205191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 hidden="1" x14ac:dyDescent="0.25">
      <c r="A701" t="s">
        <v>128</v>
      </c>
      <c r="B701" t="s">
        <v>502</v>
      </c>
      <c r="C701" t="s">
        <v>72</v>
      </c>
      <c r="D701" s="12">
        <v>46244</v>
      </c>
      <c r="E701" t="s">
        <v>134</v>
      </c>
      <c r="F701" t="s">
        <v>75</v>
      </c>
      <c r="G701">
        <v>2.4723416691019917</v>
      </c>
      <c r="H701">
        <v>0</v>
      </c>
      <c r="I701">
        <v>10</v>
      </c>
      <c r="J701">
        <v>0</v>
      </c>
      <c r="K701">
        <v>46244</v>
      </c>
      <c r="L701" t="s">
        <v>198</v>
      </c>
      <c r="M701">
        <v>2.049019607843138</v>
      </c>
      <c r="N701">
        <v>0</v>
      </c>
      <c r="O701">
        <v>0</v>
      </c>
      <c r="P701">
        <v>0.82877687718113269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0.82877687718113269</v>
      </c>
      <c r="AA701">
        <v>0.17122312281886731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H701">
        <v>0</v>
      </c>
      <c r="BI701">
        <v>0</v>
      </c>
      <c r="BJ701">
        <v>1.206597369609584</v>
      </c>
      <c r="BK701">
        <v>0.20659736960958397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1</v>
      </c>
    </row>
    <row r="702" spans="1:82" hidden="1" x14ac:dyDescent="0.25">
      <c r="A702" t="s">
        <v>128</v>
      </c>
      <c r="B702" t="s">
        <v>503</v>
      </c>
      <c r="C702" t="s">
        <v>72</v>
      </c>
      <c r="D702" s="12">
        <v>46244</v>
      </c>
      <c r="E702" t="s">
        <v>134</v>
      </c>
      <c r="F702" t="s">
        <v>75</v>
      </c>
      <c r="G702">
        <v>2.6380697050938342</v>
      </c>
      <c r="H702">
        <v>0</v>
      </c>
      <c r="I702">
        <v>10</v>
      </c>
      <c r="J702">
        <v>0</v>
      </c>
      <c r="K702">
        <v>46244</v>
      </c>
      <c r="L702" t="s">
        <v>198</v>
      </c>
      <c r="M702">
        <v>1.3840830449826986</v>
      </c>
      <c r="N702">
        <v>0</v>
      </c>
      <c r="O702">
        <v>0</v>
      </c>
      <c r="P702">
        <v>0.52465749570990494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0.52465749570990494</v>
      </c>
      <c r="AA702">
        <v>0.47534250429009506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H702">
        <v>0</v>
      </c>
      <c r="BI702">
        <v>0</v>
      </c>
      <c r="BJ702">
        <v>1.9060053619302957</v>
      </c>
      <c r="BK702">
        <v>0.90600536193029568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</row>
    <row r="703" spans="1:82" hidden="1" x14ac:dyDescent="0.25">
      <c r="A703" t="s">
        <v>128</v>
      </c>
      <c r="B703" t="s">
        <v>372</v>
      </c>
      <c r="C703" t="s">
        <v>72</v>
      </c>
      <c r="D703" s="12">
        <v>46244</v>
      </c>
      <c r="E703" t="s">
        <v>134</v>
      </c>
      <c r="F703" t="s">
        <v>75</v>
      </c>
      <c r="G703">
        <v>3.3729492440604751</v>
      </c>
      <c r="H703">
        <v>0</v>
      </c>
      <c r="I703">
        <v>10</v>
      </c>
      <c r="J703">
        <v>0</v>
      </c>
      <c r="K703">
        <v>46244</v>
      </c>
      <c r="L703" t="s">
        <v>198</v>
      </c>
      <c r="M703">
        <v>3.2102076124567458</v>
      </c>
      <c r="N703">
        <v>0</v>
      </c>
      <c r="O703">
        <v>0</v>
      </c>
      <c r="P703">
        <v>0.95175093965902224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0.95175093965902224</v>
      </c>
      <c r="AA703">
        <v>4.8249060340977756E-2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H703">
        <v>0</v>
      </c>
      <c r="BI703">
        <v>0</v>
      </c>
      <c r="BJ703">
        <v>1.0506950488100004</v>
      </c>
      <c r="BK703">
        <v>5.069504881000042E-2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1</v>
      </c>
    </row>
    <row r="704" spans="1:82" hidden="1" x14ac:dyDescent="0.25">
      <c r="A704" t="s">
        <v>128</v>
      </c>
      <c r="B704" t="s">
        <v>372</v>
      </c>
      <c r="C704" t="s">
        <v>72</v>
      </c>
      <c r="D704" s="12">
        <v>46245</v>
      </c>
      <c r="E704" t="s">
        <v>134</v>
      </c>
      <c r="F704" t="s">
        <v>73</v>
      </c>
      <c r="G704">
        <v>7.0269775917926545</v>
      </c>
      <c r="H704">
        <v>0</v>
      </c>
      <c r="I704">
        <v>10</v>
      </c>
      <c r="J704">
        <v>0</v>
      </c>
      <c r="K704">
        <v>46245</v>
      </c>
      <c r="L704" t="s">
        <v>197</v>
      </c>
      <c r="M704">
        <v>5.2297794117647047</v>
      </c>
      <c r="N704">
        <v>0</v>
      </c>
      <c r="O704">
        <v>0</v>
      </c>
      <c r="P704">
        <v>0.74424307512705956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0.74424307512705956</v>
      </c>
      <c r="AA704">
        <v>0.25575692487294044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</v>
      </c>
      <c r="BH704">
        <v>0</v>
      </c>
      <c r="BI704">
        <v>0</v>
      </c>
      <c r="BJ704">
        <v>1.3436470333691406</v>
      </c>
      <c r="BK704">
        <v>0.3436470333691406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1</v>
      </c>
    </row>
    <row r="705" spans="1:82" hidden="1" x14ac:dyDescent="0.25">
      <c r="A705" t="s">
        <v>128</v>
      </c>
      <c r="B705" t="s">
        <v>503</v>
      </c>
      <c r="C705" t="s">
        <v>72</v>
      </c>
      <c r="D705" s="12">
        <v>46245</v>
      </c>
      <c r="E705" t="s">
        <v>134</v>
      </c>
      <c r="F705" t="s">
        <v>73</v>
      </c>
      <c r="G705">
        <v>1.4014745308310994</v>
      </c>
      <c r="H705">
        <v>0</v>
      </c>
      <c r="I705">
        <v>10</v>
      </c>
      <c r="J705">
        <v>0</v>
      </c>
      <c r="K705">
        <v>46245</v>
      </c>
      <c r="L705" t="s">
        <v>197</v>
      </c>
      <c r="M705">
        <v>3.1470588235294112</v>
      </c>
      <c r="N705">
        <v>0</v>
      </c>
      <c r="O705">
        <v>0</v>
      </c>
      <c r="P705">
        <v>2.2455340816383935</v>
      </c>
      <c r="Q705">
        <v>1.2455340816383935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1</v>
      </c>
      <c r="BH705">
        <v>0</v>
      </c>
      <c r="BI705">
        <v>0</v>
      </c>
      <c r="BJ705">
        <v>0.44532835559119055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0.55467164440880945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0.44532835559119055</v>
      </c>
      <c r="CD705">
        <v>0</v>
      </c>
    </row>
    <row r="706" spans="1:82" hidden="1" x14ac:dyDescent="0.25">
      <c r="A706" t="s">
        <v>128</v>
      </c>
      <c r="B706" t="s">
        <v>502</v>
      </c>
      <c r="C706" t="s">
        <v>72</v>
      </c>
      <c r="D706" s="12">
        <v>46245</v>
      </c>
      <c r="E706" t="s">
        <v>134</v>
      </c>
      <c r="F706" t="s">
        <v>73</v>
      </c>
      <c r="G706">
        <v>3.9778211497515952</v>
      </c>
      <c r="H706">
        <v>0</v>
      </c>
      <c r="I706">
        <v>10</v>
      </c>
      <c r="J706">
        <v>0</v>
      </c>
      <c r="K706">
        <v>46245</v>
      </c>
      <c r="L706" t="s">
        <v>197</v>
      </c>
      <c r="M706">
        <v>1.1207107843137254</v>
      </c>
      <c r="N706">
        <v>0</v>
      </c>
      <c r="O706">
        <v>0</v>
      </c>
      <c r="P706">
        <v>0.2817398626340229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0.2817398626340229</v>
      </c>
      <c r="AA706">
        <v>0.71826013736597716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  <c r="BH706">
        <v>0</v>
      </c>
      <c r="BI706">
        <v>0</v>
      </c>
      <c r="BJ706">
        <v>3.5493734917411723</v>
      </c>
      <c r="BK706">
        <v>2.5493734917411723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1</v>
      </c>
    </row>
    <row r="707" spans="1:82" hidden="1" x14ac:dyDescent="0.25">
      <c r="A707" t="s">
        <v>128</v>
      </c>
      <c r="B707" t="s">
        <v>502</v>
      </c>
      <c r="C707" t="s">
        <v>72</v>
      </c>
      <c r="D707" s="12">
        <v>46245</v>
      </c>
      <c r="E707" t="s">
        <v>134</v>
      </c>
      <c r="F707" t="s">
        <v>74</v>
      </c>
      <c r="G707">
        <v>2.7219304471256209</v>
      </c>
      <c r="H707">
        <v>0</v>
      </c>
      <c r="I707">
        <v>10</v>
      </c>
      <c r="J707">
        <v>0</v>
      </c>
      <c r="K707">
        <v>46245</v>
      </c>
      <c r="L707" t="s">
        <v>196</v>
      </c>
      <c r="M707">
        <v>2.0078431372549019</v>
      </c>
      <c r="N707">
        <v>0</v>
      </c>
      <c r="O707">
        <v>0</v>
      </c>
      <c r="P707">
        <v>0.73765409376099211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0.73765409376099211</v>
      </c>
      <c r="AA707">
        <v>0.26234590623900789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H707">
        <v>0</v>
      </c>
      <c r="BI707">
        <v>0</v>
      </c>
      <c r="BJ707">
        <v>1.3556489531582683</v>
      </c>
      <c r="BK707">
        <v>0.35564895315826828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1</v>
      </c>
    </row>
    <row r="708" spans="1:82" hidden="1" x14ac:dyDescent="0.25">
      <c r="A708" t="s">
        <v>128</v>
      </c>
      <c r="B708" t="s">
        <v>503</v>
      </c>
      <c r="C708" t="s">
        <v>72</v>
      </c>
      <c r="D708" s="12">
        <v>46245</v>
      </c>
      <c r="E708" t="s">
        <v>134</v>
      </c>
      <c r="F708" t="s">
        <v>74</v>
      </c>
      <c r="G708">
        <v>1.7587131367292226</v>
      </c>
      <c r="H708">
        <v>0</v>
      </c>
      <c r="I708">
        <v>10</v>
      </c>
      <c r="J708">
        <v>0</v>
      </c>
      <c r="K708">
        <v>46245</v>
      </c>
      <c r="L708" t="s">
        <v>196</v>
      </c>
      <c r="M708">
        <v>6.2745098039215685E-2</v>
      </c>
      <c r="N708">
        <v>0</v>
      </c>
      <c r="O708">
        <v>0</v>
      </c>
      <c r="P708">
        <v>3.5676709708273552E-2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3.5676709708273552E-2</v>
      </c>
      <c r="AA708">
        <v>0.96432329029172648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H708">
        <v>0</v>
      </c>
      <c r="BI708">
        <v>0</v>
      </c>
      <c r="BJ708">
        <v>28.029490616621985</v>
      </c>
      <c r="BK708">
        <v>27.029490616621985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</row>
    <row r="709" spans="1:82" hidden="1" x14ac:dyDescent="0.25">
      <c r="A709" t="s">
        <v>128</v>
      </c>
      <c r="B709" t="s">
        <v>372</v>
      </c>
      <c r="C709" t="s">
        <v>72</v>
      </c>
      <c r="D709" s="12">
        <v>46245</v>
      </c>
      <c r="E709" t="s">
        <v>134</v>
      </c>
      <c r="F709" t="s">
        <v>74</v>
      </c>
      <c r="G709">
        <v>1.2742252699784016</v>
      </c>
      <c r="H709">
        <v>0</v>
      </c>
      <c r="I709">
        <v>10</v>
      </c>
      <c r="J709">
        <v>0</v>
      </c>
      <c r="K709">
        <v>46245</v>
      </c>
      <c r="L709" t="s">
        <v>196</v>
      </c>
      <c r="M709">
        <v>0.94117647058823517</v>
      </c>
      <c r="N709">
        <v>0</v>
      </c>
      <c r="O709">
        <v>0</v>
      </c>
      <c r="P709">
        <v>0.73862643659875649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0.73862643659875649</v>
      </c>
      <c r="AA709">
        <v>0.26137356340124351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H709">
        <v>0</v>
      </c>
      <c r="BI709">
        <v>0</v>
      </c>
      <c r="BJ709">
        <v>1.3538643493520519</v>
      </c>
      <c r="BK709">
        <v>0.35386434935205191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 hidden="1" x14ac:dyDescent="0.25">
      <c r="A710" t="s">
        <v>128</v>
      </c>
      <c r="B710" t="s">
        <v>503</v>
      </c>
      <c r="C710" t="s">
        <v>72</v>
      </c>
      <c r="D710" s="12">
        <v>46245</v>
      </c>
      <c r="E710" t="s">
        <v>134</v>
      </c>
      <c r="F710" t="s">
        <v>75</v>
      </c>
      <c r="G710">
        <v>2.6380697050938338</v>
      </c>
      <c r="H710">
        <v>0</v>
      </c>
      <c r="I710">
        <v>10</v>
      </c>
      <c r="J710">
        <v>0</v>
      </c>
      <c r="K710">
        <v>46245</v>
      </c>
      <c r="L710" t="s">
        <v>195</v>
      </c>
      <c r="M710">
        <v>1.2179930795847749</v>
      </c>
      <c r="N710">
        <v>0</v>
      </c>
      <c r="O710">
        <v>0</v>
      </c>
      <c r="P710">
        <v>0.46169859622471648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0.46169859622471648</v>
      </c>
      <c r="AA710">
        <v>0.53830140377528357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H710">
        <v>0</v>
      </c>
      <c r="BI710">
        <v>0</v>
      </c>
      <c r="BJ710">
        <v>2.1659151840116992</v>
      </c>
      <c r="BK710">
        <v>1.1659151840116992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1</v>
      </c>
    </row>
    <row r="711" spans="1:82" hidden="1" x14ac:dyDescent="0.25">
      <c r="A711" t="s">
        <v>128</v>
      </c>
      <c r="B711" t="s">
        <v>372</v>
      </c>
      <c r="C711" t="s">
        <v>72</v>
      </c>
      <c r="D711" s="12">
        <v>46245</v>
      </c>
      <c r="E711" t="s">
        <v>134</v>
      </c>
      <c r="F711" t="s">
        <v>75</v>
      </c>
      <c r="G711">
        <v>3.3729492440604751</v>
      </c>
      <c r="H711">
        <v>0</v>
      </c>
      <c r="I711">
        <v>10</v>
      </c>
      <c r="J711">
        <v>0</v>
      </c>
      <c r="K711">
        <v>46245</v>
      </c>
      <c r="L711" t="s">
        <v>195</v>
      </c>
      <c r="M711">
        <v>3.5415224913494798</v>
      </c>
      <c r="N711">
        <v>0</v>
      </c>
      <c r="O711">
        <v>0</v>
      </c>
      <c r="P711">
        <v>1.0499779970261487</v>
      </c>
      <c r="Q711">
        <v>4.9977997026148691E-2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0.95240091014506856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4.7599089854931442E-2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0.95240091014506856</v>
      </c>
      <c r="CD711">
        <v>0</v>
      </c>
    </row>
    <row r="712" spans="1:82" hidden="1" x14ac:dyDescent="0.25">
      <c r="A712" t="s">
        <v>128</v>
      </c>
      <c r="B712" t="s">
        <v>502</v>
      </c>
      <c r="C712" t="s">
        <v>72</v>
      </c>
      <c r="D712" s="12">
        <v>46245</v>
      </c>
      <c r="E712" t="s">
        <v>134</v>
      </c>
      <c r="F712" t="s">
        <v>75</v>
      </c>
      <c r="G712">
        <v>2.4017033356990773</v>
      </c>
      <c r="H712">
        <v>0</v>
      </c>
      <c r="I712">
        <v>10</v>
      </c>
      <c r="J712">
        <v>0</v>
      </c>
      <c r="K712">
        <v>46245</v>
      </c>
      <c r="L712" t="s">
        <v>195</v>
      </c>
      <c r="M712">
        <v>1.9382929642445224</v>
      </c>
      <c r="N712">
        <v>0</v>
      </c>
      <c r="O712">
        <v>0</v>
      </c>
      <c r="P712">
        <v>0.80704928682639832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0.80704928682639832</v>
      </c>
      <c r="AA712">
        <v>0.19295071317360168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H712">
        <v>0</v>
      </c>
      <c r="BI712">
        <v>0</v>
      </c>
      <c r="BJ712">
        <v>1.2390816971443612</v>
      </c>
      <c r="BK712">
        <v>0.23908169714436123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1</v>
      </c>
    </row>
    <row r="713" spans="1:82" hidden="1" x14ac:dyDescent="0.25">
      <c r="A713" t="s">
        <v>128</v>
      </c>
      <c r="B713" t="s">
        <v>372</v>
      </c>
      <c r="C713" t="s">
        <v>72</v>
      </c>
      <c r="D713" s="12">
        <v>46246</v>
      </c>
      <c r="E713" t="s">
        <v>134</v>
      </c>
      <c r="F713" t="s">
        <v>73</v>
      </c>
      <c r="G713">
        <v>5.8323914011879037</v>
      </c>
      <c r="H713">
        <v>0</v>
      </c>
      <c r="I713">
        <v>10</v>
      </c>
      <c r="J713">
        <v>0</v>
      </c>
      <c r="K713">
        <v>46246</v>
      </c>
      <c r="L713" t="s">
        <v>194</v>
      </c>
      <c r="M713">
        <v>4.2886029411764692</v>
      </c>
      <c r="N713">
        <v>0</v>
      </c>
      <c r="O713">
        <v>0</v>
      </c>
      <c r="P713">
        <v>0.73530780878371682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0.73530780878371682</v>
      </c>
      <c r="AA713">
        <v>0.26469219121628318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</v>
      </c>
      <c r="BH713">
        <v>0</v>
      </c>
      <c r="BI713">
        <v>0</v>
      </c>
      <c r="BJ713">
        <v>1.3599746773451438</v>
      </c>
      <c r="BK713">
        <v>0.35997467734514377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1</v>
      </c>
      <c r="CD713">
        <v>1</v>
      </c>
    </row>
    <row r="714" spans="1:82" hidden="1" x14ac:dyDescent="0.25">
      <c r="A714" t="s">
        <v>128</v>
      </c>
      <c r="B714" t="s">
        <v>502</v>
      </c>
      <c r="C714" t="s">
        <v>72</v>
      </c>
      <c r="D714" s="12">
        <v>46246</v>
      </c>
      <c r="E714" t="s">
        <v>134</v>
      </c>
      <c r="F714" t="s">
        <v>73</v>
      </c>
      <c r="G714">
        <v>4.0528743789921924</v>
      </c>
      <c r="H714">
        <v>0</v>
      </c>
      <c r="I714">
        <v>10</v>
      </c>
      <c r="J714">
        <v>0</v>
      </c>
      <c r="K714">
        <v>46246</v>
      </c>
      <c r="L714" t="s">
        <v>194</v>
      </c>
      <c r="M714">
        <v>1.1207107843137254</v>
      </c>
      <c r="N714">
        <v>0</v>
      </c>
      <c r="O714">
        <v>0</v>
      </c>
      <c r="P714">
        <v>0.27652245777042977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0.27652245777042977</v>
      </c>
      <c r="AA714">
        <v>0.72347754222957028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1</v>
      </c>
      <c r="BH714">
        <v>0</v>
      </c>
      <c r="BI714">
        <v>0</v>
      </c>
      <c r="BJ714">
        <v>3.6163428029061011</v>
      </c>
      <c r="BK714">
        <v>2.6163428029061011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1</v>
      </c>
    </row>
    <row r="715" spans="1:82" hidden="1" x14ac:dyDescent="0.25">
      <c r="A715" t="s">
        <v>128</v>
      </c>
      <c r="B715" t="s">
        <v>503</v>
      </c>
      <c r="C715" t="s">
        <v>72</v>
      </c>
      <c r="D715" s="12">
        <v>46246</v>
      </c>
      <c r="E715" t="s">
        <v>134</v>
      </c>
      <c r="F715" t="s">
        <v>73</v>
      </c>
      <c r="G715">
        <v>2.8029490616621988</v>
      </c>
      <c r="H715">
        <v>0</v>
      </c>
      <c r="I715">
        <v>10</v>
      </c>
      <c r="J715">
        <v>0</v>
      </c>
      <c r="K715">
        <v>46246</v>
      </c>
      <c r="L715" t="s">
        <v>194</v>
      </c>
      <c r="M715">
        <v>3.2205882352941169</v>
      </c>
      <c r="N715">
        <v>0</v>
      </c>
      <c r="O715">
        <v>0</v>
      </c>
      <c r="P715">
        <v>1.1489999156046919</v>
      </c>
      <c r="Q715">
        <v>0.14899991560469195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1</v>
      </c>
      <c r="BH715">
        <v>0</v>
      </c>
      <c r="BI715">
        <v>0</v>
      </c>
      <c r="BJ715">
        <v>0.87032208307319436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0.12967791692680564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0.87032208307319436</v>
      </c>
      <c r="CD715">
        <v>0</v>
      </c>
    </row>
    <row r="716" spans="1:82" hidden="1" x14ac:dyDescent="0.25">
      <c r="A716" t="s">
        <v>128</v>
      </c>
      <c r="B716" t="s">
        <v>372</v>
      </c>
      <c r="C716" t="s">
        <v>72</v>
      </c>
      <c r="D716" s="12">
        <v>46246</v>
      </c>
      <c r="E716" t="s">
        <v>134</v>
      </c>
      <c r="F716" t="s">
        <v>74</v>
      </c>
      <c r="G716">
        <v>1.2742252699784016</v>
      </c>
      <c r="H716">
        <v>0</v>
      </c>
      <c r="I716">
        <v>10</v>
      </c>
      <c r="J716">
        <v>0</v>
      </c>
      <c r="K716">
        <v>46246</v>
      </c>
      <c r="L716" t="s">
        <v>193</v>
      </c>
      <c r="M716">
        <v>0.94117647058823517</v>
      </c>
      <c r="N716">
        <v>0</v>
      </c>
      <c r="O716">
        <v>0</v>
      </c>
      <c r="P716">
        <v>0.73862643659875649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0.73862643659875649</v>
      </c>
      <c r="AA716">
        <v>0.26137356340124351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H716">
        <v>0</v>
      </c>
      <c r="BI716">
        <v>0</v>
      </c>
      <c r="BJ716">
        <v>1.3538643493520519</v>
      </c>
      <c r="BK716">
        <v>0.35386434935205191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 hidden="1" x14ac:dyDescent="0.25">
      <c r="A717" t="s">
        <v>128</v>
      </c>
      <c r="B717" t="s">
        <v>502</v>
      </c>
      <c r="C717" t="s">
        <v>72</v>
      </c>
      <c r="D717" s="12">
        <v>46246</v>
      </c>
      <c r="E717" t="s">
        <v>134</v>
      </c>
      <c r="F717" t="s">
        <v>74</v>
      </c>
      <c r="G717">
        <v>2.7219304471256209</v>
      </c>
      <c r="H717">
        <v>0</v>
      </c>
      <c r="I717">
        <v>10</v>
      </c>
      <c r="J717">
        <v>0</v>
      </c>
      <c r="K717">
        <v>46246</v>
      </c>
      <c r="L717" t="s">
        <v>193</v>
      </c>
      <c r="M717">
        <v>2.0078431372549019</v>
      </c>
      <c r="N717">
        <v>0</v>
      </c>
      <c r="O717">
        <v>0</v>
      </c>
      <c r="P717">
        <v>0.73765409376099211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0.73765409376099211</v>
      </c>
      <c r="AA717">
        <v>0.26234590623900789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H717">
        <v>0</v>
      </c>
      <c r="BI717">
        <v>0</v>
      </c>
      <c r="BJ717">
        <v>1.3556489531582683</v>
      </c>
      <c r="BK717">
        <v>0.35564895315826828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1</v>
      </c>
    </row>
    <row r="718" spans="1:82" hidden="1" x14ac:dyDescent="0.25">
      <c r="A718" t="s">
        <v>128</v>
      </c>
      <c r="B718" t="s">
        <v>503</v>
      </c>
      <c r="C718" t="s">
        <v>72</v>
      </c>
      <c r="D718" s="12">
        <v>46246</v>
      </c>
      <c r="E718" t="s">
        <v>134</v>
      </c>
      <c r="F718" t="s">
        <v>74</v>
      </c>
      <c r="G718">
        <v>1.7587131367292226</v>
      </c>
      <c r="H718">
        <v>0</v>
      </c>
      <c r="I718">
        <v>10</v>
      </c>
      <c r="J718">
        <v>0</v>
      </c>
      <c r="K718">
        <v>46246</v>
      </c>
      <c r="L718" t="s">
        <v>193</v>
      </c>
      <c r="M718">
        <v>6.2745098039215685E-2</v>
      </c>
      <c r="N718">
        <v>0</v>
      </c>
      <c r="O718">
        <v>0</v>
      </c>
      <c r="P718">
        <v>3.5676709708273552E-2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3.5676709708273552E-2</v>
      </c>
      <c r="AA718">
        <v>0.96432329029172648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H718">
        <v>0</v>
      </c>
      <c r="BI718">
        <v>0</v>
      </c>
      <c r="BJ718">
        <v>28.029490616621985</v>
      </c>
      <c r="BK718">
        <v>27.029490616621985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 hidden="1" x14ac:dyDescent="0.25">
      <c r="A719" t="s">
        <v>128</v>
      </c>
      <c r="B719" t="s">
        <v>372</v>
      </c>
      <c r="C719" t="s">
        <v>72</v>
      </c>
      <c r="D719" s="12">
        <v>46246</v>
      </c>
      <c r="E719" t="s">
        <v>134</v>
      </c>
      <c r="F719" t="s">
        <v>75</v>
      </c>
      <c r="G719">
        <v>2.2486328293736499</v>
      </c>
      <c r="H719">
        <v>0</v>
      </c>
      <c r="I719">
        <v>10</v>
      </c>
      <c r="J719">
        <v>0</v>
      </c>
      <c r="K719">
        <v>46246</v>
      </c>
      <c r="L719" t="s">
        <v>201</v>
      </c>
      <c r="M719">
        <v>2.5449826989619373</v>
      </c>
      <c r="N719">
        <v>0</v>
      </c>
      <c r="O719">
        <v>0</v>
      </c>
      <c r="P719">
        <v>1.1317911335799695</v>
      </c>
      <c r="Q719">
        <v>0.13179113357996952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1</v>
      </c>
      <c r="BH719">
        <v>0</v>
      </c>
      <c r="BI719">
        <v>0</v>
      </c>
      <c r="BJ719">
        <v>0.88355525178651928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0.11644474821348072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0.88355525178651928</v>
      </c>
      <c r="CD719">
        <v>0</v>
      </c>
    </row>
    <row r="720" spans="1:82" hidden="1" x14ac:dyDescent="0.25">
      <c r="A720" t="s">
        <v>128</v>
      </c>
      <c r="B720" t="s">
        <v>502</v>
      </c>
      <c r="C720" t="s">
        <v>72</v>
      </c>
      <c r="D720" s="12">
        <v>46246</v>
      </c>
      <c r="E720" t="s">
        <v>134</v>
      </c>
      <c r="F720" t="s">
        <v>75</v>
      </c>
      <c r="G720">
        <v>2.4017033356990773</v>
      </c>
      <c r="H720">
        <v>0</v>
      </c>
      <c r="I720">
        <v>10</v>
      </c>
      <c r="J720">
        <v>0</v>
      </c>
      <c r="K720">
        <v>46246</v>
      </c>
      <c r="L720" t="s">
        <v>201</v>
      </c>
      <c r="M720">
        <v>1.9382929642445217</v>
      </c>
      <c r="N720">
        <v>0</v>
      </c>
      <c r="O720">
        <v>0</v>
      </c>
      <c r="P720">
        <v>0.80704928682639809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0.80704928682639809</v>
      </c>
      <c r="AA720">
        <v>0.19295071317360191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1</v>
      </c>
      <c r="BH720">
        <v>0</v>
      </c>
      <c r="BI720">
        <v>0</v>
      </c>
      <c r="BJ720">
        <v>1.2390816971443617</v>
      </c>
      <c r="BK720">
        <v>0.23908169714436167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1</v>
      </c>
    </row>
    <row r="721" spans="1:82" hidden="1" x14ac:dyDescent="0.25">
      <c r="A721" t="s">
        <v>128</v>
      </c>
      <c r="B721" t="s">
        <v>503</v>
      </c>
      <c r="C721" t="s">
        <v>72</v>
      </c>
      <c r="D721" s="12">
        <v>46246</v>
      </c>
      <c r="E721" t="s">
        <v>134</v>
      </c>
      <c r="F721" t="s">
        <v>75</v>
      </c>
      <c r="G721">
        <v>2.3277085633180885</v>
      </c>
      <c r="H721">
        <v>0</v>
      </c>
      <c r="I721">
        <v>10</v>
      </c>
      <c r="J721">
        <v>0</v>
      </c>
      <c r="K721">
        <v>46246</v>
      </c>
      <c r="L721" t="s">
        <v>201</v>
      </c>
      <c r="M721">
        <v>1.3840830449826986</v>
      </c>
      <c r="N721">
        <v>0</v>
      </c>
      <c r="O721">
        <v>0</v>
      </c>
      <c r="P721">
        <v>0.59461182847122573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0.59461182847122573</v>
      </c>
      <c r="AA721">
        <v>0.40538817152877427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1</v>
      </c>
      <c r="BH721">
        <v>0</v>
      </c>
      <c r="BI721">
        <v>0</v>
      </c>
      <c r="BJ721">
        <v>1.6817694369973193</v>
      </c>
      <c r="BK721">
        <v>0.68176943699731929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1</v>
      </c>
    </row>
    <row r="722" spans="1:82" hidden="1" x14ac:dyDescent="0.25">
      <c r="A722" t="s">
        <v>128</v>
      </c>
      <c r="B722" t="s">
        <v>503</v>
      </c>
      <c r="C722" t="s">
        <v>72</v>
      </c>
      <c r="D722" s="12">
        <v>46247</v>
      </c>
      <c r="E722" t="s">
        <v>134</v>
      </c>
      <c r="F722" t="s">
        <v>73</v>
      </c>
      <c r="G722">
        <v>2.8029490616621993</v>
      </c>
      <c r="H722">
        <v>0</v>
      </c>
      <c r="I722">
        <v>10</v>
      </c>
      <c r="J722">
        <v>0</v>
      </c>
      <c r="K722">
        <v>46247</v>
      </c>
      <c r="L722" t="s">
        <v>174</v>
      </c>
      <c r="M722">
        <v>2.7058823529411775</v>
      </c>
      <c r="N722">
        <v>0</v>
      </c>
      <c r="O722">
        <v>0</v>
      </c>
      <c r="P722">
        <v>0.96536979210622564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0.96536979210622564</v>
      </c>
      <c r="AA722">
        <v>3.4630207893774356E-2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H722">
        <v>0</v>
      </c>
      <c r="BI722">
        <v>0</v>
      </c>
      <c r="BJ722">
        <v>1.0358724793099428</v>
      </c>
      <c r="BK722">
        <v>3.5872479309942751E-2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1</v>
      </c>
    </row>
    <row r="723" spans="1:82" hidden="1" x14ac:dyDescent="0.25">
      <c r="A723" t="s">
        <v>128</v>
      </c>
      <c r="B723" t="s">
        <v>372</v>
      </c>
      <c r="C723" t="s">
        <v>72</v>
      </c>
      <c r="D723" s="12">
        <v>46247</v>
      </c>
      <c r="E723" t="s">
        <v>134</v>
      </c>
      <c r="F723" t="s">
        <v>73</v>
      </c>
      <c r="G723">
        <v>5.7621216252699776</v>
      </c>
      <c r="H723">
        <v>0</v>
      </c>
      <c r="I723">
        <v>10</v>
      </c>
      <c r="J723">
        <v>0</v>
      </c>
      <c r="K723">
        <v>46247</v>
      </c>
      <c r="L723" t="s">
        <v>174</v>
      </c>
      <c r="M723">
        <v>4.1104779411764714</v>
      </c>
      <c r="N723">
        <v>0</v>
      </c>
      <c r="O723">
        <v>0</v>
      </c>
      <c r="P723">
        <v>0.71336188447495319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0.71336188447495319</v>
      </c>
      <c r="AA723">
        <v>0.28663811552504681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</v>
      </c>
      <c r="BH723">
        <v>0</v>
      </c>
      <c r="BI723">
        <v>0</v>
      </c>
      <c r="BJ723">
        <v>1.4018130513603448</v>
      </c>
      <c r="BK723">
        <v>0.40181305136034484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1</v>
      </c>
    </row>
    <row r="724" spans="1:82" hidden="1" x14ac:dyDescent="0.25">
      <c r="A724" t="s">
        <v>128</v>
      </c>
      <c r="B724" t="s">
        <v>502</v>
      </c>
      <c r="C724" t="s">
        <v>72</v>
      </c>
      <c r="D724" s="12">
        <v>46247</v>
      </c>
      <c r="E724" t="s">
        <v>134</v>
      </c>
      <c r="F724" t="s">
        <v>73</v>
      </c>
      <c r="G724">
        <v>2.6268630234208659</v>
      </c>
      <c r="H724">
        <v>0</v>
      </c>
      <c r="I724">
        <v>10</v>
      </c>
      <c r="J724">
        <v>0</v>
      </c>
      <c r="K724">
        <v>46247</v>
      </c>
      <c r="L724" t="s">
        <v>174</v>
      </c>
      <c r="M724">
        <v>2.003063725490196</v>
      </c>
      <c r="N724">
        <v>0</v>
      </c>
      <c r="O724">
        <v>0</v>
      </c>
      <c r="P724">
        <v>0.76253070968340053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0.76253070968340053</v>
      </c>
      <c r="AA724">
        <v>0.23746929031659947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H724">
        <v>0</v>
      </c>
      <c r="BI724">
        <v>0</v>
      </c>
      <c r="BJ724">
        <v>1.3114225922982115</v>
      </c>
      <c r="BK724">
        <v>0.31142259229821145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1</v>
      </c>
      <c r="CD724">
        <v>1</v>
      </c>
    </row>
    <row r="725" spans="1:82" hidden="1" x14ac:dyDescent="0.25">
      <c r="A725" t="s">
        <v>128</v>
      </c>
      <c r="B725" t="s">
        <v>503</v>
      </c>
      <c r="C725" t="s">
        <v>72</v>
      </c>
      <c r="D725" s="12">
        <v>46247</v>
      </c>
      <c r="E725" t="s">
        <v>134</v>
      </c>
      <c r="F725" t="s">
        <v>74</v>
      </c>
      <c r="G725">
        <v>1.7587131367292226</v>
      </c>
      <c r="H725">
        <v>0</v>
      </c>
      <c r="I725">
        <v>10</v>
      </c>
      <c r="J725">
        <v>0</v>
      </c>
      <c r="K725">
        <v>46247</v>
      </c>
      <c r="L725" t="s">
        <v>162</v>
      </c>
      <c r="M725">
        <v>6.2745098039215685E-2</v>
      </c>
      <c r="N725">
        <v>0</v>
      </c>
      <c r="O725">
        <v>0</v>
      </c>
      <c r="P725">
        <v>3.5676709708273552E-2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3.5676709708273552E-2</v>
      </c>
      <c r="AA725">
        <v>0.96432329029172648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H725">
        <v>0</v>
      </c>
      <c r="BI725">
        <v>0</v>
      </c>
      <c r="BJ725">
        <v>28.029490616621985</v>
      </c>
      <c r="BK725">
        <v>27.029490616621985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</row>
    <row r="726" spans="1:82" hidden="1" x14ac:dyDescent="0.25">
      <c r="A726" t="s">
        <v>128</v>
      </c>
      <c r="B726" t="s">
        <v>372</v>
      </c>
      <c r="C726" t="s">
        <v>72</v>
      </c>
      <c r="D726" s="12">
        <v>46247</v>
      </c>
      <c r="E726" t="s">
        <v>134</v>
      </c>
      <c r="F726" t="s">
        <v>74</v>
      </c>
      <c r="G726">
        <v>1.2742252699784016</v>
      </c>
      <c r="H726">
        <v>0</v>
      </c>
      <c r="I726">
        <v>10</v>
      </c>
      <c r="J726">
        <v>0</v>
      </c>
      <c r="K726">
        <v>46247</v>
      </c>
      <c r="L726" t="s">
        <v>162</v>
      </c>
      <c r="M726">
        <v>0.94117647058823517</v>
      </c>
      <c r="N726">
        <v>0</v>
      </c>
      <c r="O726">
        <v>0</v>
      </c>
      <c r="P726">
        <v>0.73862643659875649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0.73862643659875649</v>
      </c>
      <c r="AA726">
        <v>0.26137356340124351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H726">
        <v>0</v>
      </c>
      <c r="BI726">
        <v>0</v>
      </c>
      <c r="BJ726">
        <v>1.3538643493520519</v>
      </c>
      <c r="BK726">
        <v>0.35386434935205191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</row>
    <row r="727" spans="1:82" hidden="1" x14ac:dyDescent="0.25">
      <c r="A727" t="s">
        <v>128</v>
      </c>
      <c r="B727" t="s">
        <v>502</v>
      </c>
      <c r="C727" t="s">
        <v>72</v>
      </c>
      <c r="D727" s="12">
        <v>46247</v>
      </c>
      <c r="E727" t="s">
        <v>134</v>
      </c>
      <c r="F727" t="s">
        <v>74</v>
      </c>
      <c r="G727">
        <v>2.7219304471256209</v>
      </c>
      <c r="H727">
        <v>0</v>
      </c>
      <c r="I727">
        <v>10</v>
      </c>
      <c r="J727">
        <v>0</v>
      </c>
      <c r="K727">
        <v>46247</v>
      </c>
      <c r="L727" t="s">
        <v>162</v>
      </c>
      <c r="M727">
        <v>2.0078431372549019</v>
      </c>
      <c r="N727">
        <v>0</v>
      </c>
      <c r="O727">
        <v>0</v>
      </c>
      <c r="P727">
        <v>0.73765409376099211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0.73765409376099211</v>
      </c>
      <c r="AA727">
        <v>0.26234590623900789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</v>
      </c>
      <c r="BH727">
        <v>0</v>
      </c>
      <c r="BI727">
        <v>0</v>
      </c>
      <c r="BJ727">
        <v>1.3556489531582683</v>
      </c>
      <c r="BK727">
        <v>0.35564895315826828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1</v>
      </c>
    </row>
    <row r="728" spans="1:82" hidden="1" x14ac:dyDescent="0.25">
      <c r="A728" t="s">
        <v>128</v>
      </c>
      <c r="B728" t="s">
        <v>502</v>
      </c>
      <c r="C728" t="s">
        <v>72</v>
      </c>
      <c r="D728" s="12">
        <v>46247</v>
      </c>
      <c r="E728" t="s">
        <v>134</v>
      </c>
      <c r="F728" t="s">
        <v>75</v>
      </c>
      <c r="G728">
        <v>2.4017033356990773</v>
      </c>
      <c r="H728">
        <v>0</v>
      </c>
      <c r="I728">
        <v>10</v>
      </c>
      <c r="J728">
        <v>0</v>
      </c>
      <c r="K728">
        <v>46247</v>
      </c>
      <c r="L728" t="s">
        <v>161</v>
      </c>
      <c r="M728">
        <v>2.0490196078431371</v>
      </c>
      <c r="N728">
        <v>0</v>
      </c>
      <c r="O728">
        <v>0</v>
      </c>
      <c r="P728">
        <v>0.85315266768645981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0.85315266768645981</v>
      </c>
      <c r="AA728">
        <v>0.14684733231354019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</v>
      </c>
      <c r="BH728">
        <v>0</v>
      </c>
      <c r="BI728">
        <v>0</v>
      </c>
      <c r="BJ728">
        <v>1.1721231590493106</v>
      </c>
      <c r="BK728">
        <v>0.17212315904931064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1</v>
      </c>
      <c r="CD728">
        <v>1</v>
      </c>
    </row>
    <row r="729" spans="1:82" hidden="1" x14ac:dyDescent="0.25">
      <c r="A729" t="s">
        <v>128</v>
      </c>
      <c r="B729" t="s">
        <v>503</v>
      </c>
      <c r="C729" t="s">
        <v>72</v>
      </c>
      <c r="D729" s="12">
        <v>46247</v>
      </c>
      <c r="E729" t="s">
        <v>134</v>
      </c>
      <c r="F729" t="s">
        <v>75</v>
      </c>
      <c r="G729">
        <v>2.3277085633180885</v>
      </c>
      <c r="H729">
        <v>0</v>
      </c>
      <c r="I729">
        <v>10</v>
      </c>
      <c r="J729">
        <v>0</v>
      </c>
      <c r="K729">
        <v>46247</v>
      </c>
      <c r="L729" t="s">
        <v>161</v>
      </c>
      <c r="M729">
        <v>3.0449826989619377</v>
      </c>
      <c r="N729">
        <v>0</v>
      </c>
      <c r="O729">
        <v>0</v>
      </c>
      <c r="P729">
        <v>1.308146022636697</v>
      </c>
      <c r="Q729">
        <v>0.30814602263669699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1</v>
      </c>
      <c r="BH729">
        <v>0</v>
      </c>
      <c r="BI729">
        <v>0</v>
      </c>
      <c r="BJ729">
        <v>0.76444065318059951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0.23555934681940049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0.76444065318059951</v>
      </c>
      <c r="CD729">
        <v>0</v>
      </c>
    </row>
    <row r="730" spans="1:82" hidden="1" x14ac:dyDescent="0.25">
      <c r="A730" t="s">
        <v>128</v>
      </c>
      <c r="B730" t="s">
        <v>372</v>
      </c>
      <c r="C730" t="s">
        <v>72</v>
      </c>
      <c r="D730" s="12">
        <v>46247</v>
      </c>
      <c r="E730" t="s">
        <v>134</v>
      </c>
      <c r="F730" t="s">
        <v>75</v>
      </c>
      <c r="G730">
        <v>3.3729492440604751</v>
      </c>
      <c r="H730">
        <v>0</v>
      </c>
      <c r="I730">
        <v>10</v>
      </c>
      <c r="J730">
        <v>0</v>
      </c>
      <c r="K730">
        <v>46247</v>
      </c>
      <c r="L730" t="s">
        <v>161</v>
      </c>
      <c r="M730">
        <v>3.5949826989619371</v>
      </c>
      <c r="N730">
        <v>0</v>
      </c>
      <c r="O730">
        <v>0</v>
      </c>
      <c r="P730">
        <v>1.0658276893114971</v>
      </c>
      <c r="Q730">
        <v>6.5827689311497073E-2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1</v>
      </c>
      <c r="BH730">
        <v>0</v>
      </c>
      <c r="BI730">
        <v>0</v>
      </c>
      <c r="BJ730">
        <v>0.9382379628793277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6.1762037120672297E-2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0.9382379628793277</v>
      </c>
      <c r="CD730">
        <v>0</v>
      </c>
    </row>
    <row r="731" spans="1:82" hidden="1" x14ac:dyDescent="0.25">
      <c r="A731" t="s">
        <v>128</v>
      </c>
      <c r="B731" t="s">
        <v>372</v>
      </c>
      <c r="C731" t="s">
        <v>72</v>
      </c>
      <c r="D731" s="12">
        <v>46248</v>
      </c>
      <c r="E731" t="s">
        <v>134</v>
      </c>
      <c r="F731" t="s">
        <v>73</v>
      </c>
      <c r="G731">
        <v>4.5675354346652259</v>
      </c>
      <c r="H731">
        <v>0</v>
      </c>
      <c r="I731">
        <v>10</v>
      </c>
      <c r="J731">
        <v>0</v>
      </c>
      <c r="K731">
        <v>46248</v>
      </c>
      <c r="L731" t="s">
        <v>159</v>
      </c>
      <c r="M731">
        <v>3.1104779411764705</v>
      </c>
      <c r="N731">
        <v>0</v>
      </c>
      <c r="O731">
        <v>0</v>
      </c>
      <c r="P731">
        <v>0.68099700279707864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0.68099700279707864</v>
      </c>
      <c r="AA731">
        <v>0.31900299720292136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H731">
        <v>0</v>
      </c>
      <c r="BI731">
        <v>0</v>
      </c>
      <c r="BJ731">
        <v>1.4684352440505188</v>
      </c>
      <c r="BK731">
        <v>0.46843524405051884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1</v>
      </c>
    </row>
    <row r="732" spans="1:82" hidden="1" x14ac:dyDescent="0.25">
      <c r="A732" t="s">
        <v>128</v>
      </c>
      <c r="B732" t="s">
        <v>503</v>
      </c>
      <c r="C732" t="s">
        <v>72</v>
      </c>
      <c r="D732" s="12">
        <v>46248</v>
      </c>
      <c r="E732" t="s">
        <v>134</v>
      </c>
      <c r="F732" t="s">
        <v>73</v>
      </c>
      <c r="G732">
        <v>5.2761394101876684</v>
      </c>
      <c r="H732">
        <v>0</v>
      </c>
      <c r="I732">
        <v>10</v>
      </c>
      <c r="J732">
        <v>0</v>
      </c>
      <c r="K732">
        <v>46248</v>
      </c>
      <c r="L732" t="s">
        <v>159</v>
      </c>
      <c r="M732">
        <v>3.3970588235294112</v>
      </c>
      <c r="N732">
        <v>0</v>
      </c>
      <c r="O732">
        <v>0</v>
      </c>
      <c r="P732">
        <v>0.64385312051649912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0.64385312051649912</v>
      </c>
      <c r="AA732">
        <v>0.35614687948350088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1</v>
      </c>
      <c r="BH732">
        <v>0</v>
      </c>
      <c r="BI732">
        <v>0</v>
      </c>
      <c r="BJ732">
        <v>1.5531492636050281</v>
      </c>
      <c r="BK732">
        <v>0.55314926360502814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1</v>
      </c>
    </row>
    <row r="733" spans="1:82" hidden="1" x14ac:dyDescent="0.25">
      <c r="A733" t="s">
        <v>128</v>
      </c>
      <c r="B733" t="s">
        <v>502</v>
      </c>
      <c r="C733" t="s">
        <v>72</v>
      </c>
      <c r="D733" s="12">
        <v>46248</v>
      </c>
      <c r="E733" t="s">
        <v>134</v>
      </c>
      <c r="F733" t="s">
        <v>73</v>
      </c>
      <c r="G733">
        <v>3.9027679205110002</v>
      </c>
      <c r="H733">
        <v>0</v>
      </c>
      <c r="I733">
        <v>10</v>
      </c>
      <c r="J733">
        <v>0</v>
      </c>
      <c r="K733">
        <v>46248</v>
      </c>
      <c r="L733" t="s">
        <v>159</v>
      </c>
      <c r="M733">
        <v>2.003063725490196</v>
      </c>
      <c r="N733">
        <v>0</v>
      </c>
      <c r="O733">
        <v>0</v>
      </c>
      <c r="P733">
        <v>0.51324182382536576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0.51324182382536576</v>
      </c>
      <c r="AA733">
        <v>0.48675817617463424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1</v>
      </c>
      <c r="BH733">
        <v>0</v>
      </c>
      <c r="BI733">
        <v>0</v>
      </c>
      <c r="BJ733">
        <v>1.948399279985914</v>
      </c>
      <c r="BK733">
        <v>0.948399279985914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1</v>
      </c>
      <c r="CD733">
        <v>1</v>
      </c>
    </row>
    <row r="734" spans="1:82" hidden="1" x14ac:dyDescent="0.25">
      <c r="A734" t="s">
        <v>128</v>
      </c>
      <c r="B734" t="s">
        <v>502</v>
      </c>
      <c r="C734" t="s">
        <v>72</v>
      </c>
      <c r="D734" s="12">
        <v>46248</v>
      </c>
      <c r="E734" t="s">
        <v>134</v>
      </c>
      <c r="F734" t="s">
        <v>74</v>
      </c>
      <c r="G734">
        <v>2.7219304471256209</v>
      </c>
      <c r="H734">
        <v>0</v>
      </c>
      <c r="I734">
        <v>10</v>
      </c>
      <c r="J734">
        <v>0</v>
      </c>
      <c r="K734">
        <v>46248</v>
      </c>
      <c r="L734" t="s">
        <v>158</v>
      </c>
      <c r="M734">
        <v>2.0078431372549019</v>
      </c>
      <c r="N734">
        <v>0</v>
      </c>
      <c r="O734">
        <v>0</v>
      </c>
      <c r="P734">
        <v>0.73765409376099211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0.73765409376099211</v>
      </c>
      <c r="AA734">
        <v>0.26234590623900789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</v>
      </c>
      <c r="BH734">
        <v>0</v>
      </c>
      <c r="BI734">
        <v>0</v>
      </c>
      <c r="BJ734">
        <v>1.3556489531582683</v>
      </c>
      <c r="BK734">
        <v>0.35564895315826828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1</v>
      </c>
    </row>
    <row r="735" spans="1:82" hidden="1" x14ac:dyDescent="0.25">
      <c r="A735" t="s">
        <v>128</v>
      </c>
      <c r="B735" t="s">
        <v>503</v>
      </c>
      <c r="C735" t="s">
        <v>72</v>
      </c>
      <c r="D735" s="12">
        <v>46248</v>
      </c>
      <c r="E735" t="s">
        <v>134</v>
      </c>
      <c r="F735" t="s">
        <v>74</v>
      </c>
      <c r="G735">
        <v>1.7587131367292226</v>
      </c>
      <c r="H735">
        <v>0</v>
      </c>
      <c r="I735">
        <v>10</v>
      </c>
      <c r="J735">
        <v>0</v>
      </c>
      <c r="K735">
        <v>46248</v>
      </c>
      <c r="L735" t="s">
        <v>158</v>
      </c>
      <c r="M735">
        <v>6.2745098039215685E-2</v>
      </c>
      <c r="N735">
        <v>0</v>
      </c>
      <c r="O735">
        <v>0</v>
      </c>
      <c r="P735">
        <v>3.5676709708273552E-2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3.5676709708273552E-2</v>
      </c>
      <c r="AA735">
        <v>0.96432329029172648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H735">
        <v>0</v>
      </c>
      <c r="BI735">
        <v>0</v>
      </c>
      <c r="BJ735">
        <v>28.029490616621985</v>
      </c>
      <c r="BK735">
        <v>27.029490616621985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 hidden="1" x14ac:dyDescent="0.25">
      <c r="A736" t="s">
        <v>128</v>
      </c>
      <c r="B736" t="s">
        <v>372</v>
      </c>
      <c r="C736" t="s">
        <v>72</v>
      </c>
      <c r="D736" s="12">
        <v>46248</v>
      </c>
      <c r="E736" t="s">
        <v>134</v>
      </c>
      <c r="F736" t="s">
        <v>74</v>
      </c>
      <c r="G736">
        <v>1.2742252699784016</v>
      </c>
      <c r="H736">
        <v>0</v>
      </c>
      <c r="I736">
        <v>10</v>
      </c>
      <c r="J736">
        <v>0</v>
      </c>
      <c r="K736">
        <v>46248</v>
      </c>
      <c r="L736" t="s">
        <v>158</v>
      </c>
      <c r="M736">
        <v>0.94117647058823517</v>
      </c>
      <c r="N736">
        <v>0</v>
      </c>
      <c r="O736">
        <v>0</v>
      </c>
      <c r="P736">
        <v>0.73862643659875649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0.73862643659875649</v>
      </c>
      <c r="AA736">
        <v>0.26137356340124351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H736">
        <v>0</v>
      </c>
      <c r="BI736">
        <v>0</v>
      </c>
      <c r="BJ736">
        <v>1.3538643493520519</v>
      </c>
      <c r="BK736">
        <v>0.35386434935205191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 hidden="1" x14ac:dyDescent="0.25">
      <c r="A737" t="s">
        <v>128</v>
      </c>
      <c r="B737" t="s">
        <v>502</v>
      </c>
      <c r="C737" t="s">
        <v>72</v>
      </c>
      <c r="D737" s="12">
        <v>46248</v>
      </c>
      <c r="E737" t="s">
        <v>134</v>
      </c>
      <c r="F737" t="s">
        <v>75</v>
      </c>
      <c r="G737">
        <v>2.4017033356990773</v>
      </c>
      <c r="H737">
        <v>0</v>
      </c>
      <c r="I737">
        <v>10</v>
      </c>
      <c r="J737">
        <v>0</v>
      </c>
      <c r="K737">
        <v>46248</v>
      </c>
      <c r="L737" t="s">
        <v>156</v>
      </c>
      <c r="M737">
        <v>2.0490196078431371</v>
      </c>
      <c r="N737">
        <v>0</v>
      </c>
      <c r="O737">
        <v>0</v>
      </c>
      <c r="P737">
        <v>0.85315266768645981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0.85315266768645981</v>
      </c>
      <c r="AA737">
        <v>0.14684733231354019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H737">
        <v>0</v>
      </c>
      <c r="BI737">
        <v>0</v>
      </c>
      <c r="BJ737">
        <v>1.1721231590493106</v>
      </c>
      <c r="BK737">
        <v>0.17212315904931064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1</v>
      </c>
      <c r="CD737">
        <v>1</v>
      </c>
    </row>
    <row r="738" spans="1:82" hidden="1" x14ac:dyDescent="0.25">
      <c r="A738" t="s">
        <v>128</v>
      </c>
      <c r="B738" t="s">
        <v>372</v>
      </c>
      <c r="C738" t="s">
        <v>72</v>
      </c>
      <c r="D738" s="12">
        <v>46248</v>
      </c>
      <c r="E738" t="s">
        <v>134</v>
      </c>
      <c r="F738" t="s">
        <v>75</v>
      </c>
      <c r="G738">
        <v>2.2486328293736499</v>
      </c>
      <c r="H738">
        <v>0</v>
      </c>
      <c r="I738">
        <v>10</v>
      </c>
      <c r="J738">
        <v>0</v>
      </c>
      <c r="K738">
        <v>46248</v>
      </c>
      <c r="L738" t="s">
        <v>156</v>
      </c>
      <c r="M738">
        <v>2.6538062283737021</v>
      </c>
      <c r="N738">
        <v>0</v>
      </c>
      <c r="O738">
        <v>0</v>
      </c>
      <c r="P738">
        <v>1.1801865532279505</v>
      </c>
      <c r="Q738">
        <v>0.18018655322795052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0</v>
      </c>
      <c r="BI738">
        <v>0</v>
      </c>
      <c r="BJ738">
        <v>0.84732366867329667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0.15267633132670333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0.84732366867329667</v>
      </c>
      <c r="CD738">
        <v>0</v>
      </c>
    </row>
    <row r="739" spans="1:82" hidden="1" x14ac:dyDescent="0.25">
      <c r="A739" t="s">
        <v>128</v>
      </c>
      <c r="B739" t="s">
        <v>503</v>
      </c>
      <c r="C739" t="s">
        <v>72</v>
      </c>
      <c r="D739" s="12">
        <v>46248</v>
      </c>
      <c r="E739" t="s">
        <v>134</v>
      </c>
      <c r="F739" t="s">
        <v>75</v>
      </c>
      <c r="G739">
        <v>2.6380697050938342</v>
      </c>
      <c r="H739">
        <v>0</v>
      </c>
      <c r="I739">
        <v>10</v>
      </c>
      <c r="J739">
        <v>0</v>
      </c>
      <c r="K739">
        <v>46248</v>
      </c>
      <c r="L739" t="s">
        <v>156</v>
      </c>
      <c r="M739">
        <v>3.1003460207612448</v>
      </c>
      <c r="N739">
        <v>0</v>
      </c>
      <c r="O739">
        <v>0</v>
      </c>
      <c r="P739">
        <v>1.1752327903901871</v>
      </c>
      <c r="Q739">
        <v>0.17523279039018713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1</v>
      </c>
      <c r="BH739">
        <v>0</v>
      </c>
      <c r="BI739">
        <v>0</v>
      </c>
      <c r="BJ739">
        <v>0.85089525086173923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0.14910474913826077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0.85089525086173923</v>
      </c>
      <c r="CD739">
        <v>0</v>
      </c>
    </row>
    <row r="740" spans="1:82" hidden="1" x14ac:dyDescent="0.25">
      <c r="A740" t="s">
        <v>128</v>
      </c>
      <c r="B740" t="s">
        <v>502</v>
      </c>
      <c r="C740" t="s">
        <v>72</v>
      </c>
      <c r="D740" s="12">
        <v>46249</v>
      </c>
      <c r="E740" t="s">
        <v>134</v>
      </c>
      <c r="F740" t="s">
        <v>73</v>
      </c>
      <c r="G740">
        <v>0</v>
      </c>
      <c r="H740">
        <v>0</v>
      </c>
      <c r="I740">
        <v>10</v>
      </c>
      <c r="J740">
        <v>0</v>
      </c>
      <c r="K740">
        <v>46249</v>
      </c>
      <c r="L740" t="s">
        <v>155</v>
      </c>
      <c r="M740">
        <v>1.1176470588235294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D740">
        <v>0</v>
      </c>
    </row>
    <row r="741" spans="1:82" hidden="1" x14ac:dyDescent="0.25">
      <c r="A741" t="s">
        <v>128</v>
      </c>
      <c r="B741" t="s">
        <v>503</v>
      </c>
      <c r="C741" t="s">
        <v>72</v>
      </c>
      <c r="D741" s="12">
        <v>46249</v>
      </c>
      <c r="E741" t="s">
        <v>134</v>
      </c>
      <c r="F741" t="s">
        <v>73</v>
      </c>
      <c r="G741">
        <v>1.4014745308310996</v>
      </c>
      <c r="H741">
        <v>0</v>
      </c>
      <c r="I741">
        <v>10</v>
      </c>
      <c r="J741">
        <v>0</v>
      </c>
      <c r="K741">
        <v>46249</v>
      </c>
      <c r="L741" t="s">
        <v>155</v>
      </c>
      <c r="M741">
        <v>1.6911764705882355</v>
      </c>
      <c r="N741">
        <v>0</v>
      </c>
      <c r="O741">
        <v>0</v>
      </c>
      <c r="P741">
        <v>1.2067122401327817</v>
      </c>
      <c r="Q741">
        <v>0.20671224013278167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0.82869798344795442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0.17130201655204558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0.82869798344795442</v>
      </c>
      <c r="CD741">
        <v>0</v>
      </c>
    </row>
    <row r="742" spans="1:82" hidden="1" x14ac:dyDescent="0.25">
      <c r="A742" t="s">
        <v>128</v>
      </c>
      <c r="B742" t="s">
        <v>372</v>
      </c>
      <c r="C742" t="s">
        <v>72</v>
      </c>
      <c r="D742" s="12">
        <v>46249</v>
      </c>
      <c r="E742" t="s">
        <v>134</v>
      </c>
      <c r="F742" t="s">
        <v>73</v>
      </c>
      <c r="G742">
        <v>5.3405029697624178</v>
      </c>
      <c r="H742">
        <v>0</v>
      </c>
      <c r="I742">
        <v>10</v>
      </c>
      <c r="J742">
        <v>0</v>
      </c>
      <c r="K742">
        <v>46249</v>
      </c>
      <c r="L742" t="s">
        <v>155</v>
      </c>
      <c r="M742">
        <v>4.3235294117647038</v>
      </c>
      <c r="N742">
        <v>0</v>
      </c>
      <c r="O742">
        <v>0</v>
      </c>
      <c r="P742">
        <v>0.80957344958784738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0.80957344958784738</v>
      </c>
      <c r="AA742">
        <v>0.19042655041215262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</v>
      </c>
      <c r="BH742">
        <v>0</v>
      </c>
      <c r="BI742">
        <v>0</v>
      </c>
      <c r="BJ742">
        <v>1.2352183739586551</v>
      </c>
      <c r="BK742">
        <v>0.23521837395865508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1</v>
      </c>
      <c r="CD742">
        <v>1</v>
      </c>
    </row>
    <row r="743" spans="1:82" hidden="1" x14ac:dyDescent="0.25">
      <c r="A743" t="s">
        <v>128</v>
      </c>
      <c r="B743" t="s">
        <v>372</v>
      </c>
      <c r="C743" t="s">
        <v>72</v>
      </c>
      <c r="D743" s="12">
        <v>46249</v>
      </c>
      <c r="E743" t="s">
        <v>134</v>
      </c>
      <c r="F743" t="s">
        <v>74</v>
      </c>
      <c r="G743">
        <v>1.2742252699784016</v>
      </c>
      <c r="H743">
        <v>0</v>
      </c>
      <c r="I743">
        <v>10</v>
      </c>
      <c r="J743">
        <v>0</v>
      </c>
      <c r="K743">
        <v>46249</v>
      </c>
      <c r="L743" t="s">
        <v>164</v>
      </c>
      <c r="M743">
        <v>0.94117647058823517</v>
      </c>
      <c r="N743">
        <v>0</v>
      </c>
      <c r="O743">
        <v>0</v>
      </c>
      <c r="P743">
        <v>0.73862643659875649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0.73862643659875649</v>
      </c>
      <c r="AA743">
        <v>0.26137356340124351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H743">
        <v>0</v>
      </c>
      <c r="BI743">
        <v>0</v>
      </c>
      <c r="BJ743">
        <v>1.3538643493520519</v>
      </c>
      <c r="BK743">
        <v>0.35386434935205191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 hidden="1" x14ac:dyDescent="0.25">
      <c r="A744" t="s">
        <v>128</v>
      </c>
      <c r="B744" t="s">
        <v>502</v>
      </c>
      <c r="C744" t="s">
        <v>72</v>
      </c>
      <c r="D744" s="12">
        <v>46249</v>
      </c>
      <c r="E744" t="s">
        <v>134</v>
      </c>
      <c r="F744" t="s">
        <v>74</v>
      </c>
      <c r="G744">
        <v>2.5618168914123487</v>
      </c>
      <c r="H744">
        <v>0</v>
      </c>
      <c r="I744">
        <v>10</v>
      </c>
      <c r="J744">
        <v>0</v>
      </c>
      <c r="K744">
        <v>46249</v>
      </c>
      <c r="L744" t="s">
        <v>164</v>
      </c>
      <c r="M744">
        <v>2.0078431372549019</v>
      </c>
      <c r="N744">
        <v>0</v>
      </c>
      <c r="O744">
        <v>0</v>
      </c>
      <c r="P744">
        <v>0.78375747462105427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0.78375747462105427</v>
      </c>
      <c r="AA744">
        <v>0.21624252537894573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H744">
        <v>0</v>
      </c>
      <c r="BI744">
        <v>0</v>
      </c>
      <c r="BJ744">
        <v>1.2759048970901345</v>
      </c>
      <c r="BK744">
        <v>0.27590489709013455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1</v>
      </c>
      <c r="CD744">
        <v>1</v>
      </c>
    </row>
    <row r="745" spans="1:82" hidden="1" x14ac:dyDescent="0.25">
      <c r="A745" t="s">
        <v>128</v>
      </c>
      <c r="B745" t="s">
        <v>503</v>
      </c>
      <c r="C745" t="s">
        <v>72</v>
      </c>
      <c r="D745" s="12">
        <v>46249</v>
      </c>
      <c r="E745" t="s">
        <v>134</v>
      </c>
      <c r="F745" t="s">
        <v>74</v>
      </c>
      <c r="G745">
        <v>1.7587131367292226</v>
      </c>
      <c r="H745">
        <v>0</v>
      </c>
      <c r="I745">
        <v>10</v>
      </c>
      <c r="J745">
        <v>0</v>
      </c>
      <c r="K745">
        <v>46249</v>
      </c>
      <c r="L745" t="s">
        <v>164</v>
      </c>
      <c r="M745">
        <v>6.2745098039215685E-2</v>
      </c>
      <c r="N745">
        <v>0</v>
      </c>
      <c r="O745">
        <v>0</v>
      </c>
      <c r="P745">
        <v>3.5676709708273552E-2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3.5676709708273552E-2</v>
      </c>
      <c r="AA745">
        <v>0.96432329029172648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H745">
        <v>0</v>
      </c>
      <c r="BI745">
        <v>0</v>
      </c>
      <c r="BJ745">
        <v>28.029490616621985</v>
      </c>
      <c r="BK745">
        <v>27.029490616621985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</row>
    <row r="746" spans="1:82" hidden="1" x14ac:dyDescent="0.25">
      <c r="A746" t="s">
        <v>128</v>
      </c>
      <c r="B746" t="s">
        <v>502</v>
      </c>
      <c r="C746" t="s">
        <v>72</v>
      </c>
      <c r="D746" s="12">
        <v>46249</v>
      </c>
      <c r="E746" t="s">
        <v>134</v>
      </c>
      <c r="F746" t="s">
        <v>75</v>
      </c>
      <c r="G746">
        <v>2.4017033356990769</v>
      </c>
      <c r="H746">
        <v>0</v>
      </c>
      <c r="I746">
        <v>10</v>
      </c>
      <c r="J746">
        <v>0</v>
      </c>
      <c r="K746">
        <v>46249</v>
      </c>
      <c r="L746" t="s">
        <v>167</v>
      </c>
      <c r="M746">
        <v>1.8823529411764703</v>
      </c>
      <c r="N746">
        <v>0</v>
      </c>
      <c r="O746">
        <v>0</v>
      </c>
      <c r="P746">
        <v>0.78375747462105416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0.78375747462105416</v>
      </c>
      <c r="AA746">
        <v>0.21624252537894584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H746">
        <v>0</v>
      </c>
      <c r="BI746">
        <v>0</v>
      </c>
      <c r="BJ746">
        <v>1.2759048970901348</v>
      </c>
      <c r="BK746">
        <v>0.27590489709013477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1</v>
      </c>
      <c r="CD746">
        <v>1</v>
      </c>
    </row>
    <row r="747" spans="1:82" hidden="1" x14ac:dyDescent="0.25">
      <c r="A747" t="s">
        <v>128</v>
      </c>
      <c r="B747" t="s">
        <v>372</v>
      </c>
      <c r="C747" t="s">
        <v>72</v>
      </c>
      <c r="D747" s="12">
        <v>46249</v>
      </c>
      <c r="E747" t="s">
        <v>134</v>
      </c>
      <c r="F747" t="s">
        <v>75</v>
      </c>
      <c r="G747">
        <v>2.2486328293736499</v>
      </c>
      <c r="H747">
        <v>0</v>
      </c>
      <c r="I747">
        <v>10</v>
      </c>
      <c r="J747">
        <v>0</v>
      </c>
      <c r="K747">
        <v>46249</v>
      </c>
      <c r="L747" t="s">
        <v>167</v>
      </c>
      <c r="M747">
        <v>2.1591695501730106</v>
      </c>
      <c r="N747">
        <v>0</v>
      </c>
      <c r="O747">
        <v>0</v>
      </c>
      <c r="P747">
        <v>0.96021436757838363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0.96021436757838363</v>
      </c>
      <c r="AA747">
        <v>3.9785632421616368E-2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H747">
        <v>0</v>
      </c>
      <c r="BI747">
        <v>0</v>
      </c>
      <c r="BJ747">
        <v>1.0414341148861936</v>
      </c>
      <c r="BK747">
        <v>4.143411488619364E-2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1</v>
      </c>
    </row>
    <row r="748" spans="1:82" hidden="1" x14ac:dyDescent="0.25">
      <c r="A748" t="s">
        <v>128</v>
      </c>
      <c r="B748" t="s">
        <v>503</v>
      </c>
      <c r="C748" t="s">
        <v>72</v>
      </c>
      <c r="D748" s="12">
        <v>46249</v>
      </c>
      <c r="E748" t="s">
        <v>134</v>
      </c>
      <c r="F748" t="s">
        <v>75</v>
      </c>
      <c r="G748">
        <v>2.3277085633180885</v>
      </c>
      <c r="H748">
        <v>0</v>
      </c>
      <c r="I748">
        <v>10</v>
      </c>
      <c r="J748">
        <v>0</v>
      </c>
      <c r="K748">
        <v>46249</v>
      </c>
      <c r="L748" t="s">
        <v>167</v>
      </c>
      <c r="M748">
        <v>1.882352941176471</v>
      </c>
      <c r="N748">
        <v>0</v>
      </c>
      <c r="O748">
        <v>0</v>
      </c>
      <c r="P748">
        <v>0.80867208672086743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0.80867208672086743</v>
      </c>
      <c r="AA748">
        <v>0.19132791327913257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</v>
      </c>
      <c r="BH748">
        <v>0</v>
      </c>
      <c r="BI748">
        <v>0</v>
      </c>
      <c r="BJ748">
        <v>1.2365951742627344</v>
      </c>
      <c r="BK748">
        <v>0.23659517426273435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1</v>
      </c>
    </row>
    <row r="749" spans="1:82" hidden="1" x14ac:dyDescent="0.25">
      <c r="A749" t="s">
        <v>128</v>
      </c>
      <c r="B749" t="s">
        <v>372</v>
      </c>
      <c r="C749" t="s">
        <v>72</v>
      </c>
      <c r="D749" s="12">
        <v>46250</v>
      </c>
      <c r="E749" t="s">
        <v>134</v>
      </c>
      <c r="F749" t="s">
        <v>73</v>
      </c>
      <c r="G749">
        <v>3.5134887958963272</v>
      </c>
      <c r="H749">
        <v>0</v>
      </c>
      <c r="I749">
        <v>10</v>
      </c>
      <c r="J749">
        <v>0</v>
      </c>
      <c r="K749">
        <v>46250</v>
      </c>
      <c r="L749" t="s">
        <v>168</v>
      </c>
      <c r="M749">
        <v>2.9411764705882346</v>
      </c>
      <c r="N749">
        <v>0</v>
      </c>
      <c r="O749">
        <v>0</v>
      </c>
      <c r="P749">
        <v>0.83710996147859074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0.83710996147859074</v>
      </c>
      <c r="AA749">
        <v>0.16289003852140926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1</v>
      </c>
      <c r="BH749">
        <v>0</v>
      </c>
      <c r="BI749">
        <v>0</v>
      </c>
      <c r="BJ749">
        <v>1.1945861906047515</v>
      </c>
      <c r="BK749">
        <v>0.19458619060475146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1</v>
      </c>
      <c r="CD749">
        <v>1</v>
      </c>
    </row>
    <row r="750" spans="1:82" hidden="1" x14ac:dyDescent="0.25">
      <c r="A750" t="s">
        <v>128</v>
      </c>
      <c r="B750" t="s">
        <v>502</v>
      </c>
      <c r="C750" t="s">
        <v>72</v>
      </c>
      <c r="D750" s="12">
        <v>46250</v>
      </c>
      <c r="E750" t="s">
        <v>134</v>
      </c>
      <c r="F750" t="s">
        <v>73</v>
      </c>
      <c r="G750">
        <v>0</v>
      </c>
      <c r="H750">
        <v>0</v>
      </c>
      <c r="I750">
        <v>10</v>
      </c>
      <c r="J750">
        <v>0</v>
      </c>
      <c r="K750">
        <v>46250</v>
      </c>
      <c r="L750" t="s">
        <v>168</v>
      </c>
      <c r="M750">
        <v>1.1176470588235294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D750">
        <v>0</v>
      </c>
    </row>
    <row r="751" spans="1:82" hidden="1" x14ac:dyDescent="0.25">
      <c r="A751" t="s">
        <v>128</v>
      </c>
      <c r="B751" t="s">
        <v>503</v>
      </c>
      <c r="C751" t="s">
        <v>72</v>
      </c>
      <c r="D751" s="12">
        <v>46250</v>
      </c>
      <c r="E751" t="s">
        <v>134</v>
      </c>
      <c r="F751" t="s">
        <v>73</v>
      </c>
      <c r="G751">
        <v>1.4014745308310996</v>
      </c>
      <c r="H751">
        <v>0</v>
      </c>
      <c r="I751">
        <v>10</v>
      </c>
      <c r="J751">
        <v>0</v>
      </c>
      <c r="K751">
        <v>46250</v>
      </c>
      <c r="L751" t="s">
        <v>168</v>
      </c>
      <c r="M751">
        <v>1.7647058823529416</v>
      </c>
      <c r="N751">
        <v>0</v>
      </c>
      <c r="O751">
        <v>0</v>
      </c>
      <c r="P751">
        <v>1.2591779897037723</v>
      </c>
      <c r="Q751">
        <v>0.25917798970377226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1</v>
      </c>
      <c r="BH751">
        <v>0</v>
      </c>
      <c r="BI751">
        <v>0</v>
      </c>
      <c r="BJ751">
        <v>0.79416890080428959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0.20583109919571041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0.79416890080428959</v>
      </c>
      <c r="CD751">
        <v>0</v>
      </c>
    </row>
    <row r="752" spans="1:82" hidden="1" x14ac:dyDescent="0.25">
      <c r="A752" t="s">
        <v>128</v>
      </c>
      <c r="B752" t="s">
        <v>503</v>
      </c>
      <c r="C752" t="s">
        <v>72</v>
      </c>
      <c r="D752" s="12">
        <v>46250</v>
      </c>
      <c r="E752" t="s">
        <v>134</v>
      </c>
      <c r="F752" t="s">
        <v>74</v>
      </c>
      <c r="G752">
        <v>1.7587131367292226</v>
      </c>
      <c r="H752">
        <v>0</v>
      </c>
      <c r="I752">
        <v>10</v>
      </c>
      <c r="J752">
        <v>0</v>
      </c>
      <c r="K752">
        <v>46250</v>
      </c>
      <c r="L752" t="s">
        <v>170</v>
      </c>
      <c r="M752">
        <v>6.2745098039215685E-2</v>
      </c>
      <c r="N752">
        <v>0</v>
      </c>
      <c r="O752">
        <v>0</v>
      </c>
      <c r="P752">
        <v>3.5676709708273552E-2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3.5676709708273552E-2</v>
      </c>
      <c r="AA752">
        <v>0.96432329029172648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H752">
        <v>0</v>
      </c>
      <c r="BI752">
        <v>0</v>
      </c>
      <c r="BJ752">
        <v>28.029490616621985</v>
      </c>
      <c r="BK752">
        <v>27.029490616621985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 hidden="1" x14ac:dyDescent="0.25">
      <c r="A753" t="s">
        <v>128</v>
      </c>
      <c r="B753" t="s">
        <v>372</v>
      </c>
      <c r="C753" t="s">
        <v>72</v>
      </c>
      <c r="D753" s="12">
        <v>46250</v>
      </c>
      <c r="E753" t="s">
        <v>134</v>
      </c>
      <c r="F753" t="s">
        <v>74</v>
      </c>
      <c r="G753">
        <v>1.2742252699784016</v>
      </c>
      <c r="H753">
        <v>0</v>
      </c>
      <c r="I753">
        <v>10</v>
      </c>
      <c r="J753">
        <v>0</v>
      </c>
      <c r="K753">
        <v>46250</v>
      </c>
      <c r="L753" t="s">
        <v>170</v>
      </c>
      <c r="M753">
        <v>0.94117647058823517</v>
      </c>
      <c r="N753">
        <v>0</v>
      </c>
      <c r="O753">
        <v>0</v>
      </c>
      <c r="P753">
        <v>0.73862643659875649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0.73862643659875649</v>
      </c>
      <c r="AA753">
        <v>0.26137356340124351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H753">
        <v>0</v>
      </c>
      <c r="BI753">
        <v>0</v>
      </c>
      <c r="BJ753">
        <v>1.3538643493520519</v>
      </c>
      <c r="BK753">
        <v>0.35386434935205191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 hidden="1" x14ac:dyDescent="0.25">
      <c r="A754" t="s">
        <v>128</v>
      </c>
      <c r="B754" t="s">
        <v>502</v>
      </c>
      <c r="C754" t="s">
        <v>72</v>
      </c>
      <c r="D754" s="12">
        <v>46250</v>
      </c>
      <c r="E754" t="s">
        <v>134</v>
      </c>
      <c r="F754" t="s">
        <v>74</v>
      </c>
      <c r="G754">
        <v>2.7219304471256209</v>
      </c>
      <c r="H754">
        <v>0</v>
      </c>
      <c r="I754">
        <v>10</v>
      </c>
      <c r="J754">
        <v>0</v>
      </c>
      <c r="K754">
        <v>46250</v>
      </c>
      <c r="L754" t="s">
        <v>170</v>
      </c>
      <c r="M754">
        <v>2.0078431372549019</v>
      </c>
      <c r="N754">
        <v>0</v>
      </c>
      <c r="O754">
        <v>0</v>
      </c>
      <c r="P754">
        <v>0.73765409376099211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0.73765409376099211</v>
      </c>
      <c r="AA754">
        <v>0.26234590623900789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H754">
        <v>0</v>
      </c>
      <c r="BI754">
        <v>0</v>
      </c>
      <c r="BJ754">
        <v>1.3556489531582683</v>
      </c>
      <c r="BK754">
        <v>0.35564895315826828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1</v>
      </c>
      <c r="CD754">
        <v>1</v>
      </c>
    </row>
    <row r="755" spans="1:82" hidden="1" x14ac:dyDescent="0.25">
      <c r="A755" t="s">
        <v>128</v>
      </c>
      <c r="B755" t="s">
        <v>372</v>
      </c>
      <c r="C755" t="s">
        <v>72</v>
      </c>
      <c r="D755" s="12">
        <v>46250</v>
      </c>
      <c r="E755" t="s">
        <v>134</v>
      </c>
      <c r="F755" t="s">
        <v>75</v>
      </c>
      <c r="G755">
        <v>2.2486328293736499</v>
      </c>
      <c r="H755">
        <v>0</v>
      </c>
      <c r="I755">
        <v>10</v>
      </c>
      <c r="J755">
        <v>0</v>
      </c>
      <c r="K755">
        <v>46250</v>
      </c>
      <c r="L755" t="s">
        <v>171</v>
      </c>
      <c r="M755">
        <v>2.0484429065743952</v>
      </c>
      <c r="N755">
        <v>0</v>
      </c>
      <c r="O755">
        <v>0</v>
      </c>
      <c r="P755">
        <v>0.91097260513846667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0.91097260513846667</v>
      </c>
      <c r="AA755">
        <v>8.9027394861533327E-2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H755">
        <v>0</v>
      </c>
      <c r="BI755">
        <v>0</v>
      </c>
      <c r="BJ755">
        <v>1.0977278508259876</v>
      </c>
      <c r="BK755">
        <v>9.7727850825987561E-2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1</v>
      </c>
      <c r="CD755">
        <v>1</v>
      </c>
    </row>
    <row r="756" spans="1:82" hidden="1" x14ac:dyDescent="0.25">
      <c r="A756" t="s">
        <v>128</v>
      </c>
      <c r="B756" t="s">
        <v>502</v>
      </c>
      <c r="C756" t="s">
        <v>72</v>
      </c>
      <c r="D756" s="12">
        <v>46250</v>
      </c>
      <c r="E756" t="s">
        <v>134</v>
      </c>
      <c r="F756" t="s">
        <v>75</v>
      </c>
      <c r="G756">
        <v>2.4017033356990769</v>
      </c>
      <c r="H756">
        <v>0</v>
      </c>
      <c r="I756">
        <v>10</v>
      </c>
      <c r="J756">
        <v>0</v>
      </c>
      <c r="K756">
        <v>46250</v>
      </c>
      <c r="L756" t="s">
        <v>171</v>
      </c>
      <c r="M756">
        <v>1.8823529411764703</v>
      </c>
      <c r="N756">
        <v>0</v>
      </c>
      <c r="O756">
        <v>0</v>
      </c>
      <c r="P756">
        <v>0.78375747462105416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0.78375747462105416</v>
      </c>
      <c r="AA756">
        <v>0.21624252537894584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</v>
      </c>
      <c r="BH756">
        <v>0</v>
      </c>
      <c r="BI756">
        <v>0</v>
      </c>
      <c r="BJ756">
        <v>1.2759048970901348</v>
      </c>
      <c r="BK756">
        <v>0.27590489709013477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1</v>
      </c>
    </row>
    <row r="757" spans="1:82" hidden="1" x14ac:dyDescent="0.25">
      <c r="A757" t="s">
        <v>128</v>
      </c>
      <c r="B757" t="s">
        <v>503</v>
      </c>
      <c r="C757" t="s">
        <v>72</v>
      </c>
      <c r="D757" s="12">
        <v>46250</v>
      </c>
      <c r="E757" t="s">
        <v>134</v>
      </c>
      <c r="F757" t="s">
        <v>75</v>
      </c>
      <c r="G757">
        <v>2.6380697050938342</v>
      </c>
      <c r="H757">
        <v>0</v>
      </c>
      <c r="I757">
        <v>10</v>
      </c>
      <c r="J757">
        <v>0</v>
      </c>
      <c r="K757">
        <v>46250</v>
      </c>
      <c r="L757" t="s">
        <v>171</v>
      </c>
      <c r="M757">
        <v>2.0484429065743948</v>
      </c>
      <c r="N757">
        <v>0</v>
      </c>
      <c r="O757">
        <v>0</v>
      </c>
      <c r="P757">
        <v>0.77649309365065966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0.77649309365065966</v>
      </c>
      <c r="AA757">
        <v>0.22350690634934034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</v>
      </c>
      <c r="BH757">
        <v>0</v>
      </c>
      <c r="BI757">
        <v>0</v>
      </c>
      <c r="BJ757">
        <v>1.2878414607637128</v>
      </c>
      <c r="BK757">
        <v>0.28784146076371275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1</v>
      </c>
      <c r="CD757">
        <v>1</v>
      </c>
    </row>
    <row r="758" spans="1:82" hidden="1" x14ac:dyDescent="0.25">
      <c r="A758" t="s">
        <v>128</v>
      </c>
      <c r="B758" t="s">
        <v>372</v>
      </c>
      <c r="C758" t="s">
        <v>109</v>
      </c>
      <c r="D758" s="12">
        <v>46223</v>
      </c>
      <c r="E758" t="s">
        <v>133</v>
      </c>
      <c r="G758">
        <v>27.065400662268566</v>
      </c>
      <c r="H758">
        <v>34.200000000000003</v>
      </c>
      <c r="J758">
        <v>34.200000000000003</v>
      </c>
      <c r="M758">
        <v>26.369791666666664</v>
      </c>
      <c r="Q758">
        <v>0</v>
      </c>
      <c r="R758">
        <v>0</v>
      </c>
      <c r="S758">
        <v>9.9226546337706042E-2</v>
      </c>
      <c r="T758">
        <v>0</v>
      </c>
      <c r="U758">
        <v>0</v>
      </c>
      <c r="V758">
        <v>0</v>
      </c>
      <c r="W758">
        <v>1.7246179221508555E-2</v>
      </c>
      <c r="X758">
        <v>0</v>
      </c>
      <c r="Y758">
        <v>0.14713317581868951</v>
      </c>
      <c r="Z758">
        <v>0</v>
      </c>
      <c r="AA758">
        <v>0</v>
      </c>
      <c r="AB758">
        <v>0</v>
      </c>
      <c r="AC758">
        <v>4.2947221089757633E-2</v>
      </c>
      <c r="AD758">
        <v>0</v>
      </c>
      <c r="AE758">
        <v>0.95705277891024232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82" hidden="1" x14ac:dyDescent="0.25">
      <c r="A759" t="s">
        <v>128</v>
      </c>
      <c r="B759" t="s">
        <v>502</v>
      </c>
      <c r="C759" t="s">
        <v>109</v>
      </c>
      <c r="D759" s="12">
        <v>46223</v>
      </c>
      <c r="E759" t="s">
        <v>133</v>
      </c>
      <c r="G759">
        <v>22.513989193638331</v>
      </c>
      <c r="H759">
        <v>72.2</v>
      </c>
      <c r="J759">
        <v>72.2</v>
      </c>
      <c r="M759">
        <v>28.246290703781515</v>
      </c>
      <c r="Q759">
        <v>0</v>
      </c>
      <c r="R759">
        <v>0</v>
      </c>
      <c r="S759">
        <v>1.8898117187362995</v>
      </c>
      <c r="T759">
        <v>0</v>
      </c>
      <c r="U759">
        <v>6.70833090183202E-2</v>
      </c>
      <c r="V759">
        <v>0</v>
      </c>
      <c r="W759">
        <v>0.20072992700729925</v>
      </c>
      <c r="X759">
        <v>0</v>
      </c>
      <c r="Y759">
        <v>4.9270072992700732E-2</v>
      </c>
      <c r="Z759">
        <v>0</v>
      </c>
      <c r="AA759">
        <v>0</v>
      </c>
      <c r="AB759">
        <v>0</v>
      </c>
      <c r="AC759">
        <v>1.3202582141014406E-2</v>
      </c>
      <c r="AD759">
        <v>0</v>
      </c>
      <c r="AE759">
        <v>0.98679741785898545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82" hidden="1" x14ac:dyDescent="0.25">
      <c r="A760" t="s">
        <v>128</v>
      </c>
      <c r="B760" t="s">
        <v>503</v>
      </c>
      <c r="C760" t="s">
        <v>109</v>
      </c>
      <c r="D760" s="12">
        <v>46223</v>
      </c>
      <c r="E760" t="s">
        <v>133</v>
      </c>
      <c r="G760">
        <v>21.530284301606926</v>
      </c>
      <c r="H760">
        <v>72.2</v>
      </c>
      <c r="J760">
        <v>72.2</v>
      </c>
      <c r="M760">
        <v>21.349264705882341</v>
      </c>
      <c r="Q760">
        <v>0</v>
      </c>
      <c r="R760">
        <v>0</v>
      </c>
      <c r="S760">
        <v>2.1034160064301286</v>
      </c>
      <c r="T760">
        <v>0</v>
      </c>
      <c r="U760">
        <v>0</v>
      </c>
      <c r="V760">
        <v>0</v>
      </c>
      <c r="W760">
        <v>6.2222662058277686E-2</v>
      </c>
      <c r="X760">
        <v>0</v>
      </c>
      <c r="Y760">
        <v>0.18777733794172233</v>
      </c>
      <c r="Z760">
        <v>0</v>
      </c>
      <c r="AA760">
        <v>0</v>
      </c>
      <c r="AB760">
        <v>0</v>
      </c>
      <c r="AC760">
        <v>7.0630335323933355E-2</v>
      </c>
      <c r="AD760">
        <v>0</v>
      </c>
      <c r="AE760">
        <v>0.92936966467606663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82" hidden="1" x14ac:dyDescent="0.25">
      <c r="A761" t="s">
        <v>128</v>
      </c>
      <c r="B761" t="s">
        <v>372</v>
      </c>
      <c r="C761" t="s">
        <v>109</v>
      </c>
      <c r="D761" s="12">
        <v>46223</v>
      </c>
      <c r="E761" t="s">
        <v>501</v>
      </c>
      <c r="G761">
        <v>6.7655742969551049</v>
      </c>
      <c r="H761">
        <v>10.45</v>
      </c>
      <c r="J761">
        <v>10.45</v>
      </c>
      <c r="M761">
        <v>5.6366782006920415</v>
      </c>
      <c r="Q761">
        <v>0</v>
      </c>
      <c r="R761">
        <v>0</v>
      </c>
      <c r="S761">
        <v>0.46049001691301777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0.13256880733944956</v>
      </c>
      <c r="Z761">
        <v>0</v>
      </c>
      <c r="AA761">
        <v>4.8474500538352373E-2</v>
      </c>
      <c r="AB761">
        <v>0</v>
      </c>
      <c r="AC761">
        <v>0.11838437155638343</v>
      </c>
      <c r="AD761">
        <v>0</v>
      </c>
      <c r="AE761">
        <v>0.83314112790526429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82" hidden="1" x14ac:dyDescent="0.25">
      <c r="A762" t="s">
        <v>128</v>
      </c>
      <c r="B762" t="s">
        <v>502</v>
      </c>
      <c r="C762" t="s">
        <v>109</v>
      </c>
      <c r="D762" s="12">
        <v>46223</v>
      </c>
      <c r="E762" t="s">
        <v>501</v>
      </c>
      <c r="G762">
        <v>3.3060473611954957</v>
      </c>
      <c r="H762">
        <v>0</v>
      </c>
      <c r="J762">
        <v>0</v>
      </c>
      <c r="M762">
        <v>1.8166089965397925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0.5494806329340941</v>
      </c>
      <c r="AA762">
        <v>0.45051936706590595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82" hidden="1" x14ac:dyDescent="0.25">
      <c r="A763" t="s">
        <v>128</v>
      </c>
      <c r="B763" t="s">
        <v>503</v>
      </c>
      <c r="C763" t="s">
        <v>109</v>
      </c>
      <c r="D763" s="12">
        <v>46223</v>
      </c>
      <c r="E763" t="s">
        <v>501</v>
      </c>
      <c r="G763">
        <v>0.95316362793572351</v>
      </c>
      <c r="H763">
        <v>0</v>
      </c>
      <c r="J763">
        <v>0</v>
      </c>
      <c r="M763">
        <v>0.98961937716262982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0.86399584250632</v>
      </c>
      <c r="AA763">
        <v>0.13600415749368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82" hidden="1" x14ac:dyDescent="0.25">
      <c r="A764" t="s">
        <v>128</v>
      </c>
      <c r="B764" t="s">
        <v>372</v>
      </c>
      <c r="C764" t="s">
        <v>109</v>
      </c>
      <c r="D764" s="12">
        <v>46223</v>
      </c>
      <c r="E764" t="s">
        <v>134</v>
      </c>
      <c r="G764">
        <v>10.479565915226782</v>
      </c>
      <c r="H764">
        <v>8.5499999999999989</v>
      </c>
      <c r="J764">
        <v>8.5499999999999989</v>
      </c>
      <c r="M764">
        <v>9.5982915224913476</v>
      </c>
      <c r="Q764">
        <v>0.10061355638270394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0.13971243909266695</v>
      </c>
      <c r="AA764">
        <v>4.441407252391897E-2</v>
      </c>
      <c r="AB764">
        <v>0</v>
      </c>
      <c r="AC764">
        <v>0.14029403508966598</v>
      </c>
      <c r="AD764">
        <v>0</v>
      </c>
      <c r="AE764">
        <v>0.67557945329374802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82" hidden="1" x14ac:dyDescent="0.25">
      <c r="A765" t="s">
        <v>128</v>
      </c>
      <c r="B765" t="s">
        <v>502</v>
      </c>
      <c r="C765" t="s">
        <v>109</v>
      </c>
      <c r="D765" s="12">
        <v>46223</v>
      </c>
      <c r="E765" t="s">
        <v>134</v>
      </c>
      <c r="G765">
        <v>7.7504968062455655</v>
      </c>
      <c r="H765">
        <v>8.5499999999999989</v>
      </c>
      <c r="J765">
        <v>8.5499999999999989</v>
      </c>
      <c r="M765">
        <v>5.8836361014994241</v>
      </c>
      <c r="Q765">
        <v>0</v>
      </c>
      <c r="R765">
        <v>0</v>
      </c>
      <c r="S765">
        <v>0.31177630042717996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0.14257310825103353</v>
      </c>
      <c r="Z765">
        <v>0.25905992705356978</v>
      </c>
      <c r="AA765">
        <v>9.2134391861859441E-2</v>
      </c>
      <c r="AB765">
        <v>0</v>
      </c>
      <c r="AC765">
        <v>0.1487354196374206</v>
      </c>
      <c r="AD765">
        <v>0</v>
      </c>
      <c r="AE765">
        <v>0.50007026144715017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82" hidden="1" x14ac:dyDescent="0.25">
      <c r="A766" t="s">
        <v>128</v>
      </c>
      <c r="B766" t="s">
        <v>503</v>
      </c>
      <c r="C766" t="s">
        <v>109</v>
      </c>
      <c r="D766" s="12">
        <v>46223</v>
      </c>
      <c r="E766" t="s">
        <v>134</v>
      </c>
      <c r="G766">
        <v>5.798257372654156</v>
      </c>
      <c r="H766">
        <v>8.5499999999999989</v>
      </c>
      <c r="J766">
        <v>8.5499999999999989</v>
      </c>
      <c r="M766">
        <v>3.9759803921568619</v>
      </c>
      <c r="Q766">
        <v>0</v>
      </c>
      <c r="R766">
        <v>0</v>
      </c>
      <c r="S766">
        <v>0.68092128077678848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9.6977228066119428E-2</v>
      </c>
      <c r="Z766">
        <v>0.17466370203150033</v>
      </c>
      <c r="AA766">
        <v>0.12865383351352336</v>
      </c>
      <c r="AB766">
        <v>0</v>
      </c>
      <c r="AC766">
        <v>0.18562627917887772</v>
      </c>
      <c r="AD766">
        <v>0</v>
      </c>
      <c r="AE766">
        <v>0.51105618527609853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82" hidden="1" x14ac:dyDescent="0.25">
      <c r="A767" t="s">
        <v>128</v>
      </c>
      <c r="B767" t="s">
        <v>372</v>
      </c>
      <c r="C767" t="s">
        <v>109</v>
      </c>
      <c r="D767" s="12">
        <v>46224</v>
      </c>
      <c r="E767" t="s">
        <v>133</v>
      </c>
      <c r="G767">
        <v>28.199720573065399</v>
      </c>
      <c r="H767">
        <v>37.049999999999997</v>
      </c>
      <c r="J767">
        <v>37.049999999999997</v>
      </c>
      <c r="M767">
        <v>29.5</v>
      </c>
      <c r="Q767">
        <v>4.303639634358869E-2</v>
      </c>
      <c r="R767">
        <v>0</v>
      </c>
      <c r="S767">
        <v>0.17970767941961413</v>
      </c>
      <c r="T767">
        <v>0</v>
      </c>
      <c r="U767">
        <v>0</v>
      </c>
      <c r="V767">
        <v>0</v>
      </c>
      <c r="W767">
        <v>1.6552460132149463E-2</v>
      </c>
      <c r="X767">
        <v>0</v>
      </c>
      <c r="Y767">
        <v>0.13616035558347259</v>
      </c>
      <c r="Z767">
        <v>1.8577689352691287E-2</v>
      </c>
      <c r="AA767">
        <v>0</v>
      </c>
      <c r="AB767">
        <v>0</v>
      </c>
      <c r="AC767">
        <v>1.3479200049690153E-2</v>
      </c>
      <c r="AD767">
        <v>0</v>
      </c>
      <c r="AE767">
        <v>0.96794311059761851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82" hidden="1" x14ac:dyDescent="0.25">
      <c r="A768" t="s">
        <v>128</v>
      </c>
      <c r="B768" t="s">
        <v>502</v>
      </c>
      <c r="C768" t="s">
        <v>109</v>
      </c>
      <c r="D768" s="12">
        <v>46224</v>
      </c>
      <c r="E768" t="s">
        <v>133</v>
      </c>
      <c r="G768">
        <v>22.459210631123394</v>
      </c>
      <c r="H768">
        <v>74.099999999999994</v>
      </c>
      <c r="J768">
        <v>74.099999999999994</v>
      </c>
      <c r="M768">
        <v>28.625000000000007</v>
      </c>
      <c r="Q768">
        <v>0</v>
      </c>
      <c r="R768">
        <v>0</v>
      </c>
      <c r="S768">
        <v>1.9621567312055328</v>
      </c>
      <c r="T768">
        <v>0</v>
      </c>
      <c r="U768">
        <v>8.7157800237265395E-2</v>
      </c>
      <c r="V768">
        <v>0</v>
      </c>
      <c r="W768">
        <v>0.20060975609756096</v>
      </c>
      <c r="X768">
        <v>0</v>
      </c>
      <c r="Y768">
        <v>4.9390243902439027E-2</v>
      </c>
      <c r="Z768">
        <v>0</v>
      </c>
      <c r="AA768">
        <v>0</v>
      </c>
      <c r="AB768">
        <v>0</v>
      </c>
      <c r="AC768">
        <v>1.3234783560870541E-2</v>
      </c>
      <c r="AD768">
        <v>0</v>
      </c>
      <c r="AE768">
        <v>0.98676521643912951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hidden="1" x14ac:dyDescent="0.25">
      <c r="A769" t="s">
        <v>128</v>
      </c>
      <c r="B769" t="s">
        <v>503</v>
      </c>
      <c r="C769" t="s">
        <v>109</v>
      </c>
      <c r="D769" s="12">
        <v>46224</v>
      </c>
      <c r="E769" t="s">
        <v>133</v>
      </c>
      <c r="G769">
        <v>21.530284301606926</v>
      </c>
      <c r="H769">
        <v>74.099999999999994</v>
      </c>
      <c r="J769">
        <v>74.099999999999994</v>
      </c>
      <c r="M769">
        <v>20.272058823529402</v>
      </c>
      <c r="Q769">
        <v>0</v>
      </c>
      <c r="R769">
        <v>0</v>
      </c>
      <c r="S769">
        <v>2.1916637960730272</v>
      </c>
      <c r="T769">
        <v>0</v>
      </c>
      <c r="U769">
        <v>0</v>
      </c>
      <c r="V769">
        <v>0</v>
      </c>
      <c r="W769">
        <v>1.2041591524656276E-2</v>
      </c>
      <c r="X769">
        <v>0</v>
      </c>
      <c r="Y769">
        <v>0.23795840847534372</v>
      </c>
      <c r="Z769">
        <v>0</v>
      </c>
      <c r="AA769">
        <v>0</v>
      </c>
      <c r="AB769">
        <v>0</v>
      </c>
      <c r="AC769">
        <v>7.0481390110298595E-2</v>
      </c>
      <c r="AD769">
        <v>0</v>
      </c>
      <c r="AE769">
        <v>0.92951860988970136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hidden="1" x14ac:dyDescent="0.25">
      <c r="A770" t="s">
        <v>128</v>
      </c>
      <c r="B770" t="s">
        <v>372</v>
      </c>
      <c r="C770" t="s">
        <v>109</v>
      </c>
      <c r="D770" s="12">
        <v>46224</v>
      </c>
      <c r="E770" t="s">
        <v>501</v>
      </c>
      <c r="G770">
        <v>6.815229888125419</v>
      </c>
      <c r="H770">
        <v>9.5</v>
      </c>
      <c r="J770">
        <v>9.5</v>
      </c>
      <c r="M770">
        <v>7.404751606524961</v>
      </c>
      <c r="Q770">
        <v>4.3485087721932054E-2</v>
      </c>
      <c r="R770">
        <v>0</v>
      </c>
      <c r="S770">
        <v>0.31774121459999127</v>
      </c>
      <c r="T770">
        <v>0</v>
      </c>
      <c r="U770">
        <v>0</v>
      </c>
      <c r="V770">
        <v>0</v>
      </c>
      <c r="W770">
        <v>4.3015548071249597E-2</v>
      </c>
      <c r="X770">
        <v>0</v>
      </c>
      <c r="Y770">
        <v>8.8587366318550034E-2</v>
      </c>
      <c r="Z770">
        <v>5.5407291062663067E-2</v>
      </c>
      <c r="AA770">
        <v>0</v>
      </c>
      <c r="AB770">
        <v>0</v>
      </c>
      <c r="AC770">
        <v>0</v>
      </c>
      <c r="AD770">
        <v>0</v>
      </c>
      <c r="AE770">
        <v>0.94459270893733693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idden="1" x14ac:dyDescent="0.25">
      <c r="A771" t="s">
        <v>128</v>
      </c>
      <c r="B771" t="s">
        <v>502</v>
      </c>
      <c r="C771" t="s">
        <v>109</v>
      </c>
      <c r="D771" s="12">
        <v>46224</v>
      </c>
      <c r="E771" t="s">
        <v>501</v>
      </c>
      <c r="G771">
        <v>3.3060473611954952</v>
      </c>
      <c r="H771">
        <v>0</v>
      </c>
      <c r="J771">
        <v>0</v>
      </c>
      <c r="M771">
        <v>1.8166089965397925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0.5494806329340941</v>
      </c>
      <c r="AA771">
        <v>0.45051936706590595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hidden="1" x14ac:dyDescent="0.25">
      <c r="A772" t="s">
        <v>128</v>
      </c>
      <c r="B772" t="s">
        <v>503</v>
      </c>
      <c r="C772" t="s">
        <v>109</v>
      </c>
      <c r="D772" s="12">
        <v>46224</v>
      </c>
      <c r="E772" t="s">
        <v>501</v>
      </c>
      <c r="G772">
        <v>0.95316362793572373</v>
      </c>
      <c r="H772">
        <v>0</v>
      </c>
      <c r="J772">
        <v>0</v>
      </c>
      <c r="M772">
        <v>0.98961937716262982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0.86399584250631978</v>
      </c>
      <c r="AA772">
        <v>0.13600415749368022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hidden="1" x14ac:dyDescent="0.25">
      <c r="A773" t="s">
        <v>128</v>
      </c>
      <c r="B773" t="s">
        <v>372</v>
      </c>
      <c r="C773" t="s">
        <v>109</v>
      </c>
      <c r="D773" s="12">
        <v>46224</v>
      </c>
      <c r="E773" t="s">
        <v>134</v>
      </c>
      <c r="G773">
        <v>10.479565915226782</v>
      </c>
      <c r="H773">
        <v>6.6499999999999995</v>
      </c>
      <c r="J773">
        <v>6.6499999999999995</v>
      </c>
      <c r="M773">
        <v>8.7159385813148766</v>
      </c>
      <c r="Q773">
        <v>1.0802921266538602E-2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0.32101765873342564</v>
      </c>
      <c r="AA773">
        <v>4.4414072523919032E-2</v>
      </c>
      <c r="AB773">
        <v>0</v>
      </c>
      <c r="AC773">
        <v>0.13468087039490576</v>
      </c>
      <c r="AD773">
        <v>0</v>
      </c>
      <c r="AE773">
        <v>0.49988739834774959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hidden="1" x14ac:dyDescent="0.25">
      <c r="A774" t="s">
        <v>128</v>
      </c>
      <c r="B774" t="s">
        <v>502</v>
      </c>
      <c r="C774" t="s">
        <v>109</v>
      </c>
      <c r="D774" s="12">
        <v>46224</v>
      </c>
      <c r="E774" t="s">
        <v>134</v>
      </c>
      <c r="G774">
        <v>9.0264017033356989</v>
      </c>
      <c r="H774">
        <v>6.6499999999999995</v>
      </c>
      <c r="J774">
        <v>6.6499999999999995</v>
      </c>
      <c r="M774">
        <v>6.1189302191464821</v>
      </c>
      <c r="Q774">
        <v>0</v>
      </c>
      <c r="R774">
        <v>0</v>
      </c>
      <c r="S774">
        <v>9.1015238005378071E-2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0.10809312638580931</v>
      </c>
      <c r="Z774">
        <v>0.35039463920570685</v>
      </c>
      <c r="AA774">
        <v>0.11198604359531843</v>
      </c>
      <c r="AB774">
        <v>0</v>
      </c>
      <c r="AC774">
        <v>0.21012143397403935</v>
      </c>
      <c r="AD774">
        <v>0</v>
      </c>
      <c r="AE774">
        <v>0.32749788322493534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hidden="1" x14ac:dyDescent="0.25">
      <c r="A775" t="s">
        <v>128</v>
      </c>
      <c r="B775" t="s">
        <v>503</v>
      </c>
      <c r="C775" t="s">
        <v>109</v>
      </c>
      <c r="D775" s="12">
        <v>46224</v>
      </c>
      <c r="E775" t="s">
        <v>134</v>
      </c>
      <c r="G775">
        <v>5.798257372654156</v>
      </c>
      <c r="H775">
        <v>6.6499999999999995</v>
      </c>
      <c r="J775">
        <v>6.6499999999999995</v>
      </c>
      <c r="M775">
        <v>3.1758596453287193</v>
      </c>
      <c r="Q775">
        <v>0</v>
      </c>
      <c r="R775">
        <v>0</v>
      </c>
      <c r="S775">
        <v>0.6809212807767886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6.0426540284360203E-2</v>
      </c>
      <c r="Z775">
        <v>0.19596330444027305</v>
      </c>
      <c r="AA775">
        <v>0.39848820405585444</v>
      </c>
      <c r="AB775">
        <v>0</v>
      </c>
      <c r="AC775">
        <v>5.3785222041654555E-2</v>
      </c>
      <c r="AD775">
        <v>0</v>
      </c>
      <c r="AE775">
        <v>0.35176326946221786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idden="1" x14ac:dyDescent="0.25">
      <c r="A776" t="s">
        <v>128</v>
      </c>
      <c r="B776" t="s">
        <v>372</v>
      </c>
      <c r="C776" t="s">
        <v>109</v>
      </c>
      <c r="D776" s="12">
        <v>46225</v>
      </c>
      <c r="E776" t="s">
        <v>133</v>
      </c>
      <c r="G776">
        <v>27.619370851262371</v>
      </c>
      <c r="H776">
        <v>33.249999999999993</v>
      </c>
      <c r="J776">
        <v>33.249999999999993</v>
      </c>
      <c r="M776">
        <v>29.120535714285715</v>
      </c>
      <c r="Q776">
        <v>1.0273189703187569E-2</v>
      </c>
      <c r="R776">
        <v>0</v>
      </c>
      <c r="S776">
        <v>4.9646444514675009E-2</v>
      </c>
      <c r="T776">
        <v>0</v>
      </c>
      <c r="U776">
        <v>0</v>
      </c>
      <c r="V776">
        <v>0</v>
      </c>
      <c r="W776">
        <v>4.9481194004586247E-2</v>
      </c>
      <c r="X776">
        <v>0</v>
      </c>
      <c r="Y776">
        <v>0.11997056001691656</v>
      </c>
      <c r="Z776">
        <v>1.5232977309378108E-2</v>
      </c>
      <c r="AA776">
        <v>0</v>
      </c>
      <c r="AB776">
        <v>0</v>
      </c>
      <c r="AC776">
        <v>5.4024988981046813E-3</v>
      </c>
      <c r="AD776">
        <v>0</v>
      </c>
      <c r="AE776">
        <v>0.97936452379251715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hidden="1" x14ac:dyDescent="0.25">
      <c r="A777" t="s">
        <v>128</v>
      </c>
      <c r="B777" t="s">
        <v>502</v>
      </c>
      <c r="C777" t="s">
        <v>109</v>
      </c>
      <c r="D777" s="12">
        <v>46225</v>
      </c>
      <c r="E777" t="s">
        <v>133</v>
      </c>
      <c r="G777">
        <v>22.459210631123391</v>
      </c>
      <c r="H777">
        <v>62.699999999999996</v>
      </c>
      <c r="J777">
        <v>62.699999999999996</v>
      </c>
      <c r="M777">
        <v>28.312499999999996</v>
      </c>
      <c r="Q777">
        <v>0</v>
      </c>
      <c r="R777">
        <v>0</v>
      </c>
      <c r="S777">
        <v>1.4698089035016986</v>
      </c>
      <c r="T777">
        <v>0</v>
      </c>
      <c r="U777">
        <v>7.1918776949899857E-2</v>
      </c>
      <c r="V777">
        <v>0</v>
      </c>
      <c r="W777">
        <v>0.20060975609756099</v>
      </c>
      <c r="X777">
        <v>0</v>
      </c>
      <c r="Y777">
        <v>4.9390243902439034E-2</v>
      </c>
      <c r="Z777">
        <v>0</v>
      </c>
      <c r="AA777">
        <v>0</v>
      </c>
      <c r="AB777">
        <v>0</v>
      </c>
      <c r="AC777">
        <v>1.1909873513395711E-2</v>
      </c>
      <c r="AD777">
        <v>0</v>
      </c>
      <c r="AE777">
        <v>0.98809012648660433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hidden="1" x14ac:dyDescent="0.25">
      <c r="A778" t="s">
        <v>128</v>
      </c>
      <c r="B778" t="s">
        <v>503</v>
      </c>
      <c r="C778" t="s">
        <v>109</v>
      </c>
      <c r="D778" s="12">
        <v>46225</v>
      </c>
      <c r="E778" t="s">
        <v>133</v>
      </c>
      <c r="G778">
        <v>19.848230840543884</v>
      </c>
      <c r="H778">
        <v>62.699999999999996</v>
      </c>
      <c r="J778">
        <v>62.699999999999996</v>
      </c>
      <c r="M778">
        <v>17.312499999999993</v>
      </c>
      <c r="Q778">
        <v>0</v>
      </c>
      <c r="R778">
        <v>0</v>
      </c>
      <c r="S778">
        <v>1.9089717241661157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0.25</v>
      </c>
      <c r="Z778">
        <v>0</v>
      </c>
      <c r="AA778">
        <v>0</v>
      </c>
      <c r="AB778">
        <v>0</v>
      </c>
      <c r="AC778">
        <v>0.12775601316386204</v>
      </c>
      <c r="AD778">
        <v>0</v>
      </c>
      <c r="AE778">
        <v>0.87224398683613824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hidden="1" x14ac:dyDescent="0.25">
      <c r="A779" t="s">
        <v>128</v>
      </c>
      <c r="B779" t="s">
        <v>372</v>
      </c>
      <c r="C779" t="s">
        <v>109</v>
      </c>
      <c r="D779" s="12">
        <v>46225</v>
      </c>
      <c r="E779" t="s">
        <v>501</v>
      </c>
      <c r="G779">
        <v>6.7655742969551058</v>
      </c>
      <c r="H779">
        <v>12.35</v>
      </c>
      <c r="J779">
        <v>12.35</v>
      </c>
      <c r="M779">
        <v>7.5155709342560542</v>
      </c>
      <c r="Q779">
        <v>8.4679761370877668E-2</v>
      </c>
      <c r="R779">
        <v>0</v>
      </c>
      <c r="S779">
        <v>0.74132353031558407</v>
      </c>
      <c r="T779">
        <v>0</v>
      </c>
      <c r="U779">
        <v>0</v>
      </c>
      <c r="V779">
        <v>0</v>
      </c>
      <c r="W779">
        <v>2.6175075836141121E-2</v>
      </c>
      <c r="X779">
        <v>0</v>
      </c>
      <c r="Y779">
        <v>0.10639373150330843</v>
      </c>
      <c r="Z779">
        <v>4.8474500538352373E-2</v>
      </c>
      <c r="AA779">
        <v>0</v>
      </c>
      <c r="AB779">
        <v>0</v>
      </c>
      <c r="AC779">
        <v>0</v>
      </c>
      <c r="AD779">
        <v>0</v>
      </c>
      <c r="AE779">
        <v>0.95152549946164766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hidden="1" x14ac:dyDescent="0.25">
      <c r="A780" t="s">
        <v>128</v>
      </c>
      <c r="B780" t="s">
        <v>502</v>
      </c>
      <c r="C780" t="s">
        <v>109</v>
      </c>
      <c r="D780" s="12">
        <v>46225</v>
      </c>
      <c r="E780" t="s">
        <v>501</v>
      </c>
      <c r="G780">
        <v>3.4607162435906065</v>
      </c>
      <c r="H780">
        <v>0</v>
      </c>
      <c r="J780">
        <v>0</v>
      </c>
      <c r="M780">
        <v>1.8166089965397925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0.52492283928340833</v>
      </c>
      <c r="AA780">
        <v>0.47507716071659167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hidden="1" x14ac:dyDescent="0.25">
      <c r="A781" t="s">
        <v>128</v>
      </c>
      <c r="B781" t="s">
        <v>503</v>
      </c>
      <c r="C781" t="s">
        <v>109</v>
      </c>
      <c r="D781" s="12">
        <v>46225</v>
      </c>
      <c r="E781" t="s">
        <v>501</v>
      </c>
      <c r="G781">
        <v>3.5455048443975872</v>
      </c>
      <c r="H781">
        <v>0</v>
      </c>
      <c r="J781">
        <v>0</v>
      </c>
      <c r="M781">
        <v>3.7927062465853218</v>
      </c>
      <c r="Q781">
        <v>0.17788329778790615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0.69835081338639671</v>
      </c>
      <c r="AA781">
        <v>0.10816081452058005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0.19348837209302328</v>
      </c>
      <c r="AJ781">
        <v>0</v>
      </c>
    </row>
    <row r="782" spans="1:36" hidden="1" x14ac:dyDescent="0.25">
      <c r="A782" t="s">
        <v>128</v>
      </c>
      <c r="B782" t="s">
        <v>372</v>
      </c>
      <c r="C782" t="s">
        <v>109</v>
      </c>
      <c r="D782" s="12">
        <v>46225</v>
      </c>
      <c r="E782" t="s">
        <v>134</v>
      </c>
      <c r="G782">
        <v>9.8140698021217112</v>
      </c>
      <c r="H782">
        <v>8.5500000000000007</v>
      </c>
      <c r="J782">
        <v>8.5500000000000007</v>
      </c>
      <c r="M782">
        <v>7.5087045847750877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8.6402552206885821E-2</v>
      </c>
      <c r="Z782">
        <v>9.5900731252671706E-2</v>
      </c>
      <c r="AA782">
        <v>0.11930361548072468</v>
      </c>
      <c r="AB782">
        <v>0</v>
      </c>
      <c r="AC782">
        <v>0.1156004828015421</v>
      </c>
      <c r="AD782">
        <v>0</v>
      </c>
      <c r="AE782">
        <v>0.66919517046506161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hidden="1" x14ac:dyDescent="0.25">
      <c r="A783" t="s">
        <v>128</v>
      </c>
      <c r="B783" t="s">
        <v>502</v>
      </c>
      <c r="C783" t="s">
        <v>109</v>
      </c>
      <c r="D783" s="12">
        <v>46225</v>
      </c>
      <c r="E783" t="s">
        <v>134</v>
      </c>
      <c r="G783">
        <v>7.7504968062455646</v>
      </c>
      <c r="H783">
        <v>8.5500000000000007</v>
      </c>
      <c r="J783">
        <v>8.5500000000000007</v>
      </c>
      <c r="M783">
        <v>6.1189302191464829</v>
      </c>
      <c r="Q783">
        <v>0</v>
      </c>
      <c r="R783">
        <v>0</v>
      </c>
      <c r="S783">
        <v>0.29214798840707096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0.1622014202711427</v>
      </c>
      <c r="Z783">
        <v>0.25905992705356984</v>
      </c>
      <c r="AA783">
        <v>9.2134391861859455E-2</v>
      </c>
      <c r="AB783">
        <v>0</v>
      </c>
      <c r="AC783">
        <v>0.11837683443583036</v>
      </c>
      <c r="AD783">
        <v>0</v>
      </c>
      <c r="AE783">
        <v>0.53042884664874046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hidden="1" x14ac:dyDescent="0.25">
      <c r="A784" t="s">
        <v>128</v>
      </c>
      <c r="B784" t="s">
        <v>503</v>
      </c>
      <c r="C784" t="s">
        <v>109</v>
      </c>
      <c r="D784" s="12">
        <v>46225</v>
      </c>
      <c r="E784" t="s">
        <v>134</v>
      </c>
      <c r="G784">
        <v>7.1997319034852554</v>
      </c>
      <c r="H784">
        <v>8.5500000000000007</v>
      </c>
      <c r="J784">
        <v>8.5500000000000007</v>
      </c>
      <c r="M784">
        <v>3.0347120098039211</v>
      </c>
      <c r="Q784">
        <v>0</v>
      </c>
      <c r="R784">
        <v>0</v>
      </c>
      <c r="S784">
        <v>0.24288773040402148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0.18893129770992367</v>
      </c>
      <c r="Z784">
        <v>8.7149214554561334E-3</v>
      </c>
      <c r="AA784">
        <v>0.2355598877048492</v>
      </c>
      <c r="AB784">
        <v>0</v>
      </c>
      <c r="AC784">
        <v>0.34293663820955689</v>
      </c>
      <c r="AD784">
        <v>0</v>
      </c>
      <c r="AE784">
        <v>0.41278855263013781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hidden="1" x14ac:dyDescent="0.25">
      <c r="A785" t="s">
        <v>128</v>
      </c>
      <c r="B785" t="s">
        <v>372</v>
      </c>
      <c r="C785" t="s">
        <v>109</v>
      </c>
      <c r="D785" s="12">
        <v>46226</v>
      </c>
      <c r="E785" t="s">
        <v>133</v>
      </c>
      <c r="G785">
        <v>26.933502998222423</v>
      </c>
      <c r="H785">
        <v>41.8</v>
      </c>
      <c r="J785">
        <v>41.8</v>
      </c>
      <c r="M785">
        <v>25.59375</v>
      </c>
      <c r="Q785">
        <v>0</v>
      </c>
      <c r="R785">
        <v>0</v>
      </c>
      <c r="S785">
        <v>0.35676858723879623</v>
      </c>
      <c r="T785">
        <v>0</v>
      </c>
      <c r="U785">
        <v>0</v>
      </c>
      <c r="V785">
        <v>0</v>
      </c>
      <c r="W785">
        <v>1.0251705891324894E-2</v>
      </c>
      <c r="X785">
        <v>0</v>
      </c>
      <c r="Y785">
        <v>0.20057101692943904</v>
      </c>
      <c r="Z785">
        <v>0</v>
      </c>
      <c r="AA785">
        <v>1.5620888582682586E-2</v>
      </c>
      <c r="AB785">
        <v>0</v>
      </c>
      <c r="AC785">
        <v>4.4373808345153365E-2</v>
      </c>
      <c r="AD785">
        <v>0</v>
      </c>
      <c r="AE785">
        <v>0.9400053030721639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hidden="1" x14ac:dyDescent="0.25">
      <c r="A786" t="s">
        <v>128</v>
      </c>
      <c r="B786" t="s">
        <v>502</v>
      </c>
      <c r="C786" t="s">
        <v>109</v>
      </c>
      <c r="D786" s="12">
        <v>46226</v>
      </c>
      <c r="E786" t="s">
        <v>133</v>
      </c>
      <c r="G786">
        <v>22.404432068608465</v>
      </c>
      <c r="H786">
        <v>76</v>
      </c>
      <c r="J786">
        <v>76</v>
      </c>
      <c r="M786">
        <v>28.191666666666659</v>
      </c>
      <c r="Q786">
        <v>0</v>
      </c>
      <c r="R786">
        <v>0</v>
      </c>
      <c r="S786">
        <v>2.1042384654979065</v>
      </c>
      <c r="T786">
        <v>0</v>
      </c>
      <c r="U786">
        <v>3.7947498746459328E-2</v>
      </c>
      <c r="V786">
        <v>0</v>
      </c>
      <c r="W786">
        <v>0.22036007987620385</v>
      </c>
      <c r="X786">
        <v>0</v>
      </c>
      <c r="Y786">
        <v>2.963992012379613E-2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hidden="1" x14ac:dyDescent="0.25">
      <c r="A787" t="s">
        <v>128</v>
      </c>
      <c r="B787" t="s">
        <v>503</v>
      </c>
      <c r="C787" t="s">
        <v>109</v>
      </c>
      <c r="D787" s="12">
        <v>46226</v>
      </c>
      <c r="E787" t="s">
        <v>133</v>
      </c>
      <c r="G787">
        <v>21.530284301606926</v>
      </c>
      <c r="H787">
        <v>76</v>
      </c>
      <c r="J787">
        <v>76</v>
      </c>
      <c r="M787">
        <v>17.522058823529402</v>
      </c>
      <c r="Q787">
        <v>0</v>
      </c>
      <c r="R787">
        <v>0</v>
      </c>
      <c r="S787">
        <v>2.2799115857159253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0.25</v>
      </c>
      <c r="Z787">
        <v>0</v>
      </c>
      <c r="AA787">
        <v>0</v>
      </c>
      <c r="AB787">
        <v>0</v>
      </c>
      <c r="AC787">
        <v>0.18616686254246848</v>
      </c>
      <c r="AD787">
        <v>0</v>
      </c>
      <c r="AE787">
        <v>0.8138331374575315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hidden="1" x14ac:dyDescent="0.25">
      <c r="A788" t="s">
        <v>128</v>
      </c>
      <c r="B788" t="s">
        <v>372</v>
      </c>
      <c r="C788" t="s">
        <v>109</v>
      </c>
      <c r="D788" s="12">
        <v>46226</v>
      </c>
      <c r="E788" t="s">
        <v>501</v>
      </c>
      <c r="G788">
        <v>6.7655742969551058</v>
      </c>
      <c r="H788">
        <v>11.399999999999999</v>
      </c>
      <c r="J788">
        <v>11.399999999999999</v>
      </c>
      <c r="M788">
        <v>7.5155709342560559</v>
      </c>
      <c r="Q788">
        <v>8.4679761370877557E-2</v>
      </c>
      <c r="R788">
        <v>0</v>
      </c>
      <c r="S788">
        <v>0.60090677361430067</v>
      </c>
      <c r="T788">
        <v>0</v>
      </c>
      <c r="U788">
        <v>0</v>
      </c>
      <c r="V788">
        <v>0</v>
      </c>
      <c r="W788">
        <v>2.6175075836141471E-2</v>
      </c>
      <c r="X788">
        <v>0</v>
      </c>
      <c r="Y788">
        <v>0.10639373150330807</v>
      </c>
      <c r="Z788">
        <v>4.8474500538352429E-2</v>
      </c>
      <c r="AA788">
        <v>0</v>
      </c>
      <c r="AB788">
        <v>0</v>
      </c>
      <c r="AC788">
        <v>0</v>
      </c>
      <c r="AD788">
        <v>0</v>
      </c>
      <c r="AE788">
        <v>0.95152549946164755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hidden="1" x14ac:dyDescent="0.25">
      <c r="A789" t="s">
        <v>128</v>
      </c>
      <c r="B789" t="s">
        <v>502</v>
      </c>
      <c r="C789" t="s">
        <v>109</v>
      </c>
      <c r="D789" s="12">
        <v>46226</v>
      </c>
      <c r="E789" t="s">
        <v>501</v>
      </c>
      <c r="G789">
        <v>3.3060473611954957</v>
      </c>
      <c r="H789">
        <v>0</v>
      </c>
      <c r="J789">
        <v>0</v>
      </c>
      <c r="M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hidden="1" x14ac:dyDescent="0.25">
      <c r="A790" t="s">
        <v>128</v>
      </c>
      <c r="B790" t="s">
        <v>503</v>
      </c>
      <c r="C790" t="s">
        <v>109</v>
      </c>
      <c r="D790" s="12">
        <v>46226</v>
      </c>
      <c r="E790" t="s">
        <v>501</v>
      </c>
      <c r="G790">
        <v>2.8594908838071702</v>
      </c>
      <c r="H790">
        <v>0</v>
      </c>
      <c r="J790">
        <v>0</v>
      </c>
      <c r="M790">
        <v>3.0868238936441452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0.86589057023111471</v>
      </c>
      <c r="AA790">
        <v>0.13410942976888529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hidden="1" x14ac:dyDescent="0.25">
      <c r="A791" t="s">
        <v>128</v>
      </c>
      <c r="B791" t="s">
        <v>372</v>
      </c>
      <c r="C791" t="s">
        <v>109</v>
      </c>
      <c r="D791" s="12">
        <v>46226</v>
      </c>
      <c r="E791" t="s">
        <v>134</v>
      </c>
      <c r="G791">
        <v>10.752377986437555</v>
      </c>
      <c r="H791">
        <v>6.6499999999999995</v>
      </c>
      <c r="J791">
        <v>6.6499999999999995</v>
      </c>
      <c r="M791">
        <v>8.9862046985977049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2.741516685299026E-2</v>
      </c>
      <c r="Z791">
        <v>0.27661819639566004</v>
      </c>
      <c r="AA791">
        <v>0.13232912935390764</v>
      </c>
      <c r="AB791">
        <v>0</v>
      </c>
      <c r="AC791">
        <v>3.192972483328721E-2</v>
      </c>
      <c r="AD791">
        <v>0</v>
      </c>
      <c r="AE791">
        <v>0.55912294941714502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hidden="1" x14ac:dyDescent="0.25">
      <c r="A792" t="s">
        <v>128</v>
      </c>
      <c r="B792" t="s">
        <v>502</v>
      </c>
      <c r="C792" t="s">
        <v>109</v>
      </c>
      <c r="D792" s="12">
        <v>46226</v>
      </c>
      <c r="E792" t="s">
        <v>134</v>
      </c>
      <c r="G792">
        <v>9.1765081618168907</v>
      </c>
      <c r="H792">
        <v>6.6499999999999995</v>
      </c>
      <c r="J792">
        <v>6.6499999999999995</v>
      </c>
      <c r="M792">
        <v>6.0599264705882359</v>
      </c>
      <c r="Q792">
        <v>0</v>
      </c>
      <c r="R792">
        <v>0</v>
      </c>
      <c r="S792">
        <v>8.6947106274700814E-2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6.5430752453653235E-2</v>
      </c>
      <c r="Z792">
        <v>0.21880252290402383</v>
      </c>
      <c r="AA792">
        <v>0.20889881587413808</v>
      </c>
      <c r="AB792">
        <v>0</v>
      </c>
      <c r="AC792">
        <v>0.13072728550030802</v>
      </c>
      <c r="AD792">
        <v>0</v>
      </c>
      <c r="AE792">
        <v>0.4415713757215301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25">
      <c r="A793" t="s">
        <v>128</v>
      </c>
      <c r="B793" t="s">
        <v>503</v>
      </c>
      <c r="C793" t="s">
        <v>109</v>
      </c>
      <c r="D793" s="12">
        <v>46226</v>
      </c>
      <c r="E793" t="s">
        <v>134</v>
      </c>
      <c r="G793">
        <v>5.4878962308784098</v>
      </c>
      <c r="H793">
        <v>6.6499999999999995</v>
      </c>
      <c r="J793">
        <v>6.6499999999999995</v>
      </c>
      <c r="M793">
        <v>3.8758938869665513</v>
      </c>
      <c r="Q793">
        <v>0</v>
      </c>
      <c r="R793">
        <v>0</v>
      </c>
      <c r="S793">
        <v>0.36000287366643913</v>
      </c>
      <c r="T793">
        <v>0</v>
      </c>
      <c r="U793">
        <v>2.3438341894464637E-3</v>
      </c>
      <c r="V793">
        <v>0</v>
      </c>
      <c r="W793">
        <v>6.3843888070692204E-2</v>
      </c>
      <c r="X793">
        <v>0</v>
      </c>
      <c r="Y793">
        <v>0.1060382916053019</v>
      </c>
      <c r="Z793">
        <v>1.1433360872636709E-2</v>
      </c>
      <c r="AA793">
        <v>0.3090379204233869</v>
      </c>
      <c r="AB793">
        <v>0</v>
      </c>
      <c r="AC793">
        <v>5.0887561461597383E-2</v>
      </c>
      <c r="AD793">
        <v>0</v>
      </c>
      <c r="AE793">
        <v>0.62864115724237901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25">
      <c r="A794" t="s">
        <v>128</v>
      </c>
      <c r="B794" t="s">
        <v>372</v>
      </c>
      <c r="C794" t="s">
        <v>109</v>
      </c>
      <c r="D794" s="12">
        <v>46227</v>
      </c>
      <c r="E794" t="s">
        <v>133</v>
      </c>
      <c r="G794">
        <v>26.221255612373248</v>
      </c>
      <c r="H794">
        <v>34.200000000000003</v>
      </c>
      <c r="J794">
        <v>34.200000000000003</v>
      </c>
      <c r="M794">
        <v>27.3125</v>
      </c>
      <c r="Q794">
        <v>1.7801388210530966E-2</v>
      </c>
      <c r="R794">
        <v>0</v>
      </c>
      <c r="S794">
        <v>0.20146414867747031</v>
      </c>
      <c r="T794">
        <v>0</v>
      </c>
      <c r="U794">
        <v>0</v>
      </c>
      <c r="V794">
        <v>0</v>
      </c>
      <c r="W794">
        <v>2.381539794794027E-2</v>
      </c>
      <c r="X794">
        <v>0</v>
      </c>
      <c r="Y794">
        <v>9.5051018823934214E-2</v>
      </c>
      <c r="Z794">
        <v>1.6045198433520043E-2</v>
      </c>
      <c r="AA794">
        <v>0</v>
      </c>
      <c r="AB794">
        <v>0</v>
      </c>
      <c r="AC794">
        <v>0</v>
      </c>
      <c r="AD794">
        <v>0</v>
      </c>
      <c r="AE794">
        <v>0.98395480156647996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idden="1" x14ac:dyDescent="0.25">
      <c r="A795" t="s">
        <v>128</v>
      </c>
      <c r="B795" t="s">
        <v>502</v>
      </c>
      <c r="C795" t="s">
        <v>109</v>
      </c>
      <c r="D795" s="12">
        <v>46227</v>
      </c>
      <c r="E795" t="s">
        <v>133</v>
      </c>
      <c r="G795">
        <v>22.459210631123391</v>
      </c>
      <c r="H795">
        <v>68.400000000000006</v>
      </c>
      <c r="J795">
        <v>68.400000000000006</v>
      </c>
      <c r="M795">
        <v>27.218749999999996</v>
      </c>
      <c r="Q795">
        <v>0</v>
      </c>
      <c r="R795">
        <v>0</v>
      </c>
      <c r="S795">
        <v>1.7132668761970493</v>
      </c>
      <c r="T795">
        <v>0</v>
      </c>
      <c r="U795">
        <v>8.2254229750149899E-2</v>
      </c>
      <c r="V795">
        <v>0</v>
      </c>
      <c r="W795">
        <v>0.12966503344429917</v>
      </c>
      <c r="X795">
        <v>0</v>
      </c>
      <c r="Y795">
        <v>0.12033496655570085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idden="1" x14ac:dyDescent="0.25">
      <c r="A796" t="s">
        <v>128</v>
      </c>
      <c r="B796" t="s">
        <v>503</v>
      </c>
      <c r="C796" t="s">
        <v>109</v>
      </c>
      <c r="D796" s="12">
        <v>46227</v>
      </c>
      <c r="E796" t="s">
        <v>133</v>
      </c>
      <c r="G796">
        <v>20.577120673671207</v>
      </c>
      <c r="H796">
        <v>68.400000000000006</v>
      </c>
      <c r="J796">
        <v>68.400000000000006</v>
      </c>
      <c r="M796">
        <v>18.97794117647058</v>
      </c>
      <c r="Q796">
        <v>0</v>
      </c>
      <c r="R796">
        <v>0</v>
      </c>
      <c r="S796">
        <v>2.0740802289466584</v>
      </c>
      <c r="T796">
        <v>0</v>
      </c>
      <c r="U796">
        <v>0</v>
      </c>
      <c r="V796">
        <v>0</v>
      </c>
      <c r="W796">
        <v>4.0233180359537518E-3</v>
      </c>
      <c r="X796">
        <v>0</v>
      </c>
      <c r="Y796">
        <v>0.24597668196404623</v>
      </c>
      <c r="Z796">
        <v>0</v>
      </c>
      <c r="AA796">
        <v>0</v>
      </c>
      <c r="AB796">
        <v>0</v>
      </c>
      <c r="AC796">
        <v>8.1739706181881477E-2</v>
      </c>
      <c r="AD796">
        <v>0</v>
      </c>
      <c r="AE796">
        <v>0.91826029381811847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hidden="1" x14ac:dyDescent="0.25">
      <c r="A797" t="s">
        <v>128</v>
      </c>
      <c r="B797" t="s">
        <v>372</v>
      </c>
      <c r="C797" t="s">
        <v>109</v>
      </c>
      <c r="D797" s="12">
        <v>46227</v>
      </c>
      <c r="E797" t="s">
        <v>501</v>
      </c>
      <c r="G797">
        <v>6.7655742969551049</v>
      </c>
      <c r="H797">
        <v>14.249999999999998</v>
      </c>
      <c r="J797">
        <v>14.249999999999998</v>
      </c>
      <c r="M797">
        <v>6.6332179930795867</v>
      </c>
      <c r="Q797">
        <v>0</v>
      </c>
      <c r="R797">
        <v>0</v>
      </c>
      <c r="S797">
        <v>0.88174028701686724</v>
      </c>
      <c r="T797">
        <v>0</v>
      </c>
      <c r="U797">
        <v>0</v>
      </c>
      <c r="V797">
        <v>0</v>
      </c>
      <c r="W797">
        <v>2.6175075836141593E-2</v>
      </c>
      <c r="X797">
        <v>0</v>
      </c>
      <c r="Y797">
        <v>0.10639373150330796</v>
      </c>
      <c r="Z797">
        <v>2.7362216294004554E-3</v>
      </c>
      <c r="AA797">
        <v>4.5738278908951921E-2</v>
      </c>
      <c r="AB797">
        <v>0</v>
      </c>
      <c r="AC797">
        <v>0</v>
      </c>
      <c r="AD797">
        <v>0</v>
      </c>
      <c r="AE797">
        <v>0.95152549946164766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idden="1" x14ac:dyDescent="0.25">
      <c r="A798" t="s">
        <v>128</v>
      </c>
      <c r="B798" t="s">
        <v>502</v>
      </c>
      <c r="C798" t="s">
        <v>109</v>
      </c>
      <c r="D798" s="12">
        <v>46227</v>
      </c>
      <c r="E798" t="s">
        <v>501</v>
      </c>
      <c r="G798">
        <v>3.3060473611954952</v>
      </c>
      <c r="H798">
        <v>0</v>
      </c>
      <c r="J798">
        <v>0</v>
      </c>
      <c r="M798">
        <v>1.9861591695501728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0.60076549200794283</v>
      </c>
      <c r="AA798">
        <v>0.39923450799205723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hidden="1" x14ac:dyDescent="0.25">
      <c r="A799" t="s">
        <v>128</v>
      </c>
      <c r="B799" t="s">
        <v>503</v>
      </c>
      <c r="C799" t="s">
        <v>109</v>
      </c>
      <c r="D799" s="12">
        <v>46227</v>
      </c>
      <c r="E799" t="s">
        <v>501</v>
      </c>
      <c r="G799">
        <v>1.9063272558714477</v>
      </c>
      <c r="H799">
        <v>0</v>
      </c>
      <c r="J799">
        <v>0</v>
      </c>
      <c r="M799">
        <v>0.98961937716262982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0.43199792125315983</v>
      </c>
      <c r="AA799">
        <v>0.56800207874684017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hidden="1" x14ac:dyDescent="0.25">
      <c r="A800" t="s">
        <v>128</v>
      </c>
      <c r="B800" t="s">
        <v>372</v>
      </c>
      <c r="C800" t="s">
        <v>109</v>
      </c>
      <c r="D800" s="12">
        <v>46227</v>
      </c>
      <c r="E800" t="s">
        <v>134</v>
      </c>
      <c r="G800">
        <v>8.301202861771058</v>
      </c>
      <c r="H800">
        <v>6.6499999999999995</v>
      </c>
      <c r="J800">
        <v>6.6499999999999995</v>
      </c>
      <c r="M800">
        <v>5.813148788927335</v>
      </c>
      <c r="Q800">
        <v>0</v>
      </c>
      <c r="R800">
        <v>0</v>
      </c>
      <c r="S800">
        <v>0.10470821719729559</v>
      </c>
      <c r="T800">
        <v>0</v>
      </c>
      <c r="U800">
        <v>1.4456315913739614E-2</v>
      </c>
      <c r="V800">
        <v>0</v>
      </c>
      <c r="W800">
        <v>6.7720090293453716E-2</v>
      </c>
      <c r="X800">
        <v>0</v>
      </c>
      <c r="Y800">
        <v>0</v>
      </c>
      <c r="Z800">
        <v>0.11337832435375944</v>
      </c>
      <c r="AA800">
        <v>0.27241757603869782</v>
      </c>
      <c r="AB800">
        <v>0</v>
      </c>
      <c r="AC800">
        <v>0.10948094445409891</v>
      </c>
      <c r="AD800">
        <v>0</v>
      </c>
      <c r="AE800">
        <v>0.50472315515344379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hidden="1" x14ac:dyDescent="0.25">
      <c r="A801" t="s">
        <v>128</v>
      </c>
      <c r="B801" t="s">
        <v>502</v>
      </c>
      <c r="C801" t="s">
        <v>109</v>
      </c>
      <c r="D801" s="12">
        <v>46227</v>
      </c>
      <c r="E801" t="s">
        <v>134</v>
      </c>
      <c r="G801">
        <v>9.1014549325762921</v>
      </c>
      <c r="H801">
        <v>6.6499999999999995</v>
      </c>
      <c r="J801">
        <v>6.6499999999999995</v>
      </c>
      <c r="M801">
        <v>5.066846885813149</v>
      </c>
      <c r="Q801">
        <v>0</v>
      </c>
      <c r="R801">
        <v>0</v>
      </c>
      <c r="S801">
        <v>8.7664097255525888E-2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6.5970313358988467E-2</v>
      </c>
      <c r="Z801">
        <v>0.22060683177898835</v>
      </c>
      <c r="AA801">
        <v>0.20237516674720674</v>
      </c>
      <c r="AB801">
        <v>0</v>
      </c>
      <c r="AC801">
        <v>0.2409174800495503</v>
      </c>
      <c r="AD801">
        <v>0</v>
      </c>
      <c r="AE801">
        <v>0.33610052142425473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hidden="1" x14ac:dyDescent="0.25">
      <c r="A802" t="s">
        <v>128</v>
      </c>
      <c r="B802" t="s">
        <v>503</v>
      </c>
      <c r="C802" t="s">
        <v>109</v>
      </c>
      <c r="D802" s="12">
        <v>46227</v>
      </c>
      <c r="E802" t="s">
        <v>134</v>
      </c>
      <c r="G802">
        <v>9.6923198233717098</v>
      </c>
      <c r="H802">
        <v>6.6499999999999995</v>
      </c>
      <c r="J802">
        <v>6.6499999999999995</v>
      </c>
      <c r="M802">
        <v>4.9655997693194927</v>
      </c>
      <c r="Q802">
        <v>0</v>
      </c>
      <c r="R802">
        <v>0</v>
      </c>
      <c r="S802">
        <v>9.1862867928212272E-2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6.0040026684456287E-2</v>
      </c>
      <c r="Z802">
        <v>0.10448944282638285</v>
      </c>
      <c r="AA802">
        <v>0.36130319942292172</v>
      </c>
      <c r="AB802">
        <v>0</v>
      </c>
      <c r="AC802">
        <v>0.12637365608636258</v>
      </c>
      <c r="AD802">
        <v>0</v>
      </c>
      <c r="AE802">
        <v>0.40783370166433286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hidden="1" x14ac:dyDescent="0.25">
      <c r="A803" t="s">
        <v>128</v>
      </c>
      <c r="B803" t="s">
        <v>372</v>
      </c>
      <c r="C803" t="s">
        <v>109</v>
      </c>
      <c r="D803" s="12">
        <v>46228</v>
      </c>
      <c r="E803" t="s">
        <v>133</v>
      </c>
      <c r="G803">
        <v>26.221255612373248</v>
      </c>
      <c r="H803">
        <v>25.65</v>
      </c>
      <c r="J803">
        <v>25.65</v>
      </c>
      <c r="M803">
        <v>29.125</v>
      </c>
      <c r="Q803">
        <v>9.2938708699875444E-2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1.7801388210530966E-2</v>
      </c>
      <c r="X803">
        <v>0</v>
      </c>
      <c r="Y803">
        <v>2.3835624397218948E-3</v>
      </c>
      <c r="Z803">
        <v>4.197092538838431E-2</v>
      </c>
      <c r="AA803">
        <v>0</v>
      </c>
      <c r="AB803">
        <v>0</v>
      </c>
      <c r="AC803">
        <v>0</v>
      </c>
      <c r="AD803">
        <v>0</v>
      </c>
      <c r="AE803">
        <v>0.95802907461161568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idden="1" x14ac:dyDescent="0.25">
      <c r="A804" t="s">
        <v>128</v>
      </c>
      <c r="B804" t="s">
        <v>502</v>
      </c>
      <c r="C804" t="s">
        <v>109</v>
      </c>
      <c r="D804" s="12">
        <v>46228</v>
      </c>
      <c r="E804" t="s">
        <v>133</v>
      </c>
      <c r="G804">
        <v>22.513989193638327</v>
      </c>
      <c r="H804">
        <v>60.8</v>
      </c>
      <c r="J804">
        <v>60.8</v>
      </c>
      <c r="M804">
        <v>26.9375</v>
      </c>
      <c r="Q804">
        <v>0</v>
      </c>
      <c r="R804">
        <v>0</v>
      </c>
      <c r="S804">
        <v>1.4227909469438338</v>
      </c>
      <c r="T804">
        <v>0</v>
      </c>
      <c r="U804">
        <v>2.7752234323214289E-2</v>
      </c>
      <c r="V804">
        <v>0</v>
      </c>
      <c r="W804">
        <v>0.16872608714686976</v>
      </c>
      <c r="X804">
        <v>0</v>
      </c>
      <c r="Y804">
        <v>8.1273912853130237E-2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hidden="1" x14ac:dyDescent="0.25">
      <c r="A805" t="s">
        <v>128</v>
      </c>
      <c r="B805" t="s">
        <v>503</v>
      </c>
      <c r="C805" t="s">
        <v>109</v>
      </c>
      <c r="D805" s="12">
        <v>46228</v>
      </c>
      <c r="E805" t="s">
        <v>133</v>
      </c>
      <c r="G805">
        <v>20.577120673671207</v>
      </c>
      <c r="H805">
        <v>60.8</v>
      </c>
      <c r="J805">
        <v>60.8</v>
      </c>
      <c r="M805">
        <v>19.76838235294116</v>
      </c>
      <c r="Q805">
        <v>0</v>
      </c>
      <c r="R805">
        <v>0</v>
      </c>
      <c r="S805">
        <v>1.7047379812859185</v>
      </c>
      <c r="T805">
        <v>0</v>
      </c>
      <c r="U805">
        <v>0</v>
      </c>
      <c r="V805">
        <v>0</v>
      </c>
      <c r="W805">
        <v>7.1657470920779565E-2</v>
      </c>
      <c r="X805">
        <v>0</v>
      </c>
      <c r="Y805">
        <v>0.17834252907922041</v>
      </c>
      <c r="Z805">
        <v>0</v>
      </c>
      <c r="AA805">
        <v>0</v>
      </c>
      <c r="AB805">
        <v>0</v>
      </c>
      <c r="AC805">
        <v>0.11096026422970157</v>
      </c>
      <c r="AD805">
        <v>0</v>
      </c>
      <c r="AE805">
        <v>0.88903973577029849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hidden="1" x14ac:dyDescent="0.25">
      <c r="A806" t="s">
        <v>128</v>
      </c>
      <c r="B806" t="s">
        <v>372</v>
      </c>
      <c r="C806" t="s">
        <v>109</v>
      </c>
      <c r="D806" s="12">
        <v>46228</v>
      </c>
      <c r="E806" t="s">
        <v>501</v>
      </c>
      <c r="G806">
        <v>6.7655742969551067</v>
      </c>
      <c r="H806">
        <v>12.35</v>
      </c>
      <c r="J806">
        <v>12.35</v>
      </c>
      <c r="M806">
        <v>6.5813148788927336</v>
      </c>
      <c r="Q806">
        <v>7.7008111942652266E-2</v>
      </c>
      <c r="R806">
        <v>0</v>
      </c>
      <c r="S806">
        <v>0.74132353031558396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0.13256880733944953</v>
      </c>
      <c r="Z806">
        <v>4.8474500538352422E-2</v>
      </c>
      <c r="AA806">
        <v>0</v>
      </c>
      <c r="AB806">
        <v>0</v>
      </c>
      <c r="AC806">
        <v>0.1042429644436882</v>
      </c>
      <c r="AD806">
        <v>0</v>
      </c>
      <c r="AE806">
        <v>0.84728253501795936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hidden="1" x14ac:dyDescent="0.25">
      <c r="A807" t="s">
        <v>128</v>
      </c>
      <c r="B807" t="s">
        <v>502</v>
      </c>
      <c r="C807" t="s">
        <v>109</v>
      </c>
      <c r="D807" s="12">
        <v>46228</v>
      </c>
      <c r="E807" t="s">
        <v>501</v>
      </c>
      <c r="G807">
        <v>3.3060473611954952</v>
      </c>
      <c r="H807">
        <v>0</v>
      </c>
      <c r="J807">
        <v>0</v>
      </c>
      <c r="M807">
        <v>1.9861591695501728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0.60076549200794283</v>
      </c>
      <c r="AA807">
        <v>0.39923450799205723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hidden="1" x14ac:dyDescent="0.25">
      <c r="A808" t="s">
        <v>128</v>
      </c>
      <c r="B808" t="s">
        <v>503</v>
      </c>
      <c r="C808" t="s">
        <v>109</v>
      </c>
      <c r="D808" s="12">
        <v>46228</v>
      </c>
      <c r="E808" t="s">
        <v>501</v>
      </c>
      <c r="G808">
        <v>0.95316362793572351</v>
      </c>
      <c r="H808">
        <v>0</v>
      </c>
      <c r="J808">
        <v>0</v>
      </c>
      <c r="M808">
        <v>0.98961937716262982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0.86399584250632</v>
      </c>
      <c r="AA808">
        <v>0.13600415749368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hidden="1" x14ac:dyDescent="0.25">
      <c r="A809" t="s">
        <v>128</v>
      </c>
      <c r="B809" t="s">
        <v>372</v>
      </c>
      <c r="C809" t="s">
        <v>109</v>
      </c>
      <c r="D809" s="12">
        <v>46228</v>
      </c>
      <c r="E809" t="s">
        <v>134</v>
      </c>
      <c r="G809">
        <v>7.0363468952483803</v>
      </c>
      <c r="H809">
        <v>5.6999999999999993</v>
      </c>
      <c r="J809">
        <v>5.6999999999999993</v>
      </c>
      <c r="M809">
        <v>7.8650519031141854</v>
      </c>
      <c r="Q809">
        <v>0.13835722232826883</v>
      </c>
      <c r="R809">
        <v>0</v>
      </c>
      <c r="S809">
        <v>0</v>
      </c>
      <c r="T809">
        <v>0</v>
      </c>
      <c r="U809">
        <v>0</v>
      </c>
      <c r="V809">
        <v>1.9394364510941679E-2</v>
      </c>
      <c r="W809">
        <v>6.5492453065622902E-2</v>
      </c>
      <c r="X809">
        <v>0</v>
      </c>
      <c r="Y809">
        <v>0</v>
      </c>
      <c r="Z809">
        <v>0.1693382246623048</v>
      </c>
      <c r="AA809">
        <v>8.6074781659555538E-2</v>
      </c>
      <c r="AB809">
        <v>0</v>
      </c>
      <c r="AC809">
        <v>0</v>
      </c>
      <c r="AD809">
        <v>0</v>
      </c>
      <c r="AE809">
        <v>0.40503972337188127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hidden="1" x14ac:dyDescent="0.25">
      <c r="A810" t="s">
        <v>128</v>
      </c>
      <c r="B810" t="s">
        <v>502</v>
      </c>
      <c r="C810" t="s">
        <v>109</v>
      </c>
      <c r="D810" s="12">
        <v>46228</v>
      </c>
      <c r="E810" t="s">
        <v>134</v>
      </c>
      <c r="G810">
        <v>5.1236337828246974</v>
      </c>
      <c r="H810">
        <v>5.6999999999999993</v>
      </c>
      <c r="J810">
        <v>5.6999999999999993</v>
      </c>
      <c r="M810">
        <v>5.0078431372549019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8.7495844414893595E-2</v>
      </c>
      <c r="Z810">
        <v>0.39187873731052714</v>
      </c>
      <c r="AA810">
        <v>0.13937126268947297</v>
      </c>
      <c r="AB810">
        <v>0</v>
      </c>
      <c r="AC810">
        <v>0.10136368377138087</v>
      </c>
      <c r="AD810">
        <v>0</v>
      </c>
      <c r="AE810">
        <v>0.36738631622861911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hidden="1" x14ac:dyDescent="0.25">
      <c r="A811" t="s">
        <v>128</v>
      </c>
      <c r="B811" t="s">
        <v>503</v>
      </c>
      <c r="C811" t="s">
        <v>109</v>
      </c>
      <c r="D811" s="12">
        <v>46228</v>
      </c>
      <c r="E811" t="s">
        <v>134</v>
      </c>
      <c r="G811">
        <v>5.798257372654156</v>
      </c>
      <c r="H811">
        <v>5.6999999999999993</v>
      </c>
      <c r="J811">
        <v>5.6999999999999993</v>
      </c>
      <c r="M811">
        <v>4.8718227364475197</v>
      </c>
      <c r="Q811">
        <v>0</v>
      </c>
      <c r="R811">
        <v>0</v>
      </c>
      <c r="S811">
        <v>0.18186562077148494</v>
      </c>
      <c r="T811">
        <v>0</v>
      </c>
      <c r="U811">
        <v>7.5286689060088197E-3</v>
      </c>
      <c r="V811">
        <v>0</v>
      </c>
      <c r="W811">
        <v>6.0426540284360196E-2</v>
      </c>
      <c r="X811">
        <v>0</v>
      </c>
      <c r="Y811">
        <v>3.6550687781759225E-2</v>
      </c>
      <c r="Z811">
        <v>0.17466370203150033</v>
      </c>
      <c r="AA811">
        <v>0.12865383351352336</v>
      </c>
      <c r="AB811">
        <v>0</v>
      </c>
      <c r="AC811">
        <v>9.9079491180290427E-2</v>
      </c>
      <c r="AD811">
        <v>0</v>
      </c>
      <c r="AE811">
        <v>0.59760297327468581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hidden="1" x14ac:dyDescent="0.25">
      <c r="A812" t="s">
        <v>128</v>
      </c>
      <c r="B812" t="s">
        <v>372</v>
      </c>
      <c r="C812" t="s">
        <v>109</v>
      </c>
      <c r="D812" s="12">
        <v>46229</v>
      </c>
      <c r="E812" t="s">
        <v>133</v>
      </c>
      <c r="G812">
        <v>27.012641596650109</v>
      </c>
      <c r="H812">
        <v>25.65</v>
      </c>
      <c r="J812">
        <v>25.65</v>
      </c>
      <c r="M812">
        <v>29.557291666666668</v>
      </c>
      <c r="Q812">
        <v>9.4202192736756438E-2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5.0444588759475349E-2</v>
      </c>
      <c r="AA812">
        <v>0</v>
      </c>
      <c r="AB812">
        <v>0</v>
      </c>
      <c r="AC812">
        <v>0</v>
      </c>
      <c r="AD812">
        <v>0</v>
      </c>
      <c r="AE812">
        <v>0.94955541124052467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idden="1" x14ac:dyDescent="0.25">
      <c r="A813" t="s">
        <v>128</v>
      </c>
      <c r="B813" t="s">
        <v>502</v>
      </c>
      <c r="C813" t="s">
        <v>109</v>
      </c>
      <c r="D813" s="12">
        <v>46229</v>
      </c>
      <c r="E813" t="s">
        <v>133</v>
      </c>
      <c r="G813">
        <v>22.513989193638327</v>
      </c>
      <c r="H813">
        <v>53.199999999999996</v>
      </c>
      <c r="J813">
        <v>53.199999999999996</v>
      </c>
      <c r="M813">
        <v>26.874999999999996</v>
      </c>
      <c r="Q813">
        <v>0</v>
      </c>
      <c r="R813">
        <v>0</v>
      </c>
      <c r="S813">
        <v>1.0878371647209928</v>
      </c>
      <c r="T813">
        <v>0</v>
      </c>
      <c r="U813">
        <v>2.5138118887674393E-2</v>
      </c>
      <c r="V813">
        <v>0</v>
      </c>
      <c r="W813">
        <v>0.1685641507924559</v>
      </c>
      <c r="X813">
        <v>0</v>
      </c>
      <c r="Y813">
        <v>8.1435849207544111E-2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hidden="1" x14ac:dyDescent="0.25">
      <c r="A814" t="s">
        <v>128</v>
      </c>
      <c r="B814" t="s">
        <v>503</v>
      </c>
      <c r="C814" t="s">
        <v>109</v>
      </c>
      <c r="D814" s="12">
        <v>46229</v>
      </c>
      <c r="E814" t="s">
        <v>133</v>
      </c>
      <c r="G814">
        <v>20.689257571075409</v>
      </c>
      <c r="H814">
        <v>53.199999999999996</v>
      </c>
      <c r="J814">
        <v>53.199999999999996</v>
      </c>
      <c r="M814">
        <v>20.161764705882344</v>
      </c>
      <c r="Q814">
        <v>0</v>
      </c>
      <c r="R814">
        <v>0</v>
      </c>
      <c r="S814">
        <v>1.3213827486190799</v>
      </c>
      <c r="T814">
        <v>0</v>
      </c>
      <c r="U814">
        <v>0</v>
      </c>
      <c r="V814">
        <v>0</v>
      </c>
      <c r="W814">
        <v>5.819985690687856E-2</v>
      </c>
      <c r="X814">
        <v>0</v>
      </c>
      <c r="Y814">
        <v>0.19180014309312146</v>
      </c>
      <c r="Z814">
        <v>0</v>
      </c>
      <c r="AA814">
        <v>0</v>
      </c>
      <c r="AB814">
        <v>0</v>
      </c>
      <c r="AC814">
        <v>8.3695835357575882E-2</v>
      </c>
      <c r="AD814">
        <v>0</v>
      </c>
      <c r="AE814">
        <v>0.91630416464242415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hidden="1" x14ac:dyDescent="0.25">
      <c r="A815" t="s">
        <v>128</v>
      </c>
      <c r="B815" t="s">
        <v>372</v>
      </c>
      <c r="C815" t="s">
        <v>109</v>
      </c>
      <c r="D815" s="12">
        <v>46229</v>
      </c>
      <c r="E815" t="s">
        <v>501</v>
      </c>
      <c r="G815">
        <v>6.7655742969551058</v>
      </c>
      <c r="H815">
        <v>9.5</v>
      </c>
      <c r="J815">
        <v>9.5</v>
      </c>
      <c r="M815">
        <v>7.577854671280277</v>
      </c>
      <c r="Q815">
        <v>8.5191204666092743E-2</v>
      </c>
      <c r="R815">
        <v>0</v>
      </c>
      <c r="S815">
        <v>0.17965650351045109</v>
      </c>
      <c r="T815">
        <v>0</v>
      </c>
      <c r="U815">
        <v>0</v>
      </c>
      <c r="V815">
        <v>0</v>
      </c>
      <c r="W815">
        <v>3.4869611854796582E-2</v>
      </c>
      <c r="X815">
        <v>0</v>
      </c>
      <c r="Y815">
        <v>9.7699195484652959E-2</v>
      </c>
      <c r="Z815">
        <v>4.8474500538352373E-2</v>
      </c>
      <c r="AA815">
        <v>0</v>
      </c>
      <c r="AB815">
        <v>0</v>
      </c>
      <c r="AC815">
        <v>0</v>
      </c>
      <c r="AD815">
        <v>0</v>
      </c>
      <c r="AE815">
        <v>0.95152549946164766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hidden="1" x14ac:dyDescent="0.25">
      <c r="A816" t="s">
        <v>128</v>
      </c>
      <c r="B816" t="s">
        <v>502</v>
      </c>
      <c r="C816" t="s">
        <v>109</v>
      </c>
      <c r="D816" s="12">
        <v>46229</v>
      </c>
      <c r="E816" t="s">
        <v>501</v>
      </c>
      <c r="G816">
        <v>3.3060473611954952</v>
      </c>
      <c r="H816">
        <v>0</v>
      </c>
      <c r="J816">
        <v>0</v>
      </c>
      <c r="M816">
        <v>1.9861591695501728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0.60076549200794283</v>
      </c>
      <c r="AA816">
        <v>0.39923450799205723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hidden="1" x14ac:dyDescent="0.25">
      <c r="A817" t="s">
        <v>128</v>
      </c>
      <c r="B817" t="s">
        <v>503</v>
      </c>
      <c r="C817" t="s">
        <v>109</v>
      </c>
      <c r="D817" s="12">
        <v>46229</v>
      </c>
      <c r="E817" t="s">
        <v>501</v>
      </c>
      <c r="G817">
        <v>0.95316362793572373</v>
      </c>
      <c r="H817">
        <v>0</v>
      </c>
      <c r="J817">
        <v>0</v>
      </c>
      <c r="M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hidden="1" x14ac:dyDescent="0.25">
      <c r="A818" t="s">
        <v>128</v>
      </c>
      <c r="B818" t="s">
        <v>372</v>
      </c>
      <c r="C818" t="s">
        <v>109</v>
      </c>
      <c r="D818" s="12">
        <v>46229</v>
      </c>
      <c r="E818" t="s">
        <v>134</v>
      </c>
      <c r="G818">
        <v>8.1606633099352059</v>
      </c>
      <c r="H818">
        <v>6.65</v>
      </c>
      <c r="J818">
        <v>6.65</v>
      </c>
      <c r="M818">
        <v>7.7922253460207589</v>
      </c>
      <c r="Q818">
        <v>0</v>
      </c>
      <c r="R818">
        <v>0</v>
      </c>
      <c r="S818">
        <v>4.3886016556224462E-2</v>
      </c>
      <c r="T818">
        <v>0</v>
      </c>
      <c r="U818">
        <v>0</v>
      </c>
      <c r="V818">
        <v>0</v>
      </c>
      <c r="W818">
        <v>8.8214820960078408E-3</v>
      </c>
      <c r="X818">
        <v>0</v>
      </c>
      <c r="Y818">
        <v>9.8813420315013958E-2</v>
      </c>
      <c r="Z818">
        <v>0.28266665554452386</v>
      </c>
      <c r="AA818">
        <v>5.3969523366855426E-2</v>
      </c>
      <c r="AB818">
        <v>0</v>
      </c>
      <c r="AC818">
        <v>0</v>
      </c>
      <c r="AD818">
        <v>0</v>
      </c>
      <c r="AE818">
        <v>0.66336382108862046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hidden="1" x14ac:dyDescent="0.25">
      <c r="A819" t="s">
        <v>128</v>
      </c>
      <c r="B819" t="s">
        <v>502</v>
      </c>
      <c r="C819" t="s">
        <v>109</v>
      </c>
      <c r="D819" s="12">
        <v>46229</v>
      </c>
      <c r="E819" t="s">
        <v>134</v>
      </c>
      <c r="G819">
        <v>5.1236337828246974</v>
      </c>
      <c r="H819">
        <v>6.65</v>
      </c>
      <c r="J819">
        <v>6.65</v>
      </c>
      <c r="M819">
        <v>5.0078431372549019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0.39187873731052714</v>
      </c>
      <c r="AA819">
        <v>0.2372906997462105</v>
      </c>
      <c r="AB819">
        <v>0</v>
      </c>
      <c r="AC819">
        <v>3.4442467146433495E-3</v>
      </c>
      <c r="AD819">
        <v>0</v>
      </c>
      <c r="AE819">
        <v>0.36738631622861911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hidden="1" x14ac:dyDescent="0.25">
      <c r="A820" t="s">
        <v>128</v>
      </c>
      <c r="B820" t="s">
        <v>503</v>
      </c>
      <c r="C820" t="s">
        <v>109</v>
      </c>
      <c r="D820" s="12">
        <v>46229</v>
      </c>
      <c r="E820" t="s">
        <v>134</v>
      </c>
      <c r="G820">
        <v>5.798257372654156</v>
      </c>
      <c r="H820">
        <v>6.65</v>
      </c>
      <c r="J820">
        <v>6.65</v>
      </c>
      <c r="M820">
        <v>4.0243313869665522</v>
      </c>
      <c r="Q820">
        <v>0</v>
      </c>
      <c r="R820">
        <v>0</v>
      </c>
      <c r="S820">
        <v>0.48926020963234435</v>
      </c>
      <c r="T820">
        <v>0</v>
      </c>
      <c r="U820">
        <v>2.7818740778012708E-2</v>
      </c>
      <c r="V820">
        <v>0</v>
      </c>
      <c r="W820">
        <v>6.0426540284360203E-2</v>
      </c>
      <c r="X820">
        <v>0</v>
      </c>
      <c r="Y820">
        <v>0</v>
      </c>
      <c r="Z820">
        <v>3.642266823297962E-2</v>
      </c>
      <c r="AA820">
        <v>0.39418650989671639</v>
      </c>
      <c r="AB820">
        <v>0</v>
      </c>
      <c r="AC820">
        <v>0</v>
      </c>
      <c r="AD820">
        <v>0</v>
      </c>
      <c r="AE820">
        <v>0.5693908218703041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hidden="1" x14ac:dyDescent="0.25">
      <c r="A821" t="s">
        <v>128</v>
      </c>
      <c r="B821" t="s">
        <v>372</v>
      </c>
      <c r="C821" t="s">
        <v>109</v>
      </c>
      <c r="D821" s="12">
        <v>46230</v>
      </c>
      <c r="E821" t="s">
        <v>133</v>
      </c>
      <c r="G821">
        <v>27.065400662268566</v>
      </c>
      <c r="H821">
        <v>34.200000000000003</v>
      </c>
      <c r="J821">
        <v>34.200000000000003</v>
      </c>
      <c r="M821">
        <v>27.609375</v>
      </c>
      <c r="Q821">
        <v>0</v>
      </c>
      <c r="R821">
        <v>0</v>
      </c>
      <c r="S821">
        <v>0.15375766450819259</v>
      </c>
      <c r="T821">
        <v>0</v>
      </c>
      <c r="U821">
        <v>0</v>
      </c>
      <c r="V821">
        <v>0</v>
      </c>
      <c r="W821">
        <v>2.0788595005785195E-2</v>
      </c>
      <c r="X821">
        <v>0</v>
      </c>
      <c r="Y821">
        <v>0.10841592833373852</v>
      </c>
      <c r="Z821">
        <v>1.8666205597230815E-2</v>
      </c>
      <c r="AA821">
        <v>6.9008087258106397E-4</v>
      </c>
      <c r="AB821">
        <v>0</v>
      </c>
      <c r="AC821">
        <v>0</v>
      </c>
      <c r="AD821">
        <v>0</v>
      </c>
      <c r="AE821">
        <v>0.98064371353018809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hidden="1" x14ac:dyDescent="0.25">
      <c r="A822" t="s">
        <v>128</v>
      </c>
      <c r="B822" t="s">
        <v>502</v>
      </c>
      <c r="C822" t="s">
        <v>109</v>
      </c>
      <c r="D822" s="12">
        <v>46230</v>
      </c>
      <c r="E822" t="s">
        <v>133</v>
      </c>
      <c r="G822">
        <v>22.568767756153267</v>
      </c>
      <c r="H822">
        <v>66.5</v>
      </c>
      <c r="J822">
        <v>66.5</v>
      </c>
      <c r="M822">
        <v>28.745833333333334</v>
      </c>
      <c r="Q822">
        <v>0</v>
      </c>
      <c r="R822">
        <v>0</v>
      </c>
      <c r="S822">
        <v>1.6131050028346767</v>
      </c>
      <c r="T822">
        <v>0</v>
      </c>
      <c r="U822">
        <v>8.3444880548703276E-2</v>
      </c>
      <c r="V822">
        <v>0</v>
      </c>
      <c r="W822">
        <v>0.20084951456310679</v>
      </c>
      <c r="X822">
        <v>0</v>
      </c>
      <c r="Y822">
        <v>4.9150485436893203E-2</v>
      </c>
      <c r="Z822">
        <v>0</v>
      </c>
      <c r="AA822">
        <v>0</v>
      </c>
      <c r="AB822">
        <v>0</v>
      </c>
      <c r="AC822">
        <v>1.0594667952540647E-2</v>
      </c>
      <c r="AD822">
        <v>0</v>
      </c>
      <c r="AE822">
        <v>0.9894053320474594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hidden="1" x14ac:dyDescent="0.25">
      <c r="A823" t="s">
        <v>128</v>
      </c>
      <c r="B823" t="s">
        <v>503</v>
      </c>
      <c r="C823" t="s">
        <v>109</v>
      </c>
      <c r="D823" s="12">
        <v>46230</v>
      </c>
      <c r="E823" t="s">
        <v>133</v>
      </c>
      <c r="G823">
        <v>21.530284301606926</v>
      </c>
      <c r="H823">
        <v>66.5</v>
      </c>
      <c r="J823">
        <v>66.5</v>
      </c>
      <c r="M823">
        <v>18.455882352941167</v>
      </c>
      <c r="Q823">
        <v>0</v>
      </c>
      <c r="R823">
        <v>0</v>
      </c>
      <c r="S823">
        <v>1.8386726375014348</v>
      </c>
      <c r="T823">
        <v>0</v>
      </c>
      <c r="U823">
        <v>0</v>
      </c>
      <c r="V823">
        <v>0</v>
      </c>
      <c r="W823">
        <v>1.1433616677811202E-2</v>
      </c>
      <c r="X823">
        <v>0</v>
      </c>
      <c r="Y823">
        <v>0.23856638332218882</v>
      </c>
      <c r="Z823">
        <v>0</v>
      </c>
      <c r="AA823">
        <v>0</v>
      </c>
      <c r="AB823">
        <v>0</v>
      </c>
      <c r="AC823">
        <v>0.1542279200691648</v>
      </c>
      <c r="AD823">
        <v>0</v>
      </c>
      <c r="AE823">
        <v>0.84577207993083525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hidden="1" x14ac:dyDescent="0.25">
      <c r="A824" t="s">
        <v>128</v>
      </c>
      <c r="B824" t="s">
        <v>372</v>
      </c>
      <c r="C824" t="s">
        <v>109</v>
      </c>
      <c r="D824" s="12">
        <v>46230</v>
      </c>
      <c r="E824" t="s">
        <v>501</v>
      </c>
      <c r="G824">
        <v>6.7655742969551049</v>
      </c>
      <c r="H824">
        <v>6.6499999999999995</v>
      </c>
      <c r="J824">
        <v>6.6499999999999995</v>
      </c>
      <c r="M824">
        <v>8.512110726643602</v>
      </c>
      <c r="Q824">
        <v>0.22675870878161014</v>
      </c>
      <c r="R824">
        <v>0</v>
      </c>
      <c r="S824">
        <v>0</v>
      </c>
      <c r="T824">
        <v>0</v>
      </c>
      <c r="U824">
        <v>0</v>
      </c>
      <c r="V824">
        <v>0.10117700989211496</v>
      </c>
      <c r="W824">
        <v>3.1391797447334564E-2</v>
      </c>
      <c r="X824">
        <v>0</v>
      </c>
      <c r="Y824">
        <v>0</v>
      </c>
      <c r="Z824">
        <v>4.8474500538352373E-2</v>
      </c>
      <c r="AA824">
        <v>0</v>
      </c>
      <c r="AB824">
        <v>0</v>
      </c>
      <c r="AC824">
        <v>0</v>
      </c>
      <c r="AD824">
        <v>0</v>
      </c>
      <c r="AE824">
        <v>0.42125027010384952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idden="1" x14ac:dyDescent="0.25">
      <c r="A825" t="s">
        <v>128</v>
      </c>
      <c r="B825" t="s">
        <v>502</v>
      </c>
      <c r="C825" t="s">
        <v>109</v>
      </c>
      <c r="D825" s="12">
        <v>46230</v>
      </c>
      <c r="E825" t="s">
        <v>501</v>
      </c>
      <c r="G825">
        <v>3.3060473611954952</v>
      </c>
      <c r="H825">
        <v>0</v>
      </c>
      <c r="J825">
        <v>0</v>
      </c>
      <c r="M825">
        <v>0.9930795847750864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0.30038274600397141</v>
      </c>
      <c r="AA825">
        <v>0.6996172539960287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hidden="1" x14ac:dyDescent="0.25">
      <c r="A826" t="s">
        <v>128</v>
      </c>
      <c r="B826" t="s">
        <v>503</v>
      </c>
      <c r="C826" t="s">
        <v>109</v>
      </c>
      <c r="D826" s="12">
        <v>46230</v>
      </c>
      <c r="E826" t="s">
        <v>501</v>
      </c>
      <c r="G826">
        <v>0</v>
      </c>
      <c r="H826">
        <v>0</v>
      </c>
      <c r="J826">
        <v>0</v>
      </c>
      <c r="M826">
        <v>0.98961937716262982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idden="1" x14ac:dyDescent="0.25">
      <c r="A827" t="s">
        <v>128</v>
      </c>
      <c r="B827" t="s">
        <v>372</v>
      </c>
      <c r="C827" t="s">
        <v>109</v>
      </c>
      <c r="D827" s="12">
        <v>46230</v>
      </c>
      <c r="E827" t="s">
        <v>134</v>
      </c>
      <c r="G827">
        <v>8.1606633099352042</v>
      </c>
      <c r="H827">
        <v>8.5500000000000007</v>
      </c>
      <c r="J827">
        <v>8.5500000000000007</v>
      </c>
      <c r="M827">
        <v>5.7991457612456747</v>
      </c>
      <c r="Q827">
        <v>0</v>
      </c>
      <c r="R827">
        <v>0</v>
      </c>
      <c r="S827">
        <v>4.3886016556224643E-2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0.15996530004176476</v>
      </c>
      <c r="Z827">
        <v>0.1153308787341342</v>
      </c>
      <c r="AA827">
        <v>4.0811486363454781E-2</v>
      </c>
      <c r="AB827">
        <v>0</v>
      </c>
      <c r="AC827">
        <v>0.24856665105026479</v>
      </c>
      <c r="AD827">
        <v>0</v>
      </c>
      <c r="AE827">
        <v>0.59529098385214618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hidden="1" x14ac:dyDescent="0.25">
      <c r="A828" t="s">
        <v>128</v>
      </c>
      <c r="B828" t="s">
        <v>502</v>
      </c>
      <c r="C828" t="s">
        <v>109</v>
      </c>
      <c r="D828" s="12">
        <v>46230</v>
      </c>
      <c r="E828" t="s">
        <v>134</v>
      </c>
      <c r="G828">
        <v>7.8211351396484776</v>
      </c>
      <c r="H828">
        <v>8.5500000000000007</v>
      </c>
      <c r="J828">
        <v>8.5500000000000007</v>
      </c>
      <c r="M828">
        <v>6.1189302191464829</v>
      </c>
      <c r="Q828">
        <v>0</v>
      </c>
      <c r="R828">
        <v>0</v>
      </c>
      <c r="S828">
        <v>0.27821973351610302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0.16299439280472661</v>
      </c>
      <c r="Z828">
        <v>0.25672016931101704</v>
      </c>
      <c r="AA828">
        <v>9.1302259470076585E-2</v>
      </c>
      <c r="AB828">
        <v>0</v>
      </c>
      <c r="AC828">
        <v>0.12633941147776762</v>
      </c>
      <c r="AD828">
        <v>0</v>
      </c>
      <c r="AE828">
        <v>0.52563815974113892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hidden="1" x14ac:dyDescent="0.25">
      <c r="A829" t="s">
        <v>128</v>
      </c>
      <c r="B829" t="s">
        <v>503</v>
      </c>
      <c r="C829" t="s">
        <v>109</v>
      </c>
      <c r="D829" s="12">
        <v>46230</v>
      </c>
      <c r="E829" t="s">
        <v>134</v>
      </c>
      <c r="G829">
        <v>5.4684986595174268</v>
      </c>
      <c r="H829">
        <v>8.5500000000000007</v>
      </c>
      <c r="J829">
        <v>8.5500000000000007</v>
      </c>
      <c r="M829">
        <v>1.8966551326412924</v>
      </c>
      <c r="Q829">
        <v>0</v>
      </c>
      <c r="R829">
        <v>0</v>
      </c>
      <c r="S829">
        <v>0.71551047922539512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0.16959798994974873</v>
      </c>
      <c r="Z829">
        <v>1.1473916690098026E-2</v>
      </c>
      <c r="AA829">
        <v>0.31013412351090697</v>
      </c>
      <c r="AB829">
        <v>0</v>
      </c>
      <c r="AC829">
        <v>0.34303299771708562</v>
      </c>
      <c r="AD829">
        <v>0</v>
      </c>
      <c r="AE829">
        <v>0.33535896208190935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hidden="1" x14ac:dyDescent="0.25">
      <c r="A830" t="s">
        <v>128</v>
      </c>
      <c r="B830" t="s">
        <v>372</v>
      </c>
      <c r="C830" t="s">
        <v>109</v>
      </c>
      <c r="D830" s="12">
        <v>46231</v>
      </c>
      <c r="E830" t="s">
        <v>133</v>
      </c>
      <c r="G830">
        <v>26.933502998222423</v>
      </c>
      <c r="H830">
        <v>33.25</v>
      </c>
      <c r="J830">
        <v>33.25</v>
      </c>
      <c r="M830">
        <v>26.40625</v>
      </c>
      <c r="Q830">
        <v>6.2854397439354323E-2</v>
      </c>
      <c r="R830">
        <v>0</v>
      </c>
      <c r="S830">
        <v>0.16063208989755681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0.10896180215475024</v>
      </c>
      <c r="Z830">
        <v>3.5071965877518027E-2</v>
      </c>
      <c r="AA830">
        <v>0</v>
      </c>
      <c r="AB830">
        <v>0</v>
      </c>
      <c r="AC830">
        <v>8.2430499302421273E-2</v>
      </c>
      <c r="AD830">
        <v>0</v>
      </c>
      <c r="AE830">
        <v>0.88249753482006066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idden="1" x14ac:dyDescent="0.25">
      <c r="A831" t="s">
        <v>128</v>
      </c>
      <c r="B831" t="s">
        <v>502</v>
      </c>
      <c r="C831" t="s">
        <v>109</v>
      </c>
      <c r="D831" s="12">
        <v>46231</v>
      </c>
      <c r="E831" t="s">
        <v>133</v>
      </c>
      <c r="G831">
        <v>22.568767756153267</v>
      </c>
      <c r="H831">
        <v>62.699999999999996</v>
      </c>
      <c r="J831">
        <v>62.699999999999996</v>
      </c>
      <c r="M831">
        <v>27.999999999999996</v>
      </c>
      <c r="Q831">
        <v>0</v>
      </c>
      <c r="R831">
        <v>0</v>
      </c>
      <c r="S831">
        <v>1.4725738662834307</v>
      </c>
      <c r="T831">
        <v>0</v>
      </c>
      <c r="U831">
        <v>5.560173804947028E-2</v>
      </c>
      <c r="V831">
        <v>0</v>
      </c>
      <c r="W831">
        <v>0.20084951456310679</v>
      </c>
      <c r="X831">
        <v>0</v>
      </c>
      <c r="Y831">
        <v>4.9150485436893203E-2</v>
      </c>
      <c r="Z831">
        <v>0</v>
      </c>
      <c r="AA831">
        <v>0</v>
      </c>
      <c r="AB831">
        <v>0</v>
      </c>
      <c r="AC831">
        <v>1.5798670135364536E-2</v>
      </c>
      <c r="AD831">
        <v>0</v>
      </c>
      <c r="AE831">
        <v>0.98420132986463538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hidden="1" x14ac:dyDescent="0.25">
      <c r="A832" t="s">
        <v>128</v>
      </c>
      <c r="B832" t="s">
        <v>503</v>
      </c>
      <c r="C832" t="s">
        <v>109</v>
      </c>
      <c r="D832" s="12">
        <v>46231</v>
      </c>
      <c r="E832" t="s">
        <v>133</v>
      </c>
      <c r="G832">
        <v>20.521052224969107</v>
      </c>
      <c r="H832">
        <v>62.699999999999996</v>
      </c>
      <c r="J832">
        <v>62.699999999999996</v>
      </c>
      <c r="M832">
        <v>19.249999999999989</v>
      </c>
      <c r="Q832">
        <v>0</v>
      </c>
      <c r="R832">
        <v>0</v>
      </c>
      <c r="S832">
        <v>1.8053988807508325</v>
      </c>
      <c r="T832">
        <v>0</v>
      </c>
      <c r="U832">
        <v>0</v>
      </c>
      <c r="V832">
        <v>0</v>
      </c>
      <c r="W832">
        <v>6.2629322042736819E-3</v>
      </c>
      <c r="X832">
        <v>0</v>
      </c>
      <c r="Y832">
        <v>0.24373706779572632</v>
      </c>
      <c r="Z832">
        <v>0</v>
      </c>
      <c r="AA832">
        <v>0</v>
      </c>
      <c r="AB832">
        <v>0</v>
      </c>
      <c r="AC832">
        <v>6.8201872324632609E-2</v>
      </c>
      <c r="AD832">
        <v>0</v>
      </c>
      <c r="AE832">
        <v>0.9317981276753674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hidden="1" x14ac:dyDescent="0.25">
      <c r="A833" t="s">
        <v>128</v>
      </c>
      <c r="B833" t="s">
        <v>372</v>
      </c>
      <c r="C833" t="s">
        <v>109</v>
      </c>
      <c r="D833" s="12">
        <v>46231</v>
      </c>
      <c r="E833" t="s">
        <v>501</v>
      </c>
      <c r="G833">
        <v>6.7655742969551049</v>
      </c>
      <c r="H833">
        <v>6.6499999999999995</v>
      </c>
      <c r="J833">
        <v>6.6499999999999995</v>
      </c>
      <c r="M833">
        <v>8.5121107266435967</v>
      </c>
      <c r="Q833">
        <v>0.22675870878160934</v>
      </c>
      <c r="R833">
        <v>0</v>
      </c>
      <c r="S833">
        <v>0</v>
      </c>
      <c r="T833">
        <v>0</v>
      </c>
      <c r="U833">
        <v>0</v>
      </c>
      <c r="V833">
        <v>0.10117700989211498</v>
      </c>
      <c r="W833">
        <v>3.1391797447334564E-2</v>
      </c>
      <c r="X833">
        <v>0</v>
      </c>
      <c r="Y833">
        <v>0</v>
      </c>
      <c r="Z833">
        <v>4.8474500538352373E-2</v>
      </c>
      <c r="AA833">
        <v>0</v>
      </c>
      <c r="AB833">
        <v>0</v>
      </c>
      <c r="AC833">
        <v>0</v>
      </c>
      <c r="AD833">
        <v>0</v>
      </c>
      <c r="AE833">
        <v>0.42125027010384952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hidden="1" x14ac:dyDescent="0.25">
      <c r="A834" t="s">
        <v>128</v>
      </c>
      <c r="B834" t="s">
        <v>502</v>
      </c>
      <c r="C834" t="s">
        <v>109</v>
      </c>
      <c r="D834" s="12">
        <v>46231</v>
      </c>
      <c r="E834" t="s">
        <v>501</v>
      </c>
      <c r="G834">
        <v>3.3060473611954952</v>
      </c>
      <c r="H834">
        <v>0</v>
      </c>
      <c r="J834">
        <v>0</v>
      </c>
      <c r="M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hidden="1" x14ac:dyDescent="0.25">
      <c r="A835" t="s">
        <v>128</v>
      </c>
      <c r="B835" t="s">
        <v>503</v>
      </c>
      <c r="C835" t="s">
        <v>109</v>
      </c>
      <c r="D835" s="12">
        <v>46231</v>
      </c>
      <c r="E835" t="s">
        <v>501</v>
      </c>
      <c r="G835">
        <v>1.906327255871447</v>
      </c>
      <c r="H835">
        <v>0</v>
      </c>
      <c r="J835">
        <v>0</v>
      </c>
      <c r="M835">
        <v>1.9792387543252596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0.86399584250632</v>
      </c>
      <c r="AA835">
        <v>0.13600415749368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hidden="1" x14ac:dyDescent="0.25">
      <c r="A836" t="s">
        <v>128</v>
      </c>
      <c r="B836" t="s">
        <v>372</v>
      </c>
      <c r="C836" t="s">
        <v>109</v>
      </c>
      <c r="D836" s="12">
        <v>46231</v>
      </c>
      <c r="E836" t="s">
        <v>134</v>
      </c>
      <c r="G836">
        <v>11.674152105831531</v>
      </c>
      <c r="H836">
        <v>6.65</v>
      </c>
      <c r="J836">
        <v>6.65</v>
      </c>
      <c r="M836">
        <v>9.712478373702421</v>
      </c>
      <c r="Q836">
        <v>1.4439870729866463E-2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0.24788996238689043</v>
      </c>
      <c r="AA836">
        <v>0.18247552028673705</v>
      </c>
      <c r="AB836">
        <v>0</v>
      </c>
      <c r="AC836">
        <v>0</v>
      </c>
      <c r="AD836">
        <v>0</v>
      </c>
      <c r="AE836">
        <v>0.5696345173263726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idden="1" x14ac:dyDescent="0.25">
      <c r="A837" t="s">
        <v>128</v>
      </c>
      <c r="B837" t="s">
        <v>502</v>
      </c>
      <c r="C837" t="s">
        <v>109</v>
      </c>
      <c r="D837" s="12">
        <v>46231</v>
      </c>
      <c r="E837" t="s">
        <v>134</v>
      </c>
      <c r="G837">
        <v>9.1014549325762921</v>
      </c>
      <c r="H837">
        <v>6.65</v>
      </c>
      <c r="J837">
        <v>6.65</v>
      </c>
      <c r="M837">
        <v>6.0009227220299888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8.4841254059786764E-2</v>
      </c>
      <c r="Z837">
        <v>0.23083372247554418</v>
      </c>
      <c r="AA837">
        <v>0.12335511949592334</v>
      </c>
      <c r="AB837">
        <v>0</v>
      </c>
      <c r="AC837">
        <v>0.21730823966094678</v>
      </c>
      <c r="AD837">
        <v>0</v>
      </c>
      <c r="AE837">
        <v>0.42850291836758586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hidden="1" x14ac:dyDescent="0.25">
      <c r="A838" t="s">
        <v>128</v>
      </c>
      <c r="B838" t="s">
        <v>503</v>
      </c>
      <c r="C838" t="s">
        <v>109</v>
      </c>
      <c r="D838" s="12">
        <v>46231</v>
      </c>
      <c r="E838" t="s">
        <v>134</v>
      </c>
      <c r="G838">
        <v>5.798257372654156</v>
      </c>
      <c r="H838">
        <v>6.65</v>
      </c>
      <c r="J838">
        <v>6.65</v>
      </c>
      <c r="M838">
        <v>4.3966551326412917</v>
      </c>
      <c r="Q838">
        <v>0</v>
      </c>
      <c r="R838">
        <v>0</v>
      </c>
      <c r="S838">
        <v>0.36775755268007093</v>
      </c>
      <c r="T838">
        <v>0</v>
      </c>
      <c r="U838">
        <v>0.1493213977302861</v>
      </c>
      <c r="V838">
        <v>0</v>
      </c>
      <c r="W838">
        <v>6.0426540284360203E-2</v>
      </c>
      <c r="X838">
        <v>0</v>
      </c>
      <c r="Y838">
        <v>0</v>
      </c>
      <c r="Z838">
        <v>1.0821371665068755E-2</v>
      </c>
      <c r="AA838">
        <v>0.41978780646462721</v>
      </c>
      <c r="AB838">
        <v>0</v>
      </c>
      <c r="AC838">
        <v>3.1688318129511957E-2</v>
      </c>
      <c r="AD838">
        <v>0</v>
      </c>
      <c r="AE838">
        <v>0.53770250374079209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hidden="1" x14ac:dyDescent="0.25">
      <c r="A839" t="s">
        <v>128</v>
      </c>
      <c r="B839" t="s">
        <v>372</v>
      </c>
      <c r="C839" t="s">
        <v>109</v>
      </c>
      <c r="D839" s="12">
        <v>46232</v>
      </c>
      <c r="E839" t="s">
        <v>133</v>
      </c>
      <c r="G839">
        <v>27.619370851262371</v>
      </c>
      <c r="H839">
        <v>32.299999999999997</v>
      </c>
      <c r="J839">
        <v>32.299999999999997</v>
      </c>
      <c r="M839">
        <v>30.46875</v>
      </c>
      <c r="Q839">
        <v>6.6704733400678159E-2</v>
      </c>
      <c r="R839">
        <v>0</v>
      </c>
      <c r="S839">
        <v>8.4042593692583725E-2</v>
      </c>
      <c r="T839">
        <v>0</v>
      </c>
      <c r="U839">
        <v>0</v>
      </c>
      <c r="V839">
        <v>0</v>
      </c>
      <c r="W839">
        <v>3.6461235298691878E-2</v>
      </c>
      <c r="X839">
        <v>0</v>
      </c>
      <c r="Y839">
        <v>7.7435612838843954E-2</v>
      </c>
      <c r="Z839">
        <v>2.8470369781228261E-2</v>
      </c>
      <c r="AA839">
        <v>0</v>
      </c>
      <c r="AB839">
        <v>0</v>
      </c>
      <c r="AC839">
        <v>0</v>
      </c>
      <c r="AD839">
        <v>0</v>
      </c>
      <c r="AE839">
        <v>0.97152963021877181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hidden="1" x14ac:dyDescent="0.25">
      <c r="A840" t="s">
        <v>128</v>
      </c>
      <c r="B840" t="s">
        <v>502</v>
      </c>
      <c r="C840" t="s">
        <v>109</v>
      </c>
      <c r="D840" s="12">
        <v>46232</v>
      </c>
      <c r="E840" t="s">
        <v>133</v>
      </c>
      <c r="G840">
        <v>22.568767756153267</v>
      </c>
      <c r="H840">
        <v>64.599999999999994</v>
      </c>
      <c r="J840">
        <v>64.599999999999994</v>
      </c>
      <c r="M840">
        <v>26.812499999999993</v>
      </c>
      <c r="Q840">
        <v>0</v>
      </c>
      <c r="R840">
        <v>0</v>
      </c>
      <c r="S840">
        <v>1.5907866027317481</v>
      </c>
      <c r="T840">
        <v>0</v>
      </c>
      <c r="U840">
        <v>2.1576141126392733E-2</v>
      </c>
      <c r="V840">
        <v>0</v>
      </c>
      <c r="W840">
        <v>0.18225814928290962</v>
      </c>
      <c r="X840">
        <v>0</v>
      </c>
      <c r="Y840">
        <v>6.7741850717090393E-2</v>
      </c>
      <c r="Z840">
        <v>0</v>
      </c>
      <c r="AA840">
        <v>0</v>
      </c>
      <c r="AB840">
        <v>0</v>
      </c>
      <c r="AC840">
        <v>1.5798670135364536E-2</v>
      </c>
      <c r="AD840">
        <v>0</v>
      </c>
      <c r="AE840">
        <v>0.98420132986463538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idden="1" x14ac:dyDescent="0.25">
      <c r="A841" t="s">
        <v>128</v>
      </c>
      <c r="B841" t="s">
        <v>503</v>
      </c>
      <c r="C841" t="s">
        <v>109</v>
      </c>
      <c r="D841" s="12">
        <v>46232</v>
      </c>
      <c r="E841" t="s">
        <v>133</v>
      </c>
      <c r="G841">
        <v>19.848230840543888</v>
      </c>
      <c r="H841">
        <v>64.599999999999994</v>
      </c>
      <c r="J841">
        <v>64.599999999999994</v>
      </c>
      <c r="M841">
        <v>17.022058823529402</v>
      </c>
      <c r="Q841">
        <v>0</v>
      </c>
      <c r="R841">
        <v>0</v>
      </c>
      <c r="S841">
        <v>2.0046981400499373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0.25</v>
      </c>
      <c r="Z841">
        <v>0</v>
      </c>
      <c r="AA841">
        <v>0</v>
      </c>
      <c r="AB841">
        <v>0</v>
      </c>
      <c r="AC841">
        <v>0.14238911466313039</v>
      </c>
      <c r="AD841">
        <v>0</v>
      </c>
      <c r="AE841">
        <v>0.85761088533686958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25">
      <c r="A842" t="s">
        <v>128</v>
      </c>
      <c r="B842" t="s">
        <v>372</v>
      </c>
      <c r="C842" t="s">
        <v>109</v>
      </c>
      <c r="D842" s="12">
        <v>46232</v>
      </c>
      <c r="E842" t="s">
        <v>501</v>
      </c>
      <c r="G842">
        <v>6.7655742969551058</v>
      </c>
      <c r="H842">
        <v>11.399999999999999</v>
      </c>
      <c r="J842">
        <v>11.399999999999999</v>
      </c>
      <c r="M842">
        <v>7.5155709342560542</v>
      </c>
      <c r="Q842">
        <v>8.4679761370877668E-2</v>
      </c>
      <c r="R842">
        <v>0</v>
      </c>
      <c r="S842">
        <v>0.60090677361430056</v>
      </c>
      <c r="T842">
        <v>0</v>
      </c>
      <c r="U842">
        <v>0</v>
      </c>
      <c r="V842">
        <v>0</v>
      </c>
      <c r="W842">
        <v>2.6175075836141003E-2</v>
      </c>
      <c r="X842">
        <v>0</v>
      </c>
      <c r="Y842">
        <v>0.10639373150330854</v>
      </c>
      <c r="Z842">
        <v>4.8474500538352373E-2</v>
      </c>
      <c r="AA842">
        <v>0</v>
      </c>
      <c r="AB842">
        <v>0</v>
      </c>
      <c r="AC842">
        <v>0</v>
      </c>
      <c r="AD842">
        <v>0</v>
      </c>
      <c r="AE842">
        <v>0.95152549946164766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hidden="1" x14ac:dyDescent="0.25">
      <c r="A843" t="s">
        <v>128</v>
      </c>
      <c r="B843" t="s">
        <v>502</v>
      </c>
      <c r="C843" t="s">
        <v>109</v>
      </c>
      <c r="D843" s="12">
        <v>46232</v>
      </c>
      <c r="E843" t="s">
        <v>501</v>
      </c>
      <c r="G843">
        <v>3.2416019935308658</v>
      </c>
      <c r="H843">
        <v>0</v>
      </c>
      <c r="J843">
        <v>0</v>
      </c>
      <c r="M843">
        <v>0.74999999999999989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0.2313670837742402</v>
      </c>
      <c r="AA843">
        <v>0.7686329162257598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hidden="1" x14ac:dyDescent="0.25">
      <c r="A844" t="s">
        <v>128</v>
      </c>
      <c r="B844" t="s">
        <v>503</v>
      </c>
      <c r="C844" t="s">
        <v>109</v>
      </c>
      <c r="D844" s="12">
        <v>46232</v>
      </c>
      <c r="E844" t="s">
        <v>501</v>
      </c>
      <c r="G844">
        <v>3.5455048443975872</v>
      </c>
      <c r="H844">
        <v>0</v>
      </c>
      <c r="J844">
        <v>0</v>
      </c>
      <c r="M844">
        <v>3.9673025556972017</v>
      </c>
      <c r="Q844">
        <v>0.23611451259957239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0.68936401277649573</v>
      </c>
      <c r="AA844">
        <v>0.11714761513048101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0.19348837209302328</v>
      </c>
      <c r="AJ844">
        <v>0</v>
      </c>
    </row>
    <row r="845" spans="1:36" hidden="1" x14ac:dyDescent="0.25">
      <c r="A845" t="s">
        <v>128</v>
      </c>
      <c r="B845" t="s">
        <v>372</v>
      </c>
      <c r="C845" t="s">
        <v>109</v>
      </c>
      <c r="D845" s="12">
        <v>46232</v>
      </c>
      <c r="E845" t="s">
        <v>134</v>
      </c>
      <c r="G845">
        <v>9.3552495005399567</v>
      </c>
      <c r="H845">
        <v>8.5500000000000007</v>
      </c>
      <c r="J845">
        <v>8.5500000000000007</v>
      </c>
      <c r="M845">
        <v>7.774762110726642</v>
      </c>
      <c r="Q845">
        <v>0</v>
      </c>
      <c r="R845">
        <v>0</v>
      </c>
      <c r="S845">
        <v>0.20728564889381221</v>
      </c>
      <c r="T845">
        <v>0</v>
      </c>
      <c r="U845">
        <v>0</v>
      </c>
      <c r="V845">
        <v>0</v>
      </c>
      <c r="W845">
        <v>3.1677388141404847E-2</v>
      </c>
      <c r="X845">
        <v>0</v>
      </c>
      <c r="Y845">
        <v>2.8412747061399356E-2</v>
      </c>
      <c r="Z845">
        <v>0.15283177767543041</v>
      </c>
      <c r="AA845">
        <v>0.20061862158708624</v>
      </c>
      <c r="AB845">
        <v>0</v>
      </c>
      <c r="AC845">
        <v>0</v>
      </c>
      <c r="AD845">
        <v>0</v>
      </c>
      <c r="AE845">
        <v>0.64654960073748347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hidden="1" x14ac:dyDescent="0.25">
      <c r="A846" t="s">
        <v>128</v>
      </c>
      <c r="B846" t="s">
        <v>502</v>
      </c>
      <c r="C846" t="s">
        <v>109</v>
      </c>
      <c r="D846" s="12">
        <v>46232</v>
      </c>
      <c r="E846" t="s">
        <v>134</v>
      </c>
      <c r="G846">
        <v>9.1765081618168907</v>
      </c>
      <c r="H846">
        <v>8.5500000000000007</v>
      </c>
      <c r="J846">
        <v>8.5500000000000007</v>
      </c>
      <c r="M846">
        <v>5.0078431372549019</v>
      </c>
      <c r="Q846">
        <v>0</v>
      </c>
      <c r="R846">
        <v>0</v>
      </c>
      <c r="S846">
        <v>0.19047232341044273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6.5430752453653207E-2</v>
      </c>
      <c r="Z846">
        <v>0.21880252290402383</v>
      </c>
      <c r="AA846">
        <v>0.10537359873839629</v>
      </c>
      <c r="AB846">
        <v>0</v>
      </c>
      <c r="AC846">
        <v>0.34890214003418479</v>
      </c>
      <c r="AD846">
        <v>0</v>
      </c>
      <c r="AE846">
        <v>0.32692173832339499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hidden="1" x14ac:dyDescent="0.25">
      <c r="A847" t="s">
        <v>128</v>
      </c>
      <c r="B847" t="s">
        <v>503</v>
      </c>
      <c r="C847" t="s">
        <v>109</v>
      </c>
      <c r="D847" s="12">
        <v>46232</v>
      </c>
      <c r="E847" t="s">
        <v>134</v>
      </c>
      <c r="G847">
        <v>6.8893707617095101</v>
      </c>
      <c r="H847">
        <v>8.5500000000000007</v>
      </c>
      <c r="J847">
        <v>8.5500000000000007</v>
      </c>
      <c r="M847">
        <v>3.8758938869665513</v>
      </c>
      <c r="Q847">
        <v>0</v>
      </c>
      <c r="R847">
        <v>0</v>
      </c>
      <c r="S847">
        <v>0.31014123679481748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0.18618019709056779</v>
      </c>
      <c r="Z847">
        <v>9.1075223281561757E-3</v>
      </c>
      <c r="AA847">
        <v>0.24617168930957259</v>
      </c>
      <c r="AB847">
        <v>0</v>
      </c>
      <c r="AC847">
        <v>0.19123790569895655</v>
      </c>
      <c r="AD847">
        <v>0</v>
      </c>
      <c r="AE847">
        <v>0.55348288266331469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hidden="1" x14ac:dyDescent="0.25">
      <c r="A848" t="s">
        <v>128</v>
      </c>
      <c r="B848" t="s">
        <v>372</v>
      </c>
      <c r="C848" t="s">
        <v>109</v>
      </c>
      <c r="D848" s="12">
        <v>46233</v>
      </c>
      <c r="E848" t="s">
        <v>133</v>
      </c>
      <c r="G848">
        <v>26.089357948327105</v>
      </c>
      <c r="H848">
        <v>26.599999999999998</v>
      </c>
      <c r="J848">
        <v>26.599999999999998</v>
      </c>
      <c r="M848">
        <v>28.96875</v>
      </c>
      <c r="Q848">
        <v>6.3848934251707484E-2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4.6517601305658567E-2</v>
      </c>
      <c r="X848">
        <v>0</v>
      </c>
      <c r="Y848">
        <v>6.2285932954674059E-3</v>
      </c>
      <c r="Z848">
        <v>3.3173384389227387E-2</v>
      </c>
      <c r="AA848">
        <v>0</v>
      </c>
      <c r="AB848">
        <v>0</v>
      </c>
      <c r="AC848">
        <v>0</v>
      </c>
      <c r="AD848">
        <v>0</v>
      </c>
      <c r="AE848">
        <v>0.96682661561077265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hidden="1" x14ac:dyDescent="0.25">
      <c r="A849" t="s">
        <v>128</v>
      </c>
      <c r="B849" t="s">
        <v>502</v>
      </c>
      <c r="C849" t="s">
        <v>109</v>
      </c>
      <c r="D849" s="12">
        <v>46233</v>
      </c>
      <c r="E849" t="s">
        <v>133</v>
      </c>
      <c r="G849">
        <v>22.513989193638331</v>
      </c>
      <c r="H849">
        <v>68.400000000000006</v>
      </c>
      <c r="J849">
        <v>68.400000000000006</v>
      </c>
      <c r="M849">
        <v>26.875000000000004</v>
      </c>
      <c r="Q849">
        <v>0</v>
      </c>
      <c r="R849">
        <v>0</v>
      </c>
      <c r="S849">
        <v>1.7758845146533064</v>
      </c>
      <c r="T849">
        <v>0</v>
      </c>
      <c r="U849">
        <v>1.2226564272122643E-2</v>
      </c>
      <c r="V849">
        <v>0</v>
      </c>
      <c r="W849">
        <v>0.19467828754902222</v>
      </c>
      <c r="X849">
        <v>0</v>
      </c>
      <c r="Y849">
        <v>5.5321712450977764E-2</v>
      </c>
      <c r="Z849">
        <v>0</v>
      </c>
      <c r="AA849">
        <v>0</v>
      </c>
      <c r="AB849">
        <v>0</v>
      </c>
      <c r="AC849">
        <v>1.3202582141014406E-2</v>
      </c>
      <c r="AD849">
        <v>0</v>
      </c>
      <c r="AE849">
        <v>0.98679741785898545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hidden="1" x14ac:dyDescent="0.25">
      <c r="A850" t="s">
        <v>128</v>
      </c>
      <c r="B850" t="s">
        <v>503</v>
      </c>
      <c r="C850" t="s">
        <v>109</v>
      </c>
      <c r="D850" s="12">
        <v>46233</v>
      </c>
      <c r="E850" t="s">
        <v>133</v>
      </c>
      <c r="G850">
        <v>21.530284301606926</v>
      </c>
      <c r="H850">
        <v>68.400000000000006</v>
      </c>
      <c r="J850">
        <v>68.400000000000006</v>
      </c>
      <c r="M850">
        <v>19.897058823529406</v>
      </c>
      <c r="Q850">
        <v>0</v>
      </c>
      <c r="R850">
        <v>0</v>
      </c>
      <c r="S850">
        <v>1.9269204271443325</v>
      </c>
      <c r="T850">
        <v>0</v>
      </c>
      <c r="U850">
        <v>0</v>
      </c>
      <c r="V850">
        <v>0</v>
      </c>
      <c r="W850">
        <v>3.2509796604368819E-2</v>
      </c>
      <c r="X850">
        <v>0</v>
      </c>
      <c r="Y850">
        <v>0.21749020339563124</v>
      </c>
      <c r="Z850">
        <v>0</v>
      </c>
      <c r="AA850">
        <v>0</v>
      </c>
      <c r="AB850">
        <v>0</v>
      </c>
      <c r="AC850">
        <v>0.10836692209321458</v>
      </c>
      <c r="AD850">
        <v>0</v>
      </c>
      <c r="AE850">
        <v>0.89163307790678548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hidden="1" x14ac:dyDescent="0.25">
      <c r="A851" t="s">
        <v>128</v>
      </c>
      <c r="B851" t="s">
        <v>372</v>
      </c>
      <c r="C851" t="s">
        <v>109</v>
      </c>
      <c r="D851" s="12">
        <v>46233</v>
      </c>
      <c r="E851" t="s">
        <v>501</v>
      </c>
      <c r="G851">
        <v>6.7655742969551058</v>
      </c>
      <c r="H851">
        <v>6.6499999999999995</v>
      </c>
      <c r="J851">
        <v>6.6499999999999995</v>
      </c>
      <c r="M851">
        <v>8.5121107266435985</v>
      </c>
      <c r="Q851">
        <v>0.22675870878160972</v>
      </c>
      <c r="R851">
        <v>0</v>
      </c>
      <c r="S851">
        <v>0</v>
      </c>
      <c r="T851">
        <v>0</v>
      </c>
      <c r="U851">
        <v>0</v>
      </c>
      <c r="V851">
        <v>0.1011770098921151</v>
      </c>
      <c r="W851">
        <v>3.1391797447334446E-2</v>
      </c>
      <c r="X851">
        <v>0</v>
      </c>
      <c r="Y851">
        <v>0</v>
      </c>
      <c r="Z851">
        <v>4.8474500538352373E-2</v>
      </c>
      <c r="AA851">
        <v>0</v>
      </c>
      <c r="AB851">
        <v>0</v>
      </c>
      <c r="AC851">
        <v>0</v>
      </c>
      <c r="AD851">
        <v>0</v>
      </c>
      <c r="AE851">
        <v>0.42125027010384947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hidden="1" x14ac:dyDescent="0.25">
      <c r="A852" t="s">
        <v>128</v>
      </c>
      <c r="B852" t="s">
        <v>502</v>
      </c>
      <c r="C852" t="s">
        <v>109</v>
      </c>
      <c r="D852" s="12">
        <v>46233</v>
      </c>
      <c r="E852" t="s">
        <v>501</v>
      </c>
      <c r="G852">
        <v>3.3060473611954952</v>
      </c>
      <c r="H852">
        <v>0</v>
      </c>
      <c r="J852">
        <v>0</v>
      </c>
      <c r="M852">
        <v>1.698961937716263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0.51389522051550518</v>
      </c>
      <c r="AA852">
        <v>0.48610477948449488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hidden="1" x14ac:dyDescent="0.25">
      <c r="A853" t="s">
        <v>128</v>
      </c>
      <c r="B853" t="s">
        <v>503</v>
      </c>
      <c r="C853" t="s">
        <v>109</v>
      </c>
      <c r="D853" s="12">
        <v>46233</v>
      </c>
      <c r="E853" t="s">
        <v>501</v>
      </c>
      <c r="G853">
        <v>2.8594908838071702</v>
      </c>
      <c r="H853">
        <v>0</v>
      </c>
      <c r="J853">
        <v>0</v>
      </c>
      <c r="M853">
        <v>3.0868238936441452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0.86589057023111471</v>
      </c>
      <c r="AA853">
        <v>0.13410942976888529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hidden="1" x14ac:dyDescent="0.25">
      <c r="A854" t="s">
        <v>128</v>
      </c>
      <c r="B854" t="s">
        <v>372</v>
      </c>
      <c r="C854" t="s">
        <v>109</v>
      </c>
      <c r="D854" s="12">
        <v>46233</v>
      </c>
      <c r="E854" t="s">
        <v>134</v>
      </c>
      <c r="G854">
        <v>10.409296139308854</v>
      </c>
      <c r="H854">
        <v>6.6499999999999995</v>
      </c>
      <c r="J854">
        <v>6.6499999999999995</v>
      </c>
      <c r="M854">
        <v>8.646637110726644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2.1330304367361792E-2</v>
      </c>
      <c r="X854">
        <v>0</v>
      </c>
      <c r="Y854">
        <v>1.9695596925506927E-2</v>
      </c>
      <c r="Z854">
        <v>0.21150848071759154</v>
      </c>
      <c r="AA854">
        <v>0.19066538764218982</v>
      </c>
      <c r="AB854">
        <v>0</v>
      </c>
      <c r="AC854">
        <v>0</v>
      </c>
      <c r="AD854">
        <v>0</v>
      </c>
      <c r="AE854">
        <v>0.59782613164021869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hidden="1" x14ac:dyDescent="0.25">
      <c r="A855" t="s">
        <v>128</v>
      </c>
      <c r="B855" t="s">
        <v>502</v>
      </c>
      <c r="C855" t="s">
        <v>109</v>
      </c>
      <c r="D855" s="12">
        <v>46233</v>
      </c>
      <c r="E855" t="s">
        <v>134</v>
      </c>
      <c r="G855">
        <v>7.7504968062455646</v>
      </c>
      <c r="H855">
        <v>6.6499999999999995</v>
      </c>
      <c r="J855">
        <v>6.6499999999999995</v>
      </c>
      <c r="M855">
        <v>6.1189302191464829</v>
      </c>
      <c r="Q855">
        <v>0</v>
      </c>
      <c r="R855">
        <v>0</v>
      </c>
      <c r="S855">
        <v>0.10294447573131139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0.10625935744406133</v>
      </c>
      <c r="Z855">
        <v>0.25905992705356984</v>
      </c>
      <c r="AA855">
        <v>9.2134391861859455E-2</v>
      </c>
      <c r="AB855">
        <v>0</v>
      </c>
      <c r="AC855">
        <v>0.11837683443583029</v>
      </c>
      <c r="AD855">
        <v>0</v>
      </c>
      <c r="AE855">
        <v>0.53042884664874046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hidden="1" x14ac:dyDescent="0.25">
      <c r="A856" t="s">
        <v>128</v>
      </c>
      <c r="B856" t="s">
        <v>503</v>
      </c>
      <c r="C856" t="s">
        <v>109</v>
      </c>
      <c r="D856" s="12">
        <v>46233</v>
      </c>
      <c r="E856" t="s">
        <v>134</v>
      </c>
      <c r="G856">
        <v>6.8893707617095101</v>
      </c>
      <c r="H856">
        <v>6.6499999999999995</v>
      </c>
      <c r="J856">
        <v>6.6499999999999995</v>
      </c>
      <c r="M856">
        <v>4.7233852364475197</v>
      </c>
      <c r="Q856">
        <v>0</v>
      </c>
      <c r="R856">
        <v>0</v>
      </c>
      <c r="S856">
        <v>0.12923738998065717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9.1296883405248705E-2</v>
      </c>
      <c r="Z856">
        <v>0.14700110257789575</v>
      </c>
      <c r="AA856">
        <v>0.10827810905983301</v>
      </c>
      <c r="AB856">
        <v>0</v>
      </c>
      <c r="AC856">
        <v>0.20611715288489185</v>
      </c>
      <c r="AD856">
        <v>0</v>
      </c>
      <c r="AE856">
        <v>0.53860363547737933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hidden="1" x14ac:dyDescent="0.25">
      <c r="A857" t="s">
        <v>128</v>
      </c>
      <c r="B857" t="s">
        <v>372</v>
      </c>
      <c r="C857" t="s">
        <v>109</v>
      </c>
      <c r="D857" s="12">
        <v>46234</v>
      </c>
      <c r="E857" t="s">
        <v>133</v>
      </c>
      <c r="G857">
        <v>26.221255612373252</v>
      </c>
      <c r="H857">
        <v>26.599999999999998</v>
      </c>
      <c r="J857">
        <v>26.599999999999998</v>
      </c>
      <c r="M857">
        <v>29.5</v>
      </c>
      <c r="Q857">
        <v>0.10724008333820666</v>
      </c>
      <c r="R857">
        <v>0</v>
      </c>
      <c r="S857">
        <v>1.6173651041872839E-2</v>
      </c>
      <c r="T857">
        <v>0</v>
      </c>
      <c r="U857">
        <v>0</v>
      </c>
      <c r="V857">
        <v>0</v>
      </c>
      <c r="W857">
        <v>1.7801388210530962E-2</v>
      </c>
      <c r="X857">
        <v>0</v>
      </c>
      <c r="Y857">
        <v>2.2440060481621952E-2</v>
      </c>
      <c r="Z857">
        <v>4.1970925388384407E-2</v>
      </c>
      <c r="AA857">
        <v>0</v>
      </c>
      <c r="AB857">
        <v>0</v>
      </c>
      <c r="AC857">
        <v>0</v>
      </c>
      <c r="AD857">
        <v>0</v>
      </c>
      <c r="AE857">
        <v>0.95802907461161557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hidden="1" x14ac:dyDescent="0.25">
      <c r="A858" t="s">
        <v>128</v>
      </c>
      <c r="B858" t="s">
        <v>502</v>
      </c>
      <c r="C858" t="s">
        <v>109</v>
      </c>
      <c r="D858" s="12">
        <v>46234</v>
      </c>
      <c r="E858" t="s">
        <v>133</v>
      </c>
      <c r="G858">
        <v>22.459210631123394</v>
      </c>
      <c r="H858">
        <v>68.400000000000006</v>
      </c>
      <c r="J858">
        <v>68.400000000000006</v>
      </c>
      <c r="M858">
        <v>26.566666666666666</v>
      </c>
      <c r="Q858">
        <v>0</v>
      </c>
      <c r="R858">
        <v>0</v>
      </c>
      <c r="S858">
        <v>1.7955211059471987</v>
      </c>
      <c r="T858">
        <v>0</v>
      </c>
      <c r="U858">
        <v>0</v>
      </c>
      <c r="V858">
        <v>0</v>
      </c>
      <c r="W858">
        <v>0.18288514690054447</v>
      </c>
      <c r="X858">
        <v>0</v>
      </c>
      <c r="Y858">
        <v>6.7114853099455501E-2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idden="1" x14ac:dyDescent="0.25">
      <c r="A859" t="s">
        <v>128</v>
      </c>
      <c r="B859" t="s">
        <v>503</v>
      </c>
      <c r="C859" t="s">
        <v>109</v>
      </c>
      <c r="D859" s="12">
        <v>46234</v>
      </c>
      <c r="E859" t="s">
        <v>133</v>
      </c>
      <c r="G859">
        <v>20.577120673671207</v>
      </c>
      <c r="H859">
        <v>68.400000000000006</v>
      </c>
      <c r="J859">
        <v>68.400000000000006</v>
      </c>
      <c r="M859">
        <v>21.602941176470576</v>
      </c>
      <c r="Q859">
        <v>0</v>
      </c>
      <c r="R859">
        <v>0</v>
      </c>
      <c r="S859">
        <v>2.074080228946658</v>
      </c>
      <c r="T859">
        <v>0</v>
      </c>
      <c r="U859">
        <v>0</v>
      </c>
      <c r="V859">
        <v>0</v>
      </c>
      <c r="W859">
        <v>7.3622817633370669E-2</v>
      </c>
      <c r="X859">
        <v>0</v>
      </c>
      <c r="Y859">
        <v>0.17637718236662933</v>
      </c>
      <c r="Z859">
        <v>0</v>
      </c>
      <c r="AA859">
        <v>0</v>
      </c>
      <c r="AB859">
        <v>0</v>
      </c>
      <c r="AC859">
        <v>2.3770337343845781E-2</v>
      </c>
      <c r="AD859">
        <v>0</v>
      </c>
      <c r="AE859">
        <v>0.9762296626561543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idden="1" x14ac:dyDescent="0.25">
      <c r="A860" t="s">
        <v>128</v>
      </c>
      <c r="B860" t="s">
        <v>372</v>
      </c>
      <c r="C860" t="s">
        <v>109</v>
      </c>
      <c r="D860" s="12">
        <v>46234</v>
      </c>
      <c r="E860" t="s">
        <v>501</v>
      </c>
      <c r="G860">
        <v>6.7655742969551058</v>
      </c>
      <c r="H860">
        <v>12.349999999999998</v>
      </c>
      <c r="J860">
        <v>12.349999999999998</v>
      </c>
      <c r="M860">
        <v>7.5778546712802752</v>
      </c>
      <c r="Q860">
        <v>8.5191204666092743E-2</v>
      </c>
      <c r="R860">
        <v>0</v>
      </c>
      <c r="S860">
        <v>0.60090677361430056</v>
      </c>
      <c r="T860">
        <v>0</v>
      </c>
      <c r="U860">
        <v>0</v>
      </c>
      <c r="V860">
        <v>0</v>
      </c>
      <c r="W860">
        <v>3.4869611854796354E-2</v>
      </c>
      <c r="X860">
        <v>0</v>
      </c>
      <c r="Y860">
        <v>9.7699195484653209E-2</v>
      </c>
      <c r="Z860">
        <v>4.8474500538352373E-2</v>
      </c>
      <c r="AA860">
        <v>0</v>
      </c>
      <c r="AB860">
        <v>0</v>
      </c>
      <c r="AC860">
        <v>0</v>
      </c>
      <c r="AD860">
        <v>0</v>
      </c>
      <c r="AE860">
        <v>0.95152549946164766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hidden="1" x14ac:dyDescent="0.25">
      <c r="A861" t="s">
        <v>128</v>
      </c>
      <c r="B861" t="s">
        <v>502</v>
      </c>
      <c r="C861" t="s">
        <v>109</v>
      </c>
      <c r="D861" s="12">
        <v>46234</v>
      </c>
      <c r="E861" t="s">
        <v>501</v>
      </c>
      <c r="G861">
        <v>3.3060473611954952</v>
      </c>
      <c r="H861">
        <v>0</v>
      </c>
      <c r="J861">
        <v>0</v>
      </c>
      <c r="M861">
        <v>2.6920415224913499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0.8142779665194767</v>
      </c>
      <c r="AA861">
        <v>0.18572203348052338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hidden="1" x14ac:dyDescent="0.25">
      <c r="A862" t="s">
        <v>128</v>
      </c>
      <c r="B862" t="s">
        <v>503</v>
      </c>
      <c r="C862" t="s">
        <v>109</v>
      </c>
      <c r="D862" s="12">
        <v>46234</v>
      </c>
      <c r="E862" t="s">
        <v>501</v>
      </c>
      <c r="G862">
        <v>1.9063272558714477</v>
      </c>
      <c r="H862">
        <v>0</v>
      </c>
      <c r="J862">
        <v>0</v>
      </c>
      <c r="M862">
        <v>1.9792387543252596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0.86399584250631967</v>
      </c>
      <c r="AA862">
        <v>0.13600415749368033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hidden="1" x14ac:dyDescent="0.25">
      <c r="A863" t="s">
        <v>128</v>
      </c>
      <c r="B863" t="s">
        <v>372</v>
      </c>
      <c r="C863" t="s">
        <v>109</v>
      </c>
      <c r="D863" s="12">
        <v>46234</v>
      </c>
      <c r="E863" t="s">
        <v>134</v>
      </c>
      <c r="G863">
        <v>8.090393534017279</v>
      </c>
      <c r="H863">
        <v>6.6499999999999995</v>
      </c>
      <c r="J863">
        <v>6.6499999999999995</v>
      </c>
      <c r="M863">
        <v>6.7054606401384085</v>
      </c>
      <c r="Q863">
        <v>0</v>
      </c>
      <c r="R863">
        <v>0</v>
      </c>
      <c r="S863">
        <v>4.8463604542940296E-3</v>
      </c>
      <c r="T863">
        <v>0</v>
      </c>
      <c r="U863">
        <v>0</v>
      </c>
      <c r="V863">
        <v>0</v>
      </c>
      <c r="W863">
        <v>5.0080802286865227E-2</v>
      </c>
      <c r="X863">
        <v>0</v>
      </c>
      <c r="Y863">
        <v>1.940385318505139E-2</v>
      </c>
      <c r="Z863">
        <v>0.1163325945308985</v>
      </c>
      <c r="AA863">
        <v>0.13603593316293217</v>
      </c>
      <c r="AB863">
        <v>0</v>
      </c>
      <c r="AC863">
        <v>8.52272582198048E-2</v>
      </c>
      <c r="AD863">
        <v>0</v>
      </c>
      <c r="AE863">
        <v>0.66240421408636452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hidden="1" x14ac:dyDescent="0.25">
      <c r="A864" t="s">
        <v>128</v>
      </c>
      <c r="B864" t="s">
        <v>502</v>
      </c>
      <c r="C864" t="s">
        <v>109</v>
      </c>
      <c r="D864" s="12">
        <v>46234</v>
      </c>
      <c r="E864" t="s">
        <v>134</v>
      </c>
      <c r="G864">
        <v>9.0264017033356989</v>
      </c>
      <c r="H864">
        <v>6.6499999999999995</v>
      </c>
      <c r="J864">
        <v>6.6499999999999995</v>
      </c>
      <c r="M864">
        <v>6.0599264705882359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4.96650469406048E-2</v>
      </c>
      <c r="Z864">
        <v>0.22244114579045438</v>
      </c>
      <c r="AA864">
        <v>9.0496219559988295E-2</v>
      </c>
      <c r="AB864">
        <v>0</v>
      </c>
      <c r="AC864">
        <v>0.23814805423199295</v>
      </c>
      <c r="AD864">
        <v>0</v>
      </c>
      <c r="AE864">
        <v>0.44891458041756438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hidden="1" x14ac:dyDescent="0.25">
      <c r="A865" t="s">
        <v>128</v>
      </c>
      <c r="B865" t="s">
        <v>503</v>
      </c>
      <c r="C865" t="s">
        <v>109</v>
      </c>
      <c r="D865" s="12">
        <v>46234</v>
      </c>
      <c r="E865" t="s">
        <v>134</v>
      </c>
      <c r="G865">
        <v>9.672922252010725</v>
      </c>
      <c r="H865">
        <v>6.6499999999999995</v>
      </c>
      <c r="J865">
        <v>6.6499999999999995</v>
      </c>
      <c r="M865">
        <v>5.1140372693194927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2.1909645232815897E-2</v>
      </c>
      <c r="Z865">
        <v>0.10469898047910957</v>
      </c>
      <c r="AA865">
        <v>0.22972452284683295</v>
      </c>
      <c r="AB865">
        <v>0</v>
      </c>
      <c r="AC865">
        <v>0.24157927386708883</v>
      </c>
      <c r="AD865">
        <v>0</v>
      </c>
      <c r="AE865">
        <v>0.42399722280696883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hidden="1" x14ac:dyDescent="0.25">
      <c r="A866" t="s">
        <v>128</v>
      </c>
      <c r="B866" t="s">
        <v>372</v>
      </c>
      <c r="C866" t="s">
        <v>109</v>
      </c>
      <c r="D866" s="12">
        <v>46235</v>
      </c>
      <c r="E866" t="s">
        <v>133</v>
      </c>
      <c r="G866">
        <v>26.221255612373248</v>
      </c>
      <c r="H866">
        <v>24.7</v>
      </c>
      <c r="J866">
        <v>24.7</v>
      </c>
      <c r="M866">
        <v>28.0625</v>
      </c>
      <c r="Q866">
        <v>5.2418147224602987E-2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1.7801388210530966E-2</v>
      </c>
      <c r="X866">
        <v>0</v>
      </c>
      <c r="Y866">
        <v>2.3835624397218948E-3</v>
      </c>
      <c r="Z866">
        <v>7.8201074472157212E-2</v>
      </c>
      <c r="AA866">
        <v>0</v>
      </c>
      <c r="AB866">
        <v>0</v>
      </c>
      <c r="AC866">
        <v>0</v>
      </c>
      <c r="AD866">
        <v>0</v>
      </c>
      <c r="AE866">
        <v>0.92179892552784282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hidden="1" x14ac:dyDescent="0.25">
      <c r="A867" t="s">
        <v>128</v>
      </c>
      <c r="B867" t="s">
        <v>502</v>
      </c>
      <c r="C867" t="s">
        <v>109</v>
      </c>
      <c r="D867" s="12">
        <v>46235</v>
      </c>
      <c r="E867" t="s">
        <v>133</v>
      </c>
      <c r="G867">
        <v>22.404432068608457</v>
      </c>
      <c r="H867">
        <v>58.899999999999991</v>
      </c>
      <c r="J867">
        <v>58.899999999999991</v>
      </c>
      <c r="M867">
        <v>26.5</v>
      </c>
      <c r="Q867">
        <v>0</v>
      </c>
      <c r="R867">
        <v>0</v>
      </c>
      <c r="S867">
        <v>1.3607238090246263</v>
      </c>
      <c r="T867">
        <v>0</v>
      </c>
      <c r="U867">
        <v>1.8220313264757707E-2</v>
      </c>
      <c r="V867">
        <v>0</v>
      </c>
      <c r="W867">
        <v>0.16458137163623882</v>
      </c>
      <c r="X867">
        <v>0</v>
      </c>
      <c r="Y867">
        <v>8.5418628363761212E-2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hidden="1" x14ac:dyDescent="0.25">
      <c r="A868" t="s">
        <v>128</v>
      </c>
      <c r="B868" t="s">
        <v>503</v>
      </c>
      <c r="C868" t="s">
        <v>109</v>
      </c>
      <c r="D868" s="12">
        <v>46235</v>
      </c>
      <c r="E868" t="s">
        <v>133</v>
      </c>
      <c r="G868">
        <v>21.306010506798525</v>
      </c>
      <c r="H868">
        <v>58.899999999999991</v>
      </c>
      <c r="J868">
        <v>58.899999999999991</v>
      </c>
      <c r="M868">
        <v>21.272058823529406</v>
      </c>
      <c r="Q868">
        <v>0</v>
      </c>
      <c r="R868">
        <v>0</v>
      </c>
      <c r="S868">
        <v>1.5144781260764713</v>
      </c>
      <c r="T868">
        <v>0</v>
      </c>
      <c r="U868">
        <v>0</v>
      </c>
      <c r="V868">
        <v>0</v>
      </c>
      <c r="W868">
        <v>5.0870189800451174E-2</v>
      </c>
      <c r="X868">
        <v>0</v>
      </c>
      <c r="Y868">
        <v>0.19912981019954884</v>
      </c>
      <c r="Z868">
        <v>0</v>
      </c>
      <c r="AA868">
        <v>0</v>
      </c>
      <c r="AB868">
        <v>0</v>
      </c>
      <c r="AC868">
        <v>5.2463715874151808E-2</v>
      </c>
      <c r="AD868">
        <v>0</v>
      </c>
      <c r="AE868">
        <v>0.94753628412584834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hidden="1" x14ac:dyDescent="0.25">
      <c r="A869" t="s">
        <v>128</v>
      </c>
      <c r="B869" t="s">
        <v>372</v>
      </c>
      <c r="C869" t="s">
        <v>109</v>
      </c>
      <c r="D869" s="12">
        <v>46235</v>
      </c>
      <c r="E869" t="s">
        <v>501</v>
      </c>
      <c r="G869">
        <v>6.8152298881254181</v>
      </c>
      <c r="H869">
        <v>8.5499999999999989</v>
      </c>
      <c r="J869">
        <v>8.5499999999999989</v>
      </c>
      <c r="M869">
        <v>7.515570934256055</v>
      </c>
      <c r="Q869">
        <v>7.6776812289851185E-2</v>
      </c>
      <c r="R869">
        <v>0</v>
      </c>
      <c r="S869">
        <v>0.17834753080727853</v>
      </c>
      <c r="T869">
        <v>0</v>
      </c>
      <c r="U869">
        <v>0</v>
      </c>
      <c r="V869">
        <v>0</v>
      </c>
      <c r="W869">
        <v>2.5984364901087381E-2</v>
      </c>
      <c r="X869">
        <v>0</v>
      </c>
      <c r="Y869">
        <v>0.10561854948871226</v>
      </c>
      <c r="Z869">
        <v>5.5407291062663074E-2</v>
      </c>
      <c r="AA869">
        <v>0</v>
      </c>
      <c r="AB869">
        <v>0</v>
      </c>
      <c r="AC869">
        <v>0</v>
      </c>
      <c r="AD869">
        <v>0</v>
      </c>
      <c r="AE869">
        <v>0.94459270893733693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hidden="1" x14ac:dyDescent="0.25">
      <c r="A870" t="s">
        <v>128</v>
      </c>
      <c r="B870" t="s">
        <v>502</v>
      </c>
      <c r="C870" t="s">
        <v>109</v>
      </c>
      <c r="D870" s="12">
        <v>46235</v>
      </c>
      <c r="E870" t="s">
        <v>501</v>
      </c>
      <c r="G870">
        <v>3.3060473611954952</v>
      </c>
      <c r="H870">
        <v>0</v>
      </c>
      <c r="J870">
        <v>0</v>
      </c>
      <c r="M870">
        <v>1.9861591695501735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0.60076549200794305</v>
      </c>
      <c r="AA870">
        <v>0.39923450799205701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hidden="1" x14ac:dyDescent="0.25">
      <c r="A871" t="s">
        <v>128</v>
      </c>
      <c r="B871" t="s">
        <v>503</v>
      </c>
      <c r="C871" t="s">
        <v>109</v>
      </c>
      <c r="D871" s="12">
        <v>46235</v>
      </c>
      <c r="E871" t="s">
        <v>501</v>
      </c>
      <c r="G871">
        <v>0</v>
      </c>
      <c r="H871">
        <v>0</v>
      </c>
      <c r="J871">
        <v>0</v>
      </c>
      <c r="M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hidden="1" x14ac:dyDescent="0.25">
      <c r="A872" t="s">
        <v>128</v>
      </c>
      <c r="B872" t="s">
        <v>372</v>
      </c>
      <c r="C872" t="s">
        <v>109</v>
      </c>
      <c r="D872" s="12">
        <v>46235</v>
      </c>
      <c r="E872" t="s">
        <v>134</v>
      </c>
      <c r="G872">
        <v>8.86336106911447</v>
      </c>
      <c r="H872">
        <v>5.7</v>
      </c>
      <c r="J872">
        <v>5.7</v>
      </c>
      <c r="M872">
        <v>7.4238754325259508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0.24261067601707045</v>
      </c>
      <c r="AA872">
        <v>0.11429242704364212</v>
      </c>
      <c r="AB872">
        <v>0</v>
      </c>
      <c r="AC872">
        <v>4.8116124899998419E-2</v>
      </c>
      <c r="AD872">
        <v>0</v>
      </c>
      <c r="AE872">
        <v>0.59498077203928901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hidden="1" x14ac:dyDescent="0.25">
      <c r="A873" t="s">
        <v>128</v>
      </c>
      <c r="B873" t="s">
        <v>502</v>
      </c>
      <c r="C873" t="s">
        <v>109</v>
      </c>
      <c r="D873" s="12">
        <v>46235</v>
      </c>
      <c r="E873" t="s">
        <v>134</v>
      </c>
      <c r="G873">
        <v>4.9635202271114256</v>
      </c>
      <c r="H873">
        <v>5.7</v>
      </c>
      <c r="J873">
        <v>5.7</v>
      </c>
      <c r="M873">
        <v>6.0009227220299888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0.6146691425503682</v>
      </c>
      <c r="AA873">
        <v>0.19393443786601253</v>
      </c>
      <c r="AB873">
        <v>0</v>
      </c>
      <c r="AC873">
        <v>0</v>
      </c>
      <c r="AD873">
        <v>0</v>
      </c>
      <c r="AE873">
        <v>0.19139641958361936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hidden="1" x14ac:dyDescent="0.25">
      <c r="A874" t="s">
        <v>128</v>
      </c>
      <c r="B874" t="s">
        <v>503</v>
      </c>
      <c r="C874" t="s">
        <v>109</v>
      </c>
      <c r="D874" s="12">
        <v>46235</v>
      </c>
      <c r="E874" t="s">
        <v>134</v>
      </c>
      <c r="G874">
        <v>5.4878962308784107</v>
      </c>
      <c r="H874">
        <v>5.7</v>
      </c>
      <c r="J874">
        <v>5.7</v>
      </c>
      <c r="M874">
        <v>5.1140372693194927</v>
      </c>
      <c r="Q874">
        <v>0</v>
      </c>
      <c r="R874">
        <v>0</v>
      </c>
      <c r="S874">
        <v>0.51692971191493908</v>
      </c>
      <c r="T874">
        <v>0</v>
      </c>
      <c r="U874">
        <v>2.9391995042925424E-2</v>
      </c>
      <c r="V874">
        <v>0</v>
      </c>
      <c r="W874">
        <v>6.3843888070692231E-2</v>
      </c>
      <c r="X874">
        <v>0</v>
      </c>
      <c r="Y874">
        <v>0</v>
      </c>
      <c r="Z874">
        <v>0.4101560584002269</v>
      </c>
      <c r="AA874">
        <v>0.16136015985473903</v>
      </c>
      <c r="AB874">
        <v>0</v>
      </c>
      <c r="AC874">
        <v>0</v>
      </c>
      <c r="AD874">
        <v>0</v>
      </c>
      <c r="AE874">
        <v>0.42848378174503404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hidden="1" x14ac:dyDescent="0.25">
      <c r="A875" t="s">
        <v>128</v>
      </c>
      <c r="B875" t="s">
        <v>372</v>
      </c>
      <c r="C875" t="s">
        <v>109</v>
      </c>
      <c r="D875" s="12">
        <v>46236</v>
      </c>
      <c r="E875" t="s">
        <v>133</v>
      </c>
      <c r="G875">
        <v>26.168496546754792</v>
      </c>
      <c r="H875">
        <v>32.299999999999997</v>
      </c>
      <c r="J875">
        <v>32.299999999999997</v>
      </c>
      <c r="M875">
        <v>28.125</v>
      </c>
      <c r="Q875">
        <v>0</v>
      </c>
      <c r="R875">
        <v>0</v>
      </c>
      <c r="S875">
        <v>1.6206259209295974E-2</v>
      </c>
      <c r="T875">
        <v>0</v>
      </c>
      <c r="U875">
        <v>0</v>
      </c>
      <c r="V875">
        <v>0</v>
      </c>
      <c r="W875">
        <v>7.4765604120571386E-2</v>
      </c>
      <c r="X875">
        <v>0</v>
      </c>
      <c r="Y875">
        <v>0.14333672380237991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hidden="1" x14ac:dyDescent="0.25">
      <c r="A876" t="s">
        <v>128</v>
      </c>
      <c r="B876" t="s">
        <v>502</v>
      </c>
      <c r="C876" t="s">
        <v>109</v>
      </c>
      <c r="D876" s="12">
        <v>46236</v>
      </c>
      <c r="E876" t="s">
        <v>133</v>
      </c>
      <c r="G876">
        <v>22.513989193638327</v>
      </c>
      <c r="H876">
        <v>70.3</v>
      </c>
      <c r="J876">
        <v>70.3</v>
      </c>
      <c r="M876">
        <v>26.312499999999993</v>
      </c>
      <c r="Q876">
        <v>0</v>
      </c>
      <c r="R876">
        <v>0</v>
      </c>
      <c r="S876">
        <v>1.8626995587700181</v>
      </c>
      <c r="T876">
        <v>0</v>
      </c>
      <c r="U876">
        <v>9.8034945700065761E-3</v>
      </c>
      <c r="V876">
        <v>0</v>
      </c>
      <c r="W876">
        <v>0.15891430900053938</v>
      </c>
      <c r="X876">
        <v>0</v>
      </c>
      <c r="Y876">
        <v>9.1085690999460636E-2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hidden="1" x14ac:dyDescent="0.25">
      <c r="A877" t="s">
        <v>128</v>
      </c>
      <c r="B877" t="s">
        <v>503</v>
      </c>
      <c r="C877" t="s">
        <v>109</v>
      </c>
      <c r="D877" s="12">
        <v>46236</v>
      </c>
      <c r="E877" t="s">
        <v>133</v>
      </c>
      <c r="G877">
        <v>21.530284301606933</v>
      </c>
      <c r="H877">
        <v>70.3</v>
      </c>
      <c r="J877">
        <v>70.3</v>
      </c>
      <c r="M877">
        <v>21.65441176470587</v>
      </c>
      <c r="Q877">
        <v>0</v>
      </c>
      <c r="R877">
        <v>0</v>
      </c>
      <c r="S877">
        <v>2.0151682167872296</v>
      </c>
      <c r="T877">
        <v>0</v>
      </c>
      <c r="U877">
        <v>0</v>
      </c>
      <c r="V877">
        <v>0</v>
      </c>
      <c r="W877">
        <v>6.673307025186824E-2</v>
      </c>
      <c r="X877">
        <v>0</v>
      </c>
      <c r="Y877">
        <v>0.18326692974813172</v>
      </c>
      <c r="Z877">
        <v>0</v>
      </c>
      <c r="AA877">
        <v>0</v>
      </c>
      <c r="AB877">
        <v>0</v>
      </c>
      <c r="AC877">
        <v>6.0967820645309471E-2</v>
      </c>
      <c r="AD877">
        <v>0</v>
      </c>
      <c r="AE877">
        <v>0.9390321793546903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hidden="1" x14ac:dyDescent="0.25">
      <c r="A878" t="s">
        <v>128</v>
      </c>
      <c r="B878" t="s">
        <v>372</v>
      </c>
      <c r="C878" t="s">
        <v>109</v>
      </c>
      <c r="D878" s="12">
        <v>46236</v>
      </c>
      <c r="E878" t="s">
        <v>501</v>
      </c>
      <c r="G878">
        <v>6.7655742969551058</v>
      </c>
      <c r="H878">
        <v>13.299999999999999</v>
      </c>
      <c r="J878">
        <v>13.299999999999999</v>
      </c>
      <c r="M878">
        <v>7.5778546712802752</v>
      </c>
      <c r="Q878">
        <v>8.5191204666092632E-2</v>
      </c>
      <c r="R878">
        <v>0</v>
      </c>
      <c r="S878">
        <v>0.74132353031558418</v>
      </c>
      <c r="T878">
        <v>0</v>
      </c>
      <c r="U878">
        <v>0</v>
      </c>
      <c r="V878">
        <v>0</v>
      </c>
      <c r="W878">
        <v>3.4869611854796347E-2</v>
      </c>
      <c r="X878">
        <v>0</v>
      </c>
      <c r="Y878">
        <v>9.7699195484653195E-2</v>
      </c>
      <c r="Z878">
        <v>4.8474500538352429E-2</v>
      </c>
      <c r="AA878">
        <v>0</v>
      </c>
      <c r="AB878">
        <v>0</v>
      </c>
      <c r="AC878">
        <v>0</v>
      </c>
      <c r="AD878">
        <v>0</v>
      </c>
      <c r="AE878">
        <v>0.95152549946164755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hidden="1" x14ac:dyDescent="0.25">
      <c r="A879" t="s">
        <v>128</v>
      </c>
      <c r="B879" t="s">
        <v>502</v>
      </c>
      <c r="C879" t="s">
        <v>109</v>
      </c>
      <c r="D879" s="12">
        <v>46236</v>
      </c>
      <c r="E879" t="s">
        <v>501</v>
      </c>
      <c r="G879">
        <v>3.3060473611954952</v>
      </c>
      <c r="H879">
        <v>0</v>
      </c>
      <c r="J879">
        <v>0</v>
      </c>
      <c r="M879">
        <v>1.9861591695501735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0.60076549200794305</v>
      </c>
      <c r="AA879">
        <v>0.39923450799205701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hidden="1" x14ac:dyDescent="0.25">
      <c r="A880" t="s">
        <v>128</v>
      </c>
      <c r="B880" t="s">
        <v>503</v>
      </c>
      <c r="C880" t="s">
        <v>109</v>
      </c>
      <c r="D880" s="12">
        <v>46236</v>
      </c>
      <c r="E880" t="s">
        <v>501</v>
      </c>
      <c r="G880">
        <v>0.44854758961681102</v>
      </c>
      <c r="H880">
        <v>0</v>
      </c>
      <c r="J880">
        <v>0</v>
      </c>
      <c r="M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hidden="1" x14ac:dyDescent="0.25">
      <c r="A881" t="s">
        <v>128</v>
      </c>
      <c r="B881" t="s">
        <v>372</v>
      </c>
      <c r="C881" t="s">
        <v>109</v>
      </c>
      <c r="D881" s="12">
        <v>46236</v>
      </c>
      <c r="E881" t="s">
        <v>134</v>
      </c>
      <c r="G881">
        <v>7.0363468952483785</v>
      </c>
      <c r="H881">
        <v>5.7</v>
      </c>
      <c r="J881">
        <v>5.7</v>
      </c>
      <c r="M881">
        <v>5.9307958477508649</v>
      </c>
      <c r="Q881">
        <v>0</v>
      </c>
      <c r="R881">
        <v>0</v>
      </c>
      <c r="S881">
        <v>5.0898429321533406E-2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0.12483355525965378</v>
      </c>
      <c r="Z881">
        <v>0.28986907659995825</v>
      </c>
      <c r="AA881">
        <v>7.5783461237466196E-2</v>
      </c>
      <c r="AB881">
        <v>0</v>
      </c>
      <c r="AC881">
        <v>8.1336570500037911E-2</v>
      </c>
      <c r="AD881">
        <v>0</v>
      </c>
      <c r="AE881">
        <v>0.5530108916625377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hidden="1" x14ac:dyDescent="0.25">
      <c r="A882" t="s">
        <v>128</v>
      </c>
      <c r="B882" t="s">
        <v>502</v>
      </c>
      <c r="C882" t="s">
        <v>109</v>
      </c>
      <c r="D882" s="12">
        <v>46236</v>
      </c>
      <c r="E882" t="s">
        <v>134</v>
      </c>
      <c r="G882">
        <v>5.1236337828246974</v>
      </c>
      <c r="H882">
        <v>5.7</v>
      </c>
      <c r="J882">
        <v>5.7</v>
      </c>
      <c r="M882">
        <v>6.0009227220299888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0.59546073184566917</v>
      </c>
      <c r="AA882">
        <v>0.21912398668269975</v>
      </c>
      <c r="AB882">
        <v>0</v>
      </c>
      <c r="AC882">
        <v>0</v>
      </c>
      <c r="AD882">
        <v>0</v>
      </c>
      <c r="AE882">
        <v>0.18541528147163125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hidden="1" x14ac:dyDescent="0.25">
      <c r="A883" t="s">
        <v>128</v>
      </c>
      <c r="B883" t="s">
        <v>503</v>
      </c>
      <c r="C883" t="s">
        <v>109</v>
      </c>
      <c r="D883" s="12">
        <v>46236</v>
      </c>
      <c r="E883" t="s">
        <v>134</v>
      </c>
      <c r="G883">
        <v>5.7982573726541569</v>
      </c>
      <c r="H883">
        <v>5.7</v>
      </c>
      <c r="J883">
        <v>5.7</v>
      </c>
      <c r="M883">
        <v>3.0347120098039211</v>
      </c>
      <c r="Q883">
        <v>0</v>
      </c>
      <c r="R883">
        <v>0</v>
      </c>
      <c r="S883">
        <v>0.51707895041035679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6.042654028436021E-2</v>
      </c>
      <c r="Z883">
        <v>0.17162019125069969</v>
      </c>
      <c r="AA883">
        <v>0.42283131724542783</v>
      </c>
      <c r="AB883">
        <v>0</v>
      </c>
      <c r="AC883">
        <v>5.3785222041654618E-2</v>
      </c>
      <c r="AD883">
        <v>0</v>
      </c>
      <c r="AE883">
        <v>0.35176326946221781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hidden="1" x14ac:dyDescent="0.25">
      <c r="A884" t="s">
        <v>128</v>
      </c>
      <c r="B884" t="s">
        <v>372</v>
      </c>
      <c r="C884" t="s">
        <v>109</v>
      </c>
      <c r="D884" s="12">
        <v>46237</v>
      </c>
      <c r="E884" t="s">
        <v>133</v>
      </c>
      <c r="G884">
        <v>27.065400662268566</v>
      </c>
      <c r="H884">
        <v>25.650000000000002</v>
      </c>
      <c r="J884">
        <v>25.650000000000002</v>
      </c>
      <c r="M884">
        <v>30.0625</v>
      </c>
      <c r="Q884">
        <v>0.11073545058986106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5.2295573966571772E-2</v>
      </c>
      <c r="AA884">
        <v>0</v>
      </c>
      <c r="AB884">
        <v>0</v>
      </c>
      <c r="AC884">
        <v>0</v>
      </c>
      <c r="AD884">
        <v>0</v>
      </c>
      <c r="AE884">
        <v>0.94770442603342819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hidden="1" x14ac:dyDescent="0.25">
      <c r="A885" t="s">
        <v>128</v>
      </c>
      <c r="B885" t="s">
        <v>502</v>
      </c>
      <c r="C885" t="s">
        <v>109</v>
      </c>
      <c r="D885" s="12">
        <v>46237</v>
      </c>
      <c r="E885" t="s">
        <v>133</v>
      </c>
      <c r="G885">
        <v>22.513989193638331</v>
      </c>
      <c r="H885">
        <v>51.3</v>
      </c>
      <c r="J885">
        <v>51.3</v>
      </c>
      <c r="M885">
        <v>26.120833333333334</v>
      </c>
      <c r="Q885">
        <v>0</v>
      </c>
      <c r="R885">
        <v>0</v>
      </c>
      <c r="S885">
        <v>1.0165214028957652</v>
      </c>
      <c r="T885">
        <v>0</v>
      </c>
      <c r="U885">
        <v>1.2061906298306535E-2</v>
      </c>
      <c r="V885">
        <v>0</v>
      </c>
      <c r="W885">
        <v>0.16266694034611756</v>
      </c>
      <c r="X885">
        <v>0</v>
      </c>
      <c r="Y885">
        <v>8.7333059653882411E-2</v>
      </c>
      <c r="Z885">
        <v>0</v>
      </c>
      <c r="AA885">
        <v>0</v>
      </c>
      <c r="AB885">
        <v>0</v>
      </c>
      <c r="AC885">
        <v>1.4524268563069632E-2</v>
      </c>
      <c r="AD885">
        <v>0</v>
      </c>
      <c r="AE885">
        <v>0.98547573143693035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hidden="1" x14ac:dyDescent="0.25">
      <c r="A886" t="s">
        <v>128</v>
      </c>
      <c r="B886" t="s">
        <v>503</v>
      </c>
      <c r="C886" t="s">
        <v>109</v>
      </c>
      <c r="D886" s="12">
        <v>46237</v>
      </c>
      <c r="E886" t="s">
        <v>133</v>
      </c>
      <c r="G886">
        <v>21.530284301606926</v>
      </c>
      <c r="H886">
        <v>51.3</v>
      </c>
      <c r="J886">
        <v>51.3</v>
      </c>
      <c r="M886">
        <v>20.45588235294117</v>
      </c>
      <c r="Q886">
        <v>0</v>
      </c>
      <c r="R886">
        <v>0</v>
      </c>
      <c r="S886">
        <v>1.1326903203582495</v>
      </c>
      <c r="T886">
        <v>0</v>
      </c>
      <c r="U886">
        <v>0</v>
      </c>
      <c r="V886">
        <v>0</v>
      </c>
      <c r="W886">
        <v>1.6897876098424129E-2</v>
      </c>
      <c r="X886">
        <v>0</v>
      </c>
      <c r="Y886">
        <v>0.23310212390157586</v>
      </c>
      <c r="Z886">
        <v>0</v>
      </c>
      <c r="AA886">
        <v>0</v>
      </c>
      <c r="AB886">
        <v>0</v>
      </c>
      <c r="AC886">
        <v>6.6799769339358661E-2</v>
      </c>
      <c r="AD886">
        <v>0</v>
      </c>
      <c r="AE886">
        <v>0.93320023066064139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hidden="1" x14ac:dyDescent="0.25">
      <c r="A887" t="s">
        <v>128</v>
      </c>
      <c r="B887" t="s">
        <v>372</v>
      </c>
      <c r="C887" t="s">
        <v>109</v>
      </c>
      <c r="D887" s="12">
        <v>46237</v>
      </c>
      <c r="E887" t="s">
        <v>501</v>
      </c>
      <c r="G887">
        <v>6.7655742969551049</v>
      </c>
      <c r="H887">
        <v>11.399999999999999</v>
      </c>
      <c r="J887">
        <v>11.399999999999999</v>
      </c>
      <c r="M887">
        <v>7.515570934256055</v>
      </c>
      <c r="Q887">
        <v>8.4679761370877668E-2</v>
      </c>
      <c r="R887">
        <v>0</v>
      </c>
      <c r="S887">
        <v>0.60090677361430078</v>
      </c>
      <c r="T887">
        <v>0</v>
      </c>
      <c r="U887">
        <v>0</v>
      </c>
      <c r="V887">
        <v>0</v>
      </c>
      <c r="W887">
        <v>2.6175075836141235E-2</v>
      </c>
      <c r="X887">
        <v>0</v>
      </c>
      <c r="Y887">
        <v>0.10639373150330832</v>
      </c>
      <c r="Z887">
        <v>4.8474500538352373E-2</v>
      </c>
      <c r="AA887">
        <v>0</v>
      </c>
      <c r="AB887">
        <v>0</v>
      </c>
      <c r="AC887">
        <v>0</v>
      </c>
      <c r="AD887">
        <v>0</v>
      </c>
      <c r="AE887">
        <v>0.95152549946164766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hidden="1" x14ac:dyDescent="0.25">
      <c r="A888" t="s">
        <v>128</v>
      </c>
      <c r="B888" t="s">
        <v>502</v>
      </c>
      <c r="C888" t="s">
        <v>109</v>
      </c>
      <c r="D888" s="12">
        <v>46237</v>
      </c>
      <c r="E888" t="s">
        <v>501</v>
      </c>
      <c r="G888">
        <v>3.3060473611954952</v>
      </c>
      <c r="H888">
        <v>0</v>
      </c>
      <c r="J888">
        <v>0</v>
      </c>
      <c r="M888">
        <v>1.7750865051903115</v>
      </c>
      <c r="Q888">
        <v>4.6895783492724129E-2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5.3378118627883421E-2</v>
      </c>
      <c r="AA888">
        <v>0.50997470788283794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0.43664717348927873</v>
      </c>
      <c r="AJ888">
        <v>0</v>
      </c>
    </row>
    <row r="889" spans="1:36" hidden="1" x14ac:dyDescent="0.25">
      <c r="A889" t="s">
        <v>128</v>
      </c>
      <c r="B889" t="s">
        <v>503</v>
      </c>
      <c r="C889" t="s">
        <v>109</v>
      </c>
      <c r="D889" s="12">
        <v>46237</v>
      </c>
      <c r="E889" t="s">
        <v>501</v>
      </c>
      <c r="G889">
        <v>0.95316362793572373</v>
      </c>
      <c r="H889">
        <v>0</v>
      </c>
      <c r="J889">
        <v>0</v>
      </c>
      <c r="M889">
        <v>0.98961937716262982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0.86399584250631978</v>
      </c>
      <c r="AA889">
        <v>0.13600415749368022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hidden="1" x14ac:dyDescent="0.25">
      <c r="A890" t="s">
        <v>128</v>
      </c>
      <c r="B890" t="s">
        <v>372</v>
      </c>
      <c r="C890" t="s">
        <v>109</v>
      </c>
      <c r="D890" s="12">
        <v>46237</v>
      </c>
      <c r="E890" t="s">
        <v>134</v>
      </c>
      <c r="G890">
        <v>10.479565915226781</v>
      </c>
      <c r="H890">
        <v>0</v>
      </c>
      <c r="J890">
        <v>0</v>
      </c>
      <c r="M890">
        <v>8.7159385813148784</v>
      </c>
      <c r="Q890">
        <v>1.0802921266538677E-2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0.49904542364353571</v>
      </c>
      <c r="AA890">
        <v>0.17909494291882458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0.32185963343763974</v>
      </c>
      <c r="AJ890">
        <v>0</v>
      </c>
    </row>
    <row r="891" spans="1:36" hidden="1" x14ac:dyDescent="0.25">
      <c r="A891" t="s">
        <v>128</v>
      </c>
      <c r="B891" t="s">
        <v>502</v>
      </c>
      <c r="C891" t="s">
        <v>109</v>
      </c>
      <c r="D891" s="12">
        <v>46237</v>
      </c>
      <c r="E891" t="s">
        <v>134</v>
      </c>
      <c r="G891">
        <v>7.7504968062455646</v>
      </c>
      <c r="H891">
        <v>0</v>
      </c>
      <c r="J891">
        <v>0</v>
      </c>
      <c r="M891">
        <v>6.1189302191464821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0.78948877370231019</v>
      </c>
      <c r="AA891">
        <v>0.21051122629768973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hidden="1" x14ac:dyDescent="0.25">
      <c r="A892" t="s">
        <v>128</v>
      </c>
      <c r="B892" t="s">
        <v>503</v>
      </c>
      <c r="C892" t="s">
        <v>109</v>
      </c>
      <c r="D892" s="12">
        <v>46237</v>
      </c>
      <c r="E892" t="s">
        <v>134</v>
      </c>
      <c r="G892">
        <v>5.798257372654156</v>
      </c>
      <c r="H892">
        <v>0</v>
      </c>
      <c r="J892">
        <v>0</v>
      </c>
      <c r="M892">
        <v>4.8655132641291825</v>
      </c>
      <c r="Q892">
        <v>0.20467542004664541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0.39275213631455436</v>
      </c>
      <c r="AA892">
        <v>0.36554170254800494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0.24170616113744081</v>
      </c>
      <c r="AJ892">
        <v>0</v>
      </c>
    </row>
    <row r="893" spans="1:36" hidden="1" x14ac:dyDescent="0.25">
      <c r="A893" t="s">
        <v>128</v>
      </c>
      <c r="B893" t="s">
        <v>372</v>
      </c>
      <c r="C893" t="s">
        <v>109</v>
      </c>
      <c r="D893" s="12">
        <v>46238</v>
      </c>
      <c r="E893" t="s">
        <v>133</v>
      </c>
      <c r="G893">
        <v>28.199720573065392</v>
      </c>
      <c r="H893">
        <v>29.450000000000003</v>
      </c>
      <c r="J893">
        <v>29.450000000000003</v>
      </c>
      <c r="M893">
        <v>31.78125</v>
      </c>
      <c r="Q893">
        <v>6.1654523155485912E-2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6.5351324922152829E-2</v>
      </c>
      <c r="X893">
        <v>0</v>
      </c>
      <c r="Y893">
        <v>2.2163340178517903E-3</v>
      </c>
      <c r="Z893">
        <v>2.3231069728237894E-2</v>
      </c>
      <c r="AA893">
        <v>0</v>
      </c>
      <c r="AB893">
        <v>0</v>
      </c>
      <c r="AC893">
        <v>0</v>
      </c>
      <c r="AD893">
        <v>0</v>
      </c>
      <c r="AE893">
        <v>0.97676893027176215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hidden="1" x14ac:dyDescent="0.25">
      <c r="A894" t="s">
        <v>128</v>
      </c>
      <c r="B894" t="s">
        <v>502</v>
      </c>
      <c r="C894" t="s">
        <v>109</v>
      </c>
      <c r="D894" s="12">
        <v>46238</v>
      </c>
      <c r="E894" t="s">
        <v>133</v>
      </c>
      <c r="G894">
        <v>22.459210631123394</v>
      </c>
      <c r="H894">
        <v>74.099999999999994</v>
      </c>
      <c r="J894">
        <v>74.099999999999994</v>
      </c>
      <c r="M894">
        <v>26.566666666666666</v>
      </c>
      <c r="Q894">
        <v>0</v>
      </c>
      <c r="R894">
        <v>0</v>
      </c>
      <c r="S894">
        <v>2.0243299976142306</v>
      </c>
      <c r="T894">
        <v>0</v>
      </c>
      <c r="U894">
        <v>2.4984533828567416E-2</v>
      </c>
      <c r="V894">
        <v>0</v>
      </c>
      <c r="W894">
        <v>0.15790061307197709</v>
      </c>
      <c r="X894">
        <v>0</v>
      </c>
      <c r="Y894">
        <v>9.2099386928022928E-2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hidden="1" x14ac:dyDescent="0.25">
      <c r="A895" t="s">
        <v>128</v>
      </c>
      <c r="B895" t="s">
        <v>503</v>
      </c>
      <c r="C895" t="s">
        <v>109</v>
      </c>
      <c r="D895" s="12">
        <v>46238</v>
      </c>
      <c r="E895" t="s">
        <v>133</v>
      </c>
      <c r="G895">
        <v>21.530284301606926</v>
      </c>
      <c r="H895">
        <v>74.099999999999994</v>
      </c>
      <c r="J895">
        <v>74.099999999999994</v>
      </c>
      <c r="M895">
        <v>21.624999999999996</v>
      </c>
      <c r="Q895">
        <v>0</v>
      </c>
      <c r="R895">
        <v>0</v>
      </c>
      <c r="S895">
        <v>2.1916637960730272</v>
      </c>
      <c r="T895">
        <v>0</v>
      </c>
      <c r="U895">
        <v>0</v>
      </c>
      <c r="V895">
        <v>0</v>
      </c>
      <c r="W895">
        <v>4.6698310740072586E-2</v>
      </c>
      <c r="X895">
        <v>0</v>
      </c>
      <c r="Y895">
        <v>0.20330168925992742</v>
      </c>
      <c r="Z895">
        <v>0</v>
      </c>
      <c r="AA895">
        <v>0</v>
      </c>
      <c r="AB895">
        <v>0</v>
      </c>
      <c r="AC895">
        <v>4.2299125988666385E-2</v>
      </c>
      <c r="AD895">
        <v>0</v>
      </c>
      <c r="AE895">
        <v>0.95770087401133364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hidden="1" x14ac:dyDescent="0.25">
      <c r="A896" t="s">
        <v>128</v>
      </c>
      <c r="B896" t="s">
        <v>372</v>
      </c>
      <c r="C896" t="s">
        <v>109</v>
      </c>
      <c r="D896" s="12">
        <v>46238</v>
      </c>
      <c r="E896" t="s">
        <v>501</v>
      </c>
      <c r="G896">
        <v>6.8152298881254181</v>
      </c>
      <c r="H896">
        <v>8.5499999999999989</v>
      </c>
      <c r="J896">
        <v>8.5499999999999989</v>
      </c>
      <c r="M896">
        <v>7.6401624375240305</v>
      </c>
      <c r="Q896">
        <v>7.7735833162178081E-2</v>
      </c>
      <c r="R896">
        <v>0</v>
      </c>
      <c r="S896">
        <v>0.17834753080727853</v>
      </c>
      <c r="T896">
        <v>0</v>
      </c>
      <c r="U896">
        <v>0</v>
      </c>
      <c r="V896">
        <v>0</v>
      </c>
      <c r="W896">
        <v>4.3306679407492048E-2</v>
      </c>
      <c r="X896">
        <v>0</v>
      </c>
      <c r="Y896">
        <v>8.8296234982307584E-2</v>
      </c>
      <c r="Z896">
        <v>5.5407291062663074E-2</v>
      </c>
      <c r="AA896">
        <v>0</v>
      </c>
      <c r="AB896">
        <v>0</v>
      </c>
      <c r="AC896">
        <v>0</v>
      </c>
      <c r="AD896">
        <v>0</v>
      </c>
      <c r="AE896">
        <v>0.94459270893733693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hidden="1" x14ac:dyDescent="0.25">
      <c r="A897" t="s">
        <v>128</v>
      </c>
      <c r="B897" t="s">
        <v>502</v>
      </c>
      <c r="C897" t="s">
        <v>109</v>
      </c>
      <c r="D897" s="12">
        <v>46238</v>
      </c>
      <c r="E897" t="s">
        <v>501</v>
      </c>
      <c r="G897">
        <v>3.3060473611954952</v>
      </c>
      <c r="H897">
        <v>0</v>
      </c>
      <c r="J897">
        <v>0</v>
      </c>
      <c r="M897">
        <v>2.8062283737024218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0.8488167491610481</v>
      </c>
      <c r="AA897">
        <v>0.15118325083895184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hidden="1" x14ac:dyDescent="0.25">
      <c r="A898" t="s">
        <v>128</v>
      </c>
      <c r="B898" t="s">
        <v>503</v>
      </c>
      <c r="C898" t="s">
        <v>109</v>
      </c>
      <c r="D898" s="12">
        <v>46238</v>
      </c>
      <c r="E898" t="s">
        <v>501</v>
      </c>
      <c r="G898">
        <v>0.95316362793572351</v>
      </c>
      <c r="H898">
        <v>0</v>
      </c>
      <c r="J898">
        <v>0</v>
      </c>
      <c r="M898">
        <v>0.98961937716262982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0.86399584250632</v>
      </c>
      <c r="AA898">
        <v>0.13600415749368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hidden="1" x14ac:dyDescent="0.25">
      <c r="A899" t="s">
        <v>128</v>
      </c>
      <c r="B899" t="s">
        <v>372</v>
      </c>
      <c r="C899" t="s">
        <v>109</v>
      </c>
      <c r="D899" s="12">
        <v>46238</v>
      </c>
      <c r="E899" t="s">
        <v>134</v>
      </c>
      <c r="G899">
        <v>10.479565915226782</v>
      </c>
      <c r="H899">
        <v>0</v>
      </c>
      <c r="J899">
        <v>0</v>
      </c>
      <c r="M899">
        <v>8.7159385813148766</v>
      </c>
      <c r="Q899">
        <v>1.0802921266538673E-2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0.4990454236435356</v>
      </c>
      <c r="AA899">
        <v>0.17909494291882463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0.32185963343763968</v>
      </c>
      <c r="AJ899">
        <v>0</v>
      </c>
    </row>
    <row r="900" spans="1:36" hidden="1" x14ac:dyDescent="0.25">
      <c r="A900" t="s">
        <v>128</v>
      </c>
      <c r="B900" t="s">
        <v>502</v>
      </c>
      <c r="C900" t="s">
        <v>109</v>
      </c>
      <c r="D900" s="12">
        <v>46238</v>
      </c>
      <c r="E900" t="s">
        <v>134</v>
      </c>
      <c r="G900">
        <v>9.0264017033356989</v>
      </c>
      <c r="H900">
        <v>0</v>
      </c>
      <c r="J900">
        <v>0</v>
      </c>
      <c r="M900">
        <v>6.1189302191464829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0.67789252243064224</v>
      </c>
      <c r="AA900">
        <v>0.3221074775693577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hidden="1" x14ac:dyDescent="0.25">
      <c r="A901" t="s">
        <v>128</v>
      </c>
      <c r="B901" t="s">
        <v>503</v>
      </c>
      <c r="C901" t="s">
        <v>109</v>
      </c>
      <c r="D901" s="12">
        <v>46238</v>
      </c>
      <c r="E901" t="s">
        <v>134</v>
      </c>
      <c r="G901">
        <v>5.798257372654156</v>
      </c>
      <c r="H901">
        <v>0</v>
      </c>
      <c r="J901">
        <v>0</v>
      </c>
      <c r="M901">
        <v>4.9070357554786614</v>
      </c>
      <c r="Q901">
        <v>0.32641585127866868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0.27817290691970864</v>
      </c>
      <c r="AA901">
        <v>0.48012093194285055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0.24170616113744078</v>
      </c>
      <c r="AJ901">
        <v>0</v>
      </c>
    </row>
    <row r="902" spans="1:36" hidden="1" x14ac:dyDescent="0.25">
      <c r="A902" t="s">
        <v>128</v>
      </c>
      <c r="B902" t="s">
        <v>372</v>
      </c>
      <c r="C902" t="s">
        <v>109</v>
      </c>
      <c r="D902" s="12">
        <v>46239</v>
      </c>
      <c r="E902" t="s">
        <v>133</v>
      </c>
      <c r="G902">
        <v>27.619370851262367</v>
      </c>
      <c r="H902">
        <v>36.099999999999994</v>
      </c>
      <c r="J902">
        <v>36.099999999999994</v>
      </c>
      <c r="M902">
        <v>30.65625</v>
      </c>
      <c r="Q902">
        <v>7.0381953296342795E-2</v>
      </c>
      <c r="R902">
        <v>0</v>
      </c>
      <c r="S902">
        <v>0.25602333958212653</v>
      </c>
      <c r="T902">
        <v>0</v>
      </c>
      <c r="U902">
        <v>0</v>
      </c>
      <c r="V902">
        <v>0</v>
      </c>
      <c r="W902">
        <v>3.957272905656202E-2</v>
      </c>
      <c r="X902">
        <v>0</v>
      </c>
      <c r="Y902">
        <v>7.4324119080973791E-2</v>
      </c>
      <c r="Z902">
        <v>6.2866518959136836E-2</v>
      </c>
      <c r="AA902">
        <v>0</v>
      </c>
      <c r="AB902">
        <v>0</v>
      </c>
      <c r="AC902">
        <v>0</v>
      </c>
      <c r="AD902">
        <v>0</v>
      </c>
      <c r="AE902">
        <v>0.93713348104086325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hidden="1" x14ac:dyDescent="0.25">
      <c r="A903" t="s">
        <v>128</v>
      </c>
      <c r="B903" t="s">
        <v>502</v>
      </c>
      <c r="C903" t="s">
        <v>109</v>
      </c>
      <c r="D903" s="12">
        <v>46239</v>
      </c>
      <c r="E903" t="s">
        <v>133</v>
      </c>
      <c r="G903">
        <v>22.459210631123394</v>
      </c>
      <c r="H903">
        <v>60.8</v>
      </c>
      <c r="J903">
        <v>60.8</v>
      </c>
      <c r="M903">
        <v>27.246527777777779</v>
      </c>
      <c r="Q903">
        <v>0</v>
      </c>
      <c r="R903">
        <v>0</v>
      </c>
      <c r="S903">
        <v>1.4065000586753187</v>
      </c>
      <c r="T903">
        <v>0</v>
      </c>
      <c r="U903">
        <v>5.0629813277746821E-2</v>
      </c>
      <c r="V903">
        <v>0</v>
      </c>
      <c r="W903">
        <v>0.16252625998247044</v>
      </c>
      <c r="X903">
        <v>0</v>
      </c>
      <c r="Y903">
        <v>8.7473740017529542E-2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hidden="1" x14ac:dyDescent="0.25">
      <c r="A904" t="s">
        <v>128</v>
      </c>
      <c r="B904" t="s">
        <v>503</v>
      </c>
      <c r="C904" t="s">
        <v>109</v>
      </c>
      <c r="D904" s="12">
        <v>46239</v>
      </c>
      <c r="E904" t="s">
        <v>133</v>
      </c>
      <c r="G904">
        <v>19.848230840543891</v>
      </c>
      <c r="H904">
        <v>60.8</v>
      </c>
      <c r="J904">
        <v>60.8</v>
      </c>
      <c r="M904">
        <v>19.169117647058812</v>
      </c>
      <c r="Q904">
        <v>0</v>
      </c>
      <c r="R904">
        <v>0</v>
      </c>
      <c r="S904">
        <v>1.8132453082822939</v>
      </c>
      <c r="T904">
        <v>0</v>
      </c>
      <c r="U904">
        <v>0</v>
      </c>
      <c r="V904">
        <v>0</v>
      </c>
      <c r="W904">
        <v>3.3401117121707756E-2</v>
      </c>
      <c r="X904">
        <v>0</v>
      </c>
      <c r="Y904">
        <v>0.21659888287829221</v>
      </c>
      <c r="Z904">
        <v>0</v>
      </c>
      <c r="AA904">
        <v>0</v>
      </c>
      <c r="AB904">
        <v>0</v>
      </c>
      <c r="AC904">
        <v>6.761641816999342E-2</v>
      </c>
      <c r="AD904">
        <v>0</v>
      </c>
      <c r="AE904">
        <v>0.93238358183000658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hidden="1" x14ac:dyDescent="0.25">
      <c r="A905" t="s">
        <v>128</v>
      </c>
      <c r="B905" t="s">
        <v>372</v>
      </c>
      <c r="C905" t="s">
        <v>109</v>
      </c>
      <c r="D905" s="12">
        <v>46239</v>
      </c>
      <c r="E905" t="s">
        <v>501</v>
      </c>
      <c r="G905">
        <v>6.7655742969551049</v>
      </c>
      <c r="H905">
        <v>13.299999999999999</v>
      </c>
      <c r="J905">
        <v>13.299999999999999</v>
      </c>
      <c r="M905">
        <v>7.5155709342560542</v>
      </c>
      <c r="Q905">
        <v>8.4679761370877668E-2</v>
      </c>
      <c r="R905">
        <v>0</v>
      </c>
      <c r="S905">
        <v>0.88174028701686724</v>
      </c>
      <c r="T905">
        <v>0</v>
      </c>
      <c r="U905">
        <v>0</v>
      </c>
      <c r="V905">
        <v>0</v>
      </c>
      <c r="W905">
        <v>2.6175075836141121E-2</v>
      </c>
      <c r="X905">
        <v>0</v>
      </c>
      <c r="Y905">
        <v>0.10639373150330843</v>
      </c>
      <c r="Z905">
        <v>4.8474500538352373E-2</v>
      </c>
      <c r="AA905">
        <v>0</v>
      </c>
      <c r="AB905">
        <v>0</v>
      </c>
      <c r="AC905">
        <v>0</v>
      </c>
      <c r="AD905">
        <v>0</v>
      </c>
      <c r="AE905">
        <v>0.95152549946164766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hidden="1" x14ac:dyDescent="0.25">
      <c r="A906" t="s">
        <v>128</v>
      </c>
      <c r="B906" t="s">
        <v>502</v>
      </c>
      <c r="C906" t="s">
        <v>109</v>
      </c>
      <c r="D906" s="12">
        <v>46239</v>
      </c>
      <c r="E906" t="s">
        <v>501</v>
      </c>
      <c r="G906">
        <v>3.4607162435906065</v>
      </c>
      <c r="H906">
        <v>0</v>
      </c>
      <c r="J906">
        <v>0</v>
      </c>
      <c r="M906">
        <v>2.8096885813148784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0.81188065809167131</v>
      </c>
      <c r="AA906">
        <v>0.18811934190832857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hidden="1" x14ac:dyDescent="0.25">
      <c r="A907" t="s">
        <v>128</v>
      </c>
      <c r="B907" t="s">
        <v>503</v>
      </c>
      <c r="C907" t="s">
        <v>109</v>
      </c>
      <c r="D907" s="12">
        <v>46239</v>
      </c>
      <c r="E907" t="s">
        <v>501</v>
      </c>
      <c r="G907">
        <v>3.5455048443975872</v>
      </c>
      <c r="H907">
        <v>0</v>
      </c>
      <c r="J907">
        <v>0</v>
      </c>
      <c r="M907">
        <v>2.803086869422692</v>
      </c>
      <c r="Q907">
        <v>0.13103807469919151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0.46607658223818593</v>
      </c>
      <c r="AA907">
        <v>0.34043504566879074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0.19348837209302328</v>
      </c>
      <c r="AJ907">
        <v>0</v>
      </c>
    </row>
    <row r="908" spans="1:36" hidden="1" x14ac:dyDescent="0.25">
      <c r="A908" t="s">
        <v>128</v>
      </c>
      <c r="B908" t="s">
        <v>372</v>
      </c>
      <c r="C908" t="s">
        <v>109</v>
      </c>
      <c r="D908" s="12">
        <v>46239</v>
      </c>
      <c r="E908" t="s">
        <v>134</v>
      </c>
      <c r="G908">
        <v>9.8140698021217112</v>
      </c>
      <c r="H908">
        <v>0</v>
      </c>
      <c r="J908">
        <v>0</v>
      </c>
      <c r="M908">
        <v>7.1934472318339093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0.73297290287040273</v>
      </c>
      <c r="AA908">
        <v>0.26702709712959732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hidden="1" x14ac:dyDescent="0.25">
      <c r="A909" t="s">
        <v>128</v>
      </c>
      <c r="B909" t="s">
        <v>502</v>
      </c>
      <c r="C909" t="s">
        <v>109</v>
      </c>
      <c r="D909" s="12">
        <v>46239</v>
      </c>
      <c r="E909" t="s">
        <v>134</v>
      </c>
      <c r="G909">
        <v>7.7504968062455646</v>
      </c>
      <c r="H909">
        <v>0</v>
      </c>
      <c r="J909">
        <v>0</v>
      </c>
      <c r="M909">
        <v>6.059926470588235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0.7818758748090805</v>
      </c>
      <c r="AA909">
        <v>0.21812412519091948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hidden="1" x14ac:dyDescent="0.25">
      <c r="A910" t="s">
        <v>128</v>
      </c>
      <c r="B910" t="s">
        <v>503</v>
      </c>
      <c r="C910" t="s">
        <v>109</v>
      </c>
      <c r="D910" s="12">
        <v>46239</v>
      </c>
      <c r="E910" t="s">
        <v>134</v>
      </c>
      <c r="G910">
        <v>7.1997319034852563</v>
      </c>
      <c r="H910">
        <v>0</v>
      </c>
      <c r="J910">
        <v>0</v>
      </c>
      <c r="M910">
        <v>4.6157128914914392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0.64109510650765456</v>
      </c>
      <c r="AA910">
        <v>0.35890489349234533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hidden="1" x14ac:dyDescent="0.25">
      <c r="A911" t="s">
        <v>128</v>
      </c>
      <c r="B911" t="s">
        <v>372</v>
      </c>
      <c r="C911" t="s">
        <v>109</v>
      </c>
      <c r="D911" s="12">
        <v>46240</v>
      </c>
      <c r="E911" t="s">
        <v>133</v>
      </c>
      <c r="G911">
        <v>26.933502998222423</v>
      </c>
      <c r="H911">
        <v>38.950000000000003</v>
      </c>
      <c r="J911">
        <v>38.950000000000003</v>
      </c>
      <c r="M911">
        <v>29.90625</v>
      </c>
      <c r="Q911">
        <v>5.8112635829962143E-2</v>
      </c>
      <c r="R911">
        <v>0</v>
      </c>
      <c r="S911">
        <v>0.33699236506538383</v>
      </c>
      <c r="T911">
        <v>0</v>
      </c>
      <c r="U911">
        <v>0</v>
      </c>
      <c r="V911">
        <v>0</v>
      </c>
      <c r="W911">
        <v>5.226093874642232E-2</v>
      </c>
      <c r="X911">
        <v>0</v>
      </c>
      <c r="Y911">
        <v>7.6352029859210718E-2</v>
      </c>
      <c r="Z911">
        <v>1.9451077294835441E-2</v>
      </c>
      <c r="AA911">
        <v>0</v>
      </c>
      <c r="AB911">
        <v>0</v>
      </c>
      <c r="AC911">
        <v>0</v>
      </c>
      <c r="AD911">
        <v>0</v>
      </c>
      <c r="AE911">
        <v>0.98054892270516447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hidden="1" x14ac:dyDescent="0.25">
      <c r="A912" t="s">
        <v>128</v>
      </c>
      <c r="B912" t="s">
        <v>502</v>
      </c>
      <c r="C912" t="s">
        <v>109</v>
      </c>
      <c r="D912" s="12">
        <v>46240</v>
      </c>
      <c r="E912" t="s">
        <v>133</v>
      </c>
      <c r="G912">
        <v>22.404432068608457</v>
      </c>
      <c r="H912">
        <v>68.400000000000006</v>
      </c>
      <c r="J912">
        <v>68.400000000000006</v>
      </c>
      <c r="M912">
        <v>25</v>
      </c>
      <c r="Q912">
        <v>0</v>
      </c>
      <c r="R912">
        <v>0</v>
      </c>
      <c r="S912">
        <v>1.8029673678199303</v>
      </c>
      <c r="T912">
        <v>0</v>
      </c>
      <c r="U912">
        <v>0</v>
      </c>
      <c r="V912">
        <v>0</v>
      </c>
      <c r="W912">
        <v>0.11585064613301532</v>
      </c>
      <c r="X912">
        <v>0</v>
      </c>
      <c r="Y912">
        <v>0.13414935386698468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hidden="1" x14ac:dyDescent="0.25">
      <c r="A913" t="s">
        <v>128</v>
      </c>
      <c r="B913" t="s">
        <v>503</v>
      </c>
      <c r="C913" t="s">
        <v>109</v>
      </c>
      <c r="D913" s="12">
        <v>46240</v>
      </c>
      <c r="E913" t="s">
        <v>133</v>
      </c>
      <c r="G913">
        <v>21.530284301606926</v>
      </c>
      <c r="H913">
        <v>68.400000000000006</v>
      </c>
      <c r="J913">
        <v>68.400000000000006</v>
      </c>
      <c r="M913">
        <v>18.60294117647058</v>
      </c>
      <c r="Q913">
        <v>0</v>
      </c>
      <c r="R913">
        <v>0</v>
      </c>
      <c r="S913">
        <v>1.9269204271443325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0.25</v>
      </c>
      <c r="Z913">
        <v>0</v>
      </c>
      <c r="AA913">
        <v>0</v>
      </c>
      <c r="AB913">
        <v>0</v>
      </c>
      <c r="AC913">
        <v>0.13596397911558741</v>
      </c>
      <c r="AD913">
        <v>0</v>
      </c>
      <c r="AE913">
        <v>0.86403602088441245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idden="1" x14ac:dyDescent="0.25">
      <c r="A914" t="s">
        <v>128</v>
      </c>
      <c r="B914" t="s">
        <v>372</v>
      </c>
      <c r="C914" t="s">
        <v>109</v>
      </c>
      <c r="D914" s="12">
        <v>46240</v>
      </c>
      <c r="E914" t="s">
        <v>501</v>
      </c>
      <c r="G914">
        <v>6.7655742969551049</v>
      </c>
      <c r="H914">
        <v>14.25</v>
      </c>
      <c r="J914">
        <v>14.25</v>
      </c>
      <c r="M914">
        <v>7.5155709342560568</v>
      </c>
      <c r="Q914">
        <v>8.4679761370877668E-2</v>
      </c>
      <c r="R914">
        <v>0</v>
      </c>
      <c r="S914">
        <v>1.0221570437181502</v>
      </c>
      <c r="T914">
        <v>0</v>
      </c>
      <c r="U914">
        <v>0</v>
      </c>
      <c r="V914">
        <v>0</v>
      </c>
      <c r="W914">
        <v>2.6175075836141593E-2</v>
      </c>
      <c r="X914">
        <v>0</v>
      </c>
      <c r="Y914">
        <v>0.10639373150330796</v>
      </c>
      <c r="Z914">
        <v>4.8474500538352373E-2</v>
      </c>
      <c r="AA914">
        <v>0</v>
      </c>
      <c r="AB914">
        <v>0</v>
      </c>
      <c r="AC914">
        <v>0</v>
      </c>
      <c r="AD914">
        <v>0</v>
      </c>
      <c r="AE914">
        <v>0.95152549946164766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hidden="1" x14ac:dyDescent="0.25">
      <c r="A915" t="s">
        <v>128</v>
      </c>
      <c r="B915" t="s">
        <v>502</v>
      </c>
      <c r="C915" t="s">
        <v>109</v>
      </c>
      <c r="D915" s="12">
        <v>46240</v>
      </c>
      <c r="E915" t="s">
        <v>501</v>
      </c>
      <c r="G915">
        <v>3.3060473611954952</v>
      </c>
      <c r="H915">
        <v>0</v>
      </c>
      <c r="J915">
        <v>0</v>
      </c>
      <c r="M915">
        <v>0.9930795847750864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0.30038274600397141</v>
      </c>
      <c r="AA915">
        <v>0.6996172539960287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hidden="1" x14ac:dyDescent="0.25">
      <c r="A916" t="s">
        <v>128</v>
      </c>
      <c r="B916" t="s">
        <v>503</v>
      </c>
      <c r="C916" t="s">
        <v>109</v>
      </c>
      <c r="D916" s="12">
        <v>46240</v>
      </c>
      <c r="E916" t="s">
        <v>501</v>
      </c>
      <c r="G916">
        <v>2.8594908838071702</v>
      </c>
      <c r="H916">
        <v>0</v>
      </c>
      <c r="J916">
        <v>0</v>
      </c>
      <c r="M916">
        <v>2.097204516481515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0.57789195606234123</v>
      </c>
      <c r="AA916">
        <v>0.42210804393765877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hidden="1" x14ac:dyDescent="0.25">
      <c r="A917" t="s">
        <v>128</v>
      </c>
      <c r="B917" t="s">
        <v>372</v>
      </c>
      <c r="C917" t="s">
        <v>109</v>
      </c>
      <c r="D917" s="12">
        <v>46240</v>
      </c>
      <c r="E917" t="s">
        <v>134</v>
      </c>
      <c r="G917">
        <v>10.752377986437555</v>
      </c>
      <c r="H917">
        <v>0</v>
      </c>
      <c r="J917">
        <v>0</v>
      </c>
      <c r="M917">
        <v>7.9896649062101623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0.74306027153136511</v>
      </c>
      <c r="AA917">
        <v>0.25693972846863483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hidden="1" x14ac:dyDescent="0.25">
      <c r="A918" t="s">
        <v>128</v>
      </c>
      <c r="B918" t="s">
        <v>502</v>
      </c>
      <c r="C918" t="s">
        <v>109</v>
      </c>
      <c r="D918" s="12">
        <v>46240</v>
      </c>
      <c r="E918" t="s">
        <v>134</v>
      </c>
      <c r="G918">
        <v>9.1765081618168907</v>
      </c>
      <c r="H918">
        <v>0</v>
      </c>
      <c r="J918">
        <v>0</v>
      </c>
      <c r="M918">
        <v>4.1256704152249135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0.44959044796491054</v>
      </c>
      <c r="AA918">
        <v>0.55040955203508946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hidden="1" x14ac:dyDescent="0.25">
      <c r="A919" t="s">
        <v>128</v>
      </c>
      <c r="B919" t="s">
        <v>503</v>
      </c>
      <c r="C919" t="s">
        <v>109</v>
      </c>
      <c r="D919" s="12">
        <v>46240</v>
      </c>
      <c r="E919" t="s">
        <v>134</v>
      </c>
      <c r="G919">
        <v>5.4878962308784107</v>
      </c>
      <c r="H919">
        <v>0</v>
      </c>
      <c r="J919">
        <v>0</v>
      </c>
      <c r="M919">
        <v>4.6258938869665513</v>
      </c>
      <c r="Q919">
        <v>0.20285211394087438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0.38469896583224689</v>
      </c>
      <c r="AA919">
        <v>0.35992548188498424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0.25537555228276881</v>
      </c>
      <c r="AJ919">
        <v>0</v>
      </c>
    </row>
    <row r="920" spans="1:36" hidden="1" x14ac:dyDescent="0.25">
      <c r="A920" t="s">
        <v>128</v>
      </c>
      <c r="B920" t="s">
        <v>372</v>
      </c>
      <c r="C920" t="s">
        <v>109</v>
      </c>
      <c r="D920" s="12">
        <v>46241</v>
      </c>
      <c r="E920" t="s">
        <v>133</v>
      </c>
      <c r="G920">
        <v>26.221255612373252</v>
      </c>
      <c r="H920">
        <v>24.7</v>
      </c>
      <c r="J920">
        <v>24.7</v>
      </c>
      <c r="M920">
        <v>29.125</v>
      </c>
      <c r="Q920">
        <v>0.1107400969104063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5.8016123821904443E-2</v>
      </c>
      <c r="AA920">
        <v>0</v>
      </c>
      <c r="AB920">
        <v>0</v>
      </c>
      <c r="AC920">
        <v>0</v>
      </c>
      <c r="AD920">
        <v>0</v>
      </c>
      <c r="AE920">
        <v>0.94198387617809554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hidden="1" x14ac:dyDescent="0.25">
      <c r="A921" t="s">
        <v>128</v>
      </c>
      <c r="B921" t="s">
        <v>502</v>
      </c>
      <c r="C921" t="s">
        <v>109</v>
      </c>
      <c r="D921" s="12">
        <v>46241</v>
      </c>
      <c r="E921" t="s">
        <v>133</v>
      </c>
      <c r="G921">
        <v>22.459210631123391</v>
      </c>
      <c r="H921">
        <v>66.5</v>
      </c>
      <c r="J921">
        <v>66.5</v>
      </c>
      <c r="M921">
        <v>26.5625</v>
      </c>
      <c r="Q921">
        <v>0</v>
      </c>
      <c r="R921">
        <v>0</v>
      </c>
      <c r="S921">
        <v>1.7109232974486657</v>
      </c>
      <c r="T921">
        <v>0</v>
      </c>
      <c r="U921">
        <v>0</v>
      </c>
      <c r="V921">
        <v>0</v>
      </c>
      <c r="W921">
        <v>0.18269962539067927</v>
      </c>
      <c r="X921">
        <v>0</v>
      </c>
      <c r="Y921">
        <v>6.7300374609320757E-2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hidden="1" x14ac:dyDescent="0.25">
      <c r="A922" t="s">
        <v>128</v>
      </c>
      <c r="B922" t="s">
        <v>503</v>
      </c>
      <c r="C922" t="s">
        <v>109</v>
      </c>
      <c r="D922" s="12">
        <v>46241</v>
      </c>
      <c r="E922" t="s">
        <v>133</v>
      </c>
      <c r="G922">
        <v>20.577120673671203</v>
      </c>
      <c r="H922">
        <v>66.5</v>
      </c>
      <c r="J922">
        <v>66.5</v>
      </c>
      <c r="M922">
        <v>18.624999999999993</v>
      </c>
      <c r="Q922">
        <v>0</v>
      </c>
      <c r="R922">
        <v>0</v>
      </c>
      <c r="S922">
        <v>1.9817446670314736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0.25</v>
      </c>
      <c r="Z922">
        <v>0</v>
      </c>
      <c r="AA922">
        <v>0</v>
      </c>
      <c r="AB922">
        <v>0</v>
      </c>
      <c r="AC922">
        <v>9.486850491035824E-2</v>
      </c>
      <c r="AD922">
        <v>0</v>
      </c>
      <c r="AE922">
        <v>0.90513149508964175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hidden="1" x14ac:dyDescent="0.25">
      <c r="A923" t="s">
        <v>128</v>
      </c>
      <c r="B923" t="s">
        <v>372</v>
      </c>
      <c r="C923" t="s">
        <v>109</v>
      </c>
      <c r="D923" s="12">
        <v>46241</v>
      </c>
      <c r="E923" t="s">
        <v>501</v>
      </c>
      <c r="G923">
        <v>6.7655742969551067</v>
      </c>
      <c r="H923">
        <v>11.399999999999999</v>
      </c>
      <c r="J923">
        <v>11.399999999999999</v>
      </c>
      <c r="M923">
        <v>7.5155709342560542</v>
      </c>
      <c r="Q923">
        <v>8.4679761370877557E-2</v>
      </c>
      <c r="R923">
        <v>0</v>
      </c>
      <c r="S923">
        <v>0.60090677361430045</v>
      </c>
      <c r="T923">
        <v>0</v>
      </c>
      <c r="U923">
        <v>0</v>
      </c>
      <c r="V923">
        <v>0</v>
      </c>
      <c r="W923">
        <v>2.6175075836141117E-2</v>
      </c>
      <c r="X923">
        <v>0</v>
      </c>
      <c r="Y923">
        <v>0.10639373150330841</v>
      </c>
      <c r="Z923">
        <v>4.8474500538352422E-2</v>
      </c>
      <c r="AA923">
        <v>0</v>
      </c>
      <c r="AB923">
        <v>0</v>
      </c>
      <c r="AC923">
        <v>0</v>
      </c>
      <c r="AD923">
        <v>0</v>
      </c>
      <c r="AE923">
        <v>0.95152549946164755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hidden="1" x14ac:dyDescent="0.25">
      <c r="A924" t="s">
        <v>128</v>
      </c>
      <c r="B924" t="s">
        <v>502</v>
      </c>
      <c r="C924" t="s">
        <v>109</v>
      </c>
      <c r="D924" s="12">
        <v>46241</v>
      </c>
      <c r="E924" t="s">
        <v>501</v>
      </c>
      <c r="G924">
        <v>3.3060473611954952</v>
      </c>
      <c r="H924">
        <v>0</v>
      </c>
      <c r="J924">
        <v>0</v>
      </c>
      <c r="M924">
        <v>0.9930795847750864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0.30038274600397141</v>
      </c>
      <c r="AA924">
        <v>0.69961725399602859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hidden="1" x14ac:dyDescent="0.25">
      <c r="A925" t="s">
        <v>128</v>
      </c>
      <c r="B925" t="s">
        <v>503</v>
      </c>
      <c r="C925" t="s">
        <v>109</v>
      </c>
      <c r="D925" s="12">
        <v>46241</v>
      </c>
      <c r="E925" t="s">
        <v>501</v>
      </c>
      <c r="G925">
        <v>1.906327255871447</v>
      </c>
      <c r="H925">
        <v>0</v>
      </c>
      <c r="J925">
        <v>0</v>
      </c>
      <c r="M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hidden="1" x14ac:dyDescent="0.25">
      <c r="A926" t="s">
        <v>128</v>
      </c>
      <c r="B926" t="s">
        <v>372</v>
      </c>
      <c r="C926" t="s">
        <v>109</v>
      </c>
      <c r="D926" s="12">
        <v>46241</v>
      </c>
      <c r="E926" t="s">
        <v>134</v>
      </c>
      <c r="G926">
        <v>8.301202861771058</v>
      </c>
      <c r="H926">
        <v>0</v>
      </c>
      <c r="J926">
        <v>0</v>
      </c>
      <c r="M926">
        <v>5.9273356401384083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0.71403334418378661</v>
      </c>
      <c r="AA926">
        <v>0.28596665581621339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hidden="1" x14ac:dyDescent="0.25">
      <c r="A927" t="s">
        <v>128</v>
      </c>
      <c r="B927" t="s">
        <v>502</v>
      </c>
      <c r="C927" t="s">
        <v>109</v>
      </c>
      <c r="D927" s="12">
        <v>46241</v>
      </c>
      <c r="E927" t="s">
        <v>134</v>
      </c>
      <c r="G927">
        <v>9.1014549325762939</v>
      </c>
      <c r="H927">
        <v>0</v>
      </c>
      <c r="J927">
        <v>0</v>
      </c>
      <c r="M927">
        <v>4.94919982698962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0.543781171653693</v>
      </c>
      <c r="AA927">
        <v>0.45621882834630706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hidden="1" x14ac:dyDescent="0.25">
      <c r="A928" t="s">
        <v>128</v>
      </c>
      <c r="B928" t="s">
        <v>503</v>
      </c>
      <c r="C928" t="s">
        <v>109</v>
      </c>
      <c r="D928" s="12">
        <v>46241</v>
      </c>
      <c r="E928" t="s">
        <v>134</v>
      </c>
      <c r="G928">
        <v>9.6923198233717081</v>
      </c>
      <c r="H928">
        <v>0</v>
      </c>
      <c r="J928">
        <v>0</v>
      </c>
      <c r="M928">
        <v>6.3620530565167224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0.6564014779181655</v>
      </c>
      <c r="AA928">
        <v>0.34359852208183456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hidden="1" x14ac:dyDescent="0.25">
      <c r="A929" t="s">
        <v>128</v>
      </c>
      <c r="B929" t="s">
        <v>372</v>
      </c>
      <c r="C929" t="s">
        <v>109</v>
      </c>
      <c r="D929" s="12">
        <v>46242</v>
      </c>
      <c r="E929" t="s">
        <v>133</v>
      </c>
      <c r="G929">
        <v>26.221255612373248</v>
      </c>
      <c r="H929">
        <v>24.7</v>
      </c>
      <c r="J929">
        <v>24.7</v>
      </c>
      <c r="M929">
        <v>29.125</v>
      </c>
      <c r="Q929">
        <v>0.11074009691040641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5.8016123821904353E-2</v>
      </c>
      <c r="AA929">
        <v>0</v>
      </c>
      <c r="AB929">
        <v>0</v>
      </c>
      <c r="AC929">
        <v>0</v>
      </c>
      <c r="AD929">
        <v>0</v>
      </c>
      <c r="AE929">
        <v>0.94198387617809576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hidden="1" x14ac:dyDescent="0.25">
      <c r="A930" t="s">
        <v>128</v>
      </c>
      <c r="B930" t="s">
        <v>502</v>
      </c>
      <c r="C930" t="s">
        <v>109</v>
      </c>
      <c r="D930" s="12">
        <v>46242</v>
      </c>
      <c r="E930" t="s">
        <v>133</v>
      </c>
      <c r="G930">
        <v>22.513989193638331</v>
      </c>
      <c r="H930">
        <v>58.9</v>
      </c>
      <c r="J930">
        <v>58.9</v>
      </c>
      <c r="M930">
        <v>26.249999999999993</v>
      </c>
      <c r="Q930">
        <v>0</v>
      </c>
      <c r="R930">
        <v>0</v>
      </c>
      <c r="S930">
        <v>1.3579800521190912</v>
      </c>
      <c r="T930">
        <v>0</v>
      </c>
      <c r="U930">
        <v>8.1711547333614219E-3</v>
      </c>
      <c r="V930">
        <v>0</v>
      </c>
      <c r="W930">
        <v>0.15777059704723079</v>
      </c>
      <c r="X930">
        <v>0</v>
      </c>
      <c r="Y930">
        <v>9.2229402952769199E-2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hidden="1" x14ac:dyDescent="0.25">
      <c r="A931" t="s">
        <v>128</v>
      </c>
      <c r="B931" t="s">
        <v>503</v>
      </c>
      <c r="C931" t="s">
        <v>109</v>
      </c>
      <c r="D931" s="12">
        <v>46242</v>
      </c>
      <c r="E931" t="s">
        <v>133</v>
      </c>
      <c r="G931">
        <v>20.577120673671203</v>
      </c>
      <c r="H931">
        <v>58.9</v>
      </c>
      <c r="J931">
        <v>58.9</v>
      </c>
      <c r="M931">
        <v>20.727941176470587</v>
      </c>
      <c r="Q931">
        <v>0</v>
      </c>
      <c r="R931">
        <v>0</v>
      </c>
      <c r="S931">
        <v>1.612402419370734</v>
      </c>
      <c r="T931">
        <v>0</v>
      </c>
      <c r="U931">
        <v>0</v>
      </c>
      <c r="V931">
        <v>0</v>
      </c>
      <c r="W931">
        <v>1.7680611503528242E-2</v>
      </c>
      <c r="X931">
        <v>0</v>
      </c>
      <c r="Y931">
        <v>0.23231938849647177</v>
      </c>
      <c r="Z931">
        <v>0</v>
      </c>
      <c r="AA931">
        <v>0</v>
      </c>
      <c r="AB931">
        <v>0</v>
      </c>
      <c r="AC931">
        <v>1.035108735915378E-2</v>
      </c>
      <c r="AD931">
        <v>0</v>
      </c>
      <c r="AE931">
        <v>0.98964891264084631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hidden="1" x14ac:dyDescent="0.25">
      <c r="A932" t="s">
        <v>128</v>
      </c>
      <c r="B932" t="s">
        <v>372</v>
      </c>
      <c r="C932" t="s">
        <v>109</v>
      </c>
      <c r="D932" s="12">
        <v>46242</v>
      </c>
      <c r="E932" t="s">
        <v>501</v>
      </c>
      <c r="G932">
        <v>6.7655742969551058</v>
      </c>
      <c r="H932">
        <v>11.399999999999999</v>
      </c>
      <c r="J932">
        <v>11.399999999999999</v>
      </c>
      <c r="M932">
        <v>7.5155709342560559</v>
      </c>
      <c r="Q932">
        <v>8.4679761370877557E-2</v>
      </c>
      <c r="R932">
        <v>0</v>
      </c>
      <c r="S932">
        <v>0.60090677361430067</v>
      </c>
      <c r="T932">
        <v>0</v>
      </c>
      <c r="U932">
        <v>0</v>
      </c>
      <c r="V932">
        <v>0</v>
      </c>
      <c r="W932">
        <v>2.6175075836141471E-2</v>
      </c>
      <c r="X932">
        <v>0</v>
      </c>
      <c r="Y932">
        <v>0.10639373150330807</v>
      </c>
      <c r="Z932">
        <v>4.8474500538352429E-2</v>
      </c>
      <c r="AA932">
        <v>0</v>
      </c>
      <c r="AB932">
        <v>0</v>
      </c>
      <c r="AC932">
        <v>0</v>
      </c>
      <c r="AD932">
        <v>0</v>
      </c>
      <c r="AE932">
        <v>0.95152549946164755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hidden="1" x14ac:dyDescent="0.25">
      <c r="A933" t="s">
        <v>128</v>
      </c>
      <c r="B933" t="s">
        <v>502</v>
      </c>
      <c r="C933" t="s">
        <v>109</v>
      </c>
      <c r="D933" s="12">
        <v>46242</v>
      </c>
      <c r="E933" t="s">
        <v>501</v>
      </c>
      <c r="G933">
        <v>3.3060473611954952</v>
      </c>
      <c r="H933">
        <v>0</v>
      </c>
      <c r="J933">
        <v>0</v>
      </c>
      <c r="M933">
        <v>1.8166089965397925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0.5494806329340941</v>
      </c>
      <c r="AA933">
        <v>0.45051936706590595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hidden="1" x14ac:dyDescent="0.25">
      <c r="A934" t="s">
        <v>128</v>
      </c>
      <c r="B934" t="s">
        <v>503</v>
      </c>
      <c r="C934" t="s">
        <v>109</v>
      </c>
      <c r="D934" s="12">
        <v>46242</v>
      </c>
      <c r="E934" t="s">
        <v>501</v>
      </c>
      <c r="G934">
        <v>0.95316362793572351</v>
      </c>
      <c r="H934">
        <v>0</v>
      </c>
      <c r="J934">
        <v>0</v>
      </c>
      <c r="M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hidden="1" x14ac:dyDescent="0.25">
      <c r="A935" t="s">
        <v>128</v>
      </c>
      <c r="B935" t="s">
        <v>372</v>
      </c>
      <c r="C935" t="s">
        <v>109</v>
      </c>
      <c r="D935" s="12">
        <v>46242</v>
      </c>
      <c r="E935" t="s">
        <v>134</v>
      </c>
      <c r="G935">
        <v>7.0363468952483803</v>
      </c>
      <c r="H935">
        <v>0</v>
      </c>
      <c r="J935">
        <v>0</v>
      </c>
      <c r="M935">
        <v>6.8685121107266429</v>
      </c>
      <c r="Q935">
        <v>7.0090427221547388E-2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0.56650975696522454</v>
      </c>
      <c r="AA935">
        <v>9.3942972728517121E-2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0.33954727030625831</v>
      </c>
      <c r="AJ935">
        <v>0</v>
      </c>
    </row>
    <row r="936" spans="1:36" hidden="1" x14ac:dyDescent="0.25">
      <c r="A936" t="s">
        <v>128</v>
      </c>
      <c r="B936" t="s">
        <v>502</v>
      </c>
      <c r="C936" t="s">
        <v>109</v>
      </c>
      <c r="D936" s="12">
        <v>46242</v>
      </c>
      <c r="E936" t="s">
        <v>134</v>
      </c>
      <c r="G936">
        <v>5.1236337828246983</v>
      </c>
      <c r="H936">
        <v>0</v>
      </c>
      <c r="J936">
        <v>0</v>
      </c>
      <c r="M936">
        <v>6.0009227220299888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0.78087601331730028</v>
      </c>
      <c r="AA936">
        <v>0.2191239866826997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hidden="1" x14ac:dyDescent="0.25">
      <c r="A937" t="s">
        <v>128</v>
      </c>
      <c r="B937" t="s">
        <v>503</v>
      </c>
      <c r="C937" t="s">
        <v>109</v>
      </c>
      <c r="D937" s="12">
        <v>46242</v>
      </c>
      <c r="E937" t="s">
        <v>134</v>
      </c>
      <c r="G937">
        <v>5.798257372654156</v>
      </c>
      <c r="H937">
        <v>0</v>
      </c>
      <c r="J937">
        <v>0</v>
      </c>
      <c r="M937">
        <v>3.6336793540945793</v>
      </c>
      <c r="Q937">
        <v>4.2354845070614065E-2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0.34262372345430925</v>
      </c>
      <c r="AA937">
        <v>0.41567011540825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0.24170616113744078</v>
      </c>
      <c r="AJ937">
        <v>0</v>
      </c>
    </row>
    <row r="938" spans="1:36" hidden="1" x14ac:dyDescent="0.25">
      <c r="A938" t="s">
        <v>128</v>
      </c>
      <c r="B938" t="s">
        <v>372</v>
      </c>
      <c r="C938" t="s">
        <v>109</v>
      </c>
      <c r="D938" s="12">
        <v>46243</v>
      </c>
      <c r="E938" t="s">
        <v>133</v>
      </c>
      <c r="G938">
        <v>27.012641596650106</v>
      </c>
      <c r="H938">
        <v>25.65</v>
      </c>
      <c r="J938">
        <v>25.65</v>
      </c>
      <c r="M938">
        <v>30</v>
      </c>
      <c r="Q938">
        <v>0.11059112425792382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5.0444588759475266E-2</v>
      </c>
      <c r="AA938">
        <v>0</v>
      </c>
      <c r="AB938">
        <v>0</v>
      </c>
      <c r="AC938">
        <v>0</v>
      </c>
      <c r="AD938">
        <v>0</v>
      </c>
      <c r="AE938">
        <v>0.94955541124052489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hidden="1" x14ac:dyDescent="0.25">
      <c r="A939" t="s">
        <v>128</v>
      </c>
      <c r="B939" t="s">
        <v>502</v>
      </c>
      <c r="C939" t="s">
        <v>109</v>
      </c>
      <c r="D939" s="12">
        <v>46243</v>
      </c>
      <c r="E939" t="s">
        <v>133</v>
      </c>
      <c r="G939">
        <v>22.513989193638327</v>
      </c>
      <c r="H939">
        <v>72.2</v>
      </c>
      <c r="J939">
        <v>72.2</v>
      </c>
      <c r="M939">
        <v>27.249999999999996</v>
      </c>
      <c r="Q939">
        <v>0</v>
      </c>
      <c r="R939">
        <v>0</v>
      </c>
      <c r="S939">
        <v>1.9418719995470293</v>
      </c>
      <c r="T939">
        <v>0</v>
      </c>
      <c r="U939">
        <v>1.5023028207590565E-2</v>
      </c>
      <c r="V939">
        <v>0</v>
      </c>
      <c r="W939">
        <v>0.19533555221226237</v>
      </c>
      <c r="X939">
        <v>0</v>
      </c>
      <c r="Y939">
        <v>5.4664447787737616E-2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hidden="1" x14ac:dyDescent="0.25">
      <c r="A940" t="s">
        <v>128</v>
      </c>
      <c r="B940" t="s">
        <v>503</v>
      </c>
      <c r="C940" t="s">
        <v>109</v>
      </c>
      <c r="D940" s="12">
        <v>46243</v>
      </c>
      <c r="E940" t="s">
        <v>133</v>
      </c>
      <c r="G940">
        <v>20.689257571075409</v>
      </c>
      <c r="H940">
        <v>72.2</v>
      </c>
      <c r="J940">
        <v>72.2</v>
      </c>
      <c r="M940">
        <v>19.624999999999993</v>
      </c>
      <c r="Q940">
        <v>0</v>
      </c>
      <c r="R940">
        <v>0</v>
      </c>
      <c r="S940">
        <v>2.2397337302687514</v>
      </c>
      <c r="T940">
        <v>0</v>
      </c>
      <c r="U940">
        <v>0</v>
      </c>
      <c r="V940">
        <v>0</v>
      </c>
      <c r="W940">
        <v>1.1898397843575884E-2</v>
      </c>
      <c r="X940">
        <v>0</v>
      </c>
      <c r="Y940">
        <v>0.23810160215642415</v>
      </c>
      <c r="Z940">
        <v>0</v>
      </c>
      <c r="AA940">
        <v>0</v>
      </c>
      <c r="AB940">
        <v>0</v>
      </c>
      <c r="AC940">
        <v>6.3338502323849855E-2</v>
      </c>
      <c r="AD940">
        <v>0</v>
      </c>
      <c r="AE940">
        <v>0.93666149767615026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hidden="1" x14ac:dyDescent="0.25">
      <c r="A941" t="s">
        <v>128</v>
      </c>
      <c r="B941" t="s">
        <v>372</v>
      </c>
      <c r="C941" t="s">
        <v>109</v>
      </c>
      <c r="D941" s="12">
        <v>46243</v>
      </c>
      <c r="E941" t="s">
        <v>501</v>
      </c>
      <c r="G941">
        <v>6.7655742969551058</v>
      </c>
      <c r="H941">
        <v>13.299999999999999</v>
      </c>
      <c r="J941">
        <v>13.299999999999999</v>
      </c>
      <c r="M941">
        <v>7.5155709342560559</v>
      </c>
      <c r="Q941">
        <v>8.4679761370877557E-2</v>
      </c>
      <c r="R941">
        <v>0</v>
      </c>
      <c r="S941">
        <v>0.60090677361430067</v>
      </c>
      <c r="T941">
        <v>0</v>
      </c>
      <c r="U941">
        <v>0</v>
      </c>
      <c r="V941">
        <v>0</v>
      </c>
      <c r="W941">
        <v>2.6175075836141471E-2</v>
      </c>
      <c r="X941">
        <v>0</v>
      </c>
      <c r="Y941">
        <v>0.10639373150330807</v>
      </c>
      <c r="Z941">
        <v>4.8474500538352429E-2</v>
      </c>
      <c r="AA941">
        <v>0</v>
      </c>
      <c r="AB941">
        <v>0</v>
      </c>
      <c r="AC941">
        <v>0</v>
      </c>
      <c r="AD941">
        <v>0</v>
      </c>
      <c r="AE941">
        <v>0.95152549946164755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hidden="1" x14ac:dyDescent="0.25">
      <c r="A942" t="s">
        <v>128</v>
      </c>
      <c r="B942" t="s">
        <v>502</v>
      </c>
      <c r="C942" t="s">
        <v>109</v>
      </c>
      <c r="D942" s="12">
        <v>46243</v>
      </c>
      <c r="E942" t="s">
        <v>501</v>
      </c>
      <c r="G942">
        <v>3.3060473611954952</v>
      </c>
      <c r="H942">
        <v>0</v>
      </c>
      <c r="J942">
        <v>0</v>
      </c>
      <c r="M942">
        <v>1.8166089965397922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0.5494806329340941</v>
      </c>
      <c r="AA942">
        <v>0.45051936706590601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hidden="1" x14ac:dyDescent="0.25">
      <c r="A943" t="s">
        <v>128</v>
      </c>
      <c r="B943" t="s">
        <v>503</v>
      </c>
      <c r="C943" t="s">
        <v>109</v>
      </c>
      <c r="D943" s="12">
        <v>46243</v>
      </c>
      <c r="E943" t="s">
        <v>501</v>
      </c>
      <c r="G943">
        <v>0.95316362793572373</v>
      </c>
      <c r="H943">
        <v>0</v>
      </c>
      <c r="J943">
        <v>0</v>
      </c>
      <c r="M943">
        <v>0.98961937716262982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0.86399584250631978</v>
      </c>
      <c r="AA943">
        <v>0.13600415749368022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hidden="1" x14ac:dyDescent="0.25">
      <c r="A944" t="s">
        <v>128</v>
      </c>
      <c r="B944" t="s">
        <v>372</v>
      </c>
      <c r="C944" t="s">
        <v>109</v>
      </c>
      <c r="D944" s="12">
        <v>46243</v>
      </c>
      <c r="E944" t="s">
        <v>134</v>
      </c>
      <c r="G944">
        <v>8.1606633099352042</v>
      </c>
      <c r="H944">
        <v>0</v>
      </c>
      <c r="J944">
        <v>0</v>
      </c>
      <c r="M944">
        <v>6.8685121107266429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0.8416610084090308</v>
      </c>
      <c r="AA944">
        <v>0.15833899159096917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hidden="1" x14ac:dyDescent="0.25">
      <c r="A945" t="s">
        <v>128</v>
      </c>
      <c r="B945" t="s">
        <v>502</v>
      </c>
      <c r="C945" t="s">
        <v>109</v>
      </c>
      <c r="D945" s="12">
        <v>46243</v>
      </c>
      <c r="E945" t="s">
        <v>134</v>
      </c>
      <c r="G945">
        <v>5.1236337828246974</v>
      </c>
      <c r="H945">
        <v>0</v>
      </c>
      <c r="J945">
        <v>0</v>
      </c>
      <c r="M945">
        <v>6.0009227220299888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0.78087601331730039</v>
      </c>
      <c r="AA945">
        <v>0.21912398668269975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hidden="1" x14ac:dyDescent="0.25">
      <c r="A946" t="s">
        <v>128</v>
      </c>
      <c r="B946" t="s">
        <v>503</v>
      </c>
      <c r="C946" t="s">
        <v>109</v>
      </c>
      <c r="D946" s="12">
        <v>46243</v>
      </c>
      <c r="E946" t="s">
        <v>134</v>
      </c>
      <c r="G946">
        <v>5.798257372654156</v>
      </c>
      <c r="H946">
        <v>0</v>
      </c>
      <c r="J946">
        <v>0</v>
      </c>
      <c r="M946">
        <v>3.636274509803922</v>
      </c>
      <c r="Q946">
        <v>4.9963622022615478E-2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0.33546252161713147</v>
      </c>
      <c r="AA946">
        <v>0.42283131724542777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0.24170616113744081</v>
      </c>
      <c r="AJ946">
        <v>0</v>
      </c>
    </row>
    <row r="947" spans="1:36" hidden="1" x14ac:dyDescent="0.25">
      <c r="A947" t="s">
        <v>128</v>
      </c>
      <c r="B947" t="s">
        <v>372</v>
      </c>
      <c r="C947" t="s">
        <v>109</v>
      </c>
      <c r="D947" s="12">
        <v>46244</v>
      </c>
      <c r="E947" t="s">
        <v>133</v>
      </c>
      <c r="G947">
        <v>27.065400662268566</v>
      </c>
      <c r="H947">
        <v>26.6</v>
      </c>
      <c r="J947">
        <v>26.6</v>
      </c>
      <c r="M947">
        <v>30.0625</v>
      </c>
      <c r="Q947">
        <v>9.3029810764799159E-2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1.7705639825061958E-2</v>
      </c>
      <c r="X947">
        <v>0</v>
      </c>
      <c r="Y947">
        <v>0</v>
      </c>
      <c r="Z947">
        <v>3.4901049864469694E-2</v>
      </c>
      <c r="AA947">
        <v>0</v>
      </c>
      <c r="AB947">
        <v>0</v>
      </c>
      <c r="AC947">
        <v>0</v>
      </c>
      <c r="AD947">
        <v>0</v>
      </c>
      <c r="AE947">
        <v>0.96509895013553026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hidden="1" x14ac:dyDescent="0.25">
      <c r="A948" t="s">
        <v>128</v>
      </c>
      <c r="B948" t="s">
        <v>502</v>
      </c>
      <c r="C948" t="s">
        <v>109</v>
      </c>
      <c r="D948" s="12">
        <v>46244</v>
      </c>
      <c r="E948" t="s">
        <v>133</v>
      </c>
      <c r="G948">
        <v>22.568767756153267</v>
      </c>
      <c r="H948">
        <v>51.3</v>
      </c>
      <c r="J948">
        <v>51.3</v>
      </c>
      <c r="M948">
        <v>26.8125</v>
      </c>
      <c r="Q948">
        <v>0</v>
      </c>
      <c r="R948">
        <v>0</v>
      </c>
      <c r="S948">
        <v>1.0230527671814647</v>
      </c>
      <c r="T948">
        <v>0</v>
      </c>
      <c r="U948">
        <v>0</v>
      </c>
      <c r="V948">
        <v>0</v>
      </c>
      <c r="W948">
        <v>0.18803562027393805</v>
      </c>
      <c r="X948">
        <v>0</v>
      </c>
      <c r="Y948">
        <v>6.1964379726061961E-2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hidden="1" x14ac:dyDescent="0.25">
      <c r="A949" t="s">
        <v>128</v>
      </c>
      <c r="B949" t="s">
        <v>503</v>
      </c>
      <c r="C949" t="s">
        <v>109</v>
      </c>
      <c r="D949" s="12">
        <v>46244</v>
      </c>
      <c r="E949" t="s">
        <v>133</v>
      </c>
      <c r="G949">
        <v>21.530284301606926</v>
      </c>
      <c r="H949">
        <v>51.3</v>
      </c>
      <c r="J949">
        <v>51.3</v>
      </c>
      <c r="M949">
        <v>20.75</v>
      </c>
      <c r="Q949">
        <v>0</v>
      </c>
      <c r="R949">
        <v>0</v>
      </c>
      <c r="S949">
        <v>1.1326903203582495</v>
      </c>
      <c r="T949">
        <v>0</v>
      </c>
      <c r="U949">
        <v>0</v>
      </c>
      <c r="V949">
        <v>0</v>
      </c>
      <c r="W949">
        <v>4.3988948777352072E-2</v>
      </c>
      <c r="X949">
        <v>0</v>
      </c>
      <c r="Y949">
        <v>0.20601105122264793</v>
      </c>
      <c r="Z949">
        <v>0</v>
      </c>
      <c r="AA949">
        <v>0</v>
      </c>
      <c r="AB949">
        <v>0</v>
      </c>
      <c r="AC949">
        <v>8.0230193466754099E-2</v>
      </c>
      <c r="AD949">
        <v>0</v>
      </c>
      <c r="AE949">
        <v>0.91976980653324603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hidden="1" x14ac:dyDescent="0.25">
      <c r="A950" t="s">
        <v>128</v>
      </c>
      <c r="B950" t="s">
        <v>372</v>
      </c>
      <c r="C950" t="s">
        <v>109</v>
      </c>
      <c r="D950" s="12">
        <v>46244</v>
      </c>
      <c r="E950" t="s">
        <v>501</v>
      </c>
      <c r="G950">
        <v>6.7655742969551049</v>
      </c>
      <c r="H950">
        <v>9.5</v>
      </c>
      <c r="J950">
        <v>9.5</v>
      </c>
      <c r="M950">
        <v>7.515570934256055</v>
      </c>
      <c r="Q950">
        <v>8.4679761370877668E-2</v>
      </c>
      <c r="R950">
        <v>0</v>
      </c>
      <c r="S950">
        <v>0.32007326021173443</v>
      </c>
      <c r="T950">
        <v>0</v>
      </c>
      <c r="U950">
        <v>0</v>
      </c>
      <c r="V950">
        <v>0</v>
      </c>
      <c r="W950">
        <v>2.6175075836141235E-2</v>
      </c>
      <c r="X950">
        <v>0</v>
      </c>
      <c r="Y950">
        <v>0.10639373150330832</v>
      </c>
      <c r="Z950">
        <v>4.8474500538352373E-2</v>
      </c>
      <c r="AA950">
        <v>0</v>
      </c>
      <c r="AB950">
        <v>0</v>
      </c>
      <c r="AC950">
        <v>0</v>
      </c>
      <c r="AD950">
        <v>0</v>
      </c>
      <c r="AE950">
        <v>0.95152549946164766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hidden="1" x14ac:dyDescent="0.25">
      <c r="A951" t="s">
        <v>128</v>
      </c>
      <c r="B951" t="s">
        <v>502</v>
      </c>
      <c r="C951" t="s">
        <v>109</v>
      </c>
      <c r="D951" s="12">
        <v>46244</v>
      </c>
      <c r="E951" t="s">
        <v>501</v>
      </c>
      <c r="G951">
        <v>3.3060473611954957</v>
      </c>
      <c r="H951">
        <v>0</v>
      </c>
      <c r="J951">
        <v>0</v>
      </c>
      <c r="M951">
        <v>0.82352941176470573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0.24909788693012258</v>
      </c>
      <c r="AA951">
        <v>0.75090211306987742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hidden="1" x14ac:dyDescent="0.25">
      <c r="A952" t="s">
        <v>128</v>
      </c>
      <c r="B952" t="s">
        <v>503</v>
      </c>
      <c r="C952" t="s">
        <v>109</v>
      </c>
      <c r="D952" s="12">
        <v>46244</v>
      </c>
      <c r="E952" t="s">
        <v>501</v>
      </c>
      <c r="G952">
        <v>0</v>
      </c>
      <c r="H952">
        <v>0</v>
      </c>
      <c r="J952">
        <v>0</v>
      </c>
      <c r="M952">
        <v>0.98961937716262982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hidden="1" x14ac:dyDescent="0.25">
      <c r="A953" t="s">
        <v>128</v>
      </c>
      <c r="B953" t="s">
        <v>372</v>
      </c>
      <c r="C953" t="s">
        <v>109</v>
      </c>
      <c r="D953" s="12">
        <v>46244</v>
      </c>
      <c r="E953" t="s">
        <v>134</v>
      </c>
      <c r="G953">
        <v>8.1606633099352042</v>
      </c>
      <c r="H953">
        <v>0</v>
      </c>
      <c r="J953">
        <v>0</v>
      </c>
      <c r="M953">
        <v>6.7956855536332164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0.83273691065771638</v>
      </c>
      <c r="AA953">
        <v>0.16726308934228359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hidden="1" x14ac:dyDescent="0.25">
      <c r="A954" t="s">
        <v>128</v>
      </c>
      <c r="B954" t="s">
        <v>502</v>
      </c>
      <c r="C954" t="s">
        <v>109</v>
      </c>
      <c r="D954" s="12">
        <v>46244</v>
      </c>
      <c r="E954" t="s">
        <v>134</v>
      </c>
      <c r="G954">
        <v>7.8211351396484785</v>
      </c>
      <c r="H954">
        <v>0</v>
      </c>
      <c r="J954">
        <v>0</v>
      </c>
      <c r="M954">
        <v>6.0599264705882359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0.77481418776003907</v>
      </c>
      <c r="AA954">
        <v>0.2251858122399609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hidden="1" x14ac:dyDescent="0.25">
      <c r="A955" t="s">
        <v>128</v>
      </c>
      <c r="B955" t="s">
        <v>503</v>
      </c>
      <c r="C955" t="s">
        <v>109</v>
      </c>
      <c r="D955" s="12">
        <v>46244</v>
      </c>
      <c r="E955" t="s">
        <v>134</v>
      </c>
      <c r="G955">
        <v>5.4684986595174259</v>
      </c>
      <c r="H955">
        <v>0</v>
      </c>
      <c r="J955">
        <v>0</v>
      </c>
      <c r="M955">
        <v>4.6674163783160312</v>
      </c>
      <c r="Q955">
        <v>0.39295473061145031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0.26457502014814266</v>
      </c>
      <c r="AA955">
        <v>0.53944508035437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0.19597989949748737</v>
      </c>
      <c r="AJ955">
        <v>0</v>
      </c>
    </row>
    <row r="956" spans="1:36" hidden="1" x14ac:dyDescent="0.25">
      <c r="A956" t="s">
        <v>128</v>
      </c>
      <c r="B956" t="s">
        <v>372</v>
      </c>
      <c r="C956" t="s">
        <v>109</v>
      </c>
      <c r="D956" s="12">
        <v>46245</v>
      </c>
      <c r="E956" t="s">
        <v>133</v>
      </c>
      <c r="G956">
        <v>26.933502998222423</v>
      </c>
      <c r="H956">
        <v>37.049999999999997</v>
      </c>
      <c r="J956">
        <v>37.049999999999997</v>
      </c>
      <c r="M956">
        <v>29.90625</v>
      </c>
      <c r="Q956">
        <v>7.5443272344426188E-2</v>
      </c>
      <c r="R956">
        <v>0</v>
      </c>
      <c r="S956">
        <v>0.30172031003181832</v>
      </c>
      <c r="T956">
        <v>0</v>
      </c>
      <c r="U956">
        <v>0</v>
      </c>
      <c r="V956">
        <v>0</v>
      </c>
      <c r="W956">
        <v>3.4930302231958289E-2</v>
      </c>
      <c r="X956">
        <v>0</v>
      </c>
      <c r="Y956">
        <v>7.4031499922791941E-2</v>
      </c>
      <c r="Z956">
        <v>3.5071965877518027E-2</v>
      </c>
      <c r="AA956">
        <v>0</v>
      </c>
      <c r="AB956">
        <v>0</v>
      </c>
      <c r="AC956">
        <v>0</v>
      </c>
      <c r="AD956">
        <v>0</v>
      </c>
      <c r="AE956">
        <v>0.96492803412248196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hidden="1" x14ac:dyDescent="0.25">
      <c r="A957" t="s">
        <v>128</v>
      </c>
      <c r="B957" t="s">
        <v>502</v>
      </c>
      <c r="C957" t="s">
        <v>109</v>
      </c>
      <c r="D957" s="12">
        <v>46245</v>
      </c>
      <c r="E957" t="s">
        <v>133</v>
      </c>
      <c r="G957">
        <v>22.568767756153267</v>
      </c>
      <c r="H957">
        <v>72.2</v>
      </c>
      <c r="J957">
        <v>72.2</v>
      </c>
      <c r="M957">
        <v>25.875</v>
      </c>
      <c r="Q957">
        <v>0</v>
      </c>
      <c r="R957">
        <v>0</v>
      </c>
      <c r="S957">
        <v>1.9491113019590982</v>
      </c>
      <c r="T957">
        <v>0</v>
      </c>
      <c r="U957">
        <v>0</v>
      </c>
      <c r="V957">
        <v>0</v>
      </c>
      <c r="W957">
        <v>0.14649591327135275</v>
      </c>
      <c r="X957">
        <v>0</v>
      </c>
      <c r="Y957">
        <v>0.10350408672864723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hidden="1" x14ac:dyDescent="0.25">
      <c r="A958" t="s">
        <v>128</v>
      </c>
      <c r="B958" t="s">
        <v>503</v>
      </c>
      <c r="C958" t="s">
        <v>109</v>
      </c>
      <c r="D958" s="12">
        <v>46245</v>
      </c>
      <c r="E958" t="s">
        <v>133</v>
      </c>
      <c r="G958">
        <v>20.521052224969104</v>
      </c>
      <c r="H958">
        <v>72.2</v>
      </c>
      <c r="J958">
        <v>72.2</v>
      </c>
      <c r="M958">
        <v>19.874999999999996</v>
      </c>
      <c r="Q958">
        <v>0</v>
      </c>
      <c r="R958">
        <v>0</v>
      </c>
      <c r="S958">
        <v>2.2683381051070199</v>
      </c>
      <c r="T958">
        <v>0</v>
      </c>
      <c r="U958">
        <v>0</v>
      </c>
      <c r="V958">
        <v>0</v>
      </c>
      <c r="W958">
        <v>1.4064602253091911E-2</v>
      </c>
      <c r="X958">
        <v>0</v>
      </c>
      <c r="Y958">
        <v>0.23593539774690811</v>
      </c>
      <c r="Z958">
        <v>0</v>
      </c>
      <c r="AA958">
        <v>0</v>
      </c>
      <c r="AB958">
        <v>0</v>
      </c>
      <c r="AC958">
        <v>4.5547014455280067E-2</v>
      </c>
      <c r="AD958">
        <v>0</v>
      </c>
      <c r="AE958">
        <v>0.95445298554471991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idden="1" x14ac:dyDescent="0.25">
      <c r="A959" t="s">
        <v>128</v>
      </c>
      <c r="B959" t="s">
        <v>372</v>
      </c>
      <c r="C959" t="s">
        <v>109</v>
      </c>
      <c r="D959" s="12">
        <v>46245</v>
      </c>
      <c r="E959" t="s">
        <v>501</v>
      </c>
      <c r="G959">
        <v>6.7655742969551049</v>
      </c>
      <c r="H959">
        <v>11.399999999999999</v>
      </c>
      <c r="J959">
        <v>11.399999999999999</v>
      </c>
      <c r="M959">
        <v>7.5155709342560542</v>
      </c>
      <c r="Q959">
        <v>8.4679761370877668E-2</v>
      </c>
      <c r="R959">
        <v>0</v>
      </c>
      <c r="S959">
        <v>0.60090677361430078</v>
      </c>
      <c r="T959">
        <v>0</v>
      </c>
      <c r="U959">
        <v>0</v>
      </c>
      <c r="V959">
        <v>0</v>
      </c>
      <c r="W959">
        <v>2.6175075836141121E-2</v>
      </c>
      <c r="X959">
        <v>0</v>
      </c>
      <c r="Y959">
        <v>0.10639373150330843</v>
      </c>
      <c r="Z959">
        <v>4.8474500538352373E-2</v>
      </c>
      <c r="AA959">
        <v>0</v>
      </c>
      <c r="AB959">
        <v>0</v>
      </c>
      <c r="AC959">
        <v>0</v>
      </c>
      <c r="AD959">
        <v>0</v>
      </c>
      <c r="AE959">
        <v>0.95152549946164766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hidden="1" x14ac:dyDescent="0.25">
      <c r="A960" t="s">
        <v>128</v>
      </c>
      <c r="B960" t="s">
        <v>502</v>
      </c>
      <c r="C960" t="s">
        <v>109</v>
      </c>
      <c r="D960" s="12">
        <v>46245</v>
      </c>
      <c r="E960" t="s">
        <v>501</v>
      </c>
      <c r="G960">
        <v>3.3060473611954957</v>
      </c>
      <c r="H960">
        <v>0</v>
      </c>
      <c r="J960">
        <v>0</v>
      </c>
      <c r="M960">
        <v>1.816608996539792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0.54948063293409388</v>
      </c>
      <c r="AA960">
        <v>0.45051936706590606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hidden="1" x14ac:dyDescent="0.25">
      <c r="A961" t="s">
        <v>128</v>
      </c>
      <c r="B961" t="s">
        <v>503</v>
      </c>
      <c r="C961" t="s">
        <v>109</v>
      </c>
      <c r="D961" s="12">
        <v>46245</v>
      </c>
      <c r="E961" t="s">
        <v>501</v>
      </c>
      <c r="G961">
        <v>1.906327255871447</v>
      </c>
      <c r="H961">
        <v>0</v>
      </c>
      <c r="J961">
        <v>0</v>
      </c>
      <c r="M961">
        <v>0.98961937716262982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0.43199792125316</v>
      </c>
      <c r="AA961">
        <v>0.56800207874684006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hidden="1" x14ac:dyDescent="0.25">
      <c r="A962" t="s">
        <v>128</v>
      </c>
      <c r="B962" t="s">
        <v>372</v>
      </c>
      <c r="C962" t="s">
        <v>109</v>
      </c>
      <c r="D962" s="12">
        <v>46245</v>
      </c>
      <c r="E962" t="s">
        <v>134</v>
      </c>
      <c r="G962">
        <v>11.674152105831531</v>
      </c>
      <c r="H962">
        <v>0</v>
      </c>
      <c r="J962">
        <v>0</v>
      </c>
      <c r="M962">
        <v>9.712478373702421</v>
      </c>
      <c r="Q962">
        <v>1.4439870729866399E-2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0.52859992112578291</v>
      </c>
      <c r="AA962">
        <v>0.18247552028673711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0.28892455858748001</v>
      </c>
      <c r="AJ962">
        <v>0</v>
      </c>
    </row>
    <row r="963" spans="1:36" hidden="1" x14ac:dyDescent="0.25">
      <c r="A963" t="s">
        <v>128</v>
      </c>
      <c r="B963" t="s">
        <v>502</v>
      </c>
      <c r="C963" t="s">
        <v>109</v>
      </c>
      <c r="D963" s="12">
        <v>46245</v>
      </c>
      <c r="E963" t="s">
        <v>134</v>
      </c>
      <c r="G963">
        <v>9.1014549325762939</v>
      </c>
      <c r="H963">
        <v>0</v>
      </c>
      <c r="J963">
        <v>0</v>
      </c>
      <c r="M963">
        <v>5.066846885813149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0.55670735320324305</v>
      </c>
      <c r="AA963">
        <v>0.4432926467967569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hidden="1" x14ac:dyDescent="0.25">
      <c r="A964" t="s">
        <v>128</v>
      </c>
      <c r="B964" t="s">
        <v>503</v>
      </c>
      <c r="C964" t="s">
        <v>109</v>
      </c>
      <c r="D964" s="12">
        <v>46245</v>
      </c>
      <c r="E964" t="s">
        <v>134</v>
      </c>
      <c r="G964">
        <v>5.798257372654156</v>
      </c>
      <c r="H964">
        <v>0</v>
      </c>
      <c r="J964">
        <v>0</v>
      </c>
      <c r="M964">
        <v>4.4277970011534018</v>
      </c>
      <c r="Q964">
        <v>0.30105326143866384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0.22088329222228573</v>
      </c>
      <c r="AA964">
        <v>0.53741054664027355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0.24170616113744078</v>
      </c>
      <c r="AJ964">
        <v>0</v>
      </c>
    </row>
    <row r="965" spans="1:36" hidden="1" x14ac:dyDescent="0.25">
      <c r="A965" t="s">
        <v>128</v>
      </c>
      <c r="B965" t="s">
        <v>372</v>
      </c>
      <c r="C965" t="s">
        <v>109</v>
      </c>
      <c r="D965" s="12">
        <v>46246</v>
      </c>
      <c r="E965" t="s">
        <v>133</v>
      </c>
      <c r="G965">
        <v>27.619370851262367</v>
      </c>
      <c r="H965">
        <v>32.299999999999997</v>
      </c>
      <c r="J965">
        <v>32.299999999999997</v>
      </c>
      <c r="M965">
        <v>29.71875</v>
      </c>
      <c r="Q965">
        <v>7.0381953296342795E-2</v>
      </c>
      <c r="R965">
        <v>0</v>
      </c>
      <c r="S965">
        <v>8.4042593692583809E-2</v>
      </c>
      <c r="T965">
        <v>0</v>
      </c>
      <c r="U965">
        <v>0</v>
      </c>
      <c r="V965">
        <v>0</v>
      </c>
      <c r="W965">
        <v>5.6291607888890663E-3</v>
      </c>
      <c r="X965">
        <v>0</v>
      </c>
      <c r="Y965">
        <v>0.10826768734864674</v>
      </c>
      <c r="Z965">
        <v>2.8470369781228265E-2</v>
      </c>
      <c r="AA965">
        <v>0</v>
      </c>
      <c r="AB965">
        <v>0</v>
      </c>
      <c r="AC965">
        <v>0</v>
      </c>
      <c r="AD965">
        <v>0</v>
      </c>
      <c r="AE965">
        <v>0.97152963021877181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hidden="1" x14ac:dyDescent="0.25">
      <c r="A966" t="s">
        <v>128</v>
      </c>
      <c r="B966" t="s">
        <v>502</v>
      </c>
      <c r="C966" t="s">
        <v>109</v>
      </c>
      <c r="D966" s="12">
        <v>46246</v>
      </c>
      <c r="E966" t="s">
        <v>133</v>
      </c>
      <c r="G966">
        <v>22.568767756153267</v>
      </c>
      <c r="H966">
        <v>60.8</v>
      </c>
      <c r="J966">
        <v>60.8</v>
      </c>
      <c r="M966">
        <v>24.999999999999996</v>
      </c>
      <c r="Q966">
        <v>0</v>
      </c>
      <c r="R966">
        <v>0</v>
      </c>
      <c r="S966">
        <v>1.4439884648076615</v>
      </c>
      <c r="T966">
        <v>0</v>
      </c>
      <c r="U966">
        <v>0</v>
      </c>
      <c r="V966">
        <v>0</v>
      </c>
      <c r="W966">
        <v>0.10772552006893975</v>
      </c>
      <c r="X966">
        <v>0</v>
      </c>
      <c r="Y966">
        <v>0.14227447993106024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hidden="1" x14ac:dyDescent="0.25">
      <c r="A967" t="s">
        <v>128</v>
      </c>
      <c r="B967" t="s">
        <v>503</v>
      </c>
      <c r="C967" t="s">
        <v>109</v>
      </c>
      <c r="D967" s="12">
        <v>46246</v>
      </c>
      <c r="E967" t="s">
        <v>133</v>
      </c>
      <c r="G967">
        <v>19.848230840543888</v>
      </c>
      <c r="H967">
        <v>60.8</v>
      </c>
      <c r="J967">
        <v>60.8</v>
      </c>
      <c r="M967">
        <v>16.397058823529409</v>
      </c>
      <c r="Q967">
        <v>0</v>
      </c>
      <c r="R967">
        <v>0</v>
      </c>
      <c r="S967">
        <v>1.8132453082822937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0.25</v>
      </c>
      <c r="Z967">
        <v>0</v>
      </c>
      <c r="AA967">
        <v>0</v>
      </c>
      <c r="AB967">
        <v>0</v>
      </c>
      <c r="AC967">
        <v>0.17387806725649249</v>
      </c>
      <c r="AD967">
        <v>0</v>
      </c>
      <c r="AE967">
        <v>0.82612193274350754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hidden="1" x14ac:dyDescent="0.25">
      <c r="A968" t="s">
        <v>128</v>
      </c>
      <c r="B968" t="s">
        <v>372</v>
      </c>
      <c r="C968" t="s">
        <v>109</v>
      </c>
      <c r="D968" s="12">
        <v>46246</v>
      </c>
      <c r="E968" t="s">
        <v>501</v>
      </c>
      <c r="G968">
        <v>6.7655742969551049</v>
      </c>
      <c r="H968">
        <v>14.249999999999998</v>
      </c>
      <c r="J968">
        <v>14.249999999999998</v>
      </c>
      <c r="M968">
        <v>7.5155709342560542</v>
      </c>
      <c r="Q968">
        <v>8.4679761370877668E-2</v>
      </c>
      <c r="R968">
        <v>0</v>
      </c>
      <c r="S968">
        <v>0.88174028701686724</v>
      </c>
      <c r="T968">
        <v>0</v>
      </c>
      <c r="U968">
        <v>0</v>
      </c>
      <c r="V968">
        <v>0</v>
      </c>
      <c r="W968">
        <v>2.6175075836141121E-2</v>
      </c>
      <c r="X968">
        <v>0</v>
      </c>
      <c r="Y968">
        <v>0.10639373150330843</v>
      </c>
      <c r="Z968">
        <v>4.8474500538352373E-2</v>
      </c>
      <c r="AA968">
        <v>0</v>
      </c>
      <c r="AB968">
        <v>0</v>
      </c>
      <c r="AC968">
        <v>0</v>
      </c>
      <c r="AD968">
        <v>0</v>
      </c>
      <c r="AE968">
        <v>0.95152549946164766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hidden="1" x14ac:dyDescent="0.25">
      <c r="A969" t="s">
        <v>128</v>
      </c>
      <c r="B969" t="s">
        <v>502</v>
      </c>
      <c r="C969" t="s">
        <v>109</v>
      </c>
      <c r="D969" s="12">
        <v>46246</v>
      </c>
      <c r="E969" t="s">
        <v>501</v>
      </c>
      <c r="G969">
        <v>3.2416019935308658</v>
      </c>
      <c r="H969">
        <v>0</v>
      </c>
      <c r="J969">
        <v>0</v>
      </c>
      <c r="M969">
        <v>2.5666089965397925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0.7917717849575211</v>
      </c>
      <c r="AA969">
        <v>0.20822821504247893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hidden="1" x14ac:dyDescent="0.25">
      <c r="A970" t="s">
        <v>128</v>
      </c>
      <c r="B970" t="s">
        <v>503</v>
      </c>
      <c r="C970" t="s">
        <v>109</v>
      </c>
      <c r="D970" s="12">
        <v>46246</v>
      </c>
      <c r="E970" t="s">
        <v>501</v>
      </c>
      <c r="G970">
        <v>3.5455048443975872</v>
      </c>
      <c r="H970">
        <v>0</v>
      </c>
      <c r="J970">
        <v>0</v>
      </c>
      <c r="M970">
        <v>2.6851211072664358</v>
      </c>
      <c r="Q970">
        <v>9.9294272211443879E-2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0.46454846229642138</v>
      </c>
      <c r="AA970">
        <v>0.34196316561055534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0.19348837209302328</v>
      </c>
      <c r="AJ970">
        <v>0</v>
      </c>
    </row>
    <row r="971" spans="1:36" hidden="1" x14ac:dyDescent="0.25">
      <c r="A971" t="s">
        <v>128</v>
      </c>
      <c r="B971" t="s">
        <v>372</v>
      </c>
      <c r="C971" t="s">
        <v>109</v>
      </c>
      <c r="D971" s="12">
        <v>46246</v>
      </c>
      <c r="E971" t="s">
        <v>134</v>
      </c>
      <c r="G971">
        <v>9.355249500539955</v>
      </c>
      <c r="H971">
        <v>0</v>
      </c>
      <c r="J971">
        <v>0</v>
      </c>
      <c r="M971">
        <v>7.774762110726642</v>
      </c>
      <c r="Q971">
        <v>3.1677388141404798E-2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0.55902083760169718</v>
      </c>
      <c r="AA971">
        <v>0.20061862158708602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0.24036054081121686</v>
      </c>
      <c r="AJ971">
        <v>0</v>
      </c>
    </row>
    <row r="972" spans="1:36" hidden="1" x14ac:dyDescent="0.25">
      <c r="A972" t="s">
        <v>128</v>
      </c>
      <c r="B972" t="s">
        <v>502</v>
      </c>
      <c r="C972" t="s">
        <v>109</v>
      </c>
      <c r="D972" s="12">
        <v>46246</v>
      </c>
      <c r="E972" t="s">
        <v>134</v>
      </c>
      <c r="G972">
        <v>9.1765081618168907</v>
      </c>
      <c r="H972">
        <v>0</v>
      </c>
      <c r="J972">
        <v>0</v>
      </c>
      <c r="M972">
        <v>5.066846885813149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0.55215413057617169</v>
      </c>
      <c r="AA972">
        <v>0.44784586942382826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hidden="1" x14ac:dyDescent="0.25">
      <c r="A973" t="s">
        <v>128</v>
      </c>
      <c r="B973" t="s">
        <v>503</v>
      </c>
      <c r="C973" t="s">
        <v>109</v>
      </c>
      <c r="D973" s="12">
        <v>46246</v>
      </c>
      <c r="E973" t="s">
        <v>134</v>
      </c>
      <c r="G973">
        <v>6.8893707617095101</v>
      </c>
      <c r="H973">
        <v>0</v>
      </c>
      <c r="J973">
        <v>0</v>
      </c>
      <c r="M973">
        <v>4.6674163783160312</v>
      </c>
      <c r="Q973">
        <v>6.0620800952260877E-2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0.2100087501551306</v>
      </c>
      <c r="AA973">
        <v>0.38314000629723916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0.40685124354763025</v>
      </c>
      <c r="AJ973">
        <v>0</v>
      </c>
    </row>
    <row r="974" spans="1:36" hidden="1" x14ac:dyDescent="0.25">
      <c r="A974" t="s">
        <v>128</v>
      </c>
      <c r="B974" t="s">
        <v>372</v>
      </c>
      <c r="C974" t="s">
        <v>109</v>
      </c>
      <c r="D974" s="12">
        <v>46247</v>
      </c>
      <c r="E974" t="s">
        <v>133</v>
      </c>
      <c r="G974">
        <v>26.089357948327105</v>
      </c>
      <c r="H974">
        <v>27.549999999999997</v>
      </c>
      <c r="J974">
        <v>27.549999999999997</v>
      </c>
      <c r="M974">
        <v>28.96875</v>
      </c>
      <c r="Q974">
        <v>4.5957549134146528E-2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6.4408986423219516E-2</v>
      </c>
      <c r="X974">
        <v>0</v>
      </c>
      <c r="Y974">
        <v>8.6242061014164088E-3</v>
      </c>
      <c r="Z974">
        <v>1.7047067662312398E-2</v>
      </c>
      <c r="AA974">
        <v>0</v>
      </c>
      <c r="AB974">
        <v>0</v>
      </c>
      <c r="AC974">
        <v>0</v>
      </c>
      <c r="AD974">
        <v>0</v>
      </c>
      <c r="AE974">
        <v>0.98295293233768766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hidden="1" x14ac:dyDescent="0.25">
      <c r="A975" t="s">
        <v>128</v>
      </c>
      <c r="B975" t="s">
        <v>502</v>
      </c>
      <c r="C975" t="s">
        <v>109</v>
      </c>
      <c r="D975" s="12">
        <v>46247</v>
      </c>
      <c r="E975" t="s">
        <v>133</v>
      </c>
      <c r="G975">
        <v>22.513989193638331</v>
      </c>
      <c r="H975">
        <v>74.099999999999994</v>
      </c>
      <c r="J975">
        <v>74.099999999999994</v>
      </c>
      <c r="M975">
        <v>24.124999999999996</v>
      </c>
      <c r="Q975">
        <v>0</v>
      </c>
      <c r="R975">
        <v>0</v>
      </c>
      <c r="S975">
        <v>2.0412870021692147</v>
      </c>
      <c r="T975">
        <v>0</v>
      </c>
      <c r="U975">
        <v>0</v>
      </c>
      <c r="V975">
        <v>0</v>
      </c>
      <c r="W975">
        <v>7.1555990922163415E-2</v>
      </c>
      <c r="X975">
        <v>0</v>
      </c>
      <c r="Y975">
        <v>0.17844400907783656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hidden="1" x14ac:dyDescent="0.25">
      <c r="A976" t="s">
        <v>128</v>
      </c>
      <c r="B976" t="s">
        <v>503</v>
      </c>
      <c r="C976" t="s">
        <v>109</v>
      </c>
      <c r="D976" s="12">
        <v>46247</v>
      </c>
      <c r="E976" t="s">
        <v>133</v>
      </c>
      <c r="G976">
        <v>21.530284301606926</v>
      </c>
      <c r="H976">
        <v>74.099999999999994</v>
      </c>
      <c r="J976">
        <v>74.099999999999994</v>
      </c>
      <c r="M976">
        <v>19.749999999999993</v>
      </c>
      <c r="Q976">
        <v>0</v>
      </c>
      <c r="R976">
        <v>0</v>
      </c>
      <c r="S976">
        <v>2.1916637960730272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0.25</v>
      </c>
      <c r="Z976">
        <v>0</v>
      </c>
      <c r="AA976">
        <v>0</v>
      </c>
      <c r="AB976">
        <v>0</v>
      </c>
      <c r="AC976">
        <v>8.2687449764611773E-2</v>
      </c>
      <c r="AD976">
        <v>0</v>
      </c>
      <c r="AE976">
        <v>0.91731255023538816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hidden="1" x14ac:dyDescent="0.25">
      <c r="A977" t="s">
        <v>128</v>
      </c>
      <c r="B977" t="s">
        <v>372</v>
      </c>
      <c r="C977" t="s">
        <v>109</v>
      </c>
      <c r="D977" s="12">
        <v>46247</v>
      </c>
      <c r="E977" t="s">
        <v>501</v>
      </c>
      <c r="G977">
        <v>6.7655742969551058</v>
      </c>
      <c r="H977">
        <v>14.25</v>
      </c>
      <c r="J977">
        <v>14.25</v>
      </c>
      <c r="M977">
        <v>7.515570934256055</v>
      </c>
      <c r="Q977">
        <v>8.4679761370877668E-2</v>
      </c>
      <c r="R977">
        <v>0</v>
      </c>
      <c r="S977">
        <v>0.88174028701686702</v>
      </c>
      <c r="T977">
        <v>0</v>
      </c>
      <c r="U977">
        <v>0</v>
      </c>
      <c r="V977">
        <v>0</v>
      </c>
      <c r="W977">
        <v>2.6175075836141235E-2</v>
      </c>
      <c r="X977">
        <v>0</v>
      </c>
      <c r="Y977">
        <v>0.10639373150330832</v>
      </c>
      <c r="Z977">
        <v>4.8474500538352373E-2</v>
      </c>
      <c r="AA977">
        <v>0</v>
      </c>
      <c r="AB977">
        <v>0</v>
      </c>
      <c r="AC977">
        <v>0</v>
      </c>
      <c r="AD977">
        <v>0</v>
      </c>
      <c r="AE977">
        <v>0.95152549946164766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hidden="1" x14ac:dyDescent="0.25">
      <c r="A978" t="s">
        <v>128</v>
      </c>
      <c r="B978" t="s">
        <v>502</v>
      </c>
      <c r="C978" t="s">
        <v>109</v>
      </c>
      <c r="D978" s="12">
        <v>46247</v>
      </c>
      <c r="E978" t="s">
        <v>501</v>
      </c>
      <c r="G978">
        <v>3.3060473611954952</v>
      </c>
      <c r="H978">
        <v>0</v>
      </c>
      <c r="J978">
        <v>0</v>
      </c>
      <c r="M978">
        <v>2.692041522491349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0.81427796651947648</v>
      </c>
      <c r="AA978">
        <v>0.18572203348052355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hidden="1" x14ac:dyDescent="0.25">
      <c r="A979" t="s">
        <v>128</v>
      </c>
      <c r="B979" t="s">
        <v>503</v>
      </c>
      <c r="C979" t="s">
        <v>109</v>
      </c>
      <c r="D979" s="12">
        <v>46247</v>
      </c>
      <c r="E979" t="s">
        <v>501</v>
      </c>
      <c r="G979">
        <v>2.8594908838071702</v>
      </c>
      <c r="H979">
        <v>0</v>
      </c>
      <c r="J979">
        <v>0</v>
      </c>
      <c r="M979">
        <v>1.9792387543252596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0.57599722833754674</v>
      </c>
      <c r="AA979">
        <v>0.42400277166245326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hidden="1" x14ac:dyDescent="0.25">
      <c r="A980" t="s">
        <v>128</v>
      </c>
      <c r="B980" t="s">
        <v>372</v>
      </c>
      <c r="C980" t="s">
        <v>109</v>
      </c>
      <c r="D980" s="12">
        <v>46247</v>
      </c>
      <c r="E980" t="s">
        <v>134</v>
      </c>
      <c r="G980">
        <v>10.409296139308854</v>
      </c>
      <c r="H980">
        <v>0</v>
      </c>
      <c r="J980">
        <v>0</v>
      </c>
      <c r="M980">
        <v>8.646637110726644</v>
      </c>
      <c r="Q980">
        <v>2.1330304367361792E-2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0.48530220911748617</v>
      </c>
      <c r="AA980">
        <v>0.19066538764218982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0.32403240324032406</v>
      </c>
      <c r="AJ980">
        <v>0</v>
      </c>
    </row>
    <row r="981" spans="1:36" hidden="1" x14ac:dyDescent="0.25">
      <c r="A981" t="s">
        <v>128</v>
      </c>
      <c r="B981" t="s">
        <v>502</v>
      </c>
      <c r="C981" t="s">
        <v>109</v>
      </c>
      <c r="D981" s="12">
        <v>46247</v>
      </c>
      <c r="E981" t="s">
        <v>134</v>
      </c>
      <c r="G981">
        <v>7.7504968062455646</v>
      </c>
      <c r="H981">
        <v>0</v>
      </c>
      <c r="J981">
        <v>0</v>
      </c>
      <c r="M981">
        <v>6.059926470588235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0.7818758748090805</v>
      </c>
      <c r="AA981">
        <v>0.21812412519091948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hidden="1" x14ac:dyDescent="0.25">
      <c r="A982" t="s">
        <v>128</v>
      </c>
      <c r="B982" t="s">
        <v>503</v>
      </c>
      <c r="C982" t="s">
        <v>109</v>
      </c>
      <c r="D982" s="12">
        <v>46247</v>
      </c>
      <c r="E982" t="s">
        <v>134</v>
      </c>
      <c r="G982">
        <v>6.889370761709511</v>
      </c>
      <c r="H982">
        <v>0</v>
      </c>
      <c r="J982">
        <v>0</v>
      </c>
      <c r="M982">
        <v>5.8136101499423312</v>
      </c>
      <c r="Q982">
        <v>0.10411315640470285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0.40186942272989135</v>
      </c>
      <c r="AA982">
        <v>0.26026103245546761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0.33786954481464093</v>
      </c>
      <c r="AJ982">
        <v>0</v>
      </c>
    </row>
    <row r="983" spans="1:36" hidden="1" x14ac:dyDescent="0.25">
      <c r="A983" t="s">
        <v>128</v>
      </c>
      <c r="B983" t="s">
        <v>372</v>
      </c>
      <c r="C983" t="s">
        <v>109</v>
      </c>
      <c r="D983" s="12">
        <v>46248</v>
      </c>
      <c r="E983" t="s">
        <v>133</v>
      </c>
      <c r="G983">
        <v>26.221255612373248</v>
      </c>
      <c r="H983">
        <v>40.85</v>
      </c>
      <c r="J983">
        <v>40.85</v>
      </c>
      <c r="M983">
        <v>26.3125</v>
      </c>
      <c r="Q983">
        <v>0</v>
      </c>
      <c r="R983">
        <v>0</v>
      </c>
      <c r="S983">
        <v>0.38261489409633492</v>
      </c>
      <c r="T983">
        <v>0</v>
      </c>
      <c r="U983">
        <v>0</v>
      </c>
      <c r="V983">
        <v>0</v>
      </c>
      <c r="W983">
        <v>4.4411746468050683E-2</v>
      </c>
      <c r="X983">
        <v>0</v>
      </c>
      <c r="Y983">
        <v>0.13086977003784955</v>
      </c>
      <c r="Z983">
        <v>0</v>
      </c>
      <c r="AA983">
        <v>0</v>
      </c>
      <c r="AB983">
        <v>0</v>
      </c>
      <c r="AC983">
        <v>4.0931959345129901E-2</v>
      </c>
      <c r="AD983">
        <v>0</v>
      </c>
      <c r="AE983">
        <v>0.95906804065487017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hidden="1" x14ac:dyDescent="0.25">
      <c r="A984" t="s">
        <v>128</v>
      </c>
      <c r="B984" t="s">
        <v>502</v>
      </c>
      <c r="C984" t="s">
        <v>109</v>
      </c>
      <c r="D984" s="12">
        <v>46248</v>
      </c>
      <c r="E984" t="s">
        <v>133</v>
      </c>
      <c r="G984">
        <v>22.459210631123394</v>
      </c>
      <c r="H984">
        <v>72.199999999999989</v>
      </c>
      <c r="J984">
        <v>72.199999999999989</v>
      </c>
      <c r="M984">
        <v>25.187499999999996</v>
      </c>
      <c r="Q984">
        <v>0</v>
      </c>
      <c r="R984">
        <v>0</v>
      </c>
      <c r="S984">
        <v>1.9647167229442652</v>
      </c>
      <c r="T984">
        <v>0</v>
      </c>
      <c r="U984">
        <v>0</v>
      </c>
      <c r="V984">
        <v>0</v>
      </c>
      <c r="W984">
        <v>0.12147752713516162</v>
      </c>
      <c r="X984">
        <v>0</v>
      </c>
      <c r="Y984">
        <v>0.12852247286483839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hidden="1" x14ac:dyDescent="0.25">
      <c r="A985" t="s">
        <v>128</v>
      </c>
      <c r="B985" t="s">
        <v>503</v>
      </c>
      <c r="C985" t="s">
        <v>109</v>
      </c>
      <c r="D985" s="12">
        <v>46248</v>
      </c>
      <c r="E985" t="s">
        <v>133</v>
      </c>
      <c r="G985">
        <v>20.577120673671203</v>
      </c>
      <c r="H985">
        <v>72.199999999999989</v>
      </c>
      <c r="J985">
        <v>72.199999999999989</v>
      </c>
      <c r="M985">
        <v>19.625</v>
      </c>
      <c r="Q985">
        <v>0</v>
      </c>
      <c r="R985">
        <v>0</v>
      </c>
      <c r="S985">
        <v>2.2587513527770287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0.25</v>
      </c>
      <c r="Z985">
        <v>0</v>
      </c>
      <c r="AA985">
        <v>0</v>
      </c>
      <c r="AB985">
        <v>0</v>
      </c>
      <c r="AC985">
        <v>4.6270840744471249E-2</v>
      </c>
      <c r="AD985">
        <v>0</v>
      </c>
      <c r="AE985">
        <v>0.95372915925552892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hidden="1" x14ac:dyDescent="0.25">
      <c r="A986" t="s">
        <v>128</v>
      </c>
      <c r="B986" t="s">
        <v>372</v>
      </c>
      <c r="C986" t="s">
        <v>109</v>
      </c>
      <c r="D986" s="12">
        <v>46248</v>
      </c>
      <c r="E986" t="s">
        <v>501</v>
      </c>
      <c r="G986">
        <v>6.7655742969551049</v>
      </c>
      <c r="H986">
        <v>14.249999999999998</v>
      </c>
      <c r="J986">
        <v>14.249999999999998</v>
      </c>
      <c r="M986">
        <v>7.5155709342560542</v>
      </c>
      <c r="Q986">
        <v>8.4679761370877668E-2</v>
      </c>
      <c r="R986">
        <v>0</v>
      </c>
      <c r="S986">
        <v>0.88174028701686724</v>
      </c>
      <c r="T986">
        <v>0</v>
      </c>
      <c r="U986">
        <v>0</v>
      </c>
      <c r="V986">
        <v>0</v>
      </c>
      <c r="W986">
        <v>2.6175075836141121E-2</v>
      </c>
      <c r="X986">
        <v>0</v>
      </c>
      <c r="Y986">
        <v>0.10639373150330843</v>
      </c>
      <c r="Z986">
        <v>4.8474500538352373E-2</v>
      </c>
      <c r="AA986">
        <v>0</v>
      </c>
      <c r="AB986">
        <v>0</v>
      </c>
      <c r="AC986">
        <v>0</v>
      </c>
      <c r="AD986">
        <v>0</v>
      </c>
      <c r="AE986">
        <v>0.95152549946164766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hidden="1" x14ac:dyDescent="0.25">
      <c r="A987" t="s">
        <v>128</v>
      </c>
      <c r="B987" t="s">
        <v>502</v>
      </c>
      <c r="C987" t="s">
        <v>109</v>
      </c>
      <c r="D987" s="12">
        <v>46248</v>
      </c>
      <c r="E987" t="s">
        <v>501</v>
      </c>
      <c r="G987">
        <v>3.3060473611954952</v>
      </c>
      <c r="H987">
        <v>0</v>
      </c>
      <c r="J987">
        <v>0</v>
      </c>
      <c r="M987">
        <v>2.692041522491349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0.81427796651947648</v>
      </c>
      <c r="AA987">
        <v>0.18572203348052355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hidden="1" x14ac:dyDescent="0.25">
      <c r="A988" t="s">
        <v>128</v>
      </c>
      <c r="B988" t="s">
        <v>503</v>
      </c>
      <c r="C988" t="s">
        <v>109</v>
      </c>
      <c r="D988" s="12">
        <v>46248</v>
      </c>
      <c r="E988" t="s">
        <v>501</v>
      </c>
      <c r="G988">
        <v>1.906327255871447</v>
      </c>
      <c r="H988">
        <v>0</v>
      </c>
      <c r="J988">
        <v>0</v>
      </c>
      <c r="M988">
        <v>0.98961937716262982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0.43199792125316</v>
      </c>
      <c r="AA988">
        <v>0.56800207874684006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hidden="1" x14ac:dyDescent="0.25">
      <c r="A989" t="s">
        <v>128</v>
      </c>
      <c r="B989" t="s">
        <v>372</v>
      </c>
      <c r="C989" t="s">
        <v>109</v>
      </c>
      <c r="D989" s="12">
        <v>46248</v>
      </c>
      <c r="E989" t="s">
        <v>134</v>
      </c>
      <c r="G989">
        <v>8.0903935340172772</v>
      </c>
      <c r="H989">
        <v>0</v>
      </c>
      <c r="J989">
        <v>0</v>
      </c>
      <c r="M989">
        <v>6.7054606401384076</v>
      </c>
      <c r="Q989">
        <v>5.0080802286865234E-2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0.50079818672959664</v>
      </c>
      <c r="AA989">
        <v>0.22126319138273684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0.27793862188766649</v>
      </c>
      <c r="AJ989">
        <v>0</v>
      </c>
    </row>
    <row r="990" spans="1:36" hidden="1" x14ac:dyDescent="0.25">
      <c r="A990" t="s">
        <v>128</v>
      </c>
      <c r="B990" t="s">
        <v>502</v>
      </c>
      <c r="C990" t="s">
        <v>109</v>
      </c>
      <c r="D990" s="12">
        <v>46248</v>
      </c>
      <c r="E990" t="s">
        <v>134</v>
      </c>
      <c r="G990">
        <v>9.0264017033356989</v>
      </c>
      <c r="H990">
        <v>0</v>
      </c>
      <c r="J990">
        <v>0</v>
      </c>
      <c r="M990">
        <v>6.059926470588235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0.67135572620801864</v>
      </c>
      <c r="AA990">
        <v>0.3286442737919813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idden="1" x14ac:dyDescent="0.25">
      <c r="A991" t="s">
        <v>128</v>
      </c>
      <c r="B991" t="s">
        <v>503</v>
      </c>
      <c r="C991" t="s">
        <v>109</v>
      </c>
      <c r="D991" s="12">
        <v>46248</v>
      </c>
      <c r="E991" t="s">
        <v>134</v>
      </c>
      <c r="G991">
        <v>9.672922252010725</v>
      </c>
      <c r="H991">
        <v>0</v>
      </c>
      <c r="J991">
        <v>0</v>
      </c>
      <c r="M991">
        <v>6.5601499423298719</v>
      </c>
      <c r="Q991">
        <v>4.7790761015505584E-2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0.35767928568323115</v>
      </c>
      <c r="AA991">
        <v>0.36959344158949614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0.27272727272727276</v>
      </c>
      <c r="AJ991">
        <v>0</v>
      </c>
    </row>
    <row r="992" spans="1:36" hidden="1" x14ac:dyDescent="0.25">
      <c r="A992" t="s">
        <v>128</v>
      </c>
      <c r="B992" t="s">
        <v>372</v>
      </c>
      <c r="C992" t="s">
        <v>109</v>
      </c>
      <c r="D992" s="12">
        <v>46249</v>
      </c>
      <c r="E992" t="s">
        <v>133</v>
      </c>
      <c r="G992">
        <v>26.221255612373248</v>
      </c>
      <c r="H992">
        <v>25.65</v>
      </c>
      <c r="J992">
        <v>25.65</v>
      </c>
      <c r="M992">
        <v>29.18359375</v>
      </c>
      <c r="Q992">
        <v>9.2938708699875444E-2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2.0035977997770245E-2</v>
      </c>
      <c r="X992">
        <v>0</v>
      </c>
      <c r="Y992">
        <v>1.4897265248261396E-4</v>
      </c>
      <c r="Z992">
        <v>4.197092538838431E-2</v>
      </c>
      <c r="AA992">
        <v>0</v>
      </c>
      <c r="AB992">
        <v>0</v>
      </c>
      <c r="AC992">
        <v>0</v>
      </c>
      <c r="AD992">
        <v>0</v>
      </c>
      <c r="AE992">
        <v>0.95802907461161568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hidden="1" x14ac:dyDescent="0.25">
      <c r="A993" t="s">
        <v>128</v>
      </c>
      <c r="B993" t="s">
        <v>502</v>
      </c>
      <c r="C993" t="s">
        <v>109</v>
      </c>
      <c r="D993" s="12">
        <v>46249</v>
      </c>
      <c r="E993" t="s">
        <v>133</v>
      </c>
      <c r="G993">
        <v>22.404432068608457</v>
      </c>
      <c r="H993">
        <v>57</v>
      </c>
      <c r="J993">
        <v>57</v>
      </c>
      <c r="M993">
        <v>25.749999999999996</v>
      </c>
      <c r="Q993">
        <v>0</v>
      </c>
      <c r="R993">
        <v>0</v>
      </c>
      <c r="S993">
        <v>1.2941394731832754</v>
      </c>
      <c r="T993">
        <v>0</v>
      </c>
      <c r="U993">
        <v>0</v>
      </c>
      <c r="V993">
        <v>0</v>
      </c>
      <c r="W993">
        <v>0.14932616551700581</v>
      </c>
      <c r="X993">
        <v>0</v>
      </c>
      <c r="Y993">
        <v>0.10067383448299419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hidden="1" x14ac:dyDescent="0.25">
      <c r="A994" t="s">
        <v>128</v>
      </c>
      <c r="B994" t="s">
        <v>503</v>
      </c>
      <c r="C994" t="s">
        <v>109</v>
      </c>
      <c r="D994" s="12">
        <v>46249</v>
      </c>
      <c r="E994" t="s">
        <v>133</v>
      </c>
      <c r="G994">
        <v>21.306010506798522</v>
      </c>
      <c r="H994">
        <v>57</v>
      </c>
      <c r="J994">
        <v>57</v>
      </c>
      <c r="M994">
        <v>19.624999999999993</v>
      </c>
      <c r="Q994">
        <v>0</v>
      </c>
      <c r="R994">
        <v>0</v>
      </c>
      <c r="S994">
        <v>1.4253014123320698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0.25</v>
      </c>
      <c r="Z994">
        <v>0</v>
      </c>
      <c r="AA994">
        <v>0</v>
      </c>
      <c r="AB994">
        <v>0</v>
      </c>
      <c r="AC994">
        <v>7.8898417245318528E-2</v>
      </c>
      <c r="AD994">
        <v>0</v>
      </c>
      <c r="AE994">
        <v>0.92110158275468157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hidden="1" x14ac:dyDescent="0.25">
      <c r="A995" t="s">
        <v>128</v>
      </c>
      <c r="B995" t="s">
        <v>372</v>
      </c>
      <c r="C995" t="s">
        <v>109</v>
      </c>
      <c r="D995" s="12">
        <v>46249</v>
      </c>
      <c r="E995" t="s">
        <v>501</v>
      </c>
      <c r="G995">
        <v>6.8152298881254181</v>
      </c>
      <c r="H995">
        <v>11.399999999999999</v>
      </c>
      <c r="J995">
        <v>11.399999999999999</v>
      </c>
      <c r="M995">
        <v>7.5778546712802752</v>
      </c>
      <c r="Q995">
        <v>7.7284529222259632E-2</v>
      </c>
      <c r="R995">
        <v>0</v>
      </c>
      <c r="S995">
        <v>0.59652858218541693</v>
      </c>
      <c r="T995">
        <v>0</v>
      </c>
      <c r="U995">
        <v>0</v>
      </c>
      <c r="V995">
        <v>0</v>
      </c>
      <c r="W995">
        <v>3.4615552752029162E-2</v>
      </c>
      <c r="X995">
        <v>0</v>
      </c>
      <c r="Y995">
        <v>9.6987361637770483E-2</v>
      </c>
      <c r="Z995">
        <v>5.5407291062663074E-2</v>
      </c>
      <c r="AA995">
        <v>0</v>
      </c>
      <c r="AB995">
        <v>0</v>
      </c>
      <c r="AC995">
        <v>0</v>
      </c>
      <c r="AD995">
        <v>0</v>
      </c>
      <c r="AE995">
        <v>0.94459270893733693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hidden="1" x14ac:dyDescent="0.25">
      <c r="A996" t="s">
        <v>128</v>
      </c>
      <c r="B996" t="s">
        <v>502</v>
      </c>
      <c r="C996" t="s">
        <v>109</v>
      </c>
      <c r="D996" s="12">
        <v>46249</v>
      </c>
      <c r="E996" t="s">
        <v>501</v>
      </c>
      <c r="G996">
        <v>3.3060473611954952</v>
      </c>
      <c r="H996">
        <v>0</v>
      </c>
      <c r="J996">
        <v>0</v>
      </c>
      <c r="M996">
        <v>1.9861591695501728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0.60076549200794283</v>
      </c>
      <c r="AA996">
        <v>0.39923450799205723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hidden="1" x14ac:dyDescent="0.25">
      <c r="A997" t="s">
        <v>128</v>
      </c>
      <c r="B997" t="s">
        <v>503</v>
      </c>
      <c r="C997" t="s">
        <v>109</v>
      </c>
      <c r="D997" s="12">
        <v>46249</v>
      </c>
      <c r="E997" t="s">
        <v>501</v>
      </c>
      <c r="G997">
        <v>0</v>
      </c>
      <c r="H997">
        <v>0</v>
      </c>
      <c r="J997">
        <v>0</v>
      </c>
      <c r="M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hidden="1" x14ac:dyDescent="0.25">
      <c r="A998" t="s">
        <v>128</v>
      </c>
      <c r="B998" t="s">
        <v>372</v>
      </c>
      <c r="C998" t="s">
        <v>109</v>
      </c>
      <c r="D998" s="12">
        <v>46249</v>
      </c>
      <c r="E998" t="s">
        <v>134</v>
      </c>
      <c r="G998">
        <v>8.86336106911447</v>
      </c>
      <c r="H998">
        <v>0</v>
      </c>
      <c r="J998">
        <v>0</v>
      </c>
      <c r="M998">
        <v>7.4238754325259499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0.83759144805635932</v>
      </c>
      <c r="AA998">
        <v>0.16240855194364059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hidden="1" x14ac:dyDescent="0.25">
      <c r="A999" t="s">
        <v>128</v>
      </c>
      <c r="B999" t="s">
        <v>502</v>
      </c>
      <c r="C999" t="s">
        <v>109</v>
      </c>
      <c r="D999" s="12">
        <v>46249</v>
      </c>
      <c r="E999" t="s">
        <v>134</v>
      </c>
      <c r="G999">
        <v>4.9635202271114256</v>
      </c>
      <c r="H999">
        <v>0</v>
      </c>
      <c r="J999">
        <v>0</v>
      </c>
      <c r="M999">
        <v>5.0078431372549019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0.78375747462105416</v>
      </c>
      <c r="AA999">
        <v>0.21624252537894575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hidden="1" x14ac:dyDescent="0.25">
      <c r="A1000" t="s">
        <v>128</v>
      </c>
      <c r="B1000" t="s">
        <v>503</v>
      </c>
      <c r="C1000" t="s">
        <v>109</v>
      </c>
      <c r="D1000" s="12">
        <v>46249</v>
      </c>
      <c r="E1000" t="s">
        <v>134</v>
      </c>
      <c r="G1000">
        <v>5.4878962308784107</v>
      </c>
      <c r="H1000">
        <v>0</v>
      </c>
      <c r="J1000">
        <v>0</v>
      </c>
      <c r="M1000">
        <v>3.636274509803922</v>
      </c>
      <c r="Q1000">
        <v>5.2789252487517445E-2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0.35443418705173801</v>
      </c>
      <c r="AA1000">
        <v>0.39019026066549312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0.25537555228276881</v>
      </c>
      <c r="AJ1000">
        <v>0</v>
      </c>
    </row>
    <row r="1001" spans="1:36" hidden="1" x14ac:dyDescent="0.25">
      <c r="A1001" t="s">
        <v>128</v>
      </c>
      <c r="B1001" t="s">
        <v>372</v>
      </c>
      <c r="C1001" t="s">
        <v>109</v>
      </c>
      <c r="D1001" s="12">
        <v>46250</v>
      </c>
      <c r="E1001" t="s">
        <v>133</v>
      </c>
      <c r="G1001">
        <v>26.168496546754792</v>
      </c>
      <c r="H1001">
        <v>24.7</v>
      </c>
      <c r="J1001">
        <v>24.7</v>
      </c>
      <c r="M1001">
        <v>29.12109375</v>
      </c>
      <c r="Q1001">
        <v>9.2753846151807096E-2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2.0076373114701233E-2</v>
      </c>
      <c r="X1001">
        <v>0</v>
      </c>
      <c r="Y1001">
        <v>1.4927300057229664E-4</v>
      </c>
      <c r="Z1001">
        <v>7.6342608896496203E-2</v>
      </c>
      <c r="AA1001">
        <v>0</v>
      </c>
      <c r="AB1001">
        <v>0</v>
      </c>
      <c r="AC1001">
        <v>0</v>
      </c>
      <c r="AD1001">
        <v>0</v>
      </c>
      <c r="AE1001">
        <v>0.92365739110350376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hidden="1" x14ac:dyDescent="0.25">
      <c r="A1002" t="s">
        <v>128</v>
      </c>
      <c r="B1002" t="s">
        <v>502</v>
      </c>
      <c r="C1002" t="s">
        <v>109</v>
      </c>
      <c r="D1002" s="12">
        <v>46250</v>
      </c>
      <c r="E1002" t="s">
        <v>133</v>
      </c>
      <c r="G1002">
        <v>22.513989193638327</v>
      </c>
      <c r="H1002">
        <v>47.5</v>
      </c>
      <c r="J1002">
        <v>47.5</v>
      </c>
      <c r="M1002">
        <v>26.437499999999996</v>
      </c>
      <c r="Q1002">
        <v>0</v>
      </c>
      <c r="R1002">
        <v>0</v>
      </c>
      <c r="S1002">
        <v>0.84498468407109784</v>
      </c>
      <c r="T1002">
        <v>0</v>
      </c>
      <c r="U1002">
        <v>1.4814676293783694E-2</v>
      </c>
      <c r="V1002">
        <v>0</v>
      </c>
      <c r="W1002">
        <v>0.15945523085667004</v>
      </c>
      <c r="X1002">
        <v>0</v>
      </c>
      <c r="Y1002">
        <v>9.0544769143329942E-2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25">
      <c r="A1003" t="s">
        <v>128</v>
      </c>
      <c r="B1003" t="s">
        <v>503</v>
      </c>
      <c r="C1003" t="s">
        <v>109</v>
      </c>
      <c r="D1003" s="12">
        <v>46250</v>
      </c>
      <c r="E1003" t="s">
        <v>133</v>
      </c>
      <c r="G1003">
        <v>21.530284301606926</v>
      </c>
      <c r="H1003">
        <v>47.5</v>
      </c>
      <c r="J1003">
        <v>47.5</v>
      </c>
      <c r="M1003">
        <v>19.749999999999996</v>
      </c>
      <c r="Q1003">
        <v>0</v>
      </c>
      <c r="R1003">
        <v>0</v>
      </c>
      <c r="S1003">
        <v>0.95619474107245317</v>
      </c>
      <c r="T1003">
        <v>0</v>
      </c>
      <c r="U1003">
        <v>0</v>
      </c>
      <c r="V1003">
        <v>0</v>
      </c>
      <c r="W1003">
        <v>2.7091072678927946E-2</v>
      </c>
      <c r="X1003">
        <v>0</v>
      </c>
      <c r="Y1003">
        <v>0.22290892732107204</v>
      </c>
      <c r="Z1003">
        <v>0</v>
      </c>
      <c r="AA1003">
        <v>0</v>
      </c>
      <c r="AB1003">
        <v>0</v>
      </c>
      <c r="AC1003">
        <v>0.10977852244353965</v>
      </c>
      <c r="AD1003">
        <v>0</v>
      </c>
      <c r="AE1003">
        <v>0.89022147755646042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hidden="1" x14ac:dyDescent="0.25">
      <c r="A1004" t="s">
        <v>128</v>
      </c>
      <c r="B1004" t="s">
        <v>372</v>
      </c>
      <c r="C1004" t="s">
        <v>109</v>
      </c>
      <c r="D1004" s="12">
        <v>46250</v>
      </c>
      <c r="E1004" t="s">
        <v>501</v>
      </c>
      <c r="G1004">
        <v>6.7655742969551058</v>
      </c>
      <c r="H1004">
        <v>10.45</v>
      </c>
      <c r="J1004">
        <v>10.45</v>
      </c>
      <c r="M1004">
        <v>7.515570934256055</v>
      </c>
      <c r="Q1004">
        <v>8.4679761370877557E-2</v>
      </c>
      <c r="R1004">
        <v>0</v>
      </c>
      <c r="S1004">
        <v>0.32007326021173438</v>
      </c>
      <c r="T1004">
        <v>0</v>
      </c>
      <c r="U1004">
        <v>0</v>
      </c>
      <c r="V1004">
        <v>0</v>
      </c>
      <c r="W1004">
        <v>2.6175075836141232E-2</v>
      </c>
      <c r="X1004">
        <v>0</v>
      </c>
      <c r="Y1004">
        <v>0.1063937315033083</v>
      </c>
      <c r="Z1004">
        <v>4.8474500538352429E-2</v>
      </c>
      <c r="AA1004">
        <v>0</v>
      </c>
      <c r="AB1004">
        <v>0</v>
      </c>
      <c r="AC1004">
        <v>0</v>
      </c>
      <c r="AD1004">
        <v>0</v>
      </c>
      <c r="AE1004">
        <v>0.95152549946164755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hidden="1" x14ac:dyDescent="0.25">
      <c r="A1005" t="s">
        <v>128</v>
      </c>
      <c r="B1005" t="s">
        <v>502</v>
      </c>
      <c r="C1005" t="s">
        <v>109</v>
      </c>
      <c r="D1005" s="12">
        <v>46250</v>
      </c>
      <c r="E1005" t="s">
        <v>501</v>
      </c>
      <c r="G1005">
        <v>3.3060473611954952</v>
      </c>
      <c r="H1005">
        <v>0</v>
      </c>
      <c r="J1005">
        <v>0</v>
      </c>
      <c r="M1005">
        <v>1.9861591695501728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0.60076549200794283</v>
      </c>
      <c r="AA1005">
        <v>0.39923450799205723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hidden="1" x14ac:dyDescent="0.25">
      <c r="A1006" t="s">
        <v>128</v>
      </c>
      <c r="B1006" t="s">
        <v>503</v>
      </c>
      <c r="C1006" t="s">
        <v>109</v>
      </c>
      <c r="D1006" s="12">
        <v>46250</v>
      </c>
      <c r="E1006" t="s">
        <v>501</v>
      </c>
      <c r="G1006">
        <v>0.44854758961681102</v>
      </c>
      <c r="H1006">
        <v>0</v>
      </c>
      <c r="J1006">
        <v>0</v>
      </c>
      <c r="M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hidden="1" x14ac:dyDescent="0.25">
      <c r="A1007" t="s">
        <v>128</v>
      </c>
      <c r="B1007" t="s">
        <v>372</v>
      </c>
      <c r="C1007" t="s">
        <v>109</v>
      </c>
      <c r="D1007" s="12">
        <v>46250</v>
      </c>
      <c r="E1007" t="s">
        <v>134</v>
      </c>
      <c r="G1007">
        <v>7.0363468952483785</v>
      </c>
      <c r="H1007">
        <v>0</v>
      </c>
      <c r="J1007">
        <v>0</v>
      </c>
      <c r="M1007">
        <v>5.9307958477508649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0.84287996826249589</v>
      </c>
      <c r="AA1007">
        <v>0.15712003173750411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hidden="1" x14ac:dyDescent="0.25">
      <c r="A1008" t="s">
        <v>128</v>
      </c>
      <c r="B1008" t="s">
        <v>502</v>
      </c>
      <c r="C1008" t="s">
        <v>109</v>
      </c>
      <c r="D1008" s="12">
        <v>46250</v>
      </c>
      <c r="E1008" t="s">
        <v>134</v>
      </c>
      <c r="G1008">
        <v>5.1236337828246974</v>
      </c>
      <c r="H1008">
        <v>0</v>
      </c>
      <c r="J1008">
        <v>0</v>
      </c>
      <c r="M1008">
        <v>5.0078431372549019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0.7592650535391462</v>
      </c>
      <c r="AA1008">
        <v>0.24073494646085383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hidden="1" x14ac:dyDescent="0.25">
      <c r="A1009" t="s">
        <v>128</v>
      </c>
      <c r="B1009" t="s">
        <v>503</v>
      </c>
      <c r="C1009" t="s">
        <v>109</v>
      </c>
      <c r="D1009" s="12">
        <v>46250</v>
      </c>
      <c r="E1009" t="s">
        <v>134</v>
      </c>
      <c r="G1009">
        <v>5.798257372654156</v>
      </c>
      <c r="H1009">
        <v>0</v>
      </c>
      <c r="J1009">
        <v>0</v>
      </c>
      <c r="M1009">
        <v>3.8758938869665522</v>
      </c>
      <c r="Q1009">
        <v>6.2644916942617951E-2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0.3641073289658428</v>
      </c>
      <c r="AA1009">
        <v>0.39418650989671639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0.24170616113744081</v>
      </c>
      <c r="AJ1009">
        <v>0</v>
      </c>
    </row>
    <row r="1010" spans="1:36" hidden="1" x14ac:dyDescent="0.25">
      <c r="A1010" t="s">
        <v>128</v>
      </c>
      <c r="C1010" t="s">
        <v>110</v>
      </c>
      <c r="D1010" s="12">
        <v>46223</v>
      </c>
      <c r="G1010">
        <v>106.16277953772665</v>
      </c>
      <c r="H1010">
        <v>214.69999999999993</v>
      </c>
      <c r="J1010">
        <v>214.69999999999993</v>
      </c>
      <c r="M1010">
        <v>103.86616166687261</v>
      </c>
      <c r="Q1010">
        <v>9.931789659889596E-3</v>
      </c>
      <c r="R1010">
        <v>0</v>
      </c>
      <c r="S1010">
        <v>0.94194979996425399</v>
      </c>
      <c r="T1010">
        <v>0</v>
      </c>
      <c r="U1010">
        <v>1.4226388013656404E-2</v>
      </c>
      <c r="V1010">
        <v>0</v>
      </c>
      <c r="W1010">
        <v>5.9584703694341039E-2</v>
      </c>
      <c r="X1010">
        <v>0</v>
      </c>
      <c r="Y1010">
        <v>0.11019492171060806</v>
      </c>
      <c r="Z1010">
        <v>6.7112526530217639E-2</v>
      </c>
      <c r="AA1010">
        <v>3.6477247315188914E-2</v>
      </c>
      <c r="AB1010">
        <v>0</v>
      </c>
      <c r="AC1010">
        <v>7.0463103513986963E-2</v>
      </c>
      <c r="AD1010">
        <v>0</v>
      </c>
      <c r="AE1010">
        <v>0.82594712264060621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hidden="1" x14ac:dyDescent="0.25">
      <c r="A1011" t="s">
        <v>128</v>
      </c>
      <c r="C1011" t="s">
        <v>110</v>
      </c>
      <c r="D1011" s="12">
        <v>46224</v>
      </c>
      <c r="G1011">
        <v>108.56788137426898</v>
      </c>
      <c r="H1011">
        <v>214.6999999999999</v>
      </c>
      <c r="J1011">
        <v>214.6999999999999</v>
      </c>
      <c r="M1011">
        <v>106.61876724954686</v>
      </c>
      <c r="Q1011">
        <v>1.4950877974538422E-2</v>
      </c>
      <c r="R1011">
        <v>0</v>
      </c>
      <c r="S1011">
        <v>0.95109637708750816</v>
      </c>
      <c r="T1011">
        <v>0</v>
      </c>
      <c r="U1011">
        <v>1.8030151909532003E-2</v>
      </c>
      <c r="V1011">
        <v>0</v>
      </c>
      <c r="W1011">
        <v>5.0887345182413793E-2</v>
      </c>
      <c r="X1011">
        <v>0</v>
      </c>
      <c r="Y1011">
        <v>0.11054895596652227</v>
      </c>
      <c r="Z1011">
        <v>0.10320558436562437</v>
      </c>
      <c r="AA1011">
        <v>4.9792635673806089E-2</v>
      </c>
      <c r="AB1011">
        <v>0</v>
      </c>
      <c r="AC1011">
        <v>5.355851886065216E-2</v>
      </c>
      <c r="AD1011">
        <v>0</v>
      </c>
      <c r="AE1011">
        <v>0.79344326109991736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hidden="1" x14ac:dyDescent="0.25">
      <c r="A1012" t="s">
        <v>128</v>
      </c>
      <c r="C1012" t="s">
        <v>110</v>
      </c>
      <c r="D1012" s="12">
        <v>46225</v>
      </c>
      <c r="G1012">
        <v>108.4629062197255</v>
      </c>
      <c r="H1012">
        <v>196.64999999999998</v>
      </c>
      <c r="J1012">
        <v>196.64999999999998</v>
      </c>
      <c r="M1012">
        <v>104.53276870539233</v>
      </c>
      <c r="Q1012">
        <v>1.3712820346821548E-2</v>
      </c>
      <c r="R1012">
        <v>0</v>
      </c>
      <c r="S1012">
        <v>0.74956649800116926</v>
      </c>
      <c r="T1012">
        <v>0</v>
      </c>
      <c r="U1012">
        <v>1.4892086300715672E-2</v>
      </c>
      <c r="V1012">
        <v>0</v>
      </c>
      <c r="W1012">
        <v>5.577266777521625E-2</v>
      </c>
      <c r="X1012">
        <v>0</v>
      </c>
      <c r="Y1012">
        <v>0.12511195871000111</v>
      </c>
      <c r="Z1012">
        <v>7.4247162089085175E-2</v>
      </c>
      <c r="AA1012">
        <v>5.1708934352909505E-2</v>
      </c>
      <c r="AB1012">
        <v>0</v>
      </c>
      <c r="AC1012">
        <v>6.8903493544739791E-2</v>
      </c>
      <c r="AD1012">
        <v>0</v>
      </c>
      <c r="AE1012">
        <v>0.79881553836359109</v>
      </c>
      <c r="AF1012">
        <v>0</v>
      </c>
      <c r="AG1012">
        <v>0</v>
      </c>
      <c r="AH1012">
        <v>0</v>
      </c>
      <c r="AI1012">
        <v>6.3248716496742347E-3</v>
      </c>
      <c r="AJ1012">
        <v>0</v>
      </c>
    </row>
    <row r="1013" spans="1:36" hidden="1" x14ac:dyDescent="0.25">
      <c r="A1013" t="s">
        <v>128</v>
      </c>
      <c r="C1013" t="s">
        <v>110</v>
      </c>
      <c r="D1013" s="12">
        <v>46226</v>
      </c>
      <c r="G1013">
        <v>109.21611428952843</v>
      </c>
      <c r="H1013">
        <v>225.15</v>
      </c>
      <c r="J1013">
        <v>225.15</v>
      </c>
      <c r="M1013">
        <v>100.83189537424876</v>
      </c>
      <c r="Q1013">
        <v>5.2456290056643318E-3</v>
      </c>
      <c r="R1013">
        <v>0</v>
      </c>
      <c r="S1013">
        <v>1.0317108385769604</v>
      </c>
      <c r="T1013">
        <v>0</v>
      </c>
      <c r="U1013">
        <v>7.9022668245162901E-3</v>
      </c>
      <c r="V1013">
        <v>0</v>
      </c>
      <c r="W1013">
        <v>5.2561976608761919E-2</v>
      </c>
      <c r="X1013">
        <v>0</v>
      </c>
      <c r="Y1013">
        <v>0.12494184336681739</v>
      </c>
      <c r="Z1013">
        <v>7.1865362714793948E-2</v>
      </c>
      <c r="AA1013">
        <v>8.3742586036939959E-2</v>
      </c>
      <c r="AB1013">
        <v>0</v>
      </c>
      <c r="AC1013">
        <v>6.432726299966661E-2</v>
      </c>
      <c r="AD1013">
        <v>0</v>
      </c>
      <c r="AE1013">
        <v>0.78006478824859926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25">
      <c r="A1014" t="s">
        <v>128</v>
      </c>
      <c r="C1014" t="s">
        <v>110</v>
      </c>
      <c r="D1014" s="12">
        <v>46227</v>
      </c>
      <c r="G1014">
        <v>108.33051344890895</v>
      </c>
      <c r="H1014">
        <v>205.2</v>
      </c>
      <c r="J1014">
        <v>205.2</v>
      </c>
      <c r="M1014">
        <v>98.963783160322947</v>
      </c>
      <c r="Q1014">
        <v>4.3088021616694474E-3</v>
      </c>
      <c r="R1014">
        <v>0</v>
      </c>
      <c r="S1014">
        <v>0.87660234789382585</v>
      </c>
      <c r="T1014">
        <v>0</v>
      </c>
      <c r="U1014">
        <v>1.8160810095496215E-2</v>
      </c>
      <c r="V1014">
        <v>0</v>
      </c>
      <c r="W1014">
        <v>4.0235015272514107E-2</v>
      </c>
      <c r="X1014">
        <v>0</v>
      </c>
      <c r="Y1014">
        <v>0.1122365672562835</v>
      </c>
      <c r="Z1014">
        <v>6.6561953948470629E-2</v>
      </c>
      <c r="AA1014">
        <v>9.5239093907158415E-2</v>
      </c>
      <c r="AB1014">
        <v>0</v>
      </c>
      <c r="AC1014">
        <v>5.5463088055601961E-2</v>
      </c>
      <c r="AD1014">
        <v>0</v>
      </c>
      <c r="AE1014">
        <v>0.78273586408876905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hidden="1" x14ac:dyDescent="0.25">
      <c r="A1015" t="s">
        <v>128</v>
      </c>
      <c r="C1015" t="s">
        <v>110</v>
      </c>
      <c r="D1015" s="12">
        <v>46228</v>
      </c>
      <c r="G1015">
        <v>98.295388816496356</v>
      </c>
      <c r="H1015">
        <v>176.69999999999996</v>
      </c>
      <c r="J1015">
        <v>176.69999999999996</v>
      </c>
      <c r="M1015">
        <v>103.13269355536332</v>
      </c>
      <c r="Q1015">
        <v>3.9996821814539521E-2</v>
      </c>
      <c r="R1015">
        <v>0</v>
      </c>
      <c r="S1015">
        <v>0.74450371621940248</v>
      </c>
      <c r="T1015">
        <v>0</v>
      </c>
      <c r="U1015">
        <v>6.8005902585179861E-3</v>
      </c>
      <c r="V1015">
        <v>1.3883202269705823E-3</v>
      </c>
      <c r="W1015">
        <v>6.6647813391005339E-2</v>
      </c>
      <c r="X1015">
        <v>0</v>
      </c>
      <c r="Y1015">
        <v>7.2426661090097821E-2</v>
      </c>
      <c r="Z1015">
        <v>8.5968300319058277E-2</v>
      </c>
      <c r="AA1015">
        <v>3.5761899122540741E-2</v>
      </c>
      <c r="AB1015">
        <v>0</v>
      </c>
      <c r="AC1015">
        <v>4.1531399405462903E-2</v>
      </c>
      <c r="AD1015">
        <v>0</v>
      </c>
      <c r="AE1015">
        <v>0.81243235373834588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hidden="1" x14ac:dyDescent="0.25">
      <c r="A1016" t="s">
        <v>128</v>
      </c>
      <c r="C1016" t="s">
        <v>110</v>
      </c>
      <c r="D1016" s="12">
        <v>46229</v>
      </c>
      <c r="G1016">
        <v>100.32322811286423</v>
      </c>
      <c r="H1016">
        <v>161.5</v>
      </c>
      <c r="J1016">
        <v>161.5</v>
      </c>
      <c r="M1016">
        <v>102.98247008362166</v>
      </c>
      <c r="Q1016">
        <v>3.1109619908970168E-2</v>
      </c>
      <c r="R1016">
        <v>0</v>
      </c>
      <c r="S1016">
        <v>0.560592579707057</v>
      </c>
      <c r="T1016">
        <v>0</v>
      </c>
      <c r="U1016">
        <v>7.2491642212847507E-3</v>
      </c>
      <c r="V1016">
        <v>0</v>
      </c>
      <c r="W1016">
        <v>5.6392065263840968E-2</v>
      </c>
      <c r="X1016">
        <v>0</v>
      </c>
      <c r="Y1016">
        <v>7.2456027860033828E-2</v>
      </c>
      <c r="Z1016">
        <v>8.176109662844179E-2</v>
      </c>
      <c r="AA1016">
        <v>6.194840944076397E-2</v>
      </c>
      <c r="AB1016">
        <v>0</v>
      </c>
      <c r="AC1016">
        <v>1.7436158974019643E-2</v>
      </c>
      <c r="AD1016">
        <v>0</v>
      </c>
      <c r="AE1016">
        <v>0.83885433495677453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hidden="1" x14ac:dyDescent="0.25">
      <c r="A1017" t="s">
        <v>128</v>
      </c>
      <c r="C1017" t="s">
        <v>110</v>
      </c>
      <c r="D1017" s="12">
        <v>46230</v>
      </c>
      <c r="G1017">
        <v>102.68637148728047</v>
      </c>
      <c r="H1017">
        <v>199.50000000000003</v>
      </c>
      <c r="J1017">
        <v>199.50000000000003</v>
      </c>
      <c r="M1017">
        <v>99.12063148788927</v>
      </c>
      <c r="Q1017">
        <v>1.4940180177012307E-2</v>
      </c>
      <c r="R1017">
        <v>0</v>
      </c>
      <c r="S1017">
        <v>0.84335778521283999</v>
      </c>
      <c r="T1017">
        <v>0</v>
      </c>
      <c r="U1017">
        <v>1.8339805976851652E-2</v>
      </c>
      <c r="V1017">
        <v>6.6661287925015005E-3</v>
      </c>
      <c r="W1017">
        <v>5.4088290162729605E-2</v>
      </c>
      <c r="X1017">
        <v>0</v>
      </c>
      <c r="Y1017">
        <v>0.12355737973950798</v>
      </c>
      <c r="Z1017">
        <v>4.7114435818681716E-2</v>
      </c>
      <c r="AA1017">
        <v>4.9419890548042911E-2</v>
      </c>
      <c r="AB1017">
        <v>0</v>
      </c>
      <c r="AC1017">
        <v>8.2310254929718593E-2</v>
      </c>
      <c r="AD1017">
        <v>0</v>
      </c>
      <c r="AE1017">
        <v>0.7862178080927904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hidden="1" x14ac:dyDescent="0.25">
      <c r="A1018" t="s">
        <v>128</v>
      </c>
      <c r="C1018" t="s">
        <v>110</v>
      </c>
      <c r="D1018" s="12">
        <v>46231</v>
      </c>
      <c r="G1018">
        <v>108.57513630442882</v>
      </c>
      <c r="H1018">
        <v>185.25</v>
      </c>
      <c r="J1018">
        <v>185.25</v>
      </c>
      <c r="M1018">
        <v>104.25765570934256</v>
      </c>
      <c r="Q1018">
        <v>3.1274335510812476E-2</v>
      </c>
      <c r="R1018">
        <v>0</v>
      </c>
      <c r="S1018">
        <v>0.7068063899232957</v>
      </c>
      <c r="T1018">
        <v>0</v>
      </c>
      <c r="U1018">
        <v>1.9531788587541631E-2</v>
      </c>
      <c r="V1018">
        <v>6.3045794909211052E-3</v>
      </c>
      <c r="W1018">
        <v>4.8115990045465004E-2</v>
      </c>
      <c r="X1018">
        <v>0</v>
      </c>
      <c r="Y1018">
        <v>9.0425019924188527E-2</v>
      </c>
      <c r="Z1018">
        <v>7.3471706088038671E-2</v>
      </c>
      <c r="AA1018">
        <v>8.5215749134240695E-2</v>
      </c>
      <c r="AB1018">
        <v>0</v>
      </c>
      <c r="AC1018">
        <v>5.6530723183489999E-2</v>
      </c>
      <c r="AD1018">
        <v>0</v>
      </c>
      <c r="AE1018">
        <v>0.75173911417366679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hidden="1" x14ac:dyDescent="0.25">
      <c r="A1019" t="s">
        <v>128</v>
      </c>
      <c r="C1019" t="s">
        <v>110</v>
      </c>
      <c r="D1019" s="12">
        <v>46232</v>
      </c>
      <c r="G1019">
        <v>109.01017900690942</v>
      </c>
      <c r="H1019">
        <v>198.55000000000004</v>
      </c>
      <c r="J1019">
        <v>198.55000000000004</v>
      </c>
      <c r="M1019">
        <v>103.19468144843076</v>
      </c>
      <c r="Q1019">
        <v>2.9835701254827141E-2</v>
      </c>
      <c r="R1019">
        <v>0</v>
      </c>
      <c r="S1019">
        <v>0.80636731710865084</v>
      </c>
      <c r="T1019">
        <v>0</v>
      </c>
      <c r="U1019">
        <v>4.4669857676747828E-3</v>
      </c>
      <c r="V1019">
        <v>0</v>
      </c>
      <c r="W1019">
        <v>5.1314634679882391E-2</v>
      </c>
      <c r="X1019">
        <v>0</v>
      </c>
      <c r="Y1019">
        <v>0.10547954413362522</v>
      </c>
      <c r="Z1019">
        <v>7.1633701560811391E-2</v>
      </c>
      <c r="AA1019">
        <v>6.8312119888988831E-2</v>
      </c>
      <c r="AB1019">
        <v>0</v>
      </c>
      <c r="AC1019">
        <v>7.0653408480500293E-2</v>
      </c>
      <c r="AD1019">
        <v>0</v>
      </c>
      <c r="AE1019">
        <v>0.78310765169451602</v>
      </c>
      <c r="AF1019">
        <v>0</v>
      </c>
      <c r="AG1019">
        <v>0</v>
      </c>
      <c r="AH1019">
        <v>0</v>
      </c>
      <c r="AI1019">
        <v>6.2931183751834324E-3</v>
      </c>
      <c r="AJ1019">
        <v>0</v>
      </c>
    </row>
    <row r="1020" spans="1:36" hidden="1" x14ac:dyDescent="0.25">
      <c r="A1020" t="s">
        <v>128</v>
      </c>
      <c r="C1020" t="s">
        <v>110</v>
      </c>
      <c r="D1020" s="12">
        <v>46233</v>
      </c>
      <c r="G1020">
        <v>108.11390769279409</v>
      </c>
      <c r="H1020">
        <v>190.00000000000003</v>
      </c>
      <c r="J1020">
        <v>190.00000000000003</v>
      </c>
      <c r="M1020">
        <v>108.52765794785404</v>
      </c>
      <c r="Q1020">
        <v>2.9597770169848971E-2</v>
      </c>
      <c r="R1020">
        <v>0</v>
      </c>
      <c r="S1020">
        <v>0.7691667639797708</v>
      </c>
      <c r="T1020">
        <v>0</v>
      </c>
      <c r="U1020">
        <v>2.5460992186136719E-3</v>
      </c>
      <c r="V1020">
        <v>6.3314756831649556E-3</v>
      </c>
      <c r="W1020">
        <v>6.2258052765306417E-2</v>
      </c>
      <c r="X1020">
        <v>0</v>
      </c>
      <c r="Y1020">
        <v>7.1666973327270192E-2</v>
      </c>
      <c r="Z1020">
        <v>9.7958173349971714E-2</v>
      </c>
      <c r="AA1020">
        <v>5.0273994006624988E-2</v>
      </c>
      <c r="AB1020">
        <v>0</v>
      </c>
      <c r="AC1020">
        <v>4.595070424357052E-2</v>
      </c>
      <c r="AD1020">
        <v>0</v>
      </c>
      <c r="AE1020">
        <v>0.77263345630235059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hidden="1" x14ac:dyDescent="0.25">
      <c r="A1021" t="s">
        <v>128</v>
      </c>
      <c r="C1021" t="s">
        <v>110</v>
      </c>
      <c r="D1021" s="12">
        <v>46234</v>
      </c>
      <c r="G1021">
        <v>108.02525332055359</v>
      </c>
      <c r="H1021">
        <v>195.7</v>
      </c>
      <c r="J1021">
        <v>195.7</v>
      </c>
      <c r="M1021">
        <v>107.79816717128026</v>
      </c>
      <c r="Q1021">
        <v>3.1366157056483372E-2</v>
      </c>
      <c r="R1021">
        <v>0</v>
      </c>
      <c r="S1021">
        <v>0.81030467415918961</v>
      </c>
      <c r="T1021">
        <v>0</v>
      </c>
      <c r="U1021">
        <v>0</v>
      </c>
      <c r="V1021">
        <v>0</v>
      </c>
      <c r="W1021">
        <v>6.2302679518672965E-2</v>
      </c>
      <c r="X1021">
        <v>0</v>
      </c>
      <c r="Y1021">
        <v>6.6681544006225543E-2</v>
      </c>
      <c r="Z1021">
        <v>9.0065544404038272E-2</v>
      </c>
      <c r="AA1021">
        <v>4.6404160418730522E-2</v>
      </c>
      <c r="AB1021">
        <v>0</v>
      </c>
      <c r="AC1021">
        <v>5.2441855222228384E-2</v>
      </c>
      <c r="AD1021">
        <v>0</v>
      </c>
      <c r="AE1021">
        <v>0.81108843995500279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hidden="1" x14ac:dyDescent="0.25">
      <c r="A1022" t="s">
        <v>128</v>
      </c>
      <c r="C1022" t="s">
        <v>110</v>
      </c>
      <c r="D1022" s="12">
        <v>46235</v>
      </c>
      <c r="G1022">
        <v>99.367752964205451</v>
      </c>
      <c r="H1022">
        <v>168.14999999999995</v>
      </c>
      <c r="J1022">
        <v>168.14999999999995</v>
      </c>
      <c r="M1022">
        <v>103.87512435121107</v>
      </c>
      <c r="Q1022">
        <v>1.9097958908457151E-2</v>
      </c>
      <c r="R1022">
        <v>0</v>
      </c>
      <c r="S1022">
        <v>0.67231133901232021</v>
      </c>
      <c r="T1022">
        <v>0</v>
      </c>
      <c r="U1022">
        <v>5.7313964805891281E-3</v>
      </c>
      <c r="V1022">
        <v>0</v>
      </c>
      <c r="W1022">
        <v>5.8021094273507857E-2</v>
      </c>
      <c r="X1022">
        <v>0</v>
      </c>
      <c r="Y1022">
        <v>6.9828814410379178E-2</v>
      </c>
      <c r="Z1022">
        <v>0.11941968329050902</v>
      </c>
      <c r="AA1022">
        <v>4.2076311815834717E-2</v>
      </c>
      <c r="AB1022">
        <v>0</v>
      </c>
      <c r="AC1022">
        <v>1.5540887499307201E-2</v>
      </c>
      <c r="AD1022">
        <v>0</v>
      </c>
      <c r="AE1022">
        <v>0.82296311739434924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hidden="1" x14ac:dyDescent="0.25">
      <c r="A1023" t="s">
        <v>128</v>
      </c>
      <c r="C1023" t="s">
        <v>110</v>
      </c>
      <c r="D1023" s="12">
        <v>46236</v>
      </c>
      <c r="G1023">
        <v>98.69117734049469</v>
      </c>
      <c r="H1023">
        <v>203.29999999999995</v>
      </c>
      <c r="J1023">
        <v>203.29999999999995</v>
      </c>
      <c r="M1023">
        <v>100.62235618512108</v>
      </c>
      <c r="Q1023">
        <v>5.8401109414981589E-3</v>
      </c>
      <c r="R1023">
        <v>0</v>
      </c>
      <c r="S1023">
        <v>0.95368009176329416</v>
      </c>
      <c r="T1023">
        <v>0</v>
      </c>
      <c r="U1023">
        <v>2.2364285922694795E-3</v>
      </c>
      <c r="V1023">
        <v>0</v>
      </c>
      <c r="W1023">
        <v>7.3025711188796846E-2</v>
      </c>
      <c r="X1023">
        <v>0</v>
      </c>
      <c r="Y1023">
        <v>0.11791459212812194</v>
      </c>
      <c r="Z1023">
        <v>8.5111530424634291E-2</v>
      </c>
      <c r="AA1023">
        <v>5.9539976370740703E-2</v>
      </c>
      <c r="AB1023">
        <v>0</v>
      </c>
      <c r="AC1023">
        <v>2.2259612829570074E-2</v>
      </c>
      <c r="AD1023">
        <v>0</v>
      </c>
      <c r="AE1023">
        <v>0.83308888037505491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hidden="1" x14ac:dyDescent="0.25">
      <c r="A1024" t="s">
        <v>128</v>
      </c>
      <c r="C1024" t="s">
        <v>110</v>
      </c>
      <c r="D1024" s="12">
        <v>46237</v>
      </c>
      <c r="G1024">
        <v>106.16277953772666</v>
      </c>
      <c r="H1024">
        <v>139.64999999999998</v>
      </c>
      <c r="J1024">
        <v>139.64999999999998</v>
      </c>
      <c r="M1024">
        <v>106.61987456747401</v>
      </c>
      <c r="Q1024">
        <v>4.733313263517535E-2</v>
      </c>
      <c r="R1024">
        <v>0</v>
      </c>
      <c r="S1024">
        <v>0.48358356995613333</v>
      </c>
      <c r="T1024">
        <v>0</v>
      </c>
      <c r="U1024">
        <v>2.5579739833229177E-3</v>
      </c>
      <c r="V1024">
        <v>0</v>
      </c>
      <c r="W1024">
        <v>3.9591910198727216E-2</v>
      </c>
      <c r="X1024">
        <v>0</v>
      </c>
      <c r="Y1024">
        <v>7.257520280619742E-2</v>
      </c>
      <c r="Z1024">
        <v>0.15419100902754895</v>
      </c>
      <c r="AA1024">
        <v>7.0114436567766544E-2</v>
      </c>
      <c r="AB1024">
        <v>0</v>
      </c>
      <c r="AC1024">
        <v>1.6627458873242004E-2</v>
      </c>
      <c r="AD1024">
        <v>0</v>
      </c>
      <c r="AE1024">
        <v>0.70049666211160511</v>
      </c>
      <c r="AF1024">
        <v>0</v>
      </c>
      <c r="AG1024">
        <v>0</v>
      </c>
      <c r="AH1024">
        <v>0</v>
      </c>
      <c r="AI1024">
        <v>5.8570433419837212E-2</v>
      </c>
      <c r="AJ1024">
        <v>0</v>
      </c>
    </row>
    <row r="1025" spans="1:36" hidden="1" x14ac:dyDescent="0.25">
      <c r="A1025" t="s">
        <v>128</v>
      </c>
      <c r="C1025" t="s">
        <v>110</v>
      </c>
      <c r="D1025" s="12">
        <v>46238</v>
      </c>
      <c r="G1025">
        <v>108.56788137426898</v>
      </c>
      <c r="H1025">
        <v>186.19999999999996</v>
      </c>
      <c r="J1025">
        <v>186.19999999999996</v>
      </c>
      <c r="M1025">
        <v>111.15083141099575</v>
      </c>
      <c r="Q1025">
        <v>3.9369663349863818E-2</v>
      </c>
      <c r="R1025">
        <v>0</v>
      </c>
      <c r="S1025">
        <v>0.8645971226531548</v>
      </c>
      <c r="T1025">
        <v>0</v>
      </c>
      <c r="U1025">
        <v>5.16849827659264E-3</v>
      </c>
      <c r="V1025">
        <v>0</v>
      </c>
      <c r="W1025">
        <v>6.1618454992977523E-2</v>
      </c>
      <c r="X1025">
        <v>0</v>
      </c>
      <c r="Y1025">
        <v>6.5487893366245817E-2</v>
      </c>
      <c r="Z1025">
        <v>0.16233261994919221</v>
      </c>
      <c r="AA1025">
        <v>7.5506923197646528E-2</v>
      </c>
      <c r="AB1025">
        <v>0</v>
      </c>
      <c r="AC1025">
        <v>8.3884128226280365E-3</v>
      </c>
      <c r="AD1025">
        <v>0</v>
      </c>
      <c r="AE1025">
        <v>0.7097956514321313</v>
      </c>
      <c r="AF1025">
        <v>0</v>
      </c>
      <c r="AG1025">
        <v>0</v>
      </c>
      <c r="AH1025">
        <v>0</v>
      </c>
      <c r="AI1025">
        <v>4.3976392598401873E-2</v>
      </c>
      <c r="AJ1025">
        <v>0</v>
      </c>
    </row>
    <row r="1026" spans="1:36" hidden="1" x14ac:dyDescent="0.25">
      <c r="A1026" t="s">
        <v>128</v>
      </c>
      <c r="C1026" t="s">
        <v>110</v>
      </c>
      <c r="D1026" s="12">
        <v>46239</v>
      </c>
      <c r="G1026">
        <v>108.4629062197255</v>
      </c>
      <c r="H1026">
        <v>170.99999999999997</v>
      </c>
      <c r="J1026">
        <v>170.99999999999997</v>
      </c>
      <c r="M1026">
        <v>108.06932840374381</v>
      </c>
      <c r="Q1026">
        <v>2.7487817899123627E-2</v>
      </c>
      <c r="R1026">
        <v>0</v>
      </c>
      <c r="S1026">
        <v>0.74325203255584604</v>
      </c>
      <c r="T1026">
        <v>0</v>
      </c>
      <c r="U1026">
        <v>1.0483820508329375E-2</v>
      </c>
      <c r="V1026">
        <v>0</v>
      </c>
      <c r="W1026">
        <v>5.1475920047686273E-2</v>
      </c>
      <c r="X1026">
        <v>0</v>
      </c>
      <c r="Y1026">
        <v>8.331231567702034E-2</v>
      </c>
      <c r="Z1026">
        <v>0.224920614261928</v>
      </c>
      <c r="AA1026">
        <v>8.0702739663859255E-2</v>
      </c>
      <c r="AB1026">
        <v>0</v>
      </c>
      <c r="AC1026">
        <v>1.2373504668314911E-2</v>
      </c>
      <c r="AD1026">
        <v>0</v>
      </c>
      <c r="AE1026">
        <v>0.67567826975622336</v>
      </c>
      <c r="AF1026">
        <v>0</v>
      </c>
      <c r="AG1026">
        <v>0</v>
      </c>
      <c r="AH1026">
        <v>0</v>
      </c>
      <c r="AI1026">
        <v>6.3248716496742347E-3</v>
      </c>
      <c r="AJ1026">
        <v>0</v>
      </c>
    </row>
    <row r="1027" spans="1:36" hidden="1" x14ac:dyDescent="0.25">
      <c r="A1027" t="s">
        <v>128</v>
      </c>
      <c r="C1027" t="s">
        <v>110</v>
      </c>
      <c r="D1027" s="12">
        <v>46240</v>
      </c>
      <c r="G1027">
        <v>109.21611428952843</v>
      </c>
      <c r="H1027">
        <v>190</v>
      </c>
      <c r="J1027">
        <v>190</v>
      </c>
      <c r="M1027">
        <v>100.85627542038486</v>
      </c>
      <c r="Q1027">
        <v>2.9769557734554662E-2</v>
      </c>
      <c r="R1027">
        <v>0</v>
      </c>
      <c r="S1027">
        <v>0.896144945928666</v>
      </c>
      <c r="T1027">
        <v>0</v>
      </c>
      <c r="U1027">
        <v>0</v>
      </c>
      <c r="V1027">
        <v>0</v>
      </c>
      <c r="W1027">
        <v>3.8274823539541279E-2</v>
      </c>
      <c r="X1027">
        <v>0</v>
      </c>
      <c r="Y1027">
        <v>0.10222258458962663</v>
      </c>
      <c r="Z1027">
        <v>0.1622830411963119</v>
      </c>
      <c r="AA1027">
        <v>0.12185716813742131</v>
      </c>
      <c r="AB1027">
        <v>0</v>
      </c>
      <c r="AC1027">
        <v>2.6803216211996432E-2</v>
      </c>
      <c r="AD1027">
        <v>0</v>
      </c>
      <c r="AE1027">
        <v>0.67622445219879579</v>
      </c>
      <c r="AF1027">
        <v>0</v>
      </c>
      <c r="AG1027">
        <v>0</v>
      </c>
      <c r="AH1027">
        <v>0</v>
      </c>
      <c r="AI1027">
        <v>1.2832122255474457E-2</v>
      </c>
      <c r="AJ1027">
        <v>0</v>
      </c>
    </row>
    <row r="1028" spans="1:36" hidden="1" x14ac:dyDescent="0.25">
      <c r="A1028" t="s">
        <v>128</v>
      </c>
      <c r="C1028" t="s">
        <v>110</v>
      </c>
      <c r="D1028" s="12">
        <v>46241</v>
      </c>
      <c r="G1028">
        <v>108.33051344890895</v>
      </c>
      <c r="H1028">
        <v>169.1</v>
      </c>
      <c r="J1028">
        <v>169.1</v>
      </c>
      <c r="M1028">
        <v>100.05973904267587</v>
      </c>
      <c r="Q1028">
        <v>3.2093004029465029E-2</v>
      </c>
      <c r="R1028">
        <v>0</v>
      </c>
      <c r="S1028">
        <v>0.76866676470346351</v>
      </c>
      <c r="T1028">
        <v>0</v>
      </c>
      <c r="U1028">
        <v>0</v>
      </c>
      <c r="V1028">
        <v>0</v>
      </c>
      <c r="W1028">
        <v>3.9512217314405816E-2</v>
      </c>
      <c r="X1028">
        <v>0</v>
      </c>
      <c r="Y1028">
        <v>6.8084309006958318E-2</v>
      </c>
      <c r="Z1028">
        <v>0.18536680863387295</v>
      </c>
      <c r="AA1028">
        <v>0.12993277404712542</v>
      </c>
      <c r="AB1028">
        <v>0</v>
      </c>
      <c r="AC1028">
        <v>1.8020044505668052E-2</v>
      </c>
      <c r="AD1028">
        <v>0</v>
      </c>
      <c r="AE1028">
        <v>0.66668037281333381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hidden="1" x14ac:dyDescent="0.25">
      <c r="A1029" t="s">
        <v>128</v>
      </c>
      <c r="C1029" t="s">
        <v>110</v>
      </c>
      <c r="D1029" s="12">
        <v>46242</v>
      </c>
      <c r="G1029">
        <v>98.295388816496342</v>
      </c>
      <c r="H1029">
        <v>153.9</v>
      </c>
      <c r="J1029">
        <v>153.9</v>
      </c>
      <c r="M1029">
        <v>101.93823529411762</v>
      </c>
      <c r="Q1029">
        <v>4.2885190323268589E-2</v>
      </c>
      <c r="R1029">
        <v>0</v>
      </c>
      <c r="S1029">
        <v>0.68993701144550867</v>
      </c>
      <c r="T1029">
        <v>0</v>
      </c>
      <c r="U1029">
        <v>1.8715556404164907E-3</v>
      </c>
      <c r="V1029">
        <v>0</v>
      </c>
      <c r="W1029">
        <v>4.1639298272947822E-2</v>
      </c>
      <c r="X1029">
        <v>0</v>
      </c>
      <c r="Y1029">
        <v>7.7081241142454557E-2</v>
      </c>
      <c r="Z1029">
        <v>0.13876057697295913</v>
      </c>
      <c r="AA1029">
        <v>6.7515788777458577E-2</v>
      </c>
      <c r="AB1029">
        <v>0</v>
      </c>
      <c r="AC1029">
        <v>2.1668928345220002E-3</v>
      </c>
      <c r="AD1029">
        <v>0</v>
      </c>
      <c r="AE1029">
        <v>0.75299290889269033</v>
      </c>
      <c r="AF1029">
        <v>0</v>
      </c>
      <c r="AG1029">
        <v>0</v>
      </c>
      <c r="AH1029">
        <v>0</v>
      </c>
      <c r="AI1029">
        <v>3.8563832522369966E-2</v>
      </c>
      <c r="AJ1029">
        <v>0</v>
      </c>
    </row>
    <row r="1030" spans="1:36" hidden="1" x14ac:dyDescent="0.25">
      <c r="A1030" t="s">
        <v>128</v>
      </c>
      <c r="C1030" t="s">
        <v>110</v>
      </c>
      <c r="D1030" s="12">
        <v>46243</v>
      </c>
      <c r="G1030">
        <v>100.32322811286423</v>
      </c>
      <c r="H1030">
        <v>183.35000000000002</v>
      </c>
      <c r="J1030">
        <v>183.35000000000002</v>
      </c>
      <c r="M1030">
        <v>103.70250865051904</v>
      </c>
      <c r="Q1030">
        <v>3.8375634761063447E-2</v>
      </c>
      <c r="R1030">
        <v>0</v>
      </c>
      <c r="S1030">
        <v>0.93819940249458877</v>
      </c>
      <c r="T1030">
        <v>0</v>
      </c>
      <c r="U1030">
        <v>3.3713856809004282E-3</v>
      </c>
      <c r="V1030">
        <v>0</v>
      </c>
      <c r="W1030">
        <v>4.8055081961510149E-2</v>
      </c>
      <c r="X1030">
        <v>0</v>
      </c>
      <c r="Y1030">
        <v>6.8545191242739292E-2</v>
      </c>
      <c r="Z1030">
        <v>0.17090030927372479</v>
      </c>
      <c r="AA1030">
        <v>6.464723838572059E-2</v>
      </c>
      <c r="AB1030">
        <v>0</v>
      </c>
      <c r="AC1030">
        <v>1.3062045683678065E-2</v>
      </c>
      <c r="AD1030">
        <v>0</v>
      </c>
      <c r="AE1030">
        <v>0.73742081499606549</v>
      </c>
      <c r="AF1030">
        <v>0</v>
      </c>
      <c r="AG1030">
        <v>0</v>
      </c>
      <c r="AH1030">
        <v>0</v>
      </c>
      <c r="AI1030">
        <v>1.3969591660810918E-2</v>
      </c>
      <c r="AJ1030">
        <v>0</v>
      </c>
    </row>
    <row r="1031" spans="1:36" hidden="1" x14ac:dyDescent="0.25">
      <c r="A1031" t="s">
        <v>128</v>
      </c>
      <c r="C1031" t="s">
        <v>110</v>
      </c>
      <c r="D1031" s="12">
        <v>46244</v>
      </c>
      <c r="G1031">
        <v>102.68637148728047</v>
      </c>
      <c r="H1031">
        <v>138.69999999999999</v>
      </c>
      <c r="J1031">
        <v>138.69999999999999</v>
      </c>
      <c r="M1031">
        <v>104.47674812572087</v>
      </c>
      <c r="Q1031">
        <v>5.1025941033822478E-2</v>
      </c>
      <c r="R1031">
        <v>0</v>
      </c>
      <c r="S1031">
        <v>0.4834299199712192</v>
      </c>
      <c r="T1031">
        <v>0</v>
      </c>
      <c r="U1031">
        <v>0</v>
      </c>
      <c r="V1031">
        <v>0</v>
      </c>
      <c r="W1031">
        <v>5.6941601778393594E-2</v>
      </c>
      <c r="X1031">
        <v>0</v>
      </c>
      <c r="Y1031">
        <v>6.3822986415639646E-2</v>
      </c>
      <c r="Z1031">
        <v>0.15969537217560584</v>
      </c>
      <c r="AA1031">
        <v>8.334756550098088E-2</v>
      </c>
      <c r="AB1031">
        <v>0</v>
      </c>
      <c r="AC1031">
        <v>1.6821890284886627E-2</v>
      </c>
      <c r="AD1031">
        <v>0</v>
      </c>
      <c r="AE1031">
        <v>0.729698384739765</v>
      </c>
      <c r="AF1031">
        <v>0</v>
      </c>
      <c r="AG1031">
        <v>0</v>
      </c>
      <c r="AH1031">
        <v>0</v>
      </c>
      <c r="AI1031">
        <v>1.0436787298761652E-2</v>
      </c>
      <c r="AJ1031">
        <v>0</v>
      </c>
    </row>
    <row r="1032" spans="1:36" hidden="1" x14ac:dyDescent="0.25">
      <c r="A1032" t="s">
        <v>128</v>
      </c>
      <c r="C1032" t="s">
        <v>110</v>
      </c>
      <c r="D1032" s="12">
        <v>46245</v>
      </c>
      <c r="G1032">
        <v>108.57513630442882</v>
      </c>
      <c r="H1032">
        <v>192.85</v>
      </c>
      <c r="J1032">
        <v>192.85</v>
      </c>
      <c r="M1032">
        <v>105.18517156862747</v>
      </c>
      <c r="Q1032">
        <v>4.1621097727237197E-2</v>
      </c>
      <c r="R1032">
        <v>0</v>
      </c>
      <c r="S1032">
        <v>0.94616127427973906</v>
      </c>
      <c r="T1032">
        <v>0</v>
      </c>
      <c r="U1032">
        <v>0</v>
      </c>
      <c r="V1032">
        <v>0</v>
      </c>
      <c r="W1032">
        <v>4.3405310477190033E-2</v>
      </c>
      <c r="X1032">
        <v>0</v>
      </c>
      <c r="Y1032">
        <v>9.1101378926112558E-2</v>
      </c>
      <c r="Z1032">
        <v>0.15133527478187511</v>
      </c>
      <c r="AA1032">
        <v>0.10916989195305553</v>
      </c>
      <c r="AB1032">
        <v>0</v>
      </c>
      <c r="AC1032">
        <v>8.6085331701315059E-3</v>
      </c>
      <c r="AD1032">
        <v>0</v>
      </c>
      <c r="AE1032">
        <v>0.686912845974606</v>
      </c>
      <c r="AF1032">
        <v>0</v>
      </c>
      <c r="AG1032">
        <v>0</v>
      </c>
      <c r="AH1032">
        <v>0</v>
      </c>
      <c r="AI1032">
        <v>4.3973454120331816E-2</v>
      </c>
      <c r="AJ1032">
        <v>0</v>
      </c>
    </row>
    <row r="1033" spans="1:36" hidden="1" x14ac:dyDescent="0.25">
      <c r="A1033" t="s">
        <v>128</v>
      </c>
      <c r="C1033" t="s">
        <v>110</v>
      </c>
      <c r="D1033" s="12">
        <v>46246</v>
      </c>
      <c r="G1033">
        <v>109.01017900690942</v>
      </c>
      <c r="H1033">
        <v>168.14999999999998</v>
      </c>
      <c r="J1033">
        <v>168.14999999999998</v>
      </c>
      <c r="M1033">
        <v>101.39213523644749</v>
      </c>
      <c r="Q1033">
        <v>3.2867112826874094E-2</v>
      </c>
      <c r="R1033">
        <v>0</v>
      </c>
      <c r="S1033">
        <v>0.70512162661603484</v>
      </c>
      <c r="T1033">
        <v>0</v>
      </c>
      <c r="U1033">
        <v>0</v>
      </c>
      <c r="V1033">
        <v>0</v>
      </c>
      <c r="W1033">
        <v>2.5353554766469187E-2</v>
      </c>
      <c r="X1033">
        <v>0</v>
      </c>
      <c r="Y1033">
        <v>0.10900924681429151</v>
      </c>
      <c r="Z1033">
        <v>0.15660385068945953</v>
      </c>
      <c r="AA1033">
        <v>9.6445279197580155E-2</v>
      </c>
      <c r="AB1033">
        <v>0</v>
      </c>
      <c r="AC1033">
        <v>3.1659172092504607E-2</v>
      </c>
      <c r="AD1033">
        <v>0</v>
      </c>
      <c r="AE1033">
        <v>0.66265811917583595</v>
      </c>
      <c r="AF1033">
        <v>0</v>
      </c>
      <c r="AG1033">
        <v>0</v>
      </c>
      <c r="AH1033">
        <v>0</v>
      </c>
      <c r="AI1033">
        <v>5.2633578844619618E-2</v>
      </c>
      <c r="AJ1033">
        <v>0</v>
      </c>
    </row>
    <row r="1034" spans="1:36" hidden="1" x14ac:dyDescent="0.25">
      <c r="A1034" t="s">
        <v>128</v>
      </c>
      <c r="C1034" t="s">
        <v>110</v>
      </c>
      <c r="D1034" s="12">
        <v>46247</v>
      </c>
      <c r="G1034">
        <v>108.11390769279407</v>
      </c>
      <c r="H1034">
        <v>189.99999999999997</v>
      </c>
      <c r="J1034">
        <v>189.99999999999997</v>
      </c>
      <c r="M1034">
        <v>105.55077494232987</v>
      </c>
      <c r="Q1034">
        <v>2.5077418948179397E-2</v>
      </c>
      <c r="R1034">
        <v>0</v>
      </c>
      <c r="S1034">
        <v>0.91671959388422297</v>
      </c>
      <c r="T1034">
        <v>0</v>
      </c>
      <c r="U1034">
        <v>0</v>
      </c>
      <c r="V1034">
        <v>0</v>
      </c>
      <c r="W1034">
        <v>3.2081805223427434E-2</v>
      </c>
      <c r="X1034">
        <v>0</v>
      </c>
      <c r="Y1034">
        <v>9.5684935300466123E-2</v>
      </c>
      <c r="Z1034">
        <v>0.17566670162761466</v>
      </c>
      <c r="AA1034">
        <v>6.7472683405930919E-2</v>
      </c>
      <c r="AB1034">
        <v>0</v>
      </c>
      <c r="AC1034">
        <v>1.6466746412178667E-2</v>
      </c>
      <c r="AD1034">
        <v>0</v>
      </c>
      <c r="AE1034">
        <v>0.68766561250439728</v>
      </c>
      <c r="AF1034">
        <v>0</v>
      </c>
      <c r="AG1034">
        <v>0</v>
      </c>
      <c r="AH1034">
        <v>0</v>
      </c>
      <c r="AI1034">
        <v>5.2728256049878394E-2</v>
      </c>
      <c r="AJ1034">
        <v>0</v>
      </c>
    </row>
    <row r="1035" spans="1:36" hidden="1" x14ac:dyDescent="0.25">
      <c r="A1035" t="s">
        <v>128</v>
      </c>
      <c r="C1035" t="s">
        <v>110</v>
      </c>
      <c r="D1035" s="12">
        <v>46248</v>
      </c>
      <c r="G1035">
        <v>108.0252533205536</v>
      </c>
      <c r="H1035">
        <v>199.49999999999997</v>
      </c>
      <c r="J1035">
        <v>199.49999999999997</v>
      </c>
      <c r="M1035">
        <v>101.64776888696656</v>
      </c>
      <c r="Q1035">
        <v>1.3333520518544459E-2</v>
      </c>
      <c r="R1035">
        <v>0</v>
      </c>
      <c r="S1035">
        <v>0.98683136538737504</v>
      </c>
      <c r="T1035">
        <v>0</v>
      </c>
      <c r="U1035">
        <v>0</v>
      </c>
      <c r="V1035">
        <v>0</v>
      </c>
      <c r="W1035">
        <v>3.767554734102857E-2</v>
      </c>
      <c r="X1035">
        <v>0</v>
      </c>
      <c r="Y1035">
        <v>0.11277157396228081</v>
      </c>
      <c r="Z1035">
        <v>0.16121150414154281</v>
      </c>
      <c r="AA1035">
        <v>9.2834161693906986E-2</v>
      </c>
      <c r="AB1035">
        <v>0</v>
      </c>
      <c r="AC1035">
        <v>1.8749394054785897E-2</v>
      </c>
      <c r="AD1035">
        <v>0</v>
      </c>
      <c r="AE1035">
        <v>0.68196827197655741</v>
      </c>
      <c r="AF1035">
        <v>0</v>
      </c>
      <c r="AG1035">
        <v>0</v>
      </c>
      <c r="AH1035">
        <v>0</v>
      </c>
      <c r="AI1035">
        <v>4.5236668133206849E-2</v>
      </c>
      <c r="AJ1035">
        <v>0</v>
      </c>
    </row>
    <row r="1036" spans="1:36" hidden="1" x14ac:dyDescent="0.25">
      <c r="A1036" t="s">
        <v>128</v>
      </c>
      <c r="C1036" t="s">
        <v>110</v>
      </c>
      <c r="D1036" s="12">
        <v>46249</v>
      </c>
      <c r="G1036">
        <v>99.367752964205437</v>
      </c>
      <c r="H1036">
        <v>151.05000000000001</v>
      </c>
      <c r="J1036">
        <v>151.05000000000001</v>
      </c>
      <c r="M1036">
        <v>100.19060067041519</v>
      </c>
      <c r="Q1036">
        <v>3.2740837074957875E-2</v>
      </c>
      <c r="R1036">
        <v>0</v>
      </c>
      <c r="S1036">
        <v>0.63830995781921762</v>
      </c>
      <c r="T1036">
        <v>0</v>
      </c>
      <c r="U1036">
        <v>0</v>
      </c>
      <c r="V1036">
        <v>0</v>
      </c>
      <c r="W1036">
        <v>4.1329800253246674E-2</v>
      </c>
      <c r="X1036">
        <v>0</v>
      </c>
      <c r="Y1036">
        <v>8.2994129204422132E-2</v>
      </c>
      <c r="Z1036">
        <v>0.16829878919285174</v>
      </c>
      <c r="AA1036">
        <v>6.0120325352405822E-2</v>
      </c>
      <c r="AB1036">
        <v>0</v>
      </c>
      <c r="AC1036">
        <v>1.691706269542061E-2</v>
      </c>
      <c r="AD1036">
        <v>0</v>
      </c>
      <c r="AE1036">
        <v>0.74055990585444897</v>
      </c>
      <c r="AF1036">
        <v>0</v>
      </c>
      <c r="AG1036">
        <v>0</v>
      </c>
      <c r="AH1036">
        <v>0</v>
      </c>
      <c r="AI1036">
        <v>1.4103916904872985E-2</v>
      </c>
      <c r="AJ1036">
        <v>0</v>
      </c>
    </row>
    <row r="1037" spans="1:36" hidden="1" x14ac:dyDescent="0.25">
      <c r="A1037" t="s">
        <v>128</v>
      </c>
      <c r="C1037" t="s">
        <v>110</v>
      </c>
      <c r="D1037" s="12">
        <v>46250</v>
      </c>
      <c r="G1037">
        <v>98.69117734049469</v>
      </c>
      <c r="H1037">
        <v>130.14999999999998</v>
      </c>
      <c r="J1037">
        <v>130.14999999999998</v>
      </c>
      <c r="M1037">
        <v>99.624856725778542</v>
      </c>
      <c r="Q1037">
        <v>3.4079715754557975E-2</v>
      </c>
      <c r="R1037">
        <v>0</v>
      </c>
      <c r="S1037">
        <v>0.42330633008111263</v>
      </c>
      <c r="T1037">
        <v>0</v>
      </c>
      <c r="U1037">
        <v>3.3796076911187059E-3</v>
      </c>
      <c r="V1037">
        <v>0</v>
      </c>
      <c r="W1037">
        <v>4.9403704499223454E-2</v>
      </c>
      <c r="X1037">
        <v>0</v>
      </c>
      <c r="Y1037">
        <v>7.6618170758569124E-2</v>
      </c>
      <c r="Z1037">
        <v>0.16459493817244214</v>
      </c>
      <c r="AA1037">
        <v>6.4778023148977598E-2</v>
      </c>
      <c r="AB1037">
        <v>0</v>
      </c>
      <c r="AC1037">
        <v>2.3949078956320594E-2</v>
      </c>
      <c r="AD1037">
        <v>0</v>
      </c>
      <c r="AE1037">
        <v>0.73247735366407196</v>
      </c>
      <c r="AF1037">
        <v>0</v>
      </c>
      <c r="AG1037">
        <v>0</v>
      </c>
      <c r="AH1037">
        <v>0</v>
      </c>
      <c r="AI1037">
        <v>1.420060605818764E-2</v>
      </c>
      <c r="AJ1037">
        <v>0</v>
      </c>
    </row>
    <row r="1038" spans="1:36" hidden="1" x14ac:dyDescent="0.25">
      <c r="A1038" t="s">
        <v>128</v>
      </c>
      <c r="C1038" t="s">
        <v>115</v>
      </c>
      <c r="D1038" s="12"/>
      <c r="G1038">
        <v>2947.6571798323689</v>
      </c>
      <c r="H1038">
        <v>5098.6500000000151</v>
      </c>
      <c r="J1038">
        <v>5098.6500000000151</v>
      </c>
      <c r="M1038">
        <v>2898.7896630427117</v>
      </c>
      <c r="Q1038">
        <v>2.7372770654882174E-2</v>
      </c>
      <c r="R1038">
        <v>0</v>
      </c>
      <c r="S1038">
        <v>0.78487552258129611</v>
      </c>
      <c r="T1038">
        <v>0</v>
      </c>
      <c r="U1038">
        <v>6.0017466488234798E-3</v>
      </c>
      <c r="V1038">
        <v>7.4297215571826527E-4</v>
      </c>
      <c r="W1038">
        <v>4.977131851581032E-2</v>
      </c>
      <c r="X1038">
        <v>0</v>
      </c>
      <c r="Y1038">
        <v>9.1090152132501739E-2</v>
      </c>
      <c r="Z1038">
        <v>0.12401699815356741</v>
      </c>
      <c r="AA1038">
        <v>7.187941192596832E-2</v>
      </c>
      <c r="AB1038">
        <v>0</v>
      </c>
      <c r="AC1038">
        <v>3.4157503921987527E-2</v>
      </c>
      <c r="AD1038">
        <v>0</v>
      </c>
      <c r="AE1038">
        <v>0.75034742688326572</v>
      </c>
      <c r="AF1038">
        <v>0</v>
      </c>
      <c r="AG1038">
        <v>0</v>
      </c>
      <c r="AH1038">
        <v>0</v>
      </c>
      <c r="AI1038">
        <v>1.5136803151309055E-2</v>
      </c>
      <c r="AJ1038">
        <v>0</v>
      </c>
    </row>
    <row r="1039" spans="1:36" hidden="1" x14ac:dyDescent="0.25">
      <c r="A1039" t="s">
        <v>128</v>
      </c>
      <c r="B1039" t="s">
        <v>372</v>
      </c>
      <c r="C1039" t="s">
        <v>116</v>
      </c>
      <c r="D1039" s="12"/>
      <c r="G1039">
        <v>1198.0447894349427</v>
      </c>
      <c r="H1039">
        <v>1273.9499999999996</v>
      </c>
      <c r="J1039">
        <v>1273.9499999999996</v>
      </c>
      <c r="M1039">
        <v>1233.1839574110115</v>
      </c>
      <c r="Q1039">
        <v>5.6236234305708954E-2</v>
      </c>
      <c r="R1039">
        <v>0</v>
      </c>
      <c r="S1039">
        <v>0.14845882310833897</v>
      </c>
      <c r="T1039">
        <v>0</v>
      </c>
      <c r="U1039">
        <v>1.0016721586043706E-4</v>
      </c>
      <c r="V1039">
        <v>1.8280011135905884E-3</v>
      </c>
      <c r="W1039">
        <v>2.1997202309460989E-2</v>
      </c>
      <c r="X1039">
        <v>0</v>
      </c>
      <c r="Y1039">
        <v>5.6029283716739986E-2</v>
      </c>
      <c r="Z1039">
        <v>0.11906035067907218</v>
      </c>
      <c r="AA1039">
        <v>3.5087562112301747E-2</v>
      </c>
      <c r="AB1039">
        <v>0</v>
      </c>
      <c r="AC1039">
        <v>1.3915612434329875E-2</v>
      </c>
      <c r="AD1039">
        <v>0</v>
      </c>
      <c r="AE1039">
        <v>0.80394899293783983</v>
      </c>
      <c r="AF1039">
        <v>0</v>
      </c>
      <c r="AG1039">
        <v>0</v>
      </c>
      <c r="AH1039">
        <v>0</v>
      </c>
      <c r="AI1039">
        <v>1.7009576933939247E-2</v>
      </c>
      <c r="AJ1039">
        <v>0</v>
      </c>
    </row>
    <row r="1040" spans="1:36" hidden="1" x14ac:dyDescent="0.25">
      <c r="A1040" t="s">
        <v>128</v>
      </c>
      <c r="B1040" t="s">
        <v>502</v>
      </c>
      <c r="C1040" t="s">
        <v>116</v>
      </c>
      <c r="D1040" s="12"/>
      <c r="G1040">
        <v>934.6252383985136</v>
      </c>
      <c r="H1040">
        <v>1912.3499999999992</v>
      </c>
      <c r="J1040">
        <v>1912.3499999999992</v>
      </c>
      <c r="M1040">
        <v>955.7674868783289</v>
      </c>
      <c r="Q1040">
        <v>1.6588432978011312E-4</v>
      </c>
      <c r="R1040">
        <v>0</v>
      </c>
      <c r="S1040">
        <v>1.0942232592127803</v>
      </c>
      <c r="T1040">
        <v>0</v>
      </c>
      <c r="U1040">
        <v>1.7468142210842915E-2</v>
      </c>
      <c r="V1040">
        <v>0</v>
      </c>
      <c r="W1040">
        <v>0.11199311559966062</v>
      </c>
      <c r="X1040">
        <v>0</v>
      </c>
      <c r="Y1040">
        <v>6.6011105523851199E-2</v>
      </c>
      <c r="Z1040">
        <v>0.1609222428843157</v>
      </c>
      <c r="AA1040">
        <v>9.9410702184001776E-2</v>
      </c>
      <c r="AB1040">
        <v>0</v>
      </c>
      <c r="AC1040">
        <v>2.0938218174705741E-2</v>
      </c>
      <c r="AD1040">
        <v>0</v>
      </c>
      <c r="AE1040">
        <v>0.7171842858756422</v>
      </c>
      <c r="AF1040">
        <v>0</v>
      </c>
      <c r="AG1040">
        <v>0</v>
      </c>
      <c r="AH1040">
        <v>0</v>
      </c>
      <c r="AI1040">
        <v>1.5445508813364368E-3</v>
      </c>
      <c r="AJ1040">
        <v>0</v>
      </c>
    </row>
    <row r="1041" spans="1:36" hidden="1" x14ac:dyDescent="0.25">
      <c r="A1041" t="s">
        <v>128</v>
      </c>
      <c r="B1041" t="s">
        <v>503</v>
      </c>
      <c r="C1041" t="s">
        <v>116</v>
      </c>
      <c r="D1041" s="12"/>
      <c r="G1041">
        <v>814.98715199891001</v>
      </c>
      <c r="H1041">
        <v>1912.3499999999992</v>
      </c>
      <c r="J1041">
        <v>1912.3499999999992</v>
      </c>
      <c r="M1041">
        <v>709.83821875335786</v>
      </c>
      <c r="Q1041">
        <v>1.6143784293818287E-2</v>
      </c>
      <c r="R1041">
        <v>0</v>
      </c>
      <c r="S1041">
        <v>1.3656595355007461</v>
      </c>
      <c r="T1041">
        <v>0</v>
      </c>
      <c r="U1041">
        <v>1.527533542907998E-3</v>
      </c>
      <c r="V1041">
        <v>0</v>
      </c>
      <c r="W1041">
        <v>1.9243933305039294E-2</v>
      </c>
      <c r="X1041">
        <v>0</v>
      </c>
      <c r="Y1041">
        <v>0.17139080530656872</v>
      </c>
      <c r="Z1041">
        <v>8.8980510271873509E-2</v>
      </c>
      <c r="AA1041">
        <v>9.4391233366471053E-2</v>
      </c>
      <c r="AB1041">
        <v>0</v>
      </c>
      <c r="AC1041">
        <v>7.9073268088728776E-2</v>
      </c>
      <c r="AD1041">
        <v>0</v>
      </c>
      <c r="AE1041">
        <v>0.70958363291982063</v>
      </c>
      <c r="AF1041">
        <v>0</v>
      </c>
      <c r="AG1041">
        <v>0</v>
      </c>
      <c r="AH1041">
        <v>0</v>
      </c>
      <c r="AI1041">
        <v>2.7971355353107998E-2</v>
      </c>
      <c r="AJ1041">
        <v>0</v>
      </c>
    </row>
    <row r="1042" spans="1:36" hidden="1" x14ac:dyDescent="0.25">
      <c r="A1042" t="s">
        <v>128</v>
      </c>
      <c r="B1042" t="s">
        <v>372</v>
      </c>
      <c r="C1042" t="s">
        <v>117</v>
      </c>
      <c r="D1042" s="12">
        <v>46223</v>
      </c>
      <c r="G1042">
        <v>44.310540874450453</v>
      </c>
      <c r="H1042">
        <v>53.2</v>
      </c>
      <c r="J1042">
        <v>53.2</v>
      </c>
      <c r="M1042">
        <v>41.604761389850047</v>
      </c>
      <c r="Q1042">
        <v>2.3795385370389228E-2</v>
      </c>
      <c r="R1042">
        <v>0</v>
      </c>
      <c r="S1042">
        <v>0.13091886356862831</v>
      </c>
      <c r="T1042">
        <v>0</v>
      </c>
      <c r="U1042">
        <v>0</v>
      </c>
      <c r="V1042">
        <v>0</v>
      </c>
      <c r="W1042">
        <v>1.0534169552251241E-2</v>
      </c>
      <c r="X1042">
        <v>0</v>
      </c>
      <c r="Y1042">
        <v>0.11011200435542237</v>
      </c>
      <c r="Z1042">
        <v>3.3042379663050521E-2</v>
      </c>
      <c r="AA1042">
        <v>1.7905401735584765E-2</v>
      </c>
      <c r="AB1042">
        <v>0</v>
      </c>
      <c r="AC1042">
        <v>7.7488167103449926E-2</v>
      </c>
      <c r="AD1042">
        <v>0</v>
      </c>
      <c r="AE1042">
        <v>0.87156405149791472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hidden="1" x14ac:dyDescent="0.25">
      <c r="A1043" t="s">
        <v>128</v>
      </c>
      <c r="B1043" t="s">
        <v>502</v>
      </c>
      <c r="C1043" t="s">
        <v>117</v>
      </c>
      <c r="D1043" s="12">
        <v>46223</v>
      </c>
      <c r="G1043">
        <v>33.570533361079391</v>
      </c>
      <c r="H1043">
        <v>80.75</v>
      </c>
      <c r="J1043">
        <v>80.75</v>
      </c>
      <c r="M1043">
        <v>35.94653580182073</v>
      </c>
      <c r="Q1043">
        <v>0</v>
      </c>
      <c r="R1043">
        <v>0</v>
      </c>
      <c r="S1043">
        <v>1.3393776426112265</v>
      </c>
      <c r="T1043">
        <v>0</v>
      </c>
      <c r="U1043">
        <v>4.498924333632931E-2</v>
      </c>
      <c r="V1043">
        <v>0</v>
      </c>
      <c r="W1043">
        <v>0.13461899335569089</v>
      </c>
      <c r="X1043">
        <v>0</v>
      </c>
      <c r="Y1043">
        <v>6.5958985139352555E-2</v>
      </c>
      <c r="Z1043">
        <v>0.11392288864342687</v>
      </c>
      <c r="AA1043">
        <v>6.5638685296585716E-2</v>
      </c>
      <c r="AB1043">
        <v>0</v>
      </c>
      <c r="AC1043">
        <v>4.3193123294473647E-2</v>
      </c>
      <c r="AD1043">
        <v>0</v>
      </c>
      <c r="AE1043">
        <v>0.77724530276551362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hidden="1" x14ac:dyDescent="0.25">
      <c r="A1044" t="s">
        <v>128</v>
      </c>
      <c r="B1044" t="s">
        <v>503</v>
      </c>
      <c r="C1044" t="s">
        <v>117</v>
      </c>
      <c r="D1044" s="12">
        <v>46223</v>
      </c>
      <c r="G1044">
        <v>28.281705302196805</v>
      </c>
      <c r="H1044">
        <v>80.75</v>
      </c>
      <c r="J1044">
        <v>80.75</v>
      </c>
      <c r="M1044">
        <v>26.314864475201833</v>
      </c>
      <c r="Q1044">
        <v>0</v>
      </c>
      <c r="R1044">
        <v>0</v>
      </c>
      <c r="S1044">
        <v>1.7408887099756345</v>
      </c>
      <c r="T1044">
        <v>0</v>
      </c>
      <c r="U1044">
        <v>0</v>
      </c>
      <c r="V1044">
        <v>0</v>
      </c>
      <c r="W1044">
        <v>4.7368841086589952E-2</v>
      </c>
      <c r="X1044">
        <v>0</v>
      </c>
      <c r="Y1044">
        <v>0.16283312302743042</v>
      </c>
      <c r="Z1044">
        <v>6.4927998159336142E-2</v>
      </c>
      <c r="AA1044">
        <v>3.0960023290851971E-2</v>
      </c>
      <c r="AB1044">
        <v>0</v>
      </c>
      <c r="AC1044">
        <v>9.1826151001144815E-2</v>
      </c>
      <c r="AD1044">
        <v>0</v>
      </c>
      <c r="AE1044">
        <v>0.81228582754866718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hidden="1" x14ac:dyDescent="0.25">
      <c r="A1045" t="s">
        <v>128</v>
      </c>
      <c r="B1045" t="s">
        <v>372</v>
      </c>
      <c r="C1045" t="s">
        <v>117</v>
      </c>
      <c r="D1045" s="12">
        <v>46224</v>
      </c>
      <c r="G1045">
        <v>45.494516376417593</v>
      </c>
      <c r="H1045">
        <v>53.2</v>
      </c>
      <c r="J1045">
        <v>53.2</v>
      </c>
      <c r="M1045">
        <v>45.620690187839834</v>
      </c>
      <c r="Q1045">
        <v>3.5678698789778709E-2</v>
      </c>
      <c r="R1045">
        <v>0</v>
      </c>
      <c r="S1045">
        <v>0.15899027713695271</v>
      </c>
      <c r="T1045">
        <v>0</v>
      </c>
      <c r="U1045">
        <v>0</v>
      </c>
      <c r="V1045">
        <v>0</v>
      </c>
      <c r="W1045">
        <v>1.6703894445322953E-2</v>
      </c>
      <c r="X1045">
        <v>0</v>
      </c>
      <c r="Y1045">
        <v>9.7669512748814094E-2</v>
      </c>
      <c r="Z1045">
        <v>9.3761295406785752E-2</v>
      </c>
      <c r="AA1045">
        <v>1.0230687952083308E-2</v>
      </c>
      <c r="AB1045">
        <v>0</v>
      </c>
      <c r="AC1045">
        <v>3.9378520236383524E-2</v>
      </c>
      <c r="AD1045">
        <v>0</v>
      </c>
      <c r="AE1045">
        <v>0.85662949640474761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idden="1" x14ac:dyDescent="0.25">
      <c r="A1046" t="s">
        <v>128</v>
      </c>
      <c r="B1046" t="s">
        <v>502</v>
      </c>
      <c r="C1046" t="s">
        <v>117</v>
      </c>
      <c r="D1046" s="12">
        <v>46224</v>
      </c>
      <c r="G1046">
        <v>34.791659695654587</v>
      </c>
      <c r="H1046">
        <v>80.75</v>
      </c>
      <c r="J1046">
        <v>80.75</v>
      </c>
      <c r="M1046">
        <v>36.560539215686283</v>
      </c>
      <c r="Q1046">
        <v>0</v>
      </c>
      <c r="R1046">
        <v>0</v>
      </c>
      <c r="S1046">
        <v>1.2902526585240648</v>
      </c>
      <c r="T1046">
        <v>0</v>
      </c>
      <c r="U1046">
        <v>5.6263351929675472E-2</v>
      </c>
      <c r="V1046">
        <v>0</v>
      </c>
      <c r="W1046">
        <v>0.12950048391672861</v>
      </c>
      <c r="X1046">
        <v>0</v>
      </c>
      <c r="Y1046">
        <v>5.9926944827975358E-2</v>
      </c>
      <c r="Z1046">
        <v>0.14312084586547624</v>
      </c>
      <c r="AA1046">
        <v>7.1864044463121432E-2</v>
      </c>
      <c r="AB1046">
        <v>0</v>
      </c>
      <c r="AC1046">
        <v>6.3057735111600344E-2</v>
      </c>
      <c r="AD1046">
        <v>0</v>
      </c>
      <c r="AE1046">
        <v>0.72195737455980202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hidden="1" x14ac:dyDescent="0.25">
      <c r="A1047" t="s">
        <v>128</v>
      </c>
      <c r="B1047" t="s">
        <v>503</v>
      </c>
      <c r="C1047" t="s">
        <v>117</v>
      </c>
      <c r="D1047" s="12">
        <v>46224</v>
      </c>
      <c r="G1047">
        <v>28.281705302196805</v>
      </c>
      <c r="H1047">
        <v>80.75</v>
      </c>
      <c r="J1047">
        <v>80.75</v>
      </c>
      <c r="M1047">
        <v>24.437537846020749</v>
      </c>
      <c r="Q1047">
        <v>0</v>
      </c>
      <c r="R1047">
        <v>0</v>
      </c>
      <c r="S1047">
        <v>1.8080699488612693</v>
      </c>
      <c r="T1047">
        <v>0</v>
      </c>
      <c r="U1047">
        <v>0</v>
      </c>
      <c r="V1047">
        <v>0</v>
      </c>
      <c r="W1047">
        <v>9.1670175542608416E-3</v>
      </c>
      <c r="X1047">
        <v>0</v>
      </c>
      <c r="Y1047">
        <v>0.19354139931281525</v>
      </c>
      <c r="Z1047">
        <v>6.9294799078221184E-2</v>
      </c>
      <c r="AA1047">
        <v>8.628091401065717E-2</v>
      </c>
      <c r="AB1047">
        <v>0</v>
      </c>
      <c r="AC1047">
        <v>6.4682978191840643E-2</v>
      </c>
      <c r="AD1047">
        <v>0</v>
      </c>
      <c r="AE1047">
        <v>0.77974130871928105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hidden="1" x14ac:dyDescent="0.25">
      <c r="A1048" t="s">
        <v>128</v>
      </c>
      <c r="B1048" t="s">
        <v>372</v>
      </c>
      <c r="C1048" t="s">
        <v>117</v>
      </c>
      <c r="D1048" s="12">
        <v>46225</v>
      </c>
      <c r="G1048">
        <v>44.19901495033919</v>
      </c>
      <c r="H1048">
        <v>54.149999999999991</v>
      </c>
      <c r="J1048">
        <v>54.149999999999991</v>
      </c>
      <c r="M1048">
        <v>44.144811233316851</v>
      </c>
      <c r="Q1048">
        <v>1.9381568892503909E-2</v>
      </c>
      <c r="R1048">
        <v>0</v>
      </c>
      <c r="S1048">
        <v>0.14449831047376208</v>
      </c>
      <c r="T1048">
        <v>0</v>
      </c>
      <c r="U1048">
        <v>0</v>
      </c>
      <c r="V1048">
        <v>0</v>
      </c>
      <c r="W1048">
        <v>3.4926770866008358E-2</v>
      </c>
      <c r="X1048">
        <v>0</v>
      </c>
      <c r="Y1048">
        <v>0.11043881334190588</v>
      </c>
      <c r="Z1048">
        <v>3.8232968695422455E-2</v>
      </c>
      <c r="AA1048">
        <v>2.6490500100259252E-2</v>
      </c>
      <c r="AB1048">
        <v>0</v>
      </c>
      <c r="AC1048">
        <v>2.9044195428471704E-2</v>
      </c>
      <c r="AD1048">
        <v>0</v>
      </c>
      <c r="AE1048">
        <v>0.9062323357758465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hidden="1" x14ac:dyDescent="0.25">
      <c r="A1049" t="s">
        <v>128</v>
      </c>
      <c r="B1049" t="s">
        <v>502</v>
      </c>
      <c r="C1049" t="s">
        <v>117</v>
      </c>
      <c r="D1049" s="12">
        <v>46225</v>
      </c>
      <c r="G1049">
        <v>33.670423680959566</v>
      </c>
      <c r="H1049">
        <v>71.249999999999986</v>
      </c>
      <c r="J1049">
        <v>71.249999999999986</v>
      </c>
      <c r="M1049">
        <v>36.248039215686269</v>
      </c>
      <c r="Q1049">
        <v>0</v>
      </c>
      <c r="R1049">
        <v>0</v>
      </c>
      <c r="S1049">
        <v>1.0476565467839085</v>
      </c>
      <c r="T1049">
        <v>0</v>
      </c>
      <c r="U1049">
        <v>4.7972041431839516E-2</v>
      </c>
      <c r="V1049">
        <v>0</v>
      </c>
      <c r="W1049">
        <v>0.1338128919773964</v>
      </c>
      <c r="X1049">
        <v>0</v>
      </c>
      <c r="Y1049">
        <v>7.0281488083727681E-2</v>
      </c>
      <c r="Z1049">
        <v>0.11358491268280062</v>
      </c>
      <c r="AA1049">
        <v>7.0037567072703005E-2</v>
      </c>
      <c r="AB1049">
        <v>0</v>
      </c>
      <c r="AC1049">
        <v>3.519307170838621E-2</v>
      </c>
      <c r="AD1049">
        <v>0</v>
      </c>
      <c r="AE1049">
        <v>0.78118444853611013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hidden="1" x14ac:dyDescent="0.25">
      <c r="A1050" t="s">
        <v>128</v>
      </c>
      <c r="B1050" t="s">
        <v>503</v>
      </c>
      <c r="C1050" t="s">
        <v>117</v>
      </c>
      <c r="D1050" s="12">
        <v>46225</v>
      </c>
      <c r="G1050">
        <v>30.593467588426726</v>
      </c>
      <c r="H1050">
        <v>71.249999999999986</v>
      </c>
      <c r="J1050">
        <v>71.249999999999986</v>
      </c>
      <c r="M1050">
        <v>24.139918256389237</v>
      </c>
      <c r="Q1050">
        <v>2.0615057519109851E-2</v>
      </c>
      <c r="R1050">
        <v>0</v>
      </c>
      <c r="S1050">
        <v>1.2956503827591614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0.20665563272783963</v>
      </c>
      <c r="Z1050">
        <v>8.2983443529300052E-2</v>
      </c>
      <c r="AA1050">
        <v>6.7970481755175519E-2</v>
      </c>
      <c r="AB1050">
        <v>0</v>
      </c>
      <c r="AC1050">
        <v>0.16358991281617569</v>
      </c>
      <c r="AD1050">
        <v>0</v>
      </c>
      <c r="AE1050">
        <v>0.6630326180951831</v>
      </c>
      <c r="AF1050">
        <v>0</v>
      </c>
      <c r="AG1050">
        <v>0</v>
      </c>
      <c r="AH1050">
        <v>0</v>
      </c>
      <c r="AI1050">
        <v>2.2423543804165919E-2</v>
      </c>
      <c r="AJ1050">
        <v>0</v>
      </c>
    </row>
    <row r="1051" spans="1:36" hidden="1" x14ac:dyDescent="0.25">
      <c r="A1051" t="s">
        <v>128</v>
      </c>
      <c r="B1051" t="s">
        <v>372</v>
      </c>
      <c r="C1051" t="s">
        <v>117</v>
      </c>
      <c r="D1051" s="12">
        <v>46226</v>
      </c>
      <c r="G1051">
        <v>44.451455281615083</v>
      </c>
      <c r="H1051">
        <v>59.849999999999994</v>
      </c>
      <c r="J1051">
        <v>59.849999999999994</v>
      </c>
      <c r="M1051">
        <v>42.095525632853757</v>
      </c>
      <c r="Q1051">
        <v>1.2888379320171613E-2</v>
      </c>
      <c r="R1051">
        <v>0</v>
      </c>
      <c r="S1051">
        <v>0.30762788641825506</v>
      </c>
      <c r="T1051">
        <v>0</v>
      </c>
      <c r="U1051">
        <v>0</v>
      </c>
      <c r="V1051">
        <v>0</v>
      </c>
      <c r="W1051">
        <v>1.0195476588731302E-2</v>
      </c>
      <c r="X1051">
        <v>0</v>
      </c>
      <c r="Y1051">
        <v>0.14435237219916178</v>
      </c>
      <c r="Z1051">
        <v>7.4289159253658199E-2</v>
      </c>
      <c r="AA1051">
        <v>4.1473964243156726E-2</v>
      </c>
      <c r="AB1051">
        <v>0</v>
      </c>
      <c r="AC1051">
        <v>3.4609948330611394E-2</v>
      </c>
      <c r="AD1051">
        <v>0</v>
      </c>
      <c r="AE1051">
        <v>0.84962692817257368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hidden="1" x14ac:dyDescent="0.25">
      <c r="A1052" t="s">
        <v>128</v>
      </c>
      <c r="B1052" t="s">
        <v>502</v>
      </c>
      <c r="C1052" t="s">
        <v>117</v>
      </c>
      <c r="D1052" s="12">
        <v>46226</v>
      </c>
      <c r="G1052">
        <v>34.886987591620851</v>
      </c>
      <c r="H1052">
        <v>82.649999999999991</v>
      </c>
      <c r="J1052">
        <v>82.649999999999991</v>
      </c>
      <c r="M1052">
        <v>34.251593137254893</v>
      </c>
      <c r="Q1052">
        <v>0</v>
      </c>
      <c r="R1052">
        <v>0</v>
      </c>
      <c r="S1052">
        <v>1.3742126189849551</v>
      </c>
      <c r="T1052">
        <v>0</v>
      </c>
      <c r="U1052">
        <v>2.4369893089962628E-2</v>
      </c>
      <c r="V1052">
        <v>0</v>
      </c>
      <c r="W1052">
        <v>0.1415152978529256</v>
      </c>
      <c r="X1052">
        <v>0</v>
      </c>
      <c r="Y1052">
        <v>3.6245359606830771E-2</v>
      </c>
      <c r="Z1052">
        <v>5.7552780445198001E-2</v>
      </c>
      <c r="AA1052">
        <v>0.14971223973814435</v>
      </c>
      <c r="AB1052">
        <v>0</v>
      </c>
      <c r="AC1052">
        <v>3.4385886692431644E-2</v>
      </c>
      <c r="AD1052">
        <v>0</v>
      </c>
      <c r="AE1052">
        <v>0.75834909312422605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hidden="1" x14ac:dyDescent="0.25">
      <c r="A1053" t="s">
        <v>128</v>
      </c>
      <c r="B1053" t="s">
        <v>503</v>
      </c>
      <c r="C1053" t="s">
        <v>117</v>
      </c>
      <c r="D1053" s="12">
        <v>46226</v>
      </c>
      <c r="G1053">
        <v>29.877671416292504</v>
      </c>
      <c r="H1053">
        <v>82.649999999999991</v>
      </c>
      <c r="J1053">
        <v>82.649999999999991</v>
      </c>
      <c r="M1053">
        <v>24.484776604140098</v>
      </c>
      <c r="Q1053">
        <v>0</v>
      </c>
      <c r="R1053">
        <v>0</v>
      </c>
      <c r="S1053">
        <v>1.7090623404019996</v>
      </c>
      <c r="T1053">
        <v>0</v>
      </c>
      <c r="U1053">
        <v>4.3051276101299749E-4</v>
      </c>
      <c r="V1053">
        <v>0</v>
      </c>
      <c r="W1053">
        <v>1.1726771736190805E-2</v>
      </c>
      <c r="X1053">
        <v>0</v>
      </c>
      <c r="Y1053">
        <v>0.19963062492811171</v>
      </c>
      <c r="Z1053">
        <v>8.4971524541409937E-2</v>
      </c>
      <c r="AA1053">
        <v>6.9598888801380016E-2</v>
      </c>
      <c r="AB1053">
        <v>0</v>
      </c>
      <c r="AC1053">
        <v>0.14350151573335862</v>
      </c>
      <c r="AD1053">
        <v>0</v>
      </c>
      <c r="AE1053">
        <v>0.70192807092385145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hidden="1" x14ac:dyDescent="0.25">
      <c r="A1054" t="s">
        <v>128</v>
      </c>
      <c r="B1054" t="s">
        <v>372</v>
      </c>
      <c r="C1054" t="s">
        <v>117</v>
      </c>
      <c r="D1054" s="12">
        <v>46227</v>
      </c>
      <c r="G1054">
        <v>41.28803277109941</v>
      </c>
      <c r="H1054">
        <v>55.1</v>
      </c>
      <c r="J1054">
        <v>55.1</v>
      </c>
      <c r="M1054">
        <v>39.758866782006919</v>
      </c>
      <c r="Q1054">
        <v>1.1305327941178896E-2</v>
      </c>
      <c r="R1054">
        <v>0</v>
      </c>
      <c r="S1054">
        <v>0.29348277698430847</v>
      </c>
      <c r="T1054">
        <v>0</v>
      </c>
      <c r="U1054">
        <v>2.9065277025695961E-3</v>
      </c>
      <c r="V1054">
        <v>0</v>
      </c>
      <c r="W1054">
        <v>3.3029359192408944E-2</v>
      </c>
      <c r="X1054">
        <v>0</v>
      </c>
      <c r="Y1054">
        <v>7.779909916810672E-2</v>
      </c>
      <c r="Z1054">
        <v>3.3433751577471971E-2</v>
      </c>
      <c r="AA1054">
        <v>6.2265966999088047E-2</v>
      </c>
      <c r="AB1054">
        <v>0</v>
      </c>
      <c r="AC1054">
        <v>2.2011790545950104E-2</v>
      </c>
      <c r="AD1054">
        <v>0</v>
      </c>
      <c r="AE1054">
        <v>0.88228849087748984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hidden="1" x14ac:dyDescent="0.25">
      <c r="A1055" t="s">
        <v>128</v>
      </c>
      <c r="B1055" t="s">
        <v>502</v>
      </c>
      <c r="C1055" t="s">
        <v>117</v>
      </c>
      <c r="D1055" s="12">
        <v>46227</v>
      </c>
      <c r="G1055">
        <v>34.866712924895175</v>
      </c>
      <c r="H1055">
        <v>75.05</v>
      </c>
      <c r="J1055">
        <v>75.05</v>
      </c>
      <c r="M1055">
        <v>34.271756055363326</v>
      </c>
      <c r="Q1055">
        <v>0</v>
      </c>
      <c r="R1055">
        <v>0</v>
      </c>
      <c r="S1055">
        <v>1.1264753449749112</v>
      </c>
      <c r="T1055">
        <v>0</v>
      </c>
      <c r="U1055">
        <v>5.2983631558236044E-2</v>
      </c>
      <c r="V1055">
        <v>0</v>
      </c>
      <c r="W1055">
        <v>8.352305260005892E-2</v>
      </c>
      <c r="X1055">
        <v>0</v>
      </c>
      <c r="Y1055">
        <v>9.4733742214340777E-2</v>
      </c>
      <c r="Z1055">
        <v>0.11455058340051659</v>
      </c>
      <c r="AA1055">
        <v>9.0682384028523758E-2</v>
      </c>
      <c r="AB1055">
        <v>0</v>
      </c>
      <c r="AC1055">
        <v>6.2888050039704796E-2</v>
      </c>
      <c r="AD1055">
        <v>0</v>
      </c>
      <c r="AE1055">
        <v>0.73187898253125494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hidden="1" x14ac:dyDescent="0.25">
      <c r="A1056" t="s">
        <v>128</v>
      </c>
      <c r="B1056" t="s">
        <v>503</v>
      </c>
      <c r="C1056" t="s">
        <v>117</v>
      </c>
      <c r="D1056" s="12">
        <v>46227</v>
      </c>
      <c r="G1056">
        <v>32.175767752914368</v>
      </c>
      <c r="H1056">
        <v>75.05</v>
      </c>
      <c r="J1056">
        <v>75.05</v>
      </c>
      <c r="M1056">
        <v>24.933160322952702</v>
      </c>
      <c r="Q1056">
        <v>0</v>
      </c>
      <c r="R1056">
        <v>0</v>
      </c>
      <c r="S1056">
        <v>1.3540924272060939</v>
      </c>
      <c r="T1056">
        <v>0</v>
      </c>
      <c r="U1056">
        <v>0</v>
      </c>
      <c r="V1056">
        <v>0</v>
      </c>
      <c r="W1056">
        <v>2.5730015634787612E-3</v>
      </c>
      <c r="X1056">
        <v>0</v>
      </c>
      <c r="Y1056">
        <v>0.17539345298145323</v>
      </c>
      <c r="Z1056">
        <v>5.7070107041582496E-2</v>
      </c>
      <c r="AA1056">
        <v>0.14248809978142279</v>
      </c>
      <c r="AB1056">
        <v>0</v>
      </c>
      <c r="AC1056">
        <v>9.0341952748261151E-2</v>
      </c>
      <c r="AD1056">
        <v>0</v>
      </c>
      <c r="AE1056">
        <v>0.71009984042873342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hidden="1" x14ac:dyDescent="0.25">
      <c r="A1057" t="s">
        <v>128</v>
      </c>
      <c r="B1057" t="s">
        <v>372</v>
      </c>
      <c r="C1057" t="s">
        <v>117</v>
      </c>
      <c r="D1057" s="12">
        <v>46228</v>
      </c>
      <c r="G1057">
        <v>40.023176804576735</v>
      </c>
      <c r="H1057">
        <v>43.7</v>
      </c>
      <c r="J1057">
        <v>43.7</v>
      </c>
      <c r="M1057">
        <v>43.571366782006912</v>
      </c>
      <c r="Q1057">
        <v>9.8230661970708677E-2</v>
      </c>
      <c r="R1057">
        <v>0</v>
      </c>
      <c r="S1057">
        <v>0.12531437589076147</v>
      </c>
      <c r="T1057">
        <v>0</v>
      </c>
      <c r="U1057">
        <v>0</v>
      </c>
      <c r="V1057">
        <v>3.4096612864642651E-3</v>
      </c>
      <c r="W1057">
        <v>2.3176630227109876E-2</v>
      </c>
      <c r="X1057">
        <v>0</v>
      </c>
      <c r="Y1057">
        <v>2.397121348458434E-2</v>
      </c>
      <c r="Z1057">
        <v>6.5462337033839899E-2</v>
      </c>
      <c r="AA1057">
        <v>1.513253247353764E-2</v>
      </c>
      <c r="AB1057">
        <v>0</v>
      </c>
      <c r="AC1057">
        <v>1.7621377841200592E-2</v>
      </c>
      <c r="AD1057">
        <v>0</v>
      </c>
      <c r="AE1057">
        <v>0.84208903144337688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hidden="1" x14ac:dyDescent="0.25">
      <c r="A1058" t="s">
        <v>128</v>
      </c>
      <c r="B1058" t="s">
        <v>502</v>
      </c>
      <c r="C1058" t="s">
        <v>117</v>
      </c>
      <c r="D1058" s="12">
        <v>46228</v>
      </c>
      <c r="G1058">
        <v>30.943670337658524</v>
      </c>
      <c r="H1058">
        <v>66.5</v>
      </c>
      <c r="J1058">
        <v>66.5</v>
      </c>
      <c r="M1058">
        <v>33.931502306805072</v>
      </c>
      <c r="Q1058">
        <v>0</v>
      </c>
      <c r="R1058">
        <v>0</v>
      </c>
      <c r="S1058">
        <v>1.0351939396573795</v>
      </c>
      <c r="T1058">
        <v>0</v>
      </c>
      <c r="U1058">
        <v>2.0191964845610623E-2</v>
      </c>
      <c r="V1058">
        <v>0</v>
      </c>
      <c r="W1058">
        <v>0.12276169120398366</v>
      </c>
      <c r="X1058">
        <v>0</v>
      </c>
      <c r="Y1058">
        <v>7.362076428369102E-2</v>
      </c>
      <c r="Z1058">
        <v>0.12907332140054387</v>
      </c>
      <c r="AA1058">
        <v>6.573155282877638E-2</v>
      </c>
      <c r="AB1058">
        <v>0</v>
      </c>
      <c r="AC1058">
        <v>1.67837360227612E-2</v>
      </c>
      <c r="AD1058">
        <v>0</v>
      </c>
      <c r="AE1058">
        <v>0.78841138974791847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hidden="1" x14ac:dyDescent="0.25">
      <c r="A1059" t="s">
        <v>128</v>
      </c>
      <c r="B1059" t="s">
        <v>503</v>
      </c>
      <c r="C1059" t="s">
        <v>117</v>
      </c>
      <c r="D1059" s="12">
        <v>46228</v>
      </c>
      <c r="G1059">
        <v>27.328541674261086</v>
      </c>
      <c r="H1059">
        <v>66.5</v>
      </c>
      <c r="J1059">
        <v>66.5</v>
      </c>
      <c r="M1059">
        <v>25.629824466551309</v>
      </c>
      <c r="Q1059">
        <v>0</v>
      </c>
      <c r="R1059">
        <v>0</v>
      </c>
      <c r="S1059">
        <v>1.3221745699080942</v>
      </c>
      <c r="T1059">
        <v>0</v>
      </c>
      <c r="U1059">
        <v>1.5973468511732447E-3</v>
      </c>
      <c r="V1059">
        <v>0</v>
      </c>
      <c r="W1059">
        <v>6.6775354527368228E-2</v>
      </c>
      <c r="X1059">
        <v>0</v>
      </c>
      <c r="Y1059">
        <v>0.14203853550930301</v>
      </c>
      <c r="Z1059">
        <v>6.7192553912724315E-2</v>
      </c>
      <c r="AA1059">
        <v>3.2039845568696976E-2</v>
      </c>
      <c r="AB1059">
        <v>0</v>
      </c>
      <c r="AC1059">
        <v>0.10456947067700498</v>
      </c>
      <c r="AD1059">
        <v>0</v>
      </c>
      <c r="AE1059">
        <v>0.79619812984157368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hidden="1" x14ac:dyDescent="0.25">
      <c r="A1060" t="s">
        <v>128</v>
      </c>
      <c r="B1060" t="s">
        <v>372</v>
      </c>
      <c r="C1060" t="s">
        <v>117</v>
      </c>
      <c r="D1060" s="12">
        <v>46229</v>
      </c>
      <c r="G1060">
        <v>41.938879203540424</v>
      </c>
      <c r="H1060">
        <v>41.79999999999999</v>
      </c>
      <c r="J1060">
        <v>41.79999999999999</v>
      </c>
      <c r="M1060">
        <v>44.927371683967699</v>
      </c>
      <c r="Q1060">
        <v>7.4418238014540089E-2</v>
      </c>
      <c r="R1060">
        <v>0</v>
      </c>
      <c r="S1060">
        <v>3.7521709150202559E-2</v>
      </c>
      <c r="T1060">
        <v>0</v>
      </c>
      <c r="U1060">
        <v>0</v>
      </c>
      <c r="V1060">
        <v>0</v>
      </c>
      <c r="W1060">
        <v>7.3416863024742367E-3</v>
      </c>
      <c r="X1060">
        <v>0</v>
      </c>
      <c r="Y1060">
        <v>3.4988398530550795E-2</v>
      </c>
      <c r="Z1060">
        <v>9.5313630509633734E-2</v>
      </c>
      <c r="AA1060">
        <v>1.0501642331858204E-2</v>
      </c>
      <c r="AB1060">
        <v>0</v>
      </c>
      <c r="AC1060">
        <v>0</v>
      </c>
      <c r="AD1060">
        <v>0</v>
      </c>
      <c r="AE1060">
        <v>0.89418472715850805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hidden="1" x14ac:dyDescent="0.25">
      <c r="A1061" t="s">
        <v>128</v>
      </c>
      <c r="B1061" t="s">
        <v>502</v>
      </c>
      <c r="C1061" t="s">
        <v>117</v>
      </c>
      <c r="D1061" s="12">
        <v>46229</v>
      </c>
      <c r="G1061">
        <v>30.943670337658524</v>
      </c>
      <c r="H1061">
        <v>59.849999999999994</v>
      </c>
      <c r="J1061">
        <v>59.849999999999994</v>
      </c>
      <c r="M1061">
        <v>33.869002306805072</v>
      </c>
      <c r="Q1061">
        <v>0</v>
      </c>
      <c r="R1061">
        <v>0</v>
      </c>
      <c r="S1061">
        <v>0.79148833682991726</v>
      </c>
      <c r="T1061">
        <v>0</v>
      </c>
      <c r="U1061">
        <v>1.8289987283658556E-2</v>
      </c>
      <c r="V1061">
        <v>0</v>
      </c>
      <c r="W1061">
        <v>0.12264386958510175</v>
      </c>
      <c r="X1061">
        <v>0</v>
      </c>
      <c r="Y1061">
        <v>5.9251078137363043E-2</v>
      </c>
      <c r="Z1061">
        <v>0.12907332140054387</v>
      </c>
      <c r="AA1061">
        <v>8.1944992612243264E-2</v>
      </c>
      <c r="AB1061">
        <v>0</v>
      </c>
      <c r="AC1061">
        <v>5.7029623929431296E-4</v>
      </c>
      <c r="AD1061">
        <v>0</v>
      </c>
      <c r="AE1061">
        <v>0.78841138974791847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hidden="1" x14ac:dyDescent="0.25">
      <c r="A1062" t="s">
        <v>128</v>
      </c>
      <c r="B1062" t="s">
        <v>503</v>
      </c>
      <c r="C1062" t="s">
        <v>117</v>
      </c>
      <c r="D1062" s="12">
        <v>46229</v>
      </c>
      <c r="G1062">
        <v>27.440678571665288</v>
      </c>
      <c r="H1062">
        <v>59.849999999999994</v>
      </c>
      <c r="J1062">
        <v>59.849999999999994</v>
      </c>
      <c r="M1062">
        <v>24.186096092848896</v>
      </c>
      <c r="Q1062">
        <v>0</v>
      </c>
      <c r="R1062">
        <v>0</v>
      </c>
      <c r="S1062">
        <v>1.0996551916526294</v>
      </c>
      <c r="T1062">
        <v>0</v>
      </c>
      <c r="U1062">
        <v>5.8781424953762802E-3</v>
      </c>
      <c r="V1062">
        <v>0</v>
      </c>
      <c r="W1062">
        <v>5.6648761756899257E-2</v>
      </c>
      <c r="X1062">
        <v>0</v>
      </c>
      <c r="Y1062">
        <v>0.14461021990615783</v>
      </c>
      <c r="Z1062">
        <v>7.6961655325710147E-3</v>
      </c>
      <c r="AA1062">
        <v>0.11802763757050269</v>
      </c>
      <c r="AB1062">
        <v>0</v>
      </c>
      <c r="AC1062">
        <v>6.3103566874881487E-2</v>
      </c>
      <c r="AD1062">
        <v>0</v>
      </c>
      <c r="AE1062">
        <v>0.81117263002204476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hidden="1" x14ac:dyDescent="0.25">
      <c r="A1063" t="s">
        <v>128</v>
      </c>
      <c r="B1063" t="s">
        <v>372</v>
      </c>
      <c r="C1063" t="s">
        <v>117</v>
      </c>
      <c r="D1063" s="12">
        <v>46230</v>
      </c>
      <c r="G1063">
        <v>41.991638269158877</v>
      </c>
      <c r="H1063">
        <v>49.4</v>
      </c>
      <c r="J1063">
        <v>49.4</v>
      </c>
      <c r="M1063">
        <v>41.920631487889274</v>
      </c>
      <c r="Q1063">
        <v>3.6534723458750147E-2</v>
      </c>
      <c r="R1063">
        <v>0</v>
      </c>
      <c r="S1063">
        <v>0.10763218550722733</v>
      </c>
      <c r="T1063">
        <v>0</v>
      </c>
      <c r="U1063">
        <v>0</v>
      </c>
      <c r="V1063">
        <v>1.6301354407303931E-2</v>
      </c>
      <c r="W1063">
        <v>1.8456893394210593E-2</v>
      </c>
      <c r="X1063">
        <v>0</v>
      </c>
      <c r="Y1063">
        <v>0.10096637493069542</v>
      </c>
      <c r="Z1063">
        <v>4.22546657372204E-2</v>
      </c>
      <c r="AA1063">
        <v>8.376098890008515E-3</v>
      </c>
      <c r="AB1063">
        <v>0</v>
      </c>
      <c r="AC1063">
        <v>4.8306492266323157E-2</v>
      </c>
      <c r="AD1063">
        <v>0</v>
      </c>
      <c r="AE1063">
        <v>0.81562629409107212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hidden="1" x14ac:dyDescent="0.25">
      <c r="A1064" t="s">
        <v>128</v>
      </c>
      <c r="B1064" t="s">
        <v>502</v>
      </c>
      <c r="C1064" t="s">
        <v>117</v>
      </c>
      <c r="D1064" s="12">
        <v>46230</v>
      </c>
      <c r="G1064">
        <v>33.695950256997243</v>
      </c>
      <c r="H1064">
        <v>75.05</v>
      </c>
      <c r="J1064">
        <v>75.05</v>
      </c>
      <c r="M1064">
        <v>35.857843137254903</v>
      </c>
      <c r="Q1064">
        <v>0</v>
      </c>
      <c r="R1064">
        <v>0</v>
      </c>
      <c r="S1064">
        <v>1.1449977227337393</v>
      </c>
      <c r="T1064">
        <v>0</v>
      </c>
      <c r="U1064">
        <v>5.5889450072789185E-2</v>
      </c>
      <c r="V1064">
        <v>0</v>
      </c>
      <c r="W1064">
        <v>0.13452435718650138</v>
      </c>
      <c r="X1064">
        <v>0</v>
      </c>
      <c r="Y1064">
        <v>7.0752332131161041E-2</v>
      </c>
      <c r="Z1064">
        <v>8.9058854228538098E-2</v>
      </c>
      <c r="AA1064">
        <v>8.983438850081206E-2</v>
      </c>
      <c r="AB1064">
        <v>0</v>
      </c>
      <c r="AC1064">
        <v>3.6420584721479472E-2</v>
      </c>
      <c r="AD1064">
        <v>0</v>
      </c>
      <c r="AE1064">
        <v>0.78468617254917039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hidden="1" x14ac:dyDescent="0.25">
      <c r="A1065" t="s">
        <v>128</v>
      </c>
      <c r="B1065" t="s">
        <v>503</v>
      </c>
      <c r="C1065" t="s">
        <v>117</v>
      </c>
      <c r="D1065" s="12">
        <v>46230</v>
      </c>
      <c r="G1065">
        <v>26.998782961124352</v>
      </c>
      <c r="H1065">
        <v>75.05</v>
      </c>
      <c r="J1065">
        <v>75.05</v>
      </c>
      <c r="M1065">
        <v>21.342156862745089</v>
      </c>
      <c r="Q1065">
        <v>0</v>
      </c>
      <c r="R1065">
        <v>0</v>
      </c>
      <c r="S1065">
        <v>1.6111805032894178</v>
      </c>
      <c r="T1065">
        <v>0</v>
      </c>
      <c r="U1065">
        <v>0</v>
      </c>
      <c r="V1065">
        <v>0</v>
      </c>
      <c r="W1065">
        <v>9.117782013482954E-3</v>
      </c>
      <c r="X1065">
        <v>0</v>
      </c>
      <c r="Y1065">
        <v>0.22459710303095035</v>
      </c>
      <c r="Z1065">
        <v>2.3239972753424697E-3</v>
      </c>
      <c r="AA1065">
        <v>6.2816462546924343E-2</v>
      </c>
      <c r="AB1065">
        <v>0</v>
      </c>
      <c r="AC1065">
        <v>0.19246965546569772</v>
      </c>
      <c r="AD1065">
        <v>0</v>
      </c>
      <c r="AE1065">
        <v>0.7423898847120356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hidden="1" x14ac:dyDescent="0.25">
      <c r="A1066" t="s">
        <v>128</v>
      </c>
      <c r="B1066" t="s">
        <v>372</v>
      </c>
      <c r="C1066" t="s">
        <v>117</v>
      </c>
      <c r="D1066" s="12">
        <v>46231</v>
      </c>
      <c r="G1066">
        <v>45.37322940100907</v>
      </c>
      <c r="H1066">
        <v>46.55</v>
      </c>
      <c r="J1066">
        <v>46.55</v>
      </c>
      <c r="M1066">
        <v>44.630839100346016</v>
      </c>
      <c r="Q1066">
        <v>7.4837415933223989E-2</v>
      </c>
      <c r="R1066">
        <v>0</v>
      </c>
      <c r="S1066">
        <v>9.5351045803461459E-2</v>
      </c>
      <c r="T1066">
        <v>0</v>
      </c>
      <c r="U1066">
        <v>0</v>
      </c>
      <c r="V1066">
        <v>1.50864416442362E-2</v>
      </c>
      <c r="W1066">
        <v>4.6808115875522039E-3</v>
      </c>
      <c r="X1066">
        <v>0</v>
      </c>
      <c r="Y1066">
        <v>6.4679615354013523E-2</v>
      </c>
      <c r="Z1066">
        <v>9.1826698571657248E-2</v>
      </c>
      <c r="AA1066">
        <v>4.6949423868223504E-2</v>
      </c>
      <c r="AB1066">
        <v>0</v>
      </c>
      <c r="AC1066">
        <v>4.8930660863591956E-2</v>
      </c>
      <c r="AD1066">
        <v>0</v>
      </c>
      <c r="AE1066">
        <v>0.73322420376937336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hidden="1" x14ac:dyDescent="0.25">
      <c r="A1067" t="s">
        <v>128</v>
      </c>
      <c r="B1067" t="s">
        <v>502</v>
      </c>
      <c r="C1067" t="s">
        <v>117</v>
      </c>
      <c r="D1067" s="12">
        <v>46231</v>
      </c>
      <c r="G1067">
        <v>34.976270049925063</v>
      </c>
      <c r="H1067">
        <v>69.349999999999994</v>
      </c>
      <c r="J1067">
        <v>69.349999999999994</v>
      </c>
      <c r="M1067">
        <v>34.000922722029983</v>
      </c>
      <c r="Q1067">
        <v>0</v>
      </c>
      <c r="R1067">
        <v>0</v>
      </c>
      <c r="S1067">
        <v>0.95019216012722452</v>
      </c>
      <c r="T1067">
        <v>0</v>
      </c>
      <c r="U1067">
        <v>3.5877545292444746E-2</v>
      </c>
      <c r="V1067">
        <v>0</v>
      </c>
      <c r="W1067">
        <v>0.12960004144640325</v>
      </c>
      <c r="X1067">
        <v>0</v>
      </c>
      <c r="Y1067">
        <v>5.3792034956565406E-2</v>
      </c>
      <c r="Z1067">
        <v>6.0067088887155069E-2</v>
      </c>
      <c r="AA1067">
        <v>0.12662180431671541</v>
      </c>
      <c r="AB1067">
        <v>0</v>
      </c>
      <c r="AC1067">
        <v>6.6741755583446319E-2</v>
      </c>
      <c r="AD1067">
        <v>0</v>
      </c>
      <c r="AE1067">
        <v>0.74656935121268297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hidden="1" x14ac:dyDescent="0.25">
      <c r="A1068" t="s">
        <v>128</v>
      </c>
      <c r="B1068" t="s">
        <v>503</v>
      </c>
      <c r="C1068" t="s">
        <v>117</v>
      </c>
      <c r="D1068" s="12">
        <v>46231</v>
      </c>
      <c r="G1068">
        <v>28.225636853494709</v>
      </c>
      <c r="H1068">
        <v>69.349999999999994</v>
      </c>
      <c r="J1068">
        <v>69.349999999999994</v>
      </c>
      <c r="M1068">
        <v>25.625893886966544</v>
      </c>
      <c r="Q1068">
        <v>0</v>
      </c>
      <c r="R1068">
        <v>0</v>
      </c>
      <c r="S1068">
        <v>1.3881365321652235</v>
      </c>
      <c r="T1068">
        <v>0</v>
      </c>
      <c r="U1068">
        <v>3.0674379457888368E-2</v>
      </c>
      <c r="V1068">
        <v>0</v>
      </c>
      <c r="W1068">
        <v>1.6966511474614362E-2</v>
      </c>
      <c r="X1068">
        <v>0</v>
      </c>
      <c r="Y1068">
        <v>0.17720560649733058</v>
      </c>
      <c r="Z1068">
        <v>6.0576274343901337E-2</v>
      </c>
      <c r="AA1068">
        <v>9.5420563585703777E-2</v>
      </c>
      <c r="AB1068">
        <v>0</v>
      </c>
      <c r="AC1068">
        <v>5.609479127978928E-2</v>
      </c>
      <c r="AD1068">
        <v>0</v>
      </c>
      <c r="AE1068">
        <v>0.78790837079060561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hidden="1" x14ac:dyDescent="0.25">
      <c r="A1069" t="s">
        <v>128</v>
      </c>
      <c r="B1069" t="s">
        <v>372</v>
      </c>
      <c r="C1069" t="s">
        <v>117</v>
      </c>
      <c r="D1069" s="12">
        <v>46232</v>
      </c>
      <c r="G1069">
        <v>43.740194648757431</v>
      </c>
      <c r="H1069">
        <v>52.249999999999993</v>
      </c>
      <c r="J1069">
        <v>52.249999999999993</v>
      </c>
      <c r="M1069">
        <v>45.759083044982695</v>
      </c>
      <c r="Q1069">
        <v>5.5218089579298017E-2</v>
      </c>
      <c r="R1069">
        <v>0</v>
      </c>
      <c r="S1069">
        <v>0.19034876307867607</v>
      </c>
      <c r="T1069">
        <v>0</v>
      </c>
      <c r="U1069">
        <v>0</v>
      </c>
      <c r="V1069">
        <v>0</v>
      </c>
      <c r="W1069">
        <v>3.3847029744251501E-2</v>
      </c>
      <c r="X1069">
        <v>0</v>
      </c>
      <c r="Y1069">
        <v>7.1429630484065823E-2</v>
      </c>
      <c r="Z1069">
        <v>5.8163228772858372E-2</v>
      </c>
      <c r="AA1069">
        <v>4.2908754167030674E-2</v>
      </c>
      <c r="AB1069">
        <v>0</v>
      </c>
      <c r="AC1069">
        <v>0</v>
      </c>
      <c r="AD1069">
        <v>0</v>
      </c>
      <c r="AE1069">
        <v>0.89892801706011105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hidden="1" x14ac:dyDescent="0.25">
      <c r="A1070" t="s">
        <v>128</v>
      </c>
      <c r="B1070" t="s">
        <v>502</v>
      </c>
      <c r="C1070" t="s">
        <v>117</v>
      </c>
      <c r="D1070" s="12">
        <v>46232</v>
      </c>
      <c r="G1070">
        <v>34.986877911501026</v>
      </c>
      <c r="H1070">
        <v>73.149999999999991</v>
      </c>
      <c r="J1070">
        <v>73.149999999999991</v>
      </c>
      <c r="M1070">
        <v>32.570343137254895</v>
      </c>
      <c r="Q1070">
        <v>0</v>
      </c>
      <c r="R1070">
        <v>0</v>
      </c>
      <c r="S1070">
        <v>1.0761167175952153</v>
      </c>
      <c r="T1070">
        <v>0</v>
      </c>
      <c r="U1070">
        <v>1.3917987177571898E-2</v>
      </c>
      <c r="V1070">
        <v>0</v>
      </c>
      <c r="W1070">
        <v>0.11756813092145456</v>
      </c>
      <c r="X1070">
        <v>0</v>
      </c>
      <c r="Y1070">
        <v>6.0859272311086746E-2</v>
      </c>
      <c r="Z1070">
        <v>7.8825071051805196E-2</v>
      </c>
      <c r="AA1070">
        <v>9.8853166925673711E-2</v>
      </c>
      <c r="AB1070">
        <v>0</v>
      </c>
      <c r="AC1070">
        <v>0.10170269727526926</v>
      </c>
      <c r="AD1070">
        <v>0</v>
      </c>
      <c r="AE1070">
        <v>0.72061906474725168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hidden="1" x14ac:dyDescent="0.25">
      <c r="A1071" t="s">
        <v>128</v>
      </c>
      <c r="B1071" t="s">
        <v>503</v>
      </c>
      <c r="C1071" t="s">
        <v>117</v>
      </c>
      <c r="D1071" s="12">
        <v>46232</v>
      </c>
      <c r="G1071">
        <v>30.283106446650986</v>
      </c>
      <c r="H1071">
        <v>73.149999999999991</v>
      </c>
      <c r="J1071">
        <v>73.149999999999991</v>
      </c>
      <c r="M1071">
        <v>24.865255266193156</v>
      </c>
      <c r="Q1071">
        <v>2.7643965447505768E-2</v>
      </c>
      <c r="R1071">
        <v>0</v>
      </c>
      <c r="S1071">
        <v>1.3844811295022021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0.20621141121642256</v>
      </c>
      <c r="Z1071">
        <v>8.2781749927404766E-2</v>
      </c>
      <c r="AA1071">
        <v>6.9719250215106054E-2</v>
      </c>
      <c r="AB1071">
        <v>0</v>
      </c>
      <c r="AC1071">
        <v>0.13683143307531076</v>
      </c>
      <c r="AD1071">
        <v>0</v>
      </c>
      <c r="AE1071">
        <v>0.68801421179037947</v>
      </c>
      <c r="AF1071">
        <v>0</v>
      </c>
      <c r="AG1071">
        <v>0</v>
      </c>
      <c r="AH1071">
        <v>0</v>
      </c>
      <c r="AI1071">
        <v>2.2653354991798848E-2</v>
      </c>
      <c r="AJ1071">
        <v>0</v>
      </c>
    </row>
    <row r="1072" spans="1:36" hidden="1" x14ac:dyDescent="0.25">
      <c r="A1072" t="s">
        <v>128</v>
      </c>
      <c r="B1072" t="s">
        <v>372</v>
      </c>
      <c r="C1072" t="s">
        <v>117</v>
      </c>
      <c r="D1072" s="12">
        <v>46233</v>
      </c>
      <c r="G1072">
        <v>43.264228384591071</v>
      </c>
      <c r="H1072">
        <v>39.899999999999991</v>
      </c>
      <c r="J1072">
        <v>39.899999999999991</v>
      </c>
      <c r="M1072">
        <v>46.127497837370235</v>
      </c>
      <c r="Q1072">
        <v>7.3962502315082751E-2</v>
      </c>
      <c r="R1072">
        <v>0</v>
      </c>
      <c r="S1072">
        <v>0</v>
      </c>
      <c r="T1072">
        <v>0</v>
      </c>
      <c r="U1072">
        <v>0</v>
      </c>
      <c r="V1072">
        <v>1.582186030186232E-2</v>
      </c>
      <c r="W1072">
        <v>3.8092239379778785E-2</v>
      </c>
      <c r="X1072">
        <v>0</v>
      </c>
      <c r="Y1072">
        <v>8.4947152592453612E-3</v>
      </c>
      <c r="Z1072">
        <v>7.8473248526995762E-2</v>
      </c>
      <c r="AA1072">
        <v>4.587375200225547E-2</v>
      </c>
      <c r="AB1072">
        <v>0</v>
      </c>
      <c r="AC1072">
        <v>0</v>
      </c>
      <c r="AD1072">
        <v>0</v>
      </c>
      <c r="AE1072">
        <v>0.7927296099637523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hidden="1" x14ac:dyDescent="0.25">
      <c r="A1073" t="s">
        <v>128</v>
      </c>
      <c r="B1073" t="s">
        <v>502</v>
      </c>
      <c r="C1073" t="s">
        <v>117</v>
      </c>
      <c r="D1073" s="12">
        <v>46233</v>
      </c>
      <c r="G1073">
        <v>33.570533361079391</v>
      </c>
      <c r="H1073">
        <v>75.05</v>
      </c>
      <c r="J1073">
        <v>75.05</v>
      </c>
      <c r="M1073">
        <v>34.692892156862747</v>
      </c>
      <c r="Q1073">
        <v>0</v>
      </c>
      <c r="R1073">
        <v>0</v>
      </c>
      <c r="S1073">
        <v>1.2147592403077372</v>
      </c>
      <c r="T1073">
        <v>0</v>
      </c>
      <c r="U1073">
        <v>8.1997129130224524E-3</v>
      </c>
      <c r="V1073">
        <v>0</v>
      </c>
      <c r="W1073">
        <v>0.13056047739760354</v>
      </c>
      <c r="X1073">
        <v>0</v>
      </c>
      <c r="Y1073">
        <v>6.1633672141700416E-2</v>
      </c>
      <c r="Z1073">
        <v>0.11041841471809075</v>
      </c>
      <c r="AA1073">
        <v>6.9143159221921838E-2</v>
      </c>
      <c r="AB1073">
        <v>0</v>
      </c>
      <c r="AC1073">
        <v>3.618417544380137E-2</v>
      </c>
      <c r="AD1073">
        <v>0</v>
      </c>
      <c r="AE1073">
        <v>0.78425425061618603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hidden="1" x14ac:dyDescent="0.25">
      <c r="A1074" t="s">
        <v>128</v>
      </c>
      <c r="B1074" t="s">
        <v>503</v>
      </c>
      <c r="C1074" t="s">
        <v>117</v>
      </c>
      <c r="D1074" s="12">
        <v>46233</v>
      </c>
      <c r="G1074">
        <v>31.27914594712361</v>
      </c>
      <c r="H1074">
        <v>75.05</v>
      </c>
      <c r="J1074">
        <v>75.05</v>
      </c>
      <c r="M1074">
        <v>27.70726795362107</v>
      </c>
      <c r="Q1074">
        <v>0</v>
      </c>
      <c r="R1074">
        <v>0</v>
      </c>
      <c r="S1074">
        <v>1.3548166881052808</v>
      </c>
      <c r="T1074">
        <v>0</v>
      </c>
      <c r="U1074">
        <v>0</v>
      </c>
      <c r="V1074">
        <v>0</v>
      </c>
      <c r="W1074">
        <v>2.2377374518559773E-2</v>
      </c>
      <c r="X1074">
        <v>0</v>
      </c>
      <c r="Y1074">
        <v>0.16981294822015525</v>
      </c>
      <c r="Z1074">
        <v>0.11153601495025797</v>
      </c>
      <c r="AA1074">
        <v>3.6108809762773447E-2</v>
      </c>
      <c r="AB1074">
        <v>0</v>
      </c>
      <c r="AC1074">
        <v>0.11999010888831893</v>
      </c>
      <c r="AD1074">
        <v>0</v>
      </c>
      <c r="AE1074">
        <v>0.73236506639864962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hidden="1" x14ac:dyDescent="0.25">
      <c r="A1075" t="s">
        <v>128</v>
      </c>
      <c r="B1075" t="s">
        <v>372</v>
      </c>
      <c r="C1075" t="s">
        <v>117</v>
      </c>
      <c r="D1075" s="12">
        <v>46234</v>
      </c>
      <c r="G1075">
        <v>41.07722344334563</v>
      </c>
      <c r="H1075">
        <v>45.6</v>
      </c>
      <c r="J1075">
        <v>45.6</v>
      </c>
      <c r="M1075">
        <v>43.783315311418683</v>
      </c>
      <c r="Q1075">
        <v>8.248700320244709E-2</v>
      </c>
      <c r="R1075">
        <v>0</v>
      </c>
      <c r="S1075">
        <v>0.1102504367198653</v>
      </c>
      <c r="T1075">
        <v>0</v>
      </c>
      <c r="U1075">
        <v>0</v>
      </c>
      <c r="V1075">
        <v>0</v>
      </c>
      <c r="W1075">
        <v>2.6970204078205613E-2</v>
      </c>
      <c r="X1075">
        <v>0</v>
      </c>
      <c r="Y1075">
        <v>3.4237526738703568E-2</v>
      </c>
      <c r="Z1075">
        <v>5.7688043877970517E-2</v>
      </c>
      <c r="AA1075">
        <v>2.679305322506368E-2</v>
      </c>
      <c r="AB1075">
        <v>0</v>
      </c>
      <c r="AC1075">
        <v>1.6785994792820644E-2</v>
      </c>
      <c r="AD1075">
        <v>0</v>
      </c>
      <c r="AE1075">
        <v>0.89873290810414519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hidden="1" x14ac:dyDescent="0.25">
      <c r="A1076" t="s">
        <v>128</v>
      </c>
      <c r="B1076" t="s">
        <v>502</v>
      </c>
      <c r="C1076" t="s">
        <v>117</v>
      </c>
      <c r="D1076" s="12">
        <v>46234</v>
      </c>
      <c r="G1076">
        <v>34.791659695654587</v>
      </c>
      <c r="H1076">
        <v>75.05</v>
      </c>
      <c r="J1076">
        <v>75.05</v>
      </c>
      <c r="M1076">
        <v>35.318634659746252</v>
      </c>
      <c r="Q1076">
        <v>0</v>
      </c>
      <c r="R1076">
        <v>0</v>
      </c>
      <c r="S1076">
        <v>1.1590705089625948</v>
      </c>
      <c r="T1076">
        <v>0</v>
      </c>
      <c r="U1076">
        <v>0</v>
      </c>
      <c r="V1076">
        <v>0</v>
      </c>
      <c r="W1076">
        <v>0.11805864024521617</v>
      </c>
      <c r="X1076">
        <v>0</v>
      </c>
      <c r="Y1076">
        <v>5.621011770193747E-2</v>
      </c>
      <c r="Z1076">
        <v>0.13508653225684597</v>
      </c>
      <c r="AA1076">
        <v>4.1126553938574457E-2</v>
      </c>
      <c r="AB1076">
        <v>0</v>
      </c>
      <c r="AC1076">
        <v>6.1785497477552853E-2</v>
      </c>
      <c r="AD1076">
        <v>0</v>
      </c>
      <c r="AE1076">
        <v>0.76200141632702667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hidden="1" x14ac:dyDescent="0.25">
      <c r="A1077" t="s">
        <v>128</v>
      </c>
      <c r="B1077" t="s">
        <v>503</v>
      </c>
      <c r="C1077" t="s">
        <v>117</v>
      </c>
      <c r="D1077" s="12">
        <v>46234</v>
      </c>
      <c r="G1077">
        <v>32.156370181553385</v>
      </c>
      <c r="H1077">
        <v>75.05</v>
      </c>
      <c r="J1077">
        <v>75.05</v>
      </c>
      <c r="M1077">
        <v>28.696217200115331</v>
      </c>
      <c r="Q1077">
        <v>0</v>
      </c>
      <c r="R1077">
        <v>0</v>
      </c>
      <c r="S1077">
        <v>1.3272206694023481</v>
      </c>
      <c r="T1077">
        <v>0</v>
      </c>
      <c r="U1077">
        <v>0</v>
      </c>
      <c r="V1077">
        <v>0</v>
      </c>
      <c r="W1077">
        <v>4.7111834893809337E-2</v>
      </c>
      <c r="X1077">
        <v>0</v>
      </c>
      <c r="Y1077">
        <v>0.11945579799146502</v>
      </c>
      <c r="Z1077">
        <v>8.271468161833867E-2</v>
      </c>
      <c r="AA1077">
        <v>7.7165919760531998E-2</v>
      </c>
      <c r="AB1077">
        <v>0</v>
      </c>
      <c r="AC1077">
        <v>8.7880025569951711E-2</v>
      </c>
      <c r="AD1077">
        <v>0</v>
      </c>
      <c r="AE1077">
        <v>0.75223937305117761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hidden="1" x14ac:dyDescent="0.25">
      <c r="A1078" t="s">
        <v>128</v>
      </c>
      <c r="B1078" t="s">
        <v>372</v>
      </c>
      <c r="C1078" t="s">
        <v>117</v>
      </c>
      <c r="D1078" s="12">
        <v>46235</v>
      </c>
      <c r="G1078">
        <v>41.899846569613139</v>
      </c>
      <c r="H1078">
        <v>38.950000000000003</v>
      </c>
      <c r="J1078">
        <v>38.950000000000003</v>
      </c>
      <c r="M1078">
        <v>43.001946366782001</v>
      </c>
      <c r="Q1078">
        <v>4.5291842770431384E-2</v>
      </c>
      <c r="R1078">
        <v>0</v>
      </c>
      <c r="S1078">
        <v>2.9009161654368221E-2</v>
      </c>
      <c r="T1078">
        <v>0</v>
      </c>
      <c r="U1078">
        <v>0</v>
      </c>
      <c r="V1078">
        <v>0</v>
      </c>
      <c r="W1078">
        <v>1.5366742924739368E-2</v>
      </c>
      <c r="X1078">
        <v>0</v>
      </c>
      <c r="Y1078">
        <v>1.8671063482683017E-2</v>
      </c>
      <c r="Z1078">
        <v>0.10927223330332389</v>
      </c>
      <c r="AA1078">
        <v>2.4177058659873192E-2</v>
      </c>
      <c r="AB1078">
        <v>0</v>
      </c>
      <c r="AC1078">
        <v>1.0178332933194627E-2</v>
      </c>
      <c r="AD1078">
        <v>0</v>
      </c>
      <c r="AE1078">
        <v>0.85637237510360831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hidden="1" x14ac:dyDescent="0.25">
      <c r="A1079" t="s">
        <v>128</v>
      </c>
      <c r="B1079" t="s">
        <v>502</v>
      </c>
      <c r="C1079" t="s">
        <v>117</v>
      </c>
      <c r="D1079" s="12">
        <v>46235</v>
      </c>
      <c r="G1079">
        <v>30.673999656915377</v>
      </c>
      <c r="H1079">
        <v>64.599999999999994</v>
      </c>
      <c r="J1079">
        <v>64.599999999999994</v>
      </c>
      <c r="M1079">
        <v>34.487081891580168</v>
      </c>
      <c r="Q1079">
        <v>0</v>
      </c>
      <c r="R1079">
        <v>0</v>
      </c>
      <c r="S1079">
        <v>0.99387900125236328</v>
      </c>
      <c r="T1079">
        <v>0</v>
      </c>
      <c r="U1079">
        <v>1.3308201583584433E-2</v>
      </c>
      <c r="V1079">
        <v>0</v>
      </c>
      <c r="W1079">
        <v>0.12021099960308601</v>
      </c>
      <c r="X1079">
        <v>0</v>
      </c>
      <c r="Y1079">
        <v>6.2390163590490495E-2</v>
      </c>
      <c r="Z1079">
        <v>0.16421340379211241</v>
      </c>
      <c r="AA1079">
        <v>7.4411088291584382E-2</v>
      </c>
      <c r="AB1079">
        <v>0</v>
      </c>
      <c r="AC1079">
        <v>0</v>
      </c>
      <c r="AD1079">
        <v>0</v>
      </c>
      <c r="AE1079">
        <v>0.76137550791630326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hidden="1" x14ac:dyDescent="0.25">
      <c r="A1080" t="s">
        <v>128</v>
      </c>
      <c r="B1080" t="s">
        <v>503</v>
      </c>
      <c r="C1080" t="s">
        <v>117</v>
      </c>
      <c r="D1080" s="12">
        <v>46235</v>
      </c>
      <c r="G1080">
        <v>26.793906737676934</v>
      </c>
      <c r="H1080">
        <v>64.599999999999994</v>
      </c>
      <c r="J1080">
        <v>64.599999999999994</v>
      </c>
      <c r="M1080">
        <v>26.386096092848899</v>
      </c>
      <c r="Q1080">
        <v>0</v>
      </c>
      <c r="R1080">
        <v>0</v>
      </c>
      <c r="S1080">
        <v>1.3101614418470013</v>
      </c>
      <c r="T1080">
        <v>0</v>
      </c>
      <c r="U1080">
        <v>6.0200335991783894E-3</v>
      </c>
      <c r="V1080">
        <v>0</v>
      </c>
      <c r="W1080">
        <v>5.3527447308095347E-2</v>
      </c>
      <c r="X1080">
        <v>0</v>
      </c>
      <c r="Y1080">
        <v>0.15834427841619889</v>
      </c>
      <c r="Z1080">
        <v>8.4007677902431396E-2</v>
      </c>
      <c r="AA1080">
        <v>3.304959675162087E-2</v>
      </c>
      <c r="AB1080">
        <v>0</v>
      </c>
      <c r="AC1080">
        <v>4.171815975117054E-2</v>
      </c>
      <c r="AD1080">
        <v>0</v>
      </c>
      <c r="AE1080">
        <v>0.84122456559477732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hidden="1" x14ac:dyDescent="0.25">
      <c r="A1081" t="s">
        <v>128</v>
      </c>
      <c r="B1081" t="s">
        <v>372</v>
      </c>
      <c r="C1081" t="s">
        <v>117</v>
      </c>
      <c r="D1081" s="12">
        <v>46236</v>
      </c>
      <c r="G1081">
        <v>39.970417738958275</v>
      </c>
      <c r="H1081">
        <v>51.300000000000004</v>
      </c>
      <c r="J1081">
        <v>51.300000000000004</v>
      </c>
      <c r="M1081">
        <v>41.633650519031136</v>
      </c>
      <c r="Q1081">
        <v>1.4419849909494084E-2</v>
      </c>
      <c r="R1081">
        <v>0</v>
      </c>
      <c r="S1081">
        <v>0.14505006936827933</v>
      </c>
      <c r="T1081">
        <v>0</v>
      </c>
      <c r="U1081">
        <v>0</v>
      </c>
      <c r="V1081">
        <v>0</v>
      </c>
      <c r="W1081">
        <v>5.48509754707397E-2</v>
      </c>
      <c r="X1081">
        <v>0</v>
      </c>
      <c r="Y1081">
        <v>0.13235463189737093</v>
      </c>
      <c r="Z1081">
        <v>5.9233236628273199E-2</v>
      </c>
      <c r="AA1081">
        <v>1.3340834355846255E-2</v>
      </c>
      <c r="AB1081">
        <v>0</v>
      </c>
      <c r="AC1081">
        <v>1.4318397396939702E-2</v>
      </c>
      <c r="AD1081">
        <v>0</v>
      </c>
      <c r="AE1081">
        <v>0.91310753161894087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hidden="1" x14ac:dyDescent="0.25">
      <c r="A1082" t="s">
        <v>128</v>
      </c>
      <c r="B1082" t="s">
        <v>502</v>
      </c>
      <c r="C1082" t="s">
        <v>117</v>
      </c>
      <c r="D1082" s="12">
        <v>46236</v>
      </c>
      <c r="G1082">
        <v>30.943670337658524</v>
      </c>
      <c r="H1082">
        <v>76</v>
      </c>
      <c r="J1082">
        <v>76</v>
      </c>
      <c r="M1082">
        <v>34.299581891580154</v>
      </c>
      <c r="Q1082">
        <v>0</v>
      </c>
      <c r="R1082">
        <v>0</v>
      </c>
      <c r="S1082">
        <v>1.3552625554605227</v>
      </c>
      <c r="T1082">
        <v>0</v>
      </c>
      <c r="U1082">
        <v>7.1328245292352549E-3</v>
      </c>
      <c r="V1082">
        <v>0</v>
      </c>
      <c r="W1082">
        <v>0.11562283971201891</v>
      </c>
      <c r="X1082">
        <v>0</v>
      </c>
      <c r="Y1082">
        <v>6.627210801044589E-2</v>
      </c>
      <c r="Z1082">
        <v>0.16278230205451807</v>
      </c>
      <c r="AA1082">
        <v>7.893695950694582E-2</v>
      </c>
      <c r="AB1082">
        <v>0</v>
      </c>
      <c r="AC1082">
        <v>0</v>
      </c>
      <c r="AD1082">
        <v>0</v>
      </c>
      <c r="AE1082">
        <v>0.75828073843853594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hidden="1" x14ac:dyDescent="0.25">
      <c r="A1083" t="s">
        <v>128</v>
      </c>
      <c r="B1083" t="s">
        <v>503</v>
      </c>
      <c r="C1083" t="s">
        <v>117</v>
      </c>
      <c r="D1083" s="12">
        <v>46236</v>
      </c>
      <c r="G1083">
        <v>27.777089263877901</v>
      </c>
      <c r="H1083">
        <v>76</v>
      </c>
      <c r="J1083">
        <v>76</v>
      </c>
      <c r="M1083">
        <v>24.689123774509792</v>
      </c>
      <c r="Q1083">
        <v>0</v>
      </c>
      <c r="R1083">
        <v>0</v>
      </c>
      <c r="S1083">
        <v>1.6699122438207805</v>
      </c>
      <c r="T1083">
        <v>0</v>
      </c>
      <c r="U1083">
        <v>0</v>
      </c>
      <c r="V1083">
        <v>0</v>
      </c>
      <c r="W1083">
        <v>5.1725433186776075E-2</v>
      </c>
      <c r="X1083">
        <v>0</v>
      </c>
      <c r="Y1083">
        <v>0.15466551201441106</v>
      </c>
      <c r="Z1083">
        <v>3.5824417373700096E-2</v>
      </c>
      <c r="AA1083">
        <v>0.10441095410222569</v>
      </c>
      <c r="AB1083">
        <v>0</v>
      </c>
      <c r="AC1083">
        <v>5.8483992204983223E-2</v>
      </c>
      <c r="AD1083">
        <v>0</v>
      </c>
      <c r="AE1083">
        <v>0.80128063631909074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hidden="1" x14ac:dyDescent="0.25">
      <c r="A1084" t="s">
        <v>128</v>
      </c>
      <c r="B1084" t="s">
        <v>372</v>
      </c>
      <c r="C1084" t="s">
        <v>117</v>
      </c>
      <c r="D1084" s="12">
        <v>46237</v>
      </c>
      <c r="G1084">
        <v>44.310540874450453</v>
      </c>
      <c r="H1084">
        <v>37.050000000000004</v>
      </c>
      <c r="J1084">
        <v>37.050000000000004</v>
      </c>
      <c r="M1084">
        <v>46.294009515570927</v>
      </c>
      <c r="Q1084">
        <v>8.3122805714790596E-2</v>
      </c>
      <c r="R1084">
        <v>0</v>
      </c>
      <c r="S1084">
        <v>9.1749713323298593E-2</v>
      </c>
      <c r="T1084">
        <v>0</v>
      </c>
      <c r="U1084">
        <v>0</v>
      </c>
      <c r="V1084">
        <v>0</v>
      </c>
      <c r="W1084">
        <v>3.9965528924508775E-3</v>
      </c>
      <c r="X1084">
        <v>0</v>
      </c>
      <c r="Y1084">
        <v>1.6244773388242977E-2</v>
      </c>
      <c r="Z1084">
        <v>0.1573697312495233</v>
      </c>
      <c r="AA1084">
        <v>4.2356451136975136E-2</v>
      </c>
      <c r="AB1084">
        <v>0</v>
      </c>
      <c r="AC1084">
        <v>0</v>
      </c>
      <c r="AD1084">
        <v>0</v>
      </c>
      <c r="AE1084">
        <v>0.72415312087866823</v>
      </c>
      <c r="AF1084">
        <v>0</v>
      </c>
      <c r="AG1084">
        <v>0</v>
      </c>
      <c r="AH1084">
        <v>0</v>
      </c>
      <c r="AI1084">
        <v>7.6120696734833238E-2</v>
      </c>
      <c r="AJ1084">
        <v>0</v>
      </c>
    </row>
    <row r="1085" spans="1:36" hidden="1" x14ac:dyDescent="0.25">
      <c r="A1085" t="s">
        <v>128</v>
      </c>
      <c r="B1085" t="s">
        <v>502</v>
      </c>
      <c r="C1085" t="s">
        <v>117</v>
      </c>
      <c r="D1085" s="12">
        <v>46237</v>
      </c>
      <c r="G1085">
        <v>33.570533361079391</v>
      </c>
      <c r="H1085">
        <v>51.3</v>
      </c>
      <c r="J1085">
        <v>51.3</v>
      </c>
      <c r="M1085">
        <v>34.014850057670131</v>
      </c>
      <c r="Q1085">
        <v>4.6183264233467308E-3</v>
      </c>
      <c r="R1085">
        <v>0</v>
      </c>
      <c r="S1085">
        <v>0.6817273837665796</v>
      </c>
      <c r="T1085">
        <v>0</v>
      </c>
      <c r="U1085">
        <v>8.0892854794374913E-3</v>
      </c>
      <c r="V1085">
        <v>0</v>
      </c>
      <c r="W1085">
        <v>0.10909215226710205</v>
      </c>
      <c r="X1085">
        <v>0</v>
      </c>
      <c r="Y1085">
        <v>5.8569684912258446E-2</v>
      </c>
      <c r="Z1085">
        <v>0.18752757782158039</v>
      </c>
      <c r="AA1085">
        <v>9.8823783604756896E-2</v>
      </c>
      <c r="AB1085">
        <v>0</v>
      </c>
      <c r="AC1085">
        <v>9.7406622038827412E-3</v>
      </c>
      <c r="AD1085">
        <v>0</v>
      </c>
      <c r="AE1085">
        <v>0.66090668651355922</v>
      </c>
      <c r="AF1085">
        <v>0</v>
      </c>
      <c r="AG1085">
        <v>0</v>
      </c>
      <c r="AH1085">
        <v>0</v>
      </c>
      <c r="AI1085">
        <v>4.300128985622069E-2</v>
      </c>
      <c r="AJ1085">
        <v>0</v>
      </c>
    </row>
    <row r="1086" spans="1:36" hidden="1" x14ac:dyDescent="0.25">
      <c r="A1086" t="s">
        <v>128</v>
      </c>
      <c r="B1086" t="s">
        <v>503</v>
      </c>
      <c r="C1086" t="s">
        <v>117</v>
      </c>
      <c r="D1086" s="12">
        <v>46237</v>
      </c>
      <c r="G1086">
        <v>28.281705302196805</v>
      </c>
      <c r="H1086">
        <v>51.3</v>
      </c>
      <c r="J1086">
        <v>51.3</v>
      </c>
      <c r="M1086">
        <v>26.311014994232984</v>
      </c>
      <c r="Q1086">
        <v>4.1962135967606076E-2</v>
      </c>
      <c r="R1086">
        <v>0</v>
      </c>
      <c r="S1086">
        <v>0.86229399402931506</v>
      </c>
      <c r="T1086">
        <v>0</v>
      </c>
      <c r="U1086">
        <v>0</v>
      </c>
      <c r="V1086">
        <v>0</v>
      </c>
      <c r="W1086">
        <v>1.2864007760668525E-2</v>
      </c>
      <c r="X1086">
        <v>0</v>
      </c>
      <c r="Y1086">
        <v>0.17745588341589486</v>
      </c>
      <c r="Z1086">
        <v>0.10964004287023607</v>
      </c>
      <c r="AA1086">
        <v>7.9526289661459568E-2</v>
      </c>
      <c r="AB1086">
        <v>0</v>
      </c>
      <c r="AC1086">
        <v>5.0853299325145096E-2</v>
      </c>
      <c r="AD1086">
        <v>0</v>
      </c>
      <c r="AE1086">
        <v>0.71042626538110842</v>
      </c>
      <c r="AF1086">
        <v>0</v>
      </c>
      <c r="AG1086">
        <v>0</v>
      </c>
      <c r="AH1086">
        <v>0</v>
      </c>
      <c r="AI1086">
        <v>4.9554102762050876E-2</v>
      </c>
      <c r="AJ1086">
        <v>0</v>
      </c>
    </row>
    <row r="1087" spans="1:36" hidden="1" x14ac:dyDescent="0.25">
      <c r="A1087" t="s">
        <v>128</v>
      </c>
      <c r="B1087" t="s">
        <v>372</v>
      </c>
      <c r="C1087" t="s">
        <v>117</v>
      </c>
      <c r="D1087" s="12">
        <v>46238</v>
      </c>
      <c r="G1087">
        <v>45.494516376417593</v>
      </c>
      <c r="H1087">
        <v>38</v>
      </c>
      <c r="J1087">
        <v>38</v>
      </c>
      <c r="M1087">
        <v>48.137351018838906</v>
      </c>
      <c r="Q1087">
        <v>5.2349997621245974E-2</v>
      </c>
      <c r="R1087">
        <v>0</v>
      </c>
      <c r="S1087">
        <v>2.6717053377914041E-2</v>
      </c>
      <c r="T1087">
        <v>0</v>
      </c>
      <c r="U1087">
        <v>0</v>
      </c>
      <c r="V1087">
        <v>0</v>
      </c>
      <c r="W1087">
        <v>4.6995423801141557E-2</v>
      </c>
      <c r="X1087">
        <v>0</v>
      </c>
      <c r="Y1087">
        <v>1.460086165471782E-2</v>
      </c>
      <c r="Z1087">
        <v>0.13765400781424617</v>
      </c>
      <c r="AA1087">
        <v>4.1254142452528036E-2</v>
      </c>
      <c r="AB1087">
        <v>0</v>
      </c>
      <c r="AC1087">
        <v>0</v>
      </c>
      <c r="AD1087">
        <v>0</v>
      </c>
      <c r="AE1087">
        <v>0.74695216186067015</v>
      </c>
      <c r="AF1087">
        <v>0</v>
      </c>
      <c r="AG1087">
        <v>0</v>
      </c>
      <c r="AH1087">
        <v>0</v>
      </c>
      <c r="AI1087">
        <v>7.4139687872555718E-2</v>
      </c>
      <c r="AJ1087">
        <v>0</v>
      </c>
    </row>
    <row r="1088" spans="1:36" hidden="1" x14ac:dyDescent="0.25">
      <c r="A1088" t="s">
        <v>128</v>
      </c>
      <c r="B1088" t="s">
        <v>502</v>
      </c>
      <c r="C1088" t="s">
        <v>117</v>
      </c>
      <c r="D1088" s="12">
        <v>46238</v>
      </c>
      <c r="G1088">
        <v>34.791659695654594</v>
      </c>
      <c r="H1088">
        <v>74.099999999999994</v>
      </c>
      <c r="J1088">
        <v>74.099999999999994</v>
      </c>
      <c r="M1088">
        <v>35.491825259515572</v>
      </c>
      <c r="Q1088">
        <v>0</v>
      </c>
      <c r="R1088">
        <v>0</v>
      </c>
      <c r="S1088">
        <v>1.3067745028846092</v>
      </c>
      <c r="T1088">
        <v>0</v>
      </c>
      <c r="U1088">
        <v>1.6128374233503662E-2</v>
      </c>
      <c r="V1088">
        <v>0</v>
      </c>
      <c r="W1088">
        <v>0.1019302660117125</v>
      </c>
      <c r="X1088">
        <v>0</v>
      </c>
      <c r="Y1088">
        <v>5.9453315769013117E-2</v>
      </c>
      <c r="Z1088">
        <v>0.25653155586491427</v>
      </c>
      <c r="AA1088">
        <v>9.7934117012183033E-2</v>
      </c>
      <c r="AB1088">
        <v>0</v>
      </c>
      <c r="AC1088">
        <v>0</v>
      </c>
      <c r="AD1088">
        <v>0</v>
      </c>
      <c r="AE1088">
        <v>0.64553432712290248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hidden="1" x14ac:dyDescent="0.25">
      <c r="A1089" t="s">
        <v>128</v>
      </c>
      <c r="B1089" t="s">
        <v>503</v>
      </c>
      <c r="C1089" t="s">
        <v>117</v>
      </c>
      <c r="D1089" s="12">
        <v>46238</v>
      </c>
      <c r="G1089">
        <v>28.281705302196805</v>
      </c>
      <c r="H1089">
        <v>74.099999999999994</v>
      </c>
      <c r="J1089">
        <v>74.099999999999994</v>
      </c>
      <c r="M1089">
        <v>27.521655132641285</v>
      </c>
      <c r="Q1089">
        <v>6.6921110166603376E-2</v>
      </c>
      <c r="R1089">
        <v>0</v>
      </c>
      <c r="S1089">
        <v>1.6684688606569293</v>
      </c>
      <c r="T1089">
        <v>0</v>
      </c>
      <c r="U1089">
        <v>0</v>
      </c>
      <c r="V1089">
        <v>0</v>
      </c>
      <c r="W1089">
        <v>3.5550469672719825E-2</v>
      </c>
      <c r="X1089">
        <v>0</v>
      </c>
      <c r="Y1089">
        <v>0.15476942150384357</v>
      </c>
      <c r="Z1089">
        <v>8.6149243624120908E-2</v>
      </c>
      <c r="AA1089">
        <v>0.10301708890757472</v>
      </c>
      <c r="AB1089">
        <v>0</v>
      </c>
      <c r="AC1089">
        <v>3.220146022010692E-2</v>
      </c>
      <c r="AD1089">
        <v>0</v>
      </c>
      <c r="AE1089">
        <v>0.72907810448614663</v>
      </c>
      <c r="AF1089">
        <v>0</v>
      </c>
      <c r="AG1089">
        <v>0</v>
      </c>
      <c r="AH1089">
        <v>0</v>
      </c>
      <c r="AI1089">
        <v>4.955410276205087E-2</v>
      </c>
      <c r="AJ1089">
        <v>0</v>
      </c>
    </row>
    <row r="1090" spans="1:36" hidden="1" x14ac:dyDescent="0.25">
      <c r="A1090" t="s">
        <v>128</v>
      </c>
      <c r="B1090" t="s">
        <v>372</v>
      </c>
      <c r="C1090" t="s">
        <v>117</v>
      </c>
      <c r="D1090" s="12">
        <v>46239</v>
      </c>
      <c r="G1090">
        <v>44.199014950339183</v>
      </c>
      <c r="H1090">
        <v>49.4</v>
      </c>
      <c r="J1090">
        <v>49.4</v>
      </c>
      <c r="M1090">
        <v>45.365268166089962</v>
      </c>
      <c r="Q1090">
        <v>5.6942728003301517E-2</v>
      </c>
      <c r="R1090">
        <v>0</v>
      </c>
      <c r="S1090">
        <v>0.29495415224923516</v>
      </c>
      <c r="T1090">
        <v>0</v>
      </c>
      <c r="U1090">
        <v>0</v>
      </c>
      <c r="V1090">
        <v>0</v>
      </c>
      <c r="W1090">
        <v>2.8735104190321166E-2</v>
      </c>
      <c r="X1090">
        <v>0</v>
      </c>
      <c r="Y1090">
        <v>6.2729907135304838E-2</v>
      </c>
      <c r="Z1090">
        <v>0.20945577131969989</v>
      </c>
      <c r="AA1090">
        <v>5.9291424780218809E-2</v>
      </c>
      <c r="AB1090">
        <v>0</v>
      </c>
      <c r="AC1090">
        <v>0</v>
      </c>
      <c r="AD1090">
        <v>0</v>
      </c>
      <c r="AE1090">
        <v>0.73125280390008141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idden="1" x14ac:dyDescent="0.25">
      <c r="A1091" t="s">
        <v>128</v>
      </c>
      <c r="B1091" t="s">
        <v>502</v>
      </c>
      <c r="C1091" t="s">
        <v>117</v>
      </c>
      <c r="D1091" s="12">
        <v>46239</v>
      </c>
      <c r="G1091">
        <v>33.670423680959566</v>
      </c>
      <c r="H1091">
        <v>60.8</v>
      </c>
      <c r="J1091">
        <v>60.8</v>
      </c>
      <c r="M1091">
        <v>36.116142829680889</v>
      </c>
      <c r="Q1091">
        <v>0</v>
      </c>
      <c r="R1091">
        <v>0</v>
      </c>
      <c r="S1091">
        <v>0.93817890056250541</v>
      </c>
      <c r="T1091">
        <v>0</v>
      </c>
      <c r="U1091">
        <v>3.3771646338456696E-2</v>
      </c>
      <c r="V1091">
        <v>0</v>
      </c>
      <c r="W1091">
        <v>0.10841002598073035</v>
      </c>
      <c r="X1091">
        <v>0</v>
      </c>
      <c r="Y1091">
        <v>5.8347681346724148E-2</v>
      </c>
      <c r="Z1091">
        <v>0.26342451570987602</v>
      </c>
      <c r="AA1091">
        <v>6.9544654980305987E-2</v>
      </c>
      <c r="AB1091">
        <v>0</v>
      </c>
      <c r="AC1091">
        <v>0</v>
      </c>
      <c r="AD1091">
        <v>0</v>
      </c>
      <c r="AE1091">
        <v>0.66703082930981805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hidden="1" x14ac:dyDescent="0.25">
      <c r="A1092" t="s">
        <v>128</v>
      </c>
      <c r="B1092" t="s">
        <v>503</v>
      </c>
      <c r="C1092" t="s">
        <v>117</v>
      </c>
      <c r="D1092" s="12">
        <v>46239</v>
      </c>
      <c r="G1092">
        <v>30.593467588426734</v>
      </c>
      <c r="H1092">
        <v>60.8</v>
      </c>
      <c r="J1092">
        <v>60.8</v>
      </c>
      <c r="M1092">
        <v>26.587917407972942</v>
      </c>
      <c r="Q1092">
        <v>1.5186121916505778E-2</v>
      </c>
      <c r="R1092">
        <v>0</v>
      </c>
      <c r="S1092">
        <v>1.1763854929257762</v>
      </c>
      <c r="T1092">
        <v>0</v>
      </c>
      <c r="U1092">
        <v>0</v>
      </c>
      <c r="V1092">
        <v>0</v>
      </c>
      <c r="W1092">
        <v>2.1669759436308174E-2</v>
      </c>
      <c r="X1092">
        <v>0</v>
      </c>
      <c r="Y1092">
        <v>0.14052361389718998</v>
      </c>
      <c r="Z1092">
        <v>0.20488653839450366</v>
      </c>
      <c r="AA1092">
        <v>0.12391642446733779</v>
      </c>
      <c r="AB1092">
        <v>0</v>
      </c>
      <c r="AC1092">
        <v>4.3867739822878692E-2</v>
      </c>
      <c r="AD1092">
        <v>0</v>
      </c>
      <c r="AE1092">
        <v>0.60490575351111397</v>
      </c>
      <c r="AF1092">
        <v>0</v>
      </c>
      <c r="AG1092">
        <v>0</v>
      </c>
      <c r="AH1092">
        <v>0</v>
      </c>
      <c r="AI1092">
        <v>2.2423543804165915E-2</v>
      </c>
      <c r="AJ1092">
        <v>0</v>
      </c>
    </row>
    <row r="1093" spans="1:36" hidden="1" x14ac:dyDescent="0.25">
      <c r="A1093" t="s">
        <v>128</v>
      </c>
      <c r="B1093" t="s">
        <v>372</v>
      </c>
      <c r="C1093" t="s">
        <v>117</v>
      </c>
      <c r="D1093" s="12">
        <v>46240</v>
      </c>
      <c r="G1093">
        <v>44.451455281615075</v>
      </c>
      <c r="H1093">
        <v>53.2</v>
      </c>
      <c r="J1093">
        <v>53.2</v>
      </c>
      <c r="M1093">
        <v>45.411485840466213</v>
      </c>
      <c r="Q1093">
        <v>4.8099304169424956E-2</v>
      </c>
      <c r="R1093">
        <v>0</v>
      </c>
      <c r="S1093">
        <v>0.35976019673560333</v>
      </c>
      <c r="T1093">
        <v>0</v>
      </c>
      <c r="U1093">
        <v>0</v>
      </c>
      <c r="V1093">
        <v>0</v>
      </c>
      <c r="W1093">
        <v>3.5649216896841224E-2</v>
      </c>
      <c r="X1093">
        <v>0</v>
      </c>
      <c r="Y1093">
        <v>6.2455600221880347E-2</v>
      </c>
      <c r="Z1093">
        <v>0.19890256311599525</v>
      </c>
      <c r="AA1093">
        <v>6.2151240330033414E-2</v>
      </c>
      <c r="AB1093">
        <v>0</v>
      </c>
      <c r="AC1093">
        <v>0</v>
      </c>
      <c r="AD1093">
        <v>0</v>
      </c>
      <c r="AE1093">
        <v>0.73894619655397142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hidden="1" x14ac:dyDescent="0.25">
      <c r="A1094" t="s">
        <v>128</v>
      </c>
      <c r="B1094" t="s">
        <v>502</v>
      </c>
      <c r="C1094" t="s">
        <v>117</v>
      </c>
      <c r="D1094" s="12">
        <v>46240</v>
      </c>
      <c r="G1094">
        <v>34.886987591620844</v>
      </c>
      <c r="H1094">
        <v>68.400000000000006</v>
      </c>
      <c r="J1094">
        <v>68.400000000000006</v>
      </c>
      <c r="M1094">
        <v>30.118750000000002</v>
      </c>
      <c r="Q1094">
        <v>0</v>
      </c>
      <c r="R1094">
        <v>0</v>
      </c>
      <c r="S1094">
        <v>1.1578660899899929</v>
      </c>
      <c r="T1094">
        <v>0</v>
      </c>
      <c r="U1094">
        <v>0</v>
      </c>
      <c r="V1094">
        <v>0</v>
      </c>
      <c r="W1094">
        <v>7.4399313628756597E-2</v>
      </c>
      <c r="X1094">
        <v>0</v>
      </c>
      <c r="Y1094">
        <v>8.615074826587911E-2</v>
      </c>
      <c r="Z1094">
        <v>0.1467237601571946</v>
      </c>
      <c r="AA1094">
        <v>0.2110759922642626</v>
      </c>
      <c r="AB1094">
        <v>0</v>
      </c>
      <c r="AC1094">
        <v>0</v>
      </c>
      <c r="AD1094">
        <v>0</v>
      </c>
      <c r="AE1094">
        <v>0.64220024757854277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hidden="1" x14ac:dyDescent="0.25">
      <c r="A1095" t="s">
        <v>128</v>
      </c>
      <c r="B1095" t="s">
        <v>503</v>
      </c>
      <c r="C1095" t="s">
        <v>117</v>
      </c>
      <c r="D1095" s="12">
        <v>46240</v>
      </c>
      <c r="G1095">
        <v>29.877671416292504</v>
      </c>
      <c r="H1095">
        <v>68.400000000000006</v>
      </c>
      <c r="J1095">
        <v>68.400000000000006</v>
      </c>
      <c r="M1095">
        <v>25.326039579918646</v>
      </c>
      <c r="Q1095">
        <v>3.7259642360039799E-2</v>
      </c>
      <c r="R1095">
        <v>0</v>
      </c>
      <c r="S1095">
        <v>1.3885668680447469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0.1801536338091789</v>
      </c>
      <c r="Z1095">
        <v>0.12596914707171644</v>
      </c>
      <c r="AA1095">
        <v>0.10650923074680479</v>
      </c>
      <c r="AB1095">
        <v>0</v>
      </c>
      <c r="AC1095">
        <v>9.7977619619313533E-2</v>
      </c>
      <c r="AD1095">
        <v>0</v>
      </c>
      <c r="AE1095">
        <v>0.62263691561740198</v>
      </c>
      <c r="AF1095">
        <v>0</v>
      </c>
      <c r="AG1095">
        <v>0</v>
      </c>
      <c r="AH1095">
        <v>0</v>
      </c>
      <c r="AI1095">
        <v>4.6907086944763227E-2</v>
      </c>
      <c r="AJ1095">
        <v>0</v>
      </c>
    </row>
    <row r="1096" spans="1:36" hidden="1" x14ac:dyDescent="0.25">
      <c r="A1096" t="s">
        <v>128</v>
      </c>
      <c r="B1096" t="s">
        <v>372</v>
      </c>
      <c r="C1096" t="s">
        <v>117</v>
      </c>
      <c r="D1096" s="12">
        <v>46241</v>
      </c>
      <c r="G1096">
        <v>41.28803277109941</v>
      </c>
      <c r="H1096">
        <v>36.099999999999994</v>
      </c>
      <c r="J1096">
        <v>36.099999999999994</v>
      </c>
      <c r="M1096">
        <v>42.567906574394463</v>
      </c>
      <c r="Q1096">
        <v>8.4204825739806602E-2</v>
      </c>
      <c r="R1096">
        <v>0</v>
      </c>
      <c r="S1096">
        <v>9.8466290340596382E-2</v>
      </c>
      <c r="T1096">
        <v>0</v>
      </c>
      <c r="U1096">
        <v>0</v>
      </c>
      <c r="V1096">
        <v>0</v>
      </c>
      <c r="W1096">
        <v>4.2891222567960473E-3</v>
      </c>
      <c r="X1096">
        <v>0</v>
      </c>
      <c r="Y1096">
        <v>1.7433978974163634E-2</v>
      </c>
      <c r="Z1096">
        <v>0.18834874333986348</v>
      </c>
      <c r="AA1096">
        <v>5.7495285251136924E-2</v>
      </c>
      <c r="AB1096">
        <v>0</v>
      </c>
      <c r="AC1096">
        <v>0</v>
      </c>
      <c r="AD1096">
        <v>0</v>
      </c>
      <c r="AE1096">
        <v>0.7541559714089997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hidden="1" x14ac:dyDescent="0.25">
      <c r="A1097" t="s">
        <v>128</v>
      </c>
      <c r="B1097" t="s">
        <v>502</v>
      </c>
      <c r="C1097" t="s">
        <v>117</v>
      </c>
      <c r="D1097" s="12">
        <v>46241</v>
      </c>
      <c r="G1097">
        <v>34.866712924895182</v>
      </c>
      <c r="H1097">
        <v>66.5</v>
      </c>
      <c r="J1097">
        <v>66.5</v>
      </c>
      <c r="M1097">
        <v>32.504779411764709</v>
      </c>
      <c r="Q1097">
        <v>0</v>
      </c>
      <c r="R1097">
        <v>0</v>
      </c>
      <c r="S1097">
        <v>1.1020822867319742</v>
      </c>
      <c r="T1097">
        <v>0</v>
      </c>
      <c r="U1097">
        <v>0</v>
      </c>
      <c r="V1097">
        <v>0</v>
      </c>
      <c r="W1097">
        <v>0.11768500740850782</v>
      </c>
      <c r="X1097">
        <v>0</v>
      </c>
      <c r="Y1097">
        <v>4.3351184040781997E-2</v>
      </c>
      <c r="Z1097">
        <v>0.17042843770689547</v>
      </c>
      <c r="AA1097">
        <v>0.18542679649594526</v>
      </c>
      <c r="AB1097">
        <v>0</v>
      </c>
      <c r="AC1097">
        <v>0</v>
      </c>
      <c r="AD1097">
        <v>0</v>
      </c>
      <c r="AE1097">
        <v>0.64414476579715918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hidden="1" x14ac:dyDescent="0.25">
      <c r="A1098" t="s">
        <v>128</v>
      </c>
      <c r="B1098" t="s">
        <v>503</v>
      </c>
      <c r="C1098" t="s">
        <v>117</v>
      </c>
      <c r="D1098" s="12">
        <v>46241</v>
      </c>
      <c r="G1098">
        <v>32.175767752914361</v>
      </c>
      <c r="H1098">
        <v>66.5</v>
      </c>
      <c r="J1098">
        <v>66.5</v>
      </c>
      <c r="M1098">
        <v>24.987053056516714</v>
      </c>
      <c r="Q1098">
        <v>0</v>
      </c>
      <c r="R1098">
        <v>0</v>
      </c>
      <c r="S1098">
        <v>1.2673698875209409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0.15988057248305601</v>
      </c>
      <c r="Z1098">
        <v>0.1977280885843189</v>
      </c>
      <c r="AA1098">
        <v>0.16274962148345698</v>
      </c>
      <c r="AB1098">
        <v>0</v>
      </c>
      <c r="AC1098">
        <v>6.0670523502718746E-2</v>
      </c>
      <c r="AD1098">
        <v>0</v>
      </c>
      <c r="AE1098">
        <v>0.57885176642950531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hidden="1" x14ac:dyDescent="0.25">
      <c r="A1099" t="s">
        <v>128</v>
      </c>
      <c r="B1099" t="s">
        <v>372</v>
      </c>
      <c r="C1099" t="s">
        <v>117</v>
      </c>
      <c r="D1099" s="12">
        <v>46242</v>
      </c>
      <c r="G1099">
        <v>40.023176804576735</v>
      </c>
      <c r="H1099">
        <v>36.099999999999994</v>
      </c>
      <c r="J1099">
        <v>36.099999999999994</v>
      </c>
      <c r="M1099">
        <v>43.509083044982695</v>
      </c>
      <c r="Q1099">
        <v>9.9188332400012333E-2</v>
      </c>
      <c r="R1099">
        <v>0</v>
      </c>
      <c r="S1099">
        <v>0.10157812914956409</v>
      </c>
      <c r="T1099">
        <v>0</v>
      </c>
      <c r="U1099">
        <v>0</v>
      </c>
      <c r="V1099">
        <v>0</v>
      </c>
      <c r="W1099">
        <v>4.4246717636266912E-3</v>
      </c>
      <c r="X1099">
        <v>0</v>
      </c>
      <c r="Y1099">
        <v>1.7984946540615724E-2</v>
      </c>
      <c r="Z1099">
        <v>0.14579983606289218</v>
      </c>
      <c r="AA1099">
        <v>1.651581401736996E-2</v>
      </c>
      <c r="AB1099">
        <v>0</v>
      </c>
      <c r="AC1099">
        <v>0</v>
      </c>
      <c r="AD1099">
        <v>0</v>
      </c>
      <c r="AE1099">
        <v>0.77798962871169275</v>
      </c>
      <c r="AF1099">
        <v>0</v>
      </c>
      <c r="AG1099">
        <v>0</v>
      </c>
      <c r="AH1099">
        <v>0</v>
      </c>
      <c r="AI1099">
        <v>5.9694721208045046E-2</v>
      </c>
      <c r="AJ1099">
        <v>0</v>
      </c>
    </row>
    <row r="1100" spans="1:36" hidden="1" x14ac:dyDescent="0.25">
      <c r="A1100" t="s">
        <v>128</v>
      </c>
      <c r="B1100" t="s">
        <v>502</v>
      </c>
      <c r="C1100" t="s">
        <v>117</v>
      </c>
      <c r="D1100" s="12">
        <v>46242</v>
      </c>
      <c r="G1100">
        <v>30.943670337658528</v>
      </c>
      <c r="H1100">
        <v>58.9</v>
      </c>
      <c r="J1100">
        <v>58.9</v>
      </c>
      <c r="M1100">
        <v>34.067531718569775</v>
      </c>
      <c r="Q1100">
        <v>0</v>
      </c>
      <c r="R1100">
        <v>0</v>
      </c>
      <c r="S1100">
        <v>0.98803884235340844</v>
      </c>
      <c r="T1100">
        <v>0</v>
      </c>
      <c r="U1100">
        <v>5.9451670522277875E-3</v>
      </c>
      <c r="V1100">
        <v>0</v>
      </c>
      <c r="W1100">
        <v>0.11479069800819242</v>
      </c>
      <c r="X1100">
        <v>0</v>
      </c>
      <c r="Y1100">
        <v>6.7104249714272368E-2</v>
      </c>
      <c r="Z1100">
        <v>0.18800393279428879</v>
      </c>
      <c r="AA1100">
        <v>8.4416276315851912E-2</v>
      </c>
      <c r="AB1100">
        <v>0</v>
      </c>
      <c r="AC1100">
        <v>0</v>
      </c>
      <c r="AD1100">
        <v>0</v>
      </c>
      <c r="AE1100">
        <v>0.72757979088985925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hidden="1" x14ac:dyDescent="0.25">
      <c r="A1101" t="s">
        <v>128</v>
      </c>
      <c r="B1101" t="s">
        <v>503</v>
      </c>
      <c r="C1101" t="s">
        <v>117</v>
      </c>
      <c r="D1101" s="12">
        <v>46242</v>
      </c>
      <c r="G1101">
        <v>27.328541674261082</v>
      </c>
      <c r="H1101">
        <v>58.9</v>
      </c>
      <c r="J1101">
        <v>58.9</v>
      </c>
      <c r="M1101">
        <v>24.361620530565165</v>
      </c>
      <c r="Q1101">
        <v>8.9863665476746565E-3</v>
      </c>
      <c r="R1101">
        <v>0</v>
      </c>
      <c r="S1101">
        <v>1.2140640197116588</v>
      </c>
      <c r="T1101">
        <v>0</v>
      </c>
      <c r="U1101">
        <v>0</v>
      </c>
      <c r="V1101">
        <v>0</v>
      </c>
      <c r="W1101">
        <v>1.3312678035617751E-2</v>
      </c>
      <c r="X1101">
        <v>0</v>
      </c>
      <c r="Y1101">
        <v>0.17492569303205077</v>
      </c>
      <c r="Z1101">
        <v>7.2693982512657518E-2</v>
      </c>
      <c r="AA1101">
        <v>0.12307008472249743</v>
      </c>
      <c r="AB1101">
        <v>0</v>
      </c>
      <c r="AC1101">
        <v>7.7938872930649683E-3</v>
      </c>
      <c r="AD1101">
        <v>0</v>
      </c>
      <c r="AE1101">
        <v>0.74515959697760925</v>
      </c>
      <c r="AF1101">
        <v>0</v>
      </c>
      <c r="AG1101">
        <v>0</v>
      </c>
      <c r="AH1101">
        <v>0</v>
      </c>
      <c r="AI1101">
        <v>5.128244849417099E-2</v>
      </c>
      <c r="AJ1101">
        <v>0</v>
      </c>
    </row>
    <row r="1102" spans="1:36" hidden="1" x14ac:dyDescent="0.25">
      <c r="A1102" t="s">
        <v>128</v>
      </c>
      <c r="B1102" t="s">
        <v>372</v>
      </c>
      <c r="C1102" t="s">
        <v>117</v>
      </c>
      <c r="D1102" s="12">
        <v>46243</v>
      </c>
      <c r="G1102">
        <v>41.938879203540424</v>
      </c>
      <c r="H1102">
        <v>38.949999999999996</v>
      </c>
      <c r="J1102">
        <v>38.949999999999996</v>
      </c>
      <c r="M1102">
        <v>44.384083044982695</v>
      </c>
      <c r="Q1102">
        <v>8.4891768401203285E-2</v>
      </c>
      <c r="R1102">
        <v>0</v>
      </c>
      <c r="S1102">
        <v>9.6938199103993483E-2</v>
      </c>
      <c r="T1102">
        <v>0</v>
      </c>
      <c r="U1102">
        <v>0</v>
      </c>
      <c r="V1102">
        <v>0</v>
      </c>
      <c r="W1102">
        <v>4.222559678774147E-3</v>
      </c>
      <c r="X1102">
        <v>0</v>
      </c>
      <c r="Y1102">
        <v>1.7163422315662598E-2</v>
      </c>
      <c r="Z1102">
        <v>0.20408536672468391</v>
      </c>
      <c r="AA1102">
        <v>3.0810341710311596E-2</v>
      </c>
      <c r="AB1102">
        <v>0</v>
      </c>
      <c r="AC1102">
        <v>0</v>
      </c>
      <c r="AD1102">
        <v>0</v>
      </c>
      <c r="AE1102">
        <v>0.76510429156500448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hidden="1" x14ac:dyDescent="0.25">
      <c r="A1103" t="s">
        <v>128</v>
      </c>
      <c r="B1103" t="s">
        <v>502</v>
      </c>
      <c r="C1103" t="s">
        <v>117</v>
      </c>
      <c r="D1103" s="12">
        <v>46243</v>
      </c>
      <c r="G1103">
        <v>30.943670337658524</v>
      </c>
      <c r="H1103">
        <v>72.2</v>
      </c>
      <c r="J1103">
        <v>72.2</v>
      </c>
      <c r="M1103">
        <v>35.067531718569782</v>
      </c>
      <c r="Q1103">
        <v>0</v>
      </c>
      <c r="R1103">
        <v>0</v>
      </c>
      <c r="S1103">
        <v>1.4128668233653003</v>
      </c>
      <c r="T1103">
        <v>0</v>
      </c>
      <c r="U1103">
        <v>1.0930451721811198E-2</v>
      </c>
      <c r="V1103">
        <v>0</v>
      </c>
      <c r="W1103">
        <v>0.14212220023195304</v>
      </c>
      <c r="X1103">
        <v>0</v>
      </c>
      <c r="Y1103">
        <v>3.977274749051176E-2</v>
      </c>
      <c r="Z1103">
        <v>0.18800393279428879</v>
      </c>
      <c r="AA1103">
        <v>8.4416276315851912E-2</v>
      </c>
      <c r="AB1103">
        <v>0</v>
      </c>
      <c r="AC1103">
        <v>0</v>
      </c>
      <c r="AD1103">
        <v>0</v>
      </c>
      <c r="AE1103">
        <v>0.72757979088985913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hidden="1" x14ac:dyDescent="0.25">
      <c r="A1104" t="s">
        <v>128</v>
      </c>
      <c r="B1104" t="s">
        <v>503</v>
      </c>
      <c r="C1104" t="s">
        <v>117</v>
      </c>
      <c r="D1104" s="12">
        <v>46243</v>
      </c>
      <c r="G1104">
        <v>27.440678571665288</v>
      </c>
      <c r="H1104">
        <v>72.2</v>
      </c>
      <c r="J1104">
        <v>72.2</v>
      </c>
      <c r="M1104">
        <v>24.250893886966544</v>
      </c>
      <c r="Q1104">
        <v>1.0557389789051221E-2</v>
      </c>
      <c r="R1104">
        <v>0</v>
      </c>
      <c r="S1104">
        <v>1.6886764631252194</v>
      </c>
      <c r="T1104">
        <v>0</v>
      </c>
      <c r="U1104">
        <v>0</v>
      </c>
      <c r="V1104">
        <v>0</v>
      </c>
      <c r="W1104">
        <v>8.9709522680338893E-3</v>
      </c>
      <c r="X1104">
        <v>0</v>
      </c>
      <c r="Y1104">
        <v>0.17951980896662756</v>
      </c>
      <c r="Z1104">
        <v>0.10089500679619576</v>
      </c>
      <c r="AA1104">
        <v>9.4069066551576014E-2</v>
      </c>
      <c r="AB1104">
        <v>0</v>
      </c>
      <c r="AC1104">
        <v>4.7754890073943332E-2</v>
      </c>
      <c r="AD1104">
        <v>0</v>
      </c>
      <c r="AE1104">
        <v>0.70620815486470256</v>
      </c>
      <c r="AF1104">
        <v>0</v>
      </c>
      <c r="AG1104">
        <v>0</v>
      </c>
      <c r="AH1104">
        <v>0</v>
      </c>
      <c r="AI1104">
        <v>5.1072881713582513E-2</v>
      </c>
      <c r="AJ1104">
        <v>0</v>
      </c>
    </row>
    <row r="1105" spans="1:36" hidden="1" x14ac:dyDescent="0.25">
      <c r="A1105" t="s">
        <v>128</v>
      </c>
      <c r="B1105" t="s">
        <v>372</v>
      </c>
      <c r="C1105" t="s">
        <v>117</v>
      </c>
      <c r="D1105" s="12">
        <v>46244</v>
      </c>
      <c r="G1105">
        <v>41.991638269158869</v>
      </c>
      <c r="H1105">
        <v>36.1</v>
      </c>
      <c r="J1105">
        <v>36.1</v>
      </c>
      <c r="M1105">
        <v>44.373756487889267</v>
      </c>
      <c r="Q1105">
        <v>7.3605042486696193E-2</v>
      </c>
      <c r="R1105">
        <v>0</v>
      </c>
      <c r="S1105">
        <v>5.1569300739132844E-2</v>
      </c>
      <c r="T1105">
        <v>0</v>
      </c>
      <c r="U1105">
        <v>0</v>
      </c>
      <c r="V1105">
        <v>0</v>
      </c>
      <c r="W1105">
        <v>1.5629293906996564E-2</v>
      </c>
      <c r="X1105">
        <v>0</v>
      </c>
      <c r="Y1105">
        <v>1.7141857876609677E-2</v>
      </c>
      <c r="Z1105">
        <v>0.1921395453764593</v>
      </c>
      <c r="AA1105">
        <v>3.2505941958080445E-2</v>
      </c>
      <c r="AB1105">
        <v>0</v>
      </c>
      <c r="AC1105">
        <v>0</v>
      </c>
      <c r="AD1105">
        <v>0</v>
      </c>
      <c r="AE1105">
        <v>0.7753545126654604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hidden="1" x14ac:dyDescent="0.25">
      <c r="A1106" t="s">
        <v>128</v>
      </c>
      <c r="B1106" t="s">
        <v>502</v>
      </c>
      <c r="C1106" t="s">
        <v>117</v>
      </c>
      <c r="D1106" s="12">
        <v>46244</v>
      </c>
      <c r="G1106">
        <v>33.695950256997243</v>
      </c>
      <c r="H1106">
        <v>51.3</v>
      </c>
      <c r="J1106">
        <v>51.3</v>
      </c>
      <c r="M1106">
        <v>33.695955882352941</v>
      </c>
      <c r="Q1106">
        <v>0</v>
      </c>
      <c r="R1106">
        <v>0</v>
      </c>
      <c r="S1106">
        <v>0.68521706996566401</v>
      </c>
      <c r="T1106">
        <v>0</v>
      </c>
      <c r="U1106">
        <v>0</v>
      </c>
      <c r="V1106">
        <v>0</v>
      </c>
      <c r="W1106">
        <v>0.12594190730577443</v>
      </c>
      <c r="X1106">
        <v>0</v>
      </c>
      <c r="Y1106">
        <v>4.1502307681653305E-2</v>
      </c>
      <c r="Z1106">
        <v>0.20428139968907791</v>
      </c>
      <c r="AA1106">
        <v>0.12594174036121117</v>
      </c>
      <c r="AB1106">
        <v>0</v>
      </c>
      <c r="AC1106">
        <v>0</v>
      </c>
      <c r="AD1106">
        <v>0</v>
      </c>
      <c r="AE1106">
        <v>0.66977685994971092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hidden="1" x14ac:dyDescent="0.25">
      <c r="A1107" t="s">
        <v>128</v>
      </c>
      <c r="B1107" t="s">
        <v>503</v>
      </c>
      <c r="C1107" t="s">
        <v>117</v>
      </c>
      <c r="D1107" s="12">
        <v>46244</v>
      </c>
      <c r="G1107">
        <v>26.998782961124352</v>
      </c>
      <c r="H1107">
        <v>51.3</v>
      </c>
      <c r="J1107">
        <v>51.3</v>
      </c>
      <c r="M1107">
        <v>26.40703575547866</v>
      </c>
      <c r="Q1107">
        <v>7.9591454944243842E-2</v>
      </c>
      <c r="R1107">
        <v>0</v>
      </c>
      <c r="S1107">
        <v>0.90326829391185803</v>
      </c>
      <c r="T1107">
        <v>0</v>
      </c>
      <c r="U1107">
        <v>0</v>
      </c>
      <c r="V1107">
        <v>0</v>
      </c>
      <c r="W1107">
        <v>3.5079158000156506E-2</v>
      </c>
      <c r="X1107">
        <v>0</v>
      </c>
      <c r="Y1107">
        <v>0.16428431268487828</v>
      </c>
      <c r="Z1107">
        <v>5.3588643054955747E-2</v>
      </c>
      <c r="AA1107">
        <v>0.10926250650071129</v>
      </c>
      <c r="AB1107">
        <v>0</v>
      </c>
      <c r="AC1107">
        <v>6.3979879293055597E-2</v>
      </c>
      <c r="AD1107">
        <v>0</v>
      </c>
      <c r="AE1107">
        <v>0.73347400344708358</v>
      </c>
      <c r="AF1107">
        <v>0</v>
      </c>
      <c r="AG1107">
        <v>0</v>
      </c>
      <c r="AH1107">
        <v>0</v>
      </c>
      <c r="AI1107">
        <v>3.9694967704193819E-2</v>
      </c>
      <c r="AJ1107">
        <v>0</v>
      </c>
    </row>
    <row r="1108" spans="1:36" hidden="1" x14ac:dyDescent="0.25">
      <c r="A1108" t="s">
        <v>128</v>
      </c>
      <c r="B1108" t="s">
        <v>372</v>
      </c>
      <c r="C1108" t="s">
        <v>117</v>
      </c>
      <c r="D1108" s="12">
        <v>46245</v>
      </c>
      <c r="G1108">
        <v>45.37322940100907</v>
      </c>
      <c r="H1108">
        <v>48.449999999999996</v>
      </c>
      <c r="J1108">
        <v>48.449999999999996</v>
      </c>
      <c r="M1108">
        <v>47.134299307958472</v>
      </c>
      <c r="Q1108">
        <v>6.1124854959403445E-2</v>
      </c>
      <c r="R1108">
        <v>0</v>
      </c>
      <c r="S1108">
        <v>0.26870170931731324</v>
      </c>
      <c r="T1108">
        <v>0</v>
      </c>
      <c r="U1108">
        <v>0</v>
      </c>
      <c r="V1108">
        <v>0</v>
      </c>
      <c r="W1108">
        <v>2.4637541452278689E-2</v>
      </c>
      <c r="X1108">
        <v>0</v>
      </c>
      <c r="Y1108">
        <v>5.9809327133523237E-2</v>
      </c>
      <c r="Z1108">
        <v>0.16405102113368861</v>
      </c>
      <c r="AA1108">
        <v>4.6949423868223525E-2</v>
      </c>
      <c r="AB1108">
        <v>0</v>
      </c>
      <c r="AC1108">
        <v>0</v>
      </c>
      <c r="AD1108">
        <v>0</v>
      </c>
      <c r="AE1108">
        <v>0.71466168465938384</v>
      </c>
      <c r="AF1108">
        <v>0</v>
      </c>
      <c r="AG1108">
        <v>0</v>
      </c>
      <c r="AH1108">
        <v>0</v>
      </c>
      <c r="AI1108">
        <v>7.4337870338703801E-2</v>
      </c>
      <c r="AJ1108">
        <v>0</v>
      </c>
    </row>
    <row r="1109" spans="1:36" hidden="1" x14ac:dyDescent="0.25">
      <c r="A1109" t="s">
        <v>128</v>
      </c>
      <c r="B1109" t="s">
        <v>502</v>
      </c>
      <c r="C1109" t="s">
        <v>117</v>
      </c>
      <c r="D1109" s="12">
        <v>46245</v>
      </c>
      <c r="G1109">
        <v>34.976270049925063</v>
      </c>
      <c r="H1109">
        <v>72.2</v>
      </c>
      <c r="J1109">
        <v>72.2</v>
      </c>
      <c r="M1109">
        <v>32.758455882352941</v>
      </c>
      <c r="Q1109">
        <v>0</v>
      </c>
      <c r="R1109">
        <v>0</v>
      </c>
      <c r="S1109">
        <v>1.2576824298879936</v>
      </c>
      <c r="T1109">
        <v>0</v>
      </c>
      <c r="U1109">
        <v>0</v>
      </c>
      <c r="V1109">
        <v>0</v>
      </c>
      <c r="W1109">
        <v>9.4527868155392838E-2</v>
      </c>
      <c r="X1109">
        <v>0</v>
      </c>
      <c r="Y1109">
        <v>6.6786987058861352E-2</v>
      </c>
      <c r="Z1109">
        <v>0.19680360062772589</v>
      </c>
      <c r="AA1109">
        <v>0.15793697851525718</v>
      </c>
      <c r="AB1109">
        <v>0</v>
      </c>
      <c r="AC1109">
        <v>0</v>
      </c>
      <c r="AD1109">
        <v>0</v>
      </c>
      <c r="AE1109">
        <v>0.64525942085701682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hidden="1" x14ac:dyDescent="0.25">
      <c r="A1110" t="s">
        <v>128</v>
      </c>
      <c r="B1110" t="s">
        <v>503</v>
      </c>
      <c r="C1110" t="s">
        <v>117</v>
      </c>
      <c r="D1110" s="12">
        <v>46245</v>
      </c>
      <c r="G1110">
        <v>28.225636853494706</v>
      </c>
      <c r="H1110">
        <v>72.2</v>
      </c>
      <c r="J1110">
        <v>72.2</v>
      </c>
      <c r="M1110">
        <v>25.292416378316027</v>
      </c>
      <c r="Q1110">
        <v>6.1843929395066437E-2</v>
      </c>
      <c r="R1110">
        <v>0</v>
      </c>
      <c r="S1110">
        <v>1.6491633106597301</v>
      </c>
      <c r="T1110">
        <v>0</v>
      </c>
      <c r="U1110">
        <v>0</v>
      </c>
      <c r="V1110">
        <v>0</v>
      </c>
      <c r="W1110">
        <v>1.0225471221684134E-2</v>
      </c>
      <c r="X1110">
        <v>0</v>
      </c>
      <c r="Y1110">
        <v>0.17153351203424486</v>
      </c>
      <c r="Z1110">
        <v>7.4551642547904459E-2</v>
      </c>
      <c r="AA1110">
        <v>0.1487598855643158</v>
      </c>
      <c r="AB1110">
        <v>0</v>
      </c>
      <c r="AC1110">
        <v>3.3114316150939217E-2</v>
      </c>
      <c r="AD1110">
        <v>0</v>
      </c>
      <c r="AE1110">
        <v>0.69392161687277665</v>
      </c>
      <c r="AF1110">
        <v>0</v>
      </c>
      <c r="AG1110">
        <v>0</v>
      </c>
      <c r="AH1110">
        <v>0</v>
      </c>
      <c r="AI1110">
        <v>4.9652538864063872E-2</v>
      </c>
      <c r="AJ1110">
        <v>0</v>
      </c>
    </row>
    <row r="1111" spans="1:36" hidden="1" x14ac:dyDescent="0.25">
      <c r="A1111" t="s">
        <v>128</v>
      </c>
      <c r="B1111" t="s">
        <v>372</v>
      </c>
      <c r="C1111" t="s">
        <v>117</v>
      </c>
      <c r="D1111" s="12">
        <v>46246</v>
      </c>
      <c r="G1111">
        <v>43.740194648757424</v>
      </c>
      <c r="H1111">
        <v>46.550000000000004</v>
      </c>
      <c r="J1111">
        <v>46.550000000000004</v>
      </c>
      <c r="M1111">
        <v>45.009083044982695</v>
      </c>
      <c r="Q1111">
        <v>6.4315268336356743E-2</v>
      </c>
      <c r="R1111">
        <v>0</v>
      </c>
      <c r="S1111">
        <v>0.18945235729909993</v>
      </c>
      <c r="T1111">
        <v>0</v>
      </c>
      <c r="U1111">
        <v>0</v>
      </c>
      <c r="V1111">
        <v>0</v>
      </c>
      <c r="W1111">
        <v>7.6031508862296811E-3</v>
      </c>
      <c r="X1111">
        <v>0</v>
      </c>
      <c r="Y1111">
        <v>8.4821298421270841E-2</v>
      </c>
      <c r="Z1111">
        <v>0.14503984261773872</v>
      </c>
      <c r="AA1111">
        <v>4.2908754167030626E-2</v>
      </c>
      <c r="AB1111">
        <v>0</v>
      </c>
      <c r="AC1111">
        <v>0</v>
      </c>
      <c r="AD1111">
        <v>0</v>
      </c>
      <c r="AE1111">
        <v>0.76064255953196358</v>
      </c>
      <c r="AF1111">
        <v>0</v>
      </c>
      <c r="AG1111">
        <v>0</v>
      </c>
      <c r="AH1111">
        <v>0</v>
      </c>
      <c r="AI1111">
        <v>5.1408843683267182E-2</v>
      </c>
      <c r="AJ1111">
        <v>0</v>
      </c>
    </row>
    <row r="1112" spans="1:36" hidden="1" x14ac:dyDescent="0.25">
      <c r="A1112" t="s">
        <v>128</v>
      </c>
      <c r="B1112" t="s">
        <v>502</v>
      </c>
      <c r="C1112" t="s">
        <v>117</v>
      </c>
      <c r="D1112" s="12">
        <v>46246</v>
      </c>
      <c r="G1112">
        <v>34.986877911501018</v>
      </c>
      <c r="H1112">
        <v>60.8</v>
      </c>
      <c r="J1112">
        <v>60.8</v>
      </c>
      <c r="M1112">
        <v>32.633455882352941</v>
      </c>
      <c r="Q1112">
        <v>0</v>
      </c>
      <c r="R1112">
        <v>0</v>
      </c>
      <c r="S1112">
        <v>0.93146465904280118</v>
      </c>
      <c r="T1112">
        <v>0</v>
      </c>
      <c r="U1112">
        <v>0</v>
      </c>
      <c r="V1112">
        <v>0</v>
      </c>
      <c r="W1112">
        <v>6.9489831301795729E-2</v>
      </c>
      <c r="X1112">
        <v>0</v>
      </c>
      <c r="Y1112">
        <v>9.1776113985182678E-2</v>
      </c>
      <c r="Z1112">
        <v>0.21818053904843113</v>
      </c>
      <c r="AA1112">
        <v>0.13675567980365536</v>
      </c>
      <c r="AB1112">
        <v>0</v>
      </c>
      <c r="AC1112">
        <v>0</v>
      </c>
      <c r="AD1112">
        <v>0</v>
      </c>
      <c r="AE1112">
        <v>0.64506378114791363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hidden="1" x14ac:dyDescent="0.25">
      <c r="A1113" t="s">
        <v>128</v>
      </c>
      <c r="B1113" t="s">
        <v>503</v>
      </c>
      <c r="C1113" t="s">
        <v>117</v>
      </c>
      <c r="D1113" s="12">
        <v>46246</v>
      </c>
      <c r="G1113">
        <v>30.283106446650983</v>
      </c>
      <c r="H1113">
        <v>60.8</v>
      </c>
      <c r="J1113">
        <v>60.8</v>
      </c>
      <c r="M1113">
        <v>23.749596309111876</v>
      </c>
      <c r="Q1113">
        <v>2.5416398351815889E-2</v>
      </c>
      <c r="R1113">
        <v>0</v>
      </c>
      <c r="S1113">
        <v>1.1884418632124925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0.16385563742866041</v>
      </c>
      <c r="Z1113">
        <v>0.10216544237301918</v>
      </c>
      <c r="AA1113">
        <v>0.12720047806486351</v>
      </c>
      <c r="AB1113">
        <v>0</v>
      </c>
      <c r="AC1113">
        <v>0.11396360618070424</v>
      </c>
      <c r="AD1113">
        <v>0</v>
      </c>
      <c r="AE1113">
        <v>0.54145894353393742</v>
      </c>
      <c r="AF1113">
        <v>0</v>
      </c>
      <c r="AG1113">
        <v>0</v>
      </c>
      <c r="AH1113">
        <v>0</v>
      </c>
      <c r="AI1113">
        <v>0.11521152984747578</v>
      </c>
      <c r="AJ1113">
        <v>0</v>
      </c>
    </row>
    <row r="1114" spans="1:36" hidden="1" x14ac:dyDescent="0.25">
      <c r="A1114" t="s">
        <v>128</v>
      </c>
      <c r="B1114" t="s">
        <v>372</v>
      </c>
      <c r="C1114" t="s">
        <v>117</v>
      </c>
      <c r="D1114" s="12">
        <v>46247</v>
      </c>
      <c r="G1114">
        <v>43.264228384591071</v>
      </c>
      <c r="H1114">
        <v>41.8</v>
      </c>
      <c r="J1114">
        <v>41.8</v>
      </c>
      <c r="M1114">
        <v>45.130958044982691</v>
      </c>
      <c r="Q1114">
        <v>4.6087580806209484E-2</v>
      </c>
      <c r="R1114">
        <v>0</v>
      </c>
      <c r="S1114">
        <v>0.13788479871643314</v>
      </c>
      <c r="T1114">
        <v>0</v>
      </c>
      <c r="U1114">
        <v>0</v>
      </c>
      <c r="V1114">
        <v>0</v>
      </c>
      <c r="W1114">
        <v>4.2933356066595645E-2</v>
      </c>
      <c r="X1114">
        <v>0</v>
      </c>
      <c r="Y1114">
        <v>2.1838242134290062E-2</v>
      </c>
      <c r="Z1114">
        <v>0.13462297871353082</v>
      </c>
      <c r="AA1114">
        <v>4.587375200225547E-2</v>
      </c>
      <c r="AB1114">
        <v>0</v>
      </c>
      <c r="AC1114">
        <v>0</v>
      </c>
      <c r="AD1114">
        <v>0</v>
      </c>
      <c r="AE1114">
        <v>0.74154165133792482</v>
      </c>
      <c r="AF1114">
        <v>0</v>
      </c>
      <c r="AG1114">
        <v>0</v>
      </c>
      <c r="AH1114">
        <v>0</v>
      </c>
      <c r="AI1114">
        <v>7.7961617946288864E-2</v>
      </c>
      <c r="AJ1114">
        <v>0</v>
      </c>
    </row>
    <row r="1115" spans="1:36" hidden="1" x14ac:dyDescent="0.25">
      <c r="A1115" t="s">
        <v>128</v>
      </c>
      <c r="B1115" t="s">
        <v>502</v>
      </c>
      <c r="C1115" t="s">
        <v>117</v>
      </c>
      <c r="D1115" s="12">
        <v>46247</v>
      </c>
      <c r="G1115">
        <v>33.570533361079391</v>
      </c>
      <c r="H1115">
        <v>74.099999999999994</v>
      </c>
      <c r="J1115">
        <v>74.099999999999994</v>
      </c>
      <c r="M1115">
        <v>32.876967993079582</v>
      </c>
      <c r="Q1115">
        <v>0</v>
      </c>
      <c r="R1115">
        <v>0</v>
      </c>
      <c r="S1115">
        <v>1.3689837159761589</v>
      </c>
      <c r="T1115">
        <v>0</v>
      </c>
      <c r="U1115">
        <v>0</v>
      </c>
      <c r="V1115">
        <v>0</v>
      </c>
      <c r="W1115">
        <v>4.7988835596798243E-2</v>
      </c>
      <c r="X1115">
        <v>0</v>
      </c>
      <c r="Y1115">
        <v>0.11967300158256224</v>
      </c>
      <c r="Z1115">
        <v>0.26070387083055219</v>
      </c>
      <c r="AA1115">
        <v>6.86487804520058E-2</v>
      </c>
      <c r="AB1115">
        <v>0</v>
      </c>
      <c r="AC1115">
        <v>0</v>
      </c>
      <c r="AD1115">
        <v>0</v>
      </c>
      <c r="AE1115">
        <v>0.67064734871744203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hidden="1" x14ac:dyDescent="0.25">
      <c r="A1116" t="s">
        <v>128</v>
      </c>
      <c r="B1116" t="s">
        <v>503</v>
      </c>
      <c r="C1116" t="s">
        <v>117</v>
      </c>
      <c r="D1116" s="12">
        <v>46247</v>
      </c>
      <c r="G1116">
        <v>31.27914594712361</v>
      </c>
      <c r="H1116">
        <v>74.099999999999994</v>
      </c>
      <c r="J1116">
        <v>74.099999999999994</v>
      </c>
      <c r="M1116">
        <v>27.542848904267586</v>
      </c>
      <c r="Q1116">
        <v>2.2931384918769136E-2</v>
      </c>
      <c r="R1116">
        <v>0</v>
      </c>
      <c r="S1116">
        <v>1.508581618652878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0.17208177884718448</v>
      </c>
      <c r="Z1116">
        <v>0.14117029544139026</v>
      </c>
      <c r="AA1116">
        <v>9.6085321919256741E-2</v>
      </c>
      <c r="AB1116">
        <v>0</v>
      </c>
      <c r="AC1116">
        <v>5.6916013775326402E-2</v>
      </c>
      <c r="AD1116">
        <v>0</v>
      </c>
      <c r="AE1116">
        <v>0.63141110161341152</v>
      </c>
      <c r="AF1116">
        <v>0</v>
      </c>
      <c r="AG1116">
        <v>0</v>
      </c>
      <c r="AH1116">
        <v>0</v>
      </c>
      <c r="AI1116">
        <v>7.4417267250614996E-2</v>
      </c>
      <c r="AJ1116">
        <v>0</v>
      </c>
    </row>
    <row r="1117" spans="1:36" hidden="1" x14ac:dyDescent="0.25">
      <c r="A1117" t="s">
        <v>128</v>
      </c>
      <c r="B1117" t="s">
        <v>372</v>
      </c>
      <c r="C1117" t="s">
        <v>117</v>
      </c>
      <c r="D1117" s="12">
        <v>46248</v>
      </c>
      <c r="G1117">
        <v>41.07722344334563</v>
      </c>
      <c r="H1117">
        <v>55.100000000000009</v>
      </c>
      <c r="J1117">
        <v>55.100000000000009</v>
      </c>
      <c r="M1117">
        <v>40.533531574394459</v>
      </c>
      <c r="Q1117">
        <v>2.3810777214583124E-2</v>
      </c>
      <c r="R1117">
        <v>0</v>
      </c>
      <c r="S1117">
        <v>0.38946455043869066</v>
      </c>
      <c r="T1117">
        <v>0</v>
      </c>
      <c r="U1117">
        <v>0</v>
      </c>
      <c r="V1117">
        <v>0</v>
      </c>
      <c r="W1117">
        <v>3.2660950866820498E-2</v>
      </c>
      <c r="X1117">
        <v>0</v>
      </c>
      <c r="Y1117">
        <v>0.10106292585808632</v>
      </c>
      <c r="Z1117">
        <v>0.10661899416607723</v>
      </c>
      <c r="AA1117">
        <v>4.3579048017884293E-2</v>
      </c>
      <c r="AB1117">
        <v>0</v>
      </c>
      <c r="AC1117">
        <v>2.6128527654363406E-2</v>
      </c>
      <c r="AD1117">
        <v>0</v>
      </c>
      <c r="AE1117">
        <v>0.76893183272934129</v>
      </c>
      <c r="AF1117">
        <v>0</v>
      </c>
      <c r="AG1117">
        <v>0</v>
      </c>
      <c r="AH1117">
        <v>0</v>
      </c>
      <c r="AI1117">
        <v>5.4741597432333776E-2</v>
      </c>
      <c r="AJ1117">
        <v>0</v>
      </c>
    </row>
    <row r="1118" spans="1:36" hidden="1" x14ac:dyDescent="0.25">
      <c r="A1118" t="s">
        <v>128</v>
      </c>
      <c r="B1118" t="s">
        <v>502</v>
      </c>
      <c r="C1118" t="s">
        <v>117</v>
      </c>
      <c r="D1118" s="12">
        <v>46248</v>
      </c>
      <c r="G1118">
        <v>34.791659695654594</v>
      </c>
      <c r="H1118">
        <v>72.199999999999989</v>
      </c>
      <c r="J1118">
        <v>72.199999999999989</v>
      </c>
      <c r="M1118">
        <v>33.939467993079582</v>
      </c>
      <c r="Q1118">
        <v>0</v>
      </c>
      <c r="R1118">
        <v>0</v>
      </c>
      <c r="S1118">
        <v>1.2682920877329402</v>
      </c>
      <c r="T1118">
        <v>0</v>
      </c>
      <c r="U1118">
        <v>0</v>
      </c>
      <c r="V1118">
        <v>0</v>
      </c>
      <c r="W1118">
        <v>7.8417913739750683E-2</v>
      </c>
      <c r="X1118">
        <v>0</v>
      </c>
      <c r="Y1118">
        <v>8.2965668040974938E-2</v>
      </c>
      <c r="Z1118">
        <v>0.2515536214609701</v>
      </c>
      <c r="AA1118">
        <v>0.1029120514161273</v>
      </c>
      <c r="AB1118">
        <v>0</v>
      </c>
      <c r="AC1118">
        <v>0</v>
      </c>
      <c r="AD1118">
        <v>0</v>
      </c>
      <c r="AE1118">
        <v>0.64553432712290248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hidden="1" x14ac:dyDescent="0.25">
      <c r="A1119" t="s">
        <v>128</v>
      </c>
      <c r="B1119" t="s">
        <v>503</v>
      </c>
      <c r="C1119" t="s">
        <v>117</v>
      </c>
      <c r="D1119" s="12">
        <v>46248</v>
      </c>
      <c r="G1119">
        <v>32.156370181553378</v>
      </c>
      <c r="H1119">
        <v>72.199999999999989</v>
      </c>
      <c r="J1119">
        <v>72.199999999999989</v>
      </c>
      <c r="M1119">
        <v>27.174769319492498</v>
      </c>
      <c r="Q1119">
        <v>1.4375886117040573E-2</v>
      </c>
      <c r="R1119">
        <v>0</v>
      </c>
      <c r="S1119">
        <v>1.4453932112205132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0.15997701666492309</v>
      </c>
      <c r="Z1119">
        <v>0.13320325985643999</v>
      </c>
      <c r="AA1119">
        <v>0.14484988334059531</v>
      </c>
      <c r="AB1119">
        <v>0</v>
      </c>
      <c r="AC1119">
        <v>2.9609084243513117E-2</v>
      </c>
      <c r="AD1119">
        <v>0</v>
      </c>
      <c r="AE1119">
        <v>0.61029898241617941</v>
      </c>
      <c r="AF1119">
        <v>0</v>
      </c>
      <c r="AG1119">
        <v>0</v>
      </c>
      <c r="AH1119">
        <v>0</v>
      </c>
      <c r="AI1119">
        <v>8.2038790143272228E-2</v>
      </c>
      <c r="AJ1119">
        <v>0</v>
      </c>
    </row>
    <row r="1120" spans="1:36" hidden="1" x14ac:dyDescent="0.25">
      <c r="A1120" t="s">
        <v>128</v>
      </c>
      <c r="B1120" t="s">
        <v>372</v>
      </c>
      <c r="C1120" t="s">
        <v>117</v>
      </c>
      <c r="D1120" s="12">
        <v>46249</v>
      </c>
      <c r="G1120">
        <v>41.899846569613139</v>
      </c>
      <c r="H1120">
        <v>37.049999999999997</v>
      </c>
      <c r="J1120">
        <v>37.049999999999997</v>
      </c>
      <c r="M1120">
        <v>44.185323853806217</v>
      </c>
      <c r="Q1120">
        <v>7.0732513676981246E-2</v>
      </c>
      <c r="R1120">
        <v>0</v>
      </c>
      <c r="S1120">
        <v>9.7028503807923855E-2</v>
      </c>
      <c r="T1120">
        <v>0</v>
      </c>
      <c r="U1120">
        <v>0</v>
      </c>
      <c r="V1120">
        <v>0</v>
      </c>
      <c r="W1120">
        <v>1.8169074890721254E-2</v>
      </c>
      <c r="X1120">
        <v>0</v>
      </c>
      <c r="Y1120">
        <v>1.5868731516701134E-2</v>
      </c>
      <c r="Z1120">
        <v>0.21245947062605527</v>
      </c>
      <c r="AA1120">
        <v>3.435539159306783E-2</v>
      </c>
      <c r="AB1120">
        <v>0</v>
      </c>
      <c r="AC1120">
        <v>0</v>
      </c>
      <c r="AD1120">
        <v>0</v>
      </c>
      <c r="AE1120">
        <v>0.75318513778087681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hidden="1" x14ac:dyDescent="0.25">
      <c r="A1121" t="s">
        <v>128</v>
      </c>
      <c r="B1121" t="s">
        <v>502</v>
      </c>
      <c r="C1121" t="s">
        <v>117</v>
      </c>
      <c r="D1121" s="12">
        <v>46249</v>
      </c>
      <c r="G1121">
        <v>30.673999656915377</v>
      </c>
      <c r="H1121">
        <v>57</v>
      </c>
      <c r="J1121">
        <v>57</v>
      </c>
      <c r="M1121">
        <v>32.744002306805072</v>
      </c>
      <c r="Q1121">
        <v>0</v>
      </c>
      <c r="R1121">
        <v>0</v>
      </c>
      <c r="S1121">
        <v>0.94524549255195345</v>
      </c>
      <c r="T1121">
        <v>0</v>
      </c>
      <c r="U1121">
        <v>0</v>
      </c>
      <c r="V1121">
        <v>0</v>
      </c>
      <c r="W1121">
        <v>0.10906852607456717</v>
      </c>
      <c r="X1121">
        <v>0</v>
      </c>
      <c r="Y1121">
        <v>7.3532637119009328E-2</v>
      </c>
      <c r="Z1121">
        <v>0.1915744706822651</v>
      </c>
      <c r="AA1121">
        <v>7.802087654342893E-2</v>
      </c>
      <c r="AB1121">
        <v>0</v>
      </c>
      <c r="AC1121">
        <v>0</v>
      </c>
      <c r="AD1121">
        <v>0</v>
      </c>
      <c r="AE1121">
        <v>0.730404652774306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hidden="1" x14ac:dyDescent="0.25">
      <c r="A1122" t="s">
        <v>128</v>
      </c>
      <c r="B1122" t="s">
        <v>503</v>
      </c>
      <c r="C1122" t="s">
        <v>117</v>
      </c>
      <c r="D1122" s="12">
        <v>46249</v>
      </c>
      <c r="G1122">
        <v>26.793906737676934</v>
      </c>
      <c r="H1122">
        <v>57</v>
      </c>
      <c r="J1122">
        <v>57</v>
      </c>
      <c r="M1122">
        <v>23.261274509803915</v>
      </c>
      <c r="Q1122">
        <v>1.0812232146414245E-2</v>
      </c>
      <c r="R1122">
        <v>0</v>
      </c>
      <c r="S1122">
        <v>1.1333728658463917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0.19879529621597261</v>
      </c>
      <c r="Z1122">
        <v>7.2594790235667186E-2</v>
      </c>
      <c r="AA1122">
        <v>7.9918306867156022E-2</v>
      </c>
      <c r="AB1122">
        <v>0</v>
      </c>
      <c r="AC1122">
        <v>6.2738536909017997E-2</v>
      </c>
      <c r="AD1122">
        <v>0</v>
      </c>
      <c r="AE1122">
        <v>0.73244264795487246</v>
      </c>
      <c r="AF1122">
        <v>0</v>
      </c>
      <c r="AG1122">
        <v>0</v>
      </c>
      <c r="AH1122">
        <v>0</v>
      </c>
      <c r="AI1122">
        <v>5.2305718033286298E-2</v>
      </c>
      <c r="AJ1122">
        <v>0</v>
      </c>
    </row>
    <row r="1123" spans="1:36" hidden="1" x14ac:dyDescent="0.25">
      <c r="A1123" t="s">
        <v>128</v>
      </c>
      <c r="B1123" t="s">
        <v>372</v>
      </c>
      <c r="C1123" t="s">
        <v>117</v>
      </c>
      <c r="D1123" s="12">
        <v>46250</v>
      </c>
      <c r="G1123">
        <v>39.970417738958275</v>
      </c>
      <c r="H1123">
        <v>35.15</v>
      </c>
      <c r="J1123">
        <v>35.15</v>
      </c>
      <c r="M1123">
        <v>42.567460532006912</v>
      </c>
      <c r="Q1123">
        <v>7.5058908298592159E-2</v>
      </c>
      <c r="R1123">
        <v>0</v>
      </c>
      <c r="S1123">
        <v>5.41770525535561E-2</v>
      </c>
      <c r="T1123">
        <v>0</v>
      </c>
      <c r="U1123">
        <v>0</v>
      </c>
      <c r="V1123">
        <v>0</v>
      </c>
      <c r="W1123">
        <v>1.7574445316256921E-2</v>
      </c>
      <c r="X1123">
        <v>0</v>
      </c>
      <c r="Y1123">
        <v>1.8106414347291912E-2</v>
      </c>
      <c r="Z1123">
        <v>0.20656589165145603</v>
      </c>
      <c r="AA1123">
        <v>2.7659231752785955E-2</v>
      </c>
      <c r="AB1123">
        <v>0</v>
      </c>
      <c r="AC1123">
        <v>0</v>
      </c>
      <c r="AD1123">
        <v>0</v>
      </c>
      <c r="AE1123">
        <v>0.76577487659575794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hidden="1" x14ac:dyDescent="0.25">
      <c r="A1124" t="s">
        <v>128</v>
      </c>
      <c r="B1124" t="s">
        <v>502</v>
      </c>
      <c r="C1124" t="s">
        <v>117</v>
      </c>
      <c r="D1124" s="12">
        <v>46250</v>
      </c>
      <c r="G1124">
        <v>30.943670337658524</v>
      </c>
      <c r="H1124">
        <v>47.5</v>
      </c>
      <c r="J1124">
        <v>47.5</v>
      </c>
      <c r="M1124">
        <v>33.431502306805072</v>
      </c>
      <c r="Q1124">
        <v>0</v>
      </c>
      <c r="R1124">
        <v>0</v>
      </c>
      <c r="S1124">
        <v>0.614793779741583</v>
      </c>
      <c r="T1124">
        <v>0</v>
      </c>
      <c r="U1124">
        <v>1.0778859079932094E-2</v>
      </c>
      <c r="V1124">
        <v>0</v>
      </c>
      <c r="W1124">
        <v>0.11601640352299022</v>
      </c>
      <c r="X1124">
        <v>0</v>
      </c>
      <c r="Y1124">
        <v>6.5878544199474573E-2</v>
      </c>
      <c r="Z1124">
        <v>0.18990492025860312</v>
      </c>
      <c r="AA1124">
        <v>8.2515288851537583E-2</v>
      </c>
      <c r="AB1124">
        <v>0</v>
      </c>
      <c r="AC1124">
        <v>0</v>
      </c>
      <c r="AD1124">
        <v>0</v>
      </c>
      <c r="AE1124">
        <v>0.72757979088985913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hidden="1" x14ac:dyDescent="0.25">
      <c r="A1125" t="s">
        <v>128</v>
      </c>
      <c r="B1125" t="s">
        <v>503</v>
      </c>
      <c r="C1125" t="s">
        <v>117</v>
      </c>
      <c r="D1125" s="12">
        <v>46250</v>
      </c>
      <c r="G1125">
        <v>27.777089263877894</v>
      </c>
      <c r="H1125">
        <v>47.5</v>
      </c>
      <c r="J1125">
        <v>47.5</v>
      </c>
      <c r="M1125">
        <v>23.625893886966548</v>
      </c>
      <c r="Q1125">
        <v>1.3076652779245593E-2</v>
      </c>
      <c r="R1125">
        <v>0</v>
      </c>
      <c r="S1125">
        <v>0.74115557708069291</v>
      </c>
      <c r="T1125">
        <v>0</v>
      </c>
      <c r="U1125">
        <v>0</v>
      </c>
      <c r="V1125">
        <v>0</v>
      </c>
      <c r="W1125">
        <v>2.0998546365739133E-2</v>
      </c>
      <c r="X1125">
        <v>0</v>
      </c>
      <c r="Y1125">
        <v>0.17277881541137757</v>
      </c>
      <c r="Z1125">
        <v>7.6004652055428223E-2</v>
      </c>
      <c r="AA1125">
        <v>9.8431567139823137E-2</v>
      </c>
      <c r="AB1125">
        <v>0</v>
      </c>
      <c r="AC1125">
        <v>8.5090369835596438E-2</v>
      </c>
      <c r="AD1125">
        <v>0</v>
      </c>
      <c r="AE1125">
        <v>0.6900190772728706</v>
      </c>
      <c r="AF1125">
        <v>0</v>
      </c>
      <c r="AG1125">
        <v>0</v>
      </c>
      <c r="AH1125">
        <v>0</v>
      </c>
      <c r="AI1125">
        <v>5.0454333696281724E-2</v>
      </c>
      <c r="AJ11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5AE2428-9785-4577-8B6E-315F42DC8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0DA8C-6012-47E1-B59D-5757DA4D5C55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6ef9c2c-1ad1-4c09-9d1c-8c71a768c11f"/>
    <ds:schemaRef ds:uri="f574b478-68e4-495d-9b17-0f93d51a8ef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430B266-53C0-41AB-B031-A9D00437F9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DFC47C-1447-4337-BA3D-135A6AAD4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Unit1Path</vt:lpstr>
      <vt:lpstr>FILEPATH</vt:lpstr>
      <vt:lpstr>DateAlignment!!</vt:lpstr>
      <vt:lpstr>Masterlist</vt:lpstr>
      <vt:lpstr>IMPORT Table_Masterlist</vt:lpstr>
      <vt:lpstr>InefficienciesAGL2Day32</vt:lpstr>
      <vt:lpstr>IMPORT InefficienciesAGL2Day321</vt:lpstr>
      <vt:lpstr>FILEPATH!Client</vt:lpstr>
      <vt:lpstr>Unit1Path!Client</vt:lpstr>
      <vt:lpstr>FILEPATH!Location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2023-01-07T08:03:22Z</dcterms:created>
  <dcterms:modified xsi:type="dcterms:W3CDTF">2026-09-25T05:24:31Z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