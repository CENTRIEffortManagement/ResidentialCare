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E-O-I\"/>
    </mc:Choice>
  </mc:AlternateContent>
  <xr:revisionPtr revIDLastSave="0" documentId="13_ncr:1_{FDF5D251-155F-424B-8B3D-233618F2F7B4}" xr6:coauthVersionLast="47" xr6:coauthVersionMax="47" xr10:uidLastSave="{00000000-0000-0000-0000-000000000000}"/>
  <bookViews>
    <workbookView xWindow="-120" yWindow="-120" windowWidth="38640" windowHeight="21120" firstSheet="8" activeTab="8" xr2:uid="{1B4A878F-5AED-48FA-9E86-A71CD1F5A3BF}"/>
  </bookViews>
  <sheets>
    <sheet name="Facility3 - StaffList (2)" sheetId="11" r:id="rId1"/>
    <sheet name="Facility3 - StaffList" sheetId="10" r:id="rId2"/>
    <sheet name="Unit1Path" sheetId="9" r:id="rId3"/>
    <sheet name="MasterStaffList-All" sheetId="8" r:id="rId4"/>
    <sheet name="FILEPATH-EffortALL" sheetId="2" r:id="rId5"/>
    <sheet name="ResShiftAllocation1" sheetId="7" r:id="rId6"/>
    <sheet name="Facility2 - ResAllocation" sheetId="6" r:id="rId7"/>
    <sheet name="Facility1 - ResAllocation" sheetId="5" r:id="rId8"/>
    <sheet name="Table_Masterlist" sheetId="4" r:id="rId9"/>
    <sheet name="FILEPATH-Role" sheetId="3" r:id="rId10"/>
    <sheet name="Sheet1" sheetId="1" r:id="rId11"/>
  </sheets>
  <externalReferences>
    <externalReference r:id="rId12"/>
    <externalReference r:id="rId13"/>
    <externalReference r:id="rId14"/>
    <externalReference r:id="rId15"/>
  </externalReferences>
  <definedNames>
    <definedName name="ABCap">#REF!</definedName>
    <definedName name="ABGoal">#REF!</definedName>
    <definedName name="Client" localSheetId="4">'FILEPATH-EffortALL'!$B$14</definedName>
    <definedName name="Client" localSheetId="9">'FILEPATH-Role'!$B$14</definedName>
    <definedName name="Client" localSheetId="2">Unit1Path!$B$21</definedName>
    <definedName name="Client">#REF!</definedName>
    <definedName name="Contractor_Margin">#REF!</definedName>
    <definedName name="Date" localSheetId="4">[1]FILEPATH!$B$21</definedName>
    <definedName name="Date" localSheetId="9">#REF!</definedName>
    <definedName name="Date">#REF!</definedName>
    <definedName name="Directory" localSheetId="4">#REF!</definedName>
    <definedName name="Directory" localSheetId="9">#REF!</definedName>
    <definedName name="Directory">#REF!</definedName>
    <definedName name="EFCap">#REF!</definedName>
    <definedName name="EFGoal">#REF!</definedName>
    <definedName name="ExternalData_1" localSheetId="9" hidden="1">'FILEPATH-Role'!$A$1:$B$8</definedName>
    <definedName name="ExternalData_1" localSheetId="3" hidden="1">'MasterStaffList-All'!$A$1:$Z$252</definedName>
    <definedName name="ExternalData_1" localSheetId="2" hidden="1">Unit1Path!$A$3:$B$12</definedName>
    <definedName name="ExternalData_2" localSheetId="1" hidden="1">'Facility3 - StaffList'!$A$1:$Z$72</definedName>
    <definedName name="ExternalData_2" localSheetId="8" hidden="1">Table_Masterlist!$A$1:$Z$252</definedName>
    <definedName name="ExternalData_3" localSheetId="7" hidden="1">'Facility1 - ResAllocation'!$A$1:$Z$130</definedName>
    <definedName name="ExternalData_3" localSheetId="0" hidden="1">'Facility3 - StaffList (2)'!$A$1:$Z$72</definedName>
    <definedName name="ExternalData_4" localSheetId="6" hidden="1">'Facility2 - ResAllocation'!$A$1:$Z$52</definedName>
    <definedName name="ExternalData_5" localSheetId="5" hidden="1">'ResShiftAllocation1'!$A$1:$H$983</definedName>
    <definedName name="Facility">#REF!</definedName>
    <definedName name="FilePathUrl" localSheetId="2">Unit1Path!$B$1</definedName>
    <definedName name="FilePathUrl">'FILEPATH-Role'!$B$18</definedName>
    <definedName name="FromArray_1" localSheetId="9">_xlfn.ANCHORARRAY('FILEPATH-Role'!$B$18)</definedName>
    <definedName name="FromArray_1">_xlfn.ANCHORARRAY(#REF!)</definedName>
    <definedName name="FTE" localSheetId="9">#REF!</definedName>
    <definedName name="FTE">#REF!</definedName>
    <definedName name="HRS" localSheetId="9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4">'FILEPATH-EffortALL'!$B$18</definedName>
    <definedName name="Location" localSheetId="9">'FILEPATH-Role'!#REF!</definedName>
    <definedName name="Location" localSheetId="2">Unit1Path!#REF!</definedName>
    <definedName name="Location">#REF!</definedName>
    <definedName name="MAIT_date_adjusted_for_example" localSheetId="9">#REF!</definedName>
    <definedName name="MAIT_date_adjusted_for_example">#REF!</definedName>
    <definedName name="Max_HRS" localSheetId="9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9">'FILEPATH-Role'!$B$35</definedName>
    <definedName name="Role" localSheetId="2">Unit1Path!$B$42</definedName>
    <definedName name="Role">#REF!</definedName>
    <definedName name="ROLE_TITLE" localSheetId="9">#REF!</definedName>
    <definedName name="ROLE_TITLE">#REF!</definedName>
    <definedName name="Type" localSheetId="4">[1]FILEPATH!$B$19</definedName>
    <definedName name="Type" localSheetId="9">#REF!</definedName>
    <definedName name="Type">#REF!</definedName>
    <definedName name="UNIT" localSheetId="9">#REF!</definedName>
    <definedName name="UNIT">[2]RN!$M$2</definedName>
    <definedName name="xxxxRange" localSheetId="2">#REF!</definedName>
    <definedName name="xxxxRange">'FILEPATH-Role'!$B$22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8" l="1"/>
  <c r="AA29" i="8"/>
  <c r="AA37" i="8"/>
  <c r="AA121" i="8"/>
  <c r="AA53" i="8"/>
  <c r="AA104" i="8"/>
  <c r="AA124" i="8"/>
  <c r="AA128" i="8"/>
  <c r="AA81" i="8"/>
  <c r="AA90" i="8"/>
  <c r="AA10" i="8"/>
  <c r="AA17" i="8"/>
  <c r="AA94" i="8"/>
  <c r="AA95" i="8"/>
  <c r="AA24" i="8"/>
  <c r="AA25" i="8"/>
  <c r="AA26" i="8"/>
  <c r="AA27" i="8"/>
  <c r="AA28" i="8"/>
  <c r="AA30" i="8"/>
  <c r="AA96" i="8"/>
  <c r="AA120" i="8"/>
  <c r="AA31" i="8"/>
  <c r="AA32" i="8"/>
  <c r="AA33" i="8"/>
  <c r="AA34" i="8"/>
  <c r="AA97" i="8"/>
  <c r="AA35" i="8"/>
  <c r="AA36" i="8"/>
  <c r="AA38" i="8"/>
  <c r="AA39" i="8"/>
  <c r="AA40" i="8"/>
  <c r="AA41" i="8"/>
  <c r="AA42" i="8"/>
  <c r="AA98" i="8"/>
  <c r="AA43" i="8"/>
  <c r="AA44" i="8"/>
  <c r="AA45" i="8"/>
  <c r="AA46" i="8"/>
  <c r="AA47" i="8"/>
  <c r="AA48" i="8"/>
  <c r="AA49" i="8"/>
  <c r="AA122" i="8"/>
  <c r="AA50" i="8"/>
  <c r="AA51" i="8"/>
  <c r="AA52" i="8"/>
  <c r="AA99" i="8"/>
  <c r="AA100" i="8"/>
  <c r="AA101" i="8"/>
  <c r="AA54" i="8"/>
  <c r="AA102" i="8"/>
  <c r="AA55" i="8"/>
  <c r="AA56" i="8"/>
  <c r="AA103" i="8"/>
  <c r="AA57" i="8"/>
  <c r="AA123" i="8"/>
  <c r="AA58" i="8"/>
  <c r="AA59" i="8"/>
  <c r="AA60" i="8"/>
  <c r="AA61" i="8"/>
  <c r="AA62" i="8"/>
  <c r="AA105" i="8"/>
  <c r="AA63" i="8"/>
  <c r="AA106" i="8"/>
  <c r="AA64" i="8"/>
  <c r="AA65" i="8"/>
  <c r="AA66" i="8"/>
  <c r="AA67" i="8"/>
  <c r="AA68" i="8"/>
  <c r="AA69" i="8"/>
  <c r="AA70" i="8"/>
  <c r="AA71" i="8"/>
  <c r="AA107" i="8"/>
  <c r="AA125" i="8"/>
  <c r="AA126" i="8"/>
  <c r="AA72" i="8"/>
  <c r="AA73" i="8"/>
  <c r="AA127" i="8"/>
  <c r="AA108" i="8"/>
  <c r="AA74" i="8"/>
  <c r="AA129" i="8"/>
  <c r="AA75" i="8"/>
  <c r="AA76" i="8"/>
  <c r="AA77" i="8"/>
  <c r="AA78" i="8"/>
  <c r="AA79" i="8"/>
  <c r="AA109" i="8"/>
  <c r="AA110" i="8"/>
  <c r="AA80" i="8"/>
  <c r="AA82" i="8"/>
  <c r="AA111" i="8"/>
  <c r="AA83" i="8"/>
  <c r="AA84" i="8"/>
  <c r="AA85" i="8"/>
  <c r="AA86" i="8"/>
  <c r="AA87" i="8"/>
  <c r="AA88" i="8"/>
  <c r="AA130" i="8"/>
  <c r="AA89" i="8"/>
  <c r="AA3" i="8"/>
  <c r="AA112" i="8"/>
  <c r="AA113" i="8"/>
  <c r="AA4" i="8"/>
  <c r="AA5" i="8"/>
  <c r="AA6" i="8"/>
  <c r="AA7" i="8"/>
  <c r="AA8" i="8"/>
  <c r="AA114" i="8"/>
  <c r="AA9" i="8"/>
  <c r="AA11" i="8"/>
  <c r="AA91" i="8"/>
  <c r="AA12" i="8"/>
  <c r="AA13" i="8"/>
  <c r="AA92" i="8"/>
  <c r="AA14" i="8"/>
  <c r="AA15" i="8"/>
  <c r="AA115" i="8"/>
  <c r="AA116" i="8"/>
  <c r="AA16" i="8"/>
  <c r="AA18" i="8"/>
  <c r="AA19" i="8"/>
  <c r="AA93" i="8"/>
  <c r="AA20" i="8"/>
  <c r="AA117" i="8"/>
  <c r="AA118" i="8"/>
  <c r="AA21" i="8"/>
  <c r="AA119" i="8"/>
  <c r="AA22" i="8"/>
  <c r="AA23" i="8"/>
  <c r="AA131" i="8"/>
  <c r="AA142" i="8"/>
  <c r="AA150" i="8"/>
  <c r="AA160" i="8"/>
  <c r="AA168" i="8"/>
  <c r="AA171" i="8"/>
  <c r="AA181" i="8"/>
  <c r="AA172" i="8"/>
  <c r="AA173" i="8"/>
  <c r="AA132" i="8"/>
  <c r="AA133" i="8"/>
  <c r="AA134" i="8"/>
  <c r="AA135" i="8"/>
  <c r="AA136" i="8"/>
  <c r="AA137" i="8"/>
  <c r="AA138" i="8"/>
  <c r="AA139" i="8"/>
  <c r="AA140" i="8"/>
  <c r="AA141" i="8"/>
  <c r="AA143" i="8"/>
  <c r="AA144" i="8"/>
  <c r="AA145" i="8"/>
  <c r="AA174" i="8"/>
  <c r="AA176" i="8"/>
  <c r="AA177" i="8"/>
  <c r="AA146" i="8"/>
  <c r="AA147" i="8"/>
  <c r="AA148" i="8"/>
  <c r="AA149" i="8"/>
  <c r="AA151" i="8"/>
  <c r="AA152" i="8"/>
  <c r="AA153" i="8"/>
  <c r="AA154" i="8"/>
  <c r="AA155" i="8"/>
  <c r="AA156" i="8"/>
  <c r="AA175" i="8"/>
  <c r="AA157" i="8"/>
  <c r="AA158" i="8"/>
  <c r="AA159" i="8"/>
  <c r="AA161" i="8"/>
  <c r="AA178" i="8"/>
  <c r="AA179" i="8"/>
  <c r="AA180" i="8"/>
  <c r="AA162" i="8"/>
  <c r="AA163" i="8"/>
  <c r="AA164" i="8"/>
  <c r="AA165" i="8"/>
  <c r="AA166" i="8"/>
  <c r="AA167" i="8"/>
  <c r="AA169" i="8"/>
  <c r="AA170" i="8"/>
  <c r="AA182" i="8"/>
  <c r="AA246" i="8"/>
  <c r="AA199" i="8"/>
  <c r="AA209" i="8"/>
  <c r="AA218" i="8"/>
  <c r="AA251" i="8"/>
  <c r="AA243" i="8"/>
  <c r="AA238" i="8"/>
  <c r="AA239" i="8"/>
  <c r="AA244" i="8"/>
  <c r="AA183" i="8"/>
  <c r="AA184" i="8"/>
  <c r="AA185" i="8"/>
  <c r="AA186" i="8"/>
  <c r="AA187" i="8"/>
  <c r="AA245" i="8"/>
  <c r="AA188" i="8"/>
  <c r="AA189" i="8"/>
  <c r="AA190" i="8"/>
  <c r="AA191" i="8"/>
  <c r="AA192" i="8"/>
  <c r="AA193" i="8"/>
  <c r="AA240" i="8"/>
  <c r="AA194" i="8"/>
  <c r="AA195" i="8"/>
  <c r="AA241" i="8"/>
  <c r="AA196" i="8"/>
  <c r="AA197" i="8"/>
  <c r="AA198" i="8"/>
  <c r="AA200" i="8"/>
  <c r="AA201" i="8"/>
  <c r="AA202" i="8"/>
  <c r="AA203" i="8"/>
  <c r="AA204" i="8"/>
  <c r="AA205" i="8"/>
  <c r="AA206" i="8"/>
  <c r="AA247" i="8"/>
  <c r="AA207" i="8"/>
  <c r="AA208" i="8"/>
  <c r="AA210" i="8"/>
  <c r="AA211" i="8"/>
  <c r="AA212" i="8"/>
  <c r="AA213" i="8"/>
  <c r="AA248" i="8"/>
  <c r="AA214" i="8"/>
  <c r="AA249" i="8"/>
  <c r="AA215" i="8"/>
  <c r="AA216" i="8"/>
  <c r="AA217" i="8"/>
  <c r="AA250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42" i="8"/>
  <c r="AA232" i="8"/>
  <c r="AA233" i="8"/>
  <c r="AA234" i="8"/>
  <c r="AA235" i="8"/>
  <c r="AA236" i="8"/>
  <c r="AA252" i="8"/>
  <c r="AA237" i="8"/>
  <c r="B1" i="9" l="1" a="1"/>
  <c r="B1" i="9" s="1"/>
  <c r="B18" i="3" a="1"/>
  <c r="B18" i="3" s="1"/>
  <c r="C19" i="2"/>
  <c r="B14" i="2" a="1"/>
  <c r="B14" i="2" s="1"/>
  <c r="B9" i="2" a="1"/>
  <c r="B9" i="2" s="1"/>
  <c r="B15" i="2" l="1" a="1"/>
  <c r="B15" i="2" s="1"/>
  <c r="C15" i="2" s="1"/>
  <c r="C20" i="2" s="1"/>
  <c r="C18" i="2"/>
  <c r="B18" i="2"/>
  <c r="B2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FCCCC-6FE4-41C2-B91B-5ABC934EC470}" keepAlive="1" name="Query - Client" description="Connection to the 'Client' query in the workbook." type="5" refreshedVersion="0" background="1">
    <dbPr connection="Provider=Microsoft.Mashup.OleDb.1;Data Source=$Workbook$;Location=Client;Extended Properties=&quot;&quot;" command="SELECT * FROM [Client]"/>
  </connection>
  <connection id="2" xr16:uid="{7A4A8DF9-544C-4475-A6DF-1DEFA3BEBA83}" keepAlive="1" name="Query - Date" description="Connection to the 'Date' query in the workbook." type="5" refreshedVersion="0" background="1">
    <dbPr connection="Provider=Microsoft.Mashup.OleDb.1;Data Source=$Workbook$;Location=Date;Extended Properties=&quot;&quot;" command="SELECT * FROM [Date]"/>
  </connection>
  <connection id="3" xr16:uid="{195D4790-4424-4D16-AE91-F2AC2A2F119B}" keepAlive="1" name="Query - Facilities" description="Connection to the 'Facilities' query in the workbook." type="5" refreshedVersion="0" background="1">
    <dbPr connection="Provider=Microsoft.Mashup.OleDb.1;Data Source=$Workbook$;Location=Facilities;Extended Properties=&quot;&quot;" command="SELECT * FROM [Facilities]"/>
  </connection>
  <connection id="4" xr16:uid="{581B98E4-C353-462F-A06E-E761B8F947B5}" keepAlive="1" name="Query - Facilities-Prepare" description="Connection to the 'Facilities-Prepare' query in the workbook." type="5" refreshedVersion="0" background="1">
    <dbPr connection="Provider=Microsoft.Mashup.OleDb.1;Data Source=$Workbook$;Location=Facilities-Prepare;Extended Properties=&quot;&quot;" command="SELECT * FROM [Facilities-Prepare]"/>
  </connection>
  <connection id="5" xr16:uid="{7D69472E-1C40-429D-8C2F-9C26F3A6500F}" keepAlive="1" name="Query - Facility" description="Connection to the 'Facility' query in the workbook." type="5" refreshedVersion="0" background="1">
    <dbPr connection="Provider=Microsoft.Mashup.OleDb.1;Data Source=$Workbook$;Location=Facility;Extended Properties=&quot;&quot;" command="SELECT * FROM [Facility]"/>
  </connection>
  <connection id="6" xr16:uid="{87090035-61DC-4D23-8607-0953FDF393FA}" keepAlive="1" name="Query - Facility1" description="Connection to the 'Facility1' query in the workbook." type="5" refreshedVersion="0" background="1">
    <dbPr connection="Provider=Microsoft.Mashup.OleDb.1;Data Source=$Workbook$;Location=Facility1;Extended Properties=&quot;&quot;" command="SELECT * FROM [Facility1]"/>
  </connection>
  <connection id="7" xr16:uid="{CED6B10E-DA82-4E79-85AB-CDD194D09451}" keepAlive="1" name="Query - Facility1 - StaffList" description="Connection to the 'Facility1 - StaffList' query in the workbook." type="5" refreshedVersion="8" background="1" saveData="1">
    <dbPr connection="Provider=Microsoft.Mashup.OleDb.1;Data Source=$Workbook$;Location=&quot;Facility1 - StaffList&quot;;Extended Properties=&quot;&quot;" command="SELECT * FROM [Facility1 - StaffList]"/>
  </connection>
  <connection id="8" xr16:uid="{E6E18B37-8EE8-431C-B0EC-99A7CC0DE383}" keepAlive="1" name="Query - Facility2" description="Connection to the 'Facility2' query in the workbook." type="5" refreshedVersion="0" background="1">
    <dbPr connection="Provider=Microsoft.Mashup.OleDb.1;Data Source=$Workbook$;Location=Facility2;Extended Properties=&quot;&quot;" command="SELECT * FROM [Facility2]"/>
  </connection>
  <connection id="9" xr16:uid="{857962FF-E70A-4E5E-8134-08AEE1D5DCE2}" keepAlive="1" name="Query - Facility2 - StaffList" description="Connection to the 'Facility2 - StaffList' query in the workbook." type="5" refreshedVersion="8" background="1" saveData="1">
    <dbPr connection="Provider=Microsoft.Mashup.OleDb.1;Data Source=$Workbook$;Location=&quot;Facility2 - StaffList&quot;;Extended Properties=&quot;&quot;" command="SELECT * FROM [Facility2 - StaffList]"/>
  </connection>
  <connection id="10" xr16:uid="{09495EBD-FBF6-4EDB-92E5-024C1D2EE052}" keepAlive="1" name="Query - Facility3" description="Connection to the 'Facility3' query in the workbook." type="5" refreshedVersion="0" background="1">
    <dbPr connection="Provider=Microsoft.Mashup.OleDb.1;Data Source=$Workbook$;Location=Facility3;Extended Properties=&quot;&quot;" command="SELECT * FROM [Facility3]"/>
  </connection>
  <connection id="11" xr16:uid="{10C51F1F-8794-48B2-B7EA-063B4567E046}" keepAlive="1" name="Query - Facility3 - StaffList" description="Connection to the 'Facility3 - StaffList' query in the workbook." type="5" refreshedVersion="8" background="1" saveData="1">
    <dbPr connection="Provider=Microsoft.Mashup.OleDb.1;Data Source=$Workbook$;Location=&quot;Facility3 - StaffList&quot;;Extended Properties=&quot;&quot;" command="SELECT * FROM [Facility3 - StaffList]"/>
  </connection>
  <connection id="12" xr16:uid="{6832D25B-CC13-42C4-B3D9-BCEA90FBE88F}" keepAlive="1" name="Query - Facility3 - StaffList(1)" description="Connection to the 'Facility3 - StaffList' query in the workbook." type="5" refreshedVersion="8" background="1" saveData="1">
    <dbPr connection="Provider=Microsoft.Mashup.OleDb.1;Data Source=$Workbook$;Location=&quot;Facility3 - StaffList&quot;;Extended Properties=&quot;&quot;" command="SELECT * FROM [Facility3 - StaffList]"/>
  </connection>
  <connection id="13" xr16:uid="{5AE5F94F-C583-4FD6-8DCC-3D44A69CABD8}" keepAlive="1" name="Query - Facility3(1)" description="Connection to the 'Facility3' query in the workbook." type="5" refreshedVersion="0" background="1">
    <dbPr connection="Provider=Microsoft.Mashup.OleDb.1;Data Source=$Workbook$;Location=Facility3;Extended Properties=&quot;&quot;" command="SELECT * FROM [Facility3]"/>
  </connection>
  <connection id="14" xr16:uid="{725A12AD-377D-488D-8A4E-CE43A2392BEF}" keepAlive="1" name="Query - File Path Data" description="Connection to the 'File Path Data' query in the workbook." type="5" refreshedVersion="8" background="1" saveData="1">
    <dbPr connection="Provider=Microsoft.Mashup.OleDb.1;Data Source=$Workbook$;Location=&quot;File Path Data&quot;;Extended Properties=&quot;&quot;" command="SELECT * FROM [File Path Data]"/>
  </connection>
  <connection id="15" xr16:uid="{7B8A9254-BD34-4080-97F4-41A2B88EE93D}" keepAlive="1" name="Query - FileName" description="Connection to the 'FileName' query in the workbook." type="5" refreshedVersion="0" background="1">
    <dbPr connection="Provider=Microsoft.Mashup.OleDb.1;Data Source=$Workbook$;Location=FileName;Extended Properties=&quot;&quot;" command="SELECT * FROM [FileName]"/>
  </connection>
  <connection id="16" xr16:uid="{3F7C979E-0D0C-4400-9A19-0805D851E113}" keepAlive="1" name="Query - FilePath-Role" description="Connection to the 'FilePath-Role' query in the workbook." type="5" refreshedVersion="0" background="1">
    <dbPr connection="Provider=Microsoft.Mashup.OleDb.1;Data Source=$Workbook$;Location=FilePath-Role;Extended Properties=&quot;&quot;" command="SELECT * FROM [FilePath-Role]"/>
  </connection>
  <connection id="17" xr16:uid="{DA435521-B140-4280-983A-DFBE26D033D2}" keepAlive="1" name="Query - Folder" description="Connection to the 'Folder' query in the workbook." type="5" refreshedVersion="0" background="1">
    <dbPr connection="Provider=Microsoft.Mashup.OleDb.1;Data Source=$Workbook$;Location=Folder;Extended Properties=&quot;&quot;" command="SELECT * FROM [Folder]"/>
  </connection>
  <connection id="18" xr16:uid="{DA57AB25-16FE-4399-B18F-001EE5675034}" keepAlive="1" name="Query - IMPORTRootPath" description="Connection to the 'IMPORTRootPath' query in the workbook." type="5" refreshedVersion="0" background="1">
    <dbPr connection="Provider=Microsoft.Mashup.OleDb.1;Data Source=$Workbook$;Location=IMPORTRootPath;Extended Properties=&quot;&quot;" command="SELECT * FROM [IMPORTRootPath]"/>
  </connection>
  <connection id="19" xr16:uid="{A5BE79DF-E4CE-45B0-891D-D7E1CBB2F552}" keepAlive="1" name="Query - INPUT FilePath" description="Connection to the 'INPUT FilePath' query in the workbook." type="5" refreshedVersion="0" background="1">
    <dbPr connection="Provider=Microsoft.Mashup.OleDb.1;Data Source=$Workbook$;Location=&quot;INPUT FilePath&quot;;Extended Properties=&quot;&quot;" command="SELECT * FROM [INPUT FilePath]"/>
  </connection>
  <connection id="20" xr16:uid="{A1DE0866-F2B0-4BA4-AE03-7A4D363249A1}" keepAlive="1" name="Query - LINK Facilities" description="Connection to the 'LINK Facilities' query in the workbook." type="5" refreshedVersion="0" background="1">
    <dbPr connection="Provider=Microsoft.Mashup.OleDb.1;Data Source=$Workbook$;Location=&quot;LINK Facilities&quot;;Extended Properties=&quot;&quot;" command="SELECT * FROM [LINK Facilities]"/>
  </connection>
  <connection id="21" xr16:uid="{4F1ACA9E-D09D-439F-9923-96FBB98AAEF6}" keepAlive="1" name="Query - MasterStaffList-All" description="Connection to the 'MasterStaffList-All' query in the workbook." type="5" refreshedVersion="8" background="1" saveData="1">
    <dbPr connection="Provider=Microsoft.Mashup.OleDb.1;Data Source=$Workbook$;Location=MasterStaffList-All;Extended Properties=&quot;&quot;" command="SELECT * FROM [MasterStaffList-All]"/>
  </connection>
  <connection id="22" xr16:uid="{E033203B-FEA8-4222-A508-E5835DD8204E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23" xr16:uid="{0A3EBCD7-F802-4A8B-B9AE-027A2C6838D9}" keepAlive="1" name="Query - Table_Masterlist" description="Connection to the 'Table_Masterlist' query in the workbook." type="5" refreshedVersion="8" background="1" saveData="1">
    <dbPr connection="Provider=Microsoft.Mashup.OleDb.1;Data Source=$Workbook$;Location=Table_Masterlist;Extended Properties=&quot;&quot;" command="SELECT * FROM [Table_Masterlist]"/>
  </connection>
  <connection id="24" xr16:uid="{89762377-0A28-4128-994B-E66914F910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<sst xmlns="http://schemas.openxmlformats.org/spreadsheetml/2006/main" count="14216" uniqueCount="577">
  <si>
    <t>SharedPath</t>
  </si>
  <si>
    <t>Client</t>
  </si>
  <si>
    <t>From Computerpath</t>
  </si>
  <si>
    <t>CommonSharedPath</t>
  </si>
  <si>
    <t>Location</t>
  </si>
  <si>
    <t>Type</t>
  </si>
  <si>
    <t>04 Analysis</t>
  </si>
  <si>
    <t>Manual Entry</t>
  </si>
  <si>
    <t>Date</t>
  </si>
  <si>
    <t>Calcualted</t>
  </si>
  <si>
    <t>Folder</t>
  </si>
  <si>
    <t>Facility1</t>
  </si>
  <si>
    <t>Facility2</t>
  </si>
  <si>
    <t>COUR</t>
  </si>
  <si>
    <t>ASHB</t>
  </si>
  <si>
    <t>DateAlignment</t>
  </si>
  <si>
    <t>Variable Name</t>
  </si>
  <si>
    <t>Value</t>
  </si>
  <si>
    <t>Root Path</t>
  </si>
  <si>
    <t>FilePath</t>
  </si>
  <si>
    <t>Facility</t>
  </si>
  <si>
    <t>Role</t>
  </si>
  <si>
    <t>AIN</t>
  </si>
  <si>
    <t>FileName</t>
  </si>
  <si>
    <t>FilePathurl</t>
  </si>
  <si>
    <t>xxxx</t>
  </si>
  <si>
    <t>Name</t>
  </si>
  <si>
    <t>Resource</t>
  </si>
  <si>
    <t>Misalignment</t>
  </si>
  <si>
    <t>RN</t>
  </si>
  <si>
    <t>AINC4</t>
  </si>
  <si>
    <t>EN</t>
  </si>
  <si>
    <t>ShiftPeriod</t>
  </si>
  <si>
    <t>TimeDate</t>
  </si>
  <si>
    <t>ResShiftFTE</t>
  </si>
  <si>
    <t>Period</t>
  </si>
  <si>
    <t>AM</t>
  </si>
  <si>
    <t>Allocation</t>
  </si>
  <si>
    <t>PM</t>
  </si>
  <si>
    <t>NIGHT</t>
  </si>
  <si>
    <t>Available Only</t>
  </si>
  <si>
    <t>UserName</t>
  </si>
  <si>
    <t>FilePathUrl</t>
  </si>
  <si>
    <t>Unit</t>
  </si>
  <si>
    <t>StafMasterList-All.xlsx</t>
  </si>
  <si>
    <t>C:\Users\Alex\CentriNOTSYNC\ResidentialCare\CLIENT\DATExx-Whiddon\2. Calculations\E-O-I\[StafMasterList-All.xlsx]FILEPATH-Role</t>
  </si>
  <si>
    <t>Alex</t>
  </si>
  <si>
    <t>C:\Users\Alex\CentriNOTSYNC\ResidentialCare\CLIENT\DATExx-Whiddon\2. Calculations\E-O-I</t>
  </si>
  <si>
    <t>CLIENT</t>
  </si>
  <si>
    <t>DATExx-Whiddon</t>
  </si>
  <si>
    <t>Client Path</t>
  </si>
  <si>
    <t>C:\Users\Alex\CentriNOTSYNC\ResidentialCare\CLIENT\DATExx-Whiddon</t>
  </si>
  <si>
    <t>Units Path</t>
  </si>
  <si>
    <t>C:\Users\Alex\CentriNOTSYNC\ResidentialCare\CLIENT\DATExx-Whiddon\UNITS</t>
  </si>
  <si>
    <t>Source</t>
  </si>
  <si>
    <t>EmployeeID</t>
  </si>
  <si>
    <t>Facility-Abbrev</t>
  </si>
  <si>
    <t>EmploymentType</t>
  </si>
  <si>
    <t>PreferredRole</t>
  </si>
  <si>
    <t>In Allocation</t>
  </si>
  <si>
    <t>In Records</t>
  </si>
  <si>
    <t>Worker Membership</t>
  </si>
  <si>
    <t>Worker Record Status</t>
  </si>
  <si>
    <t>Worker Contract Issue</t>
  </si>
  <si>
    <t>Contract Source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</si>
  <si>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</si>
  <si>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</si>
  <si>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</si>
  <si>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</si>
  <si>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</si>
  <si>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</si>
  <si>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</si>
  <si>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</si>
  <si>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</si>
  <si>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</si>
  <si>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Aida Jones</t>
  </si>
  <si>
    <t>Availability</t>
  </si>
  <si>
    <t>21639</t>
  </si>
  <si>
    <t>BD</t>
  </si>
  <si>
    <t>Part-Time</t>
  </si>
  <si>
    <t>Records only</t>
  </si>
  <si>
    <t>Found</t>
  </si>
  <si>
    <t>Worker record</t>
  </si>
  <si>
    <t>Contracted shifts</t>
  </si>
  <si>
    <t>Aileen Heard</t>
  </si>
  <si>
    <t>20962</t>
  </si>
  <si>
    <t>Alina Shrestha</t>
  </si>
  <si>
    <t>23933</t>
  </si>
  <si>
    <t>Casual</t>
  </si>
  <si>
    <t>Settings maximum fallback</t>
  </si>
  <si>
    <t>Alla Illarionov</t>
  </si>
  <si>
    <t>21100</t>
  </si>
  <si>
    <t>Allocation only</t>
  </si>
  <si>
    <t>Ally-mei Prestt</t>
  </si>
  <si>
    <t>25989</t>
  </si>
  <si>
    <t>Both</t>
  </si>
  <si>
    <t>Alyssa Curd</t>
  </si>
  <si>
    <t>23673</t>
  </si>
  <si>
    <t>Amanda Jones</t>
  </si>
  <si>
    <t>23679</t>
  </si>
  <si>
    <t>Amandeep Kaur K</t>
  </si>
  <si>
    <t>26539</t>
  </si>
  <si>
    <t>Amber Beutel</t>
  </si>
  <si>
    <t>22913</t>
  </si>
  <si>
    <t>Ammy Marree Foster</t>
  </si>
  <si>
    <t>23730</t>
  </si>
  <si>
    <t>Angela Gregg</t>
  </si>
  <si>
    <t>22116</t>
  </si>
  <si>
    <t>Anju Jose</t>
  </si>
  <si>
    <t>25109</t>
  </si>
  <si>
    <t>Full-Time</t>
  </si>
  <si>
    <t>Settings maximum</t>
  </si>
  <si>
    <t>Annette Lang</t>
  </si>
  <si>
    <t>25003</t>
  </si>
  <si>
    <t>Ashlee Gilpin</t>
  </si>
  <si>
    <t>26243</t>
  </si>
  <si>
    <t>Ashleigh Linn</t>
  </si>
  <si>
    <t>26384</t>
  </si>
  <si>
    <t>Astrid Elvera G</t>
  </si>
  <si>
    <t>19802</t>
  </si>
  <si>
    <t>Basil Vilayanik</t>
  </si>
  <si>
    <t>25376</t>
  </si>
  <si>
    <t>Bronwyn Halsey</t>
  </si>
  <si>
    <t>22035</t>
  </si>
  <si>
    <t>Bweaymoosaw Mur</t>
  </si>
  <si>
    <t>24562</t>
  </si>
  <si>
    <t>Cait Philp</t>
  </si>
  <si>
    <t>23964</t>
  </si>
  <si>
    <t>Caitlyn Dreier</t>
  </si>
  <si>
    <t>26319</t>
  </si>
  <si>
    <t>Cara Anne Balme</t>
  </si>
  <si>
    <t>20321</t>
  </si>
  <si>
    <t>Cassandra Anne Dowd</t>
  </si>
  <si>
    <t>25113</t>
  </si>
  <si>
    <t>Catherine Bell</t>
  </si>
  <si>
    <t>23522</t>
  </si>
  <si>
    <t>Charlize Lewis</t>
  </si>
  <si>
    <t>25239</t>
  </si>
  <si>
    <t>Chinonso Ogu</t>
  </si>
  <si>
    <t>26014</t>
  </si>
  <si>
    <t>Christine Felto</t>
  </si>
  <si>
    <t>20950</t>
  </si>
  <si>
    <t>Courtney Louise Lewis</t>
  </si>
  <si>
    <t>26524</t>
  </si>
  <si>
    <t>Dale Armytage</t>
  </si>
  <si>
    <t>23520</t>
  </si>
  <si>
    <t>Damien Stewart</t>
  </si>
  <si>
    <t>20088</t>
  </si>
  <si>
    <t>David Reid</t>
  </si>
  <si>
    <t>23204</t>
  </si>
  <si>
    <t>Debra Narelle King</t>
  </si>
  <si>
    <t>22345</t>
  </si>
  <si>
    <t>Deeanne Donna Tracey</t>
  </si>
  <si>
    <t>25161</t>
  </si>
  <si>
    <t>Desiree Mamet</t>
  </si>
  <si>
    <t>22263</t>
  </si>
  <si>
    <t>Diane Bewick</t>
  </si>
  <si>
    <t>22769</t>
  </si>
  <si>
    <t>Donna Bestmann</t>
  </si>
  <si>
    <t>19440</t>
  </si>
  <si>
    <t>Emma Claire Redfern</t>
  </si>
  <si>
    <t>24668</t>
  </si>
  <si>
    <t>Gentille Nambon</t>
  </si>
  <si>
    <t>23282</t>
  </si>
  <si>
    <t>George Smith Sm</t>
  </si>
  <si>
    <t>19822</t>
  </si>
  <si>
    <t>Goma Bastiaanse</t>
  </si>
  <si>
    <t>19835</t>
  </si>
  <si>
    <t>Grace Bostock</t>
  </si>
  <si>
    <t>23266</t>
  </si>
  <si>
    <t>Hermenegildo De</t>
  </si>
  <si>
    <t>24627</t>
  </si>
  <si>
    <t>Ian Perry</t>
  </si>
  <si>
    <t>24353</t>
  </si>
  <si>
    <t>Imani Gereadi</t>
  </si>
  <si>
    <t>26401</t>
  </si>
  <si>
    <t>Isidra De Asis</t>
  </si>
  <si>
    <t>21589</t>
  </si>
  <si>
    <t>Jackie Jowa</t>
  </si>
  <si>
    <t>24830</t>
  </si>
  <si>
    <t>Jacob Barnes</t>
  </si>
  <si>
    <t>23973</t>
  </si>
  <si>
    <t>Jacqueline Koelmeyer</t>
  </si>
  <si>
    <t>21327</t>
  </si>
  <si>
    <t>Jaidan Dennewal</t>
  </si>
  <si>
    <t>20784</t>
  </si>
  <si>
    <t>Janelle  Sander</t>
  </si>
  <si>
    <t>20863</t>
  </si>
  <si>
    <t>Janelle Gaye Ford</t>
  </si>
  <si>
    <t>10953</t>
  </si>
  <si>
    <t>Jayakumar Vanda</t>
  </si>
  <si>
    <t>24059</t>
  </si>
  <si>
    <t>Jayvee Jade Cos</t>
  </si>
  <si>
    <t>24060</t>
  </si>
  <si>
    <t>Jennifer Lumby</t>
  </si>
  <si>
    <t>26340</t>
  </si>
  <si>
    <t>Jessica-Carmela</t>
  </si>
  <si>
    <t>23898</t>
  </si>
  <si>
    <t>Joana Marie Dri</t>
  </si>
  <si>
    <t>17989</t>
  </si>
  <si>
    <t>Joanne Bromley</t>
  </si>
  <si>
    <t>19458</t>
  </si>
  <si>
    <t>Jody English</t>
  </si>
  <si>
    <t>19136</t>
  </si>
  <si>
    <t>Jonas Blewett</t>
  </si>
  <si>
    <t>25988</t>
  </si>
  <si>
    <t>Joseph Murcia</t>
  </si>
  <si>
    <t>25209</t>
  </si>
  <si>
    <t>Juanita Kinsell</t>
  </si>
  <si>
    <t>19381</t>
  </si>
  <si>
    <t>Judith Stark</t>
  </si>
  <si>
    <t>19843</t>
  </si>
  <si>
    <t>Julie Roots</t>
  </si>
  <si>
    <t>24217</t>
  </si>
  <si>
    <t>Kaitlyn Bowden</t>
  </si>
  <si>
    <t>20862</t>
  </si>
  <si>
    <t>Katrina Atkinso</t>
  </si>
  <si>
    <t>24900</t>
  </si>
  <si>
    <t>Korazona Joseph</t>
  </si>
  <si>
    <t>24479</t>
  </si>
  <si>
    <t>Kristy Deshon</t>
  </si>
  <si>
    <t>22301</t>
  </si>
  <si>
    <t>Kulvinder Kaur</t>
  </si>
  <si>
    <t>24416</t>
  </si>
  <si>
    <t>Kusum Thapa</t>
  </si>
  <si>
    <t>25545</t>
  </si>
  <si>
    <t>Lee Speirs</t>
  </si>
  <si>
    <t>19442</t>
  </si>
  <si>
    <t>Leeanne Annis</t>
  </si>
  <si>
    <t>19255</t>
  </si>
  <si>
    <t>Liane Tebbutt</t>
  </si>
  <si>
    <t>23484</t>
  </si>
  <si>
    <t>Lilly Olive</t>
  </si>
  <si>
    <t>26372</t>
  </si>
  <si>
    <t>Linda Sturges</t>
  </si>
  <si>
    <t>24531</t>
  </si>
  <si>
    <t>Lisa Swagerman</t>
  </si>
  <si>
    <t>23839</t>
  </si>
  <si>
    <t>Lowanna Bloomfield</t>
  </si>
  <si>
    <t>26462</t>
  </si>
  <si>
    <t>MIZUE Tanaka</t>
  </si>
  <si>
    <t>24241</t>
  </si>
  <si>
    <t>Ma Iris Angela</t>
  </si>
  <si>
    <t>25182</t>
  </si>
  <si>
    <t>Madi Slade</t>
  </si>
  <si>
    <t>24635</t>
  </si>
  <si>
    <t>Majal Dias</t>
  </si>
  <si>
    <t>23245</t>
  </si>
  <si>
    <t>Malawika Muthut</t>
  </si>
  <si>
    <t>24504</t>
  </si>
  <si>
    <t>Mana Tuikilakil</t>
  </si>
  <si>
    <t>24336</t>
  </si>
  <si>
    <t>Mandy Manpreet</t>
  </si>
  <si>
    <t>25175</t>
  </si>
  <si>
    <t>Mani Kaur</t>
  </si>
  <si>
    <t>24192</t>
  </si>
  <si>
    <t>Manpreet Kaur</t>
  </si>
  <si>
    <t>24105</t>
  </si>
  <si>
    <t>Maria Starr</t>
  </si>
  <si>
    <t>25774</t>
  </si>
  <si>
    <t>Mariah Swan</t>
  </si>
  <si>
    <t>24136</t>
  </si>
  <si>
    <t>Mel Greenway</t>
  </si>
  <si>
    <t>23091</t>
  </si>
  <si>
    <t>Mellania Ruvimbo Munyuki</t>
  </si>
  <si>
    <t>15957</t>
  </si>
  <si>
    <t>Merin Biju John</t>
  </si>
  <si>
    <t>24521</t>
  </si>
  <si>
    <t>Mia Banks</t>
  </si>
  <si>
    <t>23249</t>
  </si>
  <si>
    <t>Michael Chandle</t>
  </si>
  <si>
    <t>25167</t>
  </si>
  <si>
    <t>Mikayla Nicole Geshwend</t>
  </si>
  <si>
    <t>24049</t>
  </si>
  <si>
    <t>Mylyn Thomson</t>
  </si>
  <si>
    <t>26072</t>
  </si>
  <si>
    <t>Nirmala Sapkota</t>
  </si>
  <si>
    <t>19894</t>
  </si>
  <si>
    <t>Nitesh Pantha</t>
  </si>
  <si>
    <t>23776</t>
  </si>
  <si>
    <t>Paris Garton</t>
  </si>
  <si>
    <t>25859</t>
  </si>
  <si>
    <t>Pia Vallejo</t>
  </si>
  <si>
    <t>24780</t>
  </si>
  <si>
    <t>Piper Chamberla</t>
  </si>
  <si>
    <t>24880</t>
  </si>
  <si>
    <t>Preet Kaur</t>
  </si>
  <si>
    <t>26407</t>
  </si>
  <si>
    <t>Princy Merlin M</t>
  </si>
  <si>
    <t>24984</t>
  </si>
  <si>
    <t>Rahna Jose</t>
  </si>
  <si>
    <t>24983</t>
  </si>
  <si>
    <t>Rajneet Chand</t>
  </si>
  <si>
    <t>25302</t>
  </si>
  <si>
    <t>Robert Steven R</t>
  </si>
  <si>
    <t>22121</t>
  </si>
  <si>
    <t>Rosemary Yates</t>
  </si>
  <si>
    <t>22350</t>
  </si>
  <si>
    <t>Rosi Gaunavou</t>
  </si>
  <si>
    <t>26320</t>
  </si>
  <si>
    <t>Ross Morden</t>
  </si>
  <si>
    <t>22612</t>
  </si>
  <si>
    <t>Rustambir Singh</t>
  </si>
  <si>
    <t>21895</t>
  </si>
  <si>
    <t>Samara Billiau</t>
  </si>
  <si>
    <t>19242</t>
  </si>
  <si>
    <t>Sandra Spragg</t>
  </si>
  <si>
    <t>22772</t>
  </si>
  <si>
    <t>Savannah Navin</t>
  </si>
  <si>
    <t>23975</t>
  </si>
  <si>
    <t>Sharonah-Leah S</t>
  </si>
  <si>
    <t>23242</t>
  </si>
  <si>
    <t>Sheryl Macalint</t>
  </si>
  <si>
    <t>21381</t>
  </si>
  <si>
    <t>Simone White</t>
  </si>
  <si>
    <t>26448</t>
  </si>
  <si>
    <t>Sirjana Rai</t>
  </si>
  <si>
    <t>24819</t>
  </si>
  <si>
    <t>Sofia Nabi</t>
  </si>
  <si>
    <t>26358</t>
  </si>
  <si>
    <t>Sreena Ranjith</t>
  </si>
  <si>
    <t>23461</t>
  </si>
  <si>
    <t>Sue Jones</t>
  </si>
  <si>
    <t>19423</t>
  </si>
  <si>
    <t>Swostika Shrestha</t>
  </si>
  <si>
    <t>23602</t>
  </si>
  <si>
    <t>Todd Bullivant</t>
  </si>
  <si>
    <t>18462</t>
  </si>
  <si>
    <t>Tracey Lagerstr</t>
  </si>
  <si>
    <t>19161</t>
  </si>
  <si>
    <t>Tracey Leanne S</t>
  </si>
  <si>
    <t>21916</t>
  </si>
  <si>
    <t>Trevor Fisher</t>
  </si>
  <si>
    <t>23179</t>
  </si>
  <si>
    <t>Ujjwal Sharma</t>
  </si>
  <si>
    <t>23174</t>
  </si>
  <si>
    <t>Victoria Thomps</t>
  </si>
  <si>
    <t>24208</t>
  </si>
  <si>
    <t>Wendy Robertson</t>
  </si>
  <si>
    <t>22690</t>
  </si>
  <si>
    <t>Yogi Yogi</t>
  </si>
  <si>
    <t>20696</t>
  </si>
  <si>
    <t>Yvonne Cheptoo Limo</t>
  </si>
  <si>
    <t>25930</t>
  </si>
  <si>
    <t>Zac Lesslie</t>
  </si>
  <si>
    <t>25911</t>
  </si>
  <si>
    <t>JH-RY</t>
  </si>
  <si>
    <t>Alice Dzung Kieu Pham</t>
  </si>
  <si>
    <t>23200</t>
  </si>
  <si>
    <t>Angela Ruth Anderson</t>
  </si>
  <si>
    <t>15701</t>
  </si>
  <si>
    <t>Anjali Kunwar</t>
  </si>
  <si>
    <t>26054</t>
  </si>
  <si>
    <t>Apurbo Kumar Paul</t>
  </si>
  <si>
    <t>25682</t>
  </si>
  <si>
    <t>Ashna Maria Mat</t>
  </si>
  <si>
    <t>24893</t>
  </si>
  <si>
    <t>Aurelia Aribado</t>
  </si>
  <si>
    <t>19709</t>
  </si>
  <si>
    <t>Baljit Kaur</t>
  </si>
  <si>
    <t>18970</t>
  </si>
  <si>
    <t>Cassidy Leanne Warner</t>
  </si>
  <si>
    <t>25869</t>
  </si>
  <si>
    <t>Chathuri Arumap</t>
  </si>
  <si>
    <t>24821</t>
  </si>
  <si>
    <t>Cherelyn Malali</t>
  </si>
  <si>
    <t>25363</t>
  </si>
  <si>
    <t>Diamond Thapa</t>
  </si>
  <si>
    <t>26390</t>
  </si>
  <si>
    <t>Donna Martin</t>
  </si>
  <si>
    <t>23897</t>
  </si>
  <si>
    <t>Elmira Lawty</t>
  </si>
  <si>
    <t>18063</t>
  </si>
  <si>
    <t>Eloise Samala Purnell</t>
  </si>
  <si>
    <t>24186</t>
  </si>
  <si>
    <t>Emma Redfern</t>
  </si>
  <si>
    <t>Fielpeljane Alc</t>
  </si>
  <si>
    <t>25367</t>
  </si>
  <si>
    <t>Funchu Thing</t>
  </si>
  <si>
    <t>23134</t>
  </si>
  <si>
    <t>Guriqbal Singh</t>
  </si>
  <si>
    <t>24648</t>
  </si>
  <si>
    <t>Gurjit Kaur</t>
  </si>
  <si>
    <t>21749</t>
  </si>
  <si>
    <t>Jacquelyn Richa</t>
  </si>
  <si>
    <t>22298</t>
  </si>
  <si>
    <t>Jill Baguley</t>
  </si>
  <si>
    <t>15719</t>
  </si>
  <si>
    <t>Joy Alamezie</t>
  </si>
  <si>
    <t>25645</t>
  </si>
  <si>
    <t>Joy Dee Alvarez</t>
  </si>
  <si>
    <t>18158</t>
  </si>
  <si>
    <t>Kira Lorraine O</t>
  </si>
  <si>
    <t>21876</t>
  </si>
  <si>
    <t>Krisitna Nichol</t>
  </si>
  <si>
    <t>20834</t>
  </si>
  <si>
    <t>Leanne McCann</t>
  </si>
  <si>
    <t>15718</t>
  </si>
  <si>
    <t>Lillian Purvis</t>
  </si>
  <si>
    <t>22883</t>
  </si>
  <si>
    <t>Madison Lee Rya</t>
  </si>
  <si>
    <t>18460</t>
  </si>
  <si>
    <t>Michaella Isah</t>
  </si>
  <si>
    <t>24890</t>
  </si>
  <si>
    <t>Neelam Rani</t>
  </si>
  <si>
    <t>25887</t>
  </si>
  <si>
    <t>Patricia Bruce</t>
  </si>
  <si>
    <t>15697</t>
  </si>
  <si>
    <t>Prabina Khatri</t>
  </si>
  <si>
    <t>26386</t>
  </si>
  <si>
    <t>Rajani Parajuli</t>
  </si>
  <si>
    <t>26068</t>
  </si>
  <si>
    <t>Ramesh Bhattara</t>
  </si>
  <si>
    <t>25437</t>
  </si>
  <si>
    <t>Rebecca Louise Cross</t>
  </si>
  <si>
    <t>24693</t>
  </si>
  <si>
    <t>Rehanamol Eetta</t>
  </si>
  <si>
    <t>24475</t>
  </si>
  <si>
    <t>Rhea Quimada</t>
  </si>
  <si>
    <t>17219</t>
  </si>
  <si>
    <t>Riefy Saji</t>
  </si>
  <si>
    <t>24694</t>
  </si>
  <si>
    <t>Rojin Robert</t>
  </si>
  <si>
    <t>26397</t>
  </si>
  <si>
    <t>Ruth Rock Tambol Daluyen</t>
  </si>
  <si>
    <t>23571</t>
  </si>
  <si>
    <t>Sally Whan</t>
  </si>
  <si>
    <t>26532</t>
  </si>
  <si>
    <t>Sarah Mae Cabli</t>
  </si>
  <si>
    <t>23424</t>
  </si>
  <si>
    <t>Sheetal Prasai</t>
  </si>
  <si>
    <t>24310</t>
  </si>
  <si>
    <t>Sita Puri</t>
  </si>
  <si>
    <t>22976</t>
  </si>
  <si>
    <t>Stephanie Tribe</t>
  </si>
  <si>
    <t>15933</t>
  </si>
  <si>
    <t>Sushma Ghimire</t>
  </si>
  <si>
    <t>24897</t>
  </si>
  <si>
    <t>TE</t>
  </si>
  <si>
    <t>Ajo James</t>
  </si>
  <si>
    <t>26411</t>
  </si>
  <si>
    <t>Alicia Carey</t>
  </si>
  <si>
    <t>23015</t>
  </si>
  <si>
    <t>Alisha Mahat</t>
  </si>
  <si>
    <t>26330</t>
  </si>
  <si>
    <t>Ally Breust</t>
  </si>
  <si>
    <t>16606</t>
  </si>
  <si>
    <t>Amala Sebastian</t>
  </si>
  <si>
    <t>24411</t>
  </si>
  <si>
    <t>Amanda Jayne Bl</t>
  </si>
  <si>
    <t>15900</t>
  </si>
  <si>
    <t>Amol Prasad</t>
  </si>
  <si>
    <t>24863</t>
  </si>
  <si>
    <t>Annelise Golder</t>
  </si>
  <si>
    <t>25414</t>
  </si>
  <si>
    <t>Ashamol Sarojin</t>
  </si>
  <si>
    <t>24873</t>
  </si>
  <si>
    <t>Barbara Coates</t>
  </si>
  <si>
    <t>25293</t>
  </si>
  <si>
    <t>Belinda Joy Min</t>
  </si>
  <si>
    <t>18610</t>
  </si>
  <si>
    <t>Brinda Pangeni</t>
  </si>
  <si>
    <t>23594</t>
  </si>
  <si>
    <t>Callie Gregory</t>
  </si>
  <si>
    <t>25936</t>
  </si>
  <si>
    <t>Darcie Ray McClenaghan</t>
  </si>
  <si>
    <t>19672</t>
  </si>
  <si>
    <t>Deepthy Binu</t>
  </si>
  <si>
    <t>24468</t>
  </si>
  <si>
    <t>Dolma Tamang</t>
  </si>
  <si>
    <t>23874</t>
  </si>
  <si>
    <t>Elizabeth Buckl</t>
  </si>
  <si>
    <t>15256</t>
  </si>
  <si>
    <t>Elizabeth Macle</t>
  </si>
  <si>
    <t>25644</t>
  </si>
  <si>
    <t>Ella Baldock</t>
  </si>
  <si>
    <t>26342</t>
  </si>
  <si>
    <t>Gemma Bradbury</t>
  </si>
  <si>
    <t>23185</t>
  </si>
  <si>
    <t>Genoveva Lugtu</t>
  </si>
  <si>
    <t>19645</t>
  </si>
  <si>
    <t>Heather Piefke</t>
  </si>
  <si>
    <t>12388</t>
  </si>
  <si>
    <t>Jacqueline Ashton</t>
  </si>
  <si>
    <t>14799</t>
  </si>
  <si>
    <t>Jaise Panichiyil Joy</t>
  </si>
  <si>
    <t>25980</t>
  </si>
  <si>
    <t>Jan Ford</t>
  </si>
  <si>
    <t>Jasmine Sandhu</t>
  </si>
  <si>
    <t>23884</t>
  </si>
  <si>
    <t>Jean Matanguiha</t>
  </si>
  <si>
    <t>23284</t>
  </si>
  <si>
    <t>Jennifer Hector</t>
  </si>
  <si>
    <t>22811</t>
  </si>
  <si>
    <t>Jenny Maree Tri</t>
  </si>
  <si>
    <t>14202</t>
  </si>
  <si>
    <t>Jotika Sanjeshn</t>
  </si>
  <si>
    <t>23872</t>
  </si>
  <si>
    <t>Kaitlyn Lee Bayliss</t>
  </si>
  <si>
    <t>25544</t>
  </si>
  <si>
    <t>Karen Rebibis</t>
  </si>
  <si>
    <t>24655</t>
  </si>
  <si>
    <t>Kayla Wallace</t>
  </si>
  <si>
    <t>25588</t>
  </si>
  <si>
    <t>Kaylah Edwards</t>
  </si>
  <si>
    <t>25643</t>
  </si>
  <si>
    <t>King Kevin Torr</t>
  </si>
  <si>
    <t>24612</t>
  </si>
  <si>
    <t>Kris Varghese</t>
  </si>
  <si>
    <t>24484</t>
  </si>
  <si>
    <t>Kushum Chiluwal</t>
  </si>
  <si>
    <t>26454</t>
  </si>
  <si>
    <t>Layla Bickham</t>
  </si>
  <si>
    <t>25408</t>
  </si>
  <si>
    <t>Leanne Joy Harp</t>
  </si>
  <si>
    <t>13636</t>
  </si>
  <si>
    <t>Lucy Miners</t>
  </si>
  <si>
    <t>16846</t>
  </si>
  <si>
    <t>Lynette Kaye Kelly</t>
  </si>
  <si>
    <t>10968</t>
  </si>
  <si>
    <t>Manisha BK</t>
  </si>
  <si>
    <t>25204</t>
  </si>
  <si>
    <t>Marieta Munar L</t>
  </si>
  <si>
    <t>20725</t>
  </si>
  <si>
    <t>Marsden Ross</t>
  </si>
  <si>
    <t>22436</t>
  </si>
  <si>
    <t>Melissa Rickett</t>
  </si>
  <si>
    <t>12705</t>
  </si>
  <si>
    <t>Merchita Rachwa</t>
  </si>
  <si>
    <t>21139</t>
  </si>
  <si>
    <t>Michelle Orbita</t>
  </si>
  <si>
    <t>23287</t>
  </si>
  <si>
    <t>Michelle Sutcli</t>
  </si>
  <si>
    <t>23723</t>
  </si>
  <si>
    <t>Monica Joyce Ma</t>
  </si>
  <si>
    <t>22274</t>
  </si>
  <si>
    <t>Namraata Singh</t>
  </si>
  <si>
    <t>23877</t>
  </si>
  <si>
    <t>Namuna Regmi</t>
  </si>
  <si>
    <t>23310</t>
  </si>
  <si>
    <t>Nida Warne</t>
  </si>
  <si>
    <t>23215</t>
  </si>
  <si>
    <t>Noel De Souza</t>
  </si>
  <si>
    <t>21092</t>
  </si>
  <si>
    <t>Rebecca Webb</t>
  </si>
  <si>
    <t>24258</t>
  </si>
  <si>
    <t>Robert Leggett</t>
  </si>
  <si>
    <t>23098</t>
  </si>
  <si>
    <t>Roberto Di-Fior</t>
  </si>
  <si>
    <t>25652</t>
  </si>
  <si>
    <t>Roxanne Smetana</t>
  </si>
  <si>
    <t>25416</t>
  </si>
  <si>
    <t>Samantha Purtel</t>
  </si>
  <si>
    <t>22818</t>
  </si>
  <si>
    <t>Sandra Freeman</t>
  </si>
  <si>
    <t>13581</t>
  </si>
  <si>
    <t>Shalimar Electona Sabdani</t>
  </si>
  <si>
    <t>23422</t>
  </si>
  <si>
    <t>Shauna Lee Wall</t>
  </si>
  <si>
    <t>13637</t>
  </si>
  <si>
    <t>Shaz Gordon</t>
  </si>
  <si>
    <t>13580</t>
  </si>
  <si>
    <t>Shrijana Adhikari Wagle</t>
  </si>
  <si>
    <t>22541</t>
  </si>
  <si>
    <t>Simran Tamang</t>
  </si>
  <si>
    <t>25366</t>
  </si>
  <si>
    <t>Taylor Rose Newman</t>
  </si>
  <si>
    <t>26229</t>
  </si>
  <si>
    <t>Tshering Tamang</t>
  </si>
  <si>
    <t>23873</t>
  </si>
  <si>
    <t>Upeksha Baram</t>
  </si>
  <si>
    <t>25187</t>
  </si>
  <si>
    <t>Vidya Vijay Ett</t>
  </si>
  <si>
    <t>25632</t>
  </si>
  <si>
    <t>Wendy Ann Dougl</t>
  </si>
  <si>
    <t>20821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</si>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</sst>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14" fontId="0" fillId="0" borderId="0" xfId="0" applyNumberFormat="1"/>
    <xf numFmtId="0" fontId="7" fillId="0" borderId="2" xfId="0" applyFont="1" applyBorder="1"/>
  </cellXfs>
  <cellStyles count="2">
    <cellStyle name="Normal" xfId="0" builtinId="0"/>
    <cellStyle name="Normal 2" xfId="1" xr:uid="{4CFC2856-CFF6-4A4D-85A6-EA8B043A33C5}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  <sheetName val="FILEPATH"/>
      <sheetName val="ShiftHours"/>
      <sheetName val="Metadata"/>
      <sheetName val="Query3"/>
      <sheetName val="AllocationExtracted"/>
    </sheetNames>
    <definedNames>
      <definedName name="Computerpath" refersTo="='Computerpath'!$B$15"/>
    </definedNames>
    <sheetDataSet>
      <sheetData sheetId="0">
        <row r="15">
          <cell r="B15" t="str">
            <v>C:\Users\Alex\Centri\4. Production - Documents\WFEffectiveness\4.1.1 AGED CARE\01 Christadelphian Aged Care\240715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290E9B89-D182-425A-8550-4472976A4F66}" autoFormatId="16" applyNumberFormats="0" applyBorderFormats="0" applyFontFormats="0" applyPatternFormats="0" applyAlignmentFormats="0" applyWidthHeightFormats="0">
  <queryTableRefresh nextId="27">
    <queryTableFields count="26">
      <queryTableField id="1" name="Name" tableColumnId="1"/>
      <queryTableField id="2" name="Role" tableColumnId="2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In Allocation" tableColumnId="10"/>
      <queryTableField id="11" name="In Records" tableColumnId="11"/>
      <queryTableField id="12" name="Worker Membership" tableColumnId="12"/>
      <queryTableField id="13" name="Worker Record Status" tableColumnId="13"/>
      <queryTableField id="14" name="Worker Contract Issue" tableColumnId="14"/>
      <queryTableField id="15" name="Contract Source" tableColumnId="15"/>
      <queryTableField id="16" name="Contracted FN Hours" tableColumnId="16"/>
      <queryTableField id="17" name="Roster Start" tableColumnId="17"/>
      <queryTableField id="18" name="Roster End" tableColumnId="18"/>
      <queryTableField id="19" name="Roster Fortnights" tableColumnId="19"/>
      <queryTableField id="20" name="Contracted Roster Hours" tableColumnId="20"/>
      <queryTableField id="21" name="Contracted Shift Equivalent" tableColumnId="21"/>
      <queryTableField id="22" name="Contracted Shifts" tableColumnId="22"/>
      <queryTableField id="23" name="Settings Max Availability" tableColumnId="23"/>
      <queryTableField id="24" name="Effective Shift Cap" tableColumnId="24"/>
      <queryTableField id="25" name="Limit Basis" tableColumnId="25"/>
      <queryTableField id="26" name="Facility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717F1059-C94E-4EC5-BAD5-247D4C4ABCB8}" autoFormatId="16" applyNumberFormats="0" applyBorderFormats="0" applyFontFormats="0" applyPatternFormats="0" applyAlignmentFormats="0" applyWidthHeightFormats="0">
  <queryTableRefresh nextId="27">
    <queryTableFields count="26">
      <queryTableField id="1" name="Name" tableColumnId="1"/>
      <queryTableField id="2" name="Role" tableColumnId="2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In Allocation" tableColumnId="10"/>
      <queryTableField id="11" name="In Records" tableColumnId="11"/>
      <queryTableField id="12" name="Worker Membership" tableColumnId="12"/>
      <queryTableField id="13" name="Worker Record Status" tableColumnId="13"/>
      <queryTableField id="14" name="Worker Contract Issue" tableColumnId="14"/>
      <queryTableField id="15" name="Contract Source" tableColumnId="15"/>
      <queryTableField id="16" name="Contracted FN Hours" tableColumnId="16"/>
      <queryTableField id="17" name="Roster Start" tableColumnId="17"/>
      <queryTableField id="18" name="Roster End" tableColumnId="18"/>
      <queryTableField id="19" name="Roster Fortnights" tableColumnId="19"/>
      <queryTableField id="20" name="Contracted Roster Hours" tableColumnId="20"/>
      <queryTableField id="21" name="Contracted Shift Equivalent" tableColumnId="21"/>
      <queryTableField id="22" name="Contracted Shifts" tableColumnId="22"/>
      <queryTableField id="23" name="Settings Max Availability" tableColumnId="23"/>
      <queryTableField id="24" name="Effective Shift Cap" tableColumnId="24"/>
      <queryTableField id="25" name="Limit Basis" tableColumnId="25"/>
      <queryTableField id="26" name="Facility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EDBC6E0A-F487-49F4-9BF1-7476F2988114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FF9D826-92A6-454B-9547-3CF74DCA2C36}" autoFormatId="16" applyNumberFormats="0" applyBorderFormats="0" applyFontFormats="0" applyPatternFormats="0" applyAlignmentFormats="0" applyWidthHeightFormats="0">
  <queryTableRefresh nextId="50" unboundColumnsRight="1">
    <queryTableFields count="27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6" name="Source" tableColumnId="6"/>
      <queryTableField id="7" name="EmployeeID" tableColumnId="7"/>
      <queryTableField id="8" name="Facility-Abbrev" tableColumnId="8"/>
      <queryTableField id="9" name="EmploymentType" tableColumnId="9"/>
      <queryTableField id="10" name="PreferredRole" tableColumnId="10"/>
      <queryTableField id="11" name="In Allocation" tableColumnId="11"/>
      <queryTableField id="12" name="In Records" tableColumnId="12"/>
      <queryTableField id="13" name="Worker Membership" tableColumnId="13"/>
      <queryTableField id="14" name="Worker Record Status" tableColumnId="14"/>
      <queryTableField id="15" name="Worker Contract Issue" tableColumnId="15"/>
      <queryTableField id="16" name="Contract Source" tableColumnId="16"/>
      <queryTableField id="17" name="Contracted FN Hours" tableColumnId="17"/>
      <queryTableField id="18" name="Roster Start" tableColumnId="18"/>
      <queryTableField id="19" name="Roster End" tableColumnId="19"/>
      <queryTableField id="20" name="Roster Fortnights" tableColumnId="20"/>
      <queryTableField id="21" name="Contracted Roster Hours" tableColumnId="21"/>
      <queryTableField id="22" name="Contracted Shift Equivalent" tableColumnId="22"/>
      <queryTableField id="23" name="Contracted Shifts" tableColumnId="23"/>
      <queryTableField id="24" name="Settings Max Availability" tableColumnId="24"/>
      <queryTableField id="25" name="Effective Shift Cap" tableColumnId="25"/>
      <queryTableField id="26" name="Limit Basis" tableColumnId="26"/>
      <queryTableField id="5" name="Facility" tableColumnId="5"/>
      <queryTableField id="49" dataBound="0" tableColumnId="2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0BE41968-ABC5-494F-BF6B-E9E68F8E70C8}" autoFormatId="16" applyNumberFormats="0" applyBorderFormats="0" applyFontFormats="0" applyPatternFormats="0" applyAlignmentFormats="0" applyWidthHeightFormats="0">
  <queryTableRefresh nextId="49">
    <queryTableFields count="26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6" name="Source" tableColumnId="6"/>
      <queryTableField id="7" name="EmployeeID" tableColumnId="7"/>
      <queryTableField id="8" name="Facility-Abbrev" tableColumnId="8"/>
      <queryTableField id="9" name="EmploymentType" tableColumnId="9"/>
      <queryTableField id="10" name="PreferredRole" tableColumnId="10"/>
      <queryTableField id="11" name="In Allocation" tableColumnId="11"/>
      <queryTableField id="12" name="In Records" tableColumnId="12"/>
      <queryTableField id="13" name="Worker Membership" tableColumnId="13"/>
      <queryTableField id="14" name="Worker Record Status" tableColumnId="14"/>
      <queryTableField id="15" name="Worker Contract Issue" tableColumnId="15"/>
      <queryTableField id="16" name="Contract Source" tableColumnId="16"/>
      <queryTableField id="17" name="Contracted FN Hours" tableColumnId="17"/>
      <queryTableField id="18" name="Roster Start" tableColumnId="18"/>
      <queryTableField id="19" name="Roster End" tableColumnId="19"/>
      <queryTableField id="20" name="Roster Fortnights" tableColumnId="20"/>
      <queryTableField id="21" name="Contracted Roster Hours" tableColumnId="21"/>
      <queryTableField id="22" name="Contracted Shift Equivalent" tableColumnId="22"/>
      <queryTableField id="23" name="Contracted Shifts" tableColumnId="23"/>
      <queryTableField id="24" name="Settings Max Availability" tableColumnId="24"/>
      <queryTableField id="25" name="Effective Shift Cap" tableColumnId="25"/>
      <queryTableField id="26" name="Limit Basis" tableColumnId="26"/>
      <queryTableField id="5" name="Facility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6E758626-3F3D-4F5A-ACB7-17D88DFA9C4B}" autoFormatId="16" applyNumberFormats="0" applyBorderFormats="0" applyFontFormats="0" applyPatternFormats="0" applyAlignmentFormats="0" applyWidthHeightFormats="0">
  <queryTableRefresh nextId="49">
    <queryTableFields count="26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6" name="Source" tableColumnId="6"/>
      <queryTableField id="7" name="EmployeeID" tableColumnId="7"/>
      <queryTableField id="8" name="Facility-Abbrev" tableColumnId="8"/>
      <queryTableField id="9" name="EmploymentType" tableColumnId="9"/>
      <queryTableField id="10" name="PreferredRole" tableColumnId="10"/>
      <queryTableField id="11" name="In Allocation" tableColumnId="11"/>
      <queryTableField id="12" name="In Records" tableColumnId="12"/>
      <queryTableField id="13" name="Worker Membership" tableColumnId="13"/>
      <queryTableField id="14" name="Worker Record Status" tableColumnId="14"/>
      <queryTableField id="15" name="Worker Contract Issue" tableColumnId="15"/>
      <queryTableField id="16" name="Contract Source" tableColumnId="16"/>
      <queryTableField id="17" name="Contracted FN Hours" tableColumnId="17"/>
      <queryTableField id="18" name="Roster Start" tableColumnId="18"/>
      <queryTableField id="19" name="Roster End" tableColumnId="19"/>
      <queryTableField id="20" name="Roster Fortnights" tableColumnId="20"/>
      <queryTableField id="21" name="Contracted Roster Hours" tableColumnId="21"/>
      <queryTableField id="22" name="Contracted Shift Equivalent" tableColumnId="22"/>
      <queryTableField id="23" name="Contracted Shifts" tableColumnId="23"/>
      <queryTableField id="24" name="Settings Max Availability" tableColumnId="24"/>
      <queryTableField id="25" name="Effective Shift Cap" tableColumnId="25"/>
      <queryTableField id="26" name="Limit Basis" tableColumnId="26"/>
      <queryTableField id="5" name="Facility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97D18F57-14D1-4F57-B0F3-FC11678CD22D}" autoFormatId="16" applyNumberFormats="0" applyBorderFormats="0" applyFontFormats="0" applyPatternFormats="0" applyAlignmentFormats="0" applyWidthHeightFormats="0">
  <queryTableRefresh nextId="49">
    <queryTableFields count="26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6" name="Source" tableColumnId="6"/>
      <queryTableField id="7" name="EmployeeID" tableColumnId="7"/>
      <queryTableField id="8" name="Facility-Abbrev" tableColumnId="8"/>
      <queryTableField id="9" name="EmploymentType" tableColumnId="9"/>
      <queryTableField id="10" name="PreferredRole" tableColumnId="10"/>
      <queryTableField id="11" name="In Allocation" tableColumnId="11"/>
      <queryTableField id="12" name="In Records" tableColumnId="12"/>
      <queryTableField id="13" name="Worker Membership" tableColumnId="13"/>
      <queryTableField id="14" name="Worker Record Status" tableColumnId="14"/>
      <queryTableField id="15" name="Worker Contract Issue" tableColumnId="15"/>
      <queryTableField id="16" name="Contract Source" tableColumnId="16"/>
      <queryTableField id="17" name="Contracted FN Hours" tableColumnId="17"/>
      <queryTableField id="18" name="Roster Start" tableColumnId="18"/>
      <queryTableField id="19" name="Roster End" tableColumnId="19"/>
      <queryTableField id="20" name="Roster Fortnights" tableColumnId="20"/>
      <queryTableField id="21" name="Contracted Roster Hours" tableColumnId="21"/>
      <queryTableField id="22" name="Contracted Shift Equivalent" tableColumnId="22"/>
      <queryTableField id="23" name="Contracted Shifts" tableColumnId="23"/>
      <queryTableField id="24" name="Settings Max Availability" tableColumnId="24"/>
      <queryTableField id="25" name="Effective Shift Cap" tableColumnId="25"/>
      <queryTableField id="26" name="Limit Basis" tableColumnId="26"/>
      <queryTableField id="5" name="Facility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9F11669-D429-4B2C-B3B3-8C24C523F49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54498C-A3A6-4961-9C54-EBDC0DE6E439}" name="Facility3___StaffList" displayName="Facility3___StaffList" ref="A1:Z72" tableType="queryTable" totalsRowShown="0">
  <autoFilter ref="A1:Z72" xr:uid="{AB54498C-A3A6-4961-9C54-EBDC0DE6E439}"/>
  <tableColumns count="26">
    <tableColumn id="1" xr3:uid="{F9B97C36-5141-4173-A9D7-23BF492A36AF}" uniqueName="1" name="Name" queryTableFieldId="1" dataDxfId="28"/>
    <tableColumn id="2" xr3:uid="{63AB7BF5-B728-4F08-B6E0-14913CBD5BEE}" uniqueName="2" name="Role" queryTableFieldId="2" dataDxfId="27"/>
    <tableColumn id="3" xr3:uid="{7D053240-3AF6-4AAB-882A-A39FEAE3E7B4}" uniqueName="3" name="Resource" queryTableFieldId="3"/>
    <tableColumn id="4" xr3:uid="{633B7F2F-67A8-4B18-81BF-CD04B5EA33D1}" uniqueName="4" name="Misalignment" queryTableFieldId="4"/>
    <tableColumn id="5" xr3:uid="{01BF2AE0-5C5B-439D-986C-ABE92B1C3628}" uniqueName="5" name="Source" queryTableFieldId="5"/>
    <tableColumn id="6" xr3:uid="{50206A09-9A12-4C94-AADD-6DF3DF3BD351}" uniqueName="6" name="EmployeeID" queryTableFieldId="6"/>
    <tableColumn id="7" xr3:uid="{F06DD94F-993D-4182-BF78-401381C8AA30}" uniqueName="7" name="Facility-Abbrev" queryTableFieldId="7"/>
    <tableColumn id="8" xr3:uid="{1600DAD4-C841-4829-AF7F-A0F39C46A90A}" uniqueName="8" name="EmploymentType" queryTableFieldId="8"/>
    <tableColumn id="9" xr3:uid="{13ECC065-F7A5-4AF4-BF2B-3E1FD4126AED}" uniqueName="9" name="PreferredRole" queryTableFieldId="9"/>
    <tableColumn id="10" xr3:uid="{59BACAC7-B74C-4186-9D0D-FED29CFFB9FC}" uniqueName="10" name="In Allocation" queryTableFieldId="10"/>
    <tableColumn id="11" xr3:uid="{83A4251D-D567-4D80-A1BF-ABABCA1007E6}" uniqueName="11" name="In Records" queryTableFieldId="11"/>
    <tableColumn id="12" xr3:uid="{C720A238-4B2B-4DD4-9D8E-3A10F0B481CA}" uniqueName="12" name="Worker Membership" queryTableFieldId="12"/>
    <tableColumn id="13" xr3:uid="{169910B3-53F2-4442-A446-7AF13DFCC317}" uniqueName="13" name="Worker Record Status" queryTableFieldId="13"/>
    <tableColumn id="14" xr3:uid="{C73EC869-6F23-498A-AF78-FECEFD30C205}" uniqueName="14" name="Worker Contract Issue" queryTableFieldId="14"/>
    <tableColumn id="15" xr3:uid="{6748BEDA-7E75-4F63-BBFD-A30813EAE15B}" uniqueName="15" name="Contract Source" queryTableFieldId="15"/>
    <tableColumn id="16" xr3:uid="{0306D4F4-D440-4F11-BF54-B2D4243BCEF3}" uniqueName="16" name="Contracted FN Hours" queryTableFieldId="16"/>
    <tableColumn id="17" xr3:uid="{C8FC7B3A-B71A-4220-AFA1-DFAFDD387E1E}" uniqueName="17" name="Roster Start" queryTableFieldId="17"/>
    <tableColumn id="18" xr3:uid="{8EB05990-9A77-47BD-9CFF-1953AE070D02}" uniqueName="18" name="Roster End" queryTableFieldId="18"/>
    <tableColumn id="19" xr3:uid="{E4F1D8C6-6F1E-4B88-BA16-29A05B0DA402}" uniqueName="19" name="Roster Fortnights" queryTableFieldId="19"/>
    <tableColumn id="20" xr3:uid="{76F9717D-1D4D-4EA2-BD7D-7A33F1CE25F0}" uniqueName="20" name="Contracted Roster Hours" queryTableFieldId="20"/>
    <tableColumn id="21" xr3:uid="{01444F10-C5E7-4C34-8FC9-AA44EC71FA05}" uniqueName="21" name="Contracted Shift Equivalent" queryTableFieldId="21"/>
    <tableColumn id="22" xr3:uid="{E5904848-2BF7-411B-9036-38D37A2E4E30}" uniqueName="22" name="Contracted Shifts" queryTableFieldId="22"/>
    <tableColumn id="23" xr3:uid="{9674D36B-ED30-4E9A-AED9-D0D8DFAD5ABE}" uniqueName="23" name="Settings Max Availability" queryTableFieldId="23"/>
    <tableColumn id="24" xr3:uid="{8E09B59A-B71C-4AE6-80BF-FA4E07F76C8E}" uniqueName="24" name="Effective Shift Cap" queryTableFieldId="24"/>
    <tableColumn id="25" xr3:uid="{8F1BCEA4-4D62-41A9-9A11-575BC321BDBA}" uniqueName="25" name="Limit Basis" queryTableFieldId="25"/>
    <tableColumn id="26" xr3:uid="{EA3805DF-0FDB-48DA-9004-725C9AFB006E}" uniqueName="26" name="Facility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81B1D3-DA91-4489-A96E-E3EF8C8BDAD7}" name="Facility3___StaffList_1" displayName="Facility3___StaffList_1" ref="A1:Z72" tableType="queryTable" totalsRowShown="0">
  <autoFilter ref="A1:Z72" xr:uid="{A181B1D3-DA91-4489-A96E-E3EF8C8BDAD7}"/>
  <tableColumns count="26">
    <tableColumn id="1" xr3:uid="{B2536F9E-143D-4ADA-BD18-BF0FC904E34E}" uniqueName="1" name="Name" queryTableFieldId="1" dataDxfId="26"/>
    <tableColumn id="2" xr3:uid="{3EAB5C22-4309-4966-A869-827D1EEAFB36}" uniqueName="2" name="Role" queryTableFieldId="2" dataDxfId="25"/>
    <tableColumn id="3" xr3:uid="{43F7892A-2FD3-424F-AFA5-7D3A6FF72EAA}" uniqueName="3" name="Resource" queryTableFieldId="3"/>
    <tableColumn id="4" xr3:uid="{8D27812C-117C-4AAB-92FF-080183F7B863}" uniqueName="4" name="Misalignment" queryTableFieldId="4"/>
    <tableColumn id="5" xr3:uid="{1D3FA3EF-1CFE-495E-963E-A1D058715CEA}" uniqueName="5" name="Source" queryTableFieldId="5"/>
    <tableColumn id="6" xr3:uid="{4F83BDDE-A899-4778-862B-8DCB3D2BCA7B}" uniqueName="6" name="EmployeeID" queryTableFieldId="6"/>
    <tableColumn id="7" xr3:uid="{FA696101-89B7-47E7-A952-297C3460EFE8}" uniqueName="7" name="Facility-Abbrev" queryTableFieldId="7"/>
    <tableColumn id="8" xr3:uid="{66CD5063-BADB-4354-A427-9060871F1AEE}" uniqueName="8" name="EmploymentType" queryTableFieldId="8"/>
    <tableColumn id="9" xr3:uid="{10AD659B-CED3-4DB5-8FC0-A5EA16C43FB6}" uniqueName="9" name="PreferredRole" queryTableFieldId="9"/>
    <tableColumn id="10" xr3:uid="{9732DD08-D5CD-4BB2-983F-7B3697585E68}" uniqueName="10" name="In Allocation" queryTableFieldId="10"/>
    <tableColumn id="11" xr3:uid="{A00823B0-392F-41EB-BD5B-0729E7AB6762}" uniqueName="11" name="In Records" queryTableFieldId="11"/>
    <tableColumn id="12" xr3:uid="{4201F124-3187-4019-90FF-629CCC1DABB5}" uniqueName="12" name="Worker Membership" queryTableFieldId="12"/>
    <tableColumn id="13" xr3:uid="{9F6D7D3F-7404-475C-8812-FFD32E59758C}" uniqueName="13" name="Worker Record Status" queryTableFieldId="13"/>
    <tableColumn id="14" xr3:uid="{47241B5F-23A9-4F11-96B9-05F04252D356}" uniqueName="14" name="Worker Contract Issue" queryTableFieldId="14"/>
    <tableColumn id="15" xr3:uid="{2E438030-7CF8-4D72-9ACC-5CCD29093043}" uniqueName="15" name="Contract Source" queryTableFieldId="15"/>
    <tableColumn id="16" xr3:uid="{B52697B1-1A9E-4E62-A4AC-730C57689B65}" uniqueName="16" name="Contracted FN Hours" queryTableFieldId="16"/>
    <tableColumn id="17" xr3:uid="{662CE129-FD0A-4378-8F65-1D90DC948F24}" uniqueName="17" name="Roster Start" queryTableFieldId="17"/>
    <tableColumn id="18" xr3:uid="{DAAF402D-926E-4784-AFEE-E5E7CB3DB84F}" uniqueName="18" name="Roster End" queryTableFieldId="18"/>
    <tableColumn id="19" xr3:uid="{8B2FE319-D625-4CBF-9C3A-738404286E7F}" uniqueName="19" name="Roster Fortnights" queryTableFieldId="19"/>
    <tableColumn id="20" xr3:uid="{9C39E377-7285-44AF-839B-38E4E9945788}" uniqueName="20" name="Contracted Roster Hours" queryTableFieldId="20"/>
    <tableColumn id="21" xr3:uid="{83D4B68E-7281-471C-8173-FDFA2F263991}" uniqueName="21" name="Contracted Shift Equivalent" queryTableFieldId="21"/>
    <tableColumn id="22" xr3:uid="{2550C0AA-11CF-432B-8A9D-27FB4BDE44EC}" uniqueName="22" name="Contracted Shifts" queryTableFieldId="22"/>
    <tableColumn id="23" xr3:uid="{6C4A2CBD-3C6C-40B3-9431-F29FBDE390FB}" uniqueName="23" name="Settings Max Availability" queryTableFieldId="23"/>
    <tableColumn id="24" xr3:uid="{64CBCCA0-3919-483D-8AB6-5FBA716E2646}" uniqueName="24" name="Effective Shift Cap" queryTableFieldId="24"/>
    <tableColumn id="25" xr3:uid="{AAC19E1E-B678-48D3-AFBF-89415BC904EB}" uniqueName="25" name="Limit Basis" queryTableFieldId="25"/>
    <tableColumn id="26" xr3:uid="{50F35293-812E-4A1F-8C7B-55CC3914FB0F}" uniqueName="26" name="Facility" queryTableField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2B7E9F-3BFE-4E91-85A4-CD4C04F62140}" name="UnitL1PathTABLE" displayName="UnitL1PathTABLE" ref="A3:B12" tableType="queryTable" totalsRowShown="0" headerRowDxfId="24" dataDxfId="23" headerRowCellStyle="Normal 2" dataCellStyle="Normal 2">
  <autoFilter ref="A3:B12" xr:uid="{902B7E9F-3BFE-4E91-85A4-CD4C04F62140}"/>
  <tableColumns count="2">
    <tableColumn id="1" xr3:uid="{049FAB24-4BFF-4C0C-871D-8118CEF031A0}" uniqueName="1" name="Variable Name" queryTableFieldId="1" dataDxfId="22" dataCellStyle="Normal 2"/>
    <tableColumn id="2" xr3:uid="{87BC1F2D-3EA3-4D99-A8D9-E0F05D9DA991}" uniqueName="2" name="Value" queryTableFieldId="2" dataDxfId="21" dataCellStyle="Normal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B2E35A-9302-41CA-B5A5-0AE115318435}" name="MasterStaffList_All" displayName="MasterStaffList_All" ref="A1:AA252" tableType="queryTable" totalsRowShown="0">
  <autoFilter ref="A1:AA252" xr:uid="{6DB2E35A-9302-41CA-B5A5-0AE115318435}">
    <filterColumn colId="26">
      <filters>
        <filter val="BDAIN1"/>
        <filter val="BDAIN119"/>
        <filter val="BDAIN23"/>
        <filter val="BDAIN28"/>
        <filter val="BDAIN32"/>
        <filter val="BDAIN68"/>
        <filter val="BDAIN69"/>
        <filter val="BDAIN76"/>
        <filter val="BDAIN86"/>
        <filter val="BDAIN90"/>
        <filter val="BDAIN95"/>
        <filter val="BDAIN96"/>
        <filter val="BDEN10"/>
        <filter val="BDRN8"/>
        <filter val="JH-RYAIN10"/>
        <filter val="JH-RYAIN16"/>
        <filter val="JH-RYAIN2"/>
      </filters>
    </filterColumn>
  </autoFilter>
  <sortState xmlns:xlrd2="http://schemas.microsoft.com/office/spreadsheetml/2017/richdata2" ref="A2:AA252">
    <sortCondition ref="AA1:AA252"/>
  </sortState>
  <tableColumns count="27">
    <tableColumn id="2" xr3:uid="{7E3A1737-8310-4DF7-8788-F265D3A67790}" uniqueName="2" name="Name" queryTableFieldId="2" dataDxfId="20"/>
    <tableColumn id="1" xr3:uid="{72E662E1-2F27-4238-87A7-550D2119D10D}" uniqueName="1" name="Role" queryTableFieldId="1" dataDxfId="19"/>
    <tableColumn id="3" xr3:uid="{9D14F63C-B646-4328-B362-1976D1AEF1C2}" uniqueName="3" name="Resource" queryTableFieldId="3"/>
    <tableColumn id="4" xr3:uid="{ECEA2723-BBF2-4887-B63A-90320A0DA7BB}" uniqueName="4" name="Misalignment" queryTableFieldId="4"/>
    <tableColumn id="6" xr3:uid="{E8A4AFF8-355B-44FC-98D0-562EFD766C29}" uniqueName="6" name="Source" queryTableFieldId="6"/>
    <tableColumn id="7" xr3:uid="{3F6D7D6E-CB9B-429B-A35C-7D3A0400C690}" uniqueName="7" name="EmployeeID" queryTableFieldId="7"/>
    <tableColumn id="8" xr3:uid="{F035401C-9983-44BD-AE81-2F1CEFF55D2E}" uniqueName="8" name="Facility-Abbrev" queryTableFieldId="8"/>
    <tableColumn id="9" xr3:uid="{230393BD-DE27-4CC3-85EA-D1A7301D471A}" uniqueName="9" name="EmploymentType" queryTableFieldId="9"/>
    <tableColumn id="10" xr3:uid="{4B456659-D4FF-4D40-8870-1ED0A8F57C37}" uniqueName="10" name="PreferredRole" queryTableFieldId="10"/>
    <tableColumn id="11" xr3:uid="{7637C405-F822-4D48-A8D5-182C21F61BC5}" uniqueName="11" name="In Allocation" queryTableFieldId="11"/>
    <tableColumn id="12" xr3:uid="{7534F602-3353-406B-B6BB-29B90FD6F63E}" uniqueName="12" name="In Records" queryTableFieldId="12"/>
    <tableColumn id="13" xr3:uid="{288C6EC0-15E1-4AF2-9B4E-E617EE23AA4A}" uniqueName="13" name="Worker Membership" queryTableFieldId="13"/>
    <tableColumn id="14" xr3:uid="{533128FD-73A9-4F18-9656-4DE70B506058}" uniqueName="14" name="Worker Record Status" queryTableFieldId="14"/>
    <tableColumn id="15" xr3:uid="{4B8D3A86-2279-4176-B760-C02BE817B40D}" uniqueName="15" name="Worker Contract Issue" queryTableFieldId="15"/>
    <tableColumn id="16" xr3:uid="{80C1BB93-ECD2-4826-8109-66626AB34D48}" uniqueName="16" name="Contract Source" queryTableFieldId="16"/>
    <tableColumn id="17" xr3:uid="{E028AB99-99D4-444B-8A4C-D50E1952AC1C}" uniqueName="17" name="Contracted FN Hours" queryTableFieldId="17"/>
    <tableColumn id="18" xr3:uid="{C7E2CB7D-0924-4D77-9ADF-BE5BD426CC1B}" uniqueName="18" name="Roster Start" queryTableFieldId="18"/>
    <tableColumn id="19" xr3:uid="{4566EEF3-5F91-4B6A-A8F9-51E98C9ECF32}" uniqueName="19" name="Roster End" queryTableFieldId="19"/>
    <tableColumn id="20" xr3:uid="{DFDFC19F-D099-4650-9BFD-2933EBEB89D4}" uniqueName="20" name="Roster Fortnights" queryTableFieldId="20"/>
    <tableColumn id="21" xr3:uid="{77BB0539-BC7C-45BD-A8EC-613A7E2A98C4}" uniqueName="21" name="Contracted Roster Hours" queryTableFieldId="21"/>
    <tableColumn id="22" xr3:uid="{FEBF1B49-5EDA-4339-9AB3-F74E7946DC4D}" uniqueName="22" name="Contracted Shift Equivalent" queryTableFieldId="22"/>
    <tableColumn id="23" xr3:uid="{EB650C6F-BE30-4411-8B44-635B55DFF756}" uniqueName="23" name="Contracted Shifts" queryTableFieldId="23"/>
    <tableColumn id="24" xr3:uid="{5DF96C4E-42D2-45F7-BFF9-C3040A51D4D7}" uniqueName="24" name="Settings Max Availability" queryTableFieldId="24"/>
    <tableColumn id="25" xr3:uid="{858CA345-CCC1-46FB-A108-6629139A4DB4}" uniqueName="25" name="Effective Shift Cap" queryTableFieldId="25"/>
    <tableColumn id="26" xr3:uid="{D8FDCCB9-5054-4D64-AC3A-C381441E108D}" uniqueName="26" name="Limit Basis" queryTableFieldId="26"/>
    <tableColumn id="5" xr3:uid="{37E5BD9C-A218-4459-A4CF-2D4043303AE4}" uniqueName="5" name="Facility" queryTableFieldId="5"/>
    <tableColumn id="27" xr3:uid="{8C6AA184-FC12-4285-AD7C-B7FBD5DF07AF}" uniqueName="27" name="Column1" queryTableFieldId="49" dataDxfId="18">
      <calculatedColumnFormula>MasterStaffList_All[[#This Row],[Facility]]&amp;MasterStaffList_All[[#This Row],[Role]]&amp;MasterStaffList_All[[#This Row],[Resource]]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0242C-2EA6-435C-B4B6-CB25B0D21265}" name="Folder" displayName="Folder" ref="B26:B27" totalsRowShown="0" dataDxfId="17">
  <autoFilter ref="B26:B27" xr:uid="{336E7093-3530-42C5-AF8A-E29B36BB2C09}"/>
  <tableColumns count="1">
    <tableColumn id="1" xr3:uid="{20FF5B14-B2CA-4E40-98E4-77BB955E1926}" name="Folder" dataDxfId="16">
      <calculatedColumnFormula>$B$18&amp;"\"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C1AEA-D43D-4D46-8B19-267058507EC7}" name="Table3" displayName="Table3" ref="B33:C34" totalsRowShown="0" headerRowDxfId="15" dataDxfId="14" headerRowCellStyle="Normal 2" dataCellStyle="Normal 2">
  <autoFilter ref="B33:C34" xr:uid="{0255D31D-F9FA-4374-B7C7-436518B79140}"/>
  <tableColumns count="2">
    <tableColumn id="1" xr3:uid="{28240261-F5F0-4FAA-BF82-67584AFDDD8D}" name="Facility1" dataDxfId="13" dataCellStyle="Normal 2"/>
    <tableColumn id="2" xr3:uid="{1C660DD4-147F-4F9A-89D9-D72222074A4F}" name="Facility2" dataDxfId="12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331026-A643-4355-AA5F-78C46EBCB21E}" name="DateAlignment" displayName="DateAlignment" ref="B38:B39" totalsRowShown="0" headerRowDxfId="11" dataDxfId="10" headerRowCellStyle="Normal 2" dataCellStyle="Normal 2">
  <autoFilter ref="B38:B39" xr:uid="{12E4D58C-491D-408F-AF2D-91CA83457DA4}"/>
  <tableColumns count="1">
    <tableColumn id="1" xr3:uid="{B311AE3A-ED2A-404C-A362-BA3CB76D37CE}" name="DateAlignment" dataDxfId="9" dataCellStyle="Normal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B0A03B-B397-4D4B-8221-C8852AA2E49F}" name="ResShiftAllocation1" displayName="ResShiftAllocation1" ref="A1:H983" totalsRowShown="0">
  <autoFilter ref="A1:H983" xr:uid="{02B0A03B-B397-4D4B-8221-C8852AA2E49F}"/>
  <tableColumns count="8">
    <tableColumn id="1" xr3:uid="{0423744D-B249-4148-A9FE-B3509020C09B}" name="ShiftPeriod" dataDxfId="8"/>
    <tableColumn id="2" xr3:uid="{1B8E87D3-1764-403E-B1FA-D75EFD0FDEBE}" name="Role" dataDxfId="7"/>
    <tableColumn id="3" xr3:uid="{83528A3F-2690-4CCE-8B74-52275618E187}" name="TimeDate" dataDxfId="6"/>
    <tableColumn id="4" xr3:uid="{9518CC6E-388F-4A90-AA33-CE79ACBC3A78}" name="ResShiftFTE"/>
    <tableColumn id="5" xr3:uid="{0AADF8C5-5F4C-4848-ABE4-149746C664C3}" name="Resource"/>
    <tableColumn id="6" xr3:uid="{19699678-5A5C-49B5-8B61-81C9864EC6E4}" name="Period"/>
    <tableColumn id="7" xr3:uid="{46747BBC-637E-4358-8D3E-DD8B0C37C020}" name="Facility" dataDxfId="5"/>
    <tableColumn id="8" xr3:uid="{FC96DEC7-CA7B-41C1-9888-9A79751F9BA6}" name="Type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F517F1-0D23-44BF-B2CB-DE90334BD62A}" name="Facility2___StaffList" displayName="Facility2___StaffList" ref="A1:Z52" tableType="queryTable" totalsRowShown="0">
  <autoFilter ref="A1:Z52" xr:uid="{B1F517F1-0D23-44BF-B2CB-DE90334BD62A}"/>
  <tableColumns count="26">
    <tableColumn id="2" xr3:uid="{AE8B8573-1B9B-4A56-BB21-F6DBD24F553A}" uniqueName="2" name="Name" queryTableFieldId="2" dataDxfId="3"/>
    <tableColumn id="1" xr3:uid="{ECC68B3E-B14C-4C23-B7C6-B3437B3F01AF}" uniqueName="1" name="Role" queryTableFieldId="1" dataDxfId="2"/>
    <tableColumn id="3" xr3:uid="{DA9C74FD-94FB-49B5-B3EF-E71618D58A4C}" uniqueName="3" name="Resource" queryTableFieldId="3"/>
    <tableColumn id="4" xr3:uid="{AD7589AE-3F02-4CF4-A4D7-798B80C937E5}" uniqueName="4" name="Misalignment" queryTableFieldId="4"/>
    <tableColumn id="6" xr3:uid="{DE8602C2-0635-4A11-AFB2-8B5A6B409F03}" uniqueName="6" name="Source" queryTableFieldId="6"/>
    <tableColumn id="7" xr3:uid="{AC726F41-978C-4099-A5E9-297C5677FC95}" uniqueName="7" name="EmployeeID" queryTableFieldId="7"/>
    <tableColumn id="8" xr3:uid="{D5AC251B-135D-498F-AC5A-E4B46F0EC47E}" uniqueName="8" name="Facility-Abbrev" queryTableFieldId="8"/>
    <tableColumn id="9" xr3:uid="{FCD38560-826B-4C3E-B47A-898F0BFC7369}" uniqueName="9" name="EmploymentType" queryTableFieldId="9"/>
    <tableColumn id="10" xr3:uid="{8B991CDB-40A5-4D4D-8E77-CFE023F0DD4E}" uniqueName="10" name="PreferredRole" queryTableFieldId="10"/>
    <tableColumn id="11" xr3:uid="{504B0FE7-6961-4A9B-BC42-A6C2C40FF370}" uniqueName="11" name="In Allocation" queryTableFieldId="11"/>
    <tableColumn id="12" xr3:uid="{FF8FB574-A72B-47CE-9BDD-10C32FA0D091}" uniqueName="12" name="In Records" queryTableFieldId="12"/>
    <tableColumn id="13" xr3:uid="{CC795074-B0A4-41FE-9D4D-7A0D1D8A7430}" uniqueName="13" name="Worker Membership" queryTableFieldId="13"/>
    <tableColumn id="14" xr3:uid="{7CF9D395-BCD1-4801-8BBC-F8A39279EC25}" uniqueName="14" name="Worker Record Status" queryTableFieldId="14"/>
    <tableColumn id="15" xr3:uid="{8F2181BD-4803-4164-ADF2-3D082A51970A}" uniqueName="15" name="Worker Contract Issue" queryTableFieldId="15"/>
    <tableColumn id="16" xr3:uid="{5A3F9A4A-EE62-4EFA-918B-C5D14856B1E2}" uniqueName="16" name="Contract Source" queryTableFieldId="16"/>
    <tableColumn id="17" xr3:uid="{B1F3E122-FE8D-42AF-AA56-1A39C8195E69}" uniqueName="17" name="Contracted FN Hours" queryTableFieldId="17"/>
    <tableColumn id="18" xr3:uid="{437F1900-111A-4DA4-B7F8-D2F4F77604CC}" uniqueName="18" name="Roster Start" queryTableFieldId="18"/>
    <tableColumn id="19" xr3:uid="{087FED62-B2BC-4908-ADBD-8B2ED03D5C0F}" uniqueName="19" name="Roster End" queryTableFieldId="19"/>
    <tableColumn id="20" xr3:uid="{DDE2F4DB-19C8-4ACB-BE31-077FCFED8C11}" uniqueName="20" name="Roster Fortnights" queryTableFieldId="20"/>
    <tableColumn id="21" xr3:uid="{FBB5EAED-A197-47FB-B5D1-7DD917312427}" uniqueName="21" name="Contracted Roster Hours" queryTableFieldId="21"/>
    <tableColumn id="22" xr3:uid="{56D607EA-C72A-4EB0-80C6-46BC061FCC73}" uniqueName="22" name="Contracted Shift Equivalent" queryTableFieldId="22"/>
    <tableColumn id="23" xr3:uid="{CD4FF8C1-5E94-4C0A-8356-CE450880E561}" uniqueName="23" name="Contracted Shifts" queryTableFieldId="23"/>
    <tableColumn id="24" xr3:uid="{0F352C32-93C4-4A3C-8FD5-A7D83AA86005}" uniqueName="24" name="Settings Max Availability" queryTableFieldId="24"/>
    <tableColumn id="25" xr3:uid="{FFC038D0-A6FD-4780-8779-E2A97689066F}" uniqueName="25" name="Effective Shift Cap" queryTableFieldId="25"/>
    <tableColumn id="26" xr3:uid="{F9525DC0-C4E2-44C5-AD7A-635519E4E0C5}" uniqueName="26" name="Limit Basis" queryTableFieldId="26"/>
    <tableColumn id="5" xr3:uid="{98297F12-9D87-436B-A0E3-9A2EDD12D6E5}" uniqueName="5" name="Facility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700788-A27B-4080-BBAC-4E4C32185658}" name="Facility1___StaffList" displayName="Facility1___StaffList" ref="A1:Z130" tableType="queryTable" totalsRowShown="0">
  <autoFilter ref="A1:Z130" xr:uid="{3F700788-A27B-4080-BBAC-4E4C32185658}"/>
  <tableColumns count="26">
    <tableColumn id="2" xr3:uid="{3B1482B3-AE6F-4BE7-AA5E-0D3A32A2B498}" uniqueName="2" name="Name" queryTableFieldId="2" dataDxfId="1"/>
    <tableColumn id="1" xr3:uid="{6933352F-E22B-4BB8-A0EF-1E68D0201485}" uniqueName="1" name="Role" queryTableFieldId="1" dataDxfId="0"/>
    <tableColumn id="3" xr3:uid="{CA7C9D21-F86A-4425-BFDD-FD766E1763D8}" uniqueName="3" name="Resource" queryTableFieldId="3"/>
    <tableColumn id="4" xr3:uid="{7ED4F7FF-4192-4927-8A55-71B38C505B20}" uniqueName="4" name="Misalignment" queryTableFieldId="4"/>
    <tableColumn id="6" xr3:uid="{70E3B1DC-9ABB-4716-B97C-08155CB22044}" uniqueName="6" name="Source" queryTableFieldId="6"/>
    <tableColumn id="7" xr3:uid="{43824F5D-6385-458C-AA1E-3B3459051F6F}" uniqueName="7" name="EmployeeID" queryTableFieldId="7"/>
    <tableColumn id="8" xr3:uid="{36D34DE6-53ED-4394-8214-6A1A306ADBC6}" uniqueName="8" name="Facility-Abbrev" queryTableFieldId="8"/>
    <tableColumn id="9" xr3:uid="{1FBC0946-94F5-4531-97EF-8850951401D7}" uniqueName="9" name="EmploymentType" queryTableFieldId="9"/>
    <tableColumn id="10" xr3:uid="{0B6AD38B-13AC-4A17-AEAF-F27F86DBB9B0}" uniqueName="10" name="PreferredRole" queryTableFieldId="10"/>
    <tableColumn id="11" xr3:uid="{AE93C878-7C62-420C-A2DC-5E8225DE4A8A}" uniqueName="11" name="In Allocation" queryTableFieldId="11"/>
    <tableColumn id="12" xr3:uid="{917F0307-DDF8-4963-AB90-200DAECD36F2}" uniqueName="12" name="In Records" queryTableFieldId="12"/>
    <tableColumn id="13" xr3:uid="{363E452B-BCA1-47B4-8F0F-99E80DC8CAA0}" uniqueName="13" name="Worker Membership" queryTableFieldId="13"/>
    <tableColumn id="14" xr3:uid="{129DCCCA-6CCA-4F93-9ABA-E2867073D5A7}" uniqueName="14" name="Worker Record Status" queryTableFieldId="14"/>
    <tableColumn id="15" xr3:uid="{78DF5940-D896-4BD1-81D9-713E9E0EE9BB}" uniqueName="15" name="Worker Contract Issue" queryTableFieldId="15"/>
    <tableColumn id="16" xr3:uid="{C0A1C1B9-5D08-4A2B-BC68-6D3573958351}" uniqueName="16" name="Contract Source" queryTableFieldId="16"/>
    <tableColumn id="17" xr3:uid="{37119A4D-705A-481D-AFCF-8C84AA659A47}" uniqueName="17" name="Contracted FN Hours" queryTableFieldId="17"/>
    <tableColumn id="18" xr3:uid="{932BDFA3-F2DA-4002-B2B6-7F04A863D6D2}" uniqueName="18" name="Roster Start" queryTableFieldId="18"/>
    <tableColumn id="19" xr3:uid="{3998576E-402B-4E13-8BC3-CB564A678FD0}" uniqueName="19" name="Roster End" queryTableFieldId="19"/>
    <tableColumn id="20" xr3:uid="{F67D9CCB-C77B-4616-B223-F8EAB98F8B10}" uniqueName="20" name="Roster Fortnights" queryTableFieldId="20"/>
    <tableColumn id="21" xr3:uid="{7B395E68-B4A6-4913-842E-F2C93D732E33}" uniqueName="21" name="Contracted Roster Hours" queryTableFieldId="21"/>
    <tableColumn id="22" xr3:uid="{BE2E1C87-D699-4860-9F36-715758DD23C9}" uniqueName="22" name="Contracted Shift Equivalent" queryTableFieldId="22"/>
    <tableColumn id="23" xr3:uid="{DAA64018-7D21-41E6-8892-6CD257493DE5}" uniqueName="23" name="Contracted Shifts" queryTableFieldId="23"/>
    <tableColumn id="24" xr3:uid="{0E465646-196D-4E5A-A469-BB605DA7DEA9}" uniqueName="24" name="Settings Max Availability" queryTableFieldId="24"/>
    <tableColumn id="25" xr3:uid="{2A7306A7-DF83-4136-B863-583CE95E9822}" uniqueName="25" name="Effective Shift Cap" queryTableFieldId="25"/>
    <tableColumn id="26" xr3:uid="{71660E89-AA69-44AA-B76D-4B85A91E1DA3}" uniqueName="26" name="Limit Basis" queryTableFieldId="26"/>
    <tableColumn id="5" xr3:uid="{C73EF52B-4CD8-4290-9E51-9D08E056FAD7}" uniqueName="5" name="Facility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95FF85-6F48-4D47-85B3-2697687D6300}" name="Table_Masterlist" displayName="Table_Masterlist" ref="A1:Z252" tableType="queryTable" totalsRowShown="0">
  <autoFilter ref="A1:Z252" xr:uid="{A195FF85-6F48-4D47-85B3-2697687D6300}">
    <filterColumn colId="5">
      <filters>
        <filter val="19822"/>
      </filters>
    </filterColumn>
  </autoFilter>
  <tableColumns count="26">
    <tableColumn id="2" xr3:uid="{992731B2-B483-4281-98FD-864D37CD4B3B}" uniqueName="2" name="Name" queryTableFieldId="2" dataDxfId="31"/>
    <tableColumn id="1" xr3:uid="{5CC3D8B5-BF46-425D-B0AE-8E366071D21F}" uniqueName="1" name="Role" queryTableFieldId="1" dataDxfId="30"/>
    <tableColumn id="3" xr3:uid="{4A3C8990-1BF1-4ACB-A679-A77C45B08D8F}" uniqueName="3" name="Resource" queryTableFieldId="3"/>
    <tableColumn id="4" xr3:uid="{210A611E-06A8-4C62-A41C-675DCBD21502}" uniqueName="4" name="Misalignment" queryTableFieldId="4" dataDxfId="29"/>
    <tableColumn id="6" xr3:uid="{AD7A5749-7F19-4AC4-AFA1-F2D6B5FEE29B}" uniqueName="6" name="Source" queryTableFieldId="6"/>
    <tableColumn id="7" xr3:uid="{DC4D2437-032A-43A6-9B4B-04976E86E48E}" uniqueName="7" name="EmployeeID" queryTableFieldId="7"/>
    <tableColumn id="8" xr3:uid="{EDFE29E8-7097-4D87-9156-FDCFF1C9CCC0}" uniqueName="8" name="Facility-Abbrev" queryTableFieldId="8"/>
    <tableColumn id="9" xr3:uid="{4FD0BAFB-5D93-48DC-A3DB-022B12B3BA1E}" uniqueName="9" name="EmploymentType" queryTableFieldId="9"/>
    <tableColumn id="10" xr3:uid="{B06B2346-1D0C-4DB2-90A5-F9EFB0DB4BCC}" uniqueName="10" name="PreferredRole" queryTableFieldId="10"/>
    <tableColumn id="11" xr3:uid="{7FAF4BFD-42C2-41FA-AB99-F7419B81A0FA}" uniqueName="11" name="In Allocation" queryTableFieldId="11"/>
    <tableColumn id="12" xr3:uid="{C9FAF19E-4945-4BAC-8CF3-E67E7FF60AF2}" uniqueName="12" name="In Records" queryTableFieldId="12"/>
    <tableColumn id="13" xr3:uid="{E5DA8357-2E2C-455B-9BB2-0D433BDFA425}" uniqueName="13" name="Worker Membership" queryTableFieldId="13"/>
    <tableColumn id="14" xr3:uid="{E73072E3-54EB-4D74-B7C9-5AA5706E417D}" uniqueName="14" name="Worker Record Status" queryTableFieldId="14"/>
    <tableColumn id="15" xr3:uid="{1CB837C2-E385-40BA-8D05-A97C437A81A2}" uniqueName="15" name="Worker Contract Issue" queryTableFieldId="15"/>
    <tableColumn id="16" xr3:uid="{7CAE12CD-33EA-4855-9D06-D38231CC8ED8}" uniqueName="16" name="Contract Source" queryTableFieldId="16"/>
    <tableColumn id="17" xr3:uid="{67E6FD5E-3A2B-4578-B8EE-93B5F164C940}" uniqueName="17" name="Contracted FN Hours" queryTableFieldId="17"/>
    <tableColumn id="18" xr3:uid="{D56E8B51-67A7-4CDE-999B-F2652FCEDA12}" uniqueName="18" name="Roster Start" queryTableFieldId="18"/>
    <tableColumn id="19" xr3:uid="{B864A4AD-6FE1-451E-B677-C60827E95A92}" uniqueName="19" name="Roster End" queryTableFieldId="19"/>
    <tableColumn id="20" xr3:uid="{D8F93384-3A6B-4AAF-97DC-5E6BF4DA1311}" uniqueName="20" name="Roster Fortnights" queryTableFieldId="20"/>
    <tableColumn id="21" xr3:uid="{50C665B1-C6B1-45DC-AF5D-911A4F7DD1F8}" uniqueName="21" name="Contracted Roster Hours" queryTableFieldId="21"/>
    <tableColumn id="22" xr3:uid="{40AB702C-00D7-454B-8204-69CEBAC68A19}" uniqueName="22" name="Contracted Shift Equivalent" queryTableFieldId="22"/>
    <tableColumn id="23" xr3:uid="{04AB22EC-7344-48F4-A13F-E919AF093E95}" uniqueName="23" name="Contracted Shifts" queryTableFieldId="23"/>
    <tableColumn id="24" xr3:uid="{F5322331-BFF6-4F9C-9E89-119BAC207305}" uniqueName="24" name="Settings Max Availability" queryTableFieldId="24"/>
    <tableColumn id="25" xr3:uid="{83BCF3A3-35DD-43C9-8E43-2A921F65D73A}" uniqueName="25" name="Effective Shift Cap" queryTableFieldId="25"/>
    <tableColumn id="26" xr3:uid="{060FBA1A-F384-4350-B2BB-B4C396797357}" uniqueName="26" name="Limit Basis" queryTableFieldId="26"/>
    <tableColumn id="5" xr3:uid="{D6DA8C3E-01DB-46D0-838F-882FE3B28E8D}" uniqueName="5" name="Facility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F472F1-5919-46FC-B625-DD34EA9AE671}" name="File_Path_Data" displayName="File_Path_Data" ref="A1:B8" tableType="queryTable" totalsRowShown="0">
  <autoFilter ref="A1:B8" xr:uid="{3D23BC9F-0255-4DE7-B47A-410E3BB1FE63}"/>
  <tableColumns count="2">
    <tableColumn id="1" xr3:uid="{027E7001-971D-4877-88B9-518458977F81}" uniqueName="1" name="Variable Name" queryTableFieldId="1"/>
    <tableColumn id="2" xr3:uid="{E727D2F8-0967-4962-8780-0188C53B4416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FF23-FDB4-4F52-BEEC-FEBA9F7CF0D2}">
  <dimension ref="A1:Z72"/>
  <sheetViews>
    <sheetView workbookViewId="0">
      <selection activeCell="I45" sqref="I45"/>
    </sheetView>
  </sheetViews>
  <sheetFormatPr defaultRowHeight="15" x14ac:dyDescent="0.25"/>
  <cols>
    <col min="1" max="1" width="25.14062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bestFit="1" customWidth="1"/>
  </cols>
  <sheetData>
    <row r="1" spans="1:26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</row>
    <row r="2" spans="1:26" x14ac:dyDescent="0.25">
      <c r="A2" t="s">
        <v>439</v>
      </c>
      <c r="B2" t="s">
        <v>22</v>
      </c>
      <c r="C2">
        <v>1</v>
      </c>
      <c r="E2" t="s">
        <v>76</v>
      </c>
      <c r="F2" t="s">
        <v>440</v>
      </c>
      <c r="G2" t="s">
        <v>438</v>
      </c>
      <c r="H2" t="s">
        <v>88</v>
      </c>
      <c r="I2" t="s">
        <v>22</v>
      </c>
      <c r="J2" t="b">
        <v>1</v>
      </c>
      <c r="K2" t="b">
        <v>0</v>
      </c>
      <c r="L2" t="s">
        <v>92</v>
      </c>
      <c r="M2" t="s">
        <v>81</v>
      </c>
      <c r="O2" t="s">
        <v>89</v>
      </c>
      <c r="P2">
        <v>76</v>
      </c>
      <c r="Q2">
        <v>46223</v>
      </c>
      <c r="R2">
        <v>46250</v>
      </c>
      <c r="S2">
        <v>2</v>
      </c>
      <c r="T2">
        <v>152</v>
      </c>
      <c r="U2">
        <v>20</v>
      </c>
      <c r="V2">
        <v>20</v>
      </c>
      <c r="W2">
        <v>20</v>
      </c>
      <c r="X2">
        <v>20</v>
      </c>
      <c r="Y2" t="s">
        <v>89</v>
      </c>
      <c r="Z2" t="s">
        <v>438</v>
      </c>
    </row>
    <row r="3" spans="1:26" x14ac:dyDescent="0.25">
      <c r="A3" t="s">
        <v>441</v>
      </c>
      <c r="B3" t="s">
        <v>29</v>
      </c>
      <c r="C3">
        <v>2</v>
      </c>
      <c r="E3" t="s">
        <v>76</v>
      </c>
      <c r="F3" t="s">
        <v>442</v>
      </c>
      <c r="G3" t="s">
        <v>438</v>
      </c>
      <c r="H3" t="s">
        <v>88</v>
      </c>
      <c r="I3" t="s">
        <v>29</v>
      </c>
      <c r="J3" t="b">
        <v>1</v>
      </c>
      <c r="K3" t="b">
        <v>0</v>
      </c>
      <c r="L3" t="s">
        <v>92</v>
      </c>
      <c r="M3" t="s">
        <v>81</v>
      </c>
      <c r="O3" t="s">
        <v>89</v>
      </c>
      <c r="P3">
        <v>76</v>
      </c>
      <c r="Q3">
        <v>46223</v>
      </c>
      <c r="R3">
        <v>46250</v>
      </c>
      <c r="S3">
        <v>2</v>
      </c>
      <c r="T3">
        <v>152</v>
      </c>
      <c r="U3">
        <v>20</v>
      </c>
      <c r="V3">
        <v>20</v>
      </c>
      <c r="W3">
        <v>20</v>
      </c>
      <c r="X3">
        <v>20</v>
      </c>
      <c r="Y3" t="s">
        <v>89</v>
      </c>
      <c r="Z3" t="s">
        <v>438</v>
      </c>
    </row>
    <row r="4" spans="1:26" x14ac:dyDescent="0.25">
      <c r="A4" t="s">
        <v>86</v>
      </c>
      <c r="B4" t="s">
        <v>22</v>
      </c>
      <c r="C4">
        <v>3</v>
      </c>
      <c r="D4" t="s">
        <v>40</v>
      </c>
      <c r="E4" t="s">
        <v>76</v>
      </c>
      <c r="F4" t="s">
        <v>87</v>
      </c>
      <c r="G4" t="s">
        <v>438</v>
      </c>
      <c r="H4" t="s">
        <v>88</v>
      </c>
      <c r="I4" t="s">
        <v>22</v>
      </c>
      <c r="J4" t="b">
        <v>0</v>
      </c>
      <c r="K4" t="b">
        <v>1</v>
      </c>
      <c r="L4" t="s">
        <v>80</v>
      </c>
      <c r="M4" t="s">
        <v>81</v>
      </c>
      <c r="O4" t="s">
        <v>89</v>
      </c>
      <c r="P4">
        <v>76</v>
      </c>
      <c r="Q4">
        <v>46223</v>
      </c>
      <c r="R4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89</v>
      </c>
      <c r="Z4" t="s">
        <v>438</v>
      </c>
    </row>
    <row r="5" spans="1:26" x14ac:dyDescent="0.25">
      <c r="A5" t="s">
        <v>443</v>
      </c>
      <c r="B5" t="s">
        <v>22</v>
      </c>
      <c r="C5">
        <v>4</v>
      </c>
      <c r="D5" t="s">
        <v>40</v>
      </c>
      <c r="E5" t="s">
        <v>76</v>
      </c>
      <c r="F5" t="s">
        <v>444</v>
      </c>
      <c r="G5" t="s">
        <v>438</v>
      </c>
      <c r="H5" t="s">
        <v>79</v>
      </c>
      <c r="I5" t="s">
        <v>22</v>
      </c>
      <c r="J5" t="b">
        <v>0</v>
      </c>
      <c r="K5" t="b">
        <v>1</v>
      </c>
      <c r="L5" t="s">
        <v>80</v>
      </c>
      <c r="M5" t="s">
        <v>81</v>
      </c>
      <c r="O5" t="s">
        <v>82</v>
      </c>
      <c r="P5">
        <v>26</v>
      </c>
      <c r="Q5">
        <v>46223</v>
      </c>
      <c r="R5">
        <v>46250</v>
      </c>
      <c r="S5">
        <v>2</v>
      </c>
      <c r="T5">
        <v>52</v>
      </c>
      <c r="U5">
        <v>6.8421052631578947</v>
      </c>
      <c r="V5">
        <v>6</v>
      </c>
      <c r="W5">
        <v>20</v>
      </c>
      <c r="X5">
        <v>6</v>
      </c>
      <c r="Y5" t="s">
        <v>83</v>
      </c>
      <c r="Z5" t="s">
        <v>438</v>
      </c>
    </row>
    <row r="6" spans="1:26" x14ac:dyDescent="0.25">
      <c r="A6" t="s">
        <v>445</v>
      </c>
      <c r="B6" t="s">
        <v>22</v>
      </c>
      <c r="C6">
        <v>5</v>
      </c>
      <c r="E6" t="s">
        <v>76</v>
      </c>
      <c r="F6" t="s">
        <v>446</v>
      </c>
      <c r="G6" t="s">
        <v>438</v>
      </c>
      <c r="H6" t="s">
        <v>79</v>
      </c>
      <c r="I6" t="s">
        <v>22</v>
      </c>
      <c r="J6" t="b">
        <v>1</v>
      </c>
      <c r="K6" t="b">
        <v>0</v>
      </c>
      <c r="L6" t="s">
        <v>92</v>
      </c>
      <c r="M6" t="s">
        <v>81</v>
      </c>
      <c r="O6" t="s">
        <v>82</v>
      </c>
      <c r="P6">
        <v>24</v>
      </c>
      <c r="Q6">
        <v>46223</v>
      </c>
      <c r="R6">
        <v>46250</v>
      </c>
      <c r="S6">
        <v>2</v>
      </c>
      <c r="T6">
        <v>48</v>
      </c>
      <c r="U6">
        <v>6.3157894736842106</v>
      </c>
      <c r="V6">
        <v>6</v>
      </c>
      <c r="W6">
        <v>20</v>
      </c>
      <c r="X6">
        <v>6</v>
      </c>
      <c r="Y6" t="s">
        <v>83</v>
      </c>
      <c r="Z6" t="s">
        <v>438</v>
      </c>
    </row>
    <row r="7" spans="1:26" x14ac:dyDescent="0.25">
      <c r="A7" t="s">
        <v>447</v>
      </c>
      <c r="B7" t="s">
        <v>29</v>
      </c>
      <c r="C7">
        <v>6</v>
      </c>
      <c r="E7" t="s">
        <v>76</v>
      </c>
      <c r="F7" t="s">
        <v>448</v>
      </c>
      <c r="G7" t="s">
        <v>438</v>
      </c>
      <c r="H7" t="s">
        <v>110</v>
      </c>
      <c r="I7" t="s">
        <v>29</v>
      </c>
      <c r="J7" t="b">
        <v>1</v>
      </c>
      <c r="K7" t="b">
        <v>1</v>
      </c>
      <c r="L7" t="s">
        <v>95</v>
      </c>
      <c r="M7" t="s">
        <v>81</v>
      </c>
      <c r="O7" t="s">
        <v>82</v>
      </c>
      <c r="P7">
        <v>76</v>
      </c>
      <c r="Q7">
        <v>46223</v>
      </c>
      <c r="R7">
        <v>46250</v>
      </c>
      <c r="S7">
        <v>2</v>
      </c>
      <c r="T7">
        <v>152</v>
      </c>
      <c r="U7">
        <v>20</v>
      </c>
      <c r="V7">
        <v>20</v>
      </c>
      <c r="W7">
        <v>20</v>
      </c>
      <c r="X7">
        <v>20</v>
      </c>
      <c r="Y7" t="s">
        <v>111</v>
      </c>
      <c r="Z7" t="s">
        <v>438</v>
      </c>
    </row>
    <row r="8" spans="1:26" x14ac:dyDescent="0.25">
      <c r="A8" t="s">
        <v>449</v>
      </c>
      <c r="B8" t="s">
        <v>31</v>
      </c>
      <c r="C8">
        <v>7</v>
      </c>
      <c r="E8" t="s">
        <v>76</v>
      </c>
      <c r="F8" t="s">
        <v>450</v>
      </c>
      <c r="G8" t="s">
        <v>438</v>
      </c>
      <c r="H8" t="s">
        <v>79</v>
      </c>
      <c r="I8" t="s">
        <v>31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56</v>
      </c>
      <c r="Q8">
        <v>46223</v>
      </c>
      <c r="R8">
        <v>46250</v>
      </c>
      <c r="S8">
        <v>2</v>
      </c>
      <c r="T8">
        <v>112</v>
      </c>
      <c r="U8">
        <v>14.736842105263159</v>
      </c>
      <c r="V8">
        <v>14</v>
      </c>
      <c r="W8">
        <v>20</v>
      </c>
      <c r="X8">
        <v>14</v>
      </c>
      <c r="Y8" t="s">
        <v>83</v>
      </c>
      <c r="Z8" t="s">
        <v>438</v>
      </c>
    </row>
    <row r="9" spans="1:26" x14ac:dyDescent="0.25">
      <c r="A9" t="s">
        <v>451</v>
      </c>
      <c r="B9" t="s">
        <v>22</v>
      </c>
      <c r="C9">
        <v>8</v>
      </c>
      <c r="E9" t="s">
        <v>76</v>
      </c>
      <c r="F9" t="s">
        <v>452</v>
      </c>
      <c r="G9" t="s">
        <v>438</v>
      </c>
      <c r="H9" t="s">
        <v>79</v>
      </c>
      <c r="I9" t="s">
        <v>22</v>
      </c>
      <c r="J9" t="b">
        <v>1</v>
      </c>
      <c r="K9" t="b">
        <v>1</v>
      </c>
      <c r="L9" t="s">
        <v>95</v>
      </c>
      <c r="M9" t="s">
        <v>81</v>
      </c>
      <c r="O9" t="s">
        <v>82</v>
      </c>
      <c r="P9">
        <v>64</v>
      </c>
      <c r="Q9">
        <v>46223</v>
      </c>
      <c r="R9">
        <v>46250</v>
      </c>
      <c r="S9">
        <v>2</v>
      </c>
      <c r="T9">
        <v>128</v>
      </c>
      <c r="U9">
        <v>16.842105263157894</v>
      </c>
      <c r="V9">
        <v>16</v>
      </c>
      <c r="W9">
        <v>20</v>
      </c>
      <c r="X9">
        <v>16</v>
      </c>
      <c r="Y9" t="s">
        <v>83</v>
      </c>
      <c r="Z9" t="s">
        <v>438</v>
      </c>
    </row>
    <row r="10" spans="1:26" x14ac:dyDescent="0.25">
      <c r="A10" t="s">
        <v>453</v>
      </c>
      <c r="B10" t="s">
        <v>22</v>
      </c>
      <c r="C10">
        <v>9</v>
      </c>
      <c r="E10" t="s">
        <v>76</v>
      </c>
      <c r="F10" t="s">
        <v>454</v>
      </c>
      <c r="G10" t="s">
        <v>438</v>
      </c>
      <c r="H10" t="s">
        <v>88</v>
      </c>
      <c r="I10" t="s">
        <v>22</v>
      </c>
      <c r="J10" t="b">
        <v>1</v>
      </c>
      <c r="K10" t="b">
        <v>0</v>
      </c>
      <c r="L10" t="s">
        <v>92</v>
      </c>
      <c r="M10" t="s">
        <v>81</v>
      </c>
      <c r="O10" t="s">
        <v>89</v>
      </c>
      <c r="P10">
        <v>76</v>
      </c>
      <c r="Q10">
        <v>46223</v>
      </c>
      <c r="R10">
        <v>46250</v>
      </c>
      <c r="S10">
        <v>2</v>
      </c>
      <c r="T10">
        <v>152</v>
      </c>
      <c r="U10">
        <v>20</v>
      </c>
      <c r="V10">
        <v>20</v>
      </c>
      <c r="W10">
        <v>20</v>
      </c>
      <c r="X10">
        <v>20</v>
      </c>
      <c r="Y10" t="s">
        <v>89</v>
      </c>
      <c r="Z10" t="s">
        <v>438</v>
      </c>
    </row>
    <row r="11" spans="1:26" x14ac:dyDescent="0.25">
      <c r="A11" t="s">
        <v>455</v>
      </c>
      <c r="B11" t="s">
        <v>29</v>
      </c>
      <c r="C11">
        <v>10</v>
      </c>
      <c r="E11" t="s">
        <v>76</v>
      </c>
      <c r="F11" t="s">
        <v>456</v>
      </c>
      <c r="G11" t="s">
        <v>438</v>
      </c>
      <c r="H11" t="s">
        <v>110</v>
      </c>
      <c r="I11" t="s">
        <v>29</v>
      </c>
      <c r="J11" t="b">
        <v>1</v>
      </c>
      <c r="K11" t="b">
        <v>1</v>
      </c>
      <c r="L11" t="s">
        <v>95</v>
      </c>
      <c r="M11" t="s">
        <v>81</v>
      </c>
      <c r="O11" t="s">
        <v>82</v>
      </c>
      <c r="P11">
        <v>76</v>
      </c>
      <c r="Q11">
        <v>46223</v>
      </c>
      <c r="R11">
        <v>46250</v>
      </c>
      <c r="S11">
        <v>2</v>
      </c>
      <c r="T11">
        <v>152</v>
      </c>
      <c r="U11">
        <v>20</v>
      </c>
      <c r="V11">
        <v>20</v>
      </c>
      <c r="W11">
        <v>20</v>
      </c>
      <c r="X11">
        <v>20</v>
      </c>
      <c r="Y11" t="s">
        <v>111</v>
      </c>
      <c r="Z11" t="s">
        <v>438</v>
      </c>
    </row>
    <row r="12" spans="1:26" x14ac:dyDescent="0.25">
      <c r="A12" t="s">
        <v>457</v>
      </c>
      <c r="B12" t="s">
        <v>22</v>
      </c>
      <c r="C12">
        <v>11</v>
      </c>
      <c r="E12" t="s">
        <v>76</v>
      </c>
      <c r="F12" t="s">
        <v>458</v>
      </c>
      <c r="G12" t="s">
        <v>438</v>
      </c>
      <c r="H12" t="s">
        <v>79</v>
      </c>
      <c r="I12" t="s">
        <v>22</v>
      </c>
      <c r="J12" t="b">
        <v>1</v>
      </c>
      <c r="K12" t="b">
        <v>1</v>
      </c>
      <c r="L12" t="s">
        <v>95</v>
      </c>
      <c r="M12" t="s">
        <v>81</v>
      </c>
      <c r="O12" t="s">
        <v>82</v>
      </c>
      <c r="P12">
        <v>40</v>
      </c>
      <c r="Q12">
        <v>46223</v>
      </c>
      <c r="R12">
        <v>46250</v>
      </c>
      <c r="S12">
        <v>2</v>
      </c>
      <c r="T12">
        <v>80</v>
      </c>
      <c r="U12">
        <v>10.526315789473683</v>
      </c>
      <c r="V12">
        <v>10</v>
      </c>
      <c r="W12">
        <v>20</v>
      </c>
      <c r="X12">
        <v>10</v>
      </c>
      <c r="Y12" t="s">
        <v>83</v>
      </c>
      <c r="Z12" t="s">
        <v>438</v>
      </c>
    </row>
    <row r="13" spans="1:26" x14ac:dyDescent="0.25">
      <c r="A13" t="s">
        <v>459</v>
      </c>
      <c r="B13" t="s">
        <v>22</v>
      </c>
      <c r="C13">
        <v>12</v>
      </c>
      <c r="E13" t="s">
        <v>76</v>
      </c>
      <c r="F13" t="s">
        <v>460</v>
      </c>
      <c r="G13" t="s">
        <v>438</v>
      </c>
      <c r="H13" t="s">
        <v>79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72</v>
      </c>
      <c r="Q13">
        <v>46223</v>
      </c>
      <c r="R13">
        <v>46250</v>
      </c>
      <c r="S13">
        <v>2</v>
      </c>
      <c r="T13">
        <v>144</v>
      </c>
      <c r="U13">
        <v>18.947368421052634</v>
      </c>
      <c r="V13">
        <v>18</v>
      </c>
      <c r="W13">
        <v>20</v>
      </c>
      <c r="X13">
        <v>18</v>
      </c>
      <c r="Y13" t="s">
        <v>83</v>
      </c>
      <c r="Z13" t="s">
        <v>438</v>
      </c>
    </row>
    <row r="14" spans="1:26" x14ac:dyDescent="0.25">
      <c r="A14" t="s">
        <v>461</v>
      </c>
      <c r="B14" t="s">
        <v>22</v>
      </c>
      <c r="C14">
        <v>13</v>
      </c>
      <c r="D14" t="s">
        <v>40</v>
      </c>
      <c r="E14" t="s">
        <v>76</v>
      </c>
      <c r="F14" t="s">
        <v>462</v>
      </c>
      <c r="G14" t="s">
        <v>438</v>
      </c>
      <c r="H14" t="s">
        <v>88</v>
      </c>
      <c r="I14" t="s">
        <v>22</v>
      </c>
      <c r="J14" t="b">
        <v>0</v>
      </c>
      <c r="K14" t="b">
        <v>1</v>
      </c>
      <c r="L14" t="s">
        <v>80</v>
      </c>
      <c r="M14" t="s">
        <v>81</v>
      </c>
      <c r="O14" t="s">
        <v>89</v>
      </c>
      <c r="P14">
        <v>76</v>
      </c>
      <c r="Q14">
        <v>46223</v>
      </c>
      <c r="R14">
        <v>46250</v>
      </c>
      <c r="S14">
        <v>2</v>
      </c>
      <c r="T14">
        <v>152</v>
      </c>
      <c r="U14">
        <v>20</v>
      </c>
      <c r="V14">
        <v>20</v>
      </c>
      <c r="W14">
        <v>20</v>
      </c>
      <c r="X14">
        <v>20</v>
      </c>
      <c r="Y14" t="s">
        <v>89</v>
      </c>
      <c r="Z14" t="s">
        <v>438</v>
      </c>
    </row>
    <row r="15" spans="1:26" x14ac:dyDescent="0.25">
      <c r="A15" t="s">
        <v>463</v>
      </c>
      <c r="B15" t="s">
        <v>22</v>
      </c>
      <c r="C15">
        <v>14</v>
      </c>
      <c r="E15" t="s">
        <v>76</v>
      </c>
      <c r="F15" t="s">
        <v>464</v>
      </c>
      <c r="G15" t="s">
        <v>438</v>
      </c>
      <c r="H15" t="s">
        <v>88</v>
      </c>
      <c r="I15" t="s">
        <v>22</v>
      </c>
      <c r="J15" t="b">
        <v>1</v>
      </c>
      <c r="K15" t="b">
        <v>0</v>
      </c>
      <c r="L15" t="s">
        <v>92</v>
      </c>
      <c r="M15" t="s">
        <v>81</v>
      </c>
      <c r="O15" t="s">
        <v>89</v>
      </c>
      <c r="P15">
        <v>76</v>
      </c>
      <c r="Q15">
        <v>46223</v>
      </c>
      <c r="R15">
        <v>46250</v>
      </c>
      <c r="S15">
        <v>2</v>
      </c>
      <c r="T15">
        <v>152</v>
      </c>
      <c r="U15">
        <v>20</v>
      </c>
      <c r="V15">
        <v>20</v>
      </c>
      <c r="W15">
        <v>20</v>
      </c>
      <c r="X15">
        <v>20</v>
      </c>
      <c r="Y15" t="s">
        <v>89</v>
      </c>
      <c r="Z15" t="s">
        <v>438</v>
      </c>
    </row>
    <row r="16" spans="1:26" x14ac:dyDescent="0.25">
      <c r="A16" t="s">
        <v>465</v>
      </c>
      <c r="B16" t="s">
        <v>22</v>
      </c>
      <c r="C16">
        <v>15</v>
      </c>
      <c r="D16" t="s">
        <v>40</v>
      </c>
      <c r="E16" t="s">
        <v>76</v>
      </c>
      <c r="F16" t="s">
        <v>466</v>
      </c>
      <c r="G16" t="s">
        <v>438</v>
      </c>
      <c r="H16" t="s">
        <v>79</v>
      </c>
      <c r="I16" t="s">
        <v>22</v>
      </c>
      <c r="J16" t="b">
        <v>0</v>
      </c>
      <c r="K16" t="b">
        <v>1</v>
      </c>
      <c r="L16" t="s">
        <v>80</v>
      </c>
      <c r="M16" t="s">
        <v>81</v>
      </c>
      <c r="O16" t="s">
        <v>82</v>
      </c>
      <c r="P16">
        <v>46</v>
      </c>
      <c r="Q16">
        <v>46223</v>
      </c>
      <c r="R16">
        <v>46250</v>
      </c>
      <c r="S16">
        <v>2</v>
      </c>
      <c r="T16">
        <v>92</v>
      </c>
      <c r="U16">
        <v>12.105263157894738</v>
      </c>
      <c r="V16">
        <v>12</v>
      </c>
      <c r="W16">
        <v>20</v>
      </c>
      <c r="X16">
        <v>12</v>
      </c>
      <c r="Y16" t="s">
        <v>83</v>
      </c>
      <c r="Z16" t="s">
        <v>438</v>
      </c>
    </row>
    <row r="17" spans="1:26" x14ac:dyDescent="0.25">
      <c r="A17" t="s">
        <v>467</v>
      </c>
      <c r="B17" t="s">
        <v>29</v>
      </c>
      <c r="C17">
        <v>16</v>
      </c>
      <c r="E17" t="s">
        <v>76</v>
      </c>
      <c r="F17" t="s">
        <v>468</v>
      </c>
      <c r="G17" t="s">
        <v>438</v>
      </c>
      <c r="H17" t="s">
        <v>110</v>
      </c>
      <c r="I17" t="s">
        <v>29</v>
      </c>
      <c r="J17" t="b">
        <v>1</v>
      </c>
      <c r="K17" t="b">
        <v>1</v>
      </c>
      <c r="L17" t="s">
        <v>95</v>
      </c>
      <c r="M17" t="s">
        <v>81</v>
      </c>
      <c r="O17" t="s">
        <v>82</v>
      </c>
      <c r="P17">
        <v>76</v>
      </c>
      <c r="Q17">
        <v>46223</v>
      </c>
      <c r="R17">
        <v>46250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111</v>
      </c>
      <c r="Z17" t="s">
        <v>438</v>
      </c>
    </row>
    <row r="18" spans="1:26" x14ac:dyDescent="0.25">
      <c r="A18" t="s">
        <v>469</v>
      </c>
      <c r="B18" t="s">
        <v>22</v>
      </c>
      <c r="C18">
        <v>17</v>
      </c>
      <c r="E18" t="s">
        <v>76</v>
      </c>
      <c r="F18" t="s">
        <v>470</v>
      </c>
      <c r="G18" t="s">
        <v>438</v>
      </c>
      <c r="H18" t="s">
        <v>110</v>
      </c>
      <c r="I18" t="s">
        <v>22</v>
      </c>
      <c r="J18" t="b">
        <v>1</v>
      </c>
      <c r="K18" t="b">
        <v>0</v>
      </c>
      <c r="L18" t="s">
        <v>92</v>
      </c>
      <c r="M18" t="s">
        <v>81</v>
      </c>
      <c r="O18" t="s">
        <v>82</v>
      </c>
      <c r="P18">
        <v>76</v>
      </c>
      <c r="Q18">
        <v>46223</v>
      </c>
      <c r="R18">
        <v>46250</v>
      </c>
      <c r="S18">
        <v>2</v>
      </c>
      <c r="T18">
        <v>152</v>
      </c>
      <c r="U18">
        <v>20</v>
      </c>
      <c r="V18">
        <v>20</v>
      </c>
      <c r="W18">
        <v>20</v>
      </c>
      <c r="X18">
        <v>20</v>
      </c>
      <c r="Y18" t="s">
        <v>111</v>
      </c>
      <c r="Z18" t="s">
        <v>438</v>
      </c>
    </row>
    <row r="19" spans="1:26" x14ac:dyDescent="0.25">
      <c r="A19" t="s">
        <v>471</v>
      </c>
      <c r="B19" t="s">
        <v>22</v>
      </c>
      <c r="C19">
        <v>18</v>
      </c>
      <c r="E19" t="s">
        <v>76</v>
      </c>
      <c r="F19" t="s">
        <v>472</v>
      </c>
      <c r="G19" t="s">
        <v>438</v>
      </c>
      <c r="H19" t="s">
        <v>79</v>
      </c>
      <c r="I19" t="s">
        <v>22</v>
      </c>
      <c r="J19" t="b">
        <v>1</v>
      </c>
      <c r="K19" t="b">
        <v>1</v>
      </c>
      <c r="L19" t="s">
        <v>95</v>
      </c>
      <c r="M19" t="s">
        <v>81</v>
      </c>
      <c r="O19" t="s">
        <v>82</v>
      </c>
      <c r="P19">
        <v>40</v>
      </c>
      <c r="Q19">
        <v>46223</v>
      </c>
      <c r="R19">
        <v>46250</v>
      </c>
      <c r="S19">
        <v>2</v>
      </c>
      <c r="T19">
        <v>80</v>
      </c>
      <c r="U19">
        <v>10.526315789473683</v>
      </c>
      <c r="V19">
        <v>10</v>
      </c>
      <c r="W19">
        <v>20</v>
      </c>
      <c r="X19">
        <v>10</v>
      </c>
      <c r="Y19" t="s">
        <v>83</v>
      </c>
      <c r="Z19" t="s">
        <v>438</v>
      </c>
    </row>
    <row r="20" spans="1:26" x14ac:dyDescent="0.25">
      <c r="A20" t="s">
        <v>473</v>
      </c>
      <c r="B20" t="s">
        <v>22</v>
      </c>
      <c r="C20">
        <v>19</v>
      </c>
      <c r="E20" t="s">
        <v>76</v>
      </c>
      <c r="F20" t="s">
        <v>474</v>
      </c>
      <c r="G20" t="s">
        <v>438</v>
      </c>
      <c r="H20" t="s">
        <v>88</v>
      </c>
      <c r="I20" t="s">
        <v>22</v>
      </c>
      <c r="J20" t="b">
        <v>1</v>
      </c>
      <c r="K20" t="b">
        <v>0</v>
      </c>
      <c r="L20" t="s">
        <v>92</v>
      </c>
      <c r="M20" t="s">
        <v>81</v>
      </c>
      <c r="O20" t="s">
        <v>89</v>
      </c>
      <c r="P20">
        <v>76</v>
      </c>
      <c r="Q20">
        <v>46223</v>
      </c>
      <c r="R20">
        <v>46250</v>
      </c>
      <c r="S20">
        <v>2</v>
      </c>
      <c r="T20">
        <v>152</v>
      </c>
      <c r="U20">
        <v>20</v>
      </c>
      <c r="V20">
        <v>20</v>
      </c>
      <c r="W20">
        <v>20</v>
      </c>
      <c r="X20">
        <v>20</v>
      </c>
      <c r="Y20" t="s">
        <v>89</v>
      </c>
      <c r="Z20" t="s">
        <v>438</v>
      </c>
    </row>
    <row r="21" spans="1:26" x14ac:dyDescent="0.25">
      <c r="A21" t="s">
        <v>475</v>
      </c>
      <c r="B21" t="s">
        <v>22</v>
      </c>
      <c r="C21">
        <v>20</v>
      </c>
      <c r="E21" t="s">
        <v>76</v>
      </c>
      <c r="F21" t="s">
        <v>476</v>
      </c>
      <c r="G21" t="s">
        <v>438</v>
      </c>
      <c r="H21" t="s">
        <v>88</v>
      </c>
      <c r="I21" t="s">
        <v>22</v>
      </c>
      <c r="J21" t="b">
        <v>1</v>
      </c>
      <c r="K21" t="b">
        <v>0</v>
      </c>
      <c r="L21" t="s">
        <v>92</v>
      </c>
      <c r="M21" t="s">
        <v>81</v>
      </c>
      <c r="O21" t="s">
        <v>89</v>
      </c>
      <c r="P21">
        <v>76</v>
      </c>
      <c r="Q21">
        <v>46223</v>
      </c>
      <c r="R21">
        <v>46250</v>
      </c>
      <c r="S21">
        <v>2</v>
      </c>
      <c r="T21">
        <v>152</v>
      </c>
      <c r="U21">
        <v>20</v>
      </c>
      <c r="V21">
        <v>20</v>
      </c>
      <c r="W21">
        <v>20</v>
      </c>
      <c r="X21">
        <v>20</v>
      </c>
      <c r="Y21" t="s">
        <v>89</v>
      </c>
      <c r="Z21" t="s">
        <v>438</v>
      </c>
    </row>
    <row r="22" spans="1:26" x14ac:dyDescent="0.25">
      <c r="A22" t="s">
        <v>477</v>
      </c>
      <c r="B22" t="s">
        <v>22</v>
      </c>
      <c r="C22">
        <v>21</v>
      </c>
      <c r="D22" t="s">
        <v>40</v>
      </c>
      <c r="E22" t="s">
        <v>76</v>
      </c>
      <c r="F22" t="s">
        <v>478</v>
      </c>
      <c r="G22" t="s">
        <v>438</v>
      </c>
      <c r="H22" t="s">
        <v>79</v>
      </c>
      <c r="I22" t="s">
        <v>22</v>
      </c>
      <c r="J22" t="b">
        <v>0</v>
      </c>
      <c r="K22" t="b">
        <v>1</v>
      </c>
      <c r="L22" t="s">
        <v>80</v>
      </c>
      <c r="M22" t="s">
        <v>81</v>
      </c>
      <c r="O22" t="s">
        <v>82</v>
      </c>
      <c r="P22">
        <v>32</v>
      </c>
      <c r="Q22">
        <v>46223</v>
      </c>
      <c r="R22">
        <v>46250</v>
      </c>
      <c r="S22">
        <v>2</v>
      </c>
      <c r="T22">
        <v>64</v>
      </c>
      <c r="U22">
        <v>8.4210526315789469</v>
      </c>
      <c r="V22">
        <v>8</v>
      </c>
      <c r="W22">
        <v>20</v>
      </c>
      <c r="X22">
        <v>8</v>
      </c>
      <c r="Y22" t="s">
        <v>83</v>
      </c>
      <c r="Z22" t="s">
        <v>438</v>
      </c>
    </row>
    <row r="23" spans="1:26" x14ac:dyDescent="0.25">
      <c r="A23" t="s">
        <v>479</v>
      </c>
      <c r="B23" t="s">
        <v>22</v>
      </c>
      <c r="C23">
        <v>22</v>
      </c>
      <c r="E23" t="s">
        <v>76</v>
      </c>
      <c r="F23" t="s">
        <v>480</v>
      </c>
      <c r="G23" t="s">
        <v>438</v>
      </c>
      <c r="H23" t="s">
        <v>79</v>
      </c>
      <c r="I23" t="s">
        <v>22</v>
      </c>
      <c r="J23" t="b">
        <v>1</v>
      </c>
      <c r="K23" t="b">
        <v>0</v>
      </c>
      <c r="L23" t="s">
        <v>92</v>
      </c>
      <c r="M23" t="s">
        <v>81</v>
      </c>
      <c r="O23" t="s">
        <v>82</v>
      </c>
      <c r="P23">
        <v>24</v>
      </c>
      <c r="Q23">
        <v>46223</v>
      </c>
      <c r="R23">
        <v>46250</v>
      </c>
      <c r="S23">
        <v>2</v>
      </c>
      <c r="T23">
        <v>48</v>
      </c>
      <c r="U23">
        <v>6.3157894736842106</v>
      </c>
      <c r="V23">
        <v>6</v>
      </c>
      <c r="W23">
        <v>20</v>
      </c>
      <c r="X23">
        <v>6</v>
      </c>
      <c r="Y23" t="s">
        <v>83</v>
      </c>
      <c r="Z23" t="s">
        <v>438</v>
      </c>
    </row>
    <row r="24" spans="1:26" x14ac:dyDescent="0.25">
      <c r="A24" t="s">
        <v>481</v>
      </c>
      <c r="B24" t="s">
        <v>31</v>
      </c>
      <c r="C24">
        <v>23</v>
      </c>
      <c r="E24" t="s">
        <v>76</v>
      </c>
      <c r="F24" t="s">
        <v>482</v>
      </c>
      <c r="G24" t="s">
        <v>438</v>
      </c>
      <c r="H24" t="s">
        <v>110</v>
      </c>
      <c r="I24" t="s">
        <v>31</v>
      </c>
      <c r="J24" t="b">
        <v>1</v>
      </c>
      <c r="K24" t="b">
        <v>0</v>
      </c>
      <c r="L24" t="s">
        <v>92</v>
      </c>
      <c r="M24" t="s">
        <v>81</v>
      </c>
      <c r="O24" t="s">
        <v>82</v>
      </c>
      <c r="P24">
        <v>76</v>
      </c>
      <c r="Q24">
        <v>46223</v>
      </c>
      <c r="R24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111</v>
      </c>
      <c r="Z24" t="s">
        <v>438</v>
      </c>
    </row>
    <row r="25" spans="1:26" x14ac:dyDescent="0.25">
      <c r="A25" t="s">
        <v>483</v>
      </c>
      <c r="B25" t="s">
        <v>22</v>
      </c>
      <c r="C25">
        <v>24</v>
      </c>
      <c r="D25" t="s">
        <v>40</v>
      </c>
      <c r="E25" t="s">
        <v>76</v>
      </c>
      <c r="F25" t="s">
        <v>484</v>
      </c>
      <c r="G25" t="s">
        <v>438</v>
      </c>
      <c r="H25" t="s">
        <v>79</v>
      </c>
      <c r="I25" t="s">
        <v>22</v>
      </c>
      <c r="J25" t="b">
        <v>0</v>
      </c>
      <c r="K25" t="b">
        <v>1</v>
      </c>
      <c r="L25" t="s">
        <v>80</v>
      </c>
      <c r="M25" t="s">
        <v>81</v>
      </c>
      <c r="O25" t="s">
        <v>82</v>
      </c>
      <c r="P25">
        <v>64</v>
      </c>
      <c r="Q25">
        <v>46223</v>
      </c>
      <c r="R25">
        <v>46250</v>
      </c>
      <c r="S25">
        <v>2</v>
      </c>
      <c r="T25">
        <v>128</v>
      </c>
      <c r="U25">
        <v>16.842105263157894</v>
      </c>
      <c r="V25">
        <v>16</v>
      </c>
      <c r="W25">
        <v>20</v>
      </c>
      <c r="X25">
        <v>16</v>
      </c>
      <c r="Y25" t="s">
        <v>83</v>
      </c>
      <c r="Z25" t="s">
        <v>438</v>
      </c>
    </row>
    <row r="26" spans="1:26" x14ac:dyDescent="0.25">
      <c r="A26" t="s">
        <v>485</v>
      </c>
      <c r="B26" t="s">
        <v>22</v>
      </c>
      <c r="C26">
        <v>25</v>
      </c>
      <c r="D26" t="s">
        <v>40</v>
      </c>
      <c r="E26" t="s">
        <v>76</v>
      </c>
      <c r="F26" t="s">
        <v>486</v>
      </c>
      <c r="G26" t="s">
        <v>438</v>
      </c>
      <c r="H26" t="s">
        <v>88</v>
      </c>
      <c r="I26" t="s">
        <v>22</v>
      </c>
      <c r="J26" t="b">
        <v>0</v>
      </c>
      <c r="K26" t="b">
        <v>1</v>
      </c>
      <c r="L26" t="s">
        <v>80</v>
      </c>
      <c r="M26" t="s">
        <v>81</v>
      </c>
      <c r="O26" t="s">
        <v>89</v>
      </c>
      <c r="P26">
        <v>76</v>
      </c>
      <c r="Q26">
        <v>46223</v>
      </c>
      <c r="R26">
        <v>46250</v>
      </c>
      <c r="S26">
        <v>2</v>
      </c>
      <c r="T26">
        <v>152</v>
      </c>
      <c r="U26">
        <v>20</v>
      </c>
      <c r="V26">
        <v>20</v>
      </c>
      <c r="W26">
        <v>20</v>
      </c>
      <c r="X26">
        <v>20</v>
      </c>
      <c r="Y26" t="s">
        <v>89</v>
      </c>
      <c r="Z26" t="s">
        <v>438</v>
      </c>
    </row>
    <row r="27" spans="1:26" x14ac:dyDescent="0.25">
      <c r="A27" t="s">
        <v>487</v>
      </c>
      <c r="B27" t="s">
        <v>31</v>
      </c>
      <c r="C27">
        <v>26</v>
      </c>
      <c r="E27" t="s">
        <v>76</v>
      </c>
      <c r="F27" t="s">
        <v>189</v>
      </c>
      <c r="G27" t="s">
        <v>438</v>
      </c>
      <c r="H27" t="s">
        <v>79</v>
      </c>
      <c r="I27" t="s">
        <v>31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72</v>
      </c>
      <c r="Q27">
        <v>46223</v>
      </c>
      <c r="R27">
        <v>46250</v>
      </c>
      <c r="S27">
        <v>2</v>
      </c>
      <c r="T27">
        <v>144</v>
      </c>
      <c r="U27">
        <v>18.947368421052634</v>
      </c>
      <c r="V27">
        <v>18</v>
      </c>
      <c r="W27">
        <v>20</v>
      </c>
      <c r="X27">
        <v>18</v>
      </c>
      <c r="Y27" t="s">
        <v>83</v>
      </c>
      <c r="Z27" t="s">
        <v>438</v>
      </c>
    </row>
    <row r="28" spans="1:26" x14ac:dyDescent="0.25">
      <c r="A28" t="s">
        <v>488</v>
      </c>
      <c r="B28" t="s">
        <v>22</v>
      </c>
      <c r="C28">
        <v>27</v>
      </c>
      <c r="E28" t="s">
        <v>76</v>
      </c>
      <c r="F28" t="s">
        <v>489</v>
      </c>
      <c r="G28" t="s">
        <v>438</v>
      </c>
      <c r="H28" t="s">
        <v>110</v>
      </c>
      <c r="I28" t="s">
        <v>22</v>
      </c>
      <c r="J28" t="b">
        <v>1</v>
      </c>
      <c r="K28" t="b">
        <v>0</v>
      </c>
      <c r="L28" t="s">
        <v>92</v>
      </c>
      <c r="M28" t="s">
        <v>81</v>
      </c>
      <c r="O28" t="s">
        <v>82</v>
      </c>
      <c r="P28">
        <v>76</v>
      </c>
      <c r="Q28">
        <v>46223</v>
      </c>
      <c r="R28">
        <v>46250</v>
      </c>
      <c r="S28">
        <v>2</v>
      </c>
      <c r="T28">
        <v>152</v>
      </c>
      <c r="U28">
        <v>20</v>
      </c>
      <c r="V28">
        <v>20</v>
      </c>
      <c r="W28">
        <v>20</v>
      </c>
      <c r="X28">
        <v>20</v>
      </c>
      <c r="Y28" t="s">
        <v>111</v>
      </c>
      <c r="Z28" t="s">
        <v>438</v>
      </c>
    </row>
    <row r="29" spans="1:26" x14ac:dyDescent="0.25">
      <c r="A29" t="s">
        <v>490</v>
      </c>
      <c r="B29" t="s">
        <v>22</v>
      </c>
      <c r="C29">
        <v>28</v>
      </c>
      <c r="E29" t="s">
        <v>76</v>
      </c>
      <c r="F29" t="s">
        <v>491</v>
      </c>
      <c r="G29" t="s">
        <v>438</v>
      </c>
      <c r="H29" t="s">
        <v>79</v>
      </c>
      <c r="I29" t="s">
        <v>22</v>
      </c>
      <c r="J29" t="b">
        <v>1</v>
      </c>
      <c r="K29" t="b">
        <v>0</v>
      </c>
      <c r="L29" t="s">
        <v>92</v>
      </c>
      <c r="M29" t="s">
        <v>81</v>
      </c>
      <c r="O29" t="s">
        <v>82</v>
      </c>
      <c r="P29">
        <v>48</v>
      </c>
      <c r="Q29">
        <v>46223</v>
      </c>
      <c r="R29">
        <v>46250</v>
      </c>
      <c r="S29">
        <v>2</v>
      </c>
      <c r="T29">
        <v>96</v>
      </c>
      <c r="U29">
        <v>12.631578947368419</v>
      </c>
      <c r="V29">
        <v>12</v>
      </c>
      <c r="W29">
        <v>20</v>
      </c>
      <c r="X29">
        <v>12</v>
      </c>
      <c r="Y29" t="s">
        <v>83</v>
      </c>
      <c r="Z29" t="s">
        <v>438</v>
      </c>
    </row>
    <row r="30" spans="1:26" x14ac:dyDescent="0.25">
      <c r="A30" t="s">
        <v>492</v>
      </c>
      <c r="B30" t="s">
        <v>22</v>
      </c>
      <c r="C30">
        <v>29</v>
      </c>
      <c r="E30" t="s">
        <v>76</v>
      </c>
      <c r="F30" t="s">
        <v>493</v>
      </c>
      <c r="G30" t="s">
        <v>438</v>
      </c>
      <c r="H30" t="s">
        <v>79</v>
      </c>
      <c r="I30" t="s">
        <v>22</v>
      </c>
      <c r="J30" t="b">
        <v>1</v>
      </c>
      <c r="K30" t="b">
        <v>0</v>
      </c>
      <c r="L30" t="s">
        <v>92</v>
      </c>
      <c r="M30" t="s">
        <v>81</v>
      </c>
      <c r="O30" t="s">
        <v>82</v>
      </c>
      <c r="P30">
        <v>58</v>
      </c>
      <c r="Q30">
        <v>46223</v>
      </c>
      <c r="R30">
        <v>46250</v>
      </c>
      <c r="S30">
        <v>2</v>
      </c>
      <c r="T30">
        <v>116</v>
      </c>
      <c r="U30">
        <v>15.263157894736842</v>
      </c>
      <c r="V30">
        <v>15</v>
      </c>
      <c r="W30">
        <v>20</v>
      </c>
      <c r="X30">
        <v>15</v>
      </c>
      <c r="Y30" t="s">
        <v>83</v>
      </c>
      <c r="Z30" t="s">
        <v>438</v>
      </c>
    </row>
    <row r="31" spans="1:26" x14ac:dyDescent="0.25">
      <c r="A31" t="s">
        <v>494</v>
      </c>
      <c r="B31" t="s">
        <v>22</v>
      </c>
      <c r="C31">
        <v>30</v>
      </c>
      <c r="E31" t="s">
        <v>76</v>
      </c>
      <c r="F31" t="s">
        <v>495</v>
      </c>
      <c r="G31" t="s">
        <v>438</v>
      </c>
      <c r="H31" t="s">
        <v>79</v>
      </c>
      <c r="I31" t="s">
        <v>22</v>
      </c>
      <c r="J31" t="b">
        <v>1</v>
      </c>
      <c r="K31" t="b">
        <v>1</v>
      </c>
      <c r="L31" t="s">
        <v>95</v>
      </c>
      <c r="M31" t="s">
        <v>81</v>
      </c>
      <c r="O31" t="s">
        <v>82</v>
      </c>
      <c r="P31">
        <v>40</v>
      </c>
      <c r="Q31">
        <v>46223</v>
      </c>
      <c r="R31">
        <v>46250</v>
      </c>
      <c r="S31">
        <v>2</v>
      </c>
      <c r="T31">
        <v>80</v>
      </c>
      <c r="U31">
        <v>10.526315789473683</v>
      </c>
      <c r="V31">
        <v>10</v>
      </c>
      <c r="W31">
        <v>20</v>
      </c>
      <c r="X31">
        <v>10</v>
      </c>
      <c r="Y31" t="s">
        <v>83</v>
      </c>
      <c r="Z31" t="s">
        <v>438</v>
      </c>
    </row>
    <row r="32" spans="1:26" x14ac:dyDescent="0.25">
      <c r="A32" t="s">
        <v>496</v>
      </c>
      <c r="B32" t="s">
        <v>22</v>
      </c>
      <c r="C32">
        <v>31</v>
      </c>
      <c r="E32" t="s">
        <v>76</v>
      </c>
      <c r="F32" t="s">
        <v>497</v>
      </c>
      <c r="G32" t="s">
        <v>438</v>
      </c>
      <c r="H32" t="s">
        <v>110</v>
      </c>
      <c r="I32" t="s">
        <v>22</v>
      </c>
      <c r="J32" t="b">
        <v>1</v>
      </c>
      <c r="K32" t="b">
        <v>1</v>
      </c>
      <c r="L32" t="s">
        <v>95</v>
      </c>
      <c r="M32" t="s">
        <v>81</v>
      </c>
      <c r="O32" t="s">
        <v>82</v>
      </c>
      <c r="P32">
        <v>76</v>
      </c>
      <c r="Q32">
        <v>46223</v>
      </c>
      <c r="R32">
        <v>46250</v>
      </c>
      <c r="S32">
        <v>2</v>
      </c>
      <c r="T32">
        <v>152</v>
      </c>
      <c r="U32">
        <v>20</v>
      </c>
      <c r="V32">
        <v>20</v>
      </c>
      <c r="W32">
        <v>20</v>
      </c>
      <c r="X32">
        <v>20</v>
      </c>
      <c r="Y32" t="s">
        <v>111</v>
      </c>
      <c r="Z32" t="s">
        <v>438</v>
      </c>
    </row>
    <row r="33" spans="1:26" x14ac:dyDescent="0.25">
      <c r="A33" t="s">
        <v>498</v>
      </c>
      <c r="B33" t="s">
        <v>22</v>
      </c>
      <c r="C33">
        <v>32</v>
      </c>
      <c r="D33" t="s">
        <v>40</v>
      </c>
      <c r="E33" t="s">
        <v>76</v>
      </c>
      <c r="F33" t="s">
        <v>499</v>
      </c>
      <c r="G33" t="s">
        <v>438</v>
      </c>
      <c r="H33" t="s">
        <v>88</v>
      </c>
      <c r="I33" t="s">
        <v>22</v>
      </c>
      <c r="J33" t="b">
        <v>0</v>
      </c>
      <c r="K33" t="b">
        <v>1</v>
      </c>
      <c r="L33" t="s">
        <v>80</v>
      </c>
      <c r="M33" t="s">
        <v>81</v>
      </c>
      <c r="O33" t="s">
        <v>89</v>
      </c>
      <c r="P33">
        <v>76</v>
      </c>
      <c r="Q33">
        <v>46223</v>
      </c>
      <c r="R33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89</v>
      </c>
      <c r="Z33" t="s">
        <v>438</v>
      </c>
    </row>
    <row r="34" spans="1:26" x14ac:dyDescent="0.25">
      <c r="A34" t="s">
        <v>500</v>
      </c>
      <c r="B34" t="s">
        <v>22</v>
      </c>
      <c r="C34">
        <v>33</v>
      </c>
      <c r="E34" t="s">
        <v>76</v>
      </c>
      <c r="F34" t="s">
        <v>501</v>
      </c>
      <c r="G34" t="s">
        <v>438</v>
      </c>
      <c r="H34" t="s">
        <v>88</v>
      </c>
      <c r="I34" t="s">
        <v>22</v>
      </c>
      <c r="J34" t="b">
        <v>1</v>
      </c>
      <c r="K34" t="b">
        <v>0</v>
      </c>
      <c r="L34" t="s">
        <v>92</v>
      </c>
      <c r="M34" t="s">
        <v>81</v>
      </c>
      <c r="O34" t="s">
        <v>89</v>
      </c>
      <c r="P34">
        <v>76</v>
      </c>
      <c r="Q34">
        <v>46223</v>
      </c>
      <c r="R34">
        <v>46250</v>
      </c>
      <c r="S34">
        <v>2</v>
      </c>
      <c r="T34">
        <v>152</v>
      </c>
      <c r="U34">
        <v>20</v>
      </c>
      <c r="V34">
        <v>20</v>
      </c>
      <c r="W34">
        <v>20</v>
      </c>
      <c r="X34">
        <v>20</v>
      </c>
      <c r="Y34" t="s">
        <v>89</v>
      </c>
      <c r="Z34" t="s">
        <v>438</v>
      </c>
    </row>
    <row r="35" spans="1:26" x14ac:dyDescent="0.25">
      <c r="A35" t="s">
        <v>502</v>
      </c>
      <c r="B35" t="s">
        <v>22</v>
      </c>
      <c r="C35">
        <v>34</v>
      </c>
      <c r="E35" t="s">
        <v>76</v>
      </c>
      <c r="F35" t="s">
        <v>503</v>
      </c>
      <c r="G35" t="s">
        <v>438</v>
      </c>
      <c r="H35" t="s">
        <v>79</v>
      </c>
      <c r="I35" t="s">
        <v>22</v>
      </c>
      <c r="J35" t="b">
        <v>1</v>
      </c>
      <c r="K35" t="b">
        <v>1</v>
      </c>
      <c r="L35" t="s">
        <v>95</v>
      </c>
      <c r="M35" t="s">
        <v>81</v>
      </c>
      <c r="O35" t="s">
        <v>82</v>
      </c>
      <c r="P35">
        <v>40</v>
      </c>
      <c r="Q35">
        <v>46223</v>
      </c>
      <c r="R35">
        <v>46250</v>
      </c>
      <c r="S35">
        <v>2</v>
      </c>
      <c r="T35">
        <v>80</v>
      </c>
      <c r="U35">
        <v>10.526315789473683</v>
      </c>
      <c r="V35">
        <v>10</v>
      </c>
      <c r="W35">
        <v>20</v>
      </c>
      <c r="X35">
        <v>10</v>
      </c>
      <c r="Y35" t="s">
        <v>83</v>
      </c>
      <c r="Z35" t="s">
        <v>438</v>
      </c>
    </row>
    <row r="36" spans="1:26" x14ac:dyDescent="0.25">
      <c r="A36" t="s">
        <v>504</v>
      </c>
      <c r="B36" t="s">
        <v>22</v>
      </c>
      <c r="C36">
        <v>35</v>
      </c>
      <c r="E36" t="s">
        <v>76</v>
      </c>
      <c r="F36" t="s">
        <v>505</v>
      </c>
      <c r="G36" t="s">
        <v>438</v>
      </c>
      <c r="H36" t="s">
        <v>88</v>
      </c>
      <c r="I36" t="s">
        <v>22</v>
      </c>
      <c r="J36" t="b">
        <v>1</v>
      </c>
      <c r="K36" t="b">
        <v>0</v>
      </c>
      <c r="L36" t="s">
        <v>92</v>
      </c>
      <c r="M36" t="s">
        <v>81</v>
      </c>
      <c r="O36" t="s">
        <v>89</v>
      </c>
      <c r="P36">
        <v>76</v>
      </c>
      <c r="Q36">
        <v>46223</v>
      </c>
      <c r="R36">
        <v>46250</v>
      </c>
      <c r="S36">
        <v>2</v>
      </c>
      <c r="T36">
        <v>152</v>
      </c>
      <c r="U36">
        <v>20</v>
      </c>
      <c r="V36">
        <v>20</v>
      </c>
      <c r="W36">
        <v>20</v>
      </c>
      <c r="X36">
        <v>20</v>
      </c>
      <c r="Y36" t="s">
        <v>89</v>
      </c>
      <c r="Z36" t="s">
        <v>438</v>
      </c>
    </row>
    <row r="37" spans="1:26" x14ac:dyDescent="0.25">
      <c r="A37" t="s">
        <v>506</v>
      </c>
      <c r="B37" t="s">
        <v>22</v>
      </c>
      <c r="C37">
        <v>36</v>
      </c>
      <c r="E37" t="s">
        <v>76</v>
      </c>
      <c r="F37" t="s">
        <v>507</v>
      </c>
      <c r="G37" t="s">
        <v>438</v>
      </c>
      <c r="H37" t="s">
        <v>110</v>
      </c>
      <c r="I37" t="s">
        <v>22</v>
      </c>
      <c r="J37" t="b">
        <v>1</v>
      </c>
      <c r="K37" t="b">
        <v>0</v>
      </c>
      <c r="L37" t="s">
        <v>92</v>
      </c>
      <c r="M37" t="s">
        <v>81</v>
      </c>
      <c r="O37" t="s">
        <v>82</v>
      </c>
      <c r="P37">
        <v>76</v>
      </c>
      <c r="Q37">
        <v>46223</v>
      </c>
      <c r="R37">
        <v>46250</v>
      </c>
      <c r="S37">
        <v>2</v>
      </c>
      <c r="T37">
        <v>152</v>
      </c>
      <c r="U37">
        <v>20</v>
      </c>
      <c r="V37">
        <v>20</v>
      </c>
      <c r="W37">
        <v>20</v>
      </c>
      <c r="X37">
        <v>20</v>
      </c>
      <c r="Y37" t="s">
        <v>111</v>
      </c>
      <c r="Z37" t="s">
        <v>438</v>
      </c>
    </row>
    <row r="38" spans="1:26" x14ac:dyDescent="0.25">
      <c r="A38" t="s">
        <v>508</v>
      </c>
      <c r="B38" t="s">
        <v>29</v>
      </c>
      <c r="C38">
        <v>37</v>
      </c>
      <c r="E38" t="s">
        <v>76</v>
      </c>
      <c r="F38" t="s">
        <v>509</v>
      </c>
      <c r="G38" t="s">
        <v>438</v>
      </c>
      <c r="H38" t="s">
        <v>110</v>
      </c>
      <c r="I38" t="s">
        <v>29</v>
      </c>
      <c r="J38" t="b">
        <v>1</v>
      </c>
      <c r="K38" t="b">
        <v>0</v>
      </c>
      <c r="L38" t="s">
        <v>92</v>
      </c>
      <c r="M38" t="s">
        <v>81</v>
      </c>
      <c r="O38" t="s">
        <v>82</v>
      </c>
      <c r="P38">
        <v>76</v>
      </c>
      <c r="Q38">
        <v>46223</v>
      </c>
      <c r="R38">
        <v>46250</v>
      </c>
      <c r="S38">
        <v>2</v>
      </c>
      <c r="T38">
        <v>152</v>
      </c>
      <c r="U38">
        <v>20</v>
      </c>
      <c r="V38">
        <v>20</v>
      </c>
      <c r="W38">
        <v>20</v>
      </c>
      <c r="X38">
        <v>20</v>
      </c>
      <c r="Y38" t="s">
        <v>111</v>
      </c>
      <c r="Z38" t="s">
        <v>438</v>
      </c>
    </row>
    <row r="39" spans="1:26" x14ac:dyDescent="0.25">
      <c r="A39" t="s">
        <v>510</v>
      </c>
      <c r="B39" t="s">
        <v>22</v>
      </c>
      <c r="C39">
        <v>38</v>
      </c>
      <c r="E39" t="s">
        <v>76</v>
      </c>
      <c r="F39" t="s">
        <v>511</v>
      </c>
      <c r="G39" t="s">
        <v>438</v>
      </c>
      <c r="H39" t="s">
        <v>88</v>
      </c>
      <c r="I39" t="s">
        <v>22</v>
      </c>
      <c r="J39" t="b">
        <v>1</v>
      </c>
      <c r="K39" t="b">
        <v>0</v>
      </c>
      <c r="L39" t="s">
        <v>92</v>
      </c>
      <c r="M39" t="s">
        <v>81</v>
      </c>
      <c r="O39" t="s">
        <v>89</v>
      </c>
      <c r="P39">
        <v>76</v>
      </c>
      <c r="Q39">
        <v>46223</v>
      </c>
      <c r="R39">
        <v>46250</v>
      </c>
      <c r="S39">
        <v>2</v>
      </c>
      <c r="T39">
        <v>152</v>
      </c>
      <c r="U39">
        <v>20</v>
      </c>
      <c r="V39">
        <v>20</v>
      </c>
      <c r="W39">
        <v>20</v>
      </c>
      <c r="X39">
        <v>20</v>
      </c>
      <c r="Y39" t="s">
        <v>89</v>
      </c>
      <c r="Z39" t="s">
        <v>438</v>
      </c>
    </row>
    <row r="40" spans="1:26" x14ac:dyDescent="0.25">
      <c r="A40" t="s">
        <v>512</v>
      </c>
      <c r="B40" t="s">
        <v>22</v>
      </c>
      <c r="C40">
        <v>39</v>
      </c>
      <c r="E40" t="s">
        <v>76</v>
      </c>
      <c r="F40" t="s">
        <v>513</v>
      </c>
      <c r="G40" t="s">
        <v>438</v>
      </c>
      <c r="H40" t="s">
        <v>79</v>
      </c>
      <c r="I40" t="s">
        <v>22</v>
      </c>
      <c r="J40" t="b">
        <v>1</v>
      </c>
      <c r="K40" t="b">
        <v>0</v>
      </c>
      <c r="L40" t="s">
        <v>92</v>
      </c>
      <c r="M40" t="s">
        <v>81</v>
      </c>
      <c r="O40" t="s">
        <v>82</v>
      </c>
      <c r="P40">
        <v>16</v>
      </c>
      <c r="Q40">
        <v>46223</v>
      </c>
      <c r="R40">
        <v>46250</v>
      </c>
      <c r="S40">
        <v>2</v>
      </c>
      <c r="T40">
        <v>32</v>
      </c>
      <c r="U40">
        <v>4.2105263157894735</v>
      </c>
      <c r="V40">
        <v>4</v>
      </c>
      <c r="W40">
        <v>20</v>
      </c>
      <c r="X40">
        <v>4</v>
      </c>
      <c r="Y40" t="s">
        <v>83</v>
      </c>
      <c r="Z40" t="s">
        <v>438</v>
      </c>
    </row>
    <row r="41" spans="1:26" x14ac:dyDescent="0.25">
      <c r="A41" t="s">
        <v>514</v>
      </c>
      <c r="B41" t="s">
        <v>22</v>
      </c>
      <c r="C41">
        <v>40</v>
      </c>
      <c r="E41" t="s">
        <v>76</v>
      </c>
      <c r="F41" t="s">
        <v>515</v>
      </c>
      <c r="G41" t="s">
        <v>438</v>
      </c>
      <c r="H41" t="s">
        <v>110</v>
      </c>
      <c r="I41" t="s">
        <v>22</v>
      </c>
      <c r="J41" t="b">
        <v>1</v>
      </c>
      <c r="K41" t="b">
        <v>1</v>
      </c>
      <c r="L41" t="s">
        <v>95</v>
      </c>
      <c r="M41" t="s">
        <v>81</v>
      </c>
      <c r="O41" t="s">
        <v>82</v>
      </c>
      <c r="P41">
        <v>76</v>
      </c>
      <c r="Q41">
        <v>46223</v>
      </c>
      <c r="R41">
        <v>46250</v>
      </c>
      <c r="S41">
        <v>2</v>
      </c>
      <c r="T41">
        <v>152</v>
      </c>
      <c r="U41">
        <v>20</v>
      </c>
      <c r="V41">
        <v>20</v>
      </c>
      <c r="W41">
        <v>20</v>
      </c>
      <c r="X41">
        <v>20</v>
      </c>
      <c r="Y41" t="s">
        <v>111</v>
      </c>
      <c r="Z41" t="s">
        <v>438</v>
      </c>
    </row>
    <row r="42" spans="1:26" x14ac:dyDescent="0.25">
      <c r="A42" t="s">
        <v>516</v>
      </c>
      <c r="B42" t="s">
        <v>22</v>
      </c>
      <c r="C42">
        <v>41</v>
      </c>
      <c r="E42" t="s">
        <v>76</v>
      </c>
      <c r="F42" t="s">
        <v>517</v>
      </c>
      <c r="G42" t="s">
        <v>438</v>
      </c>
      <c r="H42" t="s">
        <v>110</v>
      </c>
      <c r="I42" t="s">
        <v>22</v>
      </c>
      <c r="J42" t="b">
        <v>1</v>
      </c>
      <c r="K42" t="b">
        <v>1</v>
      </c>
      <c r="L42" t="s">
        <v>95</v>
      </c>
      <c r="M42" t="s">
        <v>81</v>
      </c>
      <c r="O42" t="s">
        <v>82</v>
      </c>
      <c r="P42">
        <v>76</v>
      </c>
      <c r="Q42">
        <v>46223</v>
      </c>
      <c r="R42">
        <v>46250</v>
      </c>
      <c r="S42">
        <v>2</v>
      </c>
      <c r="T42">
        <v>152</v>
      </c>
      <c r="U42">
        <v>20</v>
      </c>
      <c r="V42">
        <v>20</v>
      </c>
      <c r="W42">
        <v>20</v>
      </c>
      <c r="X42">
        <v>20</v>
      </c>
      <c r="Y42" t="s">
        <v>111</v>
      </c>
      <c r="Z42" t="s">
        <v>438</v>
      </c>
    </row>
    <row r="43" spans="1:26" x14ac:dyDescent="0.25">
      <c r="A43" t="s">
        <v>518</v>
      </c>
      <c r="B43" t="s">
        <v>22</v>
      </c>
      <c r="C43">
        <v>42</v>
      </c>
      <c r="D43" t="s">
        <v>40</v>
      </c>
      <c r="E43" t="s">
        <v>76</v>
      </c>
      <c r="F43" t="s">
        <v>519</v>
      </c>
      <c r="G43" t="s">
        <v>438</v>
      </c>
      <c r="H43" t="s">
        <v>79</v>
      </c>
      <c r="I43" t="s">
        <v>22</v>
      </c>
      <c r="J43" t="b">
        <v>0</v>
      </c>
      <c r="K43" t="b">
        <v>1</v>
      </c>
      <c r="L43" t="s">
        <v>80</v>
      </c>
      <c r="M43" t="s">
        <v>81</v>
      </c>
      <c r="O43" t="s">
        <v>82</v>
      </c>
      <c r="P43">
        <v>32</v>
      </c>
      <c r="Q43">
        <v>46223</v>
      </c>
      <c r="R43">
        <v>46250</v>
      </c>
      <c r="S43">
        <v>2</v>
      </c>
      <c r="T43">
        <v>64</v>
      </c>
      <c r="U43">
        <v>8.4210526315789469</v>
      </c>
      <c r="V43">
        <v>8</v>
      </c>
      <c r="W43">
        <v>20</v>
      </c>
      <c r="X43">
        <v>8</v>
      </c>
      <c r="Y43" t="s">
        <v>83</v>
      </c>
      <c r="Z43" t="s">
        <v>438</v>
      </c>
    </row>
    <row r="44" spans="1:26" x14ac:dyDescent="0.25">
      <c r="A44" t="s">
        <v>520</v>
      </c>
      <c r="B44" t="s">
        <v>22</v>
      </c>
      <c r="C44">
        <v>43</v>
      </c>
      <c r="E44" t="s">
        <v>76</v>
      </c>
      <c r="F44" t="s">
        <v>521</v>
      </c>
      <c r="G44" t="s">
        <v>438</v>
      </c>
      <c r="H44" t="s">
        <v>110</v>
      </c>
      <c r="I44" t="s">
        <v>22</v>
      </c>
      <c r="J44" t="b">
        <v>1</v>
      </c>
      <c r="K44" t="b">
        <v>0</v>
      </c>
      <c r="L44" t="s">
        <v>92</v>
      </c>
      <c r="M44" t="s">
        <v>81</v>
      </c>
      <c r="O44" t="s">
        <v>82</v>
      </c>
      <c r="P44">
        <v>76</v>
      </c>
      <c r="Q44">
        <v>46223</v>
      </c>
      <c r="R44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111</v>
      </c>
      <c r="Z44" t="s">
        <v>438</v>
      </c>
    </row>
    <row r="45" spans="1:26" x14ac:dyDescent="0.25">
      <c r="A45" t="s">
        <v>522</v>
      </c>
      <c r="B45" t="s">
        <v>29</v>
      </c>
      <c r="C45">
        <v>44</v>
      </c>
      <c r="E45" t="s">
        <v>76</v>
      </c>
      <c r="F45" t="s">
        <v>523</v>
      </c>
      <c r="G45" t="s">
        <v>438</v>
      </c>
      <c r="H45" t="s">
        <v>79</v>
      </c>
      <c r="I45" t="s">
        <v>29</v>
      </c>
      <c r="J45" t="b">
        <v>1</v>
      </c>
      <c r="K45" t="b">
        <v>1</v>
      </c>
      <c r="L45" t="s">
        <v>95</v>
      </c>
      <c r="M45" t="s">
        <v>81</v>
      </c>
      <c r="O45" t="s">
        <v>82</v>
      </c>
      <c r="P45">
        <v>56</v>
      </c>
      <c r="Q45">
        <v>46223</v>
      </c>
      <c r="R45">
        <v>46250</v>
      </c>
      <c r="S45">
        <v>2</v>
      </c>
      <c r="T45">
        <v>112</v>
      </c>
      <c r="U45">
        <v>14.736842105263159</v>
      </c>
      <c r="V45">
        <v>14</v>
      </c>
      <c r="W45">
        <v>20</v>
      </c>
      <c r="X45">
        <v>14</v>
      </c>
      <c r="Y45" t="s">
        <v>83</v>
      </c>
      <c r="Z45" t="s">
        <v>438</v>
      </c>
    </row>
    <row r="46" spans="1:26" x14ac:dyDescent="0.25">
      <c r="A46" t="s">
        <v>524</v>
      </c>
      <c r="B46" t="s">
        <v>22</v>
      </c>
      <c r="C46">
        <v>45</v>
      </c>
      <c r="E46" t="s">
        <v>76</v>
      </c>
      <c r="F46" t="s">
        <v>525</v>
      </c>
      <c r="G46" t="s">
        <v>438</v>
      </c>
      <c r="H46" t="s">
        <v>79</v>
      </c>
      <c r="I46" t="s">
        <v>22</v>
      </c>
      <c r="J46" t="b">
        <v>1</v>
      </c>
      <c r="K46" t="b">
        <v>1</v>
      </c>
      <c r="L46" t="s">
        <v>95</v>
      </c>
      <c r="M46" t="s">
        <v>81</v>
      </c>
      <c r="O46" t="s">
        <v>82</v>
      </c>
      <c r="P46">
        <v>56</v>
      </c>
      <c r="Q46">
        <v>46223</v>
      </c>
      <c r="R46">
        <v>46250</v>
      </c>
      <c r="S46">
        <v>2</v>
      </c>
      <c r="T46">
        <v>112</v>
      </c>
      <c r="U46">
        <v>14.736842105263159</v>
      </c>
      <c r="V46">
        <v>14</v>
      </c>
      <c r="W46">
        <v>20</v>
      </c>
      <c r="X46">
        <v>14</v>
      </c>
      <c r="Y46" t="s">
        <v>83</v>
      </c>
      <c r="Z46" t="s">
        <v>438</v>
      </c>
    </row>
    <row r="47" spans="1:26" x14ac:dyDescent="0.25">
      <c r="A47" t="s">
        <v>526</v>
      </c>
      <c r="B47" t="s">
        <v>29</v>
      </c>
      <c r="C47">
        <v>46</v>
      </c>
      <c r="E47" t="s">
        <v>76</v>
      </c>
      <c r="F47" t="s">
        <v>527</v>
      </c>
      <c r="G47" t="s">
        <v>438</v>
      </c>
      <c r="H47" t="s">
        <v>79</v>
      </c>
      <c r="I47" t="s">
        <v>29</v>
      </c>
      <c r="J47" t="b">
        <v>1</v>
      </c>
      <c r="K47" t="b">
        <v>1</v>
      </c>
      <c r="L47" t="s">
        <v>95</v>
      </c>
      <c r="M47" t="s">
        <v>81</v>
      </c>
      <c r="O47" t="s">
        <v>82</v>
      </c>
      <c r="P47">
        <v>48</v>
      </c>
      <c r="Q47">
        <v>46223</v>
      </c>
      <c r="R47">
        <v>46250</v>
      </c>
      <c r="S47">
        <v>2</v>
      </c>
      <c r="T47">
        <v>96</v>
      </c>
      <c r="U47">
        <v>12.631578947368419</v>
      </c>
      <c r="V47">
        <v>12</v>
      </c>
      <c r="W47">
        <v>20</v>
      </c>
      <c r="X47">
        <v>12</v>
      </c>
      <c r="Y47" t="s">
        <v>83</v>
      </c>
      <c r="Z47" t="s">
        <v>438</v>
      </c>
    </row>
    <row r="48" spans="1:26" x14ac:dyDescent="0.25">
      <c r="A48" t="s">
        <v>528</v>
      </c>
      <c r="B48" t="s">
        <v>22</v>
      </c>
      <c r="C48">
        <v>47</v>
      </c>
      <c r="E48" t="s">
        <v>76</v>
      </c>
      <c r="F48" t="s">
        <v>529</v>
      </c>
      <c r="G48" t="s">
        <v>438</v>
      </c>
      <c r="H48" t="s">
        <v>79</v>
      </c>
      <c r="I48" t="s">
        <v>22</v>
      </c>
      <c r="J48" t="b">
        <v>1</v>
      </c>
      <c r="K48" t="b">
        <v>0</v>
      </c>
      <c r="L48" t="s">
        <v>92</v>
      </c>
      <c r="M48" t="s">
        <v>81</v>
      </c>
      <c r="O48" t="s">
        <v>82</v>
      </c>
      <c r="P48">
        <v>32</v>
      </c>
      <c r="Q48">
        <v>46223</v>
      </c>
      <c r="R48">
        <v>46250</v>
      </c>
      <c r="S48">
        <v>2</v>
      </c>
      <c r="T48">
        <v>64</v>
      </c>
      <c r="U48">
        <v>8.4210526315789469</v>
      </c>
      <c r="V48">
        <v>8</v>
      </c>
      <c r="W48">
        <v>20</v>
      </c>
      <c r="X48">
        <v>8</v>
      </c>
      <c r="Y48" t="s">
        <v>83</v>
      </c>
      <c r="Z48" t="s">
        <v>438</v>
      </c>
    </row>
    <row r="49" spans="1:26" x14ac:dyDescent="0.25">
      <c r="A49" t="s">
        <v>530</v>
      </c>
      <c r="B49" t="s">
        <v>22</v>
      </c>
      <c r="C49">
        <v>48</v>
      </c>
      <c r="E49" t="s">
        <v>76</v>
      </c>
      <c r="F49" t="s">
        <v>531</v>
      </c>
      <c r="G49" t="s">
        <v>438</v>
      </c>
      <c r="H49" t="s">
        <v>88</v>
      </c>
      <c r="I49" t="s">
        <v>22</v>
      </c>
      <c r="J49" t="b">
        <v>1</v>
      </c>
      <c r="K49" t="b">
        <v>0</v>
      </c>
      <c r="L49" t="s">
        <v>92</v>
      </c>
      <c r="M49" t="s">
        <v>81</v>
      </c>
      <c r="O49" t="s">
        <v>89</v>
      </c>
      <c r="P49">
        <v>76</v>
      </c>
      <c r="Q49">
        <v>46223</v>
      </c>
      <c r="R49">
        <v>46250</v>
      </c>
      <c r="S49">
        <v>2</v>
      </c>
      <c r="T49">
        <v>152</v>
      </c>
      <c r="U49">
        <v>20</v>
      </c>
      <c r="V49">
        <v>20</v>
      </c>
      <c r="W49">
        <v>20</v>
      </c>
      <c r="X49">
        <v>20</v>
      </c>
      <c r="Y49" t="s">
        <v>89</v>
      </c>
      <c r="Z49" t="s">
        <v>438</v>
      </c>
    </row>
    <row r="50" spans="1:26" x14ac:dyDescent="0.25">
      <c r="A50" t="s">
        <v>532</v>
      </c>
      <c r="B50" t="s">
        <v>22</v>
      </c>
      <c r="C50">
        <v>49</v>
      </c>
      <c r="E50" t="s">
        <v>76</v>
      </c>
      <c r="F50" t="s">
        <v>533</v>
      </c>
      <c r="G50" t="s">
        <v>438</v>
      </c>
      <c r="H50" t="s">
        <v>88</v>
      </c>
      <c r="I50" t="s">
        <v>22</v>
      </c>
      <c r="J50" t="b">
        <v>1</v>
      </c>
      <c r="K50" t="b">
        <v>0</v>
      </c>
      <c r="L50" t="s">
        <v>92</v>
      </c>
      <c r="M50" t="s">
        <v>81</v>
      </c>
      <c r="O50" t="s">
        <v>89</v>
      </c>
      <c r="P50">
        <v>76</v>
      </c>
      <c r="Q50">
        <v>46223</v>
      </c>
      <c r="R50">
        <v>46250</v>
      </c>
      <c r="S50">
        <v>2</v>
      </c>
      <c r="T50">
        <v>152</v>
      </c>
      <c r="U50">
        <v>20</v>
      </c>
      <c r="V50">
        <v>20</v>
      </c>
      <c r="W50">
        <v>20</v>
      </c>
      <c r="X50">
        <v>20</v>
      </c>
      <c r="Y50" t="s">
        <v>89</v>
      </c>
      <c r="Z50" t="s">
        <v>438</v>
      </c>
    </row>
    <row r="51" spans="1:26" x14ac:dyDescent="0.25">
      <c r="A51" t="s">
        <v>534</v>
      </c>
      <c r="B51" t="s">
        <v>29</v>
      </c>
      <c r="C51">
        <v>50</v>
      </c>
      <c r="E51" t="s">
        <v>76</v>
      </c>
      <c r="F51" t="s">
        <v>535</v>
      </c>
      <c r="G51" t="s">
        <v>438</v>
      </c>
      <c r="H51" t="s">
        <v>110</v>
      </c>
      <c r="I51" t="s">
        <v>29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76</v>
      </c>
      <c r="Q51">
        <v>46223</v>
      </c>
      <c r="R51">
        <v>46250</v>
      </c>
      <c r="S51">
        <v>2</v>
      </c>
      <c r="T51">
        <v>152</v>
      </c>
      <c r="U51">
        <v>20</v>
      </c>
      <c r="V51">
        <v>20</v>
      </c>
      <c r="W51">
        <v>20</v>
      </c>
      <c r="X51">
        <v>20</v>
      </c>
      <c r="Y51" t="s">
        <v>111</v>
      </c>
      <c r="Z51" t="s">
        <v>438</v>
      </c>
    </row>
    <row r="52" spans="1:26" x14ac:dyDescent="0.25">
      <c r="A52" t="s">
        <v>536</v>
      </c>
      <c r="B52" t="s">
        <v>22</v>
      </c>
      <c r="C52">
        <v>51</v>
      </c>
      <c r="E52" t="s">
        <v>76</v>
      </c>
      <c r="F52" t="s">
        <v>537</v>
      </c>
      <c r="G52" t="s">
        <v>438</v>
      </c>
      <c r="H52" t="s">
        <v>110</v>
      </c>
      <c r="I52" t="s">
        <v>22</v>
      </c>
      <c r="J52" t="b">
        <v>1</v>
      </c>
      <c r="K52" t="b">
        <v>1</v>
      </c>
      <c r="L52" t="s">
        <v>95</v>
      </c>
      <c r="M52" t="s">
        <v>81</v>
      </c>
      <c r="O52" t="s">
        <v>82</v>
      </c>
      <c r="P52">
        <v>76</v>
      </c>
      <c r="Q52">
        <v>46223</v>
      </c>
      <c r="R52">
        <v>46250</v>
      </c>
      <c r="S52">
        <v>2</v>
      </c>
      <c r="T52">
        <v>152</v>
      </c>
      <c r="U52">
        <v>20</v>
      </c>
      <c r="V52">
        <v>20</v>
      </c>
      <c r="W52">
        <v>20</v>
      </c>
      <c r="X52">
        <v>20</v>
      </c>
      <c r="Y52" t="s">
        <v>111</v>
      </c>
      <c r="Z52" t="s">
        <v>438</v>
      </c>
    </row>
    <row r="53" spans="1:26" x14ac:dyDescent="0.25">
      <c r="A53" t="s">
        <v>538</v>
      </c>
      <c r="B53" t="s">
        <v>22</v>
      </c>
      <c r="C53">
        <v>52</v>
      </c>
      <c r="D53" t="s">
        <v>40</v>
      </c>
      <c r="E53" t="s">
        <v>76</v>
      </c>
      <c r="F53" t="s">
        <v>539</v>
      </c>
      <c r="G53" t="s">
        <v>438</v>
      </c>
      <c r="H53" t="s">
        <v>88</v>
      </c>
      <c r="I53" t="s">
        <v>22</v>
      </c>
      <c r="J53" t="b">
        <v>0</v>
      </c>
      <c r="K53" t="b">
        <v>1</v>
      </c>
      <c r="L53" t="s">
        <v>80</v>
      </c>
      <c r="M53" t="s">
        <v>81</v>
      </c>
      <c r="O53" t="s">
        <v>89</v>
      </c>
      <c r="P53">
        <v>76</v>
      </c>
      <c r="Q53">
        <v>46223</v>
      </c>
      <c r="R53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89</v>
      </c>
      <c r="Z53" t="s">
        <v>438</v>
      </c>
    </row>
    <row r="54" spans="1:26" x14ac:dyDescent="0.25">
      <c r="A54" t="s">
        <v>540</v>
      </c>
      <c r="B54" t="s">
        <v>22</v>
      </c>
      <c r="C54">
        <v>53</v>
      </c>
      <c r="E54" t="s">
        <v>76</v>
      </c>
      <c r="F54" t="s">
        <v>541</v>
      </c>
      <c r="G54" t="s">
        <v>438</v>
      </c>
      <c r="H54" t="s">
        <v>110</v>
      </c>
      <c r="I54" t="s">
        <v>22</v>
      </c>
      <c r="J54" t="b">
        <v>1</v>
      </c>
      <c r="K54" t="b">
        <v>1</v>
      </c>
      <c r="L54" t="s">
        <v>95</v>
      </c>
      <c r="M54" t="s">
        <v>81</v>
      </c>
      <c r="O54" t="s">
        <v>82</v>
      </c>
      <c r="P54">
        <v>76</v>
      </c>
      <c r="Q54">
        <v>46223</v>
      </c>
      <c r="R54">
        <v>46250</v>
      </c>
      <c r="S54">
        <v>2</v>
      </c>
      <c r="T54">
        <v>152</v>
      </c>
      <c r="U54">
        <v>20</v>
      </c>
      <c r="V54">
        <v>20</v>
      </c>
      <c r="W54">
        <v>20</v>
      </c>
      <c r="X54">
        <v>20</v>
      </c>
      <c r="Y54" t="s">
        <v>111</v>
      </c>
      <c r="Z54" t="s">
        <v>438</v>
      </c>
    </row>
    <row r="55" spans="1:26" x14ac:dyDescent="0.25">
      <c r="A55" t="s">
        <v>542</v>
      </c>
      <c r="B55" t="s">
        <v>22</v>
      </c>
      <c r="C55">
        <v>54</v>
      </c>
      <c r="E55" t="s">
        <v>76</v>
      </c>
      <c r="F55" t="s">
        <v>543</v>
      </c>
      <c r="G55" t="s">
        <v>438</v>
      </c>
      <c r="H55" t="s">
        <v>79</v>
      </c>
      <c r="I55" t="s">
        <v>22</v>
      </c>
      <c r="J55" t="b">
        <v>1</v>
      </c>
      <c r="K55" t="b">
        <v>1</v>
      </c>
      <c r="L55" t="s">
        <v>95</v>
      </c>
      <c r="M55" t="s">
        <v>81</v>
      </c>
      <c r="O55" t="s">
        <v>82</v>
      </c>
      <c r="P55">
        <v>60</v>
      </c>
      <c r="Q55">
        <v>46223</v>
      </c>
      <c r="R55">
        <v>46250</v>
      </c>
      <c r="S55">
        <v>2</v>
      </c>
      <c r="T55">
        <v>120</v>
      </c>
      <c r="U55">
        <v>15.789473684210527</v>
      </c>
      <c r="V55">
        <v>15</v>
      </c>
      <c r="W55">
        <v>20</v>
      </c>
      <c r="X55">
        <v>15</v>
      </c>
      <c r="Y55" t="s">
        <v>83</v>
      </c>
      <c r="Z55" t="s">
        <v>438</v>
      </c>
    </row>
    <row r="56" spans="1:26" x14ac:dyDescent="0.25">
      <c r="A56" t="s">
        <v>414</v>
      </c>
      <c r="B56" t="s">
        <v>22</v>
      </c>
      <c r="C56">
        <v>55</v>
      </c>
      <c r="D56" t="s">
        <v>40</v>
      </c>
      <c r="E56" t="s">
        <v>76</v>
      </c>
      <c r="F56" t="s">
        <v>415</v>
      </c>
      <c r="G56" t="s">
        <v>438</v>
      </c>
      <c r="H56" t="s">
        <v>88</v>
      </c>
      <c r="I56" t="s">
        <v>22</v>
      </c>
      <c r="J56" t="b">
        <v>0</v>
      </c>
      <c r="K56" t="b">
        <v>1</v>
      </c>
      <c r="L56" t="s">
        <v>80</v>
      </c>
      <c r="M56" t="s">
        <v>81</v>
      </c>
      <c r="O56" t="s">
        <v>89</v>
      </c>
      <c r="P56">
        <v>76</v>
      </c>
      <c r="Q56">
        <v>46223</v>
      </c>
      <c r="R56">
        <v>46250</v>
      </c>
      <c r="S56">
        <v>2</v>
      </c>
      <c r="T56">
        <v>152</v>
      </c>
      <c r="U56">
        <v>20</v>
      </c>
      <c r="V56">
        <v>20</v>
      </c>
      <c r="W56">
        <v>20</v>
      </c>
      <c r="X56">
        <v>20</v>
      </c>
      <c r="Y56" t="s">
        <v>89</v>
      </c>
      <c r="Z56" t="s">
        <v>438</v>
      </c>
    </row>
    <row r="57" spans="1:26" x14ac:dyDescent="0.25">
      <c r="A57" t="s">
        <v>544</v>
      </c>
      <c r="B57" t="s">
        <v>22</v>
      </c>
      <c r="C57">
        <v>56</v>
      </c>
      <c r="E57" t="s">
        <v>76</v>
      </c>
      <c r="F57" t="s">
        <v>545</v>
      </c>
      <c r="G57" t="s">
        <v>438</v>
      </c>
      <c r="H57" t="s">
        <v>88</v>
      </c>
      <c r="I57" t="s">
        <v>22</v>
      </c>
      <c r="J57" t="b">
        <v>1</v>
      </c>
      <c r="K57" t="b">
        <v>0</v>
      </c>
      <c r="L57" t="s">
        <v>92</v>
      </c>
      <c r="M57" t="s">
        <v>81</v>
      </c>
      <c r="O57" t="s">
        <v>89</v>
      </c>
      <c r="P57">
        <v>76</v>
      </c>
      <c r="Q57">
        <v>46223</v>
      </c>
      <c r="R57">
        <v>46250</v>
      </c>
      <c r="S57">
        <v>2</v>
      </c>
      <c r="T57">
        <v>152</v>
      </c>
      <c r="U57">
        <v>20</v>
      </c>
      <c r="V57">
        <v>20</v>
      </c>
      <c r="W57">
        <v>20</v>
      </c>
      <c r="X57">
        <v>20</v>
      </c>
      <c r="Y57" t="s">
        <v>89</v>
      </c>
      <c r="Z57" t="s">
        <v>438</v>
      </c>
    </row>
    <row r="58" spans="1:26" x14ac:dyDescent="0.25">
      <c r="A58" t="s">
        <v>546</v>
      </c>
      <c r="B58" t="s">
        <v>22</v>
      </c>
      <c r="C58">
        <v>57</v>
      </c>
      <c r="E58" t="s">
        <v>76</v>
      </c>
      <c r="F58" t="s">
        <v>547</v>
      </c>
      <c r="G58" t="s">
        <v>438</v>
      </c>
      <c r="H58" t="s">
        <v>79</v>
      </c>
      <c r="I58" t="s">
        <v>22</v>
      </c>
      <c r="J58" t="b">
        <v>1</v>
      </c>
      <c r="K58" t="b">
        <v>0</v>
      </c>
      <c r="L58" t="s">
        <v>92</v>
      </c>
      <c r="M58" t="s">
        <v>81</v>
      </c>
      <c r="O58" t="s">
        <v>82</v>
      </c>
      <c r="P58">
        <v>32</v>
      </c>
      <c r="Q58">
        <v>46223</v>
      </c>
      <c r="R58">
        <v>46250</v>
      </c>
      <c r="S58">
        <v>2</v>
      </c>
      <c r="T58">
        <v>64</v>
      </c>
      <c r="U58">
        <v>8.4210526315789469</v>
      </c>
      <c r="V58">
        <v>8</v>
      </c>
      <c r="W58">
        <v>20</v>
      </c>
      <c r="X58">
        <v>8</v>
      </c>
      <c r="Y58" t="s">
        <v>83</v>
      </c>
      <c r="Z58" t="s">
        <v>438</v>
      </c>
    </row>
    <row r="59" spans="1:26" x14ac:dyDescent="0.25">
      <c r="A59" t="s">
        <v>548</v>
      </c>
      <c r="B59" t="s">
        <v>22</v>
      </c>
      <c r="C59">
        <v>58</v>
      </c>
      <c r="E59" t="s">
        <v>76</v>
      </c>
      <c r="F59" t="s">
        <v>549</v>
      </c>
      <c r="G59" t="s">
        <v>438</v>
      </c>
      <c r="H59" t="s">
        <v>88</v>
      </c>
      <c r="I59" t="s">
        <v>22</v>
      </c>
      <c r="J59" t="b">
        <v>1</v>
      </c>
      <c r="K59" t="b">
        <v>0</v>
      </c>
      <c r="L59" t="s">
        <v>92</v>
      </c>
      <c r="M59" t="s">
        <v>81</v>
      </c>
      <c r="O59" t="s">
        <v>89</v>
      </c>
      <c r="P59">
        <v>76</v>
      </c>
      <c r="Q59">
        <v>46223</v>
      </c>
      <c r="R59">
        <v>46250</v>
      </c>
      <c r="S59">
        <v>2</v>
      </c>
      <c r="T59">
        <v>152</v>
      </c>
      <c r="U59">
        <v>20</v>
      </c>
      <c r="V59">
        <v>20</v>
      </c>
      <c r="W59">
        <v>20</v>
      </c>
      <c r="X59">
        <v>20</v>
      </c>
      <c r="Y59" t="s">
        <v>89</v>
      </c>
      <c r="Z59" t="s">
        <v>438</v>
      </c>
    </row>
    <row r="60" spans="1:26" x14ac:dyDescent="0.25">
      <c r="A60" t="s">
        <v>550</v>
      </c>
      <c r="B60" t="s">
        <v>22</v>
      </c>
      <c r="C60">
        <v>59</v>
      </c>
      <c r="E60" t="s">
        <v>76</v>
      </c>
      <c r="F60" t="s">
        <v>551</v>
      </c>
      <c r="G60" t="s">
        <v>438</v>
      </c>
      <c r="H60" t="s">
        <v>88</v>
      </c>
      <c r="I60" t="s">
        <v>22</v>
      </c>
      <c r="J60" t="b">
        <v>1</v>
      </c>
      <c r="K60" t="b">
        <v>0</v>
      </c>
      <c r="L60" t="s">
        <v>92</v>
      </c>
      <c r="M60" t="s">
        <v>81</v>
      </c>
      <c r="O60" t="s">
        <v>89</v>
      </c>
      <c r="P60">
        <v>76</v>
      </c>
      <c r="Q60">
        <v>46223</v>
      </c>
      <c r="R6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89</v>
      </c>
      <c r="Z60" t="s">
        <v>438</v>
      </c>
    </row>
    <row r="61" spans="1:26" x14ac:dyDescent="0.25">
      <c r="A61" t="s">
        <v>552</v>
      </c>
      <c r="B61" t="s">
        <v>22</v>
      </c>
      <c r="C61">
        <v>60</v>
      </c>
      <c r="E61" t="s">
        <v>76</v>
      </c>
      <c r="F61" t="s">
        <v>553</v>
      </c>
      <c r="G61" t="s">
        <v>438</v>
      </c>
      <c r="H61" t="s">
        <v>79</v>
      </c>
      <c r="I61" t="s">
        <v>22</v>
      </c>
      <c r="J61" t="b">
        <v>1</v>
      </c>
      <c r="K61" t="b">
        <v>1</v>
      </c>
      <c r="L61" t="s">
        <v>95</v>
      </c>
      <c r="M61" t="s">
        <v>81</v>
      </c>
      <c r="O61" t="s">
        <v>82</v>
      </c>
      <c r="P61">
        <v>64</v>
      </c>
      <c r="Q61">
        <v>46223</v>
      </c>
      <c r="R61">
        <v>46250</v>
      </c>
      <c r="S61">
        <v>2</v>
      </c>
      <c r="T61">
        <v>128</v>
      </c>
      <c r="U61">
        <v>16.842105263157894</v>
      </c>
      <c r="V61">
        <v>16</v>
      </c>
      <c r="W61">
        <v>20</v>
      </c>
      <c r="X61">
        <v>16</v>
      </c>
      <c r="Y61" t="s">
        <v>83</v>
      </c>
      <c r="Z61" t="s">
        <v>438</v>
      </c>
    </row>
    <row r="62" spans="1:26" x14ac:dyDescent="0.25">
      <c r="A62" t="s">
        <v>554</v>
      </c>
      <c r="B62" t="s">
        <v>22</v>
      </c>
      <c r="C62">
        <v>61</v>
      </c>
      <c r="E62" t="s">
        <v>76</v>
      </c>
      <c r="F62" t="s">
        <v>555</v>
      </c>
      <c r="G62" t="s">
        <v>438</v>
      </c>
      <c r="H62" t="s">
        <v>79</v>
      </c>
      <c r="I62" t="s">
        <v>22</v>
      </c>
      <c r="J62" t="b">
        <v>1</v>
      </c>
      <c r="K62" t="b">
        <v>1</v>
      </c>
      <c r="L62" t="s">
        <v>95</v>
      </c>
      <c r="M62" t="s">
        <v>81</v>
      </c>
      <c r="O62" t="s">
        <v>82</v>
      </c>
      <c r="P62">
        <v>64</v>
      </c>
      <c r="Q62">
        <v>46223</v>
      </c>
      <c r="R62">
        <v>46250</v>
      </c>
      <c r="S62">
        <v>2</v>
      </c>
      <c r="T62">
        <v>128</v>
      </c>
      <c r="U62">
        <v>16.842105263157894</v>
      </c>
      <c r="V62">
        <v>16</v>
      </c>
      <c r="W62">
        <v>20</v>
      </c>
      <c r="X62">
        <v>16</v>
      </c>
      <c r="Y62" t="s">
        <v>83</v>
      </c>
      <c r="Z62" t="s">
        <v>438</v>
      </c>
    </row>
    <row r="63" spans="1:26" x14ac:dyDescent="0.25">
      <c r="A63" t="s">
        <v>556</v>
      </c>
      <c r="B63" t="s">
        <v>22</v>
      </c>
      <c r="C63">
        <v>62</v>
      </c>
      <c r="D63" t="s">
        <v>40</v>
      </c>
      <c r="E63" t="s">
        <v>76</v>
      </c>
      <c r="F63" t="s">
        <v>557</v>
      </c>
      <c r="G63" t="s">
        <v>438</v>
      </c>
      <c r="H63" t="s">
        <v>110</v>
      </c>
      <c r="I63" t="s">
        <v>22</v>
      </c>
      <c r="J63" t="b">
        <v>0</v>
      </c>
      <c r="K63" t="b">
        <v>1</v>
      </c>
      <c r="L63" t="s">
        <v>80</v>
      </c>
      <c r="M63" t="s">
        <v>81</v>
      </c>
      <c r="O63" t="s">
        <v>82</v>
      </c>
      <c r="P63">
        <v>76</v>
      </c>
      <c r="Q63">
        <v>46223</v>
      </c>
      <c r="R63">
        <v>46250</v>
      </c>
      <c r="S63">
        <v>2</v>
      </c>
      <c r="T63">
        <v>152</v>
      </c>
      <c r="U63">
        <v>20</v>
      </c>
      <c r="V63">
        <v>20</v>
      </c>
      <c r="W63">
        <v>20</v>
      </c>
      <c r="X63">
        <v>20</v>
      </c>
      <c r="Y63" t="s">
        <v>111</v>
      </c>
      <c r="Z63" t="s">
        <v>438</v>
      </c>
    </row>
    <row r="64" spans="1:26" x14ac:dyDescent="0.25">
      <c r="A64" t="s">
        <v>558</v>
      </c>
      <c r="B64" t="s">
        <v>22</v>
      </c>
      <c r="C64">
        <v>63</v>
      </c>
      <c r="D64" t="s">
        <v>40</v>
      </c>
      <c r="E64" t="s">
        <v>76</v>
      </c>
      <c r="F64" t="s">
        <v>559</v>
      </c>
      <c r="G64" t="s">
        <v>438</v>
      </c>
      <c r="H64" t="s">
        <v>79</v>
      </c>
      <c r="I64" t="s">
        <v>22</v>
      </c>
      <c r="J64" t="b">
        <v>1</v>
      </c>
      <c r="K64" t="b">
        <v>0</v>
      </c>
      <c r="L64" t="s">
        <v>92</v>
      </c>
      <c r="M64" t="s">
        <v>81</v>
      </c>
      <c r="O64" t="s">
        <v>82</v>
      </c>
      <c r="P64">
        <v>60</v>
      </c>
      <c r="Q64">
        <v>46223</v>
      </c>
      <c r="R64">
        <v>46250</v>
      </c>
      <c r="S64">
        <v>2</v>
      </c>
      <c r="T64">
        <v>120</v>
      </c>
      <c r="U64">
        <v>15.789473684210527</v>
      </c>
      <c r="V64">
        <v>15</v>
      </c>
      <c r="W64">
        <v>20</v>
      </c>
      <c r="X64">
        <v>15</v>
      </c>
      <c r="Y64" t="s">
        <v>83</v>
      </c>
      <c r="Z64" t="s">
        <v>438</v>
      </c>
    </row>
    <row r="65" spans="1:26" x14ac:dyDescent="0.25">
      <c r="A65" t="s">
        <v>560</v>
      </c>
      <c r="B65" t="s">
        <v>31</v>
      </c>
      <c r="C65">
        <v>64</v>
      </c>
      <c r="E65" t="s">
        <v>76</v>
      </c>
      <c r="F65" t="s">
        <v>561</v>
      </c>
      <c r="G65" t="s">
        <v>438</v>
      </c>
      <c r="H65" t="s">
        <v>88</v>
      </c>
      <c r="I65" t="s">
        <v>31</v>
      </c>
      <c r="J65" t="b">
        <v>1</v>
      </c>
      <c r="K65" t="b">
        <v>0</v>
      </c>
      <c r="L65" t="s">
        <v>92</v>
      </c>
      <c r="M65" t="s">
        <v>81</v>
      </c>
      <c r="O65" t="s">
        <v>89</v>
      </c>
      <c r="P65">
        <v>76</v>
      </c>
      <c r="Q65">
        <v>46223</v>
      </c>
      <c r="R65">
        <v>46250</v>
      </c>
      <c r="S65">
        <v>2</v>
      </c>
      <c r="T65">
        <v>152</v>
      </c>
      <c r="U65">
        <v>20</v>
      </c>
      <c r="V65">
        <v>20</v>
      </c>
      <c r="W65">
        <v>20</v>
      </c>
      <c r="X65">
        <v>20</v>
      </c>
      <c r="Y65" t="s">
        <v>89</v>
      </c>
      <c r="Z65" t="s">
        <v>438</v>
      </c>
    </row>
    <row r="66" spans="1:26" x14ac:dyDescent="0.25">
      <c r="A66" t="s">
        <v>562</v>
      </c>
      <c r="B66" t="s">
        <v>22</v>
      </c>
      <c r="C66">
        <v>65</v>
      </c>
      <c r="D66" t="s">
        <v>40</v>
      </c>
      <c r="E66" t="s">
        <v>76</v>
      </c>
      <c r="F66" t="s">
        <v>563</v>
      </c>
      <c r="G66" t="s">
        <v>438</v>
      </c>
      <c r="H66" t="s">
        <v>88</v>
      </c>
      <c r="I66" t="s">
        <v>22</v>
      </c>
      <c r="J66" t="b">
        <v>0</v>
      </c>
      <c r="K66" t="b">
        <v>1</v>
      </c>
      <c r="L66" t="s">
        <v>80</v>
      </c>
      <c r="M66" t="s">
        <v>81</v>
      </c>
      <c r="O66" t="s">
        <v>89</v>
      </c>
      <c r="P66">
        <v>76</v>
      </c>
      <c r="Q66">
        <v>46223</v>
      </c>
      <c r="R66">
        <v>46250</v>
      </c>
      <c r="S66">
        <v>2</v>
      </c>
      <c r="T66">
        <v>152</v>
      </c>
      <c r="U66">
        <v>20</v>
      </c>
      <c r="V66">
        <v>20</v>
      </c>
      <c r="W66">
        <v>20</v>
      </c>
      <c r="X66">
        <v>20</v>
      </c>
      <c r="Y66" t="s">
        <v>89</v>
      </c>
      <c r="Z66" t="s">
        <v>438</v>
      </c>
    </row>
    <row r="67" spans="1:26" x14ac:dyDescent="0.25">
      <c r="A67" t="s">
        <v>564</v>
      </c>
      <c r="B67" t="s">
        <v>22</v>
      </c>
      <c r="C67">
        <v>66</v>
      </c>
      <c r="D67" t="s">
        <v>40</v>
      </c>
      <c r="E67" t="s">
        <v>76</v>
      </c>
      <c r="F67" t="s">
        <v>565</v>
      </c>
      <c r="G67" t="s">
        <v>438</v>
      </c>
      <c r="H67" t="s">
        <v>88</v>
      </c>
      <c r="I67" t="s">
        <v>22</v>
      </c>
      <c r="J67" t="b">
        <v>0</v>
      </c>
      <c r="K67" t="b">
        <v>1</v>
      </c>
      <c r="L67" t="s">
        <v>80</v>
      </c>
      <c r="M67" t="s">
        <v>81</v>
      </c>
      <c r="O67" t="s">
        <v>89</v>
      </c>
      <c r="P67">
        <v>76</v>
      </c>
      <c r="Q67">
        <v>46223</v>
      </c>
      <c r="R67">
        <v>46250</v>
      </c>
      <c r="S67">
        <v>2</v>
      </c>
      <c r="T67">
        <v>152</v>
      </c>
      <c r="U67">
        <v>20</v>
      </c>
      <c r="V67">
        <v>20</v>
      </c>
      <c r="W67">
        <v>20</v>
      </c>
      <c r="X67">
        <v>20</v>
      </c>
      <c r="Y67" t="s">
        <v>89</v>
      </c>
      <c r="Z67" t="s">
        <v>438</v>
      </c>
    </row>
    <row r="68" spans="1:26" x14ac:dyDescent="0.25">
      <c r="A68" t="s">
        <v>566</v>
      </c>
      <c r="B68" t="s">
        <v>22</v>
      </c>
      <c r="C68">
        <v>67</v>
      </c>
      <c r="D68" t="s">
        <v>40</v>
      </c>
      <c r="E68" t="s">
        <v>76</v>
      </c>
      <c r="F68" t="s">
        <v>567</v>
      </c>
      <c r="G68" t="s">
        <v>438</v>
      </c>
      <c r="H68" t="s">
        <v>88</v>
      </c>
      <c r="I68" t="s">
        <v>22</v>
      </c>
      <c r="J68" t="b">
        <v>0</v>
      </c>
      <c r="K68" t="b">
        <v>1</v>
      </c>
      <c r="L68" t="s">
        <v>80</v>
      </c>
      <c r="M68" t="s">
        <v>81</v>
      </c>
      <c r="O68" t="s">
        <v>89</v>
      </c>
      <c r="P68">
        <v>76</v>
      </c>
      <c r="Q68">
        <v>46223</v>
      </c>
      <c r="R68">
        <v>46250</v>
      </c>
      <c r="S68">
        <v>2</v>
      </c>
      <c r="T68">
        <v>152</v>
      </c>
      <c r="U68">
        <v>20</v>
      </c>
      <c r="V68">
        <v>20</v>
      </c>
      <c r="W68">
        <v>20</v>
      </c>
      <c r="X68">
        <v>20</v>
      </c>
      <c r="Y68" t="s">
        <v>89</v>
      </c>
      <c r="Z68" t="s">
        <v>438</v>
      </c>
    </row>
    <row r="69" spans="1:26" x14ac:dyDescent="0.25">
      <c r="A69" t="s">
        <v>568</v>
      </c>
      <c r="B69" t="s">
        <v>22</v>
      </c>
      <c r="C69">
        <v>68</v>
      </c>
      <c r="E69" t="s">
        <v>76</v>
      </c>
      <c r="F69" t="s">
        <v>569</v>
      </c>
      <c r="G69" t="s">
        <v>438</v>
      </c>
      <c r="H69" t="s">
        <v>110</v>
      </c>
      <c r="I69" t="s">
        <v>22</v>
      </c>
      <c r="J69" t="b">
        <v>1</v>
      </c>
      <c r="K69" t="b">
        <v>1</v>
      </c>
      <c r="L69" t="s">
        <v>95</v>
      </c>
      <c r="M69" t="s">
        <v>81</v>
      </c>
      <c r="O69" t="s">
        <v>82</v>
      </c>
      <c r="P69">
        <v>76</v>
      </c>
      <c r="Q69">
        <v>46223</v>
      </c>
      <c r="R69">
        <v>46250</v>
      </c>
      <c r="S69">
        <v>2</v>
      </c>
      <c r="T69">
        <v>152</v>
      </c>
      <c r="U69">
        <v>20</v>
      </c>
      <c r="V69">
        <v>20</v>
      </c>
      <c r="W69">
        <v>20</v>
      </c>
      <c r="X69">
        <v>20</v>
      </c>
      <c r="Y69" t="s">
        <v>111</v>
      </c>
      <c r="Z69" t="s">
        <v>438</v>
      </c>
    </row>
    <row r="70" spans="1:26" x14ac:dyDescent="0.25">
      <c r="A70" t="s">
        <v>570</v>
      </c>
      <c r="B70" t="s">
        <v>22</v>
      </c>
      <c r="C70">
        <v>69</v>
      </c>
      <c r="E70" t="s">
        <v>76</v>
      </c>
      <c r="F70" t="s">
        <v>571</v>
      </c>
      <c r="G70" t="s">
        <v>438</v>
      </c>
      <c r="H70" t="s">
        <v>110</v>
      </c>
      <c r="I70" t="s">
        <v>22</v>
      </c>
      <c r="J70" t="b">
        <v>1</v>
      </c>
      <c r="K70" t="b">
        <v>0</v>
      </c>
      <c r="L70" t="s">
        <v>92</v>
      </c>
      <c r="M70" t="s">
        <v>81</v>
      </c>
      <c r="O70" t="s">
        <v>82</v>
      </c>
      <c r="P70">
        <v>76</v>
      </c>
      <c r="Q70">
        <v>46223</v>
      </c>
      <c r="R70">
        <v>46250</v>
      </c>
      <c r="S70">
        <v>2</v>
      </c>
      <c r="T70">
        <v>152</v>
      </c>
      <c r="U70">
        <v>20</v>
      </c>
      <c r="V70">
        <v>20</v>
      </c>
      <c r="W70">
        <v>20</v>
      </c>
      <c r="X70">
        <v>20</v>
      </c>
      <c r="Y70" t="s">
        <v>111</v>
      </c>
      <c r="Z70" t="s">
        <v>438</v>
      </c>
    </row>
    <row r="71" spans="1:26" x14ac:dyDescent="0.25">
      <c r="A71" t="s">
        <v>572</v>
      </c>
      <c r="B71" t="s">
        <v>29</v>
      </c>
      <c r="C71">
        <v>70</v>
      </c>
      <c r="E71" t="s">
        <v>76</v>
      </c>
      <c r="F71" t="s">
        <v>573</v>
      </c>
      <c r="G71" t="s">
        <v>438</v>
      </c>
      <c r="H71" t="s">
        <v>110</v>
      </c>
      <c r="I71" t="s">
        <v>29</v>
      </c>
      <c r="J71" t="b">
        <v>1</v>
      </c>
      <c r="K71" t="b">
        <v>0</v>
      </c>
      <c r="L71" t="s">
        <v>92</v>
      </c>
      <c r="M71" t="s">
        <v>81</v>
      </c>
      <c r="O71" t="s">
        <v>82</v>
      </c>
      <c r="P71">
        <v>76</v>
      </c>
      <c r="Q71">
        <v>46223</v>
      </c>
      <c r="R71">
        <v>46250</v>
      </c>
      <c r="S71">
        <v>2</v>
      </c>
      <c r="T71">
        <v>152</v>
      </c>
      <c r="U71">
        <v>20</v>
      </c>
      <c r="V71">
        <v>20</v>
      </c>
      <c r="W71">
        <v>20</v>
      </c>
      <c r="X71">
        <v>20</v>
      </c>
      <c r="Y71" t="s">
        <v>111</v>
      </c>
      <c r="Z71" t="s">
        <v>438</v>
      </c>
    </row>
    <row r="72" spans="1:26" x14ac:dyDescent="0.25">
      <c r="A72" t="s">
        <v>574</v>
      </c>
      <c r="B72" t="s">
        <v>22</v>
      </c>
      <c r="C72">
        <v>71</v>
      </c>
      <c r="E72" t="s">
        <v>76</v>
      </c>
      <c r="F72" t="s">
        <v>575</v>
      </c>
      <c r="G72" t="s">
        <v>438</v>
      </c>
      <c r="H72" t="s">
        <v>88</v>
      </c>
      <c r="I72" t="s">
        <v>22</v>
      </c>
      <c r="J72" t="b">
        <v>1</v>
      </c>
      <c r="K72" t="b">
        <v>0</v>
      </c>
      <c r="L72" t="s">
        <v>92</v>
      </c>
      <c r="M72" t="s">
        <v>81</v>
      </c>
      <c r="O72" t="s">
        <v>89</v>
      </c>
      <c r="P72">
        <v>76</v>
      </c>
      <c r="Q72">
        <v>46223</v>
      </c>
      <c r="R72">
        <v>46250</v>
      </c>
      <c r="S72">
        <v>2</v>
      </c>
      <c r="T72">
        <v>152</v>
      </c>
      <c r="U72">
        <v>20</v>
      </c>
      <c r="V72">
        <v>20</v>
      </c>
      <c r="W72">
        <v>20</v>
      </c>
      <c r="X72">
        <v>20</v>
      </c>
      <c r="Y72" t="s">
        <v>89</v>
      </c>
      <c r="Z72" t="s">
        <v>438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FFB9-5CCD-4792-88BE-9B10ED128D62}">
  <dimension ref="A1:Z72"/>
  <sheetViews>
    <sheetView workbookViewId="0">
      <selection sqref="A1:Z52"/>
    </sheetView>
  </sheetViews>
  <sheetFormatPr defaultRowHeight="15" x14ac:dyDescent="0.25"/>
  <cols>
    <col min="1" max="1" width="25.14062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bestFit="1" customWidth="1"/>
  </cols>
  <sheetData>
    <row r="1" spans="1:26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</row>
    <row r="2" spans="1:26" x14ac:dyDescent="0.25">
      <c r="A2" t="s">
        <v>439</v>
      </c>
      <c r="B2" t="s">
        <v>22</v>
      </c>
      <c r="C2">
        <v>1</v>
      </c>
      <c r="E2" t="s">
        <v>76</v>
      </c>
      <c r="F2" t="s">
        <v>440</v>
      </c>
      <c r="G2" t="s">
        <v>438</v>
      </c>
      <c r="H2" t="s">
        <v>88</v>
      </c>
      <c r="I2" t="s">
        <v>22</v>
      </c>
      <c r="J2" t="b">
        <v>1</v>
      </c>
      <c r="K2" t="b">
        <v>0</v>
      </c>
      <c r="L2" t="s">
        <v>92</v>
      </c>
      <c r="M2" t="s">
        <v>81</v>
      </c>
      <c r="O2" t="s">
        <v>89</v>
      </c>
      <c r="P2">
        <v>76</v>
      </c>
      <c r="Q2">
        <v>46223</v>
      </c>
      <c r="R2">
        <v>46250</v>
      </c>
      <c r="S2">
        <v>2</v>
      </c>
      <c r="T2">
        <v>152</v>
      </c>
      <c r="U2">
        <v>20</v>
      </c>
      <c r="V2">
        <v>20</v>
      </c>
      <c r="W2">
        <v>20</v>
      </c>
      <c r="X2">
        <v>20</v>
      </c>
      <c r="Y2" t="s">
        <v>89</v>
      </c>
      <c r="Z2" t="s">
        <v>438</v>
      </c>
    </row>
    <row r="3" spans="1:26" x14ac:dyDescent="0.25">
      <c r="A3" t="s">
        <v>441</v>
      </c>
      <c r="B3" t="s">
        <v>29</v>
      </c>
      <c r="C3">
        <v>2</v>
      </c>
      <c r="E3" t="s">
        <v>76</v>
      </c>
      <c r="F3" t="s">
        <v>442</v>
      </c>
      <c r="G3" t="s">
        <v>438</v>
      </c>
      <c r="H3" t="s">
        <v>88</v>
      </c>
      <c r="I3" t="s">
        <v>29</v>
      </c>
      <c r="J3" t="b">
        <v>1</v>
      </c>
      <c r="K3" t="b">
        <v>0</v>
      </c>
      <c r="L3" t="s">
        <v>92</v>
      </c>
      <c r="M3" t="s">
        <v>81</v>
      </c>
      <c r="O3" t="s">
        <v>89</v>
      </c>
      <c r="P3">
        <v>76</v>
      </c>
      <c r="Q3">
        <v>46223</v>
      </c>
      <c r="R3">
        <v>46250</v>
      </c>
      <c r="S3">
        <v>2</v>
      </c>
      <c r="T3">
        <v>152</v>
      </c>
      <c r="U3">
        <v>20</v>
      </c>
      <c r="V3">
        <v>20</v>
      </c>
      <c r="W3">
        <v>20</v>
      </c>
      <c r="X3">
        <v>20</v>
      </c>
      <c r="Y3" t="s">
        <v>89</v>
      </c>
      <c r="Z3" t="s">
        <v>438</v>
      </c>
    </row>
    <row r="4" spans="1:26" x14ac:dyDescent="0.25">
      <c r="A4" t="s">
        <v>86</v>
      </c>
      <c r="B4" t="s">
        <v>22</v>
      </c>
      <c r="C4">
        <v>3</v>
      </c>
      <c r="D4" t="s">
        <v>40</v>
      </c>
      <c r="E4" t="s">
        <v>76</v>
      </c>
      <c r="F4" t="s">
        <v>87</v>
      </c>
      <c r="G4" t="s">
        <v>438</v>
      </c>
      <c r="H4" t="s">
        <v>88</v>
      </c>
      <c r="I4" t="s">
        <v>22</v>
      </c>
      <c r="J4" t="b">
        <v>0</v>
      </c>
      <c r="K4" t="b">
        <v>1</v>
      </c>
      <c r="L4" t="s">
        <v>80</v>
      </c>
      <c r="M4" t="s">
        <v>81</v>
      </c>
      <c r="O4" t="s">
        <v>89</v>
      </c>
      <c r="P4">
        <v>76</v>
      </c>
      <c r="Q4">
        <v>46223</v>
      </c>
      <c r="R4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89</v>
      </c>
      <c r="Z4" t="s">
        <v>438</v>
      </c>
    </row>
    <row r="5" spans="1:26" x14ac:dyDescent="0.25">
      <c r="A5" t="s">
        <v>443</v>
      </c>
      <c r="B5" t="s">
        <v>22</v>
      </c>
      <c r="C5">
        <v>4</v>
      </c>
      <c r="D5" t="s">
        <v>40</v>
      </c>
      <c r="E5" t="s">
        <v>76</v>
      </c>
      <c r="F5" t="s">
        <v>444</v>
      </c>
      <c r="G5" t="s">
        <v>438</v>
      </c>
      <c r="H5" t="s">
        <v>79</v>
      </c>
      <c r="I5" t="s">
        <v>22</v>
      </c>
      <c r="J5" t="b">
        <v>0</v>
      </c>
      <c r="K5" t="b">
        <v>1</v>
      </c>
      <c r="L5" t="s">
        <v>80</v>
      </c>
      <c r="M5" t="s">
        <v>81</v>
      </c>
      <c r="O5" t="s">
        <v>82</v>
      </c>
      <c r="P5">
        <v>26</v>
      </c>
      <c r="Q5">
        <v>46223</v>
      </c>
      <c r="R5">
        <v>46250</v>
      </c>
      <c r="S5">
        <v>2</v>
      </c>
      <c r="T5">
        <v>52</v>
      </c>
      <c r="U5">
        <v>6.8421052631578947</v>
      </c>
      <c r="V5">
        <v>6</v>
      </c>
      <c r="W5">
        <v>20</v>
      </c>
      <c r="X5">
        <v>6</v>
      </c>
      <c r="Y5" t="s">
        <v>83</v>
      </c>
      <c r="Z5" t="s">
        <v>438</v>
      </c>
    </row>
    <row r="6" spans="1:26" x14ac:dyDescent="0.25">
      <c r="A6" t="s">
        <v>445</v>
      </c>
      <c r="B6" t="s">
        <v>22</v>
      </c>
      <c r="C6">
        <v>5</v>
      </c>
      <c r="E6" t="s">
        <v>76</v>
      </c>
      <c r="F6" t="s">
        <v>446</v>
      </c>
      <c r="G6" t="s">
        <v>438</v>
      </c>
      <c r="H6" t="s">
        <v>79</v>
      </c>
      <c r="I6" t="s">
        <v>22</v>
      </c>
      <c r="J6" t="b">
        <v>1</v>
      </c>
      <c r="K6" t="b">
        <v>0</v>
      </c>
      <c r="L6" t="s">
        <v>92</v>
      </c>
      <c r="M6" t="s">
        <v>81</v>
      </c>
      <c r="O6" t="s">
        <v>82</v>
      </c>
      <c r="P6">
        <v>24</v>
      </c>
      <c r="Q6">
        <v>46223</v>
      </c>
      <c r="R6">
        <v>46250</v>
      </c>
      <c r="S6">
        <v>2</v>
      </c>
      <c r="T6">
        <v>48</v>
      </c>
      <c r="U6">
        <v>6.3157894736842106</v>
      </c>
      <c r="V6">
        <v>6</v>
      </c>
      <c r="W6">
        <v>20</v>
      </c>
      <c r="X6">
        <v>6</v>
      </c>
      <c r="Y6" t="s">
        <v>83</v>
      </c>
      <c r="Z6" t="s">
        <v>438</v>
      </c>
    </row>
    <row r="7" spans="1:26" x14ac:dyDescent="0.25">
      <c r="A7" t="s">
        <v>447</v>
      </c>
      <c r="B7" t="s">
        <v>29</v>
      </c>
      <c r="C7">
        <v>6</v>
      </c>
      <c r="E7" t="s">
        <v>76</v>
      </c>
      <c r="F7" t="s">
        <v>448</v>
      </c>
      <c r="G7" t="s">
        <v>438</v>
      </c>
      <c r="H7" t="s">
        <v>110</v>
      </c>
      <c r="I7" t="s">
        <v>29</v>
      </c>
      <c r="J7" t="b">
        <v>1</v>
      </c>
      <c r="K7" t="b">
        <v>1</v>
      </c>
      <c r="L7" t="s">
        <v>95</v>
      </c>
      <c r="M7" t="s">
        <v>81</v>
      </c>
      <c r="O7" t="s">
        <v>82</v>
      </c>
      <c r="P7">
        <v>76</v>
      </c>
      <c r="Q7">
        <v>46223</v>
      </c>
      <c r="R7">
        <v>46250</v>
      </c>
      <c r="S7">
        <v>2</v>
      </c>
      <c r="T7">
        <v>152</v>
      </c>
      <c r="U7">
        <v>20</v>
      </c>
      <c r="V7">
        <v>20</v>
      </c>
      <c r="W7">
        <v>20</v>
      </c>
      <c r="X7">
        <v>20</v>
      </c>
      <c r="Y7" t="s">
        <v>111</v>
      </c>
      <c r="Z7" t="s">
        <v>438</v>
      </c>
    </row>
    <row r="8" spans="1:26" x14ac:dyDescent="0.25">
      <c r="A8" t="s">
        <v>449</v>
      </c>
      <c r="B8" t="s">
        <v>31</v>
      </c>
      <c r="C8">
        <v>7</v>
      </c>
      <c r="E8" t="s">
        <v>76</v>
      </c>
      <c r="F8" t="s">
        <v>450</v>
      </c>
      <c r="G8" t="s">
        <v>438</v>
      </c>
      <c r="H8" t="s">
        <v>79</v>
      </c>
      <c r="I8" t="s">
        <v>31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56</v>
      </c>
      <c r="Q8">
        <v>46223</v>
      </c>
      <c r="R8">
        <v>46250</v>
      </c>
      <c r="S8">
        <v>2</v>
      </c>
      <c r="T8">
        <v>112</v>
      </c>
      <c r="U8">
        <v>14.736842105263159</v>
      </c>
      <c r="V8">
        <v>14</v>
      </c>
      <c r="W8">
        <v>20</v>
      </c>
      <c r="X8">
        <v>14</v>
      </c>
      <c r="Y8" t="s">
        <v>83</v>
      </c>
      <c r="Z8" t="s">
        <v>438</v>
      </c>
    </row>
    <row r="9" spans="1:26" x14ac:dyDescent="0.25">
      <c r="A9" t="s">
        <v>451</v>
      </c>
      <c r="B9" t="s">
        <v>22</v>
      </c>
      <c r="C9">
        <v>8</v>
      </c>
      <c r="E9" t="s">
        <v>76</v>
      </c>
      <c r="F9" t="s">
        <v>452</v>
      </c>
      <c r="G9" t="s">
        <v>438</v>
      </c>
      <c r="H9" t="s">
        <v>79</v>
      </c>
      <c r="I9" t="s">
        <v>22</v>
      </c>
      <c r="J9" t="b">
        <v>1</v>
      </c>
      <c r="K9" t="b">
        <v>1</v>
      </c>
      <c r="L9" t="s">
        <v>95</v>
      </c>
      <c r="M9" t="s">
        <v>81</v>
      </c>
      <c r="O9" t="s">
        <v>82</v>
      </c>
      <c r="P9">
        <v>64</v>
      </c>
      <c r="Q9">
        <v>46223</v>
      </c>
      <c r="R9">
        <v>46250</v>
      </c>
      <c r="S9">
        <v>2</v>
      </c>
      <c r="T9">
        <v>128</v>
      </c>
      <c r="U9">
        <v>16.842105263157894</v>
      </c>
      <c r="V9">
        <v>16</v>
      </c>
      <c r="W9">
        <v>20</v>
      </c>
      <c r="X9">
        <v>16</v>
      </c>
      <c r="Y9" t="s">
        <v>83</v>
      </c>
      <c r="Z9" t="s">
        <v>438</v>
      </c>
    </row>
    <row r="10" spans="1:26" x14ac:dyDescent="0.25">
      <c r="A10" t="s">
        <v>453</v>
      </c>
      <c r="B10" t="s">
        <v>22</v>
      </c>
      <c r="C10">
        <v>9</v>
      </c>
      <c r="E10" t="s">
        <v>76</v>
      </c>
      <c r="F10" t="s">
        <v>454</v>
      </c>
      <c r="G10" t="s">
        <v>438</v>
      </c>
      <c r="H10" t="s">
        <v>88</v>
      </c>
      <c r="I10" t="s">
        <v>22</v>
      </c>
      <c r="J10" t="b">
        <v>1</v>
      </c>
      <c r="K10" t="b">
        <v>0</v>
      </c>
      <c r="L10" t="s">
        <v>92</v>
      </c>
      <c r="M10" t="s">
        <v>81</v>
      </c>
      <c r="O10" t="s">
        <v>89</v>
      </c>
      <c r="P10">
        <v>76</v>
      </c>
      <c r="Q10">
        <v>46223</v>
      </c>
      <c r="R10">
        <v>46250</v>
      </c>
      <c r="S10">
        <v>2</v>
      </c>
      <c r="T10">
        <v>152</v>
      </c>
      <c r="U10">
        <v>20</v>
      </c>
      <c r="V10">
        <v>20</v>
      </c>
      <c r="W10">
        <v>20</v>
      </c>
      <c r="X10">
        <v>20</v>
      </c>
      <c r="Y10" t="s">
        <v>89</v>
      </c>
      <c r="Z10" t="s">
        <v>438</v>
      </c>
    </row>
    <row r="11" spans="1:26" x14ac:dyDescent="0.25">
      <c r="A11" t="s">
        <v>455</v>
      </c>
      <c r="B11" t="s">
        <v>29</v>
      </c>
      <c r="C11">
        <v>10</v>
      </c>
      <c r="E11" t="s">
        <v>76</v>
      </c>
      <c r="F11" t="s">
        <v>456</v>
      </c>
      <c r="G11" t="s">
        <v>438</v>
      </c>
      <c r="H11" t="s">
        <v>110</v>
      </c>
      <c r="I11" t="s">
        <v>29</v>
      </c>
      <c r="J11" t="b">
        <v>1</v>
      </c>
      <c r="K11" t="b">
        <v>1</v>
      </c>
      <c r="L11" t="s">
        <v>95</v>
      </c>
      <c r="M11" t="s">
        <v>81</v>
      </c>
      <c r="O11" t="s">
        <v>82</v>
      </c>
      <c r="P11">
        <v>76</v>
      </c>
      <c r="Q11">
        <v>46223</v>
      </c>
      <c r="R11">
        <v>46250</v>
      </c>
      <c r="S11">
        <v>2</v>
      </c>
      <c r="T11">
        <v>152</v>
      </c>
      <c r="U11">
        <v>20</v>
      </c>
      <c r="V11">
        <v>20</v>
      </c>
      <c r="W11">
        <v>20</v>
      </c>
      <c r="X11">
        <v>20</v>
      </c>
      <c r="Y11" t="s">
        <v>111</v>
      </c>
      <c r="Z11" t="s">
        <v>438</v>
      </c>
    </row>
    <row r="12" spans="1:26" x14ac:dyDescent="0.25">
      <c r="A12" t="s">
        <v>457</v>
      </c>
      <c r="B12" t="s">
        <v>22</v>
      </c>
      <c r="C12">
        <v>11</v>
      </c>
      <c r="E12" t="s">
        <v>76</v>
      </c>
      <c r="F12" t="s">
        <v>458</v>
      </c>
      <c r="G12" t="s">
        <v>438</v>
      </c>
      <c r="H12" t="s">
        <v>79</v>
      </c>
      <c r="I12" t="s">
        <v>22</v>
      </c>
      <c r="J12" t="b">
        <v>1</v>
      </c>
      <c r="K12" t="b">
        <v>1</v>
      </c>
      <c r="L12" t="s">
        <v>95</v>
      </c>
      <c r="M12" t="s">
        <v>81</v>
      </c>
      <c r="O12" t="s">
        <v>82</v>
      </c>
      <c r="P12">
        <v>40</v>
      </c>
      <c r="Q12">
        <v>46223</v>
      </c>
      <c r="R12">
        <v>46250</v>
      </c>
      <c r="S12">
        <v>2</v>
      </c>
      <c r="T12">
        <v>80</v>
      </c>
      <c r="U12">
        <v>10.526315789473683</v>
      </c>
      <c r="V12">
        <v>10</v>
      </c>
      <c r="W12">
        <v>20</v>
      </c>
      <c r="X12">
        <v>10</v>
      </c>
      <c r="Y12" t="s">
        <v>83</v>
      </c>
      <c r="Z12" t="s">
        <v>438</v>
      </c>
    </row>
    <row r="13" spans="1:26" x14ac:dyDescent="0.25">
      <c r="A13" t="s">
        <v>459</v>
      </c>
      <c r="B13" t="s">
        <v>22</v>
      </c>
      <c r="C13">
        <v>12</v>
      </c>
      <c r="E13" t="s">
        <v>76</v>
      </c>
      <c r="F13" t="s">
        <v>460</v>
      </c>
      <c r="G13" t="s">
        <v>438</v>
      </c>
      <c r="H13" t="s">
        <v>79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72</v>
      </c>
      <c r="Q13">
        <v>46223</v>
      </c>
      <c r="R13">
        <v>46250</v>
      </c>
      <c r="S13">
        <v>2</v>
      </c>
      <c r="T13">
        <v>144</v>
      </c>
      <c r="U13">
        <v>18.947368421052634</v>
      </c>
      <c r="V13">
        <v>18</v>
      </c>
      <c r="W13">
        <v>20</v>
      </c>
      <c r="X13">
        <v>18</v>
      </c>
      <c r="Y13" t="s">
        <v>83</v>
      </c>
      <c r="Z13" t="s">
        <v>438</v>
      </c>
    </row>
    <row r="14" spans="1:26" x14ac:dyDescent="0.25">
      <c r="A14" t="s">
        <v>461</v>
      </c>
      <c r="B14" t="s">
        <v>22</v>
      </c>
      <c r="C14">
        <v>13</v>
      </c>
      <c r="D14" t="s">
        <v>40</v>
      </c>
      <c r="E14" t="s">
        <v>76</v>
      </c>
      <c r="F14" t="s">
        <v>462</v>
      </c>
      <c r="G14" t="s">
        <v>438</v>
      </c>
      <c r="H14" t="s">
        <v>88</v>
      </c>
      <c r="I14" t="s">
        <v>22</v>
      </c>
      <c r="J14" t="b">
        <v>0</v>
      </c>
      <c r="K14" t="b">
        <v>1</v>
      </c>
      <c r="L14" t="s">
        <v>80</v>
      </c>
      <c r="M14" t="s">
        <v>81</v>
      </c>
      <c r="O14" t="s">
        <v>89</v>
      </c>
      <c r="P14">
        <v>76</v>
      </c>
      <c r="Q14">
        <v>46223</v>
      </c>
      <c r="R14">
        <v>46250</v>
      </c>
      <c r="S14">
        <v>2</v>
      </c>
      <c r="T14">
        <v>152</v>
      </c>
      <c r="U14">
        <v>20</v>
      </c>
      <c r="V14">
        <v>20</v>
      </c>
      <c r="W14">
        <v>20</v>
      </c>
      <c r="X14">
        <v>20</v>
      </c>
      <c r="Y14" t="s">
        <v>89</v>
      </c>
      <c r="Z14" t="s">
        <v>438</v>
      </c>
    </row>
    <row r="15" spans="1:26" x14ac:dyDescent="0.25">
      <c r="A15" t="s">
        <v>463</v>
      </c>
      <c r="B15" t="s">
        <v>22</v>
      </c>
      <c r="C15">
        <v>14</v>
      </c>
      <c r="E15" t="s">
        <v>76</v>
      </c>
      <c r="F15" t="s">
        <v>464</v>
      </c>
      <c r="G15" t="s">
        <v>438</v>
      </c>
      <c r="H15" t="s">
        <v>88</v>
      </c>
      <c r="I15" t="s">
        <v>22</v>
      </c>
      <c r="J15" t="b">
        <v>1</v>
      </c>
      <c r="K15" t="b">
        <v>0</v>
      </c>
      <c r="L15" t="s">
        <v>92</v>
      </c>
      <c r="M15" t="s">
        <v>81</v>
      </c>
      <c r="O15" t="s">
        <v>89</v>
      </c>
      <c r="P15">
        <v>76</v>
      </c>
      <c r="Q15">
        <v>46223</v>
      </c>
      <c r="R15">
        <v>46250</v>
      </c>
      <c r="S15">
        <v>2</v>
      </c>
      <c r="T15">
        <v>152</v>
      </c>
      <c r="U15">
        <v>20</v>
      </c>
      <c r="V15">
        <v>20</v>
      </c>
      <c r="W15">
        <v>20</v>
      </c>
      <c r="X15">
        <v>20</v>
      </c>
      <c r="Y15" t="s">
        <v>89</v>
      </c>
      <c r="Z15" t="s">
        <v>438</v>
      </c>
    </row>
    <row r="16" spans="1:26" x14ac:dyDescent="0.25">
      <c r="A16" t="s">
        <v>465</v>
      </c>
      <c r="B16" t="s">
        <v>22</v>
      </c>
      <c r="C16">
        <v>15</v>
      </c>
      <c r="D16" t="s">
        <v>40</v>
      </c>
      <c r="E16" t="s">
        <v>76</v>
      </c>
      <c r="F16" t="s">
        <v>466</v>
      </c>
      <c r="G16" t="s">
        <v>438</v>
      </c>
      <c r="H16" t="s">
        <v>79</v>
      </c>
      <c r="I16" t="s">
        <v>22</v>
      </c>
      <c r="J16" t="b">
        <v>0</v>
      </c>
      <c r="K16" t="b">
        <v>1</v>
      </c>
      <c r="L16" t="s">
        <v>80</v>
      </c>
      <c r="M16" t="s">
        <v>81</v>
      </c>
      <c r="O16" t="s">
        <v>82</v>
      </c>
      <c r="P16">
        <v>46</v>
      </c>
      <c r="Q16">
        <v>46223</v>
      </c>
      <c r="R16">
        <v>46250</v>
      </c>
      <c r="S16">
        <v>2</v>
      </c>
      <c r="T16">
        <v>92</v>
      </c>
      <c r="U16">
        <v>12.105263157894738</v>
      </c>
      <c r="V16">
        <v>12</v>
      </c>
      <c r="W16">
        <v>20</v>
      </c>
      <c r="X16">
        <v>12</v>
      </c>
      <c r="Y16" t="s">
        <v>83</v>
      </c>
      <c r="Z16" t="s">
        <v>438</v>
      </c>
    </row>
    <row r="17" spans="1:26" x14ac:dyDescent="0.25">
      <c r="A17" t="s">
        <v>467</v>
      </c>
      <c r="B17" t="s">
        <v>29</v>
      </c>
      <c r="C17">
        <v>16</v>
      </c>
      <c r="E17" t="s">
        <v>76</v>
      </c>
      <c r="F17" t="s">
        <v>468</v>
      </c>
      <c r="G17" t="s">
        <v>438</v>
      </c>
      <c r="H17" t="s">
        <v>110</v>
      </c>
      <c r="I17" t="s">
        <v>29</v>
      </c>
      <c r="J17" t="b">
        <v>1</v>
      </c>
      <c r="K17" t="b">
        <v>1</v>
      </c>
      <c r="L17" t="s">
        <v>95</v>
      </c>
      <c r="M17" t="s">
        <v>81</v>
      </c>
      <c r="O17" t="s">
        <v>82</v>
      </c>
      <c r="P17">
        <v>76</v>
      </c>
      <c r="Q17">
        <v>46223</v>
      </c>
      <c r="R17">
        <v>46250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111</v>
      </c>
      <c r="Z17" t="s">
        <v>438</v>
      </c>
    </row>
    <row r="18" spans="1:26" x14ac:dyDescent="0.25">
      <c r="A18" t="s">
        <v>469</v>
      </c>
      <c r="B18" t="s">
        <v>22</v>
      </c>
      <c r="C18">
        <v>17</v>
      </c>
      <c r="E18" t="s">
        <v>76</v>
      </c>
      <c r="F18" t="s">
        <v>470</v>
      </c>
      <c r="G18" t="s">
        <v>438</v>
      </c>
      <c r="H18" t="s">
        <v>110</v>
      </c>
      <c r="I18" t="s">
        <v>22</v>
      </c>
      <c r="J18" t="b">
        <v>1</v>
      </c>
      <c r="K18" t="b">
        <v>0</v>
      </c>
      <c r="L18" t="s">
        <v>92</v>
      </c>
      <c r="M18" t="s">
        <v>81</v>
      </c>
      <c r="O18" t="s">
        <v>82</v>
      </c>
      <c r="P18">
        <v>76</v>
      </c>
      <c r="Q18">
        <v>46223</v>
      </c>
      <c r="R18">
        <v>46250</v>
      </c>
      <c r="S18">
        <v>2</v>
      </c>
      <c r="T18">
        <v>152</v>
      </c>
      <c r="U18">
        <v>20</v>
      </c>
      <c r="V18">
        <v>20</v>
      </c>
      <c r="W18">
        <v>20</v>
      </c>
      <c r="X18">
        <v>20</v>
      </c>
      <c r="Y18" t="s">
        <v>111</v>
      </c>
      <c r="Z18" t="s">
        <v>438</v>
      </c>
    </row>
    <row r="19" spans="1:26" x14ac:dyDescent="0.25">
      <c r="A19" t="s">
        <v>471</v>
      </c>
      <c r="B19" t="s">
        <v>22</v>
      </c>
      <c r="C19">
        <v>18</v>
      </c>
      <c r="E19" t="s">
        <v>76</v>
      </c>
      <c r="F19" t="s">
        <v>472</v>
      </c>
      <c r="G19" t="s">
        <v>438</v>
      </c>
      <c r="H19" t="s">
        <v>79</v>
      </c>
      <c r="I19" t="s">
        <v>22</v>
      </c>
      <c r="J19" t="b">
        <v>1</v>
      </c>
      <c r="K19" t="b">
        <v>1</v>
      </c>
      <c r="L19" t="s">
        <v>95</v>
      </c>
      <c r="M19" t="s">
        <v>81</v>
      </c>
      <c r="O19" t="s">
        <v>82</v>
      </c>
      <c r="P19">
        <v>40</v>
      </c>
      <c r="Q19">
        <v>46223</v>
      </c>
      <c r="R19">
        <v>46250</v>
      </c>
      <c r="S19">
        <v>2</v>
      </c>
      <c r="T19">
        <v>80</v>
      </c>
      <c r="U19">
        <v>10.526315789473683</v>
      </c>
      <c r="V19">
        <v>10</v>
      </c>
      <c r="W19">
        <v>20</v>
      </c>
      <c r="X19">
        <v>10</v>
      </c>
      <c r="Y19" t="s">
        <v>83</v>
      </c>
      <c r="Z19" t="s">
        <v>438</v>
      </c>
    </row>
    <row r="20" spans="1:26" x14ac:dyDescent="0.25">
      <c r="A20" t="s">
        <v>473</v>
      </c>
      <c r="B20" t="s">
        <v>22</v>
      </c>
      <c r="C20">
        <v>19</v>
      </c>
      <c r="E20" t="s">
        <v>76</v>
      </c>
      <c r="F20" t="s">
        <v>474</v>
      </c>
      <c r="G20" t="s">
        <v>438</v>
      </c>
      <c r="H20" t="s">
        <v>88</v>
      </c>
      <c r="I20" t="s">
        <v>22</v>
      </c>
      <c r="J20" t="b">
        <v>1</v>
      </c>
      <c r="K20" t="b">
        <v>0</v>
      </c>
      <c r="L20" t="s">
        <v>92</v>
      </c>
      <c r="M20" t="s">
        <v>81</v>
      </c>
      <c r="O20" t="s">
        <v>89</v>
      </c>
      <c r="P20">
        <v>76</v>
      </c>
      <c r="Q20">
        <v>46223</v>
      </c>
      <c r="R20">
        <v>46250</v>
      </c>
      <c r="S20">
        <v>2</v>
      </c>
      <c r="T20">
        <v>152</v>
      </c>
      <c r="U20">
        <v>20</v>
      </c>
      <c r="V20">
        <v>20</v>
      </c>
      <c r="W20">
        <v>20</v>
      </c>
      <c r="X20">
        <v>20</v>
      </c>
      <c r="Y20" t="s">
        <v>89</v>
      </c>
      <c r="Z20" t="s">
        <v>438</v>
      </c>
    </row>
    <row r="21" spans="1:26" x14ac:dyDescent="0.25">
      <c r="A21" t="s">
        <v>475</v>
      </c>
      <c r="B21" t="s">
        <v>22</v>
      </c>
      <c r="C21">
        <v>20</v>
      </c>
      <c r="E21" t="s">
        <v>76</v>
      </c>
      <c r="F21" t="s">
        <v>476</v>
      </c>
      <c r="G21" t="s">
        <v>438</v>
      </c>
      <c r="H21" t="s">
        <v>88</v>
      </c>
      <c r="I21" t="s">
        <v>22</v>
      </c>
      <c r="J21" t="b">
        <v>1</v>
      </c>
      <c r="K21" t="b">
        <v>0</v>
      </c>
      <c r="L21" t="s">
        <v>92</v>
      </c>
      <c r="M21" t="s">
        <v>81</v>
      </c>
      <c r="O21" t="s">
        <v>89</v>
      </c>
      <c r="P21">
        <v>76</v>
      </c>
      <c r="Q21">
        <v>46223</v>
      </c>
      <c r="R21">
        <v>46250</v>
      </c>
      <c r="S21">
        <v>2</v>
      </c>
      <c r="T21">
        <v>152</v>
      </c>
      <c r="U21">
        <v>20</v>
      </c>
      <c r="V21">
        <v>20</v>
      </c>
      <c r="W21">
        <v>20</v>
      </c>
      <c r="X21">
        <v>20</v>
      </c>
      <c r="Y21" t="s">
        <v>89</v>
      </c>
      <c r="Z21" t="s">
        <v>438</v>
      </c>
    </row>
    <row r="22" spans="1:26" x14ac:dyDescent="0.25">
      <c r="A22" t="s">
        <v>477</v>
      </c>
      <c r="B22" t="s">
        <v>22</v>
      </c>
      <c r="C22">
        <v>21</v>
      </c>
      <c r="D22" t="s">
        <v>40</v>
      </c>
      <c r="E22" t="s">
        <v>76</v>
      </c>
      <c r="F22" t="s">
        <v>478</v>
      </c>
      <c r="G22" t="s">
        <v>438</v>
      </c>
      <c r="H22" t="s">
        <v>79</v>
      </c>
      <c r="I22" t="s">
        <v>22</v>
      </c>
      <c r="J22" t="b">
        <v>0</v>
      </c>
      <c r="K22" t="b">
        <v>1</v>
      </c>
      <c r="L22" t="s">
        <v>80</v>
      </c>
      <c r="M22" t="s">
        <v>81</v>
      </c>
      <c r="O22" t="s">
        <v>82</v>
      </c>
      <c r="P22">
        <v>32</v>
      </c>
      <c r="Q22">
        <v>46223</v>
      </c>
      <c r="R22">
        <v>46250</v>
      </c>
      <c r="S22">
        <v>2</v>
      </c>
      <c r="T22">
        <v>64</v>
      </c>
      <c r="U22">
        <v>8.4210526315789469</v>
      </c>
      <c r="V22">
        <v>8</v>
      </c>
      <c r="W22">
        <v>20</v>
      </c>
      <c r="X22">
        <v>8</v>
      </c>
      <c r="Y22" t="s">
        <v>83</v>
      </c>
      <c r="Z22" t="s">
        <v>438</v>
      </c>
    </row>
    <row r="23" spans="1:26" x14ac:dyDescent="0.25">
      <c r="A23" t="s">
        <v>479</v>
      </c>
      <c r="B23" t="s">
        <v>22</v>
      </c>
      <c r="C23">
        <v>22</v>
      </c>
      <c r="E23" t="s">
        <v>76</v>
      </c>
      <c r="F23" t="s">
        <v>480</v>
      </c>
      <c r="G23" t="s">
        <v>438</v>
      </c>
      <c r="H23" t="s">
        <v>79</v>
      </c>
      <c r="I23" t="s">
        <v>22</v>
      </c>
      <c r="J23" t="b">
        <v>1</v>
      </c>
      <c r="K23" t="b">
        <v>0</v>
      </c>
      <c r="L23" t="s">
        <v>92</v>
      </c>
      <c r="M23" t="s">
        <v>81</v>
      </c>
      <c r="O23" t="s">
        <v>82</v>
      </c>
      <c r="P23">
        <v>24</v>
      </c>
      <c r="Q23">
        <v>46223</v>
      </c>
      <c r="R23">
        <v>46250</v>
      </c>
      <c r="S23">
        <v>2</v>
      </c>
      <c r="T23">
        <v>48</v>
      </c>
      <c r="U23">
        <v>6.3157894736842106</v>
      </c>
      <c r="V23">
        <v>6</v>
      </c>
      <c r="W23">
        <v>20</v>
      </c>
      <c r="X23">
        <v>6</v>
      </c>
      <c r="Y23" t="s">
        <v>83</v>
      </c>
      <c r="Z23" t="s">
        <v>438</v>
      </c>
    </row>
    <row r="24" spans="1:26" x14ac:dyDescent="0.25">
      <c r="A24" t="s">
        <v>481</v>
      </c>
      <c r="B24" t="s">
        <v>31</v>
      </c>
      <c r="C24">
        <v>23</v>
      </c>
      <c r="E24" t="s">
        <v>76</v>
      </c>
      <c r="F24" t="s">
        <v>482</v>
      </c>
      <c r="G24" t="s">
        <v>438</v>
      </c>
      <c r="H24" t="s">
        <v>110</v>
      </c>
      <c r="I24" t="s">
        <v>31</v>
      </c>
      <c r="J24" t="b">
        <v>1</v>
      </c>
      <c r="K24" t="b">
        <v>0</v>
      </c>
      <c r="L24" t="s">
        <v>92</v>
      </c>
      <c r="M24" t="s">
        <v>81</v>
      </c>
      <c r="O24" t="s">
        <v>82</v>
      </c>
      <c r="P24">
        <v>76</v>
      </c>
      <c r="Q24">
        <v>46223</v>
      </c>
      <c r="R24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111</v>
      </c>
      <c r="Z24" t="s">
        <v>438</v>
      </c>
    </row>
    <row r="25" spans="1:26" x14ac:dyDescent="0.25">
      <c r="A25" t="s">
        <v>483</v>
      </c>
      <c r="B25" t="s">
        <v>22</v>
      </c>
      <c r="C25">
        <v>24</v>
      </c>
      <c r="D25" t="s">
        <v>40</v>
      </c>
      <c r="E25" t="s">
        <v>76</v>
      </c>
      <c r="F25" t="s">
        <v>484</v>
      </c>
      <c r="G25" t="s">
        <v>438</v>
      </c>
      <c r="H25" t="s">
        <v>79</v>
      </c>
      <c r="I25" t="s">
        <v>22</v>
      </c>
      <c r="J25" t="b">
        <v>0</v>
      </c>
      <c r="K25" t="b">
        <v>1</v>
      </c>
      <c r="L25" t="s">
        <v>80</v>
      </c>
      <c r="M25" t="s">
        <v>81</v>
      </c>
      <c r="O25" t="s">
        <v>82</v>
      </c>
      <c r="P25">
        <v>64</v>
      </c>
      <c r="Q25">
        <v>46223</v>
      </c>
      <c r="R25">
        <v>46250</v>
      </c>
      <c r="S25">
        <v>2</v>
      </c>
      <c r="T25">
        <v>128</v>
      </c>
      <c r="U25">
        <v>16.842105263157894</v>
      </c>
      <c r="V25">
        <v>16</v>
      </c>
      <c r="W25">
        <v>20</v>
      </c>
      <c r="X25">
        <v>16</v>
      </c>
      <c r="Y25" t="s">
        <v>83</v>
      </c>
      <c r="Z25" t="s">
        <v>438</v>
      </c>
    </row>
    <row r="26" spans="1:26" x14ac:dyDescent="0.25">
      <c r="A26" t="s">
        <v>485</v>
      </c>
      <c r="B26" t="s">
        <v>22</v>
      </c>
      <c r="C26">
        <v>25</v>
      </c>
      <c r="D26" t="s">
        <v>40</v>
      </c>
      <c r="E26" t="s">
        <v>76</v>
      </c>
      <c r="F26" t="s">
        <v>486</v>
      </c>
      <c r="G26" t="s">
        <v>438</v>
      </c>
      <c r="H26" t="s">
        <v>88</v>
      </c>
      <c r="I26" t="s">
        <v>22</v>
      </c>
      <c r="J26" t="b">
        <v>0</v>
      </c>
      <c r="K26" t="b">
        <v>1</v>
      </c>
      <c r="L26" t="s">
        <v>80</v>
      </c>
      <c r="M26" t="s">
        <v>81</v>
      </c>
      <c r="O26" t="s">
        <v>89</v>
      </c>
      <c r="P26">
        <v>76</v>
      </c>
      <c r="Q26">
        <v>46223</v>
      </c>
      <c r="R26">
        <v>46250</v>
      </c>
      <c r="S26">
        <v>2</v>
      </c>
      <c r="T26">
        <v>152</v>
      </c>
      <c r="U26">
        <v>20</v>
      </c>
      <c r="V26">
        <v>20</v>
      </c>
      <c r="W26">
        <v>20</v>
      </c>
      <c r="X26">
        <v>20</v>
      </c>
      <c r="Y26" t="s">
        <v>89</v>
      </c>
      <c r="Z26" t="s">
        <v>438</v>
      </c>
    </row>
    <row r="27" spans="1:26" x14ac:dyDescent="0.25">
      <c r="A27" t="s">
        <v>487</v>
      </c>
      <c r="B27" t="s">
        <v>31</v>
      </c>
      <c r="C27">
        <v>26</v>
      </c>
      <c r="E27" t="s">
        <v>76</v>
      </c>
      <c r="F27" t="s">
        <v>189</v>
      </c>
      <c r="G27" t="s">
        <v>438</v>
      </c>
      <c r="H27" t="s">
        <v>79</v>
      </c>
      <c r="I27" t="s">
        <v>31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72</v>
      </c>
      <c r="Q27">
        <v>46223</v>
      </c>
      <c r="R27">
        <v>46250</v>
      </c>
      <c r="S27">
        <v>2</v>
      </c>
      <c r="T27">
        <v>144</v>
      </c>
      <c r="U27">
        <v>18.947368421052634</v>
      </c>
      <c r="V27">
        <v>18</v>
      </c>
      <c r="W27">
        <v>20</v>
      </c>
      <c r="X27">
        <v>18</v>
      </c>
      <c r="Y27" t="s">
        <v>83</v>
      </c>
      <c r="Z27" t="s">
        <v>438</v>
      </c>
    </row>
    <row r="28" spans="1:26" x14ac:dyDescent="0.25">
      <c r="A28" t="s">
        <v>488</v>
      </c>
      <c r="B28" t="s">
        <v>22</v>
      </c>
      <c r="C28">
        <v>27</v>
      </c>
      <c r="E28" t="s">
        <v>76</v>
      </c>
      <c r="F28" t="s">
        <v>489</v>
      </c>
      <c r="G28" t="s">
        <v>438</v>
      </c>
      <c r="H28" t="s">
        <v>110</v>
      </c>
      <c r="I28" t="s">
        <v>22</v>
      </c>
      <c r="J28" t="b">
        <v>1</v>
      </c>
      <c r="K28" t="b">
        <v>0</v>
      </c>
      <c r="L28" t="s">
        <v>92</v>
      </c>
      <c r="M28" t="s">
        <v>81</v>
      </c>
      <c r="O28" t="s">
        <v>82</v>
      </c>
      <c r="P28">
        <v>76</v>
      </c>
      <c r="Q28">
        <v>46223</v>
      </c>
      <c r="R28">
        <v>46250</v>
      </c>
      <c r="S28">
        <v>2</v>
      </c>
      <c r="T28">
        <v>152</v>
      </c>
      <c r="U28">
        <v>20</v>
      </c>
      <c r="V28">
        <v>20</v>
      </c>
      <c r="W28">
        <v>20</v>
      </c>
      <c r="X28">
        <v>20</v>
      </c>
      <c r="Y28" t="s">
        <v>111</v>
      </c>
      <c r="Z28" t="s">
        <v>438</v>
      </c>
    </row>
    <row r="29" spans="1:26" x14ac:dyDescent="0.25">
      <c r="A29" t="s">
        <v>490</v>
      </c>
      <c r="B29" t="s">
        <v>22</v>
      </c>
      <c r="C29">
        <v>28</v>
      </c>
      <c r="E29" t="s">
        <v>76</v>
      </c>
      <c r="F29" t="s">
        <v>491</v>
      </c>
      <c r="G29" t="s">
        <v>438</v>
      </c>
      <c r="H29" t="s">
        <v>79</v>
      </c>
      <c r="I29" t="s">
        <v>22</v>
      </c>
      <c r="J29" t="b">
        <v>1</v>
      </c>
      <c r="K29" t="b">
        <v>0</v>
      </c>
      <c r="L29" t="s">
        <v>92</v>
      </c>
      <c r="M29" t="s">
        <v>81</v>
      </c>
      <c r="O29" t="s">
        <v>82</v>
      </c>
      <c r="P29">
        <v>48</v>
      </c>
      <c r="Q29">
        <v>46223</v>
      </c>
      <c r="R29">
        <v>46250</v>
      </c>
      <c r="S29">
        <v>2</v>
      </c>
      <c r="T29">
        <v>96</v>
      </c>
      <c r="U29">
        <v>12.631578947368419</v>
      </c>
      <c r="V29">
        <v>12</v>
      </c>
      <c r="W29">
        <v>20</v>
      </c>
      <c r="X29">
        <v>12</v>
      </c>
      <c r="Y29" t="s">
        <v>83</v>
      </c>
      <c r="Z29" t="s">
        <v>438</v>
      </c>
    </row>
    <row r="30" spans="1:26" x14ac:dyDescent="0.25">
      <c r="A30" t="s">
        <v>492</v>
      </c>
      <c r="B30" t="s">
        <v>22</v>
      </c>
      <c r="C30">
        <v>29</v>
      </c>
      <c r="E30" t="s">
        <v>76</v>
      </c>
      <c r="F30" t="s">
        <v>493</v>
      </c>
      <c r="G30" t="s">
        <v>438</v>
      </c>
      <c r="H30" t="s">
        <v>79</v>
      </c>
      <c r="I30" t="s">
        <v>22</v>
      </c>
      <c r="J30" t="b">
        <v>1</v>
      </c>
      <c r="K30" t="b">
        <v>0</v>
      </c>
      <c r="L30" t="s">
        <v>92</v>
      </c>
      <c r="M30" t="s">
        <v>81</v>
      </c>
      <c r="O30" t="s">
        <v>82</v>
      </c>
      <c r="P30">
        <v>58</v>
      </c>
      <c r="Q30">
        <v>46223</v>
      </c>
      <c r="R30">
        <v>46250</v>
      </c>
      <c r="S30">
        <v>2</v>
      </c>
      <c r="T30">
        <v>116</v>
      </c>
      <c r="U30">
        <v>15.263157894736842</v>
      </c>
      <c r="V30">
        <v>15</v>
      </c>
      <c r="W30">
        <v>20</v>
      </c>
      <c r="X30">
        <v>15</v>
      </c>
      <c r="Y30" t="s">
        <v>83</v>
      </c>
      <c r="Z30" t="s">
        <v>438</v>
      </c>
    </row>
    <row r="31" spans="1:26" x14ac:dyDescent="0.25">
      <c r="A31" t="s">
        <v>494</v>
      </c>
      <c r="B31" t="s">
        <v>22</v>
      </c>
      <c r="C31">
        <v>30</v>
      </c>
      <c r="E31" t="s">
        <v>76</v>
      </c>
      <c r="F31" t="s">
        <v>495</v>
      </c>
      <c r="G31" t="s">
        <v>438</v>
      </c>
      <c r="H31" t="s">
        <v>79</v>
      </c>
      <c r="I31" t="s">
        <v>22</v>
      </c>
      <c r="J31" t="b">
        <v>1</v>
      </c>
      <c r="K31" t="b">
        <v>1</v>
      </c>
      <c r="L31" t="s">
        <v>95</v>
      </c>
      <c r="M31" t="s">
        <v>81</v>
      </c>
      <c r="O31" t="s">
        <v>82</v>
      </c>
      <c r="P31">
        <v>40</v>
      </c>
      <c r="Q31">
        <v>46223</v>
      </c>
      <c r="R31">
        <v>46250</v>
      </c>
      <c r="S31">
        <v>2</v>
      </c>
      <c r="T31">
        <v>80</v>
      </c>
      <c r="U31">
        <v>10.526315789473683</v>
      </c>
      <c r="V31">
        <v>10</v>
      </c>
      <c r="W31">
        <v>20</v>
      </c>
      <c r="X31">
        <v>10</v>
      </c>
      <c r="Y31" t="s">
        <v>83</v>
      </c>
      <c r="Z31" t="s">
        <v>438</v>
      </c>
    </row>
    <row r="32" spans="1:26" x14ac:dyDescent="0.25">
      <c r="A32" t="s">
        <v>496</v>
      </c>
      <c r="B32" t="s">
        <v>22</v>
      </c>
      <c r="C32">
        <v>31</v>
      </c>
      <c r="E32" t="s">
        <v>76</v>
      </c>
      <c r="F32" t="s">
        <v>497</v>
      </c>
      <c r="G32" t="s">
        <v>438</v>
      </c>
      <c r="H32" t="s">
        <v>110</v>
      </c>
      <c r="I32" t="s">
        <v>22</v>
      </c>
      <c r="J32" t="b">
        <v>1</v>
      </c>
      <c r="K32" t="b">
        <v>1</v>
      </c>
      <c r="L32" t="s">
        <v>95</v>
      </c>
      <c r="M32" t="s">
        <v>81</v>
      </c>
      <c r="O32" t="s">
        <v>82</v>
      </c>
      <c r="P32">
        <v>76</v>
      </c>
      <c r="Q32">
        <v>46223</v>
      </c>
      <c r="R32">
        <v>46250</v>
      </c>
      <c r="S32">
        <v>2</v>
      </c>
      <c r="T32">
        <v>152</v>
      </c>
      <c r="U32">
        <v>20</v>
      </c>
      <c r="V32">
        <v>20</v>
      </c>
      <c r="W32">
        <v>20</v>
      </c>
      <c r="X32">
        <v>20</v>
      </c>
      <c r="Y32" t="s">
        <v>111</v>
      </c>
      <c r="Z32" t="s">
        <v>438</v>
      </c>
    </row>
    <row r="33" spans="1:26" x14ac:dyDescent="0.25">
      <c r="A33" t="s">
        <v>498</v>
      </c>
      <c r="B33" t="s">
        <v>22</v>
      </c>
      <c r="C33">
        <v>32</v>
      </c>
      <c r="D33" t="s">
        <v>40</v>
      </c>
      <c r="E33" t="s">
        <v>76</v>
      </c>
      <c r="F33" t="s">
        <v>499</v>
      </c>
      <c r="G33" t="s">
        <v>438</v>
      </c>
      <c r="H33" t="s">
        <v>88</v>
      </c>
      <c r="I33" t="s">
        <v>22</v>
      </c>
      <c r="J33" t="b">
        <v>0</v>
      </c>
      <c r="K33" t="b">
        <v>1</v>
      </c>
      <c r="L33" t="s">
        <v>80</v>
      </c>
      <c r="M33" t="s">
        <v>81</v>
      </c>
      <c r="O33" t="s">
        <v>89</v>
      </c>
      <c r="P33">
        <v>76</v>
      </c>
      <c r="Q33">
        <v>46223</v>
      </c>
      <c r="R33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89</v>
      </c>
      <c r="Z33" t="s">
        <v>438</v>
      </c>
    </row>
    <row r="34" spans="1:26" x14ac:dyDescent="0.25">
      <c r="A34" t="s">
        <v>500</v>
      </c>
      <c r="B34" t="s">
        <v>22</v>
      </c>
      <c r="C34">
        <v>33</v>
      </c>
      <c r="E34" t="s">
        <v>76</v>
      </c>
      <c r="F34" t="s">
        <v>501</v>
      </c>
      <c r="G34" t="s">
        <v>438</v>
      </c>
      <c r="H34" t="s">
        <v>88</v>
      </c>
      <c r="I34" t="s">
        <v>22</v>
      </c>
      <c r="J34" t="b">
        <v>1</v>
      </c>
      <c r="K34" t="b">
        <v>0</v>
      </c>
      <c r="L34" t="s">
        <v>92</v>
      </c>
      <c r="M34" t="s">
        <v>81</v>
      </c>
      <c r="O34" t="s">
        <v>89</v>
      </c>
      <c r="P34">
        <v>76</v>
      </c>
      <c r="Q34">
        <v>46223</v>
      </c>
      <c r="R34">
        <v>46250</v>
      </c>
      <c r="S34">
        <v>2</v>
      </c>
      <c r="T34">
        <v>152</v>
      </c>
      <c r="U34">
        <v>20</v>
      </c>
      <c r="V34">
        <v>20</v>
      </c>
      <c r="W34">
        <v>20</v>
      </c>
      <c r="X34">
        <v>20</v>
      </c>
      <c r="Y34" t="s">
        <v>89</v>
      </c>
      <c r="Z34" t="s">
        <v>438</v>
      </c>
    </row>
    <row r="35" spans="1:26" x14ac:dyDescent="0.25">
      <c r="A35" t="s">
        <v>502</v>
      </c>
      <c r="B35" t="s">
        <v>22</v>
      </c>
      <c r="C35">
        <v>34</v>
      </c>
      <c r="E35" t="s">
        <v>76</v>
      </c>
      <c r="F35" t="s">
        <v>503</v>
      </c>
      <c r="G35" t="s">
        <v>438</v>
      </c>
      <c r="H35" t="s">
        <v>79</v>
      </c>
      <c r="I35" t="s">
        <v>22</v>
      </c>
      <c r="J35" t="b">
        <v>1</v>
      </c>
      <c r="K35" t="b">
        <v>1</v>
      </c>
      <c r="L35" t="s">
        <v>95</v>
      </c>
      <c r="M35" t="s">
        <v>81</v>
      </c>
      <c r="O35" t="s">
        <v>82</v>
      </c>
      <c r="P35">
        <v>40</v>
      </c>
      <c r="Q35">
        <v>46223</v>
      </c>
      <c r="R35">
        <v>46250</v>
      </c>
      <c r="S35">
        <v>2</v>
      </c>
      <c r="T35">
        <v>80</v>
      </c>
      <c r="U35">
        <v>10.526315789473683</v>
      </c>
      <c r="V35">
        <v>10</v>
      </c>
      <c r="W35">
        <v>20</v>
      </c>
      <c r="X35">
        <v>10</v>
      </c>
      <c r="Y35" t="s">
        <v>83</v>
      </c>
      <c r="Z35" t="s">
        <v>438</v>
      </c>
    </row>
    <row r="36" spans="1:26" x14ac:dyDescent="0.25">
      <c r="A36" t="s">
        <v>504</v>
      </c>
      <c r="B36" t="s">
        <v>22</v>
      </c>
      <c r="C36">
        <v>35</v>
      </c>
      <c r="E36" t="s">
        <v>76</v>
      </c>
      <c r="F36" t="s">
        <v>505</v>
      </c>
      <c r="G36" t="s">
        <v>438</v>
      </c>
      <c r="H36" t="s">
        <v>88</v>
      </c>
      <c r="I36" t="s">
        <v>22</v>
      </c>
      <c r="J36" t="b">
        <v>1</v>
      </c>
      <c r="K36" t="b">
        <v>0</v>
      </c>
      <c r="L36" t="s">
        <v>92</v>
      </c>
      <c r="M36" t="s">
        <v>81</v>
      </c>
      <c r="O36" t="s">
        <v>89</v>
      </c>
      <c r="P36">
        <v>76</v>
      </c>
      <c r="Q36">
        <v>46223</v>
      </c>
      <c r="R36">
        <v>46250</v>
      </c>
      <c r="S36">
        <v>2</v>
      </c>
      <c r="T36">
        <v>152</v>
      </c>
      <c r="U36">
        <v>20</v>
      </c>
      <c r="V36">
        <v>20</v>
      </c>
      <c r="W36">
        <v>20</v>
      </c>
      <c r="X36">
        <v>20</v>
      </c>
      <c r="Y36" t="s">
        <v>89</v>
      </c>
      <c r="Z36" t="s">
        <v>438</v>
      </c>
    </row>
    <row r="37" spans="1:26" x14ac:dyDescent="0.25">
      <c r="A37" t="s">
        <v>506</v>
      </c>
      <c r="B37" t="s">
        <v>22</v>
      </c>
      <c r="C37">
        <v>36</v>
      </c>
      <c r="E37" t="s">
        <v>76</v>
      </c>
      <c r="F37" t="s">
        <v>507</v>
      </c>
      <c r="G37" t="s">
        <v>438</v>
      </c>
      <c r="H37" t="s">
        <v>110</v>
      </c>
      <c r="I37" t="s">
        <v>22</v>
      </c>
      <c r="J37" t="b">
        <v>1</v>
      </c>
      <c r="K37" t="b">
        <v>0</v>
      </c>
      <c r="L37" t="s">
        <v>92</v>
      </c>
      <c r="M37" t="s">
        <v>81</v>
      </c>
      <c r="O37" t="s">
        <v>82</v>
      </c>
      <c r="P37">
        <v>76</v>
      </c>
      <c r="Q37">
        <v>46223</v>
      </c>
      <c r="R37">
        <v>46250</v>
      </c>
      <c r="S37">
        <v>2</v>
      </c>
      <c r="T37">
        <v>152</v>
      </c>
      <c r="U37">
        <v>20</v>
      </c>
      <c r="V37">
        <v>20</v>
      </c>
      <c r="W37">
        <v>20</v>
      </c>
      <c r="X37">
        <v>20</v>
      </c>
      <c r="Y37" t="s">
        <v>111</v>
      </c>
      <c r="Z37" t="s">
        <v>438</v>
      </c>
    </row>
    <row r="38" spans="1:26" x14ac:dyDescent="0.25">
      <c r="A38" t="s">
        <v>508</v>
      </c>
      <c r="B38" t="s">
        <v>29</v>
      </c>
      <c r="C38">
        <v>37</v>
      </c>
      <c r="E38" t="s">
        <v>76</v>
      </c>
      <c r="F38" t="s">
        <v>509</v>
      </c>
      <c r="G38" t="s">
        <v>438</v>
      </c>
      <c r="H38" t="s">
        <v>110</v>
      </c>
      <c r="I38" t="s">
        <v>29</v>
      </c>
      <c r="J38" t="b">
        <v>1</v>
      </c>
      <c r="K38" t="b">
        <v>0</v>
      </c>
      <c r="L38" t="s">
        <v>92</v>
      </c>
      <c r="M38" t="s">
        <v>81</v>
      </c>
      <c r="O38" t="s">
        <v>82</v>
      </c>
      <c r="P38">
        <v>76</v>
      </c>
      <c r="Q38">
        <v>46223</v>
      </c>
      <c r="R38">
        <v>46250</v>
      </c>
      <c r="S38">
        <v>2</v>
      </c>
      <c r="T38">
        <v>152</v>
      </c>
      <c r="U38">
        <v>20</v>
      </c>
      <c r="V38">
        <v>20</v>
      </c>
      <c r="W38">
        <v>20</v>
      </c>
      <c r="X38">
        <v>20</v>
      </c>
      <c r="Y38" t="s">
        <v>111</v>
      </c>
      <c r="Z38" t="s">
        <v>438</v>
      </c>
    </row>
    <row r="39" spans="1:26" x14ac:dyDescent="0.25">
      <c r="A39" t="s">
        <v>510</v>
      </c>
      <c r="B39" t="s">
        <v>22</v>
      </c>
      <c r="C39">
        <v>38</v>
      </c>
      <c r="E39" t="s">
        <v>76</v>
      </c>
      <c r="F39" t="s">
        <v>511</v>
      </c>
      <c r="G39" t="s">
        <v>438</v>
      </c>
      <c r="H39" t="s">
        <v>88</v>
      </c>
      <c r="I39" t="s">
        <v>22</v>
      </c>
      <c r="J39" t="b">
        <v>1</v>
      </c>
      <c r="K39" t="b">
        <v>0</v>
      </c>
      <c r="L39" t="s">
        <v>92</v>
      </c>
      <c r="M39" t="s">
        <v>81</v>
      </c>
      <c r="O39" t="s">
        <v>89</v>
      </c>
      <c r="P39">
        <v>76</v>
      </c>
      <c r="Q39">
        <v>46223</v>
      </c>
      <c r="R39">
        <v>46250</v>
      </c>
      <c r="S39">
        <v>2</v>
      </c>
      <c r="T39">
        <v>152</v>
      </c>
      <c r="U39">
        <v>20</v>
      </c>
      <c r="V39">
        <v>20</v>
      </c>
      <c r="W39">
        <v>20</v>
      </c>
      <c r="X39">
        <v>20</v>
      </c>
      <c r="Y39" t="s">
        <v>89</v>
      </c>
      <c r="Z39" t="s">
        <v>438</v>
      </c>
    </row>
    <row r="40" spans="1:26" x14ac:dyDescent="0.25">
      <c r="A40" t="s">
        <v>512</v>
      </c>
      <c r="B40" t="s">
        <v>22</v>
      </c>
      <c r="C40">
        <v>39</v>
      </c>
      <c r="E40" t="s">
        <v>76</v>
      </c>
      <c r="F40" t="s">
        <v>513</v>
      </c>
      <c r="G40" t="s">
        <v>438</v>
      </c>
      <c r="H40" t="s">
        <v>79</v>
      </c>
      <c r="I40" t="s">
        <v>22</v>
      </c>
      <c r="J40" t="b">
        <v>1</v>
      </c>
      <c r="K40" t="b">
        <v>0</v>
      </c>
      <c r="L40" t="s">
        <v>92</v>
      </c>
      <c r="M40" t="s">
        <v>81</v>
      </c>
      <c r="O40" t="s">
        <v>82</v>
      </c>
      <c r="P40">
        <v>16</v>
      </c>
      <c r="Q40">
        <v>46223</v>
      </c>
      <c r="R40">
        <v>46250</v>
      </c>
      <c r="S40">
        <v>2</v>
      </c>
      <c r="T40">
        <v>32</v>
      </c>
      <c r="U40">
        <v>4.2105263157894735</v>
      </c>
      <c r="V40">
        <v>4</v>
      </c>
      <c r="W40">
        <v>20</v>
      </c>
      <c r="X40">
        <v>4</v>
      </c>
      <c r="Y40" t="s">
        <v>83</v>
      </c>
      <c r="Z40" t="s">
        <v>438</v>
      </c>
    </row>
    <row r="41" spans="1:26" x14ac:dyDescent="0.25">
      <c r="A41" t="s">
        <v>514</v>
      </c>
      <c r="B41" t="s">
        <v>22</v>
      </c>
      <c r="C41">
        <v>40</v>
      </c>
      <c r="E41" t="s">
        <v>76</v>
      </c>
      <c r="F41" t="s">
        <v>515</v>
      </c>
      <c r="G41" t="s">
        <v>438</v>
      </c>
      <c r="H41" t="s">
        <v>110</v>
      </c>
      <c r="I41" t="s">
        <v>22</v>
      </c>
      <c r="J41" t="b">
        <v>1</v>
      </c>
      <c r="K41" t="b">
        <v>1</v>
      </c>
      <c r="L41" t="s">
        <v>95</v>
      </c>
      <c r="M41" t="s">
        <v>81</v>
      </c>
      <c r="O41" t="s">
        <v>82</v>
      </c>
      <c r="P41">
        <v>76</v>
      </c>
      <c r="Q41">
        <v>46223</v>
      </c>
      <c r="R41">
        <v>46250</v>
      </c>
      <c r="S41">
        <v>2</v>
      </c>
      <c r="T41">
        <v>152</v>
      </c>
      <c r="U41">
        <v>20</v>
      </c>
      <c r="V41">
        <v>20</v>
      </c>
      <c r="W41">
        <v>20</v>
      </c>
      <c r="X41">
        <v>20</v>
      </c>
      <c r="Y41" t="s">
        <v>111</v>
      </c>
      <c r="Z41" t="s">
        <v>438</v>
      </c>
    </row>
    <row r="42" spans="1:26" x14ac:dyDescent="0.25">
      <c r="A42" t="s">
        <v>516</v>
      </c>
      <c r="B42" t="s">
        <v>22</v>
      </c>
      <c r="C42">
        <v>41</v>
      </c>
      <c r="E42" t="s">
        <v>76</v>
      </c>
      <c r="F42" t="s">
        <v>517</v>
      </c>
      <c r="G42" t="s">
        <v>438</v>
      </c>
      <c r="H42" t="s">
        <v>110</v>
      </c>
      <c r="I42" t="s">
        <v>22</v>
      </c>
      <c r="J42" t="b">
        <v>1</v>
      </c>
      <c r="K42" t="b">
        <v>1</v>
      </c>
      <c r="L42" t="s">
        <v>95</v>
      </c>
      <c r="M42" t="s">
        <v>81</v>
      </c>
      <c r="O42" t="s">
        <v>82</v>
      </c>
      <c r="P42">
        <v>76</v>
      </c>
      <c r="Q42">
        <v>46223</v>
      </c>
      <c r="R42">
        <v>46250</v>
      </c>
      <c r="S42">
        <v>2</v>
      </c>
      <c r="T42">
        <v>152</v>
      </c>
      <c r="U42">
        <v>20</v>
      </c>
      <c r="V42">
        <v>20</v>
      </c>
      <c r="W42">
        <v>20</v>
      </c>
      <c r="X42">
        <v>20</v>
      </c>
      <c r="Y42" t="s">
        <v>111</v>
      </c>
      <c r="Z42" t="s">
        <v>438</v>
      </c>
    </row>
    <row r="43" spans="1:26" x14ac:dyDescent="0.25">
      <c r="A43" t="s">
        <v>518</v>
      </c>
      <c r="B43" t="s">
        <v>22</v>
      </c>
      <c r="C43">
        <v>42</v>
      </c>
      <c r="D43" t="s">
        <v>40</v>
      </c>
      <c r="E43" t="s">
        <v>76</v>
      </c>
      <c r="F43" t="s">
        <v>519</v>
      </c>
      <c r="G43" t="s">
        <v>438</v>
      </c>
      <c r="H43" t="s">
        <v>79</v>
      </c>
      <c r="I43" t="s">
        <v>22</v>
      </c>
      <c r="J43" t="b">
        <v>0</v>
      </c>
      <c r="K43" t="b">
        <v>1</v>
      </c>
      <c r="L43" t="s">
        <v>80</v>
      </c>
      <c r="M43" t="s">
        <v>81</v>
      </c>
      <c r="O43" t="s">
        <v>82</v>
      </c>
      <c r="P43">
        <v>32</v>
      </c>
      <c r="Q43">
        <v>46223</v>
      </c>
      <c r="R43">
        <v>46250</v>
      </c>
      <c r="S43">
        <v>2</v>
      </c>
      <c r="T43">
        <v>64</v>
      </c>
      <c r="U43">
        <v>8.4210526315789469</v>
      </c>
      <c r="V43">
        <v>8</v>
      </c>
      <c r="W43">
        <v>20</v>
      </c>
      <c r="X43">
        <v>8</v>
      </c>
      <c r="Y43" t="s">
        <v>83</v>
      </c>
      <c r="Z43" t="s">
        <v>438</v>
      </c>
    </row>
    <row r="44" spans="1:26" x14ac:dyDescent="0.25">
      <c r="A44" t="s">
        <v>520</v>
      </c>
      <c r="B44" t="s">
        <v>22</v>
      </c>
      <c r="C44">
        <v>43</v>
      </c>
      <c r="E44" t="s">
        <v>76</v>
      </c>
      <c r="F44" t="s">
        <v>521</v>
      </c>
      <c r="G44" t="s">
        <v>438</v>
      </c>
      <c r="H44" t="s">
        <v>110</v>
      </c>
      <c r="I44" t="s">
        <v>22</v>
      </c>
      <c r="J44" t="b">
        <v>1</v>
      </c>
      <c r="K44" t="b">
        <v>0</v>
      </c>
      <c r="L44" t="s">
        <v>92</v>
      </c>
      <c r="M44" t="s">
        <v>81</v>
      </c>
      <c r="O44" t="s">
        <v>82</v>
      </c>
      <c r="P44">
        <v>76</v>
      </c>
      <c r="Q44">
        <v>46223</v>
      </c>
      <c r="R44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111</v>
      </c>
      <c r="Z44" t="s">
        <v>438</v>
      </c>
    </row>
    <row r="45" spans="1:26" x14ac:dyDescent="0.25">
      <c r="A45" t="s">
        <v>522</v>
      </c>
      <c r="B45" t="s">
        <v>29</v>
      </c>
      <c r="C45">
        <v>44</v>
      </c>
      <c r="E45" t="s">
        <v>76</v>
      </c>
      <c r="F45" t="s">
        <v>523</v>
      </c>
      <c r="G45" t="s">
        <v>438</v>
      </c>
      <c r="H45" t="s">
        <v>79</v>
      </c>
      <c r="I45" t="s">
        <v>29</v>
      </c>
      <c r="J45" t="b">
        <v>1</v>
      </c>
      <c r="K45" t="b">
        <v>1</v>
      </c>
      <c r="L45" t="s">
        <v>95</v>
      </c>
      <c r="M45" t="s">
        <v>81</v>
      </c>
      <c r="O45" t="s">
        <v>82</v>
      </c>
      <c r="P45">
        <v>56</v>
      </c>
      <c r="Q45">
        <v>46223</v>
      </c>
      <c r="R45">
        <v>46250</v>
      </c>
      <c r="S45">
        <v>2</v>
      </c>
      <c r="T45">
        <v>112</v>
      </c>
      <c r="U45">
        <v>14.736842105263159</v>
      </c>
      <c r="V45">
        <v>14</v>
      </c>
      <c r="W45">
        <v>20</v>
      </c>
      <c r="X45">
        <v>14</v>
      </c>
      <c r="Y45" t="s">
        <v>83</v>
      </c>
      <c r="Z45" t="s">
        <v>438</v>
      </c>
    </row>
    <row r="46" spans="1:26" x14ac:dyDescent="0.25">
      <c r="A46" t="s">
        <v>524</v>
      </c>
      <c r="B46" t="s">
        <v>22</v>
      </c>
      <c r="C46">
        <v>45</v>
      </c>
      <c r="E46" t="s">
        <v>76</v>
      </c>
      <c r="F46" t="s">
        <v>525</v>
      </c>
      <c r="G46" t="s">
        <v>438</v>
      </c>
      <c r="H46" t="s">
        <v>79</v>
      </c>
      <c r="I46" t="s">
        <v>22</v>
      </c>
      <c r="J46" t="b">
        <v>1</v>
      </c>
      <c r="K46" t="b">
        <v>1</v>
      </c>
      <c r="L46" t="s">
        <v>95</v>
      </c>
      <c r="M46" t="s">
        <v>81</v>
      </c>
      <c r="O46" t="s">
        <v>82</v>
      </c>
      <c r="P46">
        <v>56</v>
      </c>
      <c r="Q46">
        <v>46223</v>
      </c>
      <c r="R46">
        <v>46250</v>
      </c>
      <c r="S46">
        <v>2</v>
      </c>
      <c r="T46">
        <v>112</v>
      </c>
      <c r="U46">
        <v>14.736842105263159</v>
      </c>
      <c r="V46">
        <v>14</v>
      </c>
      <c r="W46">
        <v>20</v>
      </c>
      <c r="X46">
        <v>14</v>
      </c>
      <c r="Y46" t="s">
        <v>83</v>
      </c>
      <c r="Z46" t="s">
        <v>438</v>
      </c>
    </row>
    <row r="47" spans="1:26" x14ac:dyDescent="0.25">
      <c r="A47" t="s">
        <v>526</v>
      </c>
      <c r="B47" t="s">
        <v>29</v>
      </c>
      <c r="C47">
        <v>46</v>
      </c>
      <c r="E47" t="s">
        <v>76</v>
      </c>
      <c r="F47" t="s">
        <v>527</v>
      </c>
      <c r="G47" t="s">
        <v>438</v>
      </c>
      <c r="H47" t="s">
        <v>79</v>
      </c>
      <c r="I47" t="s">
        <v>29</v>
      </c>
      <c r="J47" t="b">
        <v>1</v>
      </c>
      <c r="K47" t="b">
        <v>1</v>
      </c>
      <c r="L47" t="s">
        <v>95</v>
      </c>
      <c r="M47" t="s">
        <v>81</v>
      </c>
      <c r="O47" t="s">
        <v>82</v>
      </c>
      <c r="P47">
        <v>48</v>
      </c>
      <c r="Q47">
        <v>46223</v>
      </c>
      <c r="R47">
        <v>46250</v>
      </c>
      <c r="S47">
        <v>2</v>
      </c>
      <c r="T47">
        <v>96</v>
      </c>
      <c r="U47">
        <v>12.631578947368419</v>
      </c>
      <c r="V47">
        <v>12</v>
      </c>
      <c r="W47">
        <v>20</v>
      </c>
      <c r="X47">
        <v>12</v>
      </c>
      <c r="Y47" t="s">
        <v>83</v>
      </c>
      <c r="Z47" t="s">
        <v>438</v>
      </c>
    </row>
    <row r="48" spans="1:26" x14ac:dyDescent="0.25">
      <c r="A48" t="s">
        <v>528</v>
      </c>
      <c r="B48" t="s">
        <v>22</v>
      </c>
      <c r="C48">
        <v>47</v>
      </c>
      <c r="E48" t="s">
        <v>76</v>
      </c>
      <c r="F48" t="s">
        <v>529</v>
      </c>
      <c r="G48" t="s">
        <v>438</v>
      </c>
      <c r="H48" t="s">
        <v>79</v>
      </c>
      <c r="I48" t="s">
        <v>22</v>
      </c>
      <c r="J48" t="b">
        <v>1</v>
      </c>
      <c r="K48" t="b">
        <v>0</v>
      </c>
      <c r="L48" t="s">
        <v>92</v>
      </c>
      <c r="M48" t="s">
        <v>81</v>
      </c>
      <c r="O48" t="s">
        <v>82</v>
      </c>
      <c r="P48">
        <v>32</v>
      </c>
      <c r="Q48">
        <v>46223</v>
      </c>
      <c r="R48">
        <v>46250</v>
      </c>
      <c r="S48">
        <v>2</v>
      </c>
      <c r="T48">
        <v>64</v>
      </c>
      <c r="U48">
        <v>8.4210526315789469</v>
      </c>
      <c r="V48">
        <v>8</v>
      </c>
      <c r="W48">
        <v>20</v>
      </c>
      <c r="X48">
        <v>8</v>
      </c>
      <c r="Y48" t="s">
        <v>83</v>
      </c>
      <c r="Z48" t="s">
        <v>438</v>
      </c>
    </row>
    <row r="49" spans="1:26" x14ac:dyDescent="0.25">
      <c r="A49" t="s">
        <v>530</v>
      </c>
      <c r="B49" t="s">
        <v>22</v>
      </c>
      <c r="C49">
        <v>48</v>
      </c>
      <c r="E49" t="s">
        <v>76</v>
      </c>
      <c r="F49" t="s">
        <v>531</v>
      </c>
      <c r="G49" t="s">
        <v>438</v>
      </c>
      <c r="H49" t="s">
        <v>88</v>
      </c>
      <c r="I49" t="s">
        <v>22</v>
      </c>
      <c r="J49" t="b">
        <v>1</v>
      </c>
      <c r="K49" t="b">
        <v>0</v>
      </c>
      <c r="L49" t="s">
        <v>92</v>
      </c>
      <c r="M49" t="s">
        <v>81</v>
      </c>
      <c r="O49" t="s">
        <v>89</v>
      </c>
      <c r="P49">
        <v>76</v>
      </c>
      <c r="Q49">
        <v>46223</v>
      </c>
      <c r="R49">
        <v>46250</v>
      </c>
      <c r="S49">
        <v>2</v>
      </c>
      <c r="T49">
        <v>152</v>
      </c>
      <c r="U49">
        <v>20</v>
      </c>
      <c r="V49">
        <v>20</v>
      </c>
      <c r="W49">
        <v>20</v>
      </c>
      <c r="X49">
        <v>20</v>
      </c>
      <c r="Y49" t="s">
        <v>89</v>
      </c>
      <c r="Z49" t="s">
        <v>438</v>
      </c>
    </row>
    <row r="50" spans="1:26" x14ac:dyDescent="0.25">
      <c r="A50" t="s">
        <v>532</v>
      </c>
      <c r="B50" t="s">
        <v>22</v>
      </c>
      <c r="C50">
        <v>49</v>
      </c>
      <c r="E50" t="s">
        <v>76</v>
      </c>
      <c r="F50" t="s">
        <v>533</v>
      </c>
      <c r="G50" t="s">
        <v>438</v>
      </c>
      <c r="H50" t="s">
        <v>88</v>
      </c>
      <c r="I50" t="s">
        <v>22</v>
      </c>
      <c r="J50" t="b">
        <v>1</v>
      </c>
      <c r="K50" t="b">
        <v>0</v>
      </c>
      <c r="L50" t="s">
        <v>92</v>
      </c>
      <c r="M50" t="s">
        <v>81</v>
      </c>
      <c r="O50" t="s">
        <v>89</v>
      </c>
      <c r="P50">
        <v>76</v>
      </c>
      <c r="Q50">
        <v>46223</v>
      </c>
      <c r="R50">
        <v>46250</v>
      </c>
      <c r="S50">
        <v>2</v>
      </c>
      <c r="T50">
        <v>152</v>
      </c>
      <c r="U50">
        <v>20</v>
      </c>
      <c r="V50">
        <v>20</v>
      </c>
      <c r="W50">
        <v>20</v>
      </c>
      <c r="X50">
        <v>20</v>
      </c>
      <c r="Y50" t="s">
        <v>89</v>
      </c>
      <c r="Z50" t="s">
        <v>438</v>
      </c>
    </row>
    <row r="51" spans="1:26" x14ac:dyDescent="0.25">
      <c r="A51" t="s">
        <v>534</v>
      </c>
      <c r="B51" t="s">
        <v>29</v>
      </c>
      <c r="C51">
        <v>50</v>
      </c>
      <c r="E51" t="s">
        <v>76</v>
      </c>
      <c r="F51" t="s">
        <v>535</v>
      </c>
      <c r="G51" t="s">
        <v>438</v>
      </c>
      <c r="H51" t="s">
        <v>110</v>
      </c>
      <c r="I51" t="s">
        <v>29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76</v>
      </c>
      <c r="Q51">
        <v>46223</v>
      </c>
      <c r="R51">
        <v>46250</v>
      </c>
      <c r="S51">
        <v>2</v>
      </c>
      <c r="T51">
        <v>152</v>
      </c>
      <c r="U51">
        <v>20</v>
      </c>
      <c r="V51">
        <v>20</v>
      </c>
      <c r="W51">
        <v>20</v>
      </c>
      <c r="X51">
        <v>20</v>
      </c>
      <c r="Y51" t="s">
        <v>111</v>
      </c>
      <c r="Z51" t="s">
        <v>438</v>
      </c>
    </row>
    <row r="52" spans="1:26" x14ac:dyDescent="0.25">
      <c r="A52" t="s">
        <v>536</v>
      </c>
      <c r="B52" t="s">
        <v>22</v>
      </c>
      <c r="C52">
        <v>51</v>
      </c>
      <c r="E52" t="s">
        <v>76</v>
      </c>
      <c r="F52" t="s">
        <v>537</v>
      </c>
      <c r="G52" t="s">
        <v>438</v>
      </c>
      <c r="H52" t="s">
        <v>110</v>
      </c>
      <c r="I52" t="s">
        <v>22</v>
      </c>
      <c r="J52" t="b">
        <v>1</v>
      </c>
      <c r="K52" t="b">
        <v>1</v>
      </c>
      <c r="L52" t="s">
        <v>95</v>
      </c>
      <c r="M52" t="s">
        <v>81</v>
      </c>
      <c r="O52" t="s">
        <v>82</v>
      </c>
      <c r="P52">
        <v>76</v>
      </c>
      <c r="Q52">
        <v>46223</v>
      </c>
      <c r="R52">
        <v>46250</v>
      </c>
      <c r="S52">
        <v>2</v>
      </c>
      <c r="T52">
        <v>152</v>
      </c>
      <c r="U52">
        <v>20</v>
      </c>
      <c r="V52">
        <v>20</v>
      </c>
      <c r="W52">
        <v>20</v>
      </c>
      <c r="X52">
        <v>20</v>
      </c>
      <c r="Y52" t="s">
        <v>111</v>
      </c>
      <c r="Z52" t="s">
        <v>438</v>
      </c>
    </row>
    <row r="53" spans="1:26" x14ac:dyDescent="0.25">
      <c r="A53" t="s">
        <v>538</v>
      </c>
      <c r="B53" t="s">
        <v>22</v>
      </c>
      <c r="C53">
        <v>52</v>
      </c>
      <c r="D53" t="s">
        <v>40</v>
      </c>
      <c r="E53" t="s">
        <v>76</v>
      </c>
      <c r="F53" t="s">
        <v>539</v>
      </c>
      <c r="G53" t="s">
        <v>438</v>
      </c>
      <c r="H53" t="s">
        <v>88</v>
      </c>
      <c r="I53" t="s">
        <v>22</v>
      </c>
      <c r="J53" t="b">
        <v>0</v>
      </c>
      <c r="K53" t="b">
        <v>1</v>
      </c>
      <c r="L53" t="s">
        <v>80</v>
      </c>
      <c r="M53" t="s">
        <v>81</v>
      </c>
      <c r="O53" t="s">
        <v>89</v>
      </c>
      <c r="P53">
        <v>76</v>
      </c>
      <c r="Q53">
        <v>46223</v>
      </c>
      <c r="R53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89</v>
      </c>
      <c r="Z53" t="s">
        <v>438</v>
      </c>
    </row>
    <row r="54" spans="1:26" x14ac:dyDescent="0.25">
      <c r="A54" t="s">
        <v>540</v>
      </c>
      <c r="B54" t="s">
        <v>22</v>
      </c>
      <c r="C54">
        <v>53</v>
      </c>
      <c r="E54" t="s">
        <v>76</v>
      </c>
      <c r="F54" t="s">
        <v>541</v>
      </c>
      <c r="G54" t="s">
        <v>438</v>
      </c>
      <c r="H54" t="s">
        <v>110</v>
      </c>
      <c r="I54" t="s">
        <v>22</v>
      </c>
      <c r="J54" t="b">
        <v>1</v>
      </c>
      <c r="K54" t="b">
        <v>1</v>
      </c>
      <c r="L54" t="s">
        <v>95</v>
      </c>
      <c r="M54" t="s">
        <v>81</v>
      </c>
      <c r="O54" t="s">
        <v>82</v>
      </c>
      <c r="P54">
        <v>76</v>
      </c>
      <c r="Q54">
        <v>46223</v>
      </c>
      <c r="R54">
        <v>46250</v>
      </c>
      <c r="S54">
        <v>2</v>
      </c>
      <c r="T54">
        <v>152</v>
      </c>
      <c r="U54">
        <v>20</v>
      </c>
      <c r="V54">
        <v>20</v>
      </c>
      <c r="W54">
        <v>20</v>
      </c>
      <c r="X54">
        <v>20</v>
      </c>
      <c r="Y54" t="s">
        <v>111</v>
      </c>
      <c r="Z54" t="s">
        <v>438</v>
      </c>
    </row>
    <row r="55" spans="1:26" x14ac:dyDescent="0.25">
      <c r="A55" t="s">
        <v>542</v>
      </c>
      <c r="B55" t="s">
        <v>22</v>
      </c>
      <c r="C55">
        <v>54</v>
      </c>
      <c r="E55" t="s">
        <v>76</v>
      </c>
      <c r="F55" t="s">
        <v>543</v>
      </c>
      <c r="G55" t="s">
        <v>438</v>
      </c>
      <c r="H55" t="s">
        <v>79</v>
      </c>
      <c r="I55" t="s">
        <v>22</v>
      </c>
      <c r="J55" t="b">
        <v>1</v>
      </c>
      <c r="K55" t="b">
        <v>1</v>
      </c>
      <c r="L55" t="s">
        <v>95</v>
      </c>
      <c r="M55" t="s">
        <v>81</v>
      </c>
      <c r="O55" t="s">
        <v>82</v>
      </c>
      <c r="P55">
        <v>60</v>
      </c>
      <c r="Q55">
        <v>46223</v>
      </c>
      <c r="R55">
        <v>46250</v>
      </c>
      <c r="S55">
        <v>2</v>
      </c>
      <c r="T55">
        <v>120</v>
      </c>
      <c r="U55">
        <v>15.789473684210527</v>
      </c>
      <c r="V55">
        <v>15</v>
      </c>
      <c r="W55">
        <v>20</v>
      </c>
      <c r="X55">
        <v>15</v>
      </c>
      <c r="Y55" t="s">
        <v>83</v>
      </c>
      <c r="Z55" t="s">
        <v>438</v>
      </c>
    </row>
    <row r="56" spans="1:26" x14ac:dyDescent="0.25">
      <c r="A56" t="s">
        <v>414</v>
      </c>
      <c r="B56" t="s">
        <v>22</v>
      </c>
      <c r="C56">
        <v>55</v>
      </c>
      <c r="D56" t="s">
        <v>40</v>
      </c>
      <c r="E56" t="s">
        <v>76</v>
      </c>
      <c r="F56" t="s">
        <v>415</v>
      </c>
      <c r="G56" t="s">
        <v>438</v>
      </c>
      <c r="H56" t="s">
        <v>88</v>
      </c>
      <c r="I56" t="s">
        <v>22</v>
      </c>
      <c r="J56" t="b">
        <v>0</v>
      </c>
      <c r="K56" t="b">
        <v>1</v>
      </c>
      <c r="L56" t="s">
        <v>80</v>
      </c>
      <c r="M56" t="s">
        <v>81</v>
      </c>
      <c r="O56" t="s">
        <v>89</v>
      </c>
      <c r="P56">
        <v>76</v>
      </c>
      <c r="Q56">
        <v>46223</v>
      </c>
      <c r="R56">
        <v>46250</v>
      </c>
      <c r="S56">
        <v>2</v>
      </c>
      <c r="T56">
        <v>152</v>
      </c>
      <c r="U56">
        <v>20</v>
      </c>
      <c r="V56">
        <v>20</v>
      </c>
      <c r="W56">
        <v>20</v>
      </c>
      <c r="X56">
        <v>20</v>
      </c>
      <c r="Y56" t="s">
        <v>89</v>
      </c>
      <c r="Z56" t="s">
        <v>438</v>
      </c>
    </row>
    <row r="57" spans="1:26" x14ac:dyDescent="0.25">
      <c r="A57" t="s">
        <v>544</v>
      </c>
      <c r="B57" t="s">
        <v>22</v>
      </c>
      <c r="C57">
        <v>56</v>
      </c>
      <c r="E57" t="s">
        <v>76</v>
      </c>
      <c r="F57" t="s">
        <v>545</v>
      </c>
      <c r="G57" t="s">
        <v>438</v>
      </c>
      <c r="H57" t="s">
        <v>88</v>
      </c>
      <c r="I57" t="s">
        <v>22</v>
      </c>
      <c r="J57" t="b">
        <v>1</v>
      </c>
      <c r="K57" t="b">
        <v>0</v>
      </c>
      <c r="L57" t="s">
        <v>92</v>
      </c>
      <c r="M57" t="s">
        <v>81</v>
      </c>
      <c r="O57" t="s">
        <v>89</v>
      </c>
      <c r="P57">
        <v>76</v>
      </c>
      <c r="Q57">
        <v>46223</v>
      </c>
      <c r="R57">
        <v>46250</v>
      </c>
      <c r="S57">
        <v>2</v>
      </c>
      <c r="T57">
        <v>152</v>
      </c>
      <c r="U57">
        <v>20</v>
      </c>
      <c r="V57">
        <v>20</v>
      </c>
      <c r="W57">
        <v>20</v>
      </c>
      <c r="X57">
        <v>20</v>
      </c>
      <c r="Y57" t="s">
        <v>89</v>
      </c>
      <c r="Z57" t="s">
        <v>438</v>
      </c>
    </row>
    <row r="58" spans="1:26" x14ac:dyDescent="0.25">
      <c r="A58" t="s">
        <v>546</v>
      </c>
      <c r="B58" t="s">
        <v>22</v>
      </c>
      <c r="C58">
        <v>57</v>
      </c>
      <c r="E58" t="s">
        <v>76</v>
      </c>
      <c r="F58" t="s">
        <v>547</v>
      </c>
      <c r="G58" t="s">
        <v>438</v>
      </c>
      <c r="H58" t="s">
        <v>79</v>
      </c>
      <c r="I58" t="s">
        <v>22</v>
      </c>
      <c r="J58" t="b">
        <v>1</v>
      </c>
      <c r="K58" t="b">
        <v>0</v>
      </c>
      <c r="L58" t="s">
        <v>92</v>
      </c>
      <c r="M58" t="s">
        <v>81</v>
      </c>
      <c r="O58" t="s">
        <v>82</v>
      </c>
      <c r="P58">
        <v>32</v>
      </c>
      <c r="Q58">
        <v>46223</v>
      </c>
      <c r="R58">
        <v>46250</v>
      </c>
      <c r="S58">
        <v>2</v>
      </c>
      <c r="T58">
        <v>64</v>
      </c>
      <c r="U58">
        <v>8.4210526315789469</v>
      </c>
      <c r="V58">
        <v>8</v>
      </c>
      <c r="W58">
        <v>20</v>
      </c>
      <c r="X58">
        <v>8</v>
      </c>
      <c r="Y58" t="s">
        <v>83</v>
      </c>
      <c r="Z58" t="s">
        <v>438</v>
      </c>
    </row>
    <row r="59" spans="1:26" x14ac:dyDescent="0.25">
      <c r="A59" t="s">
        <v>548</v>
      </c>
      <c r="B59" t="s">
        <v>22</v>
      </c>
      <c r="C59">
        <v>58</v>
      </c>
      <c r="E59" t="s">
        <v>76</v>
      </c>
      <c r="F59" t="s">
        <v>549</v>
      </c>
      <c r="G59" t="s">
        <v>438</v>
      </c>
      <c r="H59" t="s">
        <v>88</v>
      </c>
      <c r="I59" t="s">
        <v>22</v>
      </c>
      <c r="J59" t="b">
        <v>1</v>
      </c>
      <c r="K59" t="b">
        <v>0</v>
      </c>
      <c r="L59" t="s">
        <v>92</v>
      </c>
      <c r="M59" t="s">
        <v>81</v>
      </c>
      <c r="O59" t="s">
        <v>89</v>
      </c>
      <c r="P59">
        <v>76</v>
      </c>
      <c r="Q59">
        <v>46223</v>
      </c>
      <c r="R59">
        <v>46250</v>
      </c>
      <c r="S59">
        <v>2</v>
      </c>
      <c r="T59">
        <v>152</v>
      </c>
      <c r="U59">
        <v>20</v>
      </c>
      <c r="V59">
        <v>20</v>
      </c>
      <c r="W59">
        <v>20</v>
      </c>
      <c r="X59">
        <v>20</v>
      </c>
      <c r="Y59" t="s">
        <v>89</v>
      </c>
      <c r="Z59" t="s">
        <v>438</v>
      </c>
    </row>
    <row r="60" spans="1:26" x14ac:dyDescent="0.25">
      <c r="A60" t="s">
        <v>550</v>
      </c>
      <c r="B60" t="s">
        <v>22</v>
      </c>
      <c r="C60">
        <v>59</v>
      </c>
      <c r="E60" t="s">
        <v>76</v>
      </c>
      <c r="F60" t="s">
        <v>551</v>
      </c>
      <c r="G60" t="s">
        <v>438</v>
      </c>
      <c r="H60" t="s">
        <v>88</v>
      </c>
      <c r="I60" t="s">
        <v>22</v>
      </c>
      <c r="J60" t="b">
        <v>1</v>
      </c>
      <c r="K60" t="b">
        <v>0</v>
      </c>
      <c r="L60" t="s">
        <v>92</v>
      </c>
      <c r="M60" t="s">
        <v>81</v>
      </c>
      <c r="O60" t="s">
        <v>89</v>
      </c>
      <c r="P60">
        <v>76</v>
      </c>
      <c r="Q60">
        <v>46223</v>
      </c>
      <c r="R6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89</v>
      </c>
      <c r="Z60" t="s">
        <v>438</v>
      </c>
    </row>
    <row r="61" spans="1:26" x14ac:dyDescent="0.25">
      <c r="A61" t="s">
        <v>552</v>
      </c>
      <c r="B61" t="s">
        <v>22</v>
      </c>
      <c r="C61">
        <v>60</v>
      </c>
      <c r="E61" t="s">
        <v>76</v>
      </c>
      <c r="F61" t="s">
        <v>553</v>
      </c>
      <c r="G61" t="s">
        <v>438</v>
      </c>
      <c r="H61" t="s">
        <v>79</v>
      </c>
      <c r="I61" t="s">
        <v>22</v>
      </c>
      <c r="J61" t="b">
        <v>1</v>
      </c>
      <c r="K61" t="b">
        <v>1</v>
      </c>
      <c r="L61" t="s">
        <v>95</v>
      </c>
      <c r="M61" t="s">
        <v>81</v>
      </c>
      <c r="O61" t="s">
        <v>82</v>
      </c>
      <c r="P61">
        <v>64</v>
      </c>
      <c r="Q61">
        <v>46223</v>
      </c>
      <c r="R61">
        <v>46250</v>
      </c>
      <c r="S61">
        <v>2</v>
      </c>
      <c r="T61">
        <v>128</v>
      </c>
      <c r="U61">
        <v>16.842105263157894</v>
      </c>
      <c r="V61">
        <v>16</v>
      </c>
      <c r="W61">
        <v>20</v>
      </c>
      <c r="X61">
        <v>16</v>
      </c>
      <c r="Y61" t="s">
        <v>83</v>
      </c>
      <c r="Z61" t="s">
        <v>438</v>
      </c>
    </row>
    <row r="62" spans="1:26" x14ac:dyDescent="0.25">
      <c r="A62" t="s">
        <v>554</v>
      </c>
      <c r="B62" t="s">
        <v>22</v>
      </c>
      <c r="C62">
        <v>61</v>
      </c>
      <c r="E62" t="s">
        <v>76</v>
      </c>
      <c r="F62" t="s">
        <v>555</v>
      </c>
      <c r="G62" t="s">
        <v>438</v>
      </c>
      <c r="H62" t="s">
        <v>79</v>
      </c>
      <c r="I62" t="s">
        <v>22</v>
      </c>
      <c r="J62" t="b">
        <v>1</v>
      </c>
      <c r="K62" t="b">
        <v>1</v>
      </c>
      <c r="L62" t="s">
        <v>95</v>
      </c>
      <c r="M62" t="s">
        <v>81</v>
      </c>
      <c r="O62" t="s">
        <v>82</v>
      </c>
      <c r="P62">
        <v>64</v>
      </c>
      <c r="Q62">
        <v>46223</v>
      </c>
      <c r="R62">
        <v>46250</v>
      </c>
      <c r="S62">
        <v>2</v>
      </c>
      <c r="T62">
        <v>128</v>
      </c>
      <c r="U62">
        <v>16.842105263157894</v>
      </c>
      <c r="V62">
        <v>16</v>
      </c>
      <c r="W62">
        <v>20</v>
      </c>
      <c r="X62">
        <v>16</v>
      </c>
      <c r="Y62" t="s">
        <v>83</v>
      </c>
      <c r="Z62" t="s">
        <v>438</v>
      </c>
    </row>
    <row r="63" spans="1:26" x14ac:dyDescent="0.25">
      <c r="A63" t="s">
        <v>556</v>
      </c>
      <c r="B63" t="s">
        <v>22</v>
      </c>
      <c r="C63">
        <v>62</v>
      </c>
      <c r="D63" t="s">
        <v>40</v>
      </c>
      <c r="E63" t="s">
        <v>76</v>
      </c>
      <c r="F63" t="s">
        <v>557</v>
      </c>
      <c r="G63" t="s">
        <v>438</v>
      </c>
      <c r="H63" t="s">
        <v>110</v>
      </c>
      <c r="I63" t="s">
        <v>22</v>
      </c>
      <c r="J63" t="b">
        <v>0</v>
      </c>
      <c r="K63" t="b">
        <v>1</v>
      </c>
      <c r="L63" t="s">
        <v>80</v>
      </c>
      <c r="M63" t="s">
        <v>81</v>
      </c>
      <c r="O63" t="s">
        <v>82</v>
      </c>
      <c r="P63">
        <v>76</v>
      </c>
      <c r="Q63">
        <v>46223</v>
      </c>
      <c r="R63">
        <v>46250</v>
      </c>
      <c r="S63">
        <v>2</v>
      </c>
      <c r="T63">
        <v>152</v>
      </c>
      <c r="U63">
        <v>20</v>
      </c>
      <c r="V63">
        <v>20</v>
      </c>
      <c r="W63">
        <v>20</v>
      </c>
      <c r="X63">
        <v>20</v>
      </c>
      <c r="Y63" t="s">
        <v>111</v>
      </c>
      <c r="Z63" t="s">
        <v>438</v>
      </c>
    </row>
    <row r="64" spans="1:26" x14ac:dyDescent="0.25">
      <c r="A64" t="s">
        <v>558</v>
      </c>
      <c r="B64" t="s">
        <v>22</v>
      </c>
      <c r="C64">
        <v>63</v>
      </c>
      <c r="D64" t="s">
        <v>40</v>
      </c>
      <c r="E64" t="s">
        <v>76</v>
      </c>
      <c r="F64" t="s">
        <v>559</v>
      </c>
      <c r="G64" t="s">
        <v>438</v>
      </c>
      <c r="H64" t="s">
        <v>79</v>
      </c>
      <c r="I64" t="s">
        <v>22</v>
      </c>
      <c r="J64" t="b">
        <v>1</v>
      </c>
      <c r="K64" t="b">
        <v>0</v>
      </c>
      <c r="L64" t="s">
        <v>92</v>
      </c>
      <c r="M64" t="s">
        <v>81</v>
      </c>
      <c r="O64" t="s">
        <v>82</v>
      </c>
      <c r="P64">
        <v>60</v>
      </c>
      <c r="Q64">
        <v>46223</v>
      </c>
      <c r="R64">
        <v>46250</v>
      </c>
      <c r="S64">
        <v>2</v>
      </c>
      <c r="T64">
        <v>120</v>
      </c>
      <c r="U64">
        <v>15.789473684210527</v>
      </c>
      <c r="V64">
        <v>15</v>
      </c>
      <c r="W64">
        <v>20</v>
      </c>
      <c r="X64">
        <v>15</v>
      </c>
      <c r="Y64" t="s">
        <v>83</v>
      </c>
      <c r="Z64" t="s">
        <v>438</v>
      </c>
    </row>
    <row r="65" spans="1:26" x14ac:dyDescent="0.25">
      <c r="A65" t="s">
        <v>560</v>
      </c>
      <c r="B65" t="s">
        <v>31</v>
      </c>
      <c r="C65">
        <v>64</v>
      </c>
      <c r="E65" t="s">
        <v>76</v>
      </c>
      <c r="F65" t="s">
        <v>561</v>
      </c>
      <c r="G65" t="s">
        <v>438</v>
      </c>
      <c r="H65" t="s">
        <v>88</v>
      </c>
      <c r="I65" t="s">
        <v>31</v>
      </c>
      <c r="J65" t="b">
        <v>1</v>
      </c>
      <c r="K65" t="b">
        <v>0</v>
      </c>
      <c r="L65" t="s">
        <v>92</v>
      </c>
      <c r="M65" t="s">
        <v>81</v>
      </c>
      <c r="O65" t="s">
        <v>89</v>
      </c>
      <c r="P65">
        <v>76</v>
      </c>
      <c r="Q65">
        <v>46223</v>
      </c>
      <c r="R65">
        <v>46250</v>
      </c>
      <c r="S65">
        <v>2</v>
      </c>
      <c r="T65">
        <v>152</v>
      </c>
      <c r="U65">
        <v>20</v>
      </c>
      <c r="V65">
        <v>20</v>
      </c>
      <c r="W65">
        <v>20</v>
      </c>
      <c r="X65">
        <v>20</v>
      </c>
      <c r="Y65" t="s">
        <v>89</v>
      </c>
      <c r="Z65" t="s">
        <v>438</v>
      </c>
    </row>
    <row r="66" spans="1:26" x14ac:dyDescent="0.25">
      <c r="A66" t="s">
        <v>562</v>
      </c>
      <c r="B66" t="s">
        <v>22</v>
      </c>
      <c r="C66">
        <v>65</v>
      </c>
      <c r="D66" t="s">
        <v>40</v>
      </c>
      <c r="E66" t="s">
        <v>76</v>
      </c>
      <c r="F66" t="s">
        <v>563</v>
      </c>
      <c r="G66" t="s">
        <v>438</v>
      </c>
      <c r="H66" t="s">
        <v>88</v>
      </c>
      <c r="I66" t="s">
        <v>22</v>
      </c>
      <c r="J66" t="b">
        <v>0</v>
      </c>
      <c r="K66" t="b">
        <v>1</v>
      </c>
      <c r="L66" t="s">
        <v>80</v>
      </c>
      <c r="M66" t="s">
        <v>81</v>
      </c>
      <c r="O66" t="s">
        <v>89</v>
      </c>
      <c r="P66">
        <v>76</v>
      </c>
      <c r="Q66">
        <v>46223</v>
      </c>
      <c r="R66">
        <v>46250</v>
      </c>
      <c r="S66">
        <v>2</v>
      </c>
      <c r="T66">
        <v>152</v>
      </c>
      <c r="U66">
        <v>20</v>
      </c>
      <c r="V66">
        <v>20</v>
      </c>
      <c r="W66">
        <v>20</v>
      </c>
      <c r="X66">
        <v>20</v>
      </c>
      <c r="Y66" t="s">
        <v>89</v>
      </c>
      <c r="Z66" t="s">
        <v>438</v>
      </c>
    </row>
    <row r="67" spans="1:26" x14ac:dyDescent="0.25">
      <c r="A67" t="s">
        <v>564</v>
      </c>
      <c r="B67" t="s">
        <v>22</v>
      </c>
      <c r="C67">
        <v>66</v>
      </c>
      <c r="D67" t="s">
        <v>40</v>
      </c>
      <c r="E67" t="s">
        <v>76</v>
      </c>
      <c r="F67" t="s">
        <v>565</v>
      </c>
      <c r="G67" t="s">
        <v>438</v>
      </c>
      <c r="H67" t="s">
        <v>88</v>
      </c>
      <c r="I67" t="s">
        <v>22</v>
      </c>
      <c r="J67" t="b">
        <v>0</v>
      </c>
      <c r="K67" t="b">
        <v>1</v>
      </c>
      <c r="L67" t="s">
        <v>80</v>
      </c>
      <c r="M67" t="s">
        <v>81</v>
      </c>
      <c r="O67" t="s">
        <v>89</v>
      </c>
      <c r="P67">
        <v>76</v>
      </c>
      <c r="Q67">
        <v>46223</v>
      </c>
      <c r="R67">
        <v>46250</v>
      </c>
      <c r="S67">
        <v>2</v>
      </c>
      <c r="T67">
        <v>152</v>
      </c>
      <c r="U67">
        <v>20</v>
      </c>
      <c r="V67">
        <v>20</v>
      </c>
      <c r="W67">
        <v>20</v>
      </c>
      <c r="X67">
        <v>20</v>
      </c>
      <c r="Y67" t="s">
        <v>89</v>
      </c>
      <c r="Z67" t="s">
        <v>438</v>
      </c>
    </row>
    <row r="68" spans="1:26" x14ac:dyDescent="0.25">
      <c r="A68" t="s">
        <v>566</v>
      </c>
      <c r="B68" t="s">
        <v>22</v>
      </c>
      <c r="C68">
        <v>67</v>
      </c>
      <c r="D68" t="s">
        <v>40</v>
      </c>
      <c r="E68" t="s">
        <v>76</v>
      </c>
      <c r="F68" t="s">
        <v>567</v>
      </c>
      <c r="G68" t="s">
        <v>438</v>
      </c>
      <c r="H68" t="s">
        <v>88</v>
      </c>
      <c r="I68" t="s">
        <v>22</v>
      </c>
      <c r="J68" t="b">
        <v>0</v>
      </c>
      <c r="K68" t="b">
        <v>1</v>
      </c>
      <c r="L68" t="s">
        <v>80</v>
      </c>
      <c r="M68" t="s">
        <v>81</v>
      </c>
      <c r="O68" t="s">
        <v>89</v>
      </c>
      <c r="P68">
        <v>76</v>
      </c>
      <c r="Q68">
        <v>46223</v>
      </c>
      <c r="R68">
        <v>46250</v>
      </c>
      <c r="S68">
        <v>2</v>
      </c>
      <c r="T68">
        <v>152</v>
      </c>
      <c r="U68">
        <v>20</v>
      </c>
      <c r="V68">
        <v>20</v>
      </c>
      <c r="W68">
        <v>20</v>
      </c>
      <c r="X68">
        <v>20</v>
      </c>
      <c r="Y68" t="s">
        <v>89</v>
      </c>
      <c r="Z68" t="s">
        <v>438</v>
      </c>
    </row>
    <row r="69" spans="1:26" x14ac:dyDescent="0.25">
      <c r="A69" t="s">
        <v>568</v>
      </c>
      <c r="B69" t="s">
        <v>22</v>
      </c>
      <c r="C69">
        <v>68</v>
      </c>
      <c r="E69" t="s">
        <v>76</v>
      </c>
      <c r="F69" t="s">
        <v>569</v>
      </c>
      <c r="G69" t="s">
        <v>438</v>
      </c>
      <c r="H69" t="s">
        <v>110</v>
      </c>
      <c r="I69" t="s">
        <v>22</v>
      </c>
      <c r="J69" t="b">
        <v>1</v>
      </c>
      <c r="K69" t="b">
        <v>1</v>
      </c>
      <c r="L69" t="s">
        <v>95</v>
      </c>
      <c r="M69" t="s">
        <v>81</v>
      </c>
      <c r="O69" t="s">
        <v>82</v>
      </c>
      <c r="P69">
        <v>76</v>
      </c>
      <c r="Q69">
        <v>46223</v>
      </c>
      <c r="R69">
        <v>46250</v>
      </c>
      <c r="S69">
        <v>2</v>
      </c>
      <c r="T69">
        <v>152</v>
      </c>
      <c r="U69">
        <v>20</v>
      </c>
      <c r="V69">
        <v>20</v>
      </c>
      <c r="W69">
        <v>20</v>
      </c>
      <c r="X69">
        <v>20</v>
      </c>
      <c r="Y69" t="s">
        <v>111</v>
      </c>
      <c r="Z69" t="s">
        <v>438</v>
      </c>
    </row>
    <row r="70" spans="1:26" x14ac:dyDescent="0.25">
      <c r="A70" t="s">
        <v>570</v>
      </c>
      <c r="B70" t="s">
        <v>22</v>
      </c>
      <c r="C70">
        <v>69</v>
      </c>
      <c r="E70" t="s">
        <v>76</v>
      </c>
      <c r="F70" t="s">
        <v>571</v>
      </c>
      <c r="G70" t="s">
        <v>438</v>
      </c>
      <c r="H70" t="s">
        <v>110</v>
      </c>
      <c r="I70" t="s">
        <v>22</v>
      </c>
      <c r="J70" t="b">
        <v>1</v>
      </c>
      <c r="K70" t="b">
        <v>0</v>
      </c>
      <c r="L70" t="s">
        <v>92</v>
      </c>
      <c r="M70" t="s">
        <v>81</v>
      </c>
      <c r="O70" t="s">
        <v>82</v>
      </c>
      <c r="P70">
        <v>76</v>
      </c>
      <c r="Q70">
        <v>46223</v>
      </c>
      <c r="R70">
        <v>46250</v>
      </c>
      <c r="S70">
        <v>2</v>
      </c>
      <c r="T70">
        <v>152</v>
      </c>
      <c r="U70">
        <v>20</v>
      </c>
      <c r="V70">
        <v>20</v>
      </c>
      <c r="W70">
        <v>20</v>
      </c>
      <c r="X70">
        <v>20</v>
      </c>
      <c r="Y70" t="s">
        <v>111</v>
      </c>
      <c r="Z70" t="s">
        <v>438</v>
      </c>
    </row>
    <row r="71" spans="1:26" x14ac:dyDescent="0.25">
      <c r="A71" t="s">
        <v>572</v>
      </c>
      <c r="B71" t="s">
        <v>29</v>
      </c>
      <c r="C71">
        <v>70</v>
      </c>
      <c r="E71" t="s">
        <v>76</v>
      </c>
      <c r="F71" t="s">
        <v>573</v>
      </c>
      <c r="G71" t="s">
        <v>438</v>
      </c>
      <c r="H71" t="s">
        <v>110</v>
      </c>
      <c r="I71" t="s">
        <v>29</v>
      </c>
      <c r="J71" t="b">
        <v>1</v>
      </c>
      <c r="K71" t="b">
        <v>0</v>
      </c>
      <c r="L71" t="s">
        <v>92</v>
      </c>
      <c r="M71" t="s">
        <v>81</v>
      </c>
      <c r="O71" t="s">
        <v>82</v>
      </c>
      <c r="P71">
        <v>76</v>
      </c>
      <c r="Q71">
        <v>46223</v>
      </c>
      <c r="R71">
        <v>46250</v>
      </c>
      <c r="S71">
        <v>2</v>
      </c>
      <c r="T71">
        <v>152</v>
      </c>
      <c r="U71">
        <v>20</v>
      </c>
      <c r="V71">
        <v>20</v>
      </c>
      <c r="W71">
        <v>20</v>
      </c>
      <c r="X71">
        <v>20</v>
      </c>
      <c r="Y71" t="s">
        <v>111</v>
      </c>
      <c r="Z71" t="s">
        <v>438</v>
      </c>
    </row>
    <row r="72" spans="1:26" x14ac:dyDescent="0.25">
      <c r="A72" t="s">
        <v>574</v>
      </c>
      <c r="B72" t="s">
        <v>22</v>
      </c>
      <c r="C72">
        <v>71</v>
      </c>
      <c r="E72" t="s">
        <v>76</v>
      </c>
      <c r="F72" t="s">
        <v>575</v>
      </c>
      <c r="G72" t="s">
        <v>438</v>
      </c>
      <c r="H72" t="s">
        <v>88</v>
      </c>
      <c r="I72" t="s">
        <v>22</v>
      </c>
      <c r="J72" t="b">
        <v>1</v>
      </c>
      <c r="K72" t="b">
        <v>0</v>
      </c>
      <c r="L72" t="s">
        <v>92</v>
      </c>
      <c r="M72" t="s">
        <v>81</v>
      </c>
      <c r="O72" t="s">
        <v>89</v>
      </c>
      <c r="P72">
        <v>76</v>
      </c>
      <c r="Q72">
        <v>46223</v>
      </c>
      <c r="R72">
        <v>46250</v>
      </c>
      <c r="S72">
        <v>2</v>
      </c>
      <c r="T72">
        <v>152</v>
      </c>
      <c r="U72">
        <v>20</v>
      </c>
      <c r="V72">
        <v>20</v>
      </c>
      <c r="W72">
        <v>20</v>
      </c>
      <c r="X72">
        <v>20</v>
      </c>
      <c r="Y72" t="s">
        <v>89</v>
      </c>
      <c r="Z72" t="s">
        <v>438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C063-826B-440C-995B-DC6D270AC2B7}">
  <sheetPr>
    <tabColor rgb="FFFFFF00"/>
  </sheetPr>
  <dimension ref="A1:D33"/>
  <sheetViews>
    <sheetView workbookViewId="0">
      <selection activeCell="B11" sqref="B1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1" t="s">
        <v>0</v>
      </c>
      <c r="B1" s="11" t="str" cm="1">
        <f t="array" aca="1" ref="B1" ca="1">CELL("filename")</f>
        <v>C:\Users\Alex\CentriNOTSYNC\ResidentialCare\CLIENT\DATExx-Whiddon\2. Calculations\E-O-I\[StafMasterList-All.xlsx]Table_Masterlist</v>
      </c>
    </row>
    <row r="2" spans="1:4" x14ac:dyDescent="0.25">
      <c r="A2" s="3"/>
      <c r="B2" s="3"/>
    </row>
    <row r="3" spans="1:4" x14ac:dyDescent="0.25">
      <c r="A3" s="2" t="s">
        <v>16</v>
      </c>
      <c r="B3" s="2" t="s">
        <v>17</v>
      </c>
    </row>
    <row r="4" spans="1:4" ht="15" x14ac:dyDescent="0.25">
      <c r="A4" t="s">
        <v>41</v>
      </c>
      <c r="B4" t="s">
        <v>46</v>
      </c>
    </row>
    <row r="5" spans="1:4" ht="15" x14ac:dyDescent="0.25">
      <c r="A5" t="s">
        <v>18</v>
      </c>
      <c r="B5" t="s">
        <v>47</v>
      </c>
    </row>
    <row r="6" spans="1:4" ht="15" x14ac:dyDescent="0.25">
      <c r="A6" t="s">
        <v>42</v>
      </c>
      <c r="B6" t="s">
        <v>45</v>
      </c>
    </row>
    <row r="7" spans="1:4" ht="15" x14ac:dyDescent="0.25">
      <c r="A7" t="s">
        <v>1</v>
      </c>
      <c r="B7" t="s">
        <v>48</v>
      </c>
    </row>
    <row r="8" spans="1:4" ht="15" x14ac:dyDescent="0.25">
      <c r="A8" t="s">
        <v>8</v>
      </c>
      <c r="B8" t="s">
        <v>49</v>
      </c>
    </row>
    <row r="9" spans="1:4" ht="15" x14ac:dyDescent="0.25">
      <c r="A9" t="s">
        <v>43</v>
      </c>
      <c r="B9"/>
    </row>
    <row r="10" spans="1:4" ht="15" x14ac:dyDescent="0.25">
      <c r="A10" t="s">
        <v>23</v>
      </c>
      <c r="B10" t="s">
        <v>44</v>
      </c>
    </row>
    <row r="11" spans="1:4" ht="15" x14ac:dyDescent="0.25">
      <c r="A11" t="s">
        <v>50</v>
      </c>
      <c r="B11" t="s">
        <v>51</v>
      </c>
    </row>
    <row r="12" spans="1:4" ht="15" x14ac:dyDescent="0.25">
      <c r="A12" t="s">
        <v>52</v>
      </c>
      <c r="B12" t="s">
        <v>53</v>
      </c>
      <c r="D12" s="1"/>
    </row>
    <row r="14" spans="1:4" x14ac:dyDescent="0.25">
      <c r="B14" s="1"/>
    </row>
    <row r="17" spans="1:3" x14ac:dyDescent="0.25">
      <c r="A17" s="3"/>
      <c r="B17" s="3"/>
    </row>
    <row r="18" spans="1:3" x14ac:dyDescent="0.25">
      <c r="A18" s="4"/>
      <c r="B18" s="3"/>
    </row>
    <row r="19" spans="1:3" x14ac:dyDescent="0.25">
      <c r="A19" s="3"/>
      <c r="B19" s="3"/>
    </row>
    <row r="20" spans="1:3" x14ac:dyDescent="0.25">
      <c r="A20" s="3"/>
      <c r="B20" s="3"/>
      <c r="C20" s="6"/>
    </row>
    <row r="21" spans="1:3" ht="15" x14ac:dyDescent="0.25">
      <c r="A21" s="5"/>
      <c r="B21"/>
      <c r="C21" s="6"/>
    </row>
    <row r="22" spans="1:3" x14ac:dyDescent="0.25">
      <c r="A22" s="3"/>
      <c r="B22" s="3"/>
      <c r="C22" s="6"/>
    </row>
    <row r="23" spans="1:3" x14ac:dyDescent="0.25">
      <c r="C23" s="6"/>
    </row>
    <row r="24" spans="1:3" x14ac:dyDescent="0.25">
      <c r="C24" s="7"/>
    </row>
    <row r="25" spans="1:3" x14ac:dyDescent="0.25">
      <c r="C25" s="6"/>
    </row>
    <row r="26" spans="1:3" x14ac:dyDescent="0.25">
      <c r="A26" s="1"/>
      <c r="B26" s="1"/>
      <c r="C26" s="6"/>
    </row>
    <row r="27" spans="1:3" x14ac:dyDescent="0.25">
      <c r="C27" s="6"/>
    </row>
    <row r="28" spans="1:3" x14ac:dyDescent="0.25">
      <c r="A28" s="6"/>
      <c r="B28" s="6"/>
    </row>
    <row r="29" spans="1:3" x14ac:dyDescent="0.25">
      <c r="A29" s="6"/>
      <c r="B29" s="6"/>
    </row>
    <row r="33" spans="2:2" x14ac:dyDescent="0.25">
      <c r="B33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35C5-21FB-4FF1-8C3C-B783F95A2164}">
  <dimension ref="A1:AA252"/>
  <sheetViews>
    <sheetView topLeftCell="J1" workbookViewId="0">
      <selection activeCell="T282" sqref="T282"/>
    </sheetView>
  </sheetViews>
  <sheetFormatPr defaultRowHeight="15" x14ac:dyDescent="0.25"/>
  <cols>
    <col min="1" max="1" width="25.14062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customWidth="1"/>
    <col min="27" max="27" width="11.42578125" bestFit="1" customWidth="1"/>
  </cols>
  <sheetData>
    <row r="1" spans="1:27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  <c r="AA1" t="s">
        <v>576</v>
      </c>
    </row>
    <row r="2" spans="1:27" x14ac:dyDescent="0.25">
      <c r="A2" t="s">
        <v>75</v>
      </c>
      <c r="B2" t="s">
        <v>22</v>
      </c>
      <c r="C2">
        <v>1</v>
      </c>
      <c r="D2" t="s">
        <v>40</v>
      </c>
      <c r="E2" t="s">
        <v>76</v>
      </c>
      <c r="F2" t="s">
        <v>77</v>
      </c>
      <c r="G2" t="s">
        <v>78</v>
      </c>
      <c r="H2" t="s">
        <v>79</v>
      </c>
      <c r="I2" t="s">
        <v>22</v>
      </c>
      <c r="J2" t="b">
        <v>0</v>
      </c>
      <c r="K2" t="b">
        <v>1</v>
      </c>
      <c r="L2" t="s">
        <v>80</v>
      </c>
      <c r="M2" t="s">
        <v>81</v>
      </c>
      <c r="O2" t="s">
        <v>82</v>
      </c>
      <c r="P2">
        <v>72.5</v>
      </c>
      <c r="Q2">
        <v>46223</v>
      </c>
      <c r="R2">
        <v>46250</v>
      </c>
      <c r="S2">
        <v>2</v>
      </c>
      <c r="T2">
        <v>145</v>
      </c>
      <c r="U2">
        <v>19.078947368421055</v>
      </c>
      <c r="V2">
        <v>19</v>
      </c>
      <c r="W2">
        <v>20</v>
      </c>
      <c r="X2">
        <v>19</v>
      </c>
      <c r="Y2" t="s">
        <v>83</v>
      </c>
      <c r="Z2" t="s">
        <v>78</v>
      </c>
      <c r="AA2" t="str">
        <f>MasterStaffList_All[[#This Row],[Facility]]&amp;MasterStaffList_All[[#This Row],[Role]]&amp;MasterStaffList_All[[#This Row],[Resource]]</f>
        <v>BDAIN1</v>
      </c>
    </row>
    <row r="3" spans="1:27" hidden="1" x14ac:dyDescent="0.25">
      <c r="A3" t="s">
        <v>286</v>
      </c>
      <c r="B3" t="s">
        <v>22</v>
      </c>
      <c r="C3">
        <v>100</v>
      </c>
      <c r="E3" t="s">
        <v>76</v>
      </c>
      <c r="F3" t="s">
        <v>287</v>
      </c>
      <c r="G3" t="s">
        <v>78</v>
      </c>
      <c r="H3" t="s">
        <v>79</v>
      </c>
      <c r="I3" t="s">
        <v>22</v>
      </c>
      <c r="J3" t="b">
        <v>1</v>
      </c>
      <c r="K3" t="b">
        <v>1</v>
      </c>
      <c r="L3" t="s">
        <v>95</v>
      </c>
      <c r="M3" t="s">
        <v>81</v>
      </c>
      <c r="O3" t="s">
        <v>82</v>
      </c>
      <c r="P3">
        <v>45</v>
      </c>
      <c r="Q3">
        <v>46223</v>
      </c>
      <c r="R3">
        <v>46250</v>
      </c>
      <c r="S3">
        <v>2</v>
      </c>
      <c r="T3">
        <v>90</v>
      </c>
      <c r="U3">
        <v>11.842105263157896</v>
      </c>
      <c r="V3">
        <v>11</v>
      </c>
      <c r="W3">
        <v>20</v>
      </c>
      <c r="X3">
        <v>11</v>
      </c>
      <c r="Y3" t="s">
        <v>83</v>
      </c>
      <c r="Z3" t="s">
        <v>78</v>
      </c>
      <c r="AA3" t="str">
        <f>MasterStaffList_All[[#This Row],[Facility]]&amp;MasterStaffList_All[[#This Row],[Role]]&amp;MasterStaffList_All[[#This Row],[Resource]]</f>
        <v>BDAIN100</v>
      </c>
    </row>
    <row r="4" spans="1:27" hidden="1" x14ac:dyDescent="0.25">
      <c r="A4" t="s">
        <v>292</v>
      </c>
      <c r="B4" t="s">
        <v>22</v>
      </c>
      <c r="C4">
        <v>103</v>
      </c>
      <c r="E4" t="s">
        <v>76</v>
      </c>
      <c r="F4" t="s">
        <v>293</v>
      </c>
      <c r="G4" t="s">
        <v>78</v>
      </c>
      <c r="H4" t="s">
        <v>79</v>
      </c>
      <c r="I4" t="s">
        <v>22</v>
      </c>
      <c r="J4" t="b">
        <v>1</v>
      </c>
      <c r="K4" t="b">
        <v>1</v>
      </c>
      <c r="L4" t="s">
        <v>95</v>
      </c>
      <c r="M4" t="s">
        <v>81</v>
      </c>
      <c r="O4" t="s">
        <v>82</v>
      </c>
      <c r="P4">
        <v>60</v>
      </c>
      <c r="Q4">
        <v>46223</v>
      </c>
      <c r="R4">
        <v>46250</v>
      </c>
      <c r="S4">
        <v>2</v>
      </c>
      <c r="T4">
        <v>120</v>
      </c>
      <c r="U4">
        <v>15.789473684210527</v>
      </c>
      <c r="V4">
        <v>15</v>
      </c>
      <c r="W4">
        <v>20</v>
      </c>
      <c r="X4">
        <v>15</v>
      </c>
      <c r="Y4" t="s">
        <v>83</v>
      </c>
      <c r="Z4" t="s">
        <v>78</v>
      </c>
      <c r="AA4" t="str">
        <f>MasterStaffList_All[[#This Row],[Facility]]&amp;MasterStaffList_All[[#This Row],[Role]]&amp;MasterStaffList_All[[#This Row],[Resource]]</f>
        <v>BDAIN103</v>
      </c>
    </row>
    <row r="5" spans="1:27" hidden="1" x14ac:dyDescent="0.25">
      <c r="A5" t="s">
        <v>294</v>
      </c>
      <c r="B5" t="s">
        <v>22</v>
      </c>
      <c r="C5">
        <v>104</v>
      </c>
      <c r="E5" t="s">
        <v>76</v>
      </c>
      <c r="F5" t="s">
        <v>295</v>
      </c>
      <c r="G5" t="s">
        <v>78</v>
      </c>
      <c r="H5" t="s">
        <v>79</v>
      </c>
      <c r="I5" t="s">
        <v>22</v>
      </c>
      <c r="J5" t="b">
        <v>1</v>
      </c>
      <c r="K5" t="b">
        <v>1</v>
      </c>
      <c r="L5" t="s">
        <v>95</v>
      </c>
      <c r="M5" t="s">
        <v>81</v>
      </c>
      <c r="O5" t="s">
        <v>82</v>
      </c>
      <c r="P5">
        <v>75</v>
      </c>
      <c r="Q5">
        <v>46223</v>
      </c>
      <c r="R5">
        <v>46250</v>
      </c>
      <c r="S5">
        <v>2</v>
      </c>
      <c r="T5">
        <v>150</v>
      </c>
      <c r="U5">
        <v>19.736842105263161</v>
      </c>
      <c r="V5">
        <v>19</v>
      </c>
      <c r="W5">
        <v>20</v>
      </c>
      <c r="X5">
        <v>19</v>
      </c>
      <c r="Y5" t="s">
        <v>83</v>
      </c>
      <c r="Z5" t="s">
        <v>78</v>
      </c>
      <c r="AA5" t="str">
        <f>MasterStaffList_All[[#This Row],[Facility]]&amp;MasterStaffList_All[[#This Row],[Role]]&amp;MasterStaffList_All[[#This Row],[Resource]]</f>
        <v>BDAIN104</v>
      </c>
    </row>
    <row r="6" spans="1:27" hidden="1" x14ac:dyDescent="0.25">
      <c r="A6" t="s">
        <v>296</v>
      </c>
      <c r="B6" t="s">
        <v>22</v>
      </c>
      <c r="C6">
        <v>105</v>
      </c>
      <c r="E6" t="s">
        <v>76</v>
      </c>
      <c r="F6" t="s">
        <v>297</v>
      </c>
      <c r="G6" t="s">
        <v>78</v>
      </c>
      <c r="H6" t="s">
        <v>79</v>
      </c>
      <c r="I6" t="s">
        <v>22</v>
      </c>
      <c r="J6" t="b">
        <v>1</v>
      </c>
      <c r="K6" t="b">
        <v>1</v>
      </c>
      <c r="L6" t="s">
        <v>95</v>
      </c>
      <c r="M6" t="s">
        <v>81</v>
      </c>
      <c r="O6" t="s">
        <v>82</v>
      </c>
      <c r="P6">
        <v>67.5</v>
      </c>
      <c r="Q6">
        <v>46223</v>
      </c>
      <c r="R6">
        <v>46250</v>
      </c>
      <c r="S6">
        <v>2</v>
      </c>
      <c r="T6">
        <v>135</v>
      </c>
      <c r="U6">
        <v>17.763157894736842</v>
      </c>
      <c r="V6">
        <v>17</v>
      </c>
      <c r="W6">
        <v>20</v>
      </c>
      <c r="X6">
        <v>17</v>
      </c>
      <c r="Y6" t="s">
        <v>83</v>
      </c>
      <c r="Z6" t="s">
        <v>78</v>
      </c>
      <c r="AA6" t="str">
        <f>MasterStaffList_All[[#This Row],[Facility]]&amp;MasterStaffList_All[[#This Row],[Role]]&amp;MasterStaffList_All[[#This Row],[Resource]]</f>
        <v>BDAIN105</v>
      </c>
    </row>
    <row r="7" spans="1:27" hidden="1" x14ac:dyDescent="0.25">
      <c r="A7" t="s">
        <v>298</v>
      </c>
      <c r="B7" t="s">
        <v>22</v>
      </c>
      <c r="C7">
        <v>106</v>
      </c>
      <c r="E7" t="s">
        <v>76</v>
      </c>
      <c r="F7" t="s">
        <v>299</v>
      </c>
      <c r="G7" t="s">
        <v>78</v>
      </c>
      <c r="H7" t="s">
        <v>88</v>
      </c>
      <c r="I7" t="s">
        <v>22</v>
      </c>
      <c r="J7" t="b">
        <v>1</v>
      </c>
      <c r="K7" t="b">
        <v>1</v>
      </c>
      <c r="L7" t="s">
        <v>95</v>
      </c>
      <c r="M7" t="s">
        <v>81</v>
      </c>
      <c r="O7" t="s">
        <v>89</v>
      </c>
      <c r="P7">
        <v>76</v>
      </c>
      <c r="Q7">
        <v>46223</v>
      </c>
      <c r="R7">
        <v>46250</v>
      </c>
      <c r="S7">
        <v>2</v>
      </c>
      <c r="T7">
        <v>152</v>
      </c>
      <c r="U7">
        <v>20</v>
      </c>
      <c r="V7">
        <v>20</v>
      </c>
      <c r="W7">
        <v>20</v>
      </c>
      <c r="X7">
        <v>20</v>
      </c>
      <c r="Y7" t="s">
        <v>89</v>
      </c>
      <c r="Z7" t="s">
        <v>78</v>
      </c>
      <c r="AA7" t="str">
        <f>MasterStaffList_All[[#This Row],[Facility]]&amp;MasterStaffList_All[[#This Row],[Role]]&amp;MasterStaffList_All[[#This Row],[Resource]]</f>
        <v>BDAIN106</v>
      </c>
    </row>
    <row r="8" spans="1:27" hidden="1" x14ac:dyDescent="0.25">
      <c r="A8" t="s">
        <v>300</v>
      </c>
      <c r="B8" t="s">
        <v>22</v>
      </c>
      <c r="C8">
        <v>107</v>
      </c>
      <c r="E8" t="s">
        <v>76</v>
      </c>
      <c r="F8" t="s">
        <v>301</v>
      </c>
      <c r="G8" t="s">
        <v>78</v>
      </c>
      <c r="H8" t="s">
        <v>79</v>
      </c>
      <c r="I8" t="s">
        <v>22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30</v>
      </c>
      <c r="Q8">
        <v>46223</v>
      </c>
      <c r="R8">
        <v>46250</v>
      </c>
      <c r="S8">
        <v>2</v>
      </c>
      <c r="T8">
        <v>60</v>
      </c>
      <c r="U8">
        <v>7.8947368421052637</v>
      </c>
      <c r="V8">
        <v>7</v>
      </c>
      <c r="W8">
        <v>20</v>
      </c>
      <c r="X8">
        <v>7</v>
      </c>
      <c r="Y8" t="s">
        <v>83</v>
      </c>
      <c r="Z8" t="s">
        <v>78</v>
      </c>
      <c r="AA8" t="str">
        <f>MasterStaffList_All[[#This Row],[Facility]]&amp;MasterStaffList_All[[#This Row],[Role]]&amp;MasterStaffList_All[[#This Row],[Resource]]</f>
        <v>BDAIN107</v>
      </c>
    </row>
    <row r="9" spans="1:27" hidden="1" x14ac:dyDescent="0.25">
      <c r="A9" t="s">
        <v>304</v>
      </c>
      <c r="B9" t="s">
        <v>22</v>
      </c>
      <c r="C9">
        <v>109</v>
      </c>
      <c r="E9" t="s">
        <v>76</v>
      </c>
      <c r="F9" t="s">
        <v>305</v>
      </c>
      <c r="G9" t="s">
        <v>78</v>
      </c>
      <c r="H9" t="s">
        <v>79</v>
      </c>
      <c r="I9" t="s">
        <v>22</v>
      </c>
      <c r="J9" t="b">
        <v>1</v>
      </c>
      <c r="K9" t="b">
        <v>1</v>
      </c>
      <c r="L9" t="s">
        <v>95</v>
      </c>
      <c r="M9" t="s">
        <v>81</v>
      </c>
      <c r="O9" t="s">
        <v>82</v>
      </c>
      <c r="P9">
        <v>20.5</v>
      </c>
      <c r="Q9">
        <v>46223</v>
      </c>
      <c r="R9">
        <v>46250</v>
      </c>
      <c r="S9">
        <v>2</v>
      </c>
      <c r="T9">
        <v>41</v>
      </c>
      <c r="U9">
        <v>5.3947368421052637</v>
      </c>
      <c r="V9">
        <v>5</v>
      </c>
      <c r="W9">
        <v>20</v>
      </c>
      <c r="X9">
        <v>5</v>
      </c>
      <c r="Y9" t="s">
        <v>83</v>
      </c>
      <c r="Z9" t="s">
        <v>78</v>
      </c>
      <c r="AA9" t="str">
        <f>MasterStaffList_All[[#This Row],[Facility]]&amp;MasterStaffList_All[[#This Row],[Role]]&amp;MasterStaffList_All[[#This Row],[Resource]]</f>
        <v>BDAIN109</v>
      </c>
    </row>
    <row r="10" spans="1:27" hidden="1" x14ac:dyDescent="0.25">
      <c r="A10" t="s">
        <v>106</v>
      </c>
      <c r="B10" t="s">
        <v>22</v>
      </c>
      <c r="C10">
        <v>11</v>
      </c>
      <c r="E10" t="s">
        <v>76</v>
      </c>
      <c r="F10" t="s">
        <v>107</v>
      </c>
      <c r="G10" t="s">
        <v>78</v>
      </c>
      <c r="H10" t="s">
        <v>79</v>
      </c>
      <c r="I10" t="s">
        <v>22</v>
      </c>
      <c r="J10" t="b">
        <v>1</v>
      </c>
      <c r="K10" t="b">
        <v>1</v>
      </c>
      <c r="L10" t="s">
        <v>95</v>
      </c>
      <c r="M10" t="s">
        <v>81</v>
      </c>
      <c r="O10" t="s">
        <v>82</v>
      </c>
      <c r="P10">
        <v>60</v>
      </c>
      <c r="Q10">
        <v>46223</v>
      </c>
      <c r="R10">
        <v>46250</v>
      </c>
      <c r="S10">
        <v>2</v>
      </c>
      <c r="T10">
        <v>120</v>
      </c>
      <c r="U10">
        <v>15.789473684210527</v>
      </c>
      <c r="V10">
        <v>15</v>
      </c>
      <c r="W10">
        <v>20</v>
      </c>
      <c r="X10">
        <v>15</v>
      </c>
      <c r="Y10" t="s">
        <v>83</v>
      </c>
      <c r="Z10" t="s">
        <v>78</v>
      </c>
      <c r="AA10" t="str">
        <f>MasterStaffList_All[[#This Row],[Facility]]&amp;MasterStaffList_All[[#This Row],[Role]]&amp;MasterStaffList_All[[#This Row],[Resource]]</f>
        <v>BDAIN11</v>
      </c>
    </row>
    <row r="11" spans="1:27" hidden="1" x14ac:dyDescent="0.25">
      <c r="A11" t="s">
        <v>306</v>
      </c>
      <c r="B11" t="s">
        <v>22</v>
      </c>
      <c r="C11">
        <v>110</v>
      </c>
      <c r="E11" t="s">
        <v>76</v>
      </c>
      <c r="F11" t="s">
        <v>307</v>
      </c>
      <c r="G11" t="s">
        <v>78</v>
      </c>
      <c r="H11" t="s">
        <v>79</v>
      </c>
      <c r="I11" t="s">
        <v>22</v>
      </c>
      <c r="J11" t="b">
        <v>1</v>
      </c>
      <c r="K11" t="b">
        <v>1</v>
      </c>
      <c r="L11" t="s">
        <v>95</v>
      </c>
      <c r="M11" t="s">
        <v>81</v>
      </c>
      <c r="O11" t="s">
        <v>82</v>
      </c>
      <c r="P11">
        <v>67.5</v>
      </c>
      <c r="Q11">
        <v>46223</v>
      </c>
      <c r="R11">
        <v>46250</v>
      </c>
      <c r="S11">
        <v>2</v>
      </c>
      <c r="T11">
        <v>135</v>
      </c>
      <c r="U11">
        <v>17.763157894736842</v>
      </c>
      <c r="V11">
        <v>17</v>
      </c>
      <c r="W11">
        <v>20</v>
      </c>
      <c r="X11">
        <v>17</v>
      </c>
      <c r="Y11" t="s">
        <v>83</v>
      </c>
      <c r="Z11" t="s">
        <v>78</v>
      </c>
      <c r="AA11" t="str">
        <f>MasterStaffList_All[[#This Row],[Facility]]&amp;MasterStaffList_All[[#This Row],[Role]]&amp;MasterStaffList_All[[#This Row],[Resource]]</f>
        <v>BDAIN110</v>
      </c>
    </row>
    <row r="12" spans="1:27" hidden="1" x14ac:dyDescent="0.25">
      <c r="A12" t="s">
        <v>310</v>
      </c>
      <c r="B12" t="s">
        <v>22</v>
      </c>
      <c r="C12">
        <v>112</v>
      </c>
      <c r="E12" t="s">
        <v>76</v>
      </c>
      <c r="F12" t="s">
        <v>311</v>
      </c>
      <c r="G12" t="s">
        <v>78</v>
      </c>
      <c r="H12" t="s">
        <v>79</v>
      </c>
      <c r="I12" t="s">
        <v>22</v>
      </c>
      <c r="J12" t="b">
        <v>1</v>
      </c>
      <c r="K12" t="b">
        <v>1</v>
      </c>
      <c r="L12" t="s">
        <v>95</v>
      </c>
      <c r="M12" t="s">
        <v>81</v>
      </c>
      <c r="O12" t="s">
        <v>82</v>
      </c>
      <c r="P12">
        <v>45</v>
      </c>
      <c r="Q12">
        <v>46223</v>
      </c>
      <c r="R12">
        <v>46250</v>
      </c>
      <c r="S12">
        <v>2</v>
      </c>
      <c r="T12">
        <v>90</v>
      </c>
      <c r="U12">
        <v>11.842105263157896</v>
      </c>
      <c r="V12">
        <v>11</v>
      </c>
      <c r="W12">
        <v>20</v>
      </c>
      <c r="X12">
        <v>11</v>
      </c>
      <c r="Y12" t="s">
        <v>83</v>
      </c>
      <c r="Z12" t="s">
        <v>78</v>
      </c>
      <c r="AA12" t="str">
        <f>MasterStaffList_All[[#This Row],[Facility]]&amp;MasterStaffList_All[[#This Row],[Role]]&amp;MasterStaffList_All[[#This Row],[Resource]]</f>
        <v>BDAIN112</v>
      </c>
    </row>
    <row r="13" spans="1:27" hidden="1" x14ac:dyDescent="0.25">
      <c r="A13" t="s">
        <v>312</v>
      </c>
      <c r="B13" t="s">
        <v>22</v>
      </c>
      <c r="C13">
        <v>113</v>
      </c>
      <c r="E13" t="s">
        <v>76</v>
      </c>
      <c r="F13" t="s">
        <v>313</v>
      </c>
      <c r="G13" t="s">
        <v>78</v>
      </c>
      <c r="H13" t="s">
        <v>79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60</v>
      </c>
      <c r="Q13">
        <v>46223</v>
      </c>
      <c r="R13">
        <v>46250</v>
      </c>
      <c r="S13">
        <v>2</v>
      </c>
      <c r="T13">
        <v>120</v>
      </c>
      <c r="U13">
        <v>15.789473684210527</v>
      </c>
      <c r="V13">
        <v>15</v>
      </c>
      <c r="W13">
        <v>20</v>
      </c>
      <c r="X13">
        <v>15</v>
      </c>
      <c r="Y13" t="s">
        <v>83</v>
      </c>
      <c r="Z13" t="s">
        <v>78</v>
      </c>
      <c r="AA13" t="str">
        <f>MasterStaffList_All[[#This Row],[Facility]]&amp;MasterStaffList_All[[#This Row],[Role]]&amp;MasterStaffList_All[[#This Row],[Resource]]</f>
        <v>BDAIN113</v>
      </c>
    </row>
    <row r="14" spans="1:27" hidden="1" x14ac:dyDescent="0.25">
      <c r="A14" t="s">
        <v>316</v>
      </c>
      <c r="B14" t="s">
        <v>22</v>
      </c>
      <c r="C14">
        <v>115</v>
      </c>
      <c r="E14" t="s">
        <v>76</v>
      </c>
      <c r="F14" t="s">
        <v>317</v>
      </c>
      <c r="G14" t="s">
        <v>78</v>
      </c>
      <c r="H14" t="s">
        <v>110</v>
      </c>
      <c r="I14" t="s">
        <v>22</v>
      </c>
      <c r="J14" t="b">
        <v>1</v>
      </c>
      <c r="K14" t="b">
        <v>1</v>
      </c>
      <c r="L14" t="s">
        <v>95</v>
      </c>
      <c r="M14" t="s">
        <v>81</v>
      </c>
      <c r="O14" t="s">
        <v>82</v>
      </c>
      <c r="P14">
        <v>76</v>
      </c>
      <c r="Q14">
        <v>46223</v>
      </c>
      <c r="R14">
        <v>46250</v>
      </c>
      <c r="S14">
        <v>2</v>
      </c>
      <c r="T14">
        <v>152</v>
      </c>
      <c r="U14">
        <v>20</v>
      </c>
      <c r="V14">
        <v>20</v>
      </c>
      <c r="W14">
        <v>20</v>
      </c>
      <c r="X14">
        <v>20</v>
      </c>
      <c r="Y14" t="s">
        <v>111</v>
      </c>
      <c r="Z14" t="s">
        <v>78</v>
      </c>
      <c r="AA14" t="str">
        <f>MasterStaffList_All[[#This Row],[Facility]]&amp;MasterStaffList_All[[#This Row],[Role]]&amp;MasterStaffList_All[[#This Row],[Resource]]</f>
        <v>BDAIN115</v>
      </c>
    </row>
    <row r="15" spans="1:27" hidden="1" x14ac:dyDescent="0.25">
      <c r="A15" t="s">
        <v>318</v>
      </c>
      <c r="B15" t="s">
        <v>22</v>
      </c>
      <c r="C15">
        <v>116</v>
      </c>
      <c r="E15" t="s">
        <v>76</v>
      </c>
      <c r="F15" t="s">
        <v>319</v>
      </c>
      <c r="G15" t="s">
        <v>78</v>
      </c>
      <c r="H15" t="s">
        <v>88</v>
      </c>
      <c r="I15" t="s">
        <v>22</v>
      </c>
      <c r="J15" t="b">
        <v>1</v>
      </c>
      <c r="K15" t="b">
        <v>1</v>
      </c>
      <c r="L15" t="s">
        <v>95</v>
      </c>
      <c r="M15" t="s">
        <v>81</v>
      </c>
      <c r="O15" t="s">
        <v>89</v>
      </c>
      <c r="P15">
        <v>76</v>
      </c>
      <c r="Q15">
        <v>46223</v>
      </c>
      <c r="R15">
        <v>46250</v>
      </c>
      <c r="S15">
        <v>2</v>
      </c>
      <c r="T15">
        <v>152</v>
      </c>
      <c r="U15">
        <v>20</v>
      </c>
      <c r="V15">
        <v>20</v>
      </c>
      <c r="W15">
        <v>20</v>
      </c>
      <c r="X15">
        <v>20</v>
      </c>
      <c r="Y15" t="s">
        <v>89</v>
      </c>
      <c r="Z15" t="s">
        <v>78</v>
      </c>
      <c r="AA15" t="str">
        <f>MasterStaffList_All[[#This Row],[Facility]]&amp;MasterStaffList_All[[#This Row],[Role]]&amp;MasterStaffList_All[[#This Row],[Resource]]</f>
        <v>BDAIN116</v>
      </c>
    </row>
    <row r="16" spans="1:27" x14ac:dyDescent="0.25">
      <c r="A16" t="s">
        <v>324</v>
      </c>
      <c r="B16" t="s">
        <v>22</v>
      </c>
      <c r="C16">
        <v>119</v>
      </c>
      <c r="D16" t="s">
        <v>40</v>
      </c>
      <c r="E16" t="s">
        <v>76</v>
      </c>
      <c r="F16" t="s">
        <v>325</v>
      </c>
      <c r="G16" t="s">
        <v>78</v>
      </c>
      <c r="H16" t="s">
        <v>88</v>
      </c>
      <c r="I16" t="s">
        <v>22</v>
      </c>
      <c r="J16" t="b">
        <v>0</v>
      </c>
      <c r="K16" t="b">
        <v>1</v>
      </c>
      <c r="L16" t="s">
        <v>80</v>
      </c>
      <c r="M16" t="s">
        <v>81</v>
      </c>
      <c r="O16" t="s">
        <v>89</v>
      </c>
      <c r="P16">
        <v>76</v>
      </c>
      <c r="Q16">
        <v>46223</v>
      </c>
      <c r="R16">
        <v>46250</v>
      </c>
      <c r="S16">
        <v>2</v>
      </c>
      <c r="T16">
        <v>152</v>
      </c>
      <c r="U16">
        <v>20</v>
      </c>
      <c r="V16">
        <v>20</v>
      </c>
      <c r="W16">
        <v>20</v>
      </c>
      <c r="X16">
        <v>20</v>
      </c>
      <c r="Y16" t="s">
        <v>89</v>
      </c>
      <c r="Z16" t="s">
        <v>78</v>
      </c>
      <c r="AA16" t="str">
        <f>MasterStaffList_All[[#This Row],[Facility]]&amp;MasterStaffList_All[[#This Row],[Role]]&amp;MasterStaffList_All[[#This Row],[Resource]]</f>
        <v>BDAIN119</v>
      </c>
    </row>
    <row r="17" spans="1:27" hidden="1" x14ac:dyDescent="0.25">
      <c r="A17" t="s">
        <v>108</v>
      </c>
      <c r="B17" t="s">
        <v>22</v>
      </c>
      <c r="C17">
        <v>12</v>
      </c>
      <c r="E17" t="s">
        <v>76</v>
      </c>
      <c r="F17" t="s">
        <v>109</v>
      </c>
      <c r="G17" t="s">
        <v>78</v>
      </c>
      <c r="H17" t="s">
        <v>110</v>
      </c>
      <c r="I17" t="s">
        <v>22</v>
      </c>
      <c r="J17" t="b">
        <v>1</v>
      </c>
      <c r="K17" t="b">
        <v>1</v>
      </c>
      <c r="L17" t="s">
        <v>95</v>
      </c>
      <c r="M17" t="s">
        <v>81</v>
      </c>
      <c r="O17" t="s">
        <v>82</v>
      </c>
      <c r="P17">
        <v>76</v>
      </c>
      <c r="Q17">
        <v>46223</v>
      </c>
      <c r="R17">
        <v>46250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111</v>
      </c>
      <c r="Z17" t="s">
        <v>78</v>
      </c>
      <c r="AA17" t="str">
        <f>MasterStaffList_All[[#This Row],[Facility]]&amp;MasterStaffList_All[[#This Row],[Role]]&amp;MasterStaffList_All[[#This Row],[Resource]]</f>
        <v>BDAIN12</v>
      </c>
    </row>
    <row r="18" spans="1:27" hidden="1" x14ac:dyDescent="0.25">
      <c r="A18" t="s">
        <v>326</v>
      </c>
      <c r="B18" t="s">
        <v>22</v>
      </c>
      <c r="C18">
        <v>120</v>
      </c>
      <c r="E18" t="s">
        <v>76</v>
      </c>
      <c r="F18" t="s">
        <v>327</v>
      </c>
      <c r="G18" t="s">
        <v>78</v>
      </c>
      <c r="H18" t="s">
        <v>79</v>
      </c>
      <c r="I18" t="s">
        <v>22</v>
      </c>
      <c r="J18" t="b">
        <v>1</v>
      </c>
      <c r="K18" t="b">
        <v>1</v>
      </c>
      <c r="L18" t="s">
        <v>95</v>
      </c>
      <c r="M18" t="s">
        <v>81</v>
      </c>
      <c r="O18" t="s">
        <v>82</v>
      </c>
      <c r="P18">
        <v>60</v>
      </c>
      <c r="Q18">
        <v>46223</v>
      </c>
      <c r="R18">
        <v>46250</v>
      </c>
      <c r="S18">
        <v>2</v>
      </c>
      <c r="T18">
        <v>120</v>
      </c>
      <c r="U18">
        <v>15.789473684210527</v>
      </c>
      <c r="V18">
        <v>15</v>
      </c>
      <c r="W18">
        <v>20</v>
      </c>
      <c r="X18">
        <v>15</v>
      </c>
      <c r="Y18" t="s">
        <v>83</v>
      </c>
      <c r="Z18" t="s">
        <v>78</v>
      </c>
      <c r="AA18" t="str">
        <f>MasterStaffList_All[[#This Row],[Facility]]&amp;MasterStaffList_All[[#This Row],[Role]]&amp;MasterStaffList_All[[#This Row],[Resource]]</f>
        <v>BDAIN120</v>
      </c>
    </row>
    <row r="19" spans="1:27" hidden="1" x14ac:dyDescent="0.25">
      <c r="A19" t="s">
        <v>328</v>
      </c>
      <c r="B19" t="s">
        <v>22</v>
      </c>
      <c r="C19">
        <v>121</v>
      </c>
      <c r="E19" t="s">
        <v>76</v>
      </c>
      <c r="F19" t="s">
        <v>329</v>
      </c>
      <c r="G19" t="s">
        <v>78</v>
      </c>
      <c r="H19" t="s">
        <v>79</v>
      </c>
      <c r="I19" t="s">
        <v>22</v>
      </c>
      <c r="J19" t="b">
        <v>1</v>
      </c>
      <c r="K19" t="b">
        <v>1</v>
      </c>
      <c r="L19" t="s">
        <v>95</v>
      </c>
      <c r="M19" t="s">
        <v>81</v>
      </c>
      <c r="O19" t="s">
        <v>82</v>
      </c>
      <c r="P19">
        <v>67.5</v>
      </c>
      <c r="Q19">
        <v>46223</v>
      </c>
      <c r="R19">
        <v>46250</v>
      </c>
      <c r="S19">
        <v>2</v>
      </c>
      <c r="T19">
        <v>135</v>
      </c>
      <c r="U19">
        <v>17.763157894736842</v>
      </c>
      <c r="V19">
        <v>17</v>
      </c>
      <c r="W19">
        <v>20</v>
      </c>
      <c r="X19">
        <v>17</v>
      </c>
      <c r="Y19" t="s">
        <v>83</v>
      </c>
      <c r="Z19" t="s">
        <v>78</v>
      </c>
      <c r="AA19" t="str">
        <f>MasterStaffList_All[[#This Row],[Facility]]&amp;MasterStaffList_All[[#This Row],[Role]]&amp;MasterStaffList_All[[#This Row],[Resource]]</f>
        <v>BDAIN121</v>
      </c>
    </row>
    <row r="20" spans="1:27" hidden="1" x14ac:dyDescent="0.25">
      <c r="A20" t="s">
        <v>332</v>
      </c>
      <c r="B20" t="s">
        <v>22</v>
      </c>
      <c r="C20">
        <v>123</v>
      </c>
      <c r="E20" t="s">
        <v>76</v>
      </c>
      <c r="F20" t="s">
        <v>333</v>
      </c>
      <c r="G20" t="s">
        <v>78</v>
      </c>
      <c r="H20" t="s">
        <v>79</v>
      </c>
      <c r="I20" t="s">
        <v>22</v>
      </c>
      <c r="J20" t="b">
        <v>1</v>
      </c>
      <c r="K20" t="b">
        <v>1</v>
      </c>
      <c r="L20" t="s">
        <v>95</v>
      </c>
      <c r="M20" t="s">
        <v>81</v>
      </c>
      <c r="O20" t="s">
        <v>82</v>
      </c>
      <c r="P20">
        <v>45</v>
      </c>
      <c r="Q20">
        <v>46223</v>
      </c>
      <c r="R20">
        <v>46250</v>
      </c>
      <c r="S20">
        <v>2</v>
      </c>
      <c r="T20">
        <v>90</v>
      </c>
      <c r="U20">
        <v>11.842105263157896</v>
      </c>
      <c r="V20">
        <v>11</v>
      </c>
      <c r="W20">
        <v>20</v>
      </c>
      <c r="X20">
        <v>11</v>
      </c>
      <c r="Y20" t="s">
        <v>83</v>
      </c>
      <c r="Z20" t="s">
        <v>78</v>
      </c>
      <c r="AA20" t="str">
        <f>MasterStaffList_All[[#This Row],[Facility]]&amp;MasterStaffList_All[[#This Row],[Role]]&amp;MasterStaffList_All[[#This Row],[Resource]]</f>
        <v>BDAIN123</v>
      </c>
    </row>
    <row r="21" spans="1:27" hidden="1" x14ac:dyDescent="0.25">
      <c r="A21" t="s">
        <v>338</v>
      </c>
      <c r="B21" t="s">
        <v>22</v>
      </c>
      <c r="C21">
        <v>126</v>
      </c>
      <c r="E21" t="s">
        <v>76</v>
      </c>
      <c r="F21" t="s">
        <v>339</v>
      </c>
      <c r="G21" t="s">
        <v>78</v>
      </c>
      <c r="H21" t="s">
        <v>79</v>
      </c>
      <c r="I21" t="s">
        <v>22</v>
      </c>
      <c r="J21" t="b">
        <v>1</v>
      </c>
      <c r="K21" t="b">
        <v>1</v>
      </c>
      <c r="L21" t="s">
        <v>95</v>
      </c>
      <c r="M21" t="s">
        <v>81</v>
      </c>
      <c r="O21" t="s">
        <v>82</v>
      </c>
      <c r="P21">
        <v>45</v>
      </c>
      <c r="Q21">
        <v>46223</v>
      </c>
      <c r="R21">
        <v>46250</v>
      </c>
      <c r="S21">
        <v>2</v>
      </c>
      <c r="T21">
        <v>90</v>
      </c>
      <c r="U21">
        <v>11.842105263157896</v>
      </c>
      <c r="V21">
        <v>11</v>
      </c>
      <c r="W21">
        <v>20</v>
      </c>
      <c r="X21">
        <v>11</v>
      </c>
      <c r="Y21" t="s">
        <v>83</v>
      </c>
      <c r="Z21" t="s">
        <v>78</v>
      </c>
      <c r="AA21" t="str">
        <f>MasterStaffList_All[[#This Row],[Facility]]&amp;MasterStaffList_All[[#This Row],[Role]]&amp;MasterStaffList_All[[#This Row],[Resource]]</f>
        <v>BDAIN126</v>
      </c>
    </row>
    <row r="22" spans="1:27" hidden="1" x14ac:dyDescent="0.25">
      <c r="A22" t="s">
        <v>342</v>
      </c>
      <c r="B22" t="s">
        <v>22</v>
      </c>
      <c r="C22">
        <v>128</v>
      </c>
      <c r="D22" t="s">
        <v>40</v>
      </c>
      <c r="E22" t="s">
        <v>76</v>
      </c>
      <c r="F22" t="s">
        <v>343</v>
      </c>
      <c r="G22" t="s">
        <v>78</v>
      </c>
      <c r="H22" t="s">
        <v>88</v>
      </c>
      <c r="I22" t="s">
        <v>22</v>
      </c>
      <c r="J22" t="b">
        <v>0</v>
      </c>
      <c r="K22" t="b">
        <v>1</v>
      </c>
      <c r="L22" t="s">
        <v>80</v>
      </c>
      <c r="M22" t="s">
        <v>81</v>
      </c>
      <c r="O22" t="s">
        <v>89</v>
      </c>
      <c r="P22">
        <v>76</v>
      </c>
      <c r="Q22">
        <v>46223</v>
      </c>
      <c r="R22">
        <v>46250</v>
      </c>
      <c r="S22">
        <v>2</v>
      </c>
      <c r="T22">
        <v>152</v>
      </c>
      <c r="U22">
        <v>20</v>
      </c>
      <c r="V22">
        <v>20</v>
      </c>
      <c r="W22">
        <v>20</v>
      </c>
      <c r="X22">
        <v>20</v>
      </c>
      <c r="Y22" t="s">
        <v>89</v>
      </c>
      <c r="Z22" t="s">
        <v>78</v>
      </c>
      <c r="AA22" t="str">
        <f>MasterStaffList_All[[#This Row],[Facility]]&amp;MasterStaffList_All[[#This Row],[Role]]&amp;MasterStaffList_All[[#This Row],[Resource]]</f>
        <v>BDAIN128</v>
      </c>
    </row>
    <row r="23" spans="1:27" hidden="1" x14ac:dyDescent="0.25">
      <c r="A23" t="s">
        <v>344</v>
      </c>
      <c r="B23" t="s">
        <v>22</v>
      </c>
      <c r="C23">
        <v>129</v>
      </c>
      <c r="E23" t="s">
        <v>76</v>
      </c>
      <c r="F23" t="s">
        <v>345</v>
      </c>
      <c r="G23" t="s">
        <v>78</v>
      </c>
      <c r="H23" t="s">
        <v>88</v>
      </c>
      <c r="I23" t="s">
        <v>22</v>
      </c>
      <c r="J23" t="b">
        <v>1</v>
      </c>
      <c r="K23" t="b">
        <v>1</v>
      </c>
      <c r="L23" t="s">
        <v>95</v>
      </c>
      <c r="M23" t="s">
        <v>81</v>
      </c>
      <c r="O23" t="s">
        <v>89</v>
      </c>
      <c r="P23">
        <v>76</v>
      </c>
      <c r="Q23">
        <v>46223</v>
      </c>
      <c r="R23">
        <v>46250</v>
      </c>
      <c r="S23">
        <v>2</v>
      </c>
      <c r="T23">
        <v>152</v>
      </c>
      <c r="U23">
        <v>20</v>
      </c>
      <c r="V23">
        <v>20</v>
      </c>
      <c r="W23">
        <v>20</v>
      </c>
      <c r="X23">
        <v>20</v>
      </c>
      <c r="Y23" t="s">
        <v>89</v>
      </c>
      <c r="Z23" t="s">
        <v>78</v>
      </c>
      <c r="AA23" t="str">
        <f>MasterStaffList_All[[#This Row],[Facility]]&amp;MasterStaffList_All[[#This Row],[Role]]&amp;MasterStaffList_All[[#This Row],[Resource]]</f>
        <v>BDAIN129</v>
      </c>
    </row>
    <row r="24" spans="1:27" hidden="1" x14ac:dyDescent="0.25">
      <c r="A24" t="s">
        <v>116</v>
      </c>
      <c r="B24" t="s">
        <v>22</v>
      </c>
      <c r="C24">
        <v>15</v>
      </c>
      <c r="E24" t="s">
        <v>76</v>
      </c>
      <c r="F24" t="s">
        <v>117</v>
      </c>
      <c r="G24" t="s">
        <v>78</v>
      </c>
      <c r="H24" t="s">
        <v>88</v>
      </c>
      <c r="I24" t="s">
        <v>22</v>
      </c>
      <c r="J24" t="b">
        <v>1</v>
      </c>
      <c r="K24" t="b">
        <v>1</v>
      </c>
      <c r="L24" t="s">
        <v>95</v>
      </c>
      <c r="M24" t="s">
        <v>81</v>
      </c>
      <c r="O24" t="s">
        <v>89</v>
      </c>
      <c r="P24">
        <v>76</v>
      </c>
      <c r="Q24">
        <v>46223</v>
      </c>
      <c r="R24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89</v>
      </c>
      <c r="Z24" t="s">
        <v>78</v>
      </c>
      <c r="AA24" t="str">
        <f>MasterStaffList_All[[#This Row],[Facility]]&amp;MasterStaffList_All[[#This Row],[Role]]&amp;MasterStaffList_All[[#This Row],[Resource]]</f>
        <v>BDAIN15</v>
      </c>
    </row>
    <row r="25" spans="1:27" hidden="1" x14ac:dyDescent="0.25">
      <c r="A25" t="s">
        <v>118</v>
      </c>
      <c r="B25" t="s">
        <v>22</v>
      </c>
      <c r="C25">
        <v>16</v>
      </c>
      <c r="E25" t="s">
        <v>76</v>
      </c>
      <c r="F25" t="s">
        <v>119</v>
      </c>
      <c r="G25" t="s">
        <v>78</v>
      </c>
      <c r="H25" t="s">
        <v>79</v>
      </c>
      <c r="I25" t="s">
        <v>22</v>
      </c>
      <c r="J25" t="b">
        <v>1</v>
      </c>
      <c r="K25" t="b">
        <v>1</v>
      </c>
      <c r="L25" t="s">
        <v>95</v>
      </c>
      <c r="M25" t="s">
        <v>81</v>
      </c>
      <c r="O25" t="s">
        <v>82</v>
      </c>
      <c r="P25">
        <v>75</v>
      </c>
      <c r="Q25">
        <v>46223</v>
      </c>
      <c r="R25">
        <v>46250</v>
      </c>
      <c r="S25">
        <v>2</v>
      </c>
      <c r="T25">
        <v>150</v>
      </c>
      <c r="U25">
        <v>19.736842105263161</v>
      </c>
      <c r="V25">
        <v>19</v>
      </c>
      <c r="W25">
        <v>20</v>
      </c>
      <c r="X25">
        <v>19</v>
      </c>
      <c r="Y25" t="s">
        <v>83</v>
      </c>
      <c r="Z25" t="s">
        <v>78</v>
      </c>
      <c r="AA25" t="str">
        <f>MasterStaffList_All[[#This Row],[Facility]]&amp;MasterStaffList_All[[#This Row],[Role]]&amp;MasterStaffList_All[[#This Row],[Resource]]</f>
        <v>BDAIN16</v>
      </c>
    </row>
    <row r="26" spans="1:27" hidden="1" x14ac:dyDescent="0.25">
      <c r="A26" t="s">
        <v>120</v>
      </c>
      <c r="B26" t="s">
        <v>22</v>
      </c>
      <c r="C26">
        <v>17</v>
      </c>
      <c r="E26" t="s">
        <v>76</v>
      </c>
      <c r="F26" t="s">
        <v>121</v>
      </c>
      <c r="G26" t="s">
        <v>78</v>
      </c>
      <c r="H26" t="s">
        <v>79</v>
      </c>
      <c r="I26" t="s">
        <v>22</v>
      </c>
      <c r="J26" t="b">
        <v>1</v>
      </c>
      <c r="K26" t="b">
        <v>1</v>
      </c>
      <c r="L26" t="s">
        <v>95</v>
      </c>
      <c r="M26" t="s">
        <v>81</v>
      </c>
      <c r="O26" t="s">
        <v>82</v>
      </c>
      <c r="P26">
        <v>52.5</v>
      </c>
      <c r="Q26">
        <v>46223</v>
      </c>
      <c r="R26">
        <v>46250</v>
      </c>
      <c r="S26">
        <v>2</v>
      </c>
      <c r="T26">
        <v>105</v>
      </c>
      <c r="U26">
        <v>13.815789473684212</v>
      </c>
      <c r="V26">
        <v>13</v>
      </c>
      <c r="W26">
        <v>20</v>
      </c>
      <c r="X26">
        <v>13</v>
      </c>
      <c r="Y26" t="s">
        <v>83</v>
      </c>
      <c r="Z26" t="s">
        <v>78</v>
      </c>
      <c r="AA26" t="str">
        <f>MasterStaffList_All[[#This Row],[Facility]]&amp;MasterStaffList_All[[#This Row],[Role]]&amp;MasterStaffList_All[[#This Row],[Resource]]</f>
        <v>BDAIN17</v>
      </c>
    </row>
    <row r="27" spans="1:27" hidden="1" x14ac:dyDescent="0.25">
      <c r="A27" t="s">
        <v>122</v>
      </c>
      <c r="B27" t="s">
        <v>22</v>
      </c>
      <c r="C27">
        <v>18</v>
      </c>
      <c r="E27" t="s">
        <v>76</v>
      </c>
      <c r="F27" t="s">
        <v>123</v>
      </c>
      <c r="G27" t="s">
        <v>78</v>
      </c>
      <c r="H27" t="s">
        <v>79</v>
      </c>
      <c r="I27" t="s">
        <v>22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66.5</v>
      </c>
      <c r="Q27">
        <v>46223</v>
      </c>
      <c r="R27">
        <v>46250</v>
      </c>
      <c r="S27">
        <v>2</v>
      </c>
      <c r="T27">
        <v>133</v>
      </c>
      <c r="U27">
        <v>17.5</v>
      </c>
      <c r="V27">
        <v>17</v>
      </c>
      <c r="W27">
        <v>20</v>
      </c>
      <c r="X27">
        <v>17</v>
      </c>
      <c r="Y27" t="s">
        <v>83</v>
      </c>
      <c r="Z27" t="s">
        <v>78</v>
      </c>
      <c r="AA27" t="str">
        <f>MasterStaffList_All[[#This Row],[Facility]]&amp;MasterStaffList_All[[#This Row],[Role]]&amp;MasterStaffList_All[[#This Row],[Resource]]</f>
        <v>BDAIN18</v>
      </c>
    </row>
    <row r="28" spans="1:27" hidden="1" x14ac:dyDescent="0.25">
      <c r="A28" t="s">
        <v>124</v>
      </c>
      <c r="B28" t="s">
        <v>22</v>
      </c>
      <c r="C28">
        <v>19</v>
      </c>
      <c r="E28" t="s">
        <v>76</v>
      </c>
      <c r="F28" t="s">
        <v>125</v>
      </c>
      <c r="G28" t="s">
        <v>78</v>
      </c>
      <c r="H28" t="s">
        <v>79</v>
      </c>
      <c r="I28" t="s">
        <v>22</v>
      </c>
      <c r="J28" t="b">
        <v>1</v>
      </c>
      <c r="K28" t="b">
        <v>1</v>
      </c>
      <c r="L28" t="s">
        <v>95</v>
      </c>
      <c r="M28" t="s">
        <v>81</v>
      </c>
      <c r="O28" t="s">
        <v>82</v>
      </c>
      <c r="P28">
        <v>52.5</v>
      </c>
      <c r="Q28">
        <v>46223</v>
      </c>
      <c r="R28">
        <v>46250</v>
      </c>
      <c r="S28">
        <v>2</v>
      </c>
      <c r="T28">
        <v>105</v>
      </c>
      <c r="U28">
        <v>13.815789473684212</v>
      </c>
      <c r="V28">
        <v>13</v>
      </c>
      <c r="W28">
        <v>20</v>
      </c>
      <c r="X28">
        <v>13</v>
      </c>
      <c r="Y28" t="s">
        <v>83</v>
      </c>
      <c r="Z28" t="s">
        <v>78</v>
      </c>
      <c r="AA28" t="str">
        <f>MasterStaffList_All[[#This Row],[Facility]]&amp;MasterStaffList_All[[#This Row],[Role]]&amp;MasterStaffList_All[[#This Row],[Resource]]</f>
        <v>BDAIN19</v>
      </c>
    </row>
    <row r="29" spans="1:27" hidden="1" x14ac:dyDescent="0.25">
      <c r="A29" t="s">
        <v>84</v>
      </c>
      <c r="B29" t="s">
        <v>22</v>
      </c>
      <c r="C29">
        <v>2</v>
      </c>
      <c r="D29" t="s">
        <v>40</v>
      </c>
      <c r="E29" t="s">
        <v>76</v>
      </c>
      <c r="F29" t="s">
        <v>85</v>
      </c>
      <c r="G29" t="s">
        <v>78</v>
      </c>
      <c r="H29" t="s">
        <v>79</v>
      </c>
      <c r="I29" t="s">
        <v>22</v>
      </c>
      <c r="J29" t="b">
        <v>0</v>
      </c>
      <c r="K29" t="b">
        <v>1</v>
      </c>
      <c r="L29" t="s">
        <v>80</v>
      </c>
      <c r="M29" t="s">
        <v>81</v>
      </c>
      <c r="O29" t="s">
        <v>82</v>
      </c>
      <c r="P29">
        <v>60</v>
      </c>
      <c r="Q29">
        <v>46223</v>
      </c>
      <c r="R29">
        <v>46250</v>
      </c>
      <c r="S29">
        <v>2</v>
      </c>
      <c r="T29">
        <v>120</v>
      </c>
      <c r="U29">
        <v>15.789473684210527</v>
      </c>
      <c r="V29">
        <v>15</v>
      </c>
      <c r="W29">
        <v>20</v>
      </c>
      <c r="X29">
        <v>15</v>
      </c>
      <c r="Y29" t="s">
        <v>83</v>
      </c>
      <c r="Z29" t="s">
        <v>78</v>
      </c>
      <c r="AA29" t="str">
        <f>MasterStaffList_All[[#This Row],[Facility]]&amp;MasterStaffList_All[[#This Row],[Role]]&amp;MasterStaffList_All[[#This Row],[Resource]]</f>
        <v>BDAIN2</v>
      </c>
    </row>
    <row r="30" spans="1:27" hidden="1" x14ac:dyDescent="0.25">
      <c r="A30" t="s">
        <v>126</v>
      </c>
      <c r="B30" t="s">
        <v>22</v>
      </c>
      <c r="C30">
        <v>20</v>
      </c>
      <c r="E30" t="s">
        <v>76</v>
      </c>
      <c r="F30" t="s">
        <v>127</v>
      </c>
      <c r="G30" t="s">
        <v>78</v>
      </c>
      <c r="H30" t="s">
        <v>79</v>
      </c>
      <c r="I30" t="s">
        <v>22</v>
      </c>
      <c r="J30" t="b">
        <v>1</v>
      </c>
      <c r="K30" t="b">
        <v>1</v>
      </c>
      <c r="L30" t="s">
        <v>95</v>
      </c>
      <c r="M30" t="s">
        <v>81</v>
      </c>
      <c r="O30" t="s">
        <v>82</v>
      </c>
      <c r="P30">
        <v>52.5</v>
      </c>
      <c r="Q30">
        <v>46223</v>
      </c>
      <c r="R30">
        <v>46250</v>
      </c>
      <c r="S30">
        <v>2</v>
      </c>
      <c r="T30">
        <v>105</v>
      </c>
      <c r="U30">
        <v>13.815789473684212</v>
      </c>
      <c r="V30">
        <v>13</v>
      </c>
      <c r="W30">
        <v>20</v>
      </c>
      <c r="X30">
        <v>13</v>
      </c>
      <c r="Y30" t="s">
        <v>83</v>
      </c>
      <c r="Z30" t="s">
        <v>78</v>
      </c>
      <c r="AA30" t="str">
        <f>MasterStaffList_All[[#This Row],[Facility]]&amp;MasterStaffList_All[[#This Row],[Role]]&amp;MasterStaffList_All[[#This Row],[Resource]]</f>
        <v>BDAIN20</v>
      </c>
    </row>
    <row r="31" spans="1:27" x14ac:dyDescent="0.25">
      <c r="A31" t="s">
        <v>132</v>
      </c>
      <c r="B31" t="s">
        <v>22</v>
      </c>
      <c r="C31">
        <v>23</v>
      </c>
      <c r="D31" t="s">
        <v>40</v>
      </c>
      <c r="E31" t="s">
        <v>76</v>
      </c>
      <c r="F31" t="s">
        <v>133</v>
      </c>
      <c r="G31" t="s">
        <v>78</v>
      </c>
      <c r="H31" t="s">
        <v>88</v>
      </c>
      <c r="I31" t="s">
        <v>22</v>
      </c>
      <c r="J31" t="b">
        <v>0</v>
      </c>
      <c r="K31" t="b">
        <v>1</v>
      </c>
      <c r="L31" t="s">
        <v>80</v>
      </c>
      <c r="M31" t="s">
        <v>81</v>
      </c>
      <c r="O31" t="s">
        <v>89</v>
      </c>
      <c r="P31">
        <v>76</v>
      </c>
      <c r="Q31">
        <v>46223</v>
      </c>
      <c r="R31">
        <v>46250</v>
      </c>
      <c r="S31">
        <v>2</v>
      </c>
      <c r="T31">
        <v>152</v>
      </c>
      <c r="U31">
        <v>20</v>
      </c>
      <c r="V31">
        <v>20</v>
      </c>
      <c r="W31">
        <v>20</v>
      </c>
      <c r="X31">
        <v>20</v>
      </c>
      <c r="Y31" t="s">
        <v>89</v>
      </c>
      <c r="Z31" t="s">
        <v>78</v>
      </c>
      <c r="AA31" t="str">
        <f>MasterStaffList_All[[#This Row],[Facility]]&amp;MasterStaffList_All[[#This Row],[Role]]&amp;MasterStaffList_All[[#This Row],[Resource]]</f>
        <v>BDAIN23</v>
      </c>
    </row>
    <row r="32" spans="1:27" hidden="1" x14ac:dyDescent="0.25">
      <c r="A32" t="s">
        <v>134</v>
      </c>
      <c r="B32" t="s">
        <v>22</v>
      </c>
      <c r="C32">
        <v>24</v>
      </c>
      <c r="E32" t="s">
        <v>76</v>
      </c>
      <c r="F32" t="s">
        <v>135</v>
      </c>
      <c r="G32" t="s">
        <v>78</v>
      </c>
      <c r="H32" t="s">
        <v>79</v>
      </c>
      <c r="I32" t="s">
        <v>22</v>
      </c>
      <c r="J32" t="b">
        <v>1</v>
      </c>
      <c r="K32" t="b">
        <v>1</v>
      </c>
      <c r="L32" t="s">
        <v>95</v>
      </c>
      <c r="M32" t="s">
        <v>81</v>
      </c>
      <c r="O32" t="s">
        <v>82</v>
      </c>
      <c r="P32">
        <v>60</v>
      </c>
      <c r="Q32">
        <v>46223</v>
      </c>
      <c r="R32">
        <v>46250</v>
      </c>
      <c r="S32">
        <v>2</v>
      </c>
      <c r="T32">
        <v>120</v>
      </c>
      <c r="U32">
        <v>15.789473684210527</v>
      </c>
      <c r="V32">
        <v>15</v>
      </c>
      <c r="W32">
        <v>20</v>
      </c>
      <c r="X32">
        <v>15</v>
      </c>
      <c r="Y32" t="s">
        <v>83</v>
      </c>
      <c r="Z32" t="s">
        <v>78</v>
      </c>
      <c r="AA32" t="str">
        <f>MasterStaffList_All[[#This Row],[Facility]]&amp;MasterStaffList_All[[#This Row],[Role]]&amp;MasterStaffList_All[[#This Row],[Resource]]</f>
        <v>BDAIN24</v>
      </c>
    </row>
    <row r="33" spans="1:27" hidden="1" x14ac:dyDescent="0.25">
      <c r="A33" t="s">
        <v>136</v>
      </c>
      <c r="B33" t="s">
        <v>22</v>
      </c>
      <c r="C33">
        <v>25</v>
      </c>
      <c r="E33" t="s">
        <v>76</v>
      </c>
      <c r="F33" t="s">
        <v>137</v>
      </c>
      <c r="G33" t="s">
        <v>78</v>
      </c>
      <c r="H33" t="s">
        <v>88</v>
      </c>
      <c r="I33" t="s">
        <v>22</v>
      </c>
      <c r="J33" t="b">
        <v>1</v>
      </c>
      <c r="K33" t="b">
        <v>1</v>
      </c>
      <c r="L33" t="s">
        <v>95</v>
      </c>
      <c r="M33" t="s">
        <v>81</v>
      </c>
      <c r="O33" t="s">
        <v>89</v>
      </c>
      <c r="P33">
        <v>76</v>
      </c>
      <c r="Q33">
        <v>46223</v>
      </c>
      <c r="R33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89</v>
      </c>
      <c r="Z33" t="s">
        <v>78</v>
      </c>
      <c r="AA33" t="str">
        <f>MasterStaffList_All[[#This Row],[Facility]]&amp;MasterStaffList_All[[#This Row],[Role]]&amp;MasterStaffList_All[[#This Row],[Resource]]</f>
        <v>BDAIN25</v>
      </c>
    </row>
    <row r="34" spans="1:27" hidden="1" x14ac:dyDescent="0.25">
      <c r="A34" t="s">
        <v>138</v>
      </c>
      <c r="B34" t="s">
        <v>22</v>
      </c>
      <c r="C34">
        <v>26</v>
      </c>
      <c r="E34" t="s">
        <v>76</v>
      </c>
      <c r="F34" t="s">
        <v>139</v>
      </c>
      <c r="G34" t="s">
        <v>78</v>
      </c>
      <c r="H34" t="s">
        <v>79</v>
      </c>
      <c r="I34" t="s">
        <v>22</v>
      </c>
      <c r="J34" t="b">
        <v>1</v>
      </c>
      <c r="K34" t="b">
        <v>1</v>
      </c>
      <c r="L34" t="s">
        <v>95</v>
      </c>
      <c r="M34" t="s">
        <v>81</v>
      </c>
      <c r="O34" t="s">
        <v>82</v>
      </c>
      <c r="P34">
        <v>30</v>
      </c>
      <c r="Q34">
        <v>46223</v>
      </c>
      <c r="R34">
        <v>46250</v>
      </c>
      <c r="S34">
        <v>2</v>
      </c>
      <c r="T34">
        <v>60</v>
      </c>
      <c r="U34">
        <v>7.8947368421052637</v>
      </c>
      <c r="V34">
        <v>7</v>
      </c>
      <c r="W34">
        <v>20</v>
      </c>
      <c r="X34">
        <v>7</v>
      </c>
      <c r="Y34" t="s">
        <v>83</v>
      </c>
      <c r="Z34" t="s">
        <v>78</v>
      </c>
      <c r="AA34" t="str">
        <f>MasterStaffList_All[[#This Row],[Facility]]&amp;MasterStaffList_All[[#This Row],[Role]]&amp;MasterStaffList_All[[#This Row],[Resource]]</f>
        <v>BDAIN26</v>
      </c>
    </row>
    <row r="35" spans="1:27" x14ac:dyDescent="0.25">
      <c r="A35" t="s">
        <v>142</v>
      </c>
      <c r="B35" t="s">
        <v>22</v>
      </c>
      <c r="C35">
        <v>28</v>
      </c>
      <c r="D35" t="s">
        <v>40</v>
      </c>
      <c r="E35" t="s">
        <v>76</v>
      </c>
      <c r="F35" t="s">
        <v>143</v>
      </c>
      <c r="G35" t="s">
        <v>78</v>
      </c>
      <c r="H35" t="s">
        <v>88</v>
      </c>
      <c r="I35" t="s">
        <v>22</v>
      </c>
      <c r="J35" t="b">
        <v>0</v>
      </c>
      <c r="K35" t="b">
        <v>1</v>
      </c>
      <c r="L35" t="s">
        <v>80</v>
      </c>
      <c r="M35" t="s">
        <v>81</v>
      </c>
      <c r="O35" t="s">
        <v>89</v>
      </c>
      <c r="P35">
        <v>76</v>
      </c>
      <c r="Q35">
        <v>46223</v>
      </c>
      <c r="R35">
        <v>46250</v>
      </c>
      <c r="S35">
        <v>2</v>
      </c>
      <c r="T35">
        <v>152</v>
      </c>
      <c r="U35">
        <v>20</v>
      </c>
      <c r="V35">
        <v>20</v>
      </c>
      <c r="W35">
        <v>20</v>
      </c>
      <c r="X35">
        <v>20</v>
      </c>
      <c r="Y35" t="s">
        <v>89</v>
      </c>
      <c r="Z35" t="s">
        <v>78</v>
      </c>
      <c r="AA35" t="str">
        <f>MasterStaffList_All[[#This Row],[Facility]]&amp;MasterStaffList_All[[#This Row],[Role]]&amp;MasterStaffList_All[[#This Row],[Resource]]</f>
        <v>BDAIN28</v>
      </c>
    </row>
    <row r="36" spans="1:27" hidden="1" x14ac:dyDescent="0.25">
      <c r="A36" t="s">
        <v>144</v>
      </c>
      <c r="B36" t="s">
        <v>22</v>
      </c>
      <c r="C36">
        <v>29</v>
      </c>
      <c r="E36" t="s">
        <v>76</v>
      </c>
      <c r="F36" t="s">
        <v>145</v>
      </c>
      <c r="G36" t="s">
        <v>78</v>
      </c>
      <c r="H36" t="s">
        <v>79</v>
      </c>
      <c r="I36" t="s">
        <v>22</v>
      </c>
      <c r="J36" t="b">
        <v>1</v>
      </c>
      <c r="K36" t="b">
        <v>1</v>
      </c>
      <c r="L36" t="s">
        <v>95</v>
      </c>
      <c r="M36" t="s">
        <v>81</v>
      </c>
      <c r="O36" t="s">
        <v>82</v>
      </c>
      <c r="P36">
        <v>67.5</v>
      </c>
      <c r="Q36">
        <v>46223</v>
      </c>
      <c r="R36">
        <v>46250</v>
      </c>
      <c r="S36">
        <v>2</v>
      </c>
      <c r="T36">
        <v>135</v>
      </c>
      <c r="U36">
        <v>17.763157894736842</v>
      </c>
      <c r="V36">
        <v>17</v>
      </c>
      <c r="W36">
        <v>20</v>
      </c>
      <c r="X36">
        <v>17</v>
      </c>
      <c r="Y36" t="s">
        <v>83</v>
      </c>
      <c r="Z36" t="s">
        <v>78</v>
      </c>
      <c r="AA36" t="str">
        <f>MasterStaffList_All[[#This Row],[Facility]]&amp;MasterStaffList_All[[#This Row],[Role]]&amp;MasterStaffList_All[[#This Row],[Resource]]</f>
        <v>BDAIN29</v>
      </c>
    </row>
    <row r="37" spans="1:27" hidden="1" x14ac:dyDescent="0.25">
      <c r="A37" t="s">
        <v>86</v>
      </c>
      <c r="B37" t="s">
        <v>22</v>
      </c>
      <c r="C37">
        <v>3</v>
      </c>
      <c r="D37" t="s">
        <v>40</v>
      </c>
      <c r="E37" t="s">
        <v>76</v>
      </c>
      <c r="F37" t="s">
        <v>87</v>
      </c>
      <c r="G37" t="s">
        <v>78</v>
      </c>
      <c r="H37" t="s">
        <v>88</v>
      </c>
      <c r="I37" t="s">
        <v>22</v>
      </c>
      <c r="J37" t="b">
        <v>0</v>
      </c>
      <c r="K37" t="b">
        <v>1</v>
      </c>
      <c r="L37" t="s">
        <v>80</v>
      </c>
      <c r="M37" t="s">
        <v>81</v>
      </c>
      <c r="O37" t="s">
        <v>89</v>
      </c>
      <c r="P37">
        <v>76</v>
      </c>
      <c r="Q37">
        <v>46223</v>
      </c>
      <c r="R37">
        <v>46250</v>
      </c>
      <c r="S37">
        <v>2</v>
      </c>
      <c r="T37">
        <v>152</v>
      </c>
      <c r="U37">
        <v>20</v>
      </c>
      <c r="V37">
        <v>20</v>
      </c>
      <c r="W37">
        <v>20</v>
      </c>
      <c r="X37">
        <v>20</v>
      </c>
      <c r="Y37" t="s">
        <v>89</v>
      </c>
      <c r="Z37" t="s">
        <v>78</v>
      </c>
      <c r="AA37" t="str">
        <f>MasterStaffList_All[[#This Row],[Facility]]&amp;MasterStaffList_All[[#This Row],[Role]]&amp;MasterStaffList_All[[#This Row],[Resource]]</f>
        <v>BDAIN3</v>
      </c>
    </row>
    <row r="38" spans="1:27" hidden="1" x14ac:dyDescent="0.25">
      <c r="A38" t="s">
        <v>146</v>
      </c>
      <c r="B38" t="s">
        <v>22</v>
      </c>
      <c r="C38">
        <v>30</v>
      </c>
      <c r="E38" t="s">
        <v>76</v>
      </c>
      <c r="F38" t="s">
        <v>147</v>
      </c>
      <c r="G38" t="s">
        <v>78</v>
      </c>
      <c r="H38" t="s">
        <v>79</v>
      </c>
      <c r="I38" t="s">
        <v>22</v>
      </c>
      <c r="J38" t="b">
        <v>1</v>
      </c>
      <c r="K38" t="b">
        <v>1</v>
      </c>
      <c r="L38" t="s">
        <v>95</v>
      </c>
      <c r="M38" t="s">
        <v>81</v>
      </c>
      <c r="O38" t="s">
        <v>82</v>
      </c>
      <c r="P38">
        <v>45</v>
      </c>
      <c r="Q38">
        <v>46223</v>
      </c>
      <c r="R38">
        <v>46250</v>
      </c>
      <c r="S38">
        <v>2</v>
      </c>
      <c r="T38">
        <v>90</v>
      </c>
      <c r="U38">
        <v>11.842105263157896</v>
      </c>
      <c r="V38">
        <v>11</v>
      </c>
      <c r="W38">
        <v>20</v>
      </c>
      <c r="X38">
        <v>11</v>
      </c>
      <c r="Y38" t="s">
        <v>83</v>
      </c>
      <c r="Z38" t="s">
        <v>78</v>
      </c>
      <c r="AA38" t="str">
        <f>MasterStaffList_All[[#This Row],[Facility]]&amp;MasterStaffList_All[[#This Row],[Role]]&amp;MasterStaffList_All[[#This Row],[Resource]]</f>
        <v>BDAIN30</v>
      </c>
    </row>
    <row r="39" spans="1:27" hidden="1" x14ac:dyDescent="0.25">
      <c r="A39" t="s">
        <v>148</v>
      </c>
      <c r="B39" t="s">
        <v>22</v>
      </c>
      <c r="C39">
        <v>31</v>
      </c>
      <c r="E39" t="s">
        <v>76</v>
      </c>
      <c r="F39" t="s">
        <v>149</v>
      </c>
      <c r="G39" t="s">
        <v>78</v>
      </c>
      <c r="H39" t="s">
        <v>79</v>
      </c>
      <c r="I39" t="s">
        <v>22</v>
      </c>
      <c r="J39" t="b">
        <v>1</v>
      </c>
      <c r="K39" t="b">
        <v>1</v>
      </c>
      <c r="L39" t="s">
        <v>95</v>
      </c>
      <c r="M39" t="s">
        <v>81</v>
      </c>
      <c r="O39" t="s">
        <v>82</v>
      </c>
      <c r="P39">
        <v>75</v>
      </c>
      <c r="Q39">
        <v>46223</v>
      </c>
      <c r="R39">
        <v>46250</v>
      </c>
      <c r="S39">
        <v>2</v>
      </c>
      <c r="T39">
        <v>150</v>
      </c>
      <c r="U39">
        <v>19.736842105263161</v>
      </c>
      <c r="V39">
        <v>19</v>
      </c>
      <c r="W39">
        <v>20</v>
      </c>
      <c r="X39">
        <v>19</v>
      </c>
      <c r="Y39" t="s">
        <v>83</v>
      </c>
      <c r="Z39" t="s">
        <v>78</v>
      </c>
      <c r="AA39" t="str">
        <f>MasterStaffList_All[[#This Row],[Facility]]&amp;MasterStaffList_All[[#This Row],[Role]]&amp;MasterStaffList_All[[#This Row],[Resource]]</f>
        <v>BDAIN31</v>
      </c>
    </row>
    <row r="40" spans="1:27" x14ac:dyDescent="0.25">
      <c r="A40" t="s">
        <v>150</v>
      </c>
      <c r="B40" t="s">
        <v>22</v>
      </c>
      <c r="C40">
        <v>32</v>
      </c>
      <c r="D40" t="s">
        <v>40</v>
      </c>
      <c r="E40" t="s">
        <v>76</v>
      </c>
      <c r="F40" t="s">
        <v>151</v>
      </c>
      <c r="G40" t="s">
        <v>78</v>
      </c>
      <c r="H40" t="s">
        <v>88</v>
      </c>
      <c r="I40" t="s">
        <v>22</v>
      </c>
      <c r="J40" t="b">
        <v>0</v>
      </c>
      <c r="K40" t="b">
        <v>1</v>
      </c>
      <c r="L40" t="s">
        <v>80</v>
      </c>
      <c r="M40" t="s">
        <v>81</v>
      </c>
      <c r="O40" t="s">
        <v>89</v>
      </c>
      <c r="P40">
        <v>76</v>
      </c>
      <c r="Q40">
        <v>46223</v>
      </c>
      <c r="R40">
        <v>46250</v>
      </c>
      <c r="S40">
        <v>2</v>
      </c>
      <c r="T40">
        <v>152</v>
      </c>
      <c r="U40">
        <v>20</v>
      </c>
      <c r="V40">
        <v>20</v>
      </c>
      <c r="W40">
        <v>20</v>
      </c>
      <c r="X40">
        <v>20</v>
      </c>
      <c r="Y40" t="s">
        <v>89</v>
      </c>
      <c r="Z40" t="s">
        <v>78</v>
      </c>
      <c r="AA40" t="str">
        <f>MasterStaffList_All[[#This Row],[Facility]]&amp;MasterStaffList_All[[#This Row],[Role]]&amp;MasterStaffList_All[[#This Row],[Resource]]</f>
        <v>BDAIN32</v>
      </c>
    </row>
    <row r="41" spans="1:27" hidden="1" x14ac:dyDescent="0.25">
      <c r="A41" t="s">
        <v>152</v>
      </c>
      <c r="B41" t="s">
        <v>22</v>
      </c>
      <c r="C41">
        <v>33</v>
      </c>
      <c r="D41" t="s">
        <v>40</v>
      </c>
      <c r="E41" t="s">
        <v>76</v>
      </c>
      <c r="F41" t="s">
        <v>153</v>
      </c>
      <c r="G41" t="s">
        <v>78</v>
      </c>
      <c r="H41" t="s">
        <v>79</v>
      </c>
      <c r="I41" t="s">
        <v>22</v>
      </c>
      <c r="J41" t="b">
        <v>0</v>
      </c>
      <c r="K41" t="b">
        <v>1</v>
      </c>
      <c r="L41" t="s">
        <v>80</v>
      </c>
      <c r="M41" t="s">
        <v>81</v>
      </c>
      <c r="O41" t="s">
        <v>82</v>
      </c>
      <c r="P41">
        <v>30</v>
      </c>
      <c r="Q41">
        <v>46223</v>
      </c>
      <c r="R41">
        <v>46250</v>
      </c>
      <c r="S41">
        <v>2</v>
      </c>
      <c r="T41">
        <v>60</v>
      </c>
      <c r="U41">
        <v>7.8947368421052637</v>
      </c>
      <c r="V41">
        <v>7</v>
      </c>
      <c r="W41">
        <v>20</v>
      </c>
      <c r="X41">
        <v>7</v>
      </c>
      <c r="Y41" t="s">
        <v>83</v>
      </c>
      <c r="Z41" t="s">
        <v>78</v>
      </c>
      <c r="AA41" t="str">
        <f>MasterStaffList_All[[#This Row],[Facility]]&amp;MasterStaffList_All[[#This Row],[Role]]&amp;MasterStaffList_All[[#This Row],[Resource]]</f>
        <v>BDAIN33</v>
      </c>
    </row>
    <row r="42" spans="1:27" hidden="1" x14ac:dyDescent="0.25">
      <c r="A42" t="s">
        <v>154</v>
      </c>
      <c r="B42" t="s">
        <v>22</v>
      </c>
      <c r="C42">
        <v>34</v>
      </c>
      <c r="E42" t="s">
        <v>76</v>
      </c>
      <c r="F42" t="s">
        <v>155</v>
      </c>
      <c r="G42" t="s">
        <v>78</v>
      </c>
      <c r="H42" t="s">
        <v>79</v>
      </c>
      <c r="I42" t="s">
        <v>22</v>
      </c>
      <c r="J42" t="b">
        <v>1</v>
      </c>
      <c r="K42" t="b">
        <v>1</v>
      </c>
      <c r="L42" t="s">
        <v>95</v>
      </c>
      <c r="M42" t="s">
        <v>81</v>
      </c>
      <c r="O42" t="s">
        <v>82</v>
      </c>
      <c r="P42">
        <v>52.5</v>
      </c>
      <c r="Q42">
        <v>46223</v>
      </c>
      <c r="R42">
        <v>46250</v>
      </c>
      <c r="S42">
        <v>2</v>
      </c>
      <c r="T42">
        <v>105</v>
      </c>
      <c r="U42">
        <v>13.815789473684212</v>
      </c>
      <c r="V42">
        <v>13</v>
      </c>
      <c r="W42">
        <v>20</v>
      </c>
      <c r="X42">
        <v>13</v>
      </c>
      <c r="Y42" t="s">
        <v>83</v>
      </c>
      <c r="Z42" t="s">
        <v>78</v>
      </c>
      <c r="AA42" t="str">
        <f>MasterStaffList_All[[#This Row],[Facility]]&amp;MasterStaffList_All[[#This Row],[Role]]&amp;MasterStaffList_All[[#This Row],[Resource]]</f>
        <v>BDAIN34</v>
      </c>
    </row>
    <row r="43" spans="1:27" hidden="1" x14ac:dyDescent="0.25">
      <c r="A43" t="s">
        <v>158</v>
      </c>
      <c r="B43" t="s">
        <v>22</v>
      </c>
      <c r="C43">
        <v>36</v>
      </c>
      <c r="E43" t="s">
        <v>76</v>
      </c>
      <c r="F43" t="s">
        <v>159</v>
      </c>
      <c r="G43" t="s">
        <v>78</v>
      </c>
      <c r="H43" t="s">
        <v>79</v>
      </c>
      <c r="I43" t="s">
        <v>22</v>
      </c>
      <c r="J43" t="b">
        <v>1</v>
      </c>
      <c r="K43" t="b">
        <v>1</v>
      </c>
      <c r="L43" t="s">
        <v>95</v>
      </c>
      <c r="M43" t="s">
        <v>81</v>
      </c>
      <c r="O43" t="s">
        <v>82</v>
      </c>
      <c r="P43">
        <v>60</v>
      </c>
      <c r="Q43">
        <v>46223</v>
      </c>
      <c r="R43">
        <v>46250</v>
      </c>
      <c r="S43">
        <v>2</v>
      </c>
      <c r="T43">
        <v>120</v>
      </c>
      <c r="U43">
        <v>15.789473684210527</v>
      </c>
      <c r="V43">
        <v>15</v>
      </c>
      <c r="W43">
        <v>20</v>
      </c>
      <c r="X43">
        <v>15</v>
      </c>
      <c r="Y43" t="s">
        <v>83</v>
      </c>
      <c r="Z43" t="s">
        <v>78</v>
      </c>
      <c r="AA43" t="str">
        <f>MasterStaffList_All[[#This Row],[Facility]]&amp;MasterStaffList_All[[#This Row],[Role]]&amp;MasterStaffList_All[[#This Row],[Resource]]</f>
        <v>BDAIN36</v>
      </c>
    </row>
    <row r="44" spans="1:27" hidden="1" x14ac:dyDescent="0.25">
      <c r="A44" t="s">
        <v>160</v>
      </c>
      <c r="B44" t="s">
        <v>22</v>
      </c>
      <c r="C44">
        <v>37</v>
      </c>
      <c r="D44" t="s">
        <v>40</v>
      </c>
      <c r="E44" t="s">
        <v>76</v>
      </c>
      <c r="F44" t="s">
        <v>161</v>
      </c>
      <c r="G44" t="s">
        <v>78</v>
      </c>
      <c r="H44" t="s">
        <v>79</v>
      </c>
      <c r="I44" t="s">
        <v>22</v>
      </c>
      <c r="J44" t="b">
        <v>0</v>
      </c>
      <c r="K44" t="b">
        <v>1</v>
      </c>
      <c r="L44" t="s">
        <v>80</v>
      </c>
      <c r="M44" t="s">
        <v>81</v>
      </c>
      <c r="O44" t="s">
        <v>82</v>
      </c>
      <c r="P44">
        <v>40</v>
      </c>
      <c r="Q44">
        <v>46223</v>
      </c>
      <c r="R44">
        <v>46250</v>
      </c>
      <c r="S44">
        <v>2</v>
      </c>
      <c r="T44">
        <v>80</v>
      </c>
      <c r="U44">
        <v>10.526315789473683</v>
      </c>
      <c r="V44">
        <v>10</v>
      </c>
      <c r="W44">
        <v>20</v>
      </c>
      <c r="X44">
        <v>10</v>
      </c>
      <c r="Y44" t="s">
        <v>83</v>
      </c>
      <c r="Z44" t="s">
        <v>78</v>
      </c>
      <c r="AA44" t="str">
        <f>MasterStaffList_All[[#This Row],[Facility]]&amp;MasterStaffList_All[[#This Row],[Role]]&amp;MasterStaffList_All[[#This Row],[Resource]]</f>
        <v>BDAIN37</v>
      </c>
    </row>
    <row r="45" spans="1:27" hidden="1" x14ac:dyDescent="0.25">
      <c r="A45" t="s">
        <v>162</v>
      </c>
      <c r="B45" t="s">
        <v>22</v>
      </c>
      <c r="C45">
        <v>38</v>
      </c>
      <c r="E45" t="s">
        <v>76</v>
      </c>
      <c r="F45" t="s">
        <v>163</v>
      </c>
      <c r="G45" t="s">
        <v>78</v>
      </c>
      <c r="H45" t="s">
        <v>79</v>
      </c>
      <c r="I45" t="s">
        <v>22</v>
      </c>
      <c r="J45" t="b">
        <v>1</v>
      </c>
      <c r="K45" t="b">
        <v>1</v>
      </c>
      <c r="L45" t="s">
        <v>95</v>
      </c>
      <c r="M45" t="s">
        <v>81</v>
      </c>
      <c r="O45" t="s">
        <v>82</v>
      </c>
      <c r="P45">
        <v>37.5</v>
      </c>
      <c r="Q45">
        <v>46223</v>
      </c>
      <c r="R45">
        <v>46250</v>
      </c>
      <c r="S45">
        <v>2</v>
      </c>
      <c r="T45">
        <v>75</v>
      </c>
      <c r="U45">
        <v>9.8684210526315788</v>
      </c>
      <c r="V45">
        <v>9</v>
      </c>
      <c r="W45">
        <v>20</v>
      </c>
      <c r="X45">
        <v>9</v>
      </c>
      <c r="Y45" t="s">
        <v>83</v>
      </c>
      <c r="Z45" t="s">
        <v>78</v>
      </c>
      <c r="AA45" t="str">
        <f>MasterStaffList_All[[#This Row],[Facility]]&amp;MasterStaffList_All[[#This Row],[Role]]&amp;MasterStaffList_All[[#This Row],[Resource]]</f>
        <v>BDAIN38</v>
      </c>
    </row>
    <row r="46" spans="1:27" hidden="1" x14ac:dyDescent="0.25">
      <c r="A46" t="s">
        <v>164</v>
      </c>
      <c r="B46" t="s">
        <v>22</v>
      </c>
      <c r="C46">
        <v>39</v>
      </c>
      <c r="E46" t="s">
        <v>76</v>
      </c>
      <c r="F46" t="s">
        <v>165</v>
      </c>
      <c r="G46" t="s">
        <v>78</v>
      </c>
      <c r="H46" t="s">
        <v>79</v>
      </c>
      <c r="I46" t="s">
        <v>22</v>
      </c>
      <c r="J46" t="b">
        <v>1</v>
      </c>
      <c r="K46" t="b">
        <v>1</v>
      </c>
      <c r="L46" t="s">
        <v>95</v>
      </c>
      <c r="M46" t="s">
        <v>81</v>
      </c>
      <c r="O46" t="s">
        <v>82</v>
      </c>
      <c r="P46">
        <v>67.5</v>
      </c>
      <c r="Q46">
        <v>46223</v>
      </c>
      <c r="R46">
        <v>46250</v>
      </c>
      <c r="S46">
        <v>2</v>
      </c>
      <c r="T46">
        <v>135</v>
      </c>
      <c r="U46">
        <v>17.763157894736842</v>
      </c>
      <c r="V46">
        <v>17</v>
      </c>
      <c r="W46">
        <v>20</v>
      </c>
      <c r="X46">
        <v>17</v>
      </c>
      <c r="Y46" t="s">
        <v>83</v>
      </c>
      <c r="Z46" t="s">
        <v>78</v>
      </c>
      <c r="AA46" t="str">
        <f>MasterStaffList_All[[#This Row],[Facility]]&amp;MasterStaffList_All[[#This Row],[Role]]&amp;MasterStaffList_All[[#This Row],[Resource]]</f>
        <v>BDAIN39</v>
      </c>
    </row>
    <row r="47" spans="1:27" hidden="1" x14ac:dyDescent="0.25">
      <c r="A47" t="s">
        <v>166</v>
      </c>
      <c r="B47" t="s">
        <v>22</v>
      </c>
      <c r="C47">
        <v>40</v>
      </c>
      <c r="E47" t="s">
        <v>76</v>
      </c>
      <c r="F47" t="s">
        <v>167</v>
      </c>
      <c r="G47" t="s">
        <v>78</v>
      </c>
      <c r="H47" t="s">
        <v>79</v>
      </c>
      <c r="I47" t="s">
        <v>22</v>
      </c>
      <c r="J47" t="b">
        <v>1</v>
      </c>
      <c r="K47" t="b">
        <v>1</v>
      </c>
      <c r="L47" t="s">
        <v>95</v>
      </c>
      <c r="M47" t="s">
        <v>81</v>
      </c>
      <c r="O47" t="s">
        <v>82</v>
      </c>
      <c r="P47">
        <v>60</v>
      </c>
      <c r="Q47">
        <v>46223</v>
      </c>
      <c r="R47">
        <v>46250</v>
      </c>
      <c r="S47">
        <v>2</v>
      </c>
      <c r="T47">
        <v>120</v>
      </c>
      <c r="U47">
        <v>15.789473684210527</v>
      </c>
      <c r="V47">
        <v>15</v>
      </c>
      <c r="W47">
        <v>20</v>
      </c>
      <c r="X47">
        <v>15</v>
      </c>
      <c r="Y47" t="s">
        <v>83</v>
      </c>
      <c r="Z47" t="s">
        <v>78</v>
      </c>
      <c r="AA47" t="str">
        <f>MasterStaffList_All[[#This Row],[Facility]]&amp;MasterStaffList_All[[#This Row],[Role]]&amp;MasterStaffList_All[[#This Row],[Resource]]</f>
        <v>BDAIN40</v>
      </c>
    </row>
    <row r="48" spans="1:27" hidden="1" x14ac:dyDescent="0.25">
      <c r="A48" t="s">
        <v>168</v>
      </c>
      <c r="B48" t="s">
        <v>22</v>
      </c>
      <c r="C48">
        <v>41</v>
      </c>
      <c r="E48" t="s">
        <v>76</v>
      </c>
      <c r="F48" t="s">
        <v>169</v>
      </c>
      <c r="G48" t="s">
        <v>78</v>
      </c>
      <c r="H48" t="s">
        <v>79</v>
      </c>
      <c r="I48" t="s">
        <v>22</v>
      </c>
      <c r="J48" t="b">
        <v>1</v>
      </c>
      <c r="K48" t="b">
        <v>1</v>
      </c>
      <c r="L48" t="s">
        <v>95</v>
      </c>
      <c r="M48" t="s">
        <v>81</v>
      </c>
      <c r="O48" t="s">
        <v>82</v>
      </c>
      <c r="P48">
        <v>30</v>
      </c>
      <c r="Q48">
        <v>46223</v>
      </c>
      <c r="R48">
        <v>46250</v>
      </c>
      <c r="S48">
        <v>2</v>
      </c>
      <c r="T48">
        <v>60</v>
      </c>
      <c r="U48">
        <v>7.8947368421052637</v>
      </c>
      <c r="V48">
        <v>7</v>
      </c>
      <c r="W48">
        <v>20</v>
      </c>
      <c r="X48">
        <v>7</v>
      </c>
      <c r="Y48" t="s">
        <v>83</v>
      </c>
      <c r="Z48" t="s">
        <v>78</v>
      </c>
      <c r="AA48" t="str">
        <f>MasterStaffList_All[[#This Row],[Facility]]&amp;MasterStaffList_All[[#This Row],[Role]]&amp;MasterStaffList_All[[#This Row],[Resource]]</f>
        <v>BDAIN41</v>
      </c>
    </row>
    <row r="49" spans="1:27" hidden="1" x14ac:dyDescent="0.25">
      <c r="A49" t="s">
        <v>170</v>
      </c>
      <c r="B49" t="s">
        <v>22</v>
      </c>
      <c r="C49">
        <v>42</v>
      </c>
      <c r="E49" t="s">
        <v>76</v>
      </c>
      <c r="F49" t="s">
        <v>171</v>
      </c>
      <c r="G49" t="s">
        <v>78</v>
      </c>
      <c r="H49" t="s">
        <v>79</v>
      </c>
      <c r="I49" t="s">
        <v>22</v>
      </c>
      <c r="J49" t="b">
        <v>1</v>
      </c>
      <c r="K49" t="b">
        <v>1</v>
      </c>
      <c r="L49" t="s">
        <v>95</v>
      </c>
      <c r="M49" t="s">
        <v>81</v>
      </c>
      <c r="O49" t="s">
        <v>82</v>
      </c>
      <c r="P49">
        <v>60</v>
      </c>
      <c r="Q49">
        <v>46223</v>
      </c>
      <c r="R49">
        <v>46250</v>
      </c>
      <c r="S49">
        <v>2</v>
      </c>
      <c r="T49">
        <v>120</v>
      </c>
      <c r="U49">
        <v>15.789473684210527</v>
      </c>
      <c r="V49">
        <v>15</v>
      </c>
      <c r="W49">
        <v>20</v>
      </c>
      <c r="X49">
        <v>15</v>
      </c>
      <c r="Y49" t="s">
        <v>83</v>
      </c>
      <c r="Z49" t="s">
        <v>78</v>
      </c>
      <c r="AA49" t="str">
        <f>MasterStaffList_All[[#This Row],[Facility]]&amp;MasterStaffList_All[[#This Row],[Role]]&amp;MasterStaffList_All[[#This Row],[Resource]]</f>
        <v>BDAIN42</v>
      </c>
    </row>
    <row r="50" spans="1:27" hidden="1" x14ac:dyDescent="0.25">
      <c r="A50" t="s">
        <v>174</v>
      </c>
      <c r="B50" t="s">
        <v>22</v>
      </c>
      <c r="C50">
        <v>44</v>
      </c>
      <c r="E50" t="s">
        <v>76</v>
      </c>
      <c r="F50" t="s">
        <v>175</v>
      </c>
      <c r="G50" t="s">
        <v>78</v>
      </c>
      <c r="H50" t="s">
        <v>79</v>
      </c>
      <c r="I50" t="s">
        <v>22</v>
      </c>
      <c r="J50" t="b">
        <v>1</v>
      </c>
      <c r="K50" t="b">
        <v>1</v>
      </c>
      <c r="L50" t="s">
        <v>95</v>
      </c>
      <c r="M50" t="s">
        <v>81</v>
      </c>
      <c r="O50" t="s">
        <v>82</v>
      </c>
      <c r="P50">
        <v>67.5</v>
      </c>
      <c r="Q50">
        <v>46223</v>
      </c>
      <c r="R50">
        <v>46250</v>
      </c>
      <c r="S50">
        <v>2</v>
      </c>
      <c r="T50">
        <v>135</v>
      </c>
      <c r="U50">
        <v>17.763157894736842</v>
      </c>
      <c r="V50">
        <v>17</v>
      </c>
      <c r="W50">
        <v>20</v>
      </c>
      <c r="X50">
        <v>17</v>
      </c>
      <c r="Y50" t="s">
        <v>83</v>
      </c>
      <c r="Z50" t="s">
        <v>78</v>
      </c>
      <c r="AA50" t="str">
        <f>MasterStaffList_All[[#This Row],[Facility]]&amp;MasterStaffList_All[[#This Row],[Role]]&amp;MasterStaffList_All[[#This Row],[Resource]]</f>
        <v>BDAIN44</v>
      </c>
    </row>
    <row r="51" spans="1:27" hidden="1" x14ac:dyDescent="0.25">
      <c r="A51" t="s">
        <v>176</v>
      </c>
      <c r="B51" t="s">
        <v>22</v>
      </c>
      <c r="C51">
        <v>45</v>
      </c>
      <c r="E51" t="s">
        <v>76</v>
      </c>
      <c r="F51" t="s">
        <v>177</v>
      </c>
      <c r="G51" t="s">
        <v>78</v>
      </c>
      <c r="H51" t="s">
        <v>79</v>
      </c>
      <c r="I51" t="s">
        <v>22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60</v>
      </c>
      <c r="Q51">
        <v>46223</v>
      </c>
      <c r="R51">
        <v>46250</v>
      </c>
      <c r="S51">
        <v>2</v>
      </c>
      <c r="T51">
        <v>120</v>
      </c>
      <c r="U51">
        <v>15.789473684210527</v>
      </c>
      <c r="V51">
        <v>15</v>
      </c>
      <c r="W51">
        <v>20</v>
      </c>
      <c r="X51">
        <v>15</v>
      </c>
      <c r="Y51" t="s">
        <v>83</v>
      </c>
      <c r="Z51" t="s">
        <v>78</v>
      </c>
      <c r="AA51" t="str">
        <f>MasterStaffList_All[[#This Row],[Facility]]&amp;MasterStaffList_All[[#This Row],[Role]]&amp;MasterStaffList_All[[#This Row],[Resource]]</f>
        <v>BDAIN45</v>
      </c>
    </row>
    <row r="52" spans="1:27" hidden="1" x14ac:dyDescent="0.25">
      <c r="A52" t="s">
        <v>178</v>
      </c>
      <c r="B52" t="s">
        <v>22</v>
      </c>
      <c r="C52">
        <v>46</v>
      </c>
      <c r="D52" t="s">
        <v>40</v>
      </c>
      <c r="E52" t="s">
        <v>76</v>
      </c>
      <c r="F52" t="s">
        <v>179</v>
      </c>
      <c r="G52" t="s">
        <v>78</v>
      </c>
      <c r="H52" t="s">
        <v>79</v>
      </c>
      <c r="I52" t="s">
        <v>22</v>
      </c>
      <c r="J52" t="b">
        <v>0</v>
      </c>
      <c r="K52" t="b">
        <v>1</v>
      </c>
      <c r="L52" t="s">
        <v>80</v>
      </c>
      <c r="M52" t="s">
        <v>81</v>
      </c>
      <c r="O52" t="s">
        <v>82</v>
      </c>
      <c r="P52">
        <v>30</v>
      </c>
      <c r="Q52">
        <v>46223</v>
      </c>
      <c r="R52">
        <v>46250</v>
      </c>
      <c r="S52">
        <v>2</v>
      </c>
      <c r="T52">
        <v>60</v>
      </c>
      <c r="U52">
        <v>7.8947368421052637</v>
      </c>
      <c r="V52">
        <v>7</v>
      </c>
      <c r="W52">
        <v>20</v>
      </c>
      <c r="X52">
        <v>7</v>
      </c>
      <c r="Y52" t="s">
        <v>83</v>
      </c>
      <c r="Z52" t="s">
        <v>78</v>
      </c>
      <c r="AA52" t="str">
        <f>MasterStaffList_All[[#This Row],[Facility]]&amp;MasterStaffList_All[[#This Row],[Role]]&amp;MasterStaffList_All[[#This Row],[Resource]]</f>
        <v>BDAIN46</v>
      </c>
    </row>
    <row r="53" spans="1:27" hidden="1" x14ac:dyDescent="0.25">
      <c r="A53" t="s">
        <v>93</v>
      </c>
      <c r="B53" t="s">
        <v>22</v>
      </c>
      <c r="C53">
        <v>5</v>
      </c>
      <c r="E53" t="s">
        <v>76</v>
      </c>
      <c r="F53" t="s">
        <v>94</v>
      </c>
      <c r="G53" t="s">
        <v>78</v>
      </c>
      <c r="H53" t="s">
        <v>88</v>
      </c>
      <c r="I53" t="s">
        <v>22</v>
      </c>
      <c r="J53" t="b">
        <v>1</v>
      </c>
      <c r="K53" t="b">
        <v>1</v>
      </c>
      <c r="L53" t="s">
        <v>95</v>
      </c>
      <c r="M53" t="s">
        <v>81</v>
      </c>
      <c r="O53" t="s">
        <v>89</v>
      </c>
      <c r="P53">
        <v>76</v>
      </c>
      <c r="Q53">
        <v>46223</v>
      </c>
      <c r="R53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89</v>
      </c>
      <c r="Z53" t="s">
        <v>78</v>
      </c>
      <c r="AA53" t="str">
        <f>MasterStaffList_All[[#This Row],[Facility]]&amp;MasterStaffList_All[[#This Row],[Role]]&amp;MasterStaffList_All[[#This Row],[Resource]]</f>
        <v>BDAIN5</v>
      </c>
    </row>
    <row r="54" spans="1:27" hidden="1" x14ac:dyDescent="0.25">
      <c r="A54" t="s">
        <v>186</v>
      </c>
      <c r="B54" t="s">
        <v>22</v>
      </c>
      <c r="C54">
        <v>50</v>
      </c>
      <c r="E54" t="s">
        <v>76</v>
      </c>
      <c r="F54" t="s">
        <v>187</v>
      </c>
      <c r="G54" t="s">
        <v>78</v>
      </c>
      <c r="H54" t="s">
        <v>79</v>
      </c>
      <c r="I54" t="s">
        <v>22</v>
      </c>
      <c r="J54" t="b">
        <v>1</v>
      </c>
      <c r="K54" t="b">
        <v>1</v>
      </c>
      <c r="L54" t="s">
        <v>95</v>
      </c>
      <c r="M54" t="s">
        <v>81</v>
      </c>
      <c r="O54" t="s">
        <v>82</v>
      </c>
      <c r="P54">
        <v>75</v>
      </c>
      <c r="Q54">
        <v>46223</v>
      </c>
      <c r="R54">
        <v>46250</v>
      </c>
      <c r="S54">
        <v>2</v>
      </c>
      <c r="T54">
        <v>150</v>
      </c>
      <c r="U54">
        <v>19.736842105263161</v>
      </c>
      <c r="V54">
        <v>19</v>
      </c>
      <c r="W54">
        <v>20</v>
      </c>
      <c r="X54">
        <v>19</v>
      </c>
      <c r="Y54" t="s">
        <v>83</v>
      </c>
      <c r="Z54" t="s">
        <v>78</v>
      </c>
      <c r="AA54" t="str">
        <f>MasterStaffList_All[[#This Row],[Facility]]&amp;MasterStaffList_All[[#This Row],[Role]]&amp;MasterStaffList_All[[#This Row],[Resource]]</f>
        <v>BDAIN50</v>
      </c>
    </row>
    <row r="55" spans="1:27" hidden="1" x14ac:dyDescent="0.25">
      <c r="A55" t="s">
        <v>190</v>
      </c>
      <c r="B55" t="s">
        <v>22</v>
      </c>
      <c r="C55">
        <v>52</v>
      </c>
      <c r="E55" t="s">
        <v>76</v>
      </c>
      <c r="F55" t="s">
        <v>191</v>
      </c>
      <c r="G55" t="s">
        <v>78</v>
      </c>
      <c r="H55" t="s">
        <v>88</v>
      </c>
      <c r="I55" t="s">
        <v>22</v>
      </c>
      <c r="J55" t="b">
        <v>1</v>
      </c>
      <c r="K55" t="b">
        <v>1</v>
      </c>
      <c r="L55" t="s">
        <v>95</v>
      </c>
      <c r="M55" t="s">
        <v>81</v>
      </c>
      <c r="O55" t="s">
        <v>89</v>
      </c>
      <c r="P55">
        <v>76</v>
      </c>
      <c r="Q55">
        <v>46223</v>
      </c>
      <c r="R55">
        <v>46250</v>
      </c>
      <c r="S55">
        <v>2</v>
      </c>
      <c r="T55">
        <v>152</v>
      </c>
      <c r="U55">
        <v>20</v>
      </c>
      <c r="V55">
        <v>20</v>
      </c>
      <c r="W55">
        <v>20</v>
      </c>
      <c r="X55">
        <v>20</v>
      </c>
      <c r="Y55" t="s">
        <v>89</v>
      </c>
      <c r="Z55" t="s">
        <v>78</v>
      </c>
      <c r="AA55" t="str">
        <f>MasterStaffList_All[[#This Row],[Facility]]&amp;MasterStaffList_All[[#This Row],[Role]]&amp;MasterStaffList_All[[#This Row],[Resource]]</f>
        <v>BDAIN52</v>
      </c>
    </row>
    <row r="56" spans="1:27" hidden="1" x14ac:dyDescent="0.25">
      <c r="A56" t="s">
        <v>192</v>
      </c>
      <c r="B56" t="s">
        <v>22</v>
      </c>
      <c r="C56">
        <v>53</v>
      </c>
      <c r="E56" t="s">
        <v>76</v>
      </c>
      <c r="F56" t="s">
        <v>193</v>
      </c>
      <c r="G56" t="s">
        <v>78</v>
      </c>
      <c r="H56" t="s">
        <v>79</v>
      </c>
      <c r="I56" t="s">
        <v>22</v>
      </c>
      <c r="J56" t="b">
        <v>1</v>
      </c>
      <c r="K56" t="b">
        <v>1</v>
      </c>
      <c r="L56" t="s">
        <v>95</v>
      </c>
      <c r="M56" t="s">
        <v>81</v>
      </c>
      <c r="O56" t="s">
        <v>82</v>
      </c>
      <c r="P56">
        <v>60</v>
      </c>
      <c r="Q56">
        <v>46223</v>
      </c>
      <c r="R56">
        <v>46250</v>
      </c>
      <c r="S56">
        <v>2</v>
      </c>
      <c r="T56">
        <v>120</v>
      </c>
      <c r="U56">
        <v>15.789473684210527</v>
      </c>
      <c r="V56">
        <v>15</v>
      </c>
      <c r="W56">
        <v>20</v>
      </c>
      <c r="X56">
        <v>15</v>
      </c>
      <c r="Y56" t="s">
        <v>83</v>
      </c>
      <c r="Z56" t="s">
        <v>78</v>
      </c>
      <c r="AA56" t="str">
        <f>MasterStaffList_All[[#This Row],[Facility]]&amp;MasterStaffList_All[[#This Row],[Role]]&amp;MasterStaffList_All[[#This Row],[Resource]]</f>
        <v>BDAIN53</v>
      </c>
    </row>
    <row r="57" spans="1:27" hidden="1" x14ac:dyDescent="0.25">
      <c r="A57" t="s">
        <v>196</v>
      </c>
      <c r="B57" t="s">
        <v>22</v>
      </c>
      <c r="C57">
        <v>55</v>
      </c>
      <c r="E57" t="s">
        <v>76</v>
      </c>
      <c r="F57" t="s">
        <v>197</v>
      </c>
      <c r="G57" t="s">
        <v>78</v>
      </c>
      <c r="H57" t="s">
        <v>79</v>
      </c>
      <c r="I57" t="s">
        <v>22</v>
      </c>
      <c r="J57" t="b">
        <v>1</v>
      </c>
      <c r="K57" t="b">
        <v>1</v>
      </c>
      <c r="L57" t="s">
        <v>95</v>
      </c>
      <c r="M57" t="s">
        <v>81</v>
      </c>
      <c r="O57" t="s">
        <v>82</v>
      </c>
      <c r="P57">
        <v>22.5</v>
      </c>
      <c r="Q57">
        <v>46223</v>
      </c>
      <c r="R57">
        <v>46250</v>
      </c>
      <c r="S57">
        <v>2</v>
      </c>
      <c r="T57">
        <v>45</v>
      </c>
      <c r="U57">
        <v>5.9210526315789478</v>
      </c>
      <c r="V57">
        <v>5</v>
      </c>
      <c r="W57">
        <v>20</v>
      </c>
      <c r="X57">
        <v>5</v>
      </c>
      <c r="Y57" t="s">
        <v>83</v>
      </c>
      <c r="Z57" t="s">
        <v>78</v>
      </c>
      <c r="AA57" t="str">
        <f>MasterStaffList_All[[#This Row],[Facility]]&amp;MasterStaffList_All[[#This Row],[Role]]&amp;MasterStaffList_All[[#This Row],[Resource]]</f>
        <v>BDAIN55</v>
      </c>
    </row>
    <row r="58" spans="1:27" hidden="1" x14ac:dyDescent="0.25">
      <c r="A58" t="s">
        <v>200</v>
      </c>
      <c r="B58" t="s">
        <v>22</v>
      </c>
      <c r="C58">
        <v>57</v>
      </c>
      <c r="E58" t="s">
        <v>76</v>
      </c>
      <c r="F58" t="s">
        <v>201</v>
      </c>
      <c r="G58" t="s">
        <v>78</v>
      </c>
      <c r="H58" t="s">
        <v>79</v>
      </c>
      <c r="I58" t="s">
        <v>22</v>
      </c>
      <c r="J58" t="b">
        <v>1</v>
      </c>
      <c r="K58" t="b">
        <v>1</v>
      </c>
      <c r="L58" t="s">
        <v>95</v>
      </c>
      <c r="M58" t="s">
        <v>81</v>
      </c>
      <c r="O58" t="s">
        <v>82</v>
      </c>
      <c r="P58">
        <v>52.5</v>
      </c>
      <c r="Q58">
        <v>46223</v>
      </c>
      <c r="R58">
        <v>46250</v>
      </c>
      <c r="S58">
        <v>2</v>
      </c>
      <c r="T58">
        <v>105</v>
      </c>
      <c r="U58">
        <v>13.815789473684212</v>
      </c>
      <c r="V58">
        <v>13</v>
      </c>
      <c r="W58">
        <v>20</v>
      </c>
      <c r="X58">
        <v>13</v>
      </c>
      <c r="Y58" t="s">
        <v>83</v>
      </c>
      <c r="Z58" t="s">
        <v>78</v>
      </c>
      <c r="AA58" t="str">
        <f>MasterStaffList_All[[#This Row],[Facility]]&amp;MasterStaffList_All[[#This Row],[Role]]&amp;MasterStaffList_All[[#This Row],[Resource]]</f>
        <v>BDAIN57</v>
      </c>
    </row>
    <row r="59" spans="1:27" hidden="1" x14ac:dyDescent="0.25">
      <c r="A59" t="s">
        <v>202</v>
      </c>
      <c r="B59" t="s">
        <v>22</v>
      </c>
      <c r="C59">
        <v>58</v>
      </c>
      <c r="E59" t="s">
        <v>76</v>
      </c>
      <c r="F59" t="s">
        <v>203</v>
      </c>
      <c r="G59" t="s">
        <v>78</v>
      </c>
      <c r="H59" t="s">
        <v>79</v>
      </c>
      <c r="I59" t="s">
        <v>22</v>
      </c>
      <c r="J59" t="b">
        <v>1</v>
      </c>
      <c r="K59" t="b">
        <v>1</v>
      </c>
      <c r="L59" t="s">
        <v>95</v>
      </c>
      <c r="M59" t="s">
        <v>81</v>
      </c>
      <c r="O59" t="s">
        <v>82</v>
      </c>
      <c r="P59">
        <v>52.5</v>
      </c>
      <c r="Q59">
        <v>46223</v>
      </c>
      <c r="R59">
        <v>46250</v>
      </c>
      <c r="S59">
        <v>2</v>
      </c>
      <c r="T59">
        <v>105</v>
      </c>
      <c r="U59">
        <v>13.815789473684212</v>
      </c>
      <c r="V59">
        <v>13</v>
      </c>
      <c r="W59">
        <v>20</v>
      </c>
      <c r="X59">
        <v>13</v>
      </c>
      <c r="Y59" t="s">
        <v>83</v>
      </c>
      <c r="Z59" t="s">
        <v>78</v>
      </c>
      <c r="AA59" t="str">
        <f>MasterStaffList_All[[#This Row],[Facility]]&amp;MasterStaffList_All[[#This Row],[Role]]&amp;MasterStaffList_All[[#This Row],[Resource]]</f>
        <v>BDAIN58</v>
      </c>
    </row>
    <row r="60" spans="1:27" hidden="1" x14ac:dyDescent="0.25">
      <c r="A60" t="s">
        <v>204</v>
      </c>
      <c r="B60" t="s">
        <v>22</v>
      </c>
      <c r="C60">
        <v>59</v>
      </c>
      <c r="E60" t="s">
        <v>76</v>
      </c>
      <c r="F60" t="s">
        <v>205</v>
      </c>
      <c r="G60" t="s">
        <v>78</v>
      </c>
      <c r="H60" t="s">
        <v>88</v>
      </c>
      <c r="I60" t="s">
        <v>22</v>
      </c>
      <c r="J60" t="b">
        <v>1</v>
      </c>
      <c r="K60" t="b">
        <v>1</v>
      </c>
      <c r="L60" t="s">
        <v>95</v>
      </c>
      <c r="M60" t="s">
        <v>81</v>
      </c>
      <c r="O60" t="s">
        <v>89</v>
      </c>
      <c r="P60">
        <v>76</v>
      </c>
      <c r="Q60">
        <v>46223</v>
      </c>
      <c r="R6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89</v>
      </c>
      <c r="Z60" t="s">
        <v>78</v>
      </c>
      <c r="AA60" t="str">
        <f>MasterStaffList_All[[#This Row],[Facility]]&amp;MasterStaffList_All[[#This Row],[Role]]&amp;MasterStaffList_All[[#This Row],[Resource]]</f>
        <v>BDAIN59</v>
      </c>
    </row>
    <row r="61" spans="1:27" hidden="1" x14ac:dyDescent="0.25">
      <c r="A61" t="s">
        <v>206</v>
      </c>
      <c r="B61" t="s">
        <v>22</v>
      </c>
      <c r="C61">
        <v>60</v>
      </c>
      <c r="E61" t="s">
        <v>76</v>
      </c>
      <c r="F61" t="s">
        <v>207</v>
      </c>
      <c r="G61" t="s">
        <v>78</v>
      </c>
      <c r="H61" t="s">
        <v>79</v>
      </c>
      <c r="I61" t="s">
        <v>22</v>
      </c>
      <c r="J61" t="b">
        <v>1</v>
      </c>
      <c r="K61" t="b">
        <v>1</v>
      </c>
      <c r="L61" t="s">
        <v>95</v>
      </c>
      <c r="M61" t="s">
        <v>81</v>
      </c>
      <c r="O61" t="s">
        <v>82</v>
      </c>
      <c r="P61">
        <v>37.5</v>
      </c>
      <c r="Q61">
        <v>46223</v>
      </c>
      <c r="R61">
        <v>46250</v>
      </c>
      <c r="S61">
        <v>2</v>
      </c>
      <c r="T61">
        <v>75</v>
      </c>
      <c r="U61">
        <v>9.8684210526315788</v>
      </c>
      <c r="V61">
        <v>9</v>
      </c>
      <c r="W61">
        <v>20</v>
      </c>
      <c r="X61">
        <v>9</v>
      </c>
      <c r="Y61" t="s">
        <v>83</v>
      </c>
      <c r="Z61" t="s">
        <v>78</v>
      </c>
      <c r="AA61" t="str">
        <f>MasterStaffList_All[[#This Row],[Facility]]&amp;MasterStaffList_All[[#This Row],[Role]]&amp;MasterStaffList_All[[#This Row],[Resource]]</f>
        <v>BDAIN60</v>
      </c>
    </row>
    <row r="62" spans="1:27" hidden="1" x14ac:dyDescent="0.25">
      <c r="A62" t="s">
        <v>208</v>
      </c>
      <c r="B62" t="s">
        <v>22</v>
      </c>
      <c r="C62">
        <v>61</v>
      </c>
      <c r="E62" t="s">
        <v>76</v>
      </c>
      <c r="F62" t="s">
        <v>209</v>
      </c>
      <c r="G62" t="s">
        <v>78</v>
      </c>
      <c r="H62" t="s">
        <v>79</v>
      </c>
      <c r="I62" t="s">
        <v>22</v>
      </c>
      <c r="J62" t="b">
        <v>1</v>
      </c>
      <c r="K62" t="b">
        <v>1</v>
      </c>
      <c r="L62" t="s">
        <v>95</v>
      </c>
      <c r="M62" t="s">
        <v>81</v>
      </c>
      <c r="O62" t="s">
        <v>82</v>
      </c>
      <c r="P62">
        <v>60</v>
      </c>
      <c r="Q62">
        <v>46223</v>
      </c>
      <c r="R62">
        <v>46250</v>
      </c>
      <c r="S62">
        <v>2</v>
      </c>
      <c r="T62">
        <v>120</v>
      </c>
      <c r="U62">
        <v>15.789473684210527</v>
      </c>
      <c r="V62">
        <v>15</v>
      </c>
      <c r="W62">
        <v>20</v>
      </c>
      <c r="X62">
        <v>15</v>
      </c>
      <c r="Y62" t="s">
        <v>83</v>
      </c>
      <c r="Z62" t="s">
        <v>78</v>
      </c>
      <c r="AA62" t="str">
        <f>MasterStaffList_All[[#This Row],[Facility]]&amp;MasterStaffList_All[[#This Row],[Role]]&amp;MasterStaffList_All[[#This Row],[Resource]]</f>
        <v>BDAIN61</v>
      </c>
    </row>
    <row r="63" spans="1:27" hidden="1" x14ac:dyDescent="0.25">
      <c r="A63" t="s">
        <v>212</v>
      </c>
      <c r="B63" t="s">
        <v>22</v>
      </c>
      <c r="C63">
        <v>63</v>
      </c>
      <c r="E63" t="s">
        <v>76</v>
      </c>
      <c r="F63" t="s">
        <v>213</v>
      </c>
      <c r="G63" t="s">
        <v>78</v>
      </c>
      <c r="H63" t="s">
        <v>79</v>
      </c>
      <c r="I63" t="s">
        <v>22</v>
      </c>
      <c r="J63" t="b">
        <v>1</v>
      </c>
      <c r="K63" t="b">
        <v>1</v>
      </c>
      <c r="L63" t="s">
        <v>95</v>
      </c>
      <c r="M63" t="s">
        <v>81</v>
      </c>
      <c r="O63" t="s">
        <v>82</v>
      </c>
      <c r="P63">
        <v>67.5</v>
      </c>
      <c r="Q63">
        <v>46223</v>
      </c>
      <c r="R63">
        <v>46250</v>
      </c>
      <c r="S63">
        <v>2</v>
      </c>
      <c r="T63">
        <v>135</v>
      </c>
      <c r="U63">
        <v>17.763157894736842</v>
      </c>
      <c r="V63">
        <v>17</v>
      </c>
      <c r="W63">
        <v>20</v>
      </c>
      <c r="X63">
        <v>17</v>
      </c>
      <c r="Y63" t="s">
        <v>83</v>
      </c>
      <c r="Z63" t="s">
        <v>78</v>
      </c>
      <c r="AA63" t="str">
        <f>MasterStaffList_All[[#This Row],[Facility]]&amp;MasterStaffList_All[[#This Row],[Role]]&amp;MasterStaffList_All[[#This Row],[Resource]]</f>
        <v>BDAIN63</v>
      </c>
    </row>
    <row r="64" spans="1:27" hidden="1" x14ac:dyDescent="0.25">
      <c r="A64" t="s">
        <v>216</v>
      </c>
      <c r="B64" t="s">
        <v>22</v>
      </c>
      <c r="C64">
        <v>65</v>
      </c>
      <c r="E64" t="s">
        <v>76</v>
      </c>
      <c r="F64" t="s">
        <v>217</v>
      </c>
      <c r="G64" t="s">
        <v>78</v>
      </c>
      <c r="H64" t="s">
        <v>79</v>
      </c>
      <c r="I64" t="s">
        <v>22</v>
      </c>
      <c r="J64" t="b">
        <v>1</v>
      </c>
      <c r="K64" t="b">
        <v>1</v>
      </c>
      <c r="L64" t="s">
        <v>95</v>
      </c>
      <c r="M64" t="s">
        <v>81</v>
      </c>
      <c r="O64" t="s">
        <v>82</v>
      </c>
      <c r="P64">
        <v>30</v>
      </c>
      <c r="Q64">
        <v>46223</v>
      </c>
      <c r="R64">
        <v>46250</v>
      </c>
      <c r="S64">
        <v>2</v>
      </c>
      <c r="T64">
        <v>60</v>
      </c>
      <c r="U64">
        <v>7.8947368421052637</v>
      </c>
      <c r="V64">
        <v>7</v>
      </c>
      <c r="W64">
        <v>20</v>
      </c>
      <c r="X64">
        <v>7</v>
      </c>
      <c r="Y64" t="s">
        <v>83</v>
      </c>
      <c r="Z64" t="s">
        <v>78</v>
      </c>
      <c r="AA64" t="str">
        <f>MasterStaffList_All[[#This Row],[Facility]]&amp;MasterStaffList_All[[#This Row],[Role]]&amp;MasterStaffList_All[[#This Row],[Resource]]</f>
        <v>BDAIN65</v>
      </c>
    </row>
    <row r="65" spans="1:27" hidden="1" x14ac:dyDescent="0.25">
      <c r="A65" t="s">
        <v>218</v>
      </c>
      <c r="B65" t="s">
        <v>22</v>
      </c>
      <c r="C65">
        <v>66</v>
      </c>
      <c r="E65" t="s">
        <v>76</v>
      </c>
      <c r="F65" t="s">
        <v>219</v>
      </c>
      <c r="G65" t="s">
        <v>78</v>
      </c>
      <c r="H65" t="s">
        <v>79</v>
      </c>
      <c r="I65" t="s">
        <v>22</v>
      </c>
      <c r="J65" t="b">
        <v>1</v>
      </c>
      <c r="K65" t="b">
        <v>1</v>
      </c>
      <c r="L65" t="s">
        <v>95</v>
      </c>
      <c r="M65" t="s">
        <v>81</v>
      </c>
      <c r="O65" t="s">
        <v>82</v>
      </c>
      <c r="P65">
        <v>67.5</v>
      </c>
      <c r="Q65">
        <v>46223</v>
      </c>
      <c r="R65">
        <v>46250</v>
      </c>
      <c r="S65">
        <v>2</v>
      </c>
      <c r="T65">
        <v>135</v>
      </c>
      <c r="U65">
        <v>17.763157894736842</v>
      </c>
      <c r="V65">
        <v>17</v>
      </c>
      <c r="W65">
        <v>20</v>
      </c>
      <c r="X65">
        <v>17</v>
      </c>
      <c r="Y65" t="s">
        <v>83</v>
      </c>
      <c r="Z65" t="s">
        <v>78</v>
      </c>
      <c r="AA65" t="str">
        <f>MasterStaffList_All[[#This Row],[Facility]]&amp;MasterStaffList_All[[#This Row],[Role]]&amp;MasterStaffList_All[[#This Row],[Resource]]</f>
        <v>BDAIN66</v>
      </c>
    </row>
    <row r="66" spans="1:27" hidden="1" x14ac:dyDescent="0.25">
      <c r="A66" t="s">
        <v>220</v>
      </c>
      <c r="B66" t="s">
        <v>22</v>
      </c>
      <c r="C66">
        <v>67</v>
      </c>
      <c r="E66" t="s">
        <v>76</v>
      </c>
      <c r="F66" t="s">
        <v>221</v>
      </c>
      <c r="G66" t="s">
        <v>78</v>
      </c>
      <c r="H66" t="s">
        <v>79</v>
      </c>
      <c r="I66" t="s">
        <v>22</v>
      </c>
      <c r="J66" t="b">
        <v>1</v>
      </c>
      <c r="K66" t="b">
        <v>1</v>
      </c>
      <c r="L66" t="s">
        <v>95</v>
      </c>
      <c r="M66" t="s">
        <v>81</v>
      </c>
      <c r="O66" t="s">
        <v>82</v>
      </c>
      <c r="P66">
        <v>45</v>
      </c>
      <c r="Q66">
        <v>46223</v>
      </c>
      <c r="R66">
        <v>46250</v>
      </c>
      <c r="S66">
        <v>2</v>
      </c>
      <c r="T66">
        <v>90</v>
      </c>
      <c r="U66">
        <v>11.842105263157896</v>
      </c>
      <c r="V66">
        <v>11</v>
      </c>
      <c r="W66">
        <v>20</v>
      </c>
      <c r="X66">
        <v>11</v>
      </c>
      <c r="Y66" t="s">
        <v>83</v>
      </c>
      <c r="Z66" t="s">
        <v>78</v>
      </c>
      <c r="AA66" t="str">
        <f>MasterStaffList_All[[#This Row],[Facility]]&amp;MasterStaffList_All[[#This Row],[Role]]&amp;MasterStaffList_All[[#This Row],[Resource]]</f>
        <v>BDAIN67</v>
      </c>
    </row>
    <row r="67" spans="1:27" x14ac:dyDescent="0.25">
      <c r="A67" t="s">
        <v>222</v>
      </c>
      <c r="B67" t="s">
        <v>22</v>
      </c>
      <c r="C67">
        <v>68</v>
      </c>
      <c r="D67" t="s">
        <v>40</v>
      </c>
      <c r="E67" t="s">
        <v>76</v>
      </c>
      <c r="F67" t="s">
        <v>223</v>
      </c>
      <c r="G67" t="s">
        <v>78</v>
      </c>
      <c r="H67" t="s">
        <v>79</v>
      </c>
      <c r="I67" t="s">
        <v>22</v>
      </c>
      <c r="J67" t="b">
        <v>0</v>
      </c>
      <c r="K67" t="b">
        <v>1</v>
      </c>
      <c r="L67" t="s">
        <v>80</v>
      </c>
      <c r="M67" t="s">
        <v>81</v>
      </c>
      <c r="O67" t="s">
        <v>82</v>
      </c>
      <c r="P67">
        <v>22</v>
      </c>
      <c r="Q67">
        <v>46223</v>
      </c>
      <c r="R67">
        <v>46250</v>
      </c>
      <c r="S67">
        <v>2</v>
      </c>
      <c r="T67">
        <v>44</v>
      </c>
      <c r="U67">
        <v>5.7894736842105265</v>
      </c>
      <c r="V67">
        <v>5</v>
      </c>
      <c r="W67">
        <v>20</v>
      </c>
      <c r="X67">
        <v>5</v>
      </c>
      <c r="Y67" t="s">
        <v>83</v>
      </c>
      <c r="Z67" t="s">
        <v>78</v>
      </c>
      <c r="AA67" t="str">
        <f>MasterStaffList_All[[#This Row],[Facility]]&amp;MasterStaffList_All[[#This Row],[Role]]&amp;MasterStaffList_All[[#This Row],[Resource]]</f>
        <v>BDAIN68</v>
      </c>
    </row>
    <row r="68" spans="1:27" x14ac:dyDescent="0.25">
      <c r="A68" t="s">
        <v>224</v>
      </c>
      <c r="B68" t="s">
        <v>22</v>
      </c>
      <c r="C68">
        <v>69</v>
      </c>
      <c r="D68" t="s">
        <v>40</v>
      </c>
      <c r="E68" t="s">
        <v>76</v>
      </c>
      <c r="F68" t="s">
        <v>225</v>
      </c>
      <c r="G68" t="s">
        <v>78</v>
      </c>
      <c r="H68" t="s">
        <v>88</v>
      </c>
      <c r="I68" t="s">
        <v>22</v>
      </c>
      <c r="J68" t="b">
        <v>0</v>
      </c>
      <c r="K68" t="b">
        <v>1</v>
      </c>
      <c r="L68" t="s">
        <v>80</v>
      </c>
      <c r="M68" t="s">
        <v>81</v>
      </c>
      <c r="O68" t="s">
        <v>89</v>
      </c>
      <c r="P68">
        <v>76</v>
      </c>
      <c r="Q68">
        <v>46223</v>
      </c>
      <c r="R68">
        <v>46250</v>
      </c>
      <c r="S68">
        <v>2</v>
      </c>
      <c r="T68">
        <v>152</v>
      </c>
      <c r="U68">
        <v>20</v>
      </c>
      <c r="V68">
        <v>20</v>
      </c>
      <c r="W68">
        <v>20</v>
      </c>
      <c r="X68">
        <v>20</v>
      </c>
      <c r="Y68" t="s">
        <v>89</v>
      </c>
      <c r="Z68" t="s">
        <v>78</v>
      </c>
      <c r="AA68" t="str">
        <f>MasterStaffList_All[[#This Row],[Facility]]&amp;MasterStaffList_All[[#This Row],[Role]]&amp;MasterStaffList_All[[#This Row],[Resource]]</f>
        <v>BDAIN69</v>
      </c>
    </row>
    <row r="69" spans="1:27" hidden="1" x14ac:dyDescent="0.25">
      <c r="A69" t="s">
        <v>226</v>
      </c>
      <c r="B69" t="s">
        <v>22</v>
      </c>
      <c r="C69">
        <v>70</v>
      </c>
      <c r="E69" t="s">
        <v>76</v>
      </c>
      <c r="F69" t="s">
        <v>227</v>
      </c>
      <c r="G69" t="s">
        <v>78</v>
      </c>
      <c r="H69" t="s">
        <v>79</v>
      </c>
      <c r="I69" t="s">
        <v>22</v>
      </c>
      <c r="J69" t="b">
        <v>1</v>
      </c>
      <c r="K69" t="b">
        <v>1</v>
      </c>
      <c r="L69" t="s">
        <v>95</v>
      </c>
      <c r="M69" t="s">
        <v>81</v>
      </c>
      <c r="O69" t="s">
        <v>82</v>
      </c>
      <c r="P69">
        <v>67.5</v>
      </c>
      <c r="Q69">
        <v>46223</v>
      </c>
      <c r="R69">
        <v>46250</v>
      </c>
      <c r="S69">
        <v>2</v>
      </c>
      <c r="T69">
        <v>135</v>
      </c>
      <c r="U69">
        <v>17.763157894736842</v>
      </c>
      <c r="V69">
        <v>17</v>
      </c>
      <c r="W69">
        <v>20</v>
      </c>
      <c r="X69">
        <v>17</v>
      </c>
      <c r="Y69" t="s">
        <v>83</v>
      </c>
      <c r="Z69" t="s">
        <v>78</v>
      </c>
      <c r="AA69" t="str">
        <f>MasterStaffList_All[[#This Row],[Facility]]&amp;MasterStaffList_All[[#This Row],[Role]]&amp;MasterStaffList_All[[#This Row],[Resource]]</f>
        <v>BDAIN70</v>
      </c>
    </row>
    <row r="70" spans="1:27" hidden="1" x14ac:dyDescent="0.25">
      <c r="A70" t="s">
        <v>228</v>
      </c>
      <c r="B70" t="s">
        <v>22</v>
      </c>
      <c r="C70">
        <v>71</v>
      </c>
      <c r="E70" t="s">
        <v>76</v>
      </c>
      <c r="F70" t="s">
        <v>229</v>
      </c>
      <c r="G70" t="s">
        <v>78</v>
      </c>
      <c r="H70" t="s">
        <v>79</v>
      </c>
      <c r="I70" t="s">
        <v>22</v>
      </c>
      <c r="J70" t="b">
        <v>1</v>
      </c>
      <c r="K70" t="b">
        <v>1</v>
      </c>
      <c r="L70" t="s">
        <v>95</v>
      </c>
      <c r="M70" t="s">
        <v>81</v>
      </c>
      <c r="O70" t="s">
        <v>82</v>
      </c>
      <c r="P70">
        <v>67.5</v>
      </c>
      <c r="Q70">
        <v>46223</v>
      </c>
      <c r="R70">
        <v>46250</v>
      </c>
      <c r="S70">
        <v>2</v>
      </c>
      <c r="T70">
        <v>135</v>
      </c>
      <c r="U70">
        <v>17.763157894736842</v>
      </c>
      <c r="V70">
        <v>17</v>
      </c>
      <c r="W70">
        <v>20</v>
      </c>
      <c r="X70">
        <v>17</v>
      </c>
      <c r="Y70" t="s">
        <v>83</v>
      </c>
      <c r="Z70" t="s">
        <v>78</v>
      </c>
      <c r="AA70" t="str">
        <f>MasterStaffList_All[[#This Row],[Facility]]&amp;MasterStaffList_All[[#This Row],[Role]]&amp;MasterStaffList_All[[#This Row],[Resource]]</f>
        <v>BDAIN71</v>
      </c>
    </row>
    <row r="71" spans="1:27" hidden="1" x14ac:dyDescent="0.25">
      <c r="A71" t="s">
        <v>230</v>
      </c>
      <c r="B71" t="s">
        <v>22</v>
      </c>
      <c r="C71">
        <v>72</v>
      </c>
      <c r="E71" t="s">
        <v>76</v>
      </c>
      <c r="F71" t="s">
        <v>231</v>
      </c>
      <c r="G71" t="s">
        <v>78</v>
      </c>
      <c r="H71" t="s">
        <v>79</v>
      </c>
      <c r="I71" t="s">
        <v>22</v>
      </c>
      <c r="J71" t="b">
        <v>1</v>
      </c>
      <c r="K71" t="b">
        <v>1</v>
      </c>
      <c r="L71" t="s">
        <v>95</v>
      </c>
      <c r="M71" t="s">
        <v>81</v>
      </c>
      <c r="O71" t="s">
        <v>82</v>
      </c>
      <c r="P71">
        <v>52.5</v>
      </c>
      <c r="Q71">
        <v>46223</v>
      </c>
      <c r="R71">
        <v>46250</v>
      </c>
      <c r="S71">
        <v>2</v>
      </c>
      <c r="T71">
        <v>105</v>
      </c>
      <c r="U71">
        <v>13.815789473684212</v>
      </c>
      <c r="V71">
        <v>13</v>
      </c>
      <c r="W71">
        <v>20</v>
      </c>
      <c r="X71">
        <v>13</v>
      </c>
      <c r="Y71" t="s">
        <v>83</v>
      </c>
      <c r="Z71" t="s">
        <v>78</v>
      </c>
      <c r="AA71" t="str">
        <f>MasterStaffList_All[[#This Row],[Facility]]&amp;MasterStaffList_All[[#This Row],[Role]]&amp;MasterStaffList_All[[#This Row],[Resource]]</f>
        <v>BDAIN72</v>
      </c>
    </row>
    <row r="72" spans="1:27" x14ac:dyDescent="0.25">
      <c r="A72" t="s">
        <v>238</v>
      </c>
      <c r="B72" t="s">
        <v>22</v>
      </c>
      <c r="C72">
        <v>76</v>
      </c>
      <c r="D72" t="s">
        <v>40</v>
      </c>
      <c r="E72" t="s">
        <v>76</v>
      </c>
      <c r="F72" t="s">
        <v>239</v>
      </c>
      <c r="G72" t="s">
        <v>78</v>
      </c>
      <c r="H72" t="s">
        <v>88</v>
      </c>
      <c r="I72" t="s">
        <v>22</v>
      </c>
      <c r="J72" t="b">
        <v>0</v>
      </c>
      <c r="K72" t="b">
        <v>1</v>
      </c>
      <c r="L72" t="s">
        <v>80</v>
      </c>
      <c r="M72" t="s">
        <v>81</v>
      </c>
      <c r="O72" t="s">
        <v>89</v>
      </c>
      <c r="P72">
        <v>76</v>
      </c>
      <c r="Q72">
        <v>46223</v>
      </c>
      <c r="R72">
        <v>46250</v>
      </c>
      <c r="S72">
        <v>2</v>
      </c>
      <c r="T72">
        <v>152</v>
      </c>
      <c r="U72">
        <v>20</v>
      </c>
      <c r="V72">
        <v>20</v>
      </c>
      <c r="W72">
        <v>20</v>
      </c>
      <c r="X72">
        <v>20</v>
      </c>
      <c r="Y72" t="s">
        <v>89</v>
      </c>
      <c r="Z72" t="s">
        <v>78</v>
      </c>
      <c r="AA72" t="str">
        <f>MasterStaffList_All[[#This Row],[Facility]]&amp;MasterStaffList_All[[#This Row],[Role]]&amp;MasterStaffList_All[[#This Row],[Resource]]</f>
        <v>BDAIN76</v>
      </c>
    </row>
    <row r="73" spans="1:27" hidden="1" x14ac:dyDescent="0.25">
      <c r="A73" t="s">
        <v>240</v>
      </c>
      <c r="B73" t="s">
        <v>22</v>
      </c>
      <c r="C73">
        <v>77</v>
      </c>
      <c r="E73" t="s">
        <v>76</v>
      </c>
      <c r="F73" t="s">
        <v>241</v>
      </c>
      <c r="G73" t="s">
        <v>78</v>
      </c>
      <c r="H73" t="s">
        <v>79</v>
      </c>
      <c r="I73" t="s">
        <v>22</v>
      </c>
      <c r="J73" t="b">
        <v>1</v>
      </c>
      <c r="K73" t="b">
        <v>1</v>
      </c>
      <c r="L73" t="s">
        <v>95</v>
      </c>
      <c r="M73" t="s">
        <v>81</v>
      </c>
      <c r="O73" t="s">
        <v>82</v>
      </c>
      <c r="P73">
        <v>60</v>
      </c>
      <c r="Q73">
        <v>46223</v>
      </c>
      <c r="R73">
        <v>46250</v>
      </c>
      <c r="S73">
        <v>2</v>
      </c>
      <c r="T73">
        <v>120</v>
      </c>
      <c r="U73">
        <v>15.789473684210527</v>
      </c>
      <c r="V73">
        <v>15</v>
      </c>
      <c r="W73">
        <v>20</v>
      </c>
      <c r="X73">
        <v>15</v>
      </c>
      <c r="Y73" t="s">
        <v>83</v>
      </c>
      <c r="Z73" t="s">
        <v>78</v>
      </c>
      <c r="AA73" t="str">
        <f>MasterStaffList_All[[#This Row],[Facility]]&amp;MasterStaffList_All[[#This Row],[Role]]&amp;MasterStaffList_All[[#This Row],[Resource]]</f>
        <v>BDAIN77</v>
      </c>
    </row>
    <row r="74" spans="1:27" hidden="1" x14ac:dyDescent="0.25">
      <c r="A74" t="s">
        <v>246</v>
      </c>
      <c r="B74" t="s">
        <v>22</v>
      </c>
      <c r="C74">
        <v>80</v>
      </c>
      <c r="E74" t="s">
        <v>76</v>
      </c>
      <c r="F74" t="s">
        <v>247</v>
      </c>
      <c r="G74" t="s">
        <v>78</v>
      </c>
      <c r="H74" t="s">
        <v>79</v>
      </c>
      <c r="I74" t="s">
        <v>22</v>
      </c>
      <c r="J74" t="b">
        <v>1</v>
      </c>
      <c r="K74" t="b">
        <v>1</v>
      </c>
      <c r="L74" t="s">
        <v>95</v>
      </c>
      <c r="M74" t="s">
        <v>81</v>
      </c>
      <c r="O74" t="s">
        <v>82</v>
      </c>
      <c r="P74">
        <v>52.5</v>
      </c>
      <c r="Q74">
        <v>46223</v>
      </c>
      <c r="R74">
        <v>46250</v>
      </c>
      <c r="S74">
        <v>2</v>
      </c>
      <c r="T74">
        <v>105</v>
      </c>
      <c r="U74">
        <v>13.815789473684212</v>
      </c>
      <c r="V74">
        <v>13</v>
      </c>
      <c r="W74">
        <v>20</v>
      </c>
      <c r="X74">
        <v>13</v>
      </c>
      <c r="Y74" t="s">
        <v>83</v>
      </c>
      <c r="Z74" t="s">
        <v>78</v>
      </c>
      <c r="AA74" t="str">
        <f>MasterStaffList_All[[#This Row],[Facility]]&amp;MasterStaffList_All[[#This Row],[Role]]&amp;MasterStaffList_All[[#This Row],[Resource]]</f>
        <v>BDAIN80</v>
      </c>
    </row>
    <row r="75" spans="1:27" hidden="1" x14ac:dyDescent="0.25">
      <c r="A75" t="s">
        <v>250</v>
      </c>
      <c r="B75" t="s">
        <v>22</v>
      </c>
      <c r="C75">
        <v>82</v>
      </c>
      <c r="E75" t="s">
        <v>76</v>
      </c>
      <c r="F75" t="s">
        <v>251</v>
      </c>
      <c r="G75" t="s">
        <v>78</v>
      </c>
      <c r="H75" t="s">
        <v>79</v>
      </c>
      <c r="I75" t="s">
        <v>22</v>
      </c>
      <c r="J75" t="b">
        <v>1</v>
      </c>
      <c r="K75" t="b">
        <v>1</v>
      </c>
      <c r="L75" t="s">
        <v>95</v>
      </c>
      <c r="M75" t="s">
        <v>81</v>
      </c>
      <c r="O75" t="s">
        <v>82</v>
      </c>
      <c r="P75">
        <v>16</v>
      </c>
      <c r="Q75">
        <v>46223</v>
      </c>
      <c r="R75">
        <v>46250</v>
      </c>
      <c r="S75">
        <v>2</v>
      </c>
      <c r="T75">
        <v>32</v>
      </c>
      <c r="U75">
        <v>4.2105263157894735</v>
      </c>
      <c r="V75">
        <v>4</v>
      </c>
      <c r="W75">
        <v>20</v>
      </c>
      <c r="X75">
        <v>4</v>
      </c>
      <c r="Y75" t="s">
        <v>83</v>
      </c>
      <c r="Z75" t="s">
        <v>78</v>
      </c>
      <c r="AA75" t="str">
        <f>MasterStaffList_All[[#This Row],[Facility]]&amp;MasterStaffList_All[[#This Row],[Role]]&amp;MasterStaffList_All[[#This Row],[Resource]]</f>
        <v>BDAIN82</v>
      </c>
    </row>
    <row r="76" spans="1:27" hidden="1" x14ac:dyDescent="0.25">
      <c r="A76" t="s">
        <v>252</v>
      </c>
      <c r="B76" t="s">
        <v>22</v>
      </c>
      <c r="C76">
        <v>83</v>
      </c>
      <c r="E76" t="s">
        <v>76</v>
      </c>
      <c r="F76" t="s">
        <v>253</v>
      </c>
      <c r="G76" t="s">
        <v>78</v>
      </c>
      <c r="H76" t="s">
        <v>79</v>
      </c>
      <c r="I76" t="s">
        <v>22</v>
      </c>
      <c r="J76" t="b">
        <v>1</v>
      </c>
      <c r="K76" t="b">
        <v>1</v>
      </c>
      <c r="L76" t="s">
        <v>95</v>
      </c>
      <c r="M76" t="s">
        <v>81</v>
      </c>
      <c r="O76" t="s">
        <v>82</v>
      </c>
      <c r="P76">
        <v>75</v>
      </c>
      <c r="Q76">
        <v>46223</v>
      </c>
      <c r="R76">
        <v>46250</v>
      </c>
      <c r="S76">
        <v>2</v>
      </c>
      <c r="T76">
        <v>150</v>
      </c>
      <c r="U76">
        <v>19.736842105263161</v>
      </c>
      <c r="V76">
        <v>19</v>
      </c>
      <c r="W76">
        <v>20</v>
      </c>
      <c r="X76">
        <v>19</v>
      </c>
      <c r="Y76" t="s">
        <v>83</v>
      </c>
      <c r="Z76" t="s">
        <v>78</v>
      </c>
      <c r="AA76" t="str">
        <f>MasterStaffList_All[[#This Row],[Facility]]&amp;MasterStaffList_All[[#This Row],[Role]]&amp;MasterStaffList_All[[#This Row],[Resource]]</f>
        <v>BDAIN83</v>
      </c>
    </row>
    <row r="77" spans="1:27" hidden="1" x14ac:dyDescent="0.25">
      <c r="A77" t="s">
        <v>254</v>
      </c>
      <c r="B77" t="s">
        <v>22</v>
      </c>
      <c r="C77">
        <v>84</v>
      </c>
      <c r="E77" t="s">
        <v>76</v>
      </c>
      <c r="F77" t="s">
        <v>255</v>
      </c>
      <c r="G77" t="s">
        <v>78</v>
      </c>
      <c r="H77" t="s">
        <v>110</v>
      </c>
      <c r="I77" t="s">
        <v>22</v>
      </c>
      <c r="J77" t="b">
        <v>1</v>
      </c>
      <c r="K77" t="b">
        <v>1</v>
      </c>
      <c r="L77" t="s">
        <v>95</v>
      </c>
      <c r="M77" t="s">
        <v>81</v>
      </c>
      <c r="O77" t="s">
        <v>82</v>
      </c>
      <c r="P77">
        <v>76</v>
      </c>
      <c r="Q77">
        <v>46223</v>
      </c>
      <c r="R77">
        <v>46250</v>
      </c>
      <c r="S77">
        <v>2</v>
      </c>
      <c r="T77">
        <v>152</v>
      </c>
      <c r="U77">
        <v>20</v>
      </c>
      <c r="V77">
        <v>20</v>
      </c>
      <c r="W77">
        <v>20</v>
      </c>
      <c r="X77">
        <v>20</v>
      </c>
      <c r="Y77" t="s">
        <v>111</v>
      </c>
      <c r="Z77" t="s">
        <v>78</v>
      </c>
      <c r="AA77" t="str">
        <f>MasterStaffList_All[[#This Row],[Facility]]&amp;MasterStaffList_All[[#This Row],[Role]]&amp;MasterStaffList_All[[#This Row],[Resource]]</f>
        <v>BDAIN84</v>
      </c>
    </row>
    <row r="78" spans="1:27" hidden="1" x14ac:dyDescent="0.25">
      <c r="A78" t="s">
        <v>256</v>
      </c>
      <c r="B78" t="s">
        <v>22</v>
      </c>
      <c r="C78">
        <v>85</v>
      </c>
      <c r="D78" t="s">
        <v>40</v>
      </c>
      <c r="E78" t="s">
        <v>76</v>
      </c>
      <c r="F78" t="s">
        <v>257</v>
      </c>
      <c r="G78" t="s">
        <v>78</v>
      </c>
      <c r="H78" t="s">
        <v>79</v>
      </c>
      <c r="I78" t="s">
        <v>22</v>
      </c>
      <c r="J78" t="b">
        <v>0</v>
      </c>
      <c r="K78" t="b">
        <v>1</v>
      </c>
      <c r="L78" t="s">
        <v>80</v>
      </c>
      <c r="M78" t="s">
        <v>81</v>
      </c>
      <c r="O78" t="s">
        <v>82</v>
      </c>
      <c r="P78">
        <v>30</v>
      </c>
      <c r="Q78">
        <v>46223</v>
      </c>
      <c r="R78">
        <v>46250</v>
      </c>
      <c r="S78">
        <v>2</v>
      </c>
      <c r="T78">
        <v>60</v>
      </c>
      <c r="U78">
        <v>7.8947368421052637</v>
      </c>
      <c r="V78">
        <v>7</v>
      </c>
      <c r="W78">
        <v>20</v>
      </c>
      <c r="X78">
        <v>7</v>
      </c>
      <c r="Y78" t="s">
        <v>83</v>
      </c>
      <c r="Z78" t="s">
        <v>78</v>
      </c>
      <c r="AA78" t="str">
        <f>MasterStaffList_All[[#This Row],[Facility]]&amp;MasterStaffList_All[[#This Row],[Role]]&amp;MasterStaffList_All[[#This Row],[Resource]]</f>
        <v>BDAIN85</v>
      </c>
    </row>
    <row r="79" spans="1:27" x14ac:dyDescent="0.25">
      <c r="A79" t="s">
        <v>258</v>
      </c>
      <c r="B79" t="s">
        <v>22</v>
      </c>
      <c r="C79">
        <v>86</v>
      </c>
      <c r="D79" t="s">
        <v>40</v>
      </c>
      <c r="E79" t="s">
        <v>76</v>
      </c>
      <c r="F79" t="s">
        <v>259</v>
      </c>
      <c r="G79" t="s">
        <v>78</v>
      </c>
      <c r="H79" t="s">
        <v>79</v>
      </c>
      <c r="I79" t="s">
        <v>22</v>
      </c>
      <c r="J79" t="b">
        <v>0</v>
      </c>
      <c r="K79" t="b">
        <v>1</v>
      </c>
      <c r="L79" t="s">
        <v>80</v>
      </c>
      <c r="M79" t="s">
        <v>81</v>
      </c>
      <c r="O79" t="s">
        <v>82</v>
      </c>
      <c r="P79">
        <v>32</v>
      </c>
      <c r="Q79">
        <v>46223</v>
      </c>
      <c r="R79">
        <v>46250</v>
      </c>
      <c r="S79">
        <v>2</v>
      </c>
      <c r="T79">
        <v>64</v>
      </c>
      <c r="U79">
        <v>8.4210526315789469</v>
      </c>
      <c r="V79">
        <v>8</v>
      </c>
      <c r="W79">
        <v>20</v>
      </c>
      <c r="X79">
        <v>8</v>
      </c>
      <c r="Y79" t="s">
        <v>83</v>
      </c>
      <c r="Z79" t="s">
        <v>78</v>
      </c>
      <c r="AA79" t="str">
        <f>MasterStaffList_All[[#This Row],[Facility]]&amp;MasterStaffList_All[[#This Row],[Role]]&amp;MasterStaffList_All[[#This Row],[Resource]]</f>
        <v>BDAIN86</v>
      </c>
    </row>
    <row r="80" spans="1:27" hidden="1" x14ac:dyDescent="0.25">
      <c r="A80" t="s">
        <v>264</v>
      </c>
      <c r="B80" t="s">
        <v>22</v>
      </c>
      <c r="C80">
        <v>89</v>
      </c>
      <c r="D80" t="s">
        <v>40</v>
      </c>
      <c r="E80" t="s">
        <v>76</v>
      </c>
      <c r="F80" t="s">
        <v>265</v>
      </c>
      <c r="G80" t="s">
        <v>78</v>
      </c>
      <c r="H80" t="s">
        <v>88</v>
      </c>
      <c r="I80" t="s">
        <v>22</v>
      </c>
      <c r="J80" t="b">
        <v>0</v>
      </c>
      <c r="K80" t="b">
        <v>1</v>
      </c>
      <c r="L80" t="s">
        <v>80</v>
      </c>
      <c r="M80" t="s">
        <v>81</v>
      </c>
      <c r="O80" t="s">
        <v>89</v>
      </c>
      <c r="P80">
        <v>76</v>
      </c>
      <c r="Q80">
        <v>46223</v>
      </c>
      <c r="R80">
        <v>46250</v>
      </c>
      <c r="S80">
        <v>2</v>
      </c>
      <c r="T80">
        <v>152</v>
      </c>
      <c r="U80">
        <v>20</v>
      </c>
      <c r="V80">
        <v>20</v>
      </c>
      <c r="W80">
        <v>20</v>
      </c>
      <c r="X80">
        <v>20</v>
      </c>
      <c r="Y80" t="s">
        <v>89</v>
      </c>
      <c r="Z80" t="s">
        <v>78</v>
      </c>
      <c r="AA80" t="str">
        <f>MasterStaffList_All[[#This Row],[Facility]]&amp;MasterStaffList_All[[#This Row],[Role]]&amp;MasterStaffList_All[[#This Row],[Resource]]</f>
        <v>BDAIN89</v>
      </c>
    </row>
    <row r="81" spans="1:27" hidden="1" x14ac:dyDescent="0.25">
      <c r="A81" t="s">
        <v>102</v>
      </c>
      <c r="B81" t="s">
        <v>22</v>
      </c>
      <c r="C81">
        <v>9</v>
      </c>
      <c r="E81" t="s">
        <v>76</v>
      </c>
      <c r="F81" t="s">
        <v>103</v>
      </c>
      <c r="G81" t="s">
        <v>78</v>
      </c>
      <c r="H81" t="s">
        <v>79</v>
      </c>
      <c r="I81" t="s">
        <v>22</v>
      </c>
      <c r="J81" t="b">
        <v>1</v>
      </c>
      <c r="K81" t="b">
        <v>1</v>
      </c>
      <c r="L81" t="s">
        <v>95</v>
      </c>
      <c r="M81" t="s">
        <v>81</v>
      </c>
      <c r="O81" t="s">
        <v>82</v>
      </c>
      <c r="P81">
        <v>37.5</v>
      </c>
      <c r="Q81">
        <v>46223</v>
      </c>
      <c r="R81">
        <v>46250</v>
      </c>
      <c r="S81">
        <v>2</v>
      </c>
      <c r="T81">
        <v>75</v>
      </c>
      <c r="U81">
        <v>9.8684210526315788</v>
      </c>
      <c r="V81">
        <v>9</v>
      </c>
      <c r="W81">
        <v>20</v>
      </c>
      <c r="X81">
        <v>9</v>
      </c>
      <c r="Y81" t="s">
        <v>83</v>
      </c>
      <c r="Z81" t="s">
        <v>78</v>
      </c>
      <c r="AA81" t="str">
        <f>MasterStaffList_All[[#This Row],[Facility]]&amp;MasterStaffList_All[[#This Row],[Role]]&amp;MasterStaffList_All[[#This Row],[Resource]]</f>
        <v>BDAIN9</v>
      </c>
    </row>
    <row r="82" spans="1:27" x14ac:dyDescent="0.25">
      <c r="A82" t="s">
        <v>266</v>
      </c>
      <c r="B82" t="s">
        <v>22</v>
      </c>
      <c r="C82">
        <v>90</v>
      </c>
      <c r="D82" t="s">
        <v>40</v>
      </c>
      <c r="E82" t="s">
        <v>76</v>
      </c>
      <c r="F82" t="s">
        <v>267</v>
      </c>
      <c r="G82" t="s">
        <v>78</v>
      </c>
      <c r="H82" t="s">
        <v>88</v>
      </c>
      <c r="I82" t="s">
        <v>22</v>
      </c>
      <c r="J82" t="b">
        <v>0</v>
      </c>
      <c r="K82" t="b">
        <v>1</v>
      </c>
      <c r="L82" t="s">
        <v>80</v>
      </c>
      <c r="M82" t="s">
        <v>81</v>
      </c>
      <c r="O82" t="s">
        <v>89</v>
      </c>
      <c r="P82">
        <v>76</v>
      </c>
      <c r="Q82">
        <v>46223</v>
      </c>
      <c r="R82">
        <v>46250</v>
      </c>
      <c r="S82">
        <v>2</v>
      </c>
      <c r="T82">
        <v>152</v>
      </c>
      <c r="U82">
        <v>20</v>
      </c>
      <c r="V82">
        <v>20</v>
      </c>
      <c r="W82">
        <v>20</v>
      </c>
      <c r="X82">
        <v>20</v>
      </c>
      <c r="Y82" t="s">
        <v>89</v>
      </c>
      <c r="Z82" t="s">
        <v>78</v>
      </c>
      <c r="AA82" t="str">
        <f>MasterStaffList_All[[#This Row],[Facility]]&amp;MasterStaffList_All[[#This Row],[Role]]&amp;MasterStaffList_All[[#This Row],[Resource]]</f>
        <v>BDAIN90</v>
      </c>
    </row>
    <row r="83" spans="1:27" hidden="1" x14ac:dyDescent="0.25">
      <c r="A83" t="s">
        <v>270</v>
      </c>
      <c r="B83" t="s">
        <v>22</v>
      </c>
      <c r="C83">
        <v>92</v>
      </c>
      <c r="E83" t="s">
        <v>76</v>
      </c>
      <c r="F83" t="s">
        <v>271</v>
      </c>
      <c r="G83" t="s">
        <v>78</v>
      </c>
      <c r="H83" t="s">
        <v>79</v>
      </c>
      <c r="I83" t="s">
        <v>22</v>
      </c>
      <c r="J83" t="b">
        <v>1</v>
      </c>
      <c r="K83" t="b">
        <v>1</v>
      </c>
      <c r="L83" t="s">
        <v>95</v>
      </c>
      <c r="M83" t="s">
        <v>81</v>
      </c>
      <c r="O83" t="s">
        <v>82</v>
      </c>
      <c r="P83">
        <v>60</v>
      </c>
      <c r="Q83">
        <v>46223</v>
      </c>
      <c r="R83">
        <v>46250</v>
      </c>
      <c r="S83">
        <v>2</v>
      </c>
      <c r="T83">
        <v>120</v>
      </c>
      <c r="U83">
        <v>15.789473684210527</v>
      </c>
      <c r="V83">
        <v>15</v>
      </c>
      <c r="W83">
        <v>20</v>
      </c>
      <c r="X83">
        <v>15</v>
      </c>
      <c r="Y83" t="s">
        <v>83</v>
      </c>
      <c r="Z83" t="s">
        <v>78</v>
      </c>
      <c r="AA83" t="str">
        <f>MasterStaffList_All[[#This Row],[Facility]]&amp;MasterStaffList_All[[#This Row],[Role]]&amp;MasterStaffList_All[[#This Row],[Resource]]</f>
        <v>BDAIN92</v>
      </c>
    </row>
    <row r="84" spans="1:27" hidden="1" x14ac:dyDescent="0.25">
      <c r="A84" t="s">
        <v>272</v>
      </c>
      <c r="B84" t="s">
        <v>22</v>
      </c>
      <c r="C84">
        <v>93</v>
      </c>
      <c r="D84" t="s">
        <v>40</v>
      </c>
      <c r="E84" t="s">
        <v>76</v>
      </c>
      <c r="F84" t="s">
        <v>273</v>
      </c>
      <c r="G84" t="s">
        <v>78</v>
      </c>
      <c r="H84" t="s">
        <v>79</v>
      </c>
      <c r="I84" t="s">
        <v>22</v>
      </c>
      <c r="J84" t="b">
        <v>0</v>
      </c>
      <c r="K84" t="b">
        <v>1</v>
      </c>
      <c r="L84" t="s">
        <v>80</v>
      </c>
      <c r="M84" t="s">
        <v>81</v>
      </c>
      <c r="O84" t="s">
        <v>82</v>
      </c>
      <c r="P84">
        <v>45</v>
      </c>
      <c r="Q84">
        <v>46223</v>
      </c>
      <c r="R84">
        <v>46250</v>
      </c>
      <c r="S84">
        <v>2</v>
      </c>
      <c r="T84">
        <v>90</v>
      </c>
      <c r="U84">
        <v>11.842105263157896</v>
      </c>
      <c r="V84">
        <v>11</v>
      </c>
      <c r="W84">
        <v>20</v>
      </c>
      <c r="X84">
        <v>11</v>
      </c>
      <c r="Y84" t="s">
        <v>83</v>
      </c>
      <c r="Z84" t="s">
        <v>78</v>
      </c>
      <c r="AA84" t="str">
        <f>MasterStaffList_All[[#This Row],[Facility]]&amp;MasterStaffList_All[[#This Row],[Role]]&amp;MasterStaffList_All[[#This Row],[Resource]]</f>
        <v>BDAIN93</v>
      </c>
    </row>
    <row r="85" spans="1:27" hidden="1" x14ac:dyDescent="0.25">
      <c r="A85" t="s">
        <v>274</v>
      </c>
      <c r="B85" t="s">
        <v>22</v>
      </c>
      <c r="C85">
        <v>94</v>
      </c>
      <c r="E85" t="s">
        <v>76</v>
      </c>
      <c r="F85" t="s">
        <v>275</v>
      </c>
      <c r="G85" t="s">
        <v>78</v>
      </c>
      <c r="H85" t="s">
        <v>79</v>
      </c>
      <c r="I85" t="s">
        <v>22</v>
      </c>
      <c r="J85" t="b">
        <v>1</v>
      </c>
      <c r="K85" t="b">
        <v>1</v>
      </c>
      <c r="L85" t="s">
        <v>95</v>
      </c>
      <c r="M85" t="s">
        <v>81</v>
      </c>
      <c r="O85" t="s">
        <v>82</v>
      </c>
      <c r="P85">
        <v>45</v>
      </c>
      <c r="Q85">
        <v>46223</v>
      </c>
      <c r="R85">
        <v>46250</v>
      </c>
      <c r="S85">
        <v>2</v>
      </c>
      <c r="T85">
        <v>90</v>
      </c>
      <c r="U85">
        <v>11.842105263157896</v>
      </c>
      <c r="V85">
        <v>11</v>
      </c>
      <c r="W85">
        <v>20</v>
      </c>
      <c r="X85">
        <v>11</v>
      </c>
      <c r="Y85" t="s">
        <v>83</v>
      </c>
      <c r="Z85" t="s">
        <v>78</v>
      </c>
      <c r="AA85" t="str">
        <f>MasterStaffList_All[[#This Row],[Facility]]&amp;MasterStaffList_All[[#This Row],[Role]]&amp;MasterStaffList_All[[#This Row],[Resource]]</f>
        <v>BDAIN94</v>
      </c>
    </row>
    <row r="86" spans="1:27" x14ac:dyDescent="0.25">
      <c r="A86" t="s">
        <v>276</v>
      </c>
      <c r="B86" t="s">
        <v>22</v>
      </c>
      <c r="C86">
        <v>95</v>
      </c>
      <c r="D86" t="s">
        <v>40</v>
      </c>
      <c r="E86" t="s">
        <v>76</v>
      </c>
      <c r="F86" t="s">
        <v>277</v>
      </c>
      <c r="G86" t="s">
        <v>78</v>
      </c>
      <c r="H86" t="s">
        <v>79</v>
      </c>
      <c r="I86" t="s">
        <v>22</v>
      </c>
      <c r="J86" t="b">
        <v>0</v>
      </c>
      <c r="K86" t="b">
        <v>1</v>
      </c>
      <c r="L86" t="s">
        <v>80</v>
      </c>
      <c r="M86" t="s">
        <v>81</v>
      </c>
      <c r="O86" t="s">
        <v>82</v>
      </c>
      <c r="P86">
        <v>64</v>
      </c>
      <c r="Q86">
        <v>46223</v>
      </c>
      <c r="R86">
        <v>46250</v>
      </c>
      <c r="S86">
        <v>2</v>
      </c>
      <c r="T86">
        <v>128</v>
      </c>
      <c r="U86">
        <v>16.842105263157894</v>
      </c>
      <c r="V86">
        <v>16</v>
      </c>
      <c r="W86">
        <v>20</v>
      </c>
      <c r="X86">
        <v>16</v>
      </c>
      <c r="Y86" t="s">
        <v>83</v>
      </c>
      <c r="Z86" t="s">
        <v>78</v>
      </c>
      <c r="AA86" t="str">
        <f>MasterStaffList_All[[#This Row],[Facility]]&amp;MasterStaffList_All[[#This Row],[Role]]&amp;MasterStaffList_All[[#This Row],[Resource]]</f>
        <v>BDAIN95</v>
      </c>
    </row>
    <row r="87" spans="1:27" x14ac:dyDescent="0.25">
      <c r="A87" t="s">
        <v>278</v>
      </c>
      <c r="B87" t="s">
        <v>22</v>
      </c>
      <c r="C87">
        <v>96</v>
      </c>
      <c r="D87" t="s">
        <v>40</v>
      </c>
      <c r="E87" t="s">
        <v>76</v>
      </c>
      <c r="F87" t="s">
        <v>279</v>
      </c>
      <c r="G87" t="s">
        <v>78</v>
      </c>
      <c r="H87" t="s">
        <v>79</v>
      </c>
      <c r="I87" t="s">
        <v>22</v>
      </c>
      <c r="J87" t="b">
        <v>0</v>
      </c>
      <c r="K87" t="b">
        <v>1</v>
      </c>
      <c r="L87" t="s">
        <v>80</v>
      </c>
      <c r="M87" t="s">
        <v>81</v>
      </c>
      <c r="O87" t="s">
        <v>82</v>
      </c>
      <c r="P87">
        <v>52</v>
      </c>
      <c r="Q87">
        <v>46223</v>
      </c>
      <c r="R87">
        <v>46250</v>
      </c>
      <c r="S87">
        <v>2</v>
      </c>
      <c r="T87">
        <v>104</v>
      </c>
      <c r="U87">
        <v>13.684210526315788</v>
      </c>
      <c r="V87">
        <v>13</v>
      </c>
      <c r="W87">
        <v>20</v>
      </c>
      <c r="X87">
        <v>13</v>
      </c>
      <c r="Y87" t="s">
        <v>83</v>
      </c>
      <c r="Z87" t="s">
        <v>78</v>
      </c>
      <c r="AA87" t="str">
        <f>MasterStaffList_All[[#This Row],[Facility]]&amp;MasterStaffList_All[[#This Row],[Role]]&amp;MasterStaffList_All[[#This Row],[Resource]]</f>
        <v>BDAIN96</v>
      </c>
    </row>
    <row r="88" spans="1:27" hidden="1" x14ac:dyDescent="0.25">
      <c r="A88" t="s">
        <v>280</v>
      </c>
      <c r="B88" t="s">
        <v>22</v>
      </c>
      <c r="C88">
        <v>97</v>
      </c>
      <c r="E88" t="s">
        <v>76</v>
      </c>
      <c r="F88" t="s">
        <v>281</v>
      </c>
      <c r="G88" t="s">
        <v>78</v>
      </c>
      <c r="H88" t="s">
        <v>88</v>
      </c>
      <c r="I88" t="s">
        <v>22</v>
      </c>
      <c r="J88" t="b">
        <v>1</v>
      </c>
      <c r="K88" t="b">
        <v>1</v>
      </c>
      <c r="L88" t="s">
        <v>95</v>
      </c>
      <c r="M88" t="s">
        <v>81</v>
      </c>
      <c r="O88" t="s">
        <v>89</v>
      </c>
      <c r="P88">
        <v>76</v>
      </c>
      <c r="Q88">
        <v>46223</v>
      </c>
      <c r="R88">
        <v>46250</v>
      </c>
      <c r="S88">
        <v>2</v>
      </c>
      <c r="T88">
        <v>152</v>
      </c>
      <c r="U88">
        <v>20</v>
      </c>
      <c r="V88">
        <v>20</v>
      </c>
      <c r="W88">
        <v>20</v>
      </c>
      <c r="X88">
        <v>20</v>
      </c>
      <c r="Y88" t="s">
        <v>89</v>
      </c>
      <c r="Z88" t="s">
        <v>78</v>
      </c>
      <c r="AA88" t="str">
        <f>MasterStaffList_All[[#This Row],[Facility]]&amp;MasterStaffList_All[[#This Row],[Role]]&amp;MasterStaffList_All[[#This Row],[Resource]]</f>
        <v>BDAIN97</v>
      </c>
    </row>
    <row r="89" spans="1:27" hidden="1" x14ac:dyDescent="0.25">
      <c r="A89" t="s">
        <v>284</v>
      </c>
      <c r="B89" t="s">
        <v>22</v>
      </c>
      <c r="C89">
        <v>99</v>
      </c>
      <c r="E89" t="s">
        <v>76</v>
      </c>
      <c r="F89" t="s">
        <v>285</v>
      </c>
      <c r="G89" t="s">
        <v>78</v>
      </c>
      <c r="H89" t="s">
        <v>79</v>
      </c>
      <c r="I89" t="s">
        <v>22</v>
      </c>
      <c r="J89" t="b">
        <v>1</v>
      </c>
      <c r="K89" t="b">
        <v>1</v>
      </c>
      <c r="L89" t="s">
        <v>95</v>
      </c>
      <c r="M89" t="s">
        <v>81</v>
      </c>
      <c r="O89" t="s">
        <v>82</v>
      </c>
      <c r="P89">
        <v>22.5</v>
      </c>
      <c r="Q89">
        <v>46223</v>
      </c>
      <c r="R89">
        <v>46250</v>
      </c>
      <c r="S89">
        <v>2</v>
      </c>
      <c r="T89">
        <v>45</v>
      </c>
      <c r="U89">
        <v>5.9210526315789478</v>
      </c>
      <c r="V89">
        <v>5</v>
      </c>
      <c r="W89">
        <v>20</v>
      </c>
      <c r="X89">
        <v>5</v>
      </c>
      <c r="Y89" t="s">
        <v>83</v>
      </c>
      <c r="Z89" t="s">
        <v>78</v>
      </c>
      <c r="AA89" t="str">
        <f>MasterStaffList_All[[#This Row],[Facility]]&amp;MasterStaffList_All[[#This Row],[Role]]&amp;MasterStaffList_All[[#This Row],[Resource]]</f>
        <v>BDAIN99</v>
      </c>
    </row>
    <row r="90" spans="1:27" x14ac:dyDescent="0.25">
      <c r="A90" t="s">
        <v>104</v>
      </c>
      <c r="B90" t="s">
        <v>31</v>
      </c>
      <c r="C90">
        <v>10</v>
      </c>
      <c r="D90" t="s">
        <v>40</v>
      </c>
      <c r="E90" t="s">
        <v>76</v>
      </c>
      <c r="F90" t="s">
        <v>105</v>
      </c>
      <c r="G90" t="s">
        <v>78</v>
      </c>
      <c r="H90" t="s">
        <v>79</v>
      </c>
      <c r="I90" t="s">
        <v>31</v>
      </c>
      <c r="J90" t="b">
        <v>0</v>
      </c>
      <c r="K90" t="b">
        <v>1</v>
      </c>
      <c r="L90" t="s">
        <v>80</v>
      </c>
      <c r="M90" t="s">
        <v>81</v>
      </c>
      <c r="O90" t="s">
        <v>82</v>
      </c>
      <c r="P90">
        <v>15</v>
      </c>
      <c r="Q90">
        <v>46223</v>
      </c>
      <c r="R90">
        <v>46250</v>
      </c>
      <c r="S90">
        <v>2</v>
      </c>
      <c r="T90">
        <v>30</v>
      </c>
      <c r="U90">
        <v>3.9473684210526319</v>
      </c>
      <c r="V90">
        <v>3</v>
      </c>
      <c r="W90">
        <v>20</v>
      </c>
      <c r="X90">
        <v>3</v>
      </c>
      <c r="Y90" t="s">
        <v>83</v>
      </c>
      <c r="Z90" t="s">
        <v>78</v>
      </c>
      <c r="AA90" t="str">
        <f>MasterStaffList_All[[#This Row],[Facility]]&amp;MasterStaffList_All[[#This Row],[Role]]&amp;MasterStaffList_All[[#This Row],[Resource]]</f>
        <v>BDEN10</v>
      </c>
    </row>
    <row r="91" spans="1:27" hidden="1" x14ac:dyDescent="0.25">
      <c r="A91" t="s">
        <v>308</v>
      </c>
      <c r="B91" t="s">
        <v>31</v>
      </c>
      <c r="C91">
        <v>111</v>
      </c>
      <c r="E91" t="s">
        <v>76</v>
      </c>
      <c r="F91" t="s">
        <v>309</v>
      </c>
      <c r="G91" t="s">
        <v>78</v>
      </c>
      <c r="H91" t="s">
        <v>79</v>
      </c>
      <c r="I91" t="s">
        <v>31</v>
      </c>
      <c r="J91" t="b">
        <v>1</v>
      </c>
      <c r="K91" t="b">
        <v>1</v>
      </c>
      <c r="L91" t="s">
        <v>95</v>
      </c>
      <c r="M91" t="s">
        <v>81</v>
      </c>
      <c r="O91" t="s">
        <v>82</v>
      </c>
      <c r="P91">
        <v>45</v>
      </c>
      <c r="Q91">
        <v>46223</v>
      </c>
      <c r="R91">
        <v>46250</v>
      </c>
      <c r="S91">
        <v>2</v>
      </c>
      <c r="T91">
        <v>90</v>
      </c>
      <c r="U91">
        <v>11.842105263157896</v>
      </c>
      <c r="V91">
        <v>11</v>
      </c>
      <c r="W91">
        <v>20</v>
      </c>
      <c r="X91">
        <v>11</v>
      </c>
      <c r="Y91" t="s">
        <v>83</v>
      </c>
      <c r="Z91" t="s">
        <v>78</v>
      </c>
      <c r="AA91" t="str">
        <f>MasterStaffList_All[[#This Row],[Facility]]&amp;MasterStaffList_All[[#This Row],[Role]]&amp;MasterStaffList_All[[#This Row],[Resource]]</f>
        <v>BDEN111</v>
      </c>
    </row>
    <row r="92" spans="1:27" hidden="1" x14ac:dyDescent="0.25">
      <c r="A92" t="s">
        <v>314</v>
      </c>
      <c r="B92" t="s">
        <v>31</v>
      </c>
      <c r="C92">
        <v>114</v>
      </c>
      <c r="E92" t="s">
        <v>76</v>
      </c>
      <c r="F92" t="s">
        <v>315</v>
      </c>
      <c r="G92" t="s">
        <v>78</v>
      </c>
      <c r="H92" t="s">
        <v>88</v>
      </c>
      <c r="I92" t="s">
        <v>31</v>
      </c>
      <c r="J92" t="b">
        <v>1</v>
      </c>
      <c r="K92" t="b">
        <v>0</v>
      </c>
      <c r="L92" t="s">
        <v>92</v>
      </c>
      <c r="M92" t="s">
        <v>81</v>
      </c>
      <c r="O92" t="s">
        <v>89</v>
      </c>
      <c r="P92">
        <v>76</v>
      </c>
      <c r="Q92">
        <v>46223</v>
      </c>
      <c r="R92">
        <v>46250</v>
      </c>
      <c r="S92">
        <v>2</v>
      </c>
      <c r="T92">
        <v>152</v>
      </c>
      <c r="U92">
        <v>20</v>
      </c>
      <c r="V92">
        <v>20</v>
      </c>
      <c r="W92">
        <v>20</v>
      </c>
      <c r="X92">
        <v>20</v>
      </c>
      <c r="Y92" t="s">
        <v>89</v>
      </c>
      <c r="Z92" t="s">
        <v>78</v>
      </c>
      <c r="AA92" t="str">
        <f>MasterStaffList_All[[#This Row],[Facility]]&amp;MasterStaffList_All[[#This Row],[Role]]&amp;MasterStaffList_All[[#This Row],[Resource]]</f>
        <v>BDEN114</v>
      </c>
    </row>
    <row r="93" spans="1:27" hidden="1" x14ac:dyDescent="0.25">
      <c r="A93" t="s">
        <v>330</v>
      </c>
      <c r="B93" t="s">
        <v>31</v>
      </c>
      <c r="C93">
        <v>122</v>
      </c>
      <c r="E93" t="s">
        <v>76</v>
      </c>
      <c r="F93" t="s">
        <v>331</v>
      </c>
      <c r="G93" t="s">
        <v>78</v>
      </c>
      <c r="H93" t="s">
        <v>79</v>
      </c>
      <c r="I93" t="s">
        <v>31</v>
      </c>
      <c r="J93" t="b">
        <v>1</v>
      </c>
      <c r="K93" t="b">
        <v>1</v>
      </c>
      <c r="L93" t="s">
        <v>95</v>
      </c>
      <c r="M93" t="s">
        <v>81</v>
      </c>
      <c r="O93" t="s">
        <v>82</v>
      </c>
      <c r="P93">
        <v>60</v>
      </c>
      <c r="Q93">
        <v>46223</v>
      </c>
      <c r="R93">
        <v>46250</v>
      </c>
      <c r="S93">
        <v>2</v>
      </c>
      <c r="T93">
        <v>120</v>
      </c>
      <c r="U93">
        <v>15.789473684210527</v>
      </c>
      <c r="V93">
        <v>15</v>
      </c>
      <c r="W93">
        <v>20</v>
      </c>
      <c r="X93">
        <v>15</v>
      </c>
      <c r="Y93" t="s">
        <v>83</v>
      </c>
      <c r="Z93" t="s">
        <v>78</v>
      </c>
      <c r="AA93" t="str">
        <f>MasterStaffList_All[[#This Row],[Facility]]&amp;MasterStaffList_All[[#This Row],[Role]]&amp;MasterStaffList_All[[#This Row],[Resource]]</f>
        <v>BDEN122</v>
      </c>
    </row>
    <row r="94" spans="1:27" hidden="1" x14ac:dyDescent="0.25">
      <c r="A94" t="s">
        <v>112</v>
      </c>
      <c r="B94" t="s">
        <v>31</v>
      </c>
      <c r="C94">
        <v>13</v>
      </c>
      <c r="E94" t="s">
        <v>76</v>
      </c>
      <c r="F94" t="s">
        <v>113</v>
      </c>
      <c r="G94" t="s">
        <v>78</v>
      </c>
      <c r="H94" t="s">
        <v>79</v>
      </c>
      <c r="I94" t="s">
        <v>31</v>
      </c>
      <c r="J94" t="b">
        <v>1</v>
      </c>
      <c r="K94" t="b">
        <v>1</v>
      </c>
      <c r="L94" t="s">
        <v>95</v>
      </c>
      <c r="M94" t="s">
        <v>81</v>
      </c>
      <c r="O94" t="s">
        <v>82</v>
      </c>
      <c r="P94">
        <v>32</v>
      </c>
      <c r="Q94">
        <v>46223</v>
      </c>
      <c r="R94">
        <v>46250</v>
      </c>
      <c r="S94">
        <v>2</v>
      </c>
      <c r="T94">
        <v>64</v>
      </c>
      <c r="U94">
        <v>8.4210526315789469</v>
      </c>
      <c r="V94">
        <v>8</v>
      </c>
      <c r="W94">
        <v>20</v>
      </c>
      <c r="X94">
        <v>8</v>
      </c>
      <c r="Y94" t="s">
        <v>83</v>
      </c>
      <c r="Z94" t="s">
        <v>78</v>
      </c>
      <c r="AA94" t="str">
        <f>MasterStaffList_All[[#This Row],[Facility]]&amp;MasterStaffList_All[[#This Row],[Role]]&amp;MasterStaffList_All[[#This Row],[Resource]]</f>
        <v>BDEN13</v>
      </c>
    </row>
    <row r="95" spans="1:27" hidden="1" x14ac:dyDescent="0.25">
      <c r="A95" t="s">
        <v>114</v>
      </c>
      <c r="B95" t="s">
        <v>31</v>
      </c>
      <c r="C95">
        <v>14</v>
      </c>
      <c r="E95" t="s">
        <v>76</v>
      </c>
      <c r="F95" t="s">
        <v>115</v>
      </c>
      <c r="G95" t="s">
        <v>78</v>
      </c>
      <c r="H95" t="s">
        <v>79</v>
      </c>
      <c r="I95" t="s">
        <v>31</v>
      </c>
      <c r="J95" t="b">
        <v>1</v>
      </c>
      <c r="K95" t="b">
        <v>1</v>
      </c>
      <c r="L95" t="s">
        <v>95</v>
      </c>
      <c r="M95" t="s">
        <v>81</v>
      </c>
      <c r="O95" t="s">
        <v>82</v>
      </c>
      <c r="P95">
        <v>39.5</v>
      </c>
      <c r="Q95">
        <v>46223</v>
      </c>
      <c r="R95">
        <v>46250</v>
      </c>
      <c r="S95">
        <v>2</v>
      </c>
      <c r="T95">
        <v>79</v>
      </c>
      <c r="U95">
        <v>10.394736842105264</v>
      </c>
      <c r="V95">
        <v>10</v>
      </c>
      <c r="W95">
        <v>20</v>
      </c>
      <c r="X95">
        <v>10</v>
      </c>
      <c r="Y95" t="s">
        <v>83</v>
      </c>
      <c r="Z95" t="s">
        <v>78</v>
      </c>
      <c r="AA95" t="str">
        <f>MasterStaffList_All[[#This Row],[Facility]]&amp;MasterStaffList_All[[#This Row],[Role]]&amp;MasterStaffList_All[[#This Row],[Resource]]</f>
        <v>BDEN14</v>
      </c>
    </row>
    <row r="96" spans="1:27" hidden="1" x14ac:dyDescent="0.25">
      <c r="A96" t="s">
        <v>128</v>
      </c>
      <c r="B96" t="s">
        <v>31</v>
      </c>
      <c r="C96">
        <v>21</v>
      </c>
      <c r="E96" t="s">
        <v>76</v>
      </c>
      <c r="F96" t="s">
        <v>129</v>
      </c>
      <c r="G96" t="s">
        <v>78</v>
      </c>
      <c r="H96" t="s">
        <v>79</v>
      </c>
      <c r="I96" t="s">
        <v>31</v>
      </c>
      <c r="J96" t="b">
        <v>1</v>
      </c>
      <c r="K96" t="b">
        <v>1</v>
      </c>
      <c r="L96" t="s">
        <v>95</v>
      </c>
      <c r="M96" t="s">
        <v>81</v>
      </c>
      <c r="O96" t="s">
        <v>82</v>
      </c>
      <c r="P96">
        <v>48</v>
      </c>
      <c r="Q96">
        <v>46223</v>
      </c>
      <c r="R96">
        <v>46250</v>
      </c>
      <c r="S96">
        <v>2</v>
      </c>
      <c r="T96">
        <v>96</v>
      </c>
      <c r="U96">
        <v>12.631578947368419</v>
      </c>
      <c r="V96">
        <v>12</v>
      </c>
      <c r="W96">
        <v>20</v>
      </c>
      <c r="X96">
        <v>12</v>
      </c>
      <c r="Y96" t="s">
        <v>83</v>
      </c>
      <c r="Z96" t="s">
        <v>78</v>
      </c>
      <c r="AA96" t="str">
        <f>MasterStaffList_All[[#This Row],[Facility]]&amp;MasterStaffList_All[[#This Row],[Role]]&amp;MasterStaffList_All[[#This Row],[Resource]]</f>
        <v>BDEN21</v>
      </c>
    </row>
    <row r="97" spans="1:27" hidden="1" x14ac:dyDescent="0.25">
      <c r="A97" t="s">
        <v>140</v>
      </c>
      <c r="B97" t="s">
        <v>31</v>
      </c>
      <c r="C97">
        <v>27</v>
      </c>
      <c r="E97" t="s">
        <v>76</v>
      </c>
      <c r="F97" t="s">
        <v>141</v>
      </c>
      <c r="G97" t="s">
        <v>78</v>
      </c>
      <c r="H97" t="s">
        <v>79</v>
      </c>
      <c r="I97" t="s">
        <v>31</v>
      </c>
      <c r="J97" t="b">
        <v>1</v>
      </c>
      <c r="K97" t="b">
        <v>0</v>
      </c>
      <c r="L97" t="s">
        <v>92</v>
      </c>
      <c r="M97" t="s">
        <v>81</v>
      </c>
      <c r="O97" t="s">
        <v>82</v>
      </c>
      <c r="P97">
        <v>52.5</v>
      </c>
      <c r="Q97">
        <v>46223</v>
      </c>
      <c r="R97">
        <v>46250</v>
      </c>
      <c r="S97">
        <v>2</v>
      </c>
      <c r="T97">
        <v>105</v>
      </c>
      <c r="U97">
        <v>13.815789473684212</v>
      </c>
      <c r="V97">
        <v>13</v>
      </c>
      <c r="W97">
        <v>20</v>
      </c>
      <c r="X97">
        <v>13</v>
      </c>
      <c r="Y97" t="s">
        <v>83</v>
      </c>
      <c r="Z97" t="s">
        <v>78</v>
      </c>
      <c r="AA97" t="str">
        <f>MasterStaffList_All[[#This Row],[Facility]]&amp;MasterStaffList_All[[#This Row],[Role]]&amp;MasterStaffList_All[[#This Row],[Resource]]</f>
        <v>BDEN27</v>
      </c>
    </row>
    <row r="98" spans="1:27" hidden="1" x14ac:dyDescent="0.25">
      <c r="A98" t="s">
        <v>156</v>
      </c>
      <c r="B98" t="s">
        <v>31</v>
      </c>
      <c r="C98">
        <v>35</v>
      </c>
      <c r="E98" t="s">
        <v>76</v>
      </c>
      <c r="F98" t="s">
        <v>157</v>
      </c>
      <c r="G98" t="s">
        <v>78</v>
      </c>
      <c r="H98" t="s">
        <v>79</v>
      </c>
      <c r="I98" t="s">
        <v>31</v>
      </c>
      <c r="J98" t="b">
        <v>1</v>
      </c>
      <c r="K98" t="b">
        <v>1</v>
      </c>
      <c r="L98" t="s">
        <v>95</v>
      </c>
      <c r="M98" t="s">
        <v>81</v>
      </c>
      <c r="O98" t="s">
        <v>82</v>
      </c>
      <c r="P98">
        <v>72</v>
      </c>
      <c r="Q98">
        <v>46223</v>
      </c>
      <c r="R98">
        <v>46250</v>
      </c>
      <c r="S98">
        <v>2</v>
      </c>
      <c r="T98">
        <v>144</v>
      </c>
      <c r="U98">
        <v>18.947368421052634</v>
      </c>
      <c r="V98">
        <v>18</v>
      </c>
      <c r="W98">
        <v>20</v>
      </c>
      <c r="X98">
        <v>18</v>
      </c>
      <c r="Y98" t="s">
        <v>83</v>
      </c>
      <c r="Z98" t="s">
        <v>78</v>
      </c>
      <c r="AA98" t="str">
        <f>MasterStaffList_All[[#This Row],[Facility]]&amp;MasterStaffList_All[[#This Row],[Role]]&amp;MasterStaffList_All[[#This Row],[Resource]]</f>
        <v>BDEN35</v>
      </c>
    </row>
    <row r="99" spans="1:27" hidden="1" x14ac:dyDescent="0.25">
      <c r="A99" t="s">
        <v>180</v>
      </c>
      <c r="B99" t="s">
        <v>31</v>
      </c>
      <c r="C99">
        <v>47</v>
      </c>
      <c r="E99" t="s">
        <v>76</v>
      </c>
      <c r="F99" t="s">
        <v>181</v>
      </c>
      <c r="G99" t="s">
        <v>78</v>
      </c>
      <c r="H99" t="s">
        <v>79</v>
      </c>
      <c r="I99" t="s">
        <v>31</v>
      </c>
      <c r="J99" t="b">
        <v>1</v>
      </c>
      <c r="K99" t="b">
        <v>1</v>
      </c>
      <c r="L99" t="s">
        <v>95</v>
      </c>
      <c r="M99" t="s">
        <v>81</v>
      </c>
      <c r="O99" t="s">
        <v>82</v>
      </c>
      <c r="P99">
        <v>52.5</v>
      </c>
      <c r="Q99">
        <v>46223</v>
      </c>
      <c r="R99">
        <v>46250</v>
      </c>
      <c r="S99">
        <v>2</v>
      </c>
      <c r="T99">
        <v>105</v>
      </c>
      <c r="U99">
        <v>13.815789473684212</v>
      </c>
      <c r="V99">
        <v>13</v>
      </c>
      <c r="W99">
        <v>20</v>
      </c>
      <c r="X99">
        <v>13</v>
      </c>
      <c r="Y99" t="s">
        <v>83</v>
      </c>
      <c r="Z99" t="s">
        <v>78</v>
      </c>
      <c r="AA99" t="str">
        <f>MasterStaffList_All[[#This Row],[Facility]]&amp;MasterStaffList_All[[#This Row],[Role]]&amp;MasterStaffList_All[[#This Row],[Resource]]</f>
        <v>BDEN47</v>
      </c>
    </row>
    <row r="100" spans="1:27" hidden="1" x14ac:dyDescent="0.25">
      <c r="A100" t="s">
        <v>182</v>
      </c>
      <c r="B100" t="s">
        <v>31</v>
      </c>
      <c r="C100">
        <v>48</v>
      </c>
      <c r="D100" t="s">
        <v>40</v>
      </c>
      <c r="E100" t="s">
        <v>76</v>
      </c>
      <c r="F100" t="s">
        <v>183</v>
      </c>
      <c r="G100" t="s">
        <v>78</v>
      </c>
      <c r="H100" t="s">
        <v>79</v>
      </c>
      <c r="I100" t="s">
        <v>31</v>
      </c>
      <c r="J100" t="b">
        <v>0</v>
      </c>
      <c r="K100" t="b">
        <v>1</v>
      </c>
      <c r="L100" t="s">
        <v>80</v>
      </c>
      <c r="M100" t="s">
        <v>81</v>
      </c>
      <c r="O100" t="s">
        <v>82</v>
      </c>
      <c r="P100">
        <v>60</v>
      </c>
      <c r="Q100">
        <v>46223</v>
      </c>
      <c r="R100">
        <v>46250</v>
      </c>
      <c r="S100">
        <v>2</v>
      </c>
      <c r="T100">
        <v>120</v>
      </c>
      <c r="U100">
        <v>15.789473684210527</v>
      </c>
      <c r="V100">
        <v>15</v>
      </c>
      <c r="W100">
        <v>20</v>
      </c>
      <c r="X100">
        <v>15</v>
      </c>
      <c r="Y100" t="s">
        <v>83</v>
      </c>
      <c r="Z100" t="s">
        <v>78</v>
      </c>
      <c r="AA100" t="str">
        <f>MasterStaffList_All[[#This Row],[Facility]]&amp;MasterStaffList_All[[#This Row],[Role]]&amp;MasterStaffList_All[[#This Row],[Resource]]</f>
        <v>BDEN48</v>
      </c>
    </row>
    <row r="101" spans="1:27" hidden="1" x14ac:dyDescent="0.25">
      <c r="A101" t="s">
        <v>184</v>
      </c>
      <c r="B101" t="s">
        <v>31</v>
      </c>
      <c r="C101">
        <v>49</v>
      </c>
      <c r="E101" t="s">
        <v>76</v>
      </c>
      <c r="F101" t="s">
        <v>185</v>
      </c>
      <c r="G101" t="s">
        <v>78</v>
      </c>
      <c r="H101" t="s">
        <v>79</v>
      </c>
      <c r="I101" t="s">
        <v>31</v>
      </c>
      <c r="J101" t="b">
        <v>1</v>
      </c>
      <c r="K101" t="b">
        <v>1</v>
      </c>
      <c r="L101" t="s">
        <v>95</v>
      </c>
      <c r="M101" t="s">
        <v>81</v>
      </c>
      <c r="O101" t="s">
        <v>82</v>
      </c>
      <c r="P101">
        <v>16</v>
      </c>
      <c r="Q101">
        <v>46223</v>
      </c>
      <c r="R101">
        <v>46250</v>
      </c>
      <c r="S101">
        <v>2</v>
      </c>
      <c r="T101">
        <v>32</v>
      </c>
      <c r="U101">
        <v>4.2105263157894735</v>
      </c>
      <c r="V101">
        <v>4</v>
      </c>
      <c r="W101">
        <v>20</v>
      </c>
      <c r="X101">
        <v>4</v>
      </c>
      <c r="Y101" t="s">
        <v>83</v>
      </c>
      <c r="Z101" t="s">
        <v>78</v>
      </c>
      <c r="AA101" t="str">
        <f>MasterStaffList_All[[#This Row],[Facility]]&amp;MasterStaffList_All[[#This Row],[Role]]&amp;MasterStaffList_All[[#This Row],[Resource]]</f>
        <v>BDEN49</v>
      </c>
    </row>
    <row r="102" spans="1:27" hidden="1" x14ac:dyDescent="0.25">
      <c r="A102" t="s">
        <v>188</v>
      </c>
      <c r="B102" t="s">
        <v>31</v>
      </c>
      <c r="C102">
        <v>51</v>
      </c>
      <c r="D102" t="s">
        <v>40</v>
      </c>
      <c r="E102" t="s">
        <v>76</v>
      </c>
      <c r="F102" t="s">
        <v>189</v>
      </c>
      <c r="G102" t="s">
        <v>78</v>
      </c>
      <c r="H102" t="s">
        <v>79</v>
      </c>
      <c r="I102" t="s">
        <v>31</v>
      </c>
      <c r="J102" t="b">
        <v>0</v>
      </c>
      <c r="K102" t="b">
        <v>1</v>
      </c>
      <c r="L102" t="s">
        <v>80</v>
      </c>
      <c r="M102" t="s">
        <v>81</v>
      </c>
      <c r="O102" t="s">
        <v>82</v>
      </c>
      <c r="P102">
        <v>72</v>
      </c>
      <c r="Q102">
        <v>46223</v>
      </c>
      <c r="R102">
        <v>46250</v>
      </c>
      <c r="S102">
        <v>2</v>
      </c>
      <c r="T102">
        <v>144</v>
      </c>
      <c r="U102">
        <v>18.947368421052634</v>
      </c>
      <c r="V102">
        <v>18</v>
      </c>
      <c r="W102">
        <v>20</v>
      </c>
      <c r="X102">
        <v>18</v>
      </c>
      <c r="Y102" t="s">
        <v>83</v>
      </c>
      <c r="Z102" t="s">
        <v>78</v>
      </c>
      <c r="AA102" t="str">
        <f>MasterStaffList_All[[#This Row],[Facility]]&amp;MasterStaffList_All[[#This Row],[Role]]&amp;MasterStaffList_All[[#This Row],[Resource]]</f>
        <v>BDEN51</v>
      </c>
    </row>
    <row r="103" spans="1:27" hidden="1" x14ac:dyDescent="0.25">
      <c r="A103" t="s">
        <v>194</v>
      </c>
      <c r="B103" t="s">
        <v>31</v>
      </c>
      <c r="C103">
        <v>54</v>
      </c>
      <c r="E103" t="s">
        <v>76</v>
      </c>
      <c r="F103" t="s">
        <v>195</v>
      </c>
      <c r="G103" t="s">
        <v>78</v>
      </c>
      <c r="H103" t="s">
        <v>88</v>
      </c>
      <c r="I103" t="s">
        <v>31</v>
      </c>
      <c r="J103" t="b">
        <v>1</v>
      </c>
      <c r="K103" t="b">
        <v>1</v>
      </c>
      <c r="L103" t="s">
        <v>95</v>
      </c>
      <c r="M103" t="s">
        <v>81</v>
      </c>
      <c r="O103" t="s">
        <v>89</v>
      </c>
      <c r="P103">
        <v>76</v>
      </c>
      <c r="Q103">
        <v>46223</v>
      </c>
      <c r="R103">
        <v>46250</v>
      </c>
      <c r="S103">
        <v>2</v>
      </c>
      <c r="T103">
        <v>152</v>
      </c>
      <c r="U103">
        <v>20</v>
      </c>
      <c r="V103">
        <v>20</v>
      </c>
      <c r="W103">
        <v>20</v>
      </c>
      <c r="X103">
        <v>20</v>
      </c>
      <c r="Y103" t="s">
        <v>89</v>
      </c>
      <c r="Z103" t="s">
        <v>78</v>
      </c>
      <c r="AA103" t="str">
        <f>MasterStaffList_All[[#This Row],[Facility]]&amp;MasterStaffList_All[[#This Row],[Role]]&amp;MasterStaffList_All[[#This Row],[Resource]]</f>
        <v>BDEN54</v>
      </c>
    </row>
    <row r="104" spans="1:27" hidden="1" x14ac:dyDescent="0.25">
      <c r="A104" t="s">
        <v>96</v>
      </c>
      <c r="B104" t="s">
        <v>31</v>
      </c>
      <c r="C104">
        <v>6</v>
      </c>
      <c r="E104" t="s">
        <v>76</v>
      </c>
      <c r="F104" t="s">
        <v>97</v>
      </c>
      <c r="G104" t="s">
        <v>78</v>
      </c>
      <c r="H104" t="s">
        <v>79</v>
      </c>
      <c r="I104" t="s">
        <v>31</v>
      </c>
      <c r="J104" t="b">
        <v>1</v>
      </c>
      <c r="K104" t="b">
        <v>1</v>
      </c>
      <c r="L104" t="s">
        <v>95</v>
      </c>
      <c r="M104" t="s">
        <v>81</v>
      </c>
      <c r="O104" t="s">
        <v>82</v>
      </c>
      <c r="P104">
        <v>54</v>
      </c>
      <c r="Q104">
        <v>46223</v>
      </c>
      <c r="R104">
        <v>46250</v>
      </c>
      <c r="S104">
        <v>2</v>
      </c>
      <c r="T104">
        <v>108</v>
      </c>
      <c r="U104">
        <v>14.210526315789474</v>
      </c>
      <c r="V104">
        <v>14</v>
      </c>
      <c r="W104">
        <v>20</v>
      </c>
      <c r="X104">
        <v>14</v>
      </c>
      <c r="Y104" t="s">
        <v>83</v>
      </c>
      <c r="Z104" t="s">
        <v>78</v>
      </c>
      <c r="AA104" t="str">
        <f>MasterStaffList_All[[#This Row],[Facility]]&amp;MasterStaffList_All[[#This Row],[Role]]&amp;MasterStaffList_All[[#This Row],[Resource]]</f>
        <v>BDEN6</v>
      </c>
    </row>
    <row r="105" spans="1:27" hidden="1" x14ac:dyDescent="0.25">
      <c r="A105" t="s">
        <v>210</v>
      </c>
      <c r="B105" t="s">
        <v>31</v>
      </c>
      <c r="C105">
        <v>62</v>
      </c>
      <c r="E105" t="s">
        <v>76</v>
      </c>
      <c r="F105" t="s">
        <v>211</v>
      </c>
      <c r="G105" t="s">
        <v>78</v>
      </c>
      <c r="H105" t="s">
        <v>79</v>
      </c>
      <c r="I105" t="s">
        <v>31</v>
      </c>
      <c r="J105" t="b">
        <v>1</v>
      </c>
      <c r="K105" t="b">
        <v>1</v>
      </c>
      <c r="L105" t="s">
        <v>95</v>
      </c>
      <c r="M105" t="s">
        <v>81</v>
      </c>
      <c r="O105" t="s">
        <v>82</v>
      </c>
      <c r="P105">
        <v>70</v>
      </c>
      <c r="Q105">
        <v>46223</v>
      </c>
      <c r="R105">
        <v>46250</v>
      </c>
      <c r="S105">
        <v>2</v>
      </c>
      <c r="T105">
        <v>140</v>
      </c>
      <c r="U105">
        <v>18.421052631578949</v>
      </c>
      <c r="V105">
        <v>18</v>
      </c>
      <c r="W105">
        <v>20</v>
      </c>
      <c r="X105">
        <v>18</v>
      </c>
      <c r="Y105" t="s">
        <v>83</v>
      </c>
      <c r="Z105" t="s">
        <v>78</v>
      </c>
      <c r="AA105" t="str">
        <f>MasterStaffList_All[[#This Row],[Facility]]&amp;MasterStaffList_All[[#This Row],[Role]]&amp;MasterStaffList_All[[#This Row],[Resource]]</f>
        <v>BDEN62</v>
      </c>
    </row>
    <row r="106" spans="1:27" hidden="1" x14ac:dyDescent="0.25">
      <c r="A106" t="s">
        <v>214</v>
      </c>
      <c r="B106" t="s">
        <v>31</v>
      </c>
      <c r="C106">
        <v>64</v>
      </c>
      <c r="E106" t="s">
        <v>76</v>
      </c>
      <c r="F106" t="s">
        <v>215</v>
      </c>
      <c r="G106" t="s">
        <v>78</v>
      </c>
      <c r="H106" t="s">
        <v>79</v>
      </c>
      <c r="I106" t="s">
        <v>31</v>
      </c>
      <c r="J106" t="b">
        <v>1</v>
      </c>
      <c r="K106" t="b">
        <v>1</v>
      </c>
      <c r="L106" t="s">
        <v>95</v>
      </c>
      <c r="M106" t="s">
        <v>81</v>
      </c>
      <c r="O106" t="s">
        <v>82</v>
      </c>
      <c r="P106">
        <v>70</v>
      </c>
      <c r="Q106">
        <v>46223</v>
      </c>
      <c r="R106">
        <v>46250</v>
      </c>
      <c r="S106">
        <v>2</v>
      </c>
      <c r="T106">
        <v>140</v>
      </c>
      <c r="U106">
        <v>18.421052631578949</v>
      </c>
      <c r="V106">
        <v>18</v>
      </c>
      <c r="W106">
        <v>20</v>
      </c>
      <c r="X106">
        <v>18</v>
      </c>
      <c r="Y106" t="s">
        <v>83</v>
      </c>
      <c r="Z106" t="s">
        <v>78</v>
      </c>
      <c r="AA106" t="str">
        <f>MasterStaffList_All[[#This Row],[Facility]]&amp;MasterStaffList_All[[#This Row],[Role]]&amp;MasterStaffList_All[[#This Row],[Resource]]</f>
        <v>BDEN64</v>
      </c>
    </row>
    <row r="107" spans="1:27" hidden="1" x14ac:dyDescent="0.25">
      <c r="A107" t="s">
        <v>232</v>
      </c>
      <c r="B107" t="s">
        <v>31</v>
      </c>
      <c r="C107">
        <v>73</v>
      </c>
      <c r="E107" t="s">
        <v>76</v>
      </c>
      <c r="F107" t="s">
        <v>233</v>
      </c>
      <c r="G107" t="s">
        <v>78</v>
      </c>
      <c r="H107" t="s">
        <v>88</v>
      </c>
      <c r="I107" t="s">
        <v>31</v>
      </c>
      <c r="J107" t="b">
        <v>1</v>
      </c>
      <c r="K107" t="b">
        <v>0</v>
      </c>
      <c r="L107" t="s">
        <v>92</v>
      </c>
      <c r="M107" t="s">
        <v>81</v>
      </c>
      <c r="O107" t="s">
        <v>89</v>
      </c>
      <c r="P107">
        <v>76</v>
      </c>
      <c r="Q107">
        <v>46223</v>
      </c>
      <c r="R107">
        <v>46250</v>
      </c>
      <c r="S107">
        <v>2</v>
      </c>
      <c r="T107">
        <v>152</v>
      </c>
      <c r="U107">
        <v>20</v>
      </c>
      <c r="V107">
        <v>20</v>
      </c>
      <c r="W107">
        <v>20</v>
      </c>
      <c r="X107">
        <v>20</v>
      </c>
      <c r="Y107" t="s">
        <v>89</v>
      </c>
      <c r="Z107" t="s">
        <v>78</v>
      </c>
      <c r="AA107" t="str">
        <f>MasterStaffList_All[[#This Row],[Facility]]&amp;MasterStaffList_All[[#This Row],[Role]]&amp;MasterStaffList_All[[#This Row],[Resource]]</f>
        <v>BDEN73</v>
      </c>
    </row>
    <row r="108" spans="1:27" hidden="1" x14ac:dyDescent="0.25">
      <c r="A108" t="s">
        <v>244</v>
      </c>
      <c r="B108" t="s">
        <v>31</v>
      </c>
      <c r="C108">
        <v>79</v>
      </c>
      <c r="E108" t="s">
        <v>76</v>
      </c>
      <c r="F108" t="s">
        <v>245</v>
      </c>
      <c r="G108" t="s">
        <v>78</v>
      </c>
      <c r="H108" t="s">
        <v>79</v>
      </c>
      <c r="I108" t="s">
        <v>31</v>
      </c>
      <c r="J108" t="b">
        <v>1</v>
      </c>
      <c r="K108" t="b">
        <v>1</v>
      </c>
      <c r="L108" t="s">
        <v>95</v>
      </c>
      <c r="M108" t="s">
        <v>81</v>
      </c>
      <c r="O108" t="s">
        <v>82</v>
      </c>
      <c r="P108">
        <v>47.5</v>
      </c>
      <c r="Q108">
        <v>46223</v>
      </c>
      <c r="R108">
        <v>46250</v>
      </c>
      <c r="S108">
        <v>2</v>
      </c>
      <c r="T108">
        <v>95</v>
      </c>
      <c r="U108">
        <v>12.5</v>
      </c>
      <c r="V108">
        <v>12</v>
      </c>
      <c r="W108">
        <v>20</v>
      </c>
      <c r="X108">
        <v>12</v>
      </c>
      <c r="Y108" t="s">
        <v>83</v>
      </c>
      <c r="Z108" t="s">
        <v>78</v>
      </c>
      <c r="AA108" t="str">
        <f>MasterStaffList_All[[#This Row],[Facility]]&amp;MasterStaffList_All[[#This Row],[Role]]&amp;MasterStaffList_All[[#This Row],[Resource]]</f>
        <v>BDEN79</v>
      </c>
    </row>
    <row r="109" spans="1:27" hidden="1" x14ac:dyDescent="0.25">
      <c r="A109" t="s">
        <v>260</v>
      </c>
      <c r="B109" t="s">
        <v>31</v>
      </c>
      <c r="C109">
        <v>87</v>
      </c>
      <c r="E109" t="s">
        <v>76</v>
      </c>
      <c r="F109" t="s">
        <v>261</v>
      </c>
      <c r="G109" t="s">
        <v>78</v>
      </c>
      <c r="H109" t="s">
        <v>79</v>
      </c>
      <c r="I109" t="s">
        <v>31</v>
      </c>
      <c r="J109" t="b">
        <v>1</v>
      </c>
      <c r="K109" t="b">
        <v>1</v>
      </c>
      <c r="L109" t="s">
        <v>95</v>
      </c>
      <c r="M109" t="s">
        <v>81</v>
      </c>
      <c r="O109" t="s">
        <v>82</v>
      </c>
      <c r="P109">
        <v>46.5</v>
      </c>
      <c r="Q109">
        <v>46223</v>
      </c>
      <c r="R109">
        <v>46250</v>
      </c>
      <c r="S109">
        <v>2</v>
      </c>
      <c r="T109">
        <v>93</v>
      </c>
      <c r="U109">
        <v>12.236842105263159</v>
      </c>
      <c r="V109">
        <v>12</v>
      </c>
      <c r="W109">
        <v>20</v>
      </c>
      <c r="X109">
        <v>12</v>
      </c>
      <c r="Y109" t="s">
        <v>83</v>
      </c>
      <c r="Z109" t="s">
        <v>78</v>
      </c>
      <c r="AA109" t="str">
        <f>MasterStaffList_All[[#This Row],[Facility]]&amp;MasterStaffList_All[[#This Row],[Role]]&amp;MasterStaffList_All[[#This Row],[Resource]]</f>
        <v>BDEN87</v>
      </c>
    </row>
    <row r="110" spans="1:27" hidden="1" x14ac:dyDescent="0.25">
      <c r="A110" t="s">
        <v>262</v>
      </c>
      <c r="B110" t="s">
        <v>31</v>
      </c>
      <c r="C110">
        <v>88</v>
      </c>
      <c r="E110" t="s">
        <v>76</v>
      </c>
      <c r="F110" t="s">
        <v>263</v>
      </c>
      <c r="G110" t="s">
        <v>78</v>
      </c>
      <c r="H110" t="s">
        <v>79</v>
      </c>
      <c r="I110" t="s">
        <v>31</v>
      </c>
      <c r="J110" t="b">
        <v>1</v>
      </c>
      <c r="K110" t="b">
        <v>1</v>
      </c>
      <c r="L110" t="s">
        <v>95</v>
      </c>
      <c r="M110" t="s">
        <v>81</v>
      </c>
      <c r="O110" t="s">
        <v>82</v>
      </c>
      <c r="P110">
        <v>31.5</v>
      </c>
      <c r="Q110">
        <v>46223</v>
      </c>
      <c r="R110">
        <v>46250</v>
      </c>
      <c r="S110">
        <v>2</v>
      </c>
      <c r="T110">
        <v>63</v>
      </c>
      <c r="U110">
        <v>8.2894736842105274</v>
      </c>
      <c r="V110">
        <v>8</v>
      </c>
      <c r="W110">
        <v>20</v>
      </c>
      <c r="X110">
        <v>8</v>
      </c>
      <c r="Y110" t="s">
        <v>83</v>
      </c>
      <c r="Z110" t="s">
        <v>78</v>
      </c>
      <c r="AA110" t="str">
        <f>MasterStaffList_All[[#This Row],[Facility]]&amp;MasterStaffList_All[[#This Row],[Role]]&amp;MasterStaffList_All[[#This Row],[Resource]]</f>
        <v>BDEN88</v>
      </c>
    </row>
    <row r="111" spans="1:27" hidden="1" x14ac:dyDescent="0.25">
      <c r="A111" t="s">
        <v>268</v>
      </c>
      <c r="B111" t="s">
        <v>31</v>
      </c>
      <c r="C111">
        <v>91</v>
      </c>
      <c r="E111" t="s">
        <v>76</v>
      </c>
      <c r="F111" t="s">
        <v>269</v>
      </c>
      <c r="G111" t="s">
        <v>78</v>
      </c>
      <c r="H111" t="s">
        <v>79</v>
      </c>
      <c r="I111" t="s">
        <v>31</v>
      </c>
      <c r="J111" t="b">
        <v>1</v>
      </c>
      <c r="K111" t="b">
        <v>1</v>
      </c>
      <c r="L111" t="s">
        <v>95</v>
      </c>
      <c r="M111" t="s">
        <v>81</v>
      </c>
      <c r="O111" t="s">
        <v>82</v>
      </c>
      <c r="P111">
        <v>48</v>
      </c>
      <c r="Q111">
        <v>46223</v>
      </c>
      <c r="R111">
        <v>46250</v>
      </c>
      <c r="S111">
        <v>2</v>
      </c>
      <c r="T111">
        <v>96</v>
      </c>
      <c r="U111">
        <v>12.631578947368419</v>
      </c>
      <c r="V111">
        <v>12</v>
      </c>
      <c r="W111">
        <v>20</v>
      </c>
      <c r="X111">
        <v>12</v>
      </c>
      <c r="Y111" t="s">
        <v>83</v>
      </c>
      <c r="Z111" t="s">
        <v>78</v>
      </c>
      <c r="AA111" t="str">
        <f>MasterStaffList_All[[#This Row],[Facility]]&amp;MasterStaffList_All[[#This Row],[Role]]&amp;MasterStaffList_All[[#This Row],[Resource]]</f>
        <v>BDEN91</v>
      </c>
    </row>
    <row r="112" spans="1:27" hidden="1" x14ac:dyDescent="0.25">
      <c r="A112" t="s">
        <v>288</v>
      </c>
      <c r="B112" t="s">
        <v>29</v>
      </c>
      <c r="C112">
        <v>101</v>
      </c>
      <c r="E112" t="s">
        <v>76</v>
      </c>
      <c r="F112" t="s">
        <v>289</v>
      </c>
      <c r="G112" t="s">
        <v>78</v>
      </c>
      <c r="H112" t="s">
        <v>110</v>
      </c>
      <c r="I112" t="s">
        <v>29</v>
      </c>
      <c r="J112" t="b">
        <v>1</v>
      </c>
      <c r="K112" t="b">
        <v>1</v>
      </c>
      <c r="L112" t="s">
        <v>95</v>
      </c>
      <c r="M112" t="s">
        <v>81</v>
      </c>
      <c r="O112" t="s">
        <v>82</v>
      </c>
      <c r="P112">
        <v>76</v>
      </c>
      <c r="Q112">
        <v>46223</v>
      </c>
      <c r="R112">
        <v>46250</v>
      </c>
      <c r="S112">
        <v>2</v>
      </c>
      <c r="T112">
        <v>152</v>
      </c>
      <c r="U112">
        <v>20</v>
      </c>
      <c r="V112">
        <v>20</v>
      </c>
      <c r="W112">
        <v>20</v>
      </c>
      <c r="X112">
        <v>20</v>
      </c>
      <c r="Y112" t="s">
        <v>111</v>
      </c>
      <c r="Z112" t="s">
        <v>78</v>
      </c>
      <c r="AA112" t="str">
        <f>MasterStaffList_All[[#This Row],[Facility]]&amp;MasterStaffList_All[[#This Row],[Role]]&amp;MasterStaffList_All[[#This Row],[Resource]]</f>
        <v>BDRN101</v>
      </c>
    </row>
    <row r="113" spans="1:27" hidden="1" x14ac:dyDescent="0.25">
      <c r="A113" t="s">
        <v>290</v>
      </c>
      <c r="B113" t="s">
        <v>29</v>
      </c>
      <c r="C113">
        <v>102</v>
      </c>
      <c r="E113" t="s">
        <v>76</v>
      </c>
      <c r="F113" t="s">
        <v>291</v>
      </c>
      <c r="G113" t="s">
        <v>78</v>
      </c>
      <c r="H113" t="s">
        <v>110</v>
      </c>
      <c r="I113" t="s">
        <v>29</v>
      </c>
      <c r="J113" t="b">
        <v>1</v>
      </c>
      <c r="K113" t="b">
        <v>1</v>
      </c>
      <c r="L113" t="s">
        <v>95</v>
      </c>
      <c r="M113" t="s">
        <v>81</v>
      </c>
      <c r="O113" t="s">
        <v>82</v>
      </c>
      <c r="P113">
        <v>76</v>
      </c>
      <c r="Q113">
        <v>46223</v>
      </c>
      <c r="R113">
        <v>46250</v>
      </c>
      <c r="S113">
        <v>2</v>
      </c>
      <c r="T113">
        <v>152</v>
      </c>
      <c r="U113">
        <v>20</v>
      </c>
      <c r="V113">
        <v>20</v>
      </c>
      <c r="W113">
        <v>20</v>
      </c>
      <c r="X113">
        <v>20</v>
      </c>
      <c r="Y113" t="s">
        <v>111</v>
      </c>
      <c r="Z113" t="s">
        <v>78</v>
      </c>
      <c r="AA113" t="str">
        <f>MasterStaffList_All[[#This Row],[Facility]]&amp;MasterStaffList_All[[#This Row],[Role]]&amp;MasterStaffList_All[[#This Row],[Resource]]</f>
        <v>BDRN102</v>
      </c>
    </row>
    <row r="114" spans="1:27" hidden="1" x14ac:dyDescent="0.25">
      <c r="A114" t="s">
        <v>302</v>
      </c>
      <c r="B114" t="s">
        <v>29</v>
      </c>
      <c r="C114">
        <v>108</v>
      </c>
      <c r="E114" t="s">
        <v>76</v>
      </c>
      <c r="F114" t="s">
        <v>303</v>
      </c>
      <c r="G114" t="s">
        <v>78</v>
      </c>
      <c r="H114" t="s">
        <v>79</v>
      </c>
      <c r="I114" t="s">
        <v>29</v>
      </c>
      <c r="J114" t="b">
        <v>1</v>
      </c>
      <c r="K114" t="b">
        <v>1</v>
      </c>
      <c r="L114" t="s">
        <v>95</v>
      </c>
      <c r="M114" t="s">
        <v>81</v>
      </c>
      <c r="O114" t="s">
        <v>82</v>
      </c>
      <c r="P114">
        <v>72</v>
      </c>
      <c r="Q114">
        <v>46223</v>
      </c>
      <c r="R114">
        <v>46250</v>
      </c>
      <c r="S114">
        <v>2</v>
      </c>
      <c r="T114">
        <v>144</v>
      </c>
      <c r="U114">
        <v>18.947368421052634</v>
      </c>
      <c r="V114">
        <v>18</v>
      </c>
      <c r="W114">
        <v>20</v>
      </c>
      <c r="X114">
        <v>18</v>
      </c>
      <c r="Y114" t="s">
        <v>83</v>
      </c>
      <c r="Z114" t="s">
        <v>78</v>
      </c>
      <c r="AA114" t="str">
        <f>MasterStaffList_All[[#This Row],[Facility]]&amp;MasterStaffList_All[[#This Row],[Role]]&amp;MasterStaffList_All[[#This Row],[Resource]]</f>
        <v>BDRN108</v>
      </c>
    </row>
    <row r="115" spans="1:27" hidden="1" x14ac:dyDescent="0.25">
      <c r="A115" t="s">
        <v>320</v>
      </c>
      <c r="B115" t="s">
        <v>29</v>
      </c>
      <c r="C115">
        <v>117</v>
      </c>
      <c r="E115" t="s">
        <v>76</v>
      </c>
      <c r="F115" t="s">
        <v>321</v>
      </c>
      <c r="G115" t="s">
        <v>78</v>
      </c>
      <c r="H115" t="s">
        <v>79</v>
      </c>
      <c r="I115" t="s">
        <v>29</v>
      </c>
      <c r="J115" t="b">
        <v>1</v>
      </c>
      <c r="K115" t="b">
        <v>1</v>
      </c>
      <c r="L115" t="s">
        <v>95</v>
      </c>
      <c r="M115" t="s">
        <v>81</v>
      </c>
      <c r="O115" t="s">
        <v>82</v>
      </c>
      <c r="P115">
        <v>40</v>
      </c>
      <c r="Q115">
        <v>46223</v>
      </c>
      <c r="R115">
        <v>46250</v>
      </c>
      <c r="S115">
        <v>2</v>
      </c>
      <c r="T115">
        <v>80</v>
      </c>
      <c r="U115">
        <v>10.526315789473683</v>
      </c>
      <c r="V115">
        <v>10</v>
      </c>
      <c r="W115">
        <v>20</v>
      </c>
      <c r="X115">
        <v>10</v>
      </c>
      <c r="Y115" t="s">
        <v>83</v>
      </c>
      <c r="Z115" t="s">
        <v>78</v>
      </c>
      <c r="AA115" t="str">
        <f>MasterStaffList_All[[#This Row],[Facility]]&amp;MasterStaffList_All[[#This Row],[Role]]&amp;MasterStaffList_All[[#This Row],[Resource]]</f>
        <v>BDRN117</v>
      </c>
    </row>
    <row r="116" spans="1:27" hidden="1" x14ac:dyDescent="0.25">
      <c r="A116" t="s">
        <v>322</v>
      </c>
      <c r="B116" t="s">
        <v>29</v>
      </c>
      <c r="C116">
        <v>118</v>
      </c>
      <c r="E116" t="s">
        <v>76</v>
      </c>
      <c r="F116" t="s">
        <v>323</v>
      </c>
      <c r="G116" t="s">
        <v>78</v>
      </c>
      <c r="H116" t="s">
        <v>79</v>
      </c>
      <c r="I116" t="s">
        <v>29</v>
      </c>
      <c r="J116" t="b">
        <v>1</v>
      </c>
      <c r="K116" t="b">
        <v>1</v>
      </c>
      <c r="L116" t="s">
        <v>95</v>
      </c>
      <c r="M116" t="s">
        <v>81</v>
      </c>
      <c r="O116" t="s">
        <v>82</v>
      </c>
      <c r="P116">
        <v>60</v>
      </c>
      <c r="Q116">
        <v>46223</v>
      </c>
      <c r="R116">
        <v>46250</v>
      </c>
      <c r="S116">
        <v>2</v>
      </c>
      <c r="T116">
        <v>120</v>
      </c>
      <c r="U116">
        <v>15.789473684210527</v>
      </c>
      <c r="V116">
        <v>15</v>
      </c>
      <c r="W116">
        <v>20</v>
      </c>
      <c r="X116">
        <v>15</v>
      </c>
      <c r="Y116" t="s">
        <v>83</v>
      </c>
      <c r="Z116" t="s">
        <v>78</v>
      </c>
      <c r="AA116" t="str">
        <f>MasterStaffList_All[[#This Row],[Facility]]&amp;MasterStaffList_All[[#This Row],[Role]]&amp;MasterStaffList_All[[#This Row],[Resource]]</f>
        <v>BDRN118</v>
      </c>
    </row>
    <row r="117" spans="1:27" hidden="1" x14ac:dyDescent="0.25">
      <c r="A117" t="s">
        <v>334</v>
      </c>
      <c r="B117" t="s">
        <v>29</v>
      </c>
      <c r="C117">
        <v>124</v>
      </c>
      <c r="E117" t="s">
        <v>76</v>
      </c>
      <c r="F117" t="s">
        <v>335</v>
      </c>
      <c r="G117" t="s">
        <v>78</v>
      </c>
      <c r="H117" t="s">
        <v>79</v>
      </c>
      <c r="I117" t="s">
        <v>29</v>
      </c>
      <c r="J117" t="b">
        <v>1</v>
      </c>
      <c r="K117" t="b">
        <v>1</v>
      </c>
      <c r="L117" t="s">
        <v>95</v>
      </c>
      <c r="M117" t="s">
        <v>81</v>
      </c>
      <c r="O117" t="s">
        <v>82</v>
      </c>
      <c r="P117">
        <v>32</v>
      </c>
      <c r="Q117">
        <v>46223</v>
      </c>
      <c r="R117">
        <v>46250</v>
      </c>
      <c r="S117">
        <v>2</v>
      </c>
      <c r="T117">
        <v>64</v>
      </c>
      <c r="U117">
        <v>8.4210526315789469</v>
      </c>
      <c r="V117">
        <v>8</v>
      </c>
      <c r="W117">
        <v>20</v>
      </c>
      <c r="X117">
        <v>8</v>
      </c>
      <c r="Y117" t="s">
        <v>83</v>
      </c>
      <c r="Z117" t="s">
        <v>78</v>
      </c>
      <c r="AA117" t="str">
        <f>MasterStaffList_All[[#This Row],[Facility]]&amp;MasterStaffList_All[[#This Row],[Role]]&amp;MasterStaffList_All[[#This Row],[Resource]]</f>
        <v>BDRN124</v>
      </c>
    </row>
    <row r="118" spans="1:27" hidden="1" x14ac:dyDescent="0.25">
      <c r="A118" t="s">
        <v>336</v>
      </c>
      <c r="B118" t="s">
        <v>29</v>
      </c>
      <c r="C118">
        <v>125</v>
      </c>
      <c r="E118" t="s">
        <v>76</v>
      </c>
      <c r="F118" t="s">
        <v>337</v>
      </c>
      <c r="G118" t="s">
        <v>78</v>
      </c>
      <c r="H118" t="s">
        <v>79</v>
      </c>
      <c r="I118" t="s">
        <v>29</v>
      </c>
      <c r="J118" t="b">
        <v>1</v>
      </c>
      <c r="K118" t="b">
        <v>1</v>
      </c>
      <c r="L118" t="s">
        <v>95</v>
      </c>
      <c r="M118" t="s">
        <v>81</v>
      </c>
      <c r="O118" t="s">
        <v>82</v>
      </c>
      <c r="P118">
        <v>32</v>
      </c>
      <c r="Q118">
        <v>46223</v>
      </c>
      <c r="R118">
        <v>46250</v>
      </c>
      <c r="S118">
        <v>2</v>
      </c>
      <c r="T118">
        <v>64</v>
      </c>
      <c r="U118">
        <v>8.4210526315789469</v>
      </c>
      <c r="V118">
        <v>8</v>
      </c>
      <c r="W118">
        <v>20</v>
      </c>
      <c r="X118">
        <v>8</v>
      </c>
      <c r="Y118" t="s">
        <v>83</v>
      </c>
      <c r="Z118" t="s">
        <v>78</v>
      </c>
      <c r="AA118" t="str">
        <f>MasterStaffList_All[[#This Row],[Facility]]&amp;MasterStaffList_All[[#This Row],[Role]]&amp;MasterStaffList_All[[#This Row],[Resource]]</f>
        <v>BDRN125</v>
      </c>
    </row>
    <row r="119" spans="1:27" hidden="1" x14ac:dyDescent="0.25">
      <c r="A119" t="s">
        <v>340</v>
      </c>
      <c r="B119" t="s">
        <v>29</v>
      </c>
      <c r="C119">
        <v>127</v>
      </c>
      <c r="E119" t="s">
        <v>76</v>
      </c>
      <c r="F119" t="s">
        <v>341</v>
      </c>
      <c r="G119" t="s">
        <v>78</v>
      </c>
      <c r="H119" t="s">
        <v>79</v>
      </c>
      <c r="I119" t="s">
        <v>29</v>
      </c>
      <c r="J119" t="b">
        <v>1</v>
      </c>
      <c r="K119" t="b">
        <v>0</v>
      </c>
      <c r="L119" t="s">
        <v>92</v>
      </c>
      <c r="M119" t="s">
        <v>81</v>
      </c>
      <c r="O119" t="s">
        <v>82</v>
      </c>
      <c r="P119">
        <v>32</v>
      </c>
      <c r="Q119">
        <v>46223</v>
      </c>
      <c r="R119">
        <v>46250</v>
      </c>
      <c r="S119">
        <v>2</v>
      </c>
      <c r="T119">
        <v>64</v>
      </c>
      <c r="U119">
        <v>8.4210526315789469</v>
      </c>
      <c r="V119">
        <v>8</v>
      </c>
      <c r="W119">
        <v>20</v>
      </c>
      <c r="X119">
        <v>8</v>
      </c>
      <c r="Y119" t="s">
        <v>83</v>
      </c>
      <c r="Z119" t="s">
        <v>78</v>
      </c>
      <c r="AA119" t="str">
        <f>MasterStaffList_All[[#This Row],[Facility]]&amp;MasterStaffList_All[[#This Row],[Role]]&amp;MasterStaffList_All[[#This Row],[Resource]]</f>
        <v>BDRN127</v>
      </c>
    </row>
    <row r="120" spans="1:27" hidden="1" x14ac:dyDescent="0.25">
      <c r="A120" t="s">
        <v>130</v>
      </c>
      <c r="B120" t="s">
        <v>29</v>
      </c>
      <c r="C120">
        <v>22</v>
      </c>
      <c r="E120" t="s">
        <v>76</v>
      </c>
      <c r="F120" t="s">
        <v>131</v>
      </c>
      <c r="G120" t="s">
        <v>78</v>
      </c>
      <c r="H120" t="s">
        <v>79</v>
      </c>
      <c r="I120" t="s">
        <v>29</v>
      </c>
      <c r="J120" t="b">
        <v>1</v>
      </c>
      <c r="K120" t="b">
        <v>1</v>
      </c>
      <c r="L120" t="s">
        <v>95</v>
      </c>
      <c r="M120" t="s">
        <v>81</v>
      </c>
      <c r="O120" t="s">
        <v>82</v>
      </c>
      <c r="P120">
        <v>45</v>
      </c>
      <c r="Q120">
        <v>46223</v>
      </c>
      <c r="R120">
        <v>46250</v>
      </c>
      <c r="S120">
        <v>2</v>
      </c>
      <c r="T120">
        <v>90</v>
      </c>
      <c r="U120">
        <v>11.842105263157896</v>
      </c>
      <c r="V120">
        <v>11</v>
      </c>
      <c r="W120">
        <v>20</v>
      </c>
      <c r="X120">
        <v>11</v>
      </c>
      <c r="Y120" t="s">
        <v>83</v>
      </c>
      <c r="Z120" t="s">
        <v>78</v>
      </c>
      <c r="AA120" t="str">
        <f>MasterStaffList_All[[#This Row],[Facility]]&amp;MasterStaffList_All[[#This Row],[Role]]&amp;MasterStaffList_All[[#This Row],[Resource]]</f>
        <v>BDRN22</v>
      </c>
    </row>
    <row r="121" spans="1:27" hidden="1" x14ac:dyDescent="0.25">
      <c r="A121" t="s">
        <v>90</v>
      </c>
      <c r="B121" t="s">
        <v>29</v>
      </c>
      <c r="C121">
        <v>4</v>
      </c>
      <c r="E121" t="s">
        <v>76</v>
      </c>
      <c r="F121" t="s">
        <v>91</v>
      </c>
      <c r="G121" t="s">
        <v>78</v>
      </c>
      <c r="H121" t="s">
        <v>88</v>
      </c>
      <c r="I121" t="s">
        <v>29</v>
      </c>
      <c r="J121" t="b">
        <v>1</v>
      </c>
      <c r="K121" t="b">
        <v>0</v>
      </c>
      <c r="L121" t="s">
        <v>92</v>
      </c>
      <c r="M121" t="s">
        <v>81</v>
      </c>
      <c r="O121" t="s">
        <v>89</v>
      </c>
      <c r="P121">
        <v>76</v>
      </c>
      <c r="Q121">
        <v>46223</v>
      </c>
      <c r="R121">
        <v>46250</v>
      </c>
      <c r="S121">
        <v>2</v>
      </c>
      <c r="T121">
        <v>152</v>
      </c>
      <c r="U121">
        <v>20</v>
      </c>
      <c r="V121">
        <v>20</v>
      </c>
      <c r="W121">
        <v>20</v>
      </c>
      <c r="X121">
        <v>20</v>
      </c>
      <c r="Y121" t="s">
        <v>89</v>
      </c>
      <c r="Z121" t="s">
        <v>78</v>
      </c>
      <c r="AA121" t="str">
        <f>MasterStaffList_All[[#This Row],[Facility]]&amp;MasterStaffList_All[[#This Row],[Role]]&amp;MasterStaffList_All[[#This Row],[Resource]]</f>
        <v>BDRN4</v>
      </c>
    </row>
    <row r="122" spans="1:27" hidden="1" x14ac:dyDescent="0.25">
      <c r="A122" t="s">
        <v>172</v>
      </c>
      <c r="B122" t="s">
        <v>29</v>
      </c>
      <c r="C122">
        <v>43</v>
      </c>
      <c r="E122" t="s">
        <v>76</v>
      </c>
      <c r="F122" t="s">
        <v>173</v>
      </c>
      <c r="G122" t="s">
        <v>78</v>
      </c>
      <c r="H122" t="s">
        <v>88</v>
      </c>
      <c r="I122" t="s">
        <v>29</v>
      </c>
      <c r="J122" t="b">
        <v>1</v>
      </c>
      <c r="K122" t="b">
        <v>0</v>
      </c>
      <c r="L122" t="s">
        <v>92</v>
      </c>
      <c r="M122" t="s">
        <v>81</v>
      </c>
      <c r="O122" t="s">
        <v>89</v>
      </c>
      <c r="P122">
        <v>76</v>
      </c>
      <c r="Q122">
        <v>46223</v>
      </c>
      <c r="R122">
        <v>46250</v>
      </c>
      <c r="S122">
        <v>2</v>
      </c>
      <c r="T122">
        <v>152</v>
      </c>
      <c r="U122">
        <v>20</v>
      </c>
      <c r="V122">
        <v>20</v>
      </c>
      <c r="W122">
        <v>20</v>
      </c>
      <c r="X122">
        <v>20</v>
      </c>
      <c r="Y122" t="s">
        <v>89</v>
      </c>
      <c r="Z122" t="s">
        <v>78</v>
      </c>
      <c r="AA122" t="str">
        <f>MasterStaffList_All[[#This Row],[Facility]]&amp;MasterStaffList_All[[#This Row],[Role]]&amp;MasterStaffList_All[[#This Row],[Resource]]</f>
        <v>BDRN43</v>
      </c>
    </row>
    <row r="123" spans="1:27" hidden="1" x14ac:dyDescent="0.25">
      <c r="A123" t="s">
        <v>198</v>
      </c>
      <c r="B123" t="s">
        <v>29</v>
      </c>
      <c r="C123">
        <v>56</v>
      </c>
      <c r="E123" t="s">
        <v>76</v>
      </c>
      <c r="F123" t="s">
        <v>199</v>
      </c>
      <c r="G123" t="s">
        <v>78</v>
      </c>
      <c r="H123" t="s">
        <v>79</v>
      </c>
      <c r="I123" t="s">
        <v>29</v>
      </c>
      <c r="J123" t="b">
        <v>1</v>
      </c>
      <c r="K123" t="b">
        <v>1</v>
      </c>
      <c r="L123" t="s">
        <v>95</v>
      </c>
      <c r="M123" t="s">
        <v>81</v>
      </c>
      <c r="O123" t="s">
        <v>82</v>
      </c>
      <c r="P123">
        <v>40</v>
      </c>
      <c r="Q123">
        <v>46223</v>
      </c>
      <c r="R123">
        <v>46250</v>
      </c>
      <c r="S123">
        <v>2</v>
      </c>
      <c r="T123">
        <v>80</v>
      </c>
      <c r="U123">
        <v>10.526315789473683</v>
      </c>
      <c r="V123">
        <v>10</v>
      </c>
      <c r="W123">
        <v>20</v>
      </c>
      <c r="X123">
        <v>10</v>
      </c>
      <c r="Y123" t="s">
        <v>83</v>
      </c>
      <c r="Z123" t="s">
        <v>78</v>
      </c>
      <c r="AA123" t="str">
        <f>MasterStaffList_All[[#This Row],[Facility]]&amp;MasterStaffList_All[[#This Row],[Role]]&amp;MasterStaffList_All[[#This Row],[Resource]]</f>
        <v>BDRN56</v>
      </c>
    </row>
    <row r="124" spans="1:27" hidden="1" x14ac:dyDescent="0.25">
      <c r="A124" t="s">
        <v>98</v>
      </c>
      <c r="B124" t="s">
        <v>29</v>
      </c>
      <c r="C124">
        <v>7</v>
      </c>
      <c r="E124" t="s">
        <v>76</v>
      </c>
      <c r="F124" t="s">
        <v>99</v>
      </c>
      <c r="G124" t="s">
        <v>78</v>
      </c>
      <c r="H124" t="s">
        <v>79</v>
      </c>
      <c r="I124" t="s">
        <v>29</v>
      </c>
      <c r="J124" t="b">
        <v>1</v>
      </c>
      <c r="K124" t="b">
        <v>1</v>
      </c>
      <c r="L124" t="s">
        <v>95</v>
      </c>
      <c r="M124" t="s">
        <v>81</v>
      </c>
      <c r="O124" t="s">
        <v>82</v>
      </c>
      <c r="P124">
        <v>64</v>
      </c>
      <c r="Q124">
        <v>46223</v>
      </c>
      <c r="R124">
        <v>46250</v>
      </c>
      <c r="S124">
        <v>2</v>
      </c>
      <c r="T124">
        <v>128</v>
      </c>
      <c r="U124">
        <v>16.842105263157894</v>
      </c>
      <c r="V124">
        <v>16</v>
      </c>
      <c r="W124">
        <v>20</v>
      </c>
      <c r="X124">
        <v>16</v>
      </c>
      <c r="Y124" t="s">
        <v>83</v>
      </c>
      <c r="Z124" t="s">
        <v>78</v>
      </c>
      <c r="AA124" t="str">
        <f>MasterStaffList_All[[#This Row],[Facility]]&amp;MasterStaffList_All[[#This Row],[Role]]&amp;MasterStaffList_All[[#This Row],[Resource]]</f>
        <v>BDRN7</v>
      </c>
    </row>
    <row r="125" spans="1:27" hidden="1" x14ac:dyDescent="0.25">
      <c r="A125" t="s">
        <v>234</v>
      </c>
      <c r="B125" t="s">
        <v>29</v>
      </c>
      <c r="C125">
        <v>74</v>
      </c>
      <c r="E125" t="s">
        <v>76</v>
      </c>
      <c r="F125" t="s">
        <v>235</v>
      </c>
      <c r="G125" t="s">
        <v>78</v>
      </c>
      <c r="H125" t="s">
        <v>79</v>
      </c>
      <c r="I125" t="s">
        <v>29</v>
      </c>
      <c r="J125" t="b">
        <v>1</v>
      </c>
      <c r="K125" t="b">
        <v>1</v>
      </c>
      <c r="L125" t="s">
        <v>95</v>
      </c>
      <c r="M125" t="s">
        <v>81</v>
      </c>
      <c r="O125" t="s">
        <v>82</v>
      </c>
      <c r="P125">
        <v>48</v>
      </c>
      <c r="Q125">
        <v>46223</v>
      </c>
      <c r="R125">
        <v>46250</v>
      </c>
      <c r="S125">
        <v>2</v>
      </c>
      <c r="T125">
        <v>96</v>
      </c>
      <c r="U125">
        <v>12.631578947368419</v>
      </c>
      <c r="V125">
        <v>12</v>
      </c>
      <c r="W125">
        <v>20</v>
      </c>
      <c r="X125">
        <v>12</v>
      </c>
      <c r="Y125" t="s">
        <v>83</v>
      </c>
      <c r="Z125" t="s">
        <v>78</v>
      </c>
      <c r="AA125" t="str">
        <f>MasterStaffList_All[[#This Row],[Facility]]&amp;MasterStaffList_All[[#This Row],[Role]]&amp;MasterStaffList_All[[#This Row],[Resource]]</f>
        <v>BDRN74</v>
      </c>
    </row>
    <row r="126" spans="1:27" hidden="1" x14ac:dyDescent="0.25">
      <c r="A126" t="s">
        <v>236</v>
      </c>
      <c r="B126" t="s">
        <v>29</v>
      </c>
      <c r="C126">
        <v>75</v>
      </c>
      <c r="E126" t="s">
        <v>76</v>
      </c>
      <c r="F126" t="s">
        <v>237</v>
      </c>
      <c r="G126" t="s">
        <v>78</v>
      </c>
      <c r="H126" t="s">
        <v>79</v>
      </c>
      <c r="I126" t="s">
        <v>29</v>
      </c>
      <c r="J126" t="b">
        <v>1</v>
      </c>
      <c r="K126" t="b">
        <v>1</v>
      </c>
      <c r="L126" t="s">
        <v>95</v>
      </c>
      <c r="M126" t="s">
        <v>81</v>
      </c>
      <c r="O126" t="s">
        <v>82</v>
      </c>
      <c r="P126">
        <v>48</v>
      </c>
      <c r="Q126">
        <v>46223</v>
      </c>
      <c r="R126">
        <v>46250</v>
      </c>
      <c r="S126">
        <v>2</v>
      </c>
      <c r="T126">
        <v>96</v>
      </c>
      <c r="U126">
        <v>12.631578947368419</v>
      </c>
      <c r="V126">
        <v>12</v>
      </c>
      <c r="W126">
        <v>20</v>
      </c>
      <c r="X126">
        <v>12</v>
      </c>
      <c r="Y126" t="s">
        <v>83</v>
      </c>
      <c r="Z126" t="s">
        <v>78</v>
      </c>
      <c r="AA126" t="str">
        <f>MasterStaffList_All[[#This Row],[Facility]]&amp;MasterStaffList_All[[#This Row],[Role]]&amp;MasterStaffList_All[[#This Row],[Resource]]</f>
        <v>BDRN75</v>
      </c>
    </row>
    <row r="127" spans="1:27" hidden="1" x14ac:dyDescent="0.25">
      <c r="A127" t="s">
        <v>242</v>
      </c>
      <c r="B127" t="s">
        <v>29</v>
      </c>
      <c r="C127">
        <v>78</v>
      </c>
      <c r="E127" t="s">
        <v>76</v>
      </c>
      <c r="F127" t="s">
        <v>243</v>
      </c>
      <c r="G127" t="s">
        <v>78</v>
      </c>
      <c r="H127" t="s">
        <v>110</v>
      </c>
      <c r="I127" t="s">
        <v>29</v>
      </c>
      <c r="J127" t="b">
        <v>1</v>
      </c>
      <c r="K127" t="b">
        <v>1</v>
      </c>
      <c r="L127" t="s">
        <v>95</v>
      </c>
      <c r="M127" t="s">
        <v>81</v>
      </c>
      <c r="O127" t="s">
        <v>82</v>
      </c>
      <c r="P127">
        <v>76</v>
      </c>
      <c r="Q127">
        <v>46223</v>
      </c>
      <c r="R127">
        <v>46250</v>
      </c>
      <c r="S127">
        <v>2</v>
      </c>
      <c r="T127">
        <v>152</v>
      </c>
      <c r="U127">
        <v>20</v>
      </c>
      <c r="V127">
        <v>20</v>
      </c>
      <c r="W127">
        <v>20</v>
      </c>
      <c r="X127">
        <v>20</v>
      </c>
      <c r="Y127" t="s">
        <v>111</v>
      </c>
      <c r="Z127" t="s">
        <v>78</v>
      </c>
      <c r="AA127" t="str">
        <f>MasterStaffList_All[[#This Row],[Facility]]&amp;MasterStaffList_All[[#This Row],[Role]]&amp;MasterStaffList_All[[#This Row],[Resource]]</f>
        <v>BDRN78</v>
      </c>
    </row>
    <row r="128" spans="1:27" x14ac:dyDescent="0.25">
      <c r="A128" t="s">
        <v>100</v>
      </c>
      <c r="B128" t="s">
        <v>29</v>
      </c>
      <c r="C128">
        <v>8</v>
      </c>
      <c r="E128" t="s">
        <v>76</v>
      </c>
      <c r="F128" t="s">
        <v>101</v>
      </c>
      <c r="G128" t="s">
        <v>78</v>
      </c>
      <c r="H128" t="s">
        <v>88</v>
      </c>
      <c r="I128" t="s">
        <v>29</v>
      </c>
      <c r="J128" t="b">
        <v>1</v>
      </c>
      <c r="K128" t="b">
        <v>1</v>
      </c>
      <c r="L128" t="s">
        <v>95</v>
      </c>
      <c r="M128" t="s">
        <v>81</v>
      </c>
      <c r="O128" t="s">
        <v>89</v>
      </c>
      <c r="P128">
        <v>76</v>
      </c>
      <c r="Q128">
        <v>46223</v>
      </c>
      <c r="R128">
        <v>46250</v>
      </c>
      <c r="S128">
        <v>2</v>
      </c>
      <c r="T128">
        <v>152</v>
      </c>
      <c r="U128">
        <v>20</v>
      </c>
      <c r="V128">
        <v>20</v>
      </c>
      <c r="W128">
        <v>20</v>
      </c>
      <c r="X128">
        <v>20</v>
      </c>
      <c r="Y128" t="s">
        <v>89</v>
      </c>
      <c r="Z128" t="s">
        <v>78</v>
      </c>
      <c r="AA128" t="str">
        <f>MasterStaffList_All[[#This Row],[Facility]]&amp;MasterStaffList_All[[#This Row],[Role]]&amp;MasterStaffList_All[[#This Row],[Resource]]</f>
        <v>BDRN8</v>
      </c>
    </row>
    <row r="129" spans="1:27" hidden="1" x14ac:dyDescent="0.25">
      <c r="A129" t="s">
        <v>248</v>
      </c>
      <c r="B129" t="s">
        <v>29</v>
      </c>
      <c r="C129">
        <v>81</v>
      </c>
      <c r="E129" t="s">
        <v>76</v>
      </c>
      <c r="F129" t="s">
        <v>249</v>
      </c>
      <c r="G129" t="s">
        <v>78</v>
      </c>
      <c r="H129" t="s">
        <v>79</v>
      </c>
      <c r="I129" t="s">
        <v>29</v>
      </c>
      <c r="J129" t="b">
        <v>1</v>
      </c>
      <c r="K129" t="b">
        <v>1</v>
      </c>
      <c r="L129" t="s">
        <v>95</v>
      </c>
      <c r="M129" t="s">
        <v>81</v>
      </c>
      <c r="O129" t="s">
        <v>82</v>
      </c>
      <c r="P129">
        <v>48</v>
      </c>
      <c r="Q129">
        <v>46223</v>
      </c>
      <c r="R129">
        <v>46250</v>
      </c>
      <c r="S129">
        <v>2</v>
      </c>
      <c r="T129">
        <v>96</v>
      </c>
      <c r="U129">
        <v>12.631578947368419</v>
      </c>
      <c r="V129">
        <v>12</v>
      </c>
      <c r="W129">
        <v>20</v>
      </c>
      <c r="X129">
        <v>12</v>
      </c>
      <c r="Y129" t="s">
        <v>83</v>
      </c>
      <c r="Z129" t="s">
        <v>78</v>
      </c>
      <c r="AA129" t="str">
        <f>MasterStaffList_All[[#This Row],[Facility]]&amp;MasterStaffList_All[[#This Row],[Role]]&amp;MasterStaffList_All[[#This Row],[Resource]]</f>
        <v>BDRN81</v>
      </c>
    </row>
    <row r="130" spans="1:27" hidden="1" x14ac:dyDescent="0.25">
      <c r="A130" t="s">
        <v>282</v>
      </c>
      <c r="B130" t="s">
        <v>29</v>
      </c>
      <c r="C130">
        <v>98</v>
      </c>
      <c r="E130" t="s">
        <v>76</v>
      </c>
      <c r="F130" t="s">
        <v>283</v>
      </c>
      <c r="G130" t="s">
        <v>78</v>
      </c>
      <c r="H130" t="s">
        <v>110</v>
      </c>
      <c r="I130" t="s">
        <v>29</v>
      </c>
      <c r="J130" t="b">
        <v>1</v>
      </c>
      <c r="K130" t="b">
        <v>1</v>
      </c>
      <c r="L130" t="s">
        <v>95</v>
      </c>
      <c r="M130" t="s">
        <v>81</v>
      </c>
      <c r="O130" t="s">
        <v>82</v>
      </c>
      <c r="P130">
        <v>76</v>
      </c>
      <c r="Q130">
        <v>46223</v>
      </c>
      <c r="R130">
        <v>46250</v>
      </c>
      <c r="S130">
        <v>2</v>
      </c>
      <c r="T130">
        <v>152</v>
      </c>
      <c r="U130">
        <v>20</v>
      </c>
      <c r="V130">
        <v>20</v>
      </c>
      <c r="W130">
        <v>20</v>
      </c>
      <c r="X130">
        <v>20</v>
      </c>
      <c r="Y130" t="s">
        <v>111</v>
      </c>
      <c r="Z130" t="s">
        <v>78</v>
      </c>
      <c r="AA130" t="str">
        <f>MasterStaffList_All[[#This Row],[Facility]]&amp;MasterStaffList_All[[#This Row],[Role]]&amp;MasterStaffList_All[[#This Row],[Resource]]</f>
        <v>BDRN98</v>
      </c>
    </row>
    <row r="131" spans="1:27" hidden="1" x14ac:dyDescent="0.25">
      <c r="A131" t="s">
        <v>75</v>
      </c>
      <c r="B131" t="s">
        <v>22</v>
      </c>
      <c r="C131">
        <v>1</v>
      </c>
      <c r="D131" t="s">
        <v>40</v>
      </c>
      <c r="E131" t="s">
        <v>76</v>
      </c>
      <c r="F131" t="s">
        <v>77</v>
      </c>
      <c r="G131" t="s">
        <v>346</v>
      </c>
      <c r="H131" t="s">
        <v>79</v>
      </c>
      <c r="I131" t="s">
        <v>22</v>
      </c>
      <c r="J131" t="b">
        <v>0</v>
      </c>
      <c r="K131" t="b">
        <v>1</v>
      </c>
      <c r="L131" t="s">
        <v>80</v>
      </c>
      <c r="M131" t="s">
        <v>81</v>
      </c>
      <c r="O131" t="s">
        <v>82</v>
      </c>
      <c r="P131">
        <v>72.5</v>
      </c>
      <c r="Q131">
        <v>46223</v>
      </c>
      <c r="R131">
        <v>46250</v>
      </c>
      <c r="S131">
        <v>2</v>
      </c>
      <c r="T131">
        <v>145</v>
      </c>
      <c r="U131">
        <v>19.078947368421055</v>
      </c>
      <c r="V131">
        <v>19</v>
      </c>
      <c r="W131">
        <v>20</v>
      </c>
      <c r="X131">
        <v>19</v>
      </c>
      <c r="Y131" t="s">
        <v>83</v>
      </c>
      <c r="Z131" t="s">
        <v>346</v>
      </c>
      <c r="AA131" t="str">
        <f>MasterStaffList_All[[#This Row],[Facility]]&amp;MasterStaffList_All[[#This Row],[Role]]&amp;MasterStaffList_All[[#This Row],[Resource]]</f>
        <v>JH-RYAIN1</v>
      </c>
    </row>
    <row r="132" spans="1:27" x14ac:dyDescent="0.25">
      <c r="A132" t="s">
        <v>361</v>
      </c>
      <c r="B132" t="s">
        <v>22</v>
      </c>
      <c r="C132">
        <v>10</v>
      </c>
      <c r="D132" t="s">
        <v>40</v>
      </c>
      <c r="E132" t="s">
        <v>76</v>
      </c>
      <c r="F132" t="s">
        <v>362</v>
      </c>
      <c r="G132" t="s">
        <v>346</v>
      </c>
      <c r="H132" t="s">
        <v>88</v>
      </c>
      <c r="I132" t="s">
        <v>22</v>
      </c>
      <c r="J132" t="b">
        <v>0</v>
      </c>
      <c r="K132" t="b">
        <v>1</v>
      </c>
      <c r="L132" t="s">
        <v>80</v>
      </c>
      <c r="M132" t="s">
        <v>81</v>
      </c>
      <c r="O132" t="s">
        <v>89</v>
      </c>
      <c r="P132">
        <v>76</v>
      </c>
      <c r="Q132">
        <v>46223</v>
      </c>
      <c r="R132">
        <v>46250</v>
      </c>
      <c r="S132">
        <v>2</v>
      </c>
      <c r="T132">
        <v>152</v>
      </c>
      <c r="U132">
        <v>20</v>
      </c>
      <c r="V132">
        <v>20</v>
      </c>
      <c r="W132">
        <v>20</v>
      </c>
      <c r="X132">
        <v>20</v>
      </c>
      <c r="Y132" t="s">
        <v>89</v>
      </c>
      <c r="Z132" t="s">
        <v>346</v>
      </c>
      <c r="AA132" t="str">
        <f>MasterStaffList_All[[#This Row],[Facility]]&amp;MasterStaffList_All[[#This Row],[Role]]&amp;MasterStaffList_All[[#This Row],[Resource]]</f>
        <v>JH-RYAIN10</v>
      </c>
    </row>
    <row r="133" spans="1:27" hidden="1" x14ac:dyDescent="0.25">
      <c r="A133" t="s">
        <v>363</v>
      </c>
      <c r="B133" t="s">
        <v>22</v>
      </c>
      <c r="C133">
        <v>11</v>
      </c>
      <c r="E133" t="s">
        <v>76</v>
      </c>
      <c r="F133" t="s">
        <v>364</v>
      </c>
      <c r="G133" t="s">
        <v>346</v>
      </c>
      <c r="H133" t="s">
        <v>110</v>
      </c>
      <c r="I133" t="s">
        <v>22</v>
      </c>
      <c r="J133" t="b">
        <v>1</v>
      </c>
      <c r="K133" t="b">
        <v>0</v>
      </c>
      <c r="L133" t="s">
        <v>92</v>
      </c>
      <c r="M133" t="s">
        <v>81</v>
      </c>
      <c r="O133" t="s">
        <v>82</v>
      </c>
      <c r="P133">
        <v>76</v>
      </c>
      <c r="Q133">
        <v>46223</v>
      </c>
      <c r="R133">
        <v>46250</v>
      </c>
      <c r="S133">
        <v>2</v>
      </c>
      <c r="T133">
        <v>152</v>
      </c>
      <c r="U133">
        <v>20</v>
      </c>
      <c r="V133">
        <v>20</v>
      </c>
      <c r="W133">
        <v>20</v>
      </c>
      <c r="X133">
        <v>20</v>
      </c>
      <c r="Y133" t="s">
        <v>111</v>
      </c>
      <c r="Z133" t="s">
        <v>346</v>
      </c>
      <c r="AA133" t="str">
        <f>MasterStaffList_All[[#This Row],[Facility]]&amp;MasterStaffList_All[[#This Row],[Role]]&amp;MasterStaffList_All[[#This Row],[Resource]]</f>
        <v>JH-RYAIN11</v>
      </c>
    </row>
    <row r="134" spans="1:27" hidden="1" x14ac:dyDescent="0.25">
      <c r="A134" t="s">
        <v>365</v>
      </c>
      <c r="B134" t="s">
        <v>22</v>
      </c>
      <c r="C134">
        <v>12</v>
      </c>
      <c r="E134" t="s">
        <v>76</v>
      </c>
      <c r="F134" t="s">
        <v>366</v>
      </c>
      <c r="G134" t="s">
        <v>346</v>
      </c>
      <c r="H134" t="s">
        <v>79</v>
      </c>
      <c r="I134" t="s">
        <v>22</v>
      </c>
      <c r="J134" t="b">
        <v>1</v>
      </c>
      <c r="K134" t="b">
        <v>1</v>
      </c>
      <c r="L134" t="s">
        <v>95</v>
      </c>
      <c r="M134" t="s">
        <v>81</v>
      </c>
      <c r="O134" t="s">
        <v>82</v>
      </c>
      <c r="P134">
        <v>64</v>
      </c>
      <c r="Q134">
        <v>46223</v>
      </c>
      <c r="R134">
        <v>46250</v>
      </c>
      <c r="S134">
        <v>2</v>
      </c>
      <c r="T134">
        <v>128</v>
      </c>
      <c r="U134">
        <v>16.842105263157894</v>
      </c>
      <c r="V134">
        <v>16</v>
      </c>
      <c r="W134">
        <v>20</v>
      </c>
      <c r="X134">
        <v>16</v>
      </c>
      <c r="Y134" t="s">
        <v>83</v>
      </c>
      <c r="Z134" t="s">
        <v>346</v>
      </c>
      <c r="AA134" t="str">
        <f>MasterStaffList_All[[#This Row],[Facility]]&amp;MasterStaffList_All[[#This Row],[Role]]&amp;MasterStaffList_All[[#This Row],[Resource]]</f>
        <v>JH-RYAIN12</v>
      </c>
    </row>
    <row r="135" spans="1:27" hidden="1" x14ac:dyDescent="0.25">
      <c r="A135" t="s">
        <v>367</v>
      </c>
      <c r="B135" t="s">
        <v>22</v>
      </c>
      <c r="C135">
        <v>13</v>
      </c>
      <c r="E135" t="s">
        <v>76</v>
      </c>
      <c r="F135" t="s">
        <v>368</v>
      </c>
      <c r="G135" t="s">
        <v>346</v>
      </c>
      <c r="H135" t="s">
        <v>79</v>
      </c>
      <c r="I135" t="s">
        <v>22</v>
      </c>
      <c r="J135" t="b">
        <v>1</v>
      </c>
      <c r="K135" t="b">
        <v>0</v>
      </c>
      <c r="L135" t="s">
        <v>92</v>
      </c>
      <c r="M135" t="s">
        <v>81</v>
      </c>
      <c r="O135" t="s">
        <v>82</v>
      </c>
      <c r="P135">
        <v>64</v>
      </c>
      <c r="Q135">
        <v>46223</v>
      </c>
      <c r="R135">
        <v>46250</v>
      </c>
      <c r="S135">
        <v>2</v>
      </c>
      <c r="T135">
        <v>128</v>
      </c>
      <c r="U135">
        <v>16.842105263157894</v>
      </c>
      <c r="V135">
        <v>16</v>
      </c>
      <c r="W135">
        <v>20</v>
      </c>
      <c r="X135">
        <v>16</v>
      </c>
      <c r="Y135" t="s">
        <v>83</v>
      </c>
      <c r="Z135" t="s">
        <v>346</v>
      </c>
      <c r="AA135" t="str">
        <f>MasterStaffList_All[[#This Row],[Facility]]&amp;MasterStaffList_All[[#This Row],[Role]]&amp;MasterStaffList_All[[#This Row],[Resource]]</f>
        <v>JH-RYAIN13</v>
      </c>
    </row>
    <row r="136" spans="1:27" hidden="1" x14ac:dyDescent="0.25">
      <c r="A136" t="s">
        <v>369</v>
      </c>
      <c r="B136" t="s">
        <v>22</v>
      </c>
      <c r="C136">
        <v>14</v>
      </c>
      <c r="E136" t="s">
        <v>76</v>
      </c>
      <c r="F136" t="s">
        <v>370</v>
      </c>
      <c r="G136" t="s">
        <v>346</v>
      </c>
      <c r="H136" t="s">
        <v>79</v>
      </c>
      <c r="I136" t="s">
        <v>22</v>
      </c>
      <c r="J136" t="b">
        <v>1</v>
      </c>
      <c r="K136" t="b">
        <v>1</v>
      </c>
      <c r="L136" t="s">
        <v>95</v>
      </c>
      <c r="M136" t="s">
        <v>81</v>
      </c>
      <c r="O136" t="s">
        <v>82</v>
      </c>
      <c r="P136">
        <v>40</v>
      </c>
      <c r="Q136">
        <v>46223</v>
      </c>
      <c r="R136">
        <v>46250</v>
      </c>
      <c r="S136">
        <v>2</v>
      </c>
      <c r="T136">
        <v>80</v>
      </c>
      <c r="U136">
        <v>10.526315789473683</v>
      </c>
      <c r="V136">
        <v>10</v>
      </c>
      <c r="W136">
        <v>20</v>
      </c>
      <c r="X136">
        <v>10</v>
      </c>
      <c r="Y136" t="s">
        <v>83</v>
      </c>
      <c r="Z136" t="s">
        <v>346</v>
      </c>
      <c r="AA136" t="str">
        <f>MasterStaffList_All[[#This Row],[Facility]]&amp;MasterStaffList_All[[#This Row],[Role]]&amp;MasterStaffList_All[[#This Row],[Resource]]</f>
        <v>JH-RYAIN14</v>
      </c>
    </row>
    <row r="137" spans="1:27" hidden="1" x14ac:dyDescent="0.25">
      <c r="A137" t="s">
        <v>371</v>
      </c>
      <c r="B137" t="s">
        <v>22</v>
      </c>
      <c r="C137">
        <v>15</v>
      </c>
      <c r="E137" t="s">
        <v>76</v>
      </c>
      <c r="F137" t="s">
        <v>372</v>
      </c>
      <c r="G137" t="s">
        <v>346</v>
      </c>
      <c r="H137" t="s">
        <v>79</v>
      </c>
      <c r="I137" t="s">
        <v>22</v>
      </c>
      <c r="J137" t="b">
        <v>1</v>
      </c>
      <c r="K137" t="b">
        <v>1</v>
      </c>
      <c r="L137" t="s">
        <v>95</v>
      </c>
      <c r="M137" t="s">
        <v>81</v>
      </c>
      <c r="O137" t="s">
        <v>82</v>
      </c>
      <c r="P137">
        <v>64</v>
      </c>
      <c r="Q137">
        <v>46223</v>
      </c>
      <c r="R137">
        <v>46250</v>
      </c>
      <c r="S137">
        <v>2</v>
      </c>
      <c r="T137">
        <v>128</v>
      </c>
      <c r="U137">
        <v>16.842105263157894</v>
      </c>
      <c r="V137">
        <v>16</v>
      </c>
      <c r="W137">
        <v>20</v>
      </c>
      <c r="X137">
        <v>16</v>
      </c>
      <c r="Y137" t="s">
        <v>83</v>
      </c>
      <c r="Z137" t="s">
        <v>346</v>
      </c>
      <c r="AA137" t="str">
        <f>MasterStaffList_All[[#This Row],[Facility]]&amp;MasterStaffList_All[[#This Row],[Role]]&amp;MasterStaffList_All[[#This Row],[Resource]]</f>
        <v>JH-RYAIN15</v>
      </c>
    </row>
    <row r="138" spans="1:27" x14ac:dyDescent="0.25">
      <c r="A138" t="s">
        <v>373</v>
      </c>
      <c r="B138" t="s">
        <v>22</v>
      </c>
      <c r="C138">
        <v>16</v>
      </c>
      <c r="D138" t="s">
        <v>40</v>
      </c>
      <c r="E138" t="s">
        <v>76</v>
      </c>
      <c r="F138" t="s">
        <v>374</v>
      </c>
      <c r="G138" t="s">
        <v>346</v>
      </c>
      <c r="H138" t="s">
        <v>88</v>
      </c>
      <c r="I138" t="s">
        <v>22</v>
      </c>
      <c r="J138" t="b">
        <v>0</v>
      </c>
      <c r="K138" t="b">
        <v>1</v>
      </c>
      <c r="L138" t="s">
        <v>80</v>
      </c>
      <c r="M138" t="s">
        <v>81</v>
      </c>
      <c r="O138" t="s">
        <v>89</v>
      </c>
      <c r="P138">
        <v>76</v>
      </c>
      <c r="Q138">
        <v>46223</v>
      </c>
      <c r="R138">
        <v>46250</v>
      </c>
      <c r="S138">
        <v>2</v>
      </c>
      <c r="T138">
        <v>152</v>
      </c>
      <c r="U138">
        <v>20</v>
      </c>
      <c r="V138">
        <v>20</v>
      </c>
      <c r="W138">
        <v>20</v>
      </c>
      <c r="X138">
        <v>20</v>
      </c>
      <c r="Y138" t="s">
        <v>89</v>
      </c>
      <c r="Z138" t="s">
        <v>346</v>
      </c>
      <c r="AA138" t="str">
        <f>MasterStaffList_All[[#This Row],[Facility]]&amp;MasterStaffList_All[[#This Row],[Role]]&amp;MasterStaffList_All[[#This Row],[Resource]]</f>
        <v>JH-RYAIN16</v>
      </c>
    </row>
    <row r="139" spans="1:27" hidden="1" x14ac:dyDescent="0.25">
      <c r="A139" t="s">
        <v>375</v>
      </c>
      <c r="B139" t="s">
        <v>22</v>
      </c>
      <c r="C139">
        <v>17</v>
      </c>
      <c r="E139" t="s">
        <v>76</v>
      </c>
      <c r="F139" t="s">
        <v>161</v>
      </c>
      <c r="G139" t="s">
        <v>346</v>
      </c>
      <c r="H139" t="s">
        <v>79</v>
      </c>
      <c r="I139" t="s">
        <v>22</v>
      </c>
      <c r="J139" t="b">
        <v>1</v>
      </c>
      <c r="K139" t="b">
        <v>1</v>
      </c>
      <c r="L139" t="s">
        <v>95</v>
      </c>
      <c r="M139" t="s">
        <v>81</v>
      </c>
      <c r="O139" t="s">
        <v>82</v>
      </c>
      <c r="P139">
        <v>40</v>
      </c>
      <c r="Q139">
        <v>46223</v>
      </c>
      <c r="R139">
        <v>46250</v>
      </c>
      <c r="S139">
        <v>2</v>
      </c>
      <c r="T139">
        <v>80</v>
      </c>
      <c r="U139">
        <v>10.526315789473683</v>
      </c>
      <c r="V139">
        <v>10</v>
      </c>
      <c r="W139">
        <v>20</v>
      </c>
      <c r="X139">
        <v>10</v>
      </c>
      <c r="Y139" t="s">
        <v>83</v>
      </c>
      <c r="Z139" t="s">
        <v>346</v>
      </c>
      <c r="AA139" t="str">
        <f>MasterStaffList_All[[#This Row],[Facility]]&amp;MasterStaffList_All[[#This Row],[Role]]&amp;MasterStaffList_All[[#This Row],[Resource]]</f>
        <v>JH-RYAIN17</v>
      </c>
    </row>
    <row r="140" spans="1:27" hidden="1" x14ac:dyDescent="0.25">
      <c r="A140" t="s">
        <v>376</v>
      </c>
      <c r="B140" t="s">
        <v>22</v>
      </c>
      <c r="C140">
        <v>18</v>
      </c>
      <c r="E140" t="s">
        <v>76</v>
      </c>
      <c r="F140" t="s">
        <v>377</v>
      </c>
      <c r="G140" t="s">
        <v>346</v>
      </c>
      <c r="H140" t="s">
        <v>88</v>
      </c>
      <c r="I140" t="s">
        <v>22</v>
      </c>
      <c r="J140" t="b">
        <v>1</v>
      </c>
      <c r="K140" t="b">
        <v>0</v>
      </c>
      <c r="L140" t="s">
        <v>92</v>
      </c>
      <c r="M140" t="s">
        <v>81</v>
      </c>
      <c r="O140" t="s">
        <v>89</v>
      </c>
      <c r="P140">
        <v>76</v>
      </c>
      <c r="Q140">
        <v>46223</v>
      </c>
      <c r="R140">
        <v>46250</v>
      </c>
      <c r="S140">
        <v>2</v>
      </c>
      <c r="T140">
        <v>152</v>
      </c>
      <c r="U140">
        <v>20</v>
      </c>
      <c r="V140">
        <v>20</v>
      </c>
      <c r="W140">
        <v>20</v>
      </c>
      <c r="X140">
        <v>20</v>
      </c>
      <c r="Y140" t="s">
        <v>89</v>
      </c>
      <c r="Z140" t="s">
        <v>346</v>
      </c>
      <c r="AA140" t="str">
        <f>MasterStaffList_All[[#This Row],[Facility]]&amp;MasterStaffList_All[[#This Row],[Role]]&amp;MasterStaffList_All[[#This Row],[Resource]]</f>
        <v>JH-RYAIN18</v>
      </c>
    </row>
    <row r="141" spans="1:27" hidden="1" x14ac:dyDescent="0.25">
      <c r="A141" t="s">
        <v>378</v>
      </c>
      <c r="B141" t="s">
        <v>22</v>
      </c>
      <c r="C141">
        <v>19</v>
      </c>
      <c r="E141" t="s">
        <v>76</v>
      </c>
      <c r="F141" t="s">
        <v>379</v>
      </c>
      <c r="G141" t="s">
        <v>346</v>
      </c>
      <c r="H141" t="s">
        <v>110</v>
      </c>
      <c r="I141" t="s">
        <v>22</v>
      </c>
      <c r="J141" t="b">
        <v>1</v>
      </c>
      <c r="K141" t="b">
        <v>1</v>
      </c>
      <c r="L141" t="s">
        <v>95</v>
      </c>
      <c r="M141" t="s">
        <v>81</v>
      </c>
      <c r="O141" t="s">
        <v>82</v>
      </c>
      <c r="P141">
        <v>76</v>
      </c>
      <c r="Q141">
        <v>46223</v>
      </c>
      <c r="R141">
        <v>46250</v>
      </c>
      <c r="S141">
        <v>2</v>
      </c>
      <c r="T141">
        <v>152</v>
      </c>
      <c r="U141">
        <v>20</v>
      </c>
      <c r="V141">
        <v>20</v>
      </c>
      <c r="W141">
        <v>20</v>
      </c>
      <c r="X141">
        <v>20</v>
      </c>
      <c r="Y141" t="s">
        <v>111</v>
      </c>
      <c r="Z141" t="s">
        <v>346</v>
      </c>
      <c r="AA141" t="str">
        <f>MasterStaffList_All[[#This Row],[Facility]]&amp;MasterStaffList_All[[#This Row],[Role]]&amp;MasterStaffList_All[[#This Row],[Resource]]</f>
        <v>JH-RYAIN19</v>
      </c>
    </row>
    <row r="142" spans="1:27" x14ac:dyDescent="0.25">
      <c r="A142" t="s">
        <v>347</v>
      </c>
      <c r="B142" t="s">
        <v>22</v>
      </c>
      <c r="C142">
        <v>2</v>
      </c>
      <c r="D142" t="s">
        <v>40</v>
      </c>
      <c r="E142" t="s">
        <v>76</v>
      </c>
      <c r="F142" t="s">
        <v>348</v>
      </c>
      <c r="G142" t="s">
        <v>346</v>
      </c>
      <c r="H142" t="s">
        <v>88</v>
      </c>
      <c r="I142" t="s">
        <v>22</v>
      </c>
      <c r="J142" t="b">
        <v>0</v>
      </c>
      <c r="K142" t="b">
        <v>1</v>
      </c>
      <c r="L142" t="s">
        <v>80</v>
      </c>
      <c r="M142" t="s">
        <v>81</v>
      </c>
      <c r="O142" t="s">
        <v>89</v>
      </c>
      <c r="P142">
        <v>76</v>
      </c>
      <c r="Q142">
        <v>46223</v>
      </c>
      <c r="R142">
        <v>46250</v>
      </c>
      <c r="S142">
        <v>2</v>
      </c>
      <c r="T142">
        <v>152</v>
      </c>
      <c r="U142">
        <v>20</v>
      </c>
      <c r="V142">
        <v>20</v>
      </c>
      <c r="W142">
        <v>20</v>
      </c>
      <c r="X142">
        <v>20</v>
      </c>
      <c r="Y142" t="s">
        <v>89</v>
      </c>
      <c r="Z142" t="s">
        <v>346</v>
      </c>
      <c r="AA142" t="str">
        <f>MasterStaffList_All[[#This Row],[Facility]]&amp;MasterStaffList_All[[#This Row],[Role]]&amp;MasterStaffList_All[[#This Row],[Resource]]</f>
        <v>JH-RYAIN2</v>
      </c>
    </row>
    <row r="143" spans="1:27" hidden="1" x14ac:dyDescent="0.25">
      <c r="A143" t="s">
        <v>380</v>
      </c>
      <c r="B143" t="s">
        <v>22</v>
      </c>
      <c r="C143">
        <v>20</v>
      </c>
      <c r="E143" t="s">
        <v>76</v>
      </c>
      <c r="F143" t="s">
        <v>381</v>
      </c>
      <c r="G143" t="s">
        <v>346</v>
      </c>
      <c r="H143" t="s">
        <v>110</v>
      </c>
      <c r="I143" t="s">
        <v>22</v>
      </c>
      <c r="J143" t="b">
        <v>1</v>
      </c>
      <c r="K143" t="b">
        <v>1</v>
      </c>
      <c r="L143" t="s">
        <v>95</v>
      </c>
      <c r="M143" t="s">
        <v>81</v>
      </c>
      <c r="O143" t="s">
        <v>82</v>
      </c>
      <c r="P143">
        <v>76</v>
      </c>
      <c r="Q143">
        <v>46223</v>
      </c>
      <c r="R143">
        <v>46250</v>
      </c>
      <c r="S143">
        <v>2</v>
      </c>
      <c r="T143">
        <v>152</v>
      </c>
      <c r="U143">
        <v>20</v>
      </c>
      <c r="V143">
        <v>20</v>
      </c>
      <c r="W143">
        <v>20</v>
      </c>
      <c r="X143">
        <v>20</v>
      </c>
      <c r="Y143" t="s">
        <v>111</v>
      </c>
      <c r="Z143" t="s">
        <v>346</v>
      </c>
      <c r="AA143" t="str">
        <f>MasterStaffList_All[[#This Row],[Facility]]&amp;MasterStaffList_All[[#This Row],[Role]]&amp;MasterStaffList_All[[#This Row],[Resource]]</f>
        <v>JH-RYAIN20</v>
      </c>
    </row>
    <row r="144" spans="1:27" hidden="1" x14ac:dyDescent="0.25">
      <c r="A144" t="s">
        <v>382</v>
      </c>
      <c r="B144" t="s">
        <v>22</v>
      </c>
      <c r="C144">
        <v>21</v>
      </c>
      <c r="E144" t="s">
        <v>76</v>
      </c>
      <c r="F144" t="s">
        <v>383</v>
      </c>
      <c r="G144" t="s">
        <v>346</v>
      </c>
      <c r="H144" t="s">
        <v>110</v>
      </c>
      <c r="I144" t="s">
        <v>22</v>
      </c>
      <c r="J144" t="b">
        <v>1</v>
      </c>
      <c r="K144" t="b">
        <v>1</v>
      </c>
      <c r="L144" t="s">
        <v>95</v>
      </c>
      <c r="M144" t="s">
        <v>81</v>
      </c>
      <c r="O144" t="s">
        <v>82</v>
      </c>
      <c r="P144">
        <v>76</v>
      </c>
      <c r="Q144">
        <v>46223</v>
      </c>
      <c r="R144">
        <v>46250</v>
      </c>
      <c r="S144">
        <v>2</v>
      </c>
      <c r="T144">
        <v>152</v>
      </c>
      <c r="U144">
        <v>20</v>
      </c>
      <c r="V144">
        <v>20</v>
      </c>
      <c r="W144">
        <v>20</v>
      </c>
      <c r="X144">
        <v>20</v>
      </c>
      <c r="Y144" t="s">
        <v>111</v>
      </c>
      <c r="Z144" t="s">
        <v>346</v>
      </c>
      <c r="AA144" t="str">
        <f>MasterStaffList_All[[#This Row],[Facility]]&amp;MasterStaffList_All[[#This Row],[Role]]&amp;MasterStaffList_All[[#This Row],[Resource]]</f>
        <v>JH-RYAIN21</v>
      </c>
    </row>
    <row r="145" spans="1:27" hidden="1" x14ac:dyDescent="0.25">
      <c r="A145" t="s">
        <v>384</v>
      </c>
      <c r="B145" t="s">
        <v>22</v>
      </c>
      <c r="C145">
        <v>22</v>
      </c>
      <c r="E145" t="s">
        <v>76</v>
      </c>
      <c r="F145" t="s">
        <v>385</v>
      </c>
      <c r="G145" t="s">
        <v>346</v>
      </c>
      <c r="H145" t="s">
        <v>88</v>
      </c>
      <c r="I145" t="s">
        <v>22</v>
      </c>
      <c r="J145" t="b">
        <v>1</v>
      </c>
      <c r="K145" t="b">
        <v>1</v>
      </c>
      <c r="L145" t="s">
        <v>95</v>
      </c>
      <c r="M145" t="s">
        <v>81</v>
      </c>
      <c r="O145" t="s">
        <v>89</v>
      </c>
      <c r="P145">
        <v>76</v>
      </c>
      <c r="Q145">
        <v>46223</v>
      </c>
      <c r="R145">
        <v>46250</v>
      </c>
      <c r="S145">
        <v>2</v>
      </c>
      <c r="T145">
        <v>152</v>
      </c>
      <c r="U145">
        <v>20</v>
      </c>
      <c r="V145">
        <v>20</v>
      </c>
      <c r="W145">
        <v>20</v>
      </c>
      <c r="X145">
        <v>20</v>
      </c>
      <c r="Y145" t="s">
        <v>89</v>
      </c>
      <c r="Z145" t="s">
        <v>346</v>
      </c>
      <c r="AA145" t="str">
        <f>MasterStaffList_All[[#This Row],[Facility]]&amp;MasterStaffList_All[[#This Row],[Role]]&amp;MasterStaffList_All[[#This Row],[Resource]]</f>
        <v>JH-RYAIN22</v>
      </c>
    </row>
    <row r="146" spans="1:27" hidden="1" x14ac:dyDescent="0.25">
      <c r="A146" t="s">
        <v>392</v>
      </c>
      <c r="B146" t="s">
        <v>22</v>
      </c>
      <c r="C146">
        <v>26</v>
      </c>
      <c r="E146" t="s">
        <v>76</v>
      </c>
      <c r="F146" t="s">
        <v>393</v>
      </c>
      <c r="G146" t="s">
        <v>346</v>
      </c>
      <c r="H146" t="s">
        <v>79</v>
      </c>
      <c r="I146" t="s">
        <v>22</v>
      </c>
      <c r="J146" t="b">
        <v>1</v>
      </c>
      <c r="K146" t="b">
        <v>1</v>
      </c>
      <c r="L146" t="s">
        <v>95</v>
      </c>
      <c r="M146" t="s">
        <v>81</v>
      </c>
      <c r="O146" t="s">
        <v>82</v>
      </c>
      <c r="P146">
        <v>64</v>
      </c>
      <c r="Q146">
        <v>46223</v>
      </c>
      <c r="R146">
        <v>46250</v>
      </c>
      <c r="S146">
        <v>2</v>
      </c>
      <c r="T146">
        <v>128</v>
      </c>
      <c r="U146">
        <v>16.842105263157894</v>
      </c>
      <c r="V146">
        <v>16</v>
      </c>
      <c r="W146">
        <v>20</v>
      </c>
      <c r="X146">
        <v>16</v>
      </c>
      <c r="Y146" t="s">
        <v>83</v>
      </c>
      <c r="Z146" t="s">
        <v>346</v>
      </c>
      <c r="AA146" t="str">
        <f>MasterStaffList_All[[#This Row],[Facility]]&amp;MasterStaffList_All[[#This Row],[Role]]&amp;MasterStaffList_All[[#This Row],[Resource]]</f>
        <v>JH-RYAIN26</v>
      </c>
    </row>
    <row r="147" spans="1:27" hidden="1" x14ac:dyDescent="0.25">
      <c r="A147" t="s">
        <v>394</v>
      </c>
      <c r="B147" t="s">
        <v>22</v>
      </c>
      <c r="C147">
        <v>27</v>
      </c>
      <c r="D147" t="s">
        <v>40</v>
      </c>
      <c r="E147" t="s">
        <v>76</v>
      </c>
      <c r="F147" t="s">
        <v>395</v>
      </c>
      <c r="G147" t="s">
        <v>346</v>
      </c>
      <c r="H147" t="s">
        <v>79</v>
      </c>
      <c r="I147" t="s">
        <v>22</v>
      </c>
      <c r="J147" t="b">
        <v>1</v>
      </c>
      <c r="K147" t="b">
        <v>1</v>
      </c>
      <c r="L147" t="s">
        <v>95</v>
      </c>
      <c r="M147" t="s">
        <v>81</v>
      </c>
      <c r="O147" t="s">
        <v>82</v>
      </c>
      <c r="P147">
        <v>40</v>
      </c>
      <c r="Q147">
        <v>46223</v>
      </c>
      <c r="R147">
        <v>46250</v>
      </c>
      <c r="S147">
        <v>2</v>
      </c>
      <c r="T147">
        <v>80</v>
      </c>
      <c r="U147">
        <v>10.526315789473683</v>
      </c>
      <c r="V147">
        <v>10</v>
      </c>
      <c r="W147">
        <v>20</v>
      </c>
      <c r="X147">
        <v>10</v>
      </c>
      <c r="Y147" t="s">
        <v>83</v>
      </c>
      <c r="Z147" t="s">
        <v>346</v>
      </c>
      <c r="AA147" t="str">
        <f>MasterStaffList_All[[#This Row],[Facility]]&amp;MasterStaffList_All[[#This Row],[Role]]&amp;MasterStaffList_All[[#This Row],[Resource]]</f>
        <v>JH-RYAIN27</v>
      </c>
    </row>
    <row r="148" spans="1:27" hidden="1" x14ac:dyDescent="0.25">
      <c r="A148" t="s">
        <v>224</v>
      </c>
      <c r="B148" t="s">
        <v>22</v>
      </c>
      <c r="C148">
        <v>28</v>
      </c>
      <c r="D148" t="s">
        <v>40</v>
      </c>
      <c r="E148" t="s">
        <v>76</v>
      </c>
      <c r="F148" t="s">
        <v>225</v>
      </c>
      <c r="G148" t="s">
        <v>346</v>
      </c>
      <c r="H148" t="s">
        <v>88</v>
      </c>
      <c r="I148" t="s">
        <v>22</v>
      </c>
      <c r="J148" t="b">
        <v>0</v>
      </c>
      <c r="K148" t="b">
        <v>1</v>
      </c>
      <c r="L148" t="s">
        <v>80</v>
      </c>
      <c r="M148" t="s">
        <v>81</v>
      </c>
      <c r="O148" t="s">
        <v>89</v>
      </c>
      <c r="P148">
        <v>76</v>
      </c>
      <c r="Q148">
        <v>46223</v>
      </c>
      <c r="R148">
        <v>46250</v>
      </c>
      <c r="S148">
        <v>2</v>
      </c>
      <c r="T148">
        <v>152</v>
      </c>
      <c r="U148">
        <v>20</v>
      </c>
      <c r="V148">
        <v>20</v>
      </c>
      <c r="W148">
        <v>20</v>
      </c>
      <c r="X148">
        <v>20</v>
      </c>
      <c r="Y148" t="s">
        <v>89</v>
      </c>
      <c r="Z148" t="s">
        <v>346</v>
      </c>
      <c r="AA148" t="str">
        <f>MasterStaffList_All[[#This Row],[Facility]]&amp;MasterStaffList_All[[#This Row],[Role]]&amp;MasterStaffList_All[[#This Row],[Resource]]</f>
        <v>JH-RYAIN28</v>
      </c>
    </row>
    <row r="149" spans="1:27" hidden="1" x14ac:dyDescent="0.25">
      <c r="A149" t="s">
        <v>396</v>
      </c>
      <c r="B149" t="s">
        <v>22</v>
      </c>
      <c r="C149">
        <v>29</v>
      </c>
      <c r="E149" t="s">
        <v>76</v>
      </c>
      <c r="F149" t="s">
        <v>397</v>
      </c>
      <c r="G149" t="s">
        <v>346</v>
      </c>
      <c r="H149" t="s">
        <v>79</v>
      </c>
      <c r="I149" t="s">
        <v>22</v>
      </c>
      <c r="J149" t="b">
        <v>1</v>
      </c>
      <c r="K149" t="b">
        <v>1</v>
      </c>
      <c r="L149" t="s">
        <v>95</v>
      </c>
      <c r="M149" t="s">
        <v>81</v>
      </c>
      <c r="O149" t="s">
        <v>82</v>
      </c>
      <c r="P149">
        <v>64</v>
      </c>
      <c r="Q149">
        <v>46223</v>
      </c>
      <c r="R149">
        <v>46250</v>
      </c>
      <c r="S149">
        <v>2</v>
      </c>
      <c r="T149">
        <v>128</v>
      </c>
      <c r="U149">
        <v>16.842105263157894</v>
      </c>
      <c r="V149">
        <v>16</v>
      </c>
      <c r="W149">
        <v>20</v>
      </c>
      <c r="X149">
        <v>16</v>
      </c>
      <c r="Y149" t="s">
        <v>83</v>
      </c>
      <c r="Z149" t="s">
        <v>346</v>
      </c>
      <c r="AA149" t="str">
        <f>MasterStaffList_All[[#This Row],[Facility]]&amp;MasterStaffList_All[[#This Row],[Role]]&amp;MasterStaffList_All[[#This Row],[Resource]]</f>
        <v>JH-RYAIN29</v>
      </c>
    </row>
    <row r="150" spans="1:27" hidden="1" x14ac:dyDescent="0.25">
      <c r="A150" t="s">
        <v>86</v>
      </c>
      <c r="B150" t="s">
        <v>22</v>
      </c>
      <c r="C150">
        <v>3</v>
      </c>
      <c r="D150" t="s">
        <v>40</v>
      </c>
      <c r="E150" t="s">
        <v>76</v>
      </c>
      <c r="F150" t="s">
        <v>87</v>
      </c>
      <c r="G150" t="s">
        <v>346</v>
      </c>
      <c r="H150" t="s">
        <v>88</v>
      </c>
      <c r="I150" t="s">
        <v>22</v>
      </c>
      <c r="J150" t="b">
        <v>0</v>
      </c>
      <c r="K150" t="b">
        <v>1</v>
      </c>
      <c r="L150" t="s">
        <v>80</v>
      </c>
      <c r="M150" t="s">
        <v>81</v>
      </c>
      <c r="O150" t="s">
        <v>89</v>
      </c>
      <c r="P150">
        <v>76</v>
      </c>
      <c r="Q150">
        <v>46223</v>
      </c>
      <c r="R150">
        <v>46250</v>
      </c>
      <c r="S150">
        <v>2</v>
      </c>
      <c r="T150">
        <v>152</v>
      </c>
      <c r="U150">
        <v>20</v>
      </c>
      <c r="V150">
        <v>20</v>
      </c>
      <c r="W150">
        <v>20</v>
      </c>
      <c r="X150">
        <v>20</v>
      </c>
      <c r="Y150" t="s">
        <v>89</v>
      </c>
      <c r="Z150" t="s">
        <v>346</v>
      </c>
      <c r="AA150" t="str">
        <f>MasterStaffList_All[[#This Row],[Facility]]&amp;MasterStaffList_All[[#This Row],[Role]]&amp;MasterStaffList_All[[#This Row],[Resource]]</f>
        <v>JH-RYAIN3</v>
      </c>
    </row>
    <row r="151" spans="1:27" hidden="1" x14ac:dyDescent="0.25">
      <c r="A151" t="s">
        <v>398</v>
      </c>
      <c r="B151" t="s">
        <v>22</v>
      </c>
      <c r="C151">
        <v>30</v>
      </c>
      <c r="E151" t="s">
        <v>76</v>
      </c>
      <c r="F151" t="s">
        <v>399</v>
      </c>
      <c r="G151" t="s">
        <v>346</v>
      </c>
      <c r="H151" t="s">
        <v>79</v>
      </c>
      <c r="I151" t="s">
        <v>22</v>
      </c>
      <c r="J151" t="b">
        <v>1</v>
      </c>
      <c r="K151" t="b">
        <v>1</v>
      </c>
      <c r="L151" t="s">
        <v>95</v>
      </c>
      <c r="M151" t="s">
        <v>81</v>
      </c>
      <c r="O151" t="s">
        <v>82</v>
      </c>
      <c r="P151">
        <v>64</v>
      </c>
      <c r="Q151">
        <v>46223</v>
      </c>
      <c r="R151">
        <v>46250</v>
      </c>
      <c r="S151">
        <v>2</v>
      </c>
      <c r="T151">
        <v>128</v>
      </c>
      <c r="U151">
        <v>16.842105263157894</v>
      </c>
      <c r="V151">
        <v>16</v>
      </c>
      <c r="W151">
        <v>20</v>
      </c>
      <c r="X151">
        <v>16</v>
      </c>
      <c r="Y151" t="s">
        <v>83</v>
      </c>
      <c r="Z151" t="s">
        <v>346</v>
      </c>
      <c r="AA151" t="str">
        <f>MasterStaffList_All[[#This Row],[Facility]]&amp;MasterStaffList_All[[#This Row],[Role]]&amp;MasterStaffList_All[[#This Row],[Resource]]</f>
        <v>JH-RYAIN30</v>
      </c>
    </row>
    <row r="152" spans="1:27" hidden="1" x14ac:dyDescent="0.25">
      <c r="A152" t="s">
        <v>238</v>
      </c>
      <c r="B152" t="s">
        <v>22</v>
      </c>
      <c r="C152">
        <v>31</v>
      </c>
      <c r="D152" t="s">
        <v>40</v>
      </c>
      <c r="E152" t="s">
        <v>76</v>
      </c>
      <c r="F152" t="s">
        <v>239</v>
      </c>
      <c r="G152" t="s">
        <v>346</v>
      </c>
      <c r="H152" t="s">
        <v>88</v>
      </c>
      <c r="I152" t="s">
        <v>22</v>
      </c>
      <c r="J152" t="b">
        <v>0</v>
      </c>
      <c r="K152" t="b">
        <v>1</v>
      </c>
      <c r="L152" t="s">
        <v>80</v>
      </c>
      <c r="M152" t="s">
        <v>81</v>
      </c>
      <c r="O152" t="s">
        <v>89</v>
      </c>
      <c r="P152">
        <v>76</v>
      </c>
      <c r="Q152">
        <v>46223</v>
      </c>
      <c r="R152">
        <v>46250</v>
      </c>
      <c r="S152">
        <v>2</v>
      </c>
      <c r="T152">
        <v>152</v>
      </c>
      <c r="U152">
        <v>20</v>
      </c>
      <c r="V152">
        <v>20</v>
      </c>
      <c r="W152">
        <v>20</v>
      </c>
      <c r="X152">
        <v>20</v>
      </c>
      <c r="Y152" t="s">
        <v>89</v>
      </c>
      <c r="Z152" t="s">
        <v>346</v>
      </c>
      <c r="AA152" t="str">
        <f>MasterStaffList_All[[#This Row],[Facility]]&amp;MasterStaffList_All[[#This Row],[Role]]&amp;MasterStaffList_All[[#This Row],[Resource]]</f>
        <v>JH-RYAIN31</v>
      </c>
    </row>
    <row r="153" spans="1:27" hidden="1" x14ac:dyDescent="0.25">
      <c r="A153" t="s">
        <v>400</v>
      </c>
      <c r="B153" t="s">
        <v>22</v>
      </c>
      <c r="C153">
        <v>32</v>
      </c>
      <c r="E153" t="s">
        <v>76</v>
      </c>
      <c r="F153" t="s">
        <v>401</v>
      </c>
      <c r="G153" t="s">
        <v>346</v>
      </c>
      <c r="H153" t="s">
        <v>79</v>
      </c>
      <c r="I153" t="s">
        <v>22</v>
      </c>
      <c r="J153" t="b">
        <v>1</v>
      </c>
      <c r="K153" t="b">
        <v>1</v>
      </c>
      <c r="L153" t="s">
        <v>95</v>
      </c>
      <c r="M153" t="s">
        <v>81</v>
      </c>
      <c r="O153" t="s">
        <v>82</v>
      </c>
      <c r="P153">
        <v>30</v>
      </c>
      <c r="Q153">
        <v>46223</v>
      </c>
      <c r="R153">
        <v>46250</v>
      </c>
      <c r="S153">
        <v>2</v>
      </c>
      <c r="T153">
        <v>60</v>
      </c>
      <c r="U153">
        <v>7.8947368421052637</v>
      </c>
      <c r="V153">
        <v>7</v>
      </c>
      <c r="W153">
        <v>20</v>
      </c>
      <c r="X153">
        <v>7</v>
      </c>
      <c r="Y153" t="s">
        <v>83</v>
      </c>
      <c r="Z153" t="s">
        <v>346</v>
      </c>
      <c r="AA153" t="str">
        <f>MasterStaffList_All[[#This Row],[Facility]]&amp;MasterStaffList_All[[#This Row],[Role]]&amp;MasterStaffList_All[[#This Row],[Resource]]</f>
        <v>JH-RYAIN32</v>
      </c>
    </row>
    <row r="154" spans="1:27" hidden="1" x14ac:dyDescent="0.25">
      <c r="A154" t="s">
        <v>258</v>
      </c>
      <c r="B154" t="s">
        <v>22</v>
      </c>
      <c r="C154">
        <v>33</v>
      </c>
      <c r="D154" t="s">
        <v>40</v>
      </c>
      <c r="E154" t="s">
        <v>76</v>
      </c>
      <c r="F154" t="s">
        <v>259</v>
      </c>
      <c r="G154" t="s">
        <v>346</v>
      </c>
      <c r="H154" t="s">
        <v>79</v>
      </c>
      <c r="I154" t="s">
        <v>22</v>
      </c>
      <c r="J154" t="b">
        <v>0</v>
      </c>
      <c r="K154" t="b">
        <v>1</v>
      </c>
      <c r="L154" t="s">
        <v>80</v>
      </c>
      <c r="M154" t="s">
        <v>81</v>
      </c>
      <c r="O154" t="s">
        <v>82</v>
      </c>
      <c r="P154">
        <v>32</v>
      </c>
      <c r="Q154">
        <v>46223</v>
      </c>
      <c r="R154">
        <v>46250</v>
      </c>
      <c r="S154">
        <v>2</v>
      </c>
      <c r="T154">
        <v>64</v>
      </c>
      <c r="U154">
        <v>8.4210526315789469</v>
      </c>
      <c r="V154">
        <v>8</v>
      </c>
      <c r="W154">
        <v>20</v>
      </c>
      <c r="X154">
        <v>8</v>
      </c>
      <c r="Y154" t="s">
        <v>83</v>
      </c>
      <c r="Z154" t="s">
        <v>346</v>
      </c>
      <c r="AA154" t="str">
        <f>MasterStaffList_All[[#This Row],[Facility]]&amp;MasterStaffList_All[[#This Row],[Role]]&amp;MasterStaffList_All[[#This Row],[Resource]]</f>
        <v>JH-RYAIN33</v>
      </c>
    </row>
    <row r="155" spans="1:27" hidden="1" x14ac:dyDescent="0.25">
      <c r="A155" t="s">
        <v>402</v>
      </c>
      <c r="B155" t="s">
        <v>22</v>
      </c>
      <c r="C155">
        <v>34</v>
      </c>
      <c r="E155" t="s">
        <v>76</v>
      </c>
      <c r="F155" t="s">
        <v>403</v>
      </c>
      <c r="G155" t="s">
        <v>346</v>
      </c>
      <c r="H155" t="s">
        <v>110</v>
      </c>
      <c r="I155" t="s">
        <v>22</v>
      </c>
      <c r="J155" t="b">
        <v>1</v>
      </c>
      <c r="K155" t="b">
        <v>1</v>
      </c>
      <c r="L155" t="s">
        <v>95</v>
      </c>
      <c r="M155" t="s">
        <v>81</v>
      </c>
      <c r="O155" t="s">
        <v>82</v>
      </c>
      <c r="P155">
        <v>76</v>
      </c>
      <c r="Q155">
        <v>46223</v>
      </c>
      <c r="R155">
        <v>46250</v>
      </c>
      <c r="S155">
        <v>2</v>
      </c>
      <c r="T155">
        <v>152</v>
      </c>
      <c r="U155">
        <v>20</v>
      </c>
      <c r="V155">
        <v>20</v>
      </c>
      <c r="W155">
        <v>20</v>
      </c>
      <c r="X155">
        <v>20</v>
      </c>
      <c r="Y155" t="s">
        <v>111</v>
      </c>
      <c r="Z155" t="s">
        <v>346</v>
      </c>
      <c r="AA155" t="str">
        <f>MasterStaffList_All[[#This Row],[Facility]]&amp;MasterStaffList_All[[#This Row],[Role]]&amp;MasterStaffList_All[[#This Row],[Resource]]</f>
        <v>JH-RYAIN34</v>
      </c>
    </row>
    <row r="156" spans="1:27" hidden="1" x14ac:dyDescent="0.25">
      <c r="A156" t="s">
        <v>404</v>
      </c>
      <c r="B156" t="s">
        <v>22</v>
      </c>
      <c r="C156">
        <v>35</v>
      </c>
      <c r="E156" t="s">
        <v>76</v>
      </c>
      <c r="F156" t="s">
        <v>405</v>
      </c>
      <c r="G156" t="s">
        <v>346</v>
      </c>
      <c r="H156" t="s">
        <v>79</v>
      </c>
      <c r="I156" t="s">
        <v>22</v>
      </c>
      <c r="J156" t="b">
        <v>1</v>
      </c>
      <c r="K156" t="b">
        <v>0</v>
      </c>
      <c r="L156" t="s">
        <v>92</v>
      </c>
      <c r="M156" t="s">
        <v>81</v>
      </c>
      <c r="O156" t="s">
        <v>82</v>
      </c>
      <c r="P156">
        <v>40</v>
      </c>
      <c r="Q156">
        <v>46223</v>
      </c>
      <c r="R156">
        <v>46250</v>
      </c>
      <c r="S156">
        <v>2</v>
      </c>
      <c r="T156">
        <v>80</v>
      </c>
      <c r="U156">
        <v>10.526315789473683</v>
      </c>
      <c r="V156">
        <v>10</v>
      </c>
      <c r="W156">
        <v>20</v>
      </c>
      <c r="X156">
        <v>10</v>
      </c>
      <c r="Y156" t="s">
        <v>83</v>
      </c>
      <c r="Z156" t="s">
        <v>346</v>
      </c>
      <c r="AA156" t="str">
        <f>MasterStaffList_All[[#This Row],[Facility]]&amp;MasterStaffList_All[[#This Row],[Role]]&amp;MasterStaffList_All[[#This Row],[Resource]]</f>
        <v>JH-RYAIN35</v>
      </c>
    </row>
    <row r="157" spans="1:27" hidden="1" x14ac:dyDescent="0.25">
      <c r="A157" t="s">
        <v>408</v>
      </c>
      <c r="B157" t="s">
        <v>22</v>
      </c>
      <c r="C157">
        <v>37</v>
      </c>
      <c r="E157" t="s">
        <v>76</v>
      </c>
      <c r="F157" t="s">
        <v>409</v>
      </c>
      <c r="G157" t="s">
        <v>346</v>
      </c>
      <c r="H157" t="s">
        <v>79</v>
      </c>
      <c r="I157" t="s">
        <v>22</v>
      </c>
      <c r="J157" t="b">
        <v>1</v>
      </c>
      <c r="K157" t="b">
        <v>0</v>
      </c>
      <c r="L157" t="s">
        <v>92</v>
      </c>
      <c r="M157" t="s">
        <v>81</v>
      </c>
      <c r="O157" t="s">
        <v>82</v>
      </c>
      <c r="P157">
        <v>64</v>
      </c>
      <c r="Q157">
        <v>46223</v>
      </c>
      <c r="R157">
        <v>46250</v>
      </c>
      <c r="S157">
        <v>2</v>
      </c>
      <c r="T157">
        <v>128</v>
      </c>
      <c r="U157">
        <v>16.842105263157894</v>
      </c>
      <c r="V157">
        <v>16</v>
      </c>
      <c r="W157">
        <v>20</v>
      </c>
      <c r="X157">
        <v>16</v>
      </c>
      <c r="Y157" t="s">
        <v>83</v>
      </c>
      <c r="Z157" t="s">
        <v>346</v>
      </c>
      <c r="AA157" t="str">
        <f>MasterStaffList_All[[#This Row],[Facility]]&amp;MasterStaffList_All[[#This Row],[Role]]&amp;MasterStaffList_All[[#This Row],[Resource]]</f>
        <v>JH-RYAIN37</v>
      </c>
    </row>
    <row r="158" spans="1:27" hidden="1" x14ac:dyDescent="0.25">
      <c r="A158" t="s">
        <v>410</v>
      </c>
      <c r="B158" t="s">
        <v>22</v>
      </c>
      <c r="C158">
        <v>38</v>
      </c>
      <c r="E158" t="s">
        <v>76</v>
      </c>
      <c r="F158" t="s">
        <v>411</v>
      </c>
      <c r="G158" t="s">
        <v>346</v>
      </c>
      <c r="H158" t="s">
        <v>88</v>
      </c>
      <c r="I158" t="s">
        <v>22</v>
      </c>
      <c r="J158" t="b">
        <v>1</v>
      </c>
      <c r="K158" t="b">
        <v>0</v>
      </c>
      <c r="L158" t="s">
        <v>92</v>
      </c>
      <c r="M158" t="s">
        <v>81</v>
      </c>
      <c r="O158" t="s">
        <v>89</v>
      </c>
      <c r="P158">
        <v>76</v>
      </c>
      <c r="Q158">
        <v>46223</v>
      </c>
      <c r="R158">
        <v>46250</v>
      </c>
      <c r="S158">
        <v>2</v>
      </c>
      <c r="T158">
        <v>152</v>
      </c>
      <c r="U158">
        <v>20</v>
      </c>
      <c r="V158">
        <v>20</v>
      </c>
      <c r="W158">
        <v>20</v>
      </c>
      <c r="X158">
        <v>20</v>
      </c>
      <c r="Y158" t="s">
        <v>89</v>
      </c>
      <c r="Z158" t="s">
        <v>346</v>
      </c>
      <c r="AA158" t="str">
        <f>MasterStaffList_All[[#This Row],[Facility]]&amp;MasterStaffList_All[[#This Row],[Role]]&amp;MasterStaffList_All[[#This Row],[Resource]]</f>
        <v>JH-RYAIN38</v>
      </c>
    </row>
    <row r="159" spans="1:27" hidden="1" x14ac:dyDescent="0.25">
      <c r="A159" t="s">
        <v>412</v>
      </c>
      <c r="B159" t="s">
        <v>22</v>
      </c>
      <c r="C159">
        <v>39</v>
      </c>
      <c r="E159" t="s">
        <v>76</v>
      </c>
      <c r="F159" t="s">
        <v>413</v>
      </c>
      <c r="G159" t="s">
        <v>346</v>
      </c>
      <c r="H159" t="s">
        <v>79</v>
      </c>
      <c r="I159" t="s">
        <v>22</v>
      </c>
      <c r="J159" t="b">
        <v>1</v>
      </c>
      <c r="K159" t="b">
        <v>1</v>
      </c>
      <c r="L159" t="s">
        <v>95</v>
      </c>
      <c r="M159" t="s">
        <v>81</v>
      </c>
      <c r="O159" t="s">
        <v>82</v>
      </c>
      <c r="P159">
        <v>72</v>
      </c>
      <c r="Q159">
        <v>46223</v>
      </c>
      <c r="R159">
        <v>46250</v>
      </c>
      <c r="S159">
        <v>2</v>
      </c>
      <c r="T159">
        <v>144</v>
      </c>
      <c r="U159">
        <v>18.947368421052634</v>
      </c>
      <c r="V159">
        <v>18</v>
      </c>
      <c r="W159">
        <v>20</v>
      </c>
      <c r="X159">
        <v>18</v>
      </c>
      <c r="Y159" t="s">
        <v>83</v>
      </c>
      <c r="Z159" t="s">
        <v>346</v>
      </c>
      <c r="AA159" t="str">
        <f>MasterStaffList_All[[#This Row],[Facility]]&amp;MasterStaffList_All[[#This Row],[Role]]&amp;MasterStaffList_All[[#This Row],[Resource]]</f>
        <v>JH-RYAIN39</v>
      </c>
    </row>
    <row r="160" spans="1:27" hidden="1" x14ac:dyDescent="0.25">
      <c r="A160" t="s">
        <v>349</v>
      </c>
      <c r="B160" t="s">
        <v>22</v>
      </c>
      <c r="C160">
        <v>4</v>
      </c>
      <c r="E160" t="s">
        <v>76</v>
      </c>
      <c r="F160" t="s">
        <v>350</v>
      </c>
      <c r="G160" t="s">
        <v>346</v>
      </c>
      <c r="H160" t="s">
        <v>79</v>
      </c>
      <c r="I160" t="s">
        <v>22</v>
      </c>
      <c r="J160" t="b">
        <v>0</v>
      </c>
      <c r="K160" t="b">
        <v>1</v>
      </c>
      <c r="L160" t="s">
        <v>80</v>
      </c>
      <c r="M160" t="s">
        <v>81</v>
      </c>
      <c r="O160" t="s">
        <v>82</v>
      </c>
      <c r="P160">
        <v>30</v>
      </c>
      <c r="Q160">
        <v>46223</v>
      </c>
      <c r="R160">
        <v>46250</v>
      </c>
      <c r="S160">
        <v>2</v>
      </c>
      <c r="T160">
        <v>60</v>
      </c>
      <c r="U160">
        <v>7.8947368421052637</v>
      </c>
      <c r="V160">
        <v>7</v>
      </c>
      <c r="W160">
        <v>20</v>
      </c>
      <c r="X160">
        <v>7</v>
      </c>
      <c r="Y160" t="s">
        <v>83</v>
      </c>
      <c r="Z160" t="s">
        <v>346</v>
      </c>
      <c r="AA160" t="str">
        <f>MasterStaffList_All[[#This Row],[Facility]]&amp;MasterStaffList_All[[#This Row],[Role]]&amp;MasterStaffList_All[[#This Row],[Resource]]</f>
        <v>JH-RYAIN4</v>
      </c>
    </row>
    <row r="161" spans="1:27" hidden="1" x14ac:dyDescent="0.25">
      <c r="A161" t="s">
        <v>414</v>
      </c>
      <c r="B161" t="s">
        <v>22</v>
      </c>
      <c r="C161">
        <v>40</v>
      </c>
      <c r="D161" t="s">
        <v>40</v>
      </c>
      <c r="E161" t="s">
        <v>76</v>
      </c>
      <c r="F161" t="s">
        <v>415</v>
      </c>
      <c r="G161" t="s">
        <v>346</v>
      </c>
      <c r="H161" t="s">
        <v>88</v>
      </c>
      <c r="I161" t="s">
        <v>22</v>
      </c>
      <c r="J161" t="b">
        <v>0</v>
      </c>
      <c r="K161" t="b">
        <v>1</v>
      </c>
      <c r="L161" t="s">
        <v>80</v>
      </c>
      <c r="M161" t="s">
        <v>81</v>
      </c>
      <c r="O161" t="s">
        <v>89</v>
      </c>
      <c r="P161">
        <v>76</v>
      </c>
      <c r="Q161">
        <v>46223</v>
      </c>
      <c r="R161">
        <v>46250</v>
      </c>
      <c r="S161">
        <v>2</v>
      </c>
      <c r="T161">
        <v>152</v>
      </c>
      <c r="U161">
        <v>20</v>
      </c>
      <c r="V161">
        <v>20</v>
      </c>
      <c r="W161">
        <v>20</v>
      </c>
      <c r="X161">
        <v>20</v>
      </c>
      <c r="Y161" t="s">
        <v>89</v>
      </c>
      <c r="Z161" t="s">
        <v>346</v>
      </c>
      <c r="AA161" t="str">
        <f>MasterStaffList_All[[#This Row],[Facility]]&amp;MasterStaffList_All[[#This Row],[Role]]&amp;MasterStaffList_All[[#This Row],[Resource]]</f>
        <v>JH-RYAIN40</v>
      </c>
    </row>
    <row r="162" spans="1:27" hidden="1" x14ac:dyDescent="0.25">
      <c r="A162" t="s">
        <v>422</v>
      </c>
      <c r="B162" t="s">
        <v>22</v>
      </c>
      <c r="C162">
        <v>44</v>
      </c>
      <c r="D162" t="s">
        <v>40</v>
      </c>
      <c r="E162" t="s">
        <v>76</v>
      </c>
      <c r="F162" t="s">
        <v>423</v>
      </c>
      <c r="G162" t="s">
        <v>346</v>
      </c>
      <c r="H162" t="s">
        <v>88</v>
      </c>
      <c r="I162" t="s">
        <v>22</v>
      </c>
      <c r="J162" t="b">
        <v>0</v>
      </c>
      <c r="K162" t="b">
        <v>1</v>
      </c>
      <c r="L162" t="s">
        <v>80</v>
      </c>
      <c r="M162" t="s">
        <v>81</v>
      </c>
      <c r="O162" t="s">
        <v>89</v>
      </c>
      <c r="P162">
        <v>76</v>
      </c>
      <c r="Q162">
        <v>46223</v>
      </c>
      <c r="R162">
        <v>46250</v>
      </c>
      <c r="S162">
        <v>2</v>
      </c>
      <c r="T162">
        <v>152</v>
      </c>
      <c r="U162">
        <v>20</v>
      </c>
      <c r="V162">
        <v>20</v>
      </c>
      <c r="W162">
        <v>20</v>
      </c>
      <c r="X162">
        <v>20</v>
      </c>
      <c r="Y162" t="s">
        <v>89</v>
      </c>
      <c r="Z162" t="s">
        <v>346</v>
      </c>
      <c r="AA162" t="str">
        <f>MasterStaffList_All[[#This Row],[Facility]]&amp;MasterStaffList_All[[#This Row],[Role]]&amp;MasterStaffList_All[[#This Row],[Resource]]</f>
        <v>JH-RYAIN44</v>
      </c>
    </row>
    <row r="163" spans="1:27" hidden="1" x14ac:dyDescent="0.25">
      <c r="A163" t="s">
        <v>424</v>
      </c>
      <c r="B163" t="s">
        <v>22</v>
      </c>
      <c r="C163">
        <v>45</v>
      </c>
      <c r="D163" t="s">
        <v>40</v>
      </c>
      <c r="E163" t="s">
        <v>76</v>
      </c>
      <c r="F163" t="s">
        <v>425</v>
      </c>
      <c r="G163" t="s">
        <v>346</v>
      </c>
      <c r="H163" t="s">
        <v>110</v>
      </c>
      <c r="I163" t="s">
        <v>22</v>
      </c>
      <c r="J163" t="b">
        <v>0</v>
      </c>
      <c r="K163" t="b">
        <v>1</v>
      </c>
      <c r="L163" t="s">
        <v>80</v>
      </c>
      <c r="M163" t="s">
        <v>81</v>
      </c>
      <c r="O163" t="s">
        <v>82</v>
      </c>
      <c r="P163">
        <v>76</v>
      </c>
      <c r="Q163">
        <v>46223</v>
      </c>
      <c r="R163">
        <v>46250</v>
      </c>
      <c r="S163">
        <v>2</v>
      </c>
      <c r="T163">
        <v>152</v>
      </c>
      <c r="U163">
        <v>20</v>
      </c>
      <c r="V163">
        <v>20</v>
      </c>
      <c r="W163">
        <v>20</v>
      </c>
      <c r="X163">
        <v>20</v>
      </c>
      <c r="Y163" t="s">
        <v>111</v>
      </c>
      <c r="Z163" t="s">
        <v>346</v>
      </c>
      <c r="AA163" t="str">
        <f>MasterStaffList_All[[#This Row],[Facility]]&amp;MasterStaffList_All[[#This Row],[Role]]&amp;MasterStaffList_All[[#This Row],[Resource]]</f>
        <v>JH-RYAIN45</v>
      </c>
    </row>
    <row r="164" spans="1:27" hidden="1" x14ac:dyDescent="0.25">
      <c r="A164" t="s">
        <v>426</v>
      </c>
      <c r="B164" t="s">
        <v>22</v>
      </c>
      <c r="C164">
        <v>46</v>
      </c>
      <c r="E164" t="s">
        <v>76</v>
      </c>
      <c r="F164" t="s">
        <v>427</v>
      </c>
      <c r="G164" t="s">
        <v>346</v>
      </c>
      <c r="H164" t="s">
        <v>88</v>
      </c>
      <c r="I164" t="s">
        <v>22</v>
      </c>
      <c r="J164" t="b">
        <v>1</v>
      </c>
      <c r="K164" t="b">
        <v>0</v>
      </c>
      <c r="L164" t="s">
        <v>92</v>
      </c>
      <c r="M164" t="s">
        <v>81</v>
      </c>
      <c r="O164" t="s">
        <v>89</v>
      </c>
      <c r="P164">
        <v>76</v>
      </c>
      <c r="Q164">
        <v>46223</v>
      </c>
      <c r="R164">
        <v>46250</v>
      </c>
      <c r="S164">
        <v>2</v>
      </c>
      <c r="T164">
        <v>152</v>
      </c>
      <c r="U164">
        <v>20</v>
      </c>
      <c r="V164">
        <v>20</v>
      </c>
      <c r="W164">
        <v>20</v>
      </c>
      <c r="X164">
        <v>20</v>
      </c>
      <c r="Y164" t="s">
        <v>89</v>
      </c>
      <c r="Z164" t="s">
        <v>346</v>
      </c>
      <c r="AA164" t="str">
        <f>MasterStaffList_All[[#This Row],[Facility]]&amp;MasterStaffList_All[[#This Row],[Role]]&amp;MasterStaffList_All[[#This Row],[Resource]]</f>
        <v>JH-RYAIN46</v>
      </c>
    </row>
    <row r="165" spans="1:27" hidden="1" x14ac:dyDescent="0.25">
      <c r="A165" t="s">
        <v>428</v>
      </c>
      <c r="B165" t="s">
        <v>22</v>
      </c>
      <c r="C165">
        <v>47</v>
      </c>
      <c r="E165" t="s">
        <v>76</v>
      </c>
      <c r="F165" t="s">
        <v>429</v>
      </c>
      <c r="G165" t="s">
        <v>346</v>
      </c>
      <c r="H165" t="s">
        <v>79</v>
      </c>
      <c r="I165" t="s">
        <v>22</v>
      </c>
      <c r="J165" t="b">
        <v>1</v>
      </c>
      <c r="K165" t="b">
        <v>0</v>
      </c>
      <c r="L165" t="s">
        <v>92</v>
      </c>
      <c r="M165" t="s">
        <v>81</v>
      </c>
      <c r="O165" t="s">
        <v>82</v>
      </c>
      <c r="P165">
        <v>60</v>
      </c>
      <c r="Q165">
        <v>46223</v>
      </c>
      <c r="R165">
        <v>46250</v>
      </c>
      <c r="S165">
        <v>2</v>
      </c>
      <c r="T165">
        <v>120</v>
      </c>
      <c r="U165">
        <v>15.789473684210527</v>
      </c>
      <c r="V165">
        <v>15</v>
      </c>
      <c r="W165">
        <v>20</v>
      </c>
      <c r="X165">
        <v>15</v>
      </c>
      <c r="Y165" t="s">
        <v>83</v>
      </c>
      <c r="Z165" t="s">
        <v>346</v>
      </c>
      <c r="AA165" t="str">
        <f>MasterStaffList_All[[#This Row],[Facility]]&amp;MasterStaffList_All[[#This Row],[Role]]&amp;MasterStaffList_All[[#This Row],[Resource]]</f>
        <v>JH-RYAIN47</v>
      </c>
    </row>
    <row r="166" spans="1:27" hidden="1" x14ac:dyDescent="0.25">
      <c r="A166" t="s">
        <v>430</v>
      </c>
      <c r="B166" t="s">
        <v>22</v>
      </c>
      <c r="C166">
        <v>48</v>
      </c>
      <c r="E166" t="s">
        <v>76</v>
      </c>
      <c r="F166" t="s">
        <v>431</v>
      </c>
      <c r="G166" t="s">
        <v>346</v>
      </c>
      <c r="H166" t="s">
        <v>79</v>
      </c>
      <c r="I166" t="s">
        <v>22</v>
      </c>
      <c r="J166" t="b">
        <v>1</v>
      </c>
      <c r="K166" t="b">
        <v>1</v>
      </c>
      <c r="L166" t="s">
        <v>95</v>
      </c>
      <c r="M166" t="s">
        <v>81</v>
      </c>
      <c r="O166" t="s">
        <v>82</v>
      </c>
      <c r="P166">
        <v>64</v>
      </c>
      <c r="Q166">
        <v>46223</v>
      </c>
      <c r="R166">
        <v>46250</v>
      </c>
      <c r="S166">
        <v>2</v>
      </c>
      <c r="T166">
        <v>128</v>
      </c>
      <c r="U166">
        <v>16.842105263157894</v>
      </c>
      <c r="V166">
        <v>16</v>
      </c>
      <c r="W166">
        <v>20</v>
      </c>
      <c r="X166">
        <v>16</v>
      </c>
      <c r="Y166" t="s">
        <v>83</v>
      </c>
      <c r="Z166" t="s">
        <v>346</v>
      </c>
      <c r="AA166" t="str">
        <f>MasterStaffList_All[[#This Row],[Facility]]&amp;MasterStaffList_All[[#This Row],[Role]]&amp;MasterStaffList_All[[#This Row],[Resource]]</f>
        <v>JH-RYAIN48</v>
      </c>
    </row>
    <row r="167" spans="1:27" hidden="1" x14ac:dyDescent="0.25">
      <c r="A167" t="s">
        <v>432</v>
      </c>
      <c r="B167" t="s">
        <v>22</v>
      </c>
      <c r="C167">
        <v>49</v>
      </c>
      <c r="E167" t="s">
        <v>76</v>
      </c>
      <c r="F167" t="s">
        <v>433</v>
      </c>
      <c r="G167" t="s">
        <v>346</v>
      </c>
      <c r="H167" t="s">
        <v>110</v>
      </c>
      <c r="I167" t="s">
        <v>22</v>
      </c>
      <c r="J167" t="b">
        <v>1</v>
      </c>
      <c r="K167" t="b">
        <v>1</v>
      </c>
      <c r="L167" t="s">
        <v>95</v>
      </c>
      <c r="M167" t="s">
        <v>81</v>
      </c>
      <c r="O167" t="s">
        <v>82</v>
      </c>
      <c r="P167">
        <v>76</v>
      </c>
      <c r="Q167">
        <v>46223</v>
      </c>
      <c r="R167">
        <v>46250</v>
      </c>
      <c r="S167">
        <v>2</v>
      </c>
      <c r="T167">
        <v>152</v>
      </c>
      <c r="U167">
        <v>20</v>
      </c>
      <c r="V167">
        <v>20</v>
      </c>
      <c r="W167">
        <v>20</v>
      </c>
      <c r="X167">
        <v>20</v>
      </c>
      <c r="Y167" t="s">
        <v>111</v>
      </c>
      <c r="Z167" t="s">
        <v>346</v>
      </c>
      <c r="AA167" t="str">
        <f>MasterStaffList_All[[#This Row],[Facility]]&amp;MasterStaffList_All[[#This Row],[Role]]&amp;MasterStaffList_All[[#This Row],[Resource]]</f>
        <v>JH-RYAIN49</v>
      </c>
    </row>
    <row r="168" spans="1:27" hidden="1" x14ac:dyDescent="0.25">
      <c r="A168" t="s">
        <v>351</v>
      </c>
      <c r="B168" t="s">
        <v>22</v>
      </c>
      <c r="C168">
        <v>5</v>
      </c>
      <c r="E168" t="s">
        <v>76</v>
      </c>
      <c r="F168" t="s">
        <v>352</v>
      </c>
      <c r="G168" t="s">
        <v>346</v>
      </c>
      <c r="H168" t="s">
        <v>88</v>
      </c>
      <c r="I168" t="s">
        <v>22</v>
      </c>
      <c r="J168" t="b">
        <v>1</v>
      </c>
      <c r="K168" t="b">
        <v>0</v>
      </c>
      <c r="L168" t="s">
        <v>92</v>
      </c>
      <c r="M168" t="s">
        <v>81</v>
      </c>
      <c r="O168" t="s">
        <v>89</v>
      </c>
      <c r="P168">
        <v>76</v>
      </c>
      <c r="Q168">
        <v>46223</v>
      </c>
      <c r="R168">
        <v>46250</v>
      </c>
      <c r="S168">
        <v>2</v>
      </c>
      <c r="T168">
        <v>152</v>
      </c>
      <c r="U168">
        <v>20</v>
      </c>
      <c r="V168">
        <v>20</v>
      </c>
      <c r="W168">
        <v>20</v>
      </c>
      <c r="X168">
        <v>20</v>
      </c>
      <c r="Y168" t="s">
        <v>89</v>
      </c>
      <c r="Z168" t="s">
        <v>346</v>
      </c>
      <c r="AA168" t="str">
        <f>MasterStaffList_All[[#This Row],[Facility]]&amp;MasterStaffList_All[[#This Row],[Role]]&amp;MasterStaffList_All[[#This Row],[Resource]]</f>
        <v>JH-RYAIN5</v>
      </c>
    </row>
    <row r="169" spans="1:27" hidden="1" x14ac:dyDescent="0.25">
      <c r="A169" t="s">
        <v>434</v>
      </c>
      <c r="B169" t="s">
        <v>22</v>
      </c>
      <c r="C169">
        <v>50</v>
      </c>
      <c r="E169" t="s">
        <v>76</v>
      </c>
      <c r="F169" t="s">
        <v>435</v>
      </c>
      <c r="G169" t="s">
        <v>346</v>
      </c>
      <c r="H169" t="s">
        <v>79</v>
      </c>
      <c r="I169" t="s">
        <v>22</v>
      </c>
      <c r="J169" t="b">
        <v>1</v>
      </c>
      <c r="K169" t="b">
        <v>1</v>
      </c>
      <c r="L169" t="s">
        <v>95</v>
      </c>
      <c r="M169" t="s">
        <v>81</v>
      </c>
      <c r="O169" t="s">
        <v>82</v>
      </c>
      <c r="P169">
        <v>40</v>
      </c>
      <c r="Q169">
        <v>46223</v>
      </c>
      <c r="R169">
        <v>46250</v>
      </c>
      <c r="S169">
        <v>2</v>
      </c>
      <c r="T169">
        <v>80</v>
      </c>
      <c r="U169">
        <v>10.526315789473683</v>
      </c>
      <c r="V169">
        <v>10</v>
      </c>
      <c r="W169">
        <v>20</v>
      </c>
      <c r="X169">
        <v>10</v>
      </c>
      <c r="Y169" t="s">
        <v>83</v>
      </c>
      <c r="Z169" t="s">
        <v>346</v>
      </c>
      <c r="AA169" t="str">
        <f>MasterStaffList_All[[#This Row],[Facility]]&amp;MasterStaffList_All[[#This Row],[Role]]&amp;MasterStaffList_All[[#This Row],[Resource]]</f>
        <v>JH-RYAIN50</v>
      </c>
    </row>
    <row r="170" spans="1:27" hidden="1" x14ac:dyDescent="0.25">
      <c r="A170" t="s">
        <v>436</v>
      </c>
      <c r="B170" t="s">
        <v>22</v>
      </c>
      <c r="C170">
        <v>51</v>
      </c>
      <c r="E170" t="s">
        <v>76</v>
      </c>
      <c r="F170" t="s">
        <v>437</v>
      </c>
      <c r="G170" t="s">
        <v>346</v>
      </c>
      <c r="H170" t="s">
        <v>110</v>
      </c>
      <c r="I170" t="s">
        <v>22</v>
      </c>
      <c r="J170" t="b">
        <v>0</v>
      </c>
      <c r="K170" t="b">
        <v>1</v>
      </c>
      <c r="L170" t="s">
        <v>80</v>
      </c>
      <c r="M170" t="s">
        <v>81</v>
      </c>
      <c r="O170" t="s">
        <v>82</v>
      </c>
      <c r="P170">
        <v>76</v>
      </c>
      <c r="Q170">
        <v>46223</v>
      </c>
      <c r="R170">
        <v>46250</v>
      </c>
      <c r="S170">
        <v>2</v>
      </c>
      <c r="T170">
        <v>152</v>
      </c>
      <c r="U170">
        <v>20</v>
      </c>
      <c r="V170">
        <v>20</v>
      </c>
      <c r="W170">
        <v>20</v>
      </c>
      <c r="X170">
        <v>20</v>
      </c>
      <c r="Y170" t="s">
        <v>111</v>
      </c>
      <c r="Z170" t="s">
        <v>346</v>
      </c>
      <c r="AA170" t="str">
        <f>MasterStaffList_All[[#This Row],[Facility]]&amp;MasterStaffList_All[[#This Row],[Role]]&amp;MasterStaffList_All[[#This Row],[Resource]]</f>
        <v>JH-RYAIN51</v>
      </c>
    </row>
    <row r="171" spans="1:27" hidden="1" x14ac:dyDescent="0.25">
      <c r="A171" t="s">
        <v>353</v>
      </c>
      <c r="B171" t="s">
        <v>22</v>
      </c>
      <c r="C171">
        <v>6</v>
      </c>
      <c r="D171" t="s">
        <v>40</v>
      </c>
      <c r="E171" t="s">
        <v>76</v>
      </c>
      <c r="F171" t="s">
        <v>354</v>
      </c>
      <c r="G171" t="s">
        <v>346</v>
      </c>
      <c r="H171" t="s">
        <v>88</v>
      </c>
      <c r="I171" t="s">
        <v>22</v>
      </c>
      <c r="J171" t="b">
        <v>0</v>
      </c>
      <c r="K171" t="b">
        <v>1</v>
      </c>
      <c r="L171" t="s">
        <v>80</v>
      </c>
      <c r="M171" t="s">
        <v>81</v>
      </c>
      <c r="O171" t="s">
        <v>89</v>
      </c>
      <c r="P171">
        <v>76</v>
      </c>
      <c r="Q171">
        <v>46223</v>
      </c>
      <c r="R171">
        <v>46250</v>
      </c>
      <c r="S171">
        <v>2</v>
      </c>
      <c r="T171">
        <v>152</v>
      </c>
      <c r="U171">
        <v>20</v>
      </c>
      <c r="V171">
        <v>20</v>
      </c>
      <c r="W171">
        <v>20</v>
      </c>
      <c r="X171">
        <v>20</v>
      </c>
      <c r="Y171" t="s">
        <v>89</v>
      </c>
      <c r="Z171" t="s">
        <v>346</v>
      </c>
      <c r="AA171" t="str">
        <f>MasterStaffList_All[[#This Row],[Facility]]&amp;MasterStaffList_All[[#This Row],[Role]]&amp;MasterStaffList_All[[#This Row],[Resource]]</f>
        <v>JH-RYAIN6</v>
      </c>
    </row>
    <row r="172" spans="1:27" hidden="1" x14ac:dyDescent="0.25">
      <c r="A172" t="s">
        <v>357</v>
      </c>
      <c r="B172" t="s">
        <v>22</v>
      </c>
      <c r="C172">
        <v>8</v>
      </c>
      <c r="D172" t="s">
        <v>40</v>
      </c>
      <c r="E172" t="s">
        <v>76</v>
      </c>
      <c r="F172" t="s">
        <v>358</v>
      </c>
      <c r="G172" t="s">
        <v>346</v>
      </c>
      <c r="H172" t="s">
        <v>79</v>
      </c>
      <c r="I172" t="s">
        <v>22</v>
      </c>
      <c r="J172" t="b">
        <v>0</v>
      </c>
      <c r="K172" t="b">
        <v>1</v>
      </c>
      <c r="L172" t="s">
        <v>80</v>
      </c>
      <c r="M172" t="s">
        <v>81</v>
      </c>
      <c r="O172" t="s">
        <v>82</v>
      </c>
      <c r="P172">
        <v>72.5</v>
      </c>
      <c r="Q172">
        <v>46223</v>
      </c>
      <c r="R172">
        <v>46250</v>
      </c>
      <c r="S172">
        <v>2</v>
      </c>
      <c r="T172">
        <v>145</v>
      </c>
      <c r="U172">
        <v>19.078947368421055</v>
      </c>
      <c r="V172">
        <v>19</v>
      </c>
      <c r="W172">
        <v>20</v>
      </c>
      <c r="X172">
        <v>19</v>
      </c>
      <c r="Y172" t="s">
        <v>83</v>
      </c>
      <c r="Z172" t="s">
        <v>346</v>
      </c>
      <c r="AA172" t="str">
        <f>MasterStaffList_All[[#This Row],[Facility]]&amp;MasterStaffList_All[[#This Row],[Role]]&amp;MasterStaffList_All[[#This Row],[Resource]]</f>
        <v>JH-RYAIN8</v>
      </c>
    </row>
    <row r="173" spans="1:27" hidden="1" x14ac:dyDescent="0.25">
      <c r="A173" t="s">
        <v>359</v>
      </c>
      <c r="B173" t="s">
        <v>22</v>
      </c>
      <c r="C173">
        <v>9</v>
      </c>
      <c r="D173" t="s">
        <v>40</v>
      </c>
      <c r="E173" t="s">
        <v>76</v>
      </c>
      <c r="F173" t="s">
        <v>360</v>
      </c>
      <c r="G173" t="s">
        <v>346</v>
      </c>
      <c r="H173" t="s">
        <v>88</v>
      </c>
      <c r="I173" t="s">
        <v>22</v>
      </c>
      <c r="J173" t="b">
        <v>0</v>
      </c>
      <c r="K173" t="b">
        <v>1</v>
      </c>
      <c r="L173" t="s">
        <v>80</v>
      </c>
      <c r="M173" t="s">
        <v>81</v>
      </c>
      <c r="O173" t="s">
        <v>89</v>
      </c>
      <c r="P173">
        <v>76</v>
      </c>
      <c r="Q173">
        <v>46223</v>
      </c>
      <c r="R173">
        <v>46250</v>
      </c>
      <c r="S173">
        <v>2</v>
      </c>
      <c r="T173">
        <v>152</v>
      </c>
      <c r="U173">
        <v>20</v>
      </c>
      <c r="V173">
        <v>20</v>
      </c>
      <c r="W173">
        <v>20</v>
      </c>
      <c r="X173">
        <v>20</v>
      </c>
      <c r="Y173" t="s">
        <v>89</v>
      </c>
      <c r="Z173" t="s">
        <v>346</v>
      </c>
      <c r="AA173" t="str">
        <f>MasterStaffList_All[[#This Row],[Facility]]&amp;MasterStaffList_All[[#This Row],[Role]]&amp;MasterStaffList_All[[#This Row],[Resource]]</f>
        <v>JH-RYAIN9</v>
      </c>
    </row>
    <row r="174" spans="1:27" hidden="1" x14ac:dyDescent="0.25">
      <c r="A174" t="s">
        <v>386</v>
      </c>
      <c r="B174" t="s">
        <v>31</v>
      </c>
      <c r="C174">
        <v>23</v>
      </c>
      <c r="E174" t="s">
        <v>76</v>
      </c>
      <c r="F174" t="s">
        <v>387</v>
      </c>
      <c r="G174" t="s">
        <v>346</v>
      </c>
      <c r="H174" t="s">
        <v>79</v>
      </c>
      <c r="I174" t="s">
        <v>31</v>
      </c>
      <c r="J174" t="b">
        <v>1</v>
      </c>
      <c r="K174" t="b">
        <v>1</v>
      </c>
      <c r="L174" t="s">
        <v>95</v>
      </c>
      <c r="M174" t="s">
        <v>81</v>
      </c>
      <c r="O174" t="s">
        <v>82</v>
      </c>
      <c r="P174">
        <v>38</v>
      </c>
      <c r="Q174">
        <v>46223</v>
      </c>
      <c r="R174">
        <v>46250</v>
      </c>
      <c r="S174">
        <v>2</v>
      </c>
      <c r="T174">
        <v>76</v>
      </c>
      <c r="U174">
        <v>10</v>
      </c>
      <c r="V174">
        <v>10</v>
      </c>
      <c r="W174">
        <v>20</v>
      </c>
      <c r="X174">
        <v>10</v>
      </c>
      <c r="Y174" t="s">
        <v>83</v>
      </c>
      <c r="Z174" t="s">
        <v>346</v>
      </c>
      <c r="AA174" t="str">
        <f>MasterStaffList_All[[#This Row],[Facility]]&amp;MasterStaffList_All[[#This Row],[Role]]&amp;MasterStaffList_All[[#This Row],[Resource]]</f>
        <v>JH-RYEN23</v>
      </c>
    </row>
    <row r="175" spans="1:27" hidden="1" x14ac:dyDescent="0.25">
      <c r="A175" t="s">
        <v>406</v>
      </c>
      <c r="B175" t="s">
        <v>31</v>
      </c>
      <c r="C175">
        <v>36</v>
      </c>
      <c r="E175" t="s">
        <v>76</v>
      </c>
      <c r="F175" t="s">
        <v>407</v>
      </c>
      <c r="G175" t="s">
        <v>346</v>
      </c>
      <c r="H175" t="s">
        <v>79</v>
      </c>
      <c r="I175" t="s">
        <v>31</v>
      </c>
      <c r="J175" t="b">
        <v>1</v>
      </c>
      <c r="K175" t="b">
        <v>1</v>
      </c>
      <c r="L175" t="s">
        <v>95</v>
      </c>
      <c r="M175" t="s">
        <v>81</v>
      </c>
      <c r="O175" t="s">
        <v>82</v>
      </c>
      <c r="P175">
        <v>68</v>
      </c>
      <c r="Q175">
        <v>46223</v>
      </c>
      <c r="R175">
        <v>46250</v>
      </c>
      <c r="S175">
        <v>2</v>
      </c>
      <c r="T175">
        <v>136</v>
      </c>
      <c r="U175">
        <v>17.894736842105264</v>
      </c>
      <c r="V175">
        <v>17</v>
      </c>
      <c r="W175">
        <v>20</v>
      </c>
      <c r="X175">
        <v>17</v>
      </c>
      <c r="Y175" t="s">
        <v>83</v>
      </c>
      <c r="Z175" t="s">
        <v>346</v>
      </c>
      <c r="AA175" t="str">
        <f>MasterStaffList_All[[#This Row],[Facility]]&amp;MasterStaffList_All[[#This Row],[Role]]&amp;MasterStaffList_All[[#This Row],[Resource]]</f>
        <v>JH-RYEN36</v>
      </c>
    </row>
    <row r="176" spans="1:27" hidden="1" x14ac:dyDescent="0.25">
      <c r="A176" t="s">
        <v>388</v>
      </c>
      <c r="B176" t="s">
        <v>29</v>
      </c>
      <c r="C176">
        <v>24</v>
      </c>
      <c r="E176" t="s">
        <v>76</v>
      </c>
      <c r="F176" t="s">
        <v>389</v>
      </c>
      <c r="G176" t="s">
        <v>346</v>
      </c>
      <c r="H176" t="s">
        <v>110</v>
      </c>
      <c r="I176" t="s">
        <v>29</v>
      </c>
      <c r="J176" t="b">
        <v>1</v>
      </c>
      <c r="K176" t="b">
        <v>1</v>
      </c>
      <c r="L176" t="s">
        <v>95</v>
      </c>
      <c r="M176" t="s">
        <v>81</v>
      </c>
      <c r="O176" t="s">
        <v>82</v>
      </c>
      <c r="P176">
        <v>76</v>
      </c>
      <c r="Q176">
        <v>46223</v>
      </c>
      <c r="R176">
        <v>46250</v>
      </c>
      <c r="S176">
        <v>2</v>
      </c>
      <c r="T176">
        <v>152</v>
      </c>
      <c r="U176">
        <v>20</v>
      </c>
      <c r="V176">
        <v>20</v>
      </c>
      <c r="W176">
        <v>20</v>
      </c>
      <c r="X176">
        <v>20</v>
      </c>
      <c r="Y176" t="s">
        <v>111</v>
      </c>
      <c r="Z176" t="s">
        <v>346</v>
      </c>
      <c r="AA176" t="str">
        <f>MasterStaffList_All[[#This Row],[Facility]]&amp;MasterStaffList_All[[#This Row],[Role]]&amp;MasterStaffList_All[[#This Row],[Resource]]</f>
        <v>JH-RYRN24</v>
      </c>
    </row>
    <row r="177" spans="1:27" hidden="1" x14ac:dyDescent="0.25">
      <c r="A177" t="s">
        <v>390</v>
      </c>
      <c r="B177" t="s">
        <v>29</v>
      </c>
      <c r="C177">
        <v>25</v>
      </c>
      <c r="E177" t="s">
        <v>76</v>
      </c>
      <c r="F177" t="s">
        <v>391</v>
      </c>
      <c r="G177" t="s">
        <v>346</v>
      </c>
      <c r="H177" t="s">
        <v>79</v>
      </c>
      <c r="I177" t="s">
        <v>29</v>
      </c>
      <c r="J177" t="b">
        <v>1</v>
      </c>
      <c r="K177" t="b">
        <v>1</v>
      </c>
      <c r="L177" t="s">
        <v>95</v>
      </c>
      <c r="M177" t="s">
        <v>81</v>
      </c>
      <c r="O177" t="s">
        <v>82</v>
      </c>
      <c r="P177">
        <v>72</v>
      </c>
      <c r="Q177">
        <v>46223</v>
      </c>
      <c r="R177">
        <v>46250</v>
      </c>
      <c r="S177">
        <v>2</v>
      </c>
      <c r="T177">
        <v>144</v>
      </c>
      <c r="U177">
        <v>18.947368421052634</v>
      </c>
      <c r="V177">
        <v>18</v>
      </c>
      <c r="W177">
        <v>20</v>
      </c>
      <c r="X177">
        <v>18</v>
      </c>
      <c r="Y177" t="s">
        <v>83</v>
      </c>
      <c r="Z177" t="s">
        <v>346</v>
      </c>
      <c r="AA177" t="str">
        <f>MasterStaffList_All[[#This Row],[Facility]]&amp;MasterStaffList_All[[#This Row],[Role]]&amp;MasterStaffList_All[[#This Row],[Resource]]</f>
        <v>JH-RYRN25</v>
      </c>
    </row>
    <row r="178" spans="1:27" hidden="1" x14ac:dyDescent="0.25">
      <c r="A178" t="s">
        <v>416</v>
      </c>
      <c r="B178" t="s">
        <v>29</v>
      </c>
      <c r="C178">
        <v>41</v>
      </c>
      <c r="E178" t="s">
        <v>76</v>
      </c>
      <c r="F178" t="s">
        <v>417</v>
      </c>
      <c r="G178" t="s">
        <v>346</v>
      </c>
      <c r="H178" t="s">
        <v>110</v>
      </c>
      <c r="I178" t="s">
        <v>29</v>
      </c>
      <c r="J178" t="b">
        <v>1</v>
      </c>
      <c r="K178" t="b">
        <v>0</v>
      </c>
      <c r="L178" t="s">
        <v>92</v>
      </c>
      <c r="M178" t="s">
        <v>81</v>
      </c>
      <c r="O178" t="s">
        <v>82</v>
      </c>
      <c r="P178">
        <v>76</v>
      </c>
      <c r="Q178">
        <v>46223</v>
      </c>
      <c r="R178">
        <v>46250</v>
      </c>
      <c r="S178">
        <v>2</v>
      </c>
      <c r="T178">
        <v>152</v>
      </c>
      <c r="U178">
        <v>20</v>
      </c>
      <c r="V178">
        <v>20</v>
      </c>
      <c r="W178">
        <v>20</v>
      </c>
      <c r="X178">
        <v>20</v>
      </c>
      <c r="Y178" t="s">
        <v>111</v>
      </c>
      <c r="Z178" t="s">
        <v>346</v>
      </c>
      <c r="AA178" t="str">
        <f>MasterStaffList_All[[#This Row],[Facility]]&amp;MasterStaffList_All[[#This Row],[Role]]&amp;MasterStaffList_All[[#This Row],[Resource]]</f>
        <v>JH-RYRN41</v>
      </c>
    </row>
    <row r="179" spans="1:27" hidden="1" x14ac:dyDescent="0.25">
      <c r="A179" t="s">
        <v>418</v>
      </c>
      <c r="B179" t="s">
        <v>29</v>
      </c>
      <c r="C179">
        <v>42</v>
      </c>
      <c r="E179" t="s">
        <v>76</v>
      </c>
      <c r="F179" t="s">
        <v>419</v>
      </c>
      <c r="G179" t="s">
        <v>346</v>
      </c>
      <c r="H179" t="s">
        <v>79</v>
      </c>
      <c r="I179" t="s">
        <v>29</v>
      </c>
      <c r="J179" t="b">
        <v>1</v>
      </c>
      <c r="K179" t="b">
        <v>1</v>
      </c>
      <c r="L179" t="s">
        <v>95</v>
      </c>
      <c r="M179" t="s">
        <v>81</v>
      </c>
      <c r="O179" t="s">
        <v>82</v>
      </c>
      <c r="P179">
        <v>72</v>
      </c>
      <c r="Q179">
        <v>46223</v>
      </c>
      <c r="R179">
        <v>46250</v>
      </c>
      <c r="S179">
        <v>2</v>
      </c>
      <c r="T179">
        <v>144</v>
      </c>
      <c r="U179">
        <v>18.947368421052634</v>
      </c>
      <c r="V179">
        <v>18</v>
      </c>
      <c r="W179">
        <v>20</v>
      </c>
      <c r="X179">
        <v>18</v>
      </c>
      <c r="Y179" t="s">
        <v>83</v>
      </c>
      <c r="Z179" t="s">
        <v>346</v>
      </c>
      <c r="AA179" t="str">
        <f>MasterStaffList_All[[#This Row],[Facility]]&amp;MasterStaffList_All[[#This Row],[Role]]&amp;MasterStaffList_All[[#This Row],[Resource]]</f>
        <v>JH-RYRN42</v>
      </c>
    </row>
    <row r="180" spans="1:27" hidden="1" x14ac:dyDescent="0.25">
      <c r="A180" t="s">
        <v>420</v>
      </c>
      <c r="B180" t="s">
        <v>29</v>
      </c>
      <c r="C180">
        <v>43</v>
      </c>
      <c r="E180" t="s">
        <v>76</v>
      </c>
      <c r="F180" t="s">
        <v>421</v>
      </c>
      <c r="G180" t="s">
        <v>346</v>
      </c>
      <c r="H180" t="s">
        <v>110</v>
      </c>
      <c r="I180" t="s">
        <v>29</v>
      </c>
      <c r="J180" t="b">
        <v>1</v>
      </c>
      <c r="K180" t="b">
        <v>1</v>
      </c>
      <c r="L180" t="s">
        <v>95</v>
      </c>
      <c r="M180" t="s">
        <v>81</v>
      </c>
      <c r="O180" t="s">
        <v>82</v>
      </c>
      <c r="P180">
        <v>76</v>
      </c>
      <c r="Q180">
        <v>46223</v>
      </c>
      <c r="R180">
        <v>46250</v>
      </c>
      <c r="S180">
        <v>2</v>
      </c>
      <c r="T180">
        <v>152</v>
      </c>
      <c r="U180">
        <v>20</v>
      </c>
      <c r="V180">
        <v>20</v>
      </c>
      <c r="W180">
        <v>20</v>
      </c>
      <c r="X180">
        <v>20</v>
      </c>
      <c r="Y180" t="s">
        <v>111</v>
      </c>
      <c r="Z180" t="s">
        <v>346</v>
      </c>
      <c r="AA180" t="str">
        <f>MasterStaffList_All[[#This Row],[Facility]]&amp;MasterStaffList_All[[#This Row],[Role]]&amp;MasterStaffList_All[[#This Row],[Resource]]</f>
        <v>JH-RYRN43</v>
      </c>
    </row>
    <row r="181" spans="1:27" hidden="1" x14ac:dyDescent="0.25">
      <c r="A181" t="s">
        <v>355</v>
      </c>
      <c r="B181" t="s">
        <v>29</v>
      </c>
      <c r="C181">
        <v>7</v>
      </c>
      <c r="E181" t="s">
        <v>76</v>
      </c>
      <c r="F181" t="s">
        <v>356</v>
      </c>
      <c r="G181" t="s">
        <v>346</v>
      </c>
      <c r="H181" t="s">
        <v>110</v>
      </c>
      <c r="I181" t="s">
        <v>29</v>
      </c>
      <c r="J181" t="b">
        <v>1</v>
      </c>
      <c r="K181" t="b">
        <v>1</v>
      </c>
      <c r="L181" t="s">
        <v>95</v>
      </c>
      <c r="M181" t="s">
        <v>81</v>
      </c>
      <c r="O181" t="s">
        <v>82</v>
      </c>
      <c r="P181">
        <v>76</v>
      </c>
      <c r="Q181">
        <v>46223</v>
      </c>
      <c r="R181">
        <v>46250</v>
      </c>
      <c r="S181">
        <v>2</v>
      </c>
      <c r="T181">
        <v>152</v>
      </c>
      <c r="U181">
        <v>20</v>
      </c>
      <c r="V181">
        <v>20</v>
      </c>
      <c r="W181">
        <v>20</v>
      </c>
      <c r="X181">
        <v>20</v>
      </c>
      <c r="Y181" t="s">
        <v>111</v>
      </c>
      <c r="Z181" t="s">
        <v>346</v>
      </c>
      <c r="AA181" t="str">
        <f>MasterStaffList_All[[#This Row],[Facility]]&amp;MasterStaffList_All[[#This Row],[Role]]&amp;MasterStaffList_All[[#This Row],[Resource]]</f>
        <v>JH-RYRN7</v>
      </c>
    </row>
    <row r="182" spans="1:27" hidden="1" x14ac:dyDescent="0.25">
      <c r="A182" t="s">
        <v>439</v>
      </c>
      <c r="B182" t="s">
        <v>22</v>
      </c>
      <c r="C182">
        <v>1</v>
      </c>
      <c r="E182" t="s">
        <v>76</v>
      </c>
      <c r="F182" t="s">
        <v>440</v>
      </c>
      <c r="G182" t="s">
        <v>438</v>
      </c>
      <c r="H182" t="s">
        <v>88</v>
      </c>
      <c r="I182" t="s">
        <v>22</v>
      </c>
      <c r="J182" t="b">
        <v>1</v>
      </c>
      <c r="K182" t="b">
        <v>0</v>
      </c>
      <c r="L182" t="s">
        <v>92</v>
      </c>
      <c r="M182" t="s">
        <v>81</v>
      </c>
      <c r="O182" t="s">
        <v>89</v>
      </c>
      <c r="P182">
        <v>76</v>
      </c>
      <c r="Q182">
        <v>46223</v>
      </c>
      <c r="R182">
        <v>46250</v>
      </c>
      <c r="S182">
        <v>2</v>
      </c>
      <c r="T182">
        <v>152</v>
      </c>
      <c r="U182">
        <v>20</v>
      </c>
      <c r="V182">
        <v>20</v>
      </c>
      <c r="W182">
        <v>20</v>
      </c>
      <c r="X182">
        <v>20</v>
      </c>
      <c r="Y182" t="s">
        <v>89</v>
      </c>
      <c r="Z182" t="s">
        <v>438</v>
      </c>
      <c r="AA182" t="str">
        <f>MasterStaffList_All[[#This Row],[Facility]]&amp;MasterStaffList_All[[#This Row],[Role]]&amp;MasterStaffList_All[[#This Row],[Resource]]</f>
        <v>TEAIN1</v>
      </c>
    </row>
    <row r="183" spans="1:27" hidden="1" x14ac:dyDescent="0.25">
      <c r="A183" t="s">
        <v>457</v>
      </c>
      <c r="B183" t="s">
        <v>22</v>
      </c>
      <c r="C183">
        <v>11</v>
      </c>
      <c r="E183" t="s">
        <v>76</v>
      </c>
      <c r="F183" t="s">
        <v>458</v>
      </c>
      <c r="G183" t="s">
        <v>438</v>
      </c>
      <c r="H183" t="s">
        <v>79</v>
      </c>
      <c r="I183" t="s">
        <v>22</v>
      </c>
      <c r="J183" t="b">
        <v>1</v>
      </c>
      <c r="K183" t="b">
        <v>1</v>
      </c>
      <c r="L183" t="s">
        <v>95</v>
      </c>
      <c r="M183" t="s">
        <v>81</v>
      </c>
      <c r="O183" t="s">
        <v>82</v>
      </c>
      <c r="P183">
        <v>40</v>
      </c>
      <c r="Q183">
        <v>46223</v>
      </c>
      <c r="R183">
        <v>46250</v>
      </c>
      <c r="S183">
        <v>2</v>
      </c>
      <c r="T183">
        <v>80</v>
      </c>
      <c r="U183">
        <v>10.526315789473683</v>
      </c>
      <c r="V183">
        <v>10</v>
      </c>
      <c r="W183">
        <v>20</v>
      </c>
      <c r="X183">
        <v>10</v>
      </c>
      <c r="Y183" t="s">
        <v>83</v>
      </c>
      <c r="Z183" t="s">
        <v>438</v>
      </c>
      <c r="AA183" t="str">
        <f>MasterStaffList_All[[#This Row],[Facility]]&amp;MasterStaffList_All[[#This Row],[Role]]&amp;MasterStaffList_All[[#This Row],[Resource]]</f>
        <v>TEAIN11</v>
      </c>
    </row>
    <row r="184" spans="1:27" hidden="1" x14ac:dyDescent="0.25">
      <c r="A184" t="s">
        <v>459</v>
      </c>
      <c r="B184" t="s">
        <v>22</v>
      </c>
      <c r="C184">
        <v>12</v>
      </c>
      <c r="E184" t="s">
        <v>76</v>
      </c>
      <c r="F184" t="s">
        <v>460</v>
      </c>
      <c r="G184" t="s">
        <v>438</v>
      </c>
      <c r="H184" t="s">
        <v>79</v>
      </c>
      <c r="I184" t="s">
        <v>22</v>
      </c>
      <c r="J184" t="b">
        <v>1</v>
      </c>
      <c r="K184" t="b">
        <v>1</v>
      </c>
      <c r="L184" t="s">
        <v>95</v>
      </c>
      <c r="M184" t="s">
        <v>81</v>
      </c>
      <c r="O184" t="s">
        <v>82</v>
      </c>
      <c r="P184">
        <v>72</v>
      </c>
      <c r="Q184">
        <v>46223</v>
      </c>
      <c r="R184">
        <v>46250</v>
      </c>
      <c r="S184">
        <v>2</v>
      </c>
      <c r="T184">
        <v>144</v>
      </c>
      <c r="U184">
        <v>18.947368421052634</v>
      </c>
      <c r="V184">
        <v>18</v>
      </c>
      <c r="W184">
        <v>20</v>
      </c>
      <c r="X184">
        <v>18</v>
      </c>
      <c r="Y184" t="s">
        <v>83</v>
      </c>
      <c r="Z184" t="s">
        <v>438</v>
      </c>
      <c r="AA184" t="str">
        <f>MasterStaffList_All[[#This Row],[Facility]]&amp;MasterStaffList_All[[#This Row],[Role]]&amp;MasterStaffList_All[[#This Row],[Resource]]</f>
        <v>TEAIN12</v>
      </c>
    </row>
    <row r="185" spans="1:27" hidden="1" x14ac:dyDescent="0.25">
      <c r="A185" t="s">
        <v>461</v>
      </c>
      <c r="B185" t="s">
        <v>22</v>
      </c>
      <c r="C185">
        <v>13</v>
      </c>
      <c r="D185" t="s">
        <v>40</v>
      </c>
      <c r="E185" t="s">
        <v>76</v>
      </c>
      <c r="F185" t="s">
        <v>462</v>
      </c>
      <c r="G185" t="s">
        <v>438</v>
      </c>
      <c r="H185" t="s">
        <v>88</v>
      </c>
      <c r="I185" t="s">
        <v>22</v>
      </c>
      <c r="J185" t="b">
        <v>0</v>
      </c>
      <c r="K185" t="b">
        <v>1</v>
      </c>
      <c r="L185" t="s">
        <v>80</v>
      </c>
      <c r="M185" t="s">
        <v>81</v>
      </c>
      <c r="O185" t="s">
        <v>89</v>
      </c>
      <c r="P185">
        <v>76</v>
      </c>
      <c r="Q185">
        <v>46223</v>
      </c>
      <c r="R185">
        <v>46250</v>
      </c>
      <c r="S185">
        <v>2</v>
      </c>
      <c r="T185">
        <v>152</v>
      </c>
      <c r="U185">
        <v>20</v>
      </c>
      <c r="V185">
        <v>20</v>
      </c>
      <c r="W185">
        <v>20</v>
      </c>
      <c r="X185">
        <v>20</v>
      </c>
      <c r="Y185" t="s">
        <v>89</v>
      </c>
      <c r="Z185" t="s">
        <v>438</v>
      </c>
      <c r="AA185" t="str">
        <f>MasterStaffList_All[[#This Row],[Facility]]&amp;MasterStaffList_All[[#This Row],[Role]]&amp;MasterStaffList_All[[#This Row],[Resource]]</f>
        <v>TEAIN13</v>
      </c>
    </row>
    <row r="186" spans="1:27" hidden="1" x14ac:dyDescent="0.25">
      <c r="A186" t="s">
        <v>463</v>
      </c>
      <c r="B186" t="s">
        <v>22</v>
      </c>
      <c r="C186">
        <v>14</v>
      </c>
      <c r="E186" t="s">
        <v>76</v>
      </c>
      <c r="F186" t="s">
        <v>464</v>
      </c>
      <c r="G186" t="s">
        <v>438</v>
      </c>
      <c r="H186" t="s">
        <v>88</v>
      </c>
      <c r="I186" t="s">
        <v>22</v>
      </c>
      <c r="J186" t="b">
        <v>1</v>
      </c>
      <c r="K186" t="b">
        <v>0</v>
      </c>
      <c r="L186" t="s">
        <v>92</v>
      </c>
      <c r="M186" t="s">
        <v>81</v>
      </c>
      <c r="O186" t="s">
        <v>89</v>
      </c>
      <c r="P186">
        <v>76</v>
      </c>
      <c r="Q186">
        <v>46223</v>
      </c>
      <c r="R186">
        <v>46250</v>
      </c>
      <c r="S186">
        <v>2</v>
      </c>
      <c r="T186">
        <v>152</v>
      </c>
      <c r="U186">
        <v>20</v>
      </c>
      <c r="V186">
        <v>20</v>
      </c>
      <c r="W186">
        <v>20</v>
      </c>
      <c r="X186">
        <v>20</v>
      </c>
      <c r="Y186" t="s">
        <v>89</v>
      </c>
      <c r="Z186" t="s">
        <v>438</v>
      </c>
      <c r="AA186" t="str">
        <f>MasterStaffList_All[[#This Row],[Facility]]&amp;MasterStaffList_All[[#This Row],[Role]]&amp;MasterStaffList_All[[#This Row],[Resource]]</f>
        <v>TEAIN14</v>
      </c>
    </row>
    <row r="187" spans="1:27" hidden="1" x14ac:dyDescent="0.25">
      <c r="A187" t="s">
        <v>465</v>
      </c>
      <c r="B187" t="s">
        <v>22</v>
      </c>
      <c r="C187">
        <v>15</v>
      </c>
      <c r="D187" t="s">
        <v>40</v>
      </c>
      <c r="E187" t="s">
        <v>76</v>
      </c>
      <c r="F187" t="s">
        <v>466</v>
      </c>
      <c r="G187" t="s">
        <v>438</v>
      </c>
      <c r="H187" t="s">
        <v>79</v>
      </c>
      <c r="I187" t="s">
        <v>22</v>
      </c>
      <c r="J187" t="b">
        <v>0</v>
      </c>
      <c r="K187" t="b">
        <v>1</v>
      </c>
      <c r="L187" t="s">
        <v>80</v>
      </c>
      <c r="M187" t="s">
        <v>81</v>
      </c>
      <c r="O187" t="s">
        <v>82</v>
      </c>
      <c r="P187">
        <v>46</v>
      </c>
      <c r="Q187">
        <v>46223</v>
      </c>
      <c r="R187">
        <v>46250</v>
      </c>
      <c r="S187">
        <v>2</v>
      </c>
      <c r="T187">
        <v>92</v>
      </c>
      <c r="U187">
        <v>12.105263157894738</v>
      </c>
      <c r="V187">
        <v>12</v>
      </c>
      <c r="W187">
        <v>20</v>
      </c>
      <c r="X187">
        <v>12</v>
      </c>
      <c r="Y187" t="s">
        <v>83</v>
      </c>
      <c r="Z187" t="s">
        <v>438</v>
      </c>
      <c r="AA187" t="str">
        <f>MasterStaffList_All[[#This Row],[Facility]]&amp;MasterStaffList_All[[#This Row],[Role]]&amp;MasterStaffList_All[[#This Row],[Resource]]</f>
        <v>TEAIN15</v>
      </c>
    </row>
    <row r="188" spans="1:27" hidden="1" x14ac:dyDescent="0.25">
      <c r="A188" t="s">
        <v>469</v>
      </c>
      <c r="B188" t="s">
        <v>22</v>
      </c>
      <c r="C188">
        <v>17</v>
      </c>
      <c r="E188" t="s">
        <v>76</v>
      </c>
      <c r="F188" t="s">
        <v>470</v>
      </c>
      <c r="G188" t="s">
        <v>438</v>
      </c>
      <c r="H188" t="s">
        <v>110</v>
      </c>
      <c r="I188" t="s">
        <v>22</v>
      </c>
      <c r="J188" t="b">
        <v>1</v>
      </c>
      <c r="K188" t="b">
        <v>0</v>
      </c>
      <c r="L188" t="s">
        <v>92</v>
      </c>
      <c r="M188" t="s">
        <v>81</v>
      </c>
      <c r="O188" t="s">
        <v>82</v>
      </c>
      <c r="P188">
        <v>76</v>
      </c>
      <c r="Q188">
        <v>46223</v>
      </c>
      <c r="R188">
        <v>46250</v>
      </c>
      <c r="S188">
        <v>2</v>
      </c>
      <c r="T188">
        <v>152</v>
      </c>
      <c r="U188">
        <v>20</v>
      </c>
      <c r="V188">
        <v>20</v>
      </c>
      <c r="W188">
        <v>20</v>
      </c>
      <c r="X188">
        <v>20</v>
      </c>
      <c r="Y188" t="s">
        <v>111</v>
      </c>
      <c r="Z188" t="s">
        <v>438</v>
      </c>
      <c r="AA188" t="str">
        <f>MasterStaffList_All[[#This Row],[Facility]]&amp;MasterStaffList_All[[#This Row],[Role]]&amp;MasterStaffList_All[[#This Row],[Resource]]</f>
        <v>TEAIN17</v>
      </c>
    </row>
    <row r="189" spans="1:27" hidden="1" x14ac:dyDescent="0.25">
      <c r="A189" t="s">
        <v>471</v>
      </c>
      <c r="B189" t="s">
        <v>22</v>
      </c>
      <c r="C189">
        <v>18</v>
      </c>
      <c r="E189" t="s">
        <v>76</v>
      </c>
      <c r="F189" t="s">
        <v>472</v>
      </c>
      <c r="G189" t="s">
        <v>438</v>
      </c>
      <c r="H189" t="s">
        <v>79</v>
      </c>
      <c r="I189" t="s">
        <v>22</v>
      </c>
      <c r="J189" t="b">
        <v>1</v>
      </c>
      <c r="K189" t="b">
        <v>1</v>
      </c>
      <c r="L189" t="s">
        <v>95</v>
      </c>
      <c r="M189" t="s">
        <v>81</v>
      </c>
      <c r="O189" t="s">
        <v>82</v>
      </c>
      <c r="P189">
        <v>40</v>
      </c>
      <c r="Q189">
        <v>46223</v>
      </c>
      <c r="R189">
        <v>46250</v>
      </c>
      <c r="S189">
        <v>2</v>
      </c>
      <c r="T189">
        <v>80</v>
      </c>
      <c r="U189">
        <v>10.526315789473683</v>
      </c>
      <c r="V189">
        <v>10</v>
      </c>
      <c r="W189">
        <v>20</v>
      </c>
      <c r="X189">
        <v>10</v>
      </c>
      <c r="Y189" t="s">
        <v>83</v>
      </c>
      <c r="Z189" t="s">
        <v>438</v>
      </c>
      <c r="AA189" t="str">
        <f>MasterStaffList_All[[#This Row],[Facility]]&amp;MasterStaffList_All[[#This Row],[Role]]&amp;MasterStaffList_All[[#This Row],[Resource]]</f>
        <v>TEAIN18</v>
      </c>
    </row>
    <row r="190" spans="1:27" hidden="1" x14ac:dyDescent="0.25">
      <c r="A190" t="s">
        <v>473</v>
      </c>
      <c r="B190" t="s">
        <v>22</v>
      </c>
      <c r="C190">
        <v>19</v>
      </c>
      <c r="E190" t="s">
        <v>76</v>
      </c>
      <c r="F190" t="s">
        <v>474</v>
      </c>
      <c r="G190" t="s">
        <v>438</v>
      </c>
      <c r="H190" t="s">
        <v>88</v>
      </c>
      <c r="I190" t="s">
        <v>22</v>
      </c>
      <c r="J190" t="b">
        <v>1</v>
      </c>
      <c r="K190" t="b">
        <v>0</v>
      </c>
      <c r="L190" t="s">
        <v>92</v>
      </c>
      <c r="M190" t="s">
        <v>81</v>
      </c>
      <c r="O190" t="s">
        <v>89</v>
      </c>
      <c r="P190">
        <v>76</v>
      </c>
      <c r="Q190">
        <v>46223</v>
      </c>
      <c r="R190">
        <v>46250</v>
      </c>
      <c r="S190">
        <v>2</v>
      </c>
      <c r="T190">
        <v>152</v>
      </c>
      <c r="U190">
        <v>20</v>
      </c>
      <c r="V190">
        <v>20</v>
      </c>
      <c r="W190">
        <v>20</v>
      </c>
      <c r="X190">
        <v>20</v>
      </c>
      <c r="Y190" t="s">
        <v>89</v>
      </c>
      <c r="Z190" t="s">
        <v>438</v>
      </c>
      <c r="AA190" t="str">
        <f>MasterStaffList_All[[#This Row],[Facility]]&amp;MasterStaffList_All[[#This Row],[Role]]&amp;MasterStaffList_All[[#This Row],[Resource]]</f>
        <v>TEAIN19</v>
      </c>
    </row>
    <row r="191" spans="1:27" hidden="1" x14ac:dyDescent="0.25">
      <c r="A191" t="s">
        <v>475</v>
      </c>
      <c r="B191" t="s">
        <v>22</v>
      </c>
      <c r="C191">
        <v>20</v>
      </c>
      <c r="E191" t="s">
        <v>76</v>
      </c>
      <c r="F191" t="s">
        <v>476</v>
      </c>
      <c r="G191" t="s">
        <v>438</v>
      </c>
      <c r="H191" t="s">
        <v>88</v>
      </c>
      <c r="I191" t="s">
        <v>22</v>
      </c>
      <c r="J191" t="b">
        <v>1</v>
      </c>
      <c r="K191" t="b">
        <v>0</v>
      </c>
      <c r="L191" t="s">
        <v>92</v>
      </c>
      <c r="M191" t="s">
        <v>81</v>
      </c>
      <c r="O191" t="s">
        <v>89</v>
      </c>
      <c r="P191">
        <v>76</v>
      </c>
      <c r="Q191">
        <v>46223</v>
      </c>
      <c r="R191">
        <v>46250</v>
      </c>
      <c r="S191">
        <v>2</v>
      </c>
      <c r="T191">
        <v>152</v>
      </c>
      <c r="U191">
        <v>20</v>
      </c>
      <c r="V191">
        <v>20</v>
      </c>
      <c r="W191">
        <v>20</v>
      </c>
      <c r="X191">
        <v>20</v>
      </c>
      <c r="Y191" t="s">
        <v>89</v>
      </c>
      <c r="Z191" t="s">
        <v>438</v>
      </c>
      <c r="AA191" t="str">
        <f>MasterStaffList_All[[#This Row],[Facility]]&amp;MasterStaffList_All[[#This Row],[Role]]&amp;MasterStaffList_All[[#This Row],[Resource]]</f>
        <v>TEAIN20</v>
      </c>
    </row>
    <row r="192" spans="1:27" hidden="1" x14ac:dyDescent="0.25">
      <c r="A192" t="s">
        <v>477</v>
      </c>
      <c r="B192" t="s">
        <v>22</v>
      </c>
      <c r="C192">
        <v>21</v>
      </c>
      <c r="D192" t="s">
        <v>40</v>
      </c>
      <c r="E192" t="s">
        <v>76</v>
      </c>
      <c r="F192" t="s">
        <v>478</v>
      </c>
      <c r="G192" t="s">
        <v>438</v>
      </c>
      <c r="H192" t="s">
        <v>79</v>
      </c>
      <c r="I192" t="s">
        <v>22</v>
      </c>
      <c r="J192" t="b">
        <v>0</v>
      </c>
      <c r="K192" t="b">
        <v>1</v>
      </c>
      <c r="L192" t="s">
        <v>80</v>
      </c>
      <c r="M192" t="s">
        <v>81</v>
      </c>
      <c r="O192" t="s">
        <v>82</v>
      </c>
      <c r="P192">
        <v>32</v>
      </c>
      <c r="Q192">
        <v>46223</v>
      </c>
      <c r="R192">
        <v>46250</v>
      </c>
      <c r="S192">
        <v>2</v>
      </c>
      <c r="T192">
        <v>64</v>
      </c>
      <c r="U192">
        <v>8.4210526315789469</v>
      </c>
      <c r="V192">
        <v>8</v>
      </c>
      <c r="W192">
        <v>20</v>
      </c>
      <c r="X192">
        <v>8</v>
      </c>
      <c r="Y192" t="s">
        <v>83</v>
      </c>
      <c r="Z192" t="s">
        <v>438</v>
      </c>
      <c r="AA192" t="str">
        <f>MasterStaffList_All[[#This Row],[Facility]]&amp;MasterStaffList_All[[#This Row],[Role]]&amp;MasterStaffList_All[[#This Row],[Resource]]</f>
        <v>TEAIN21</v>
      </c>
    </row>
    <row r="193" spans="1:27" hidden="1" x14ac:dyDescent="0.25">
      <c r="A193" t="s">
        <v>479</v>
      </c>
      <c r="B193" t="s">
        <v>22</v>
      </c>
      <c r="C193">
        <v>22</v>
      </c>
      <c r="E193" t="s">
        <v>76</v>
      </c>
      <c r="F193" t="s">
        <v>480</v>
      </c>
      <c r="G193" t="s">
        <v>438</v>
      </c>
      <c r="H193" t="s">
        <v>79</v>
      </c>
      <c r="I193" t="s">
        <v>22</v>
      </c>
      <c r="J193" t="b">
        <v>1</v>
      </c>
      <c r="K193" t="b">
        <v>0</v>
      </c>
      <c r="L193" t="s">
        <v>92</v>
      </c>
      <c r="M193" t="s">
        <v>81</v>
      </c>
      <c r="O193" t="s">
        <v>82</v>
      </c>
      <c r="P193">
        <v>24</v>
      </c>
      <c r="Q193">
        <v>46223</v>
      </c>
      <c r="R193">
        <v>46250</v>
      </c>
      <c r="S193">
        <v>2</v>
      </c>
      <c r="T193">
        <v>48</v>
      </c>
      <c r="U193">
        <v>6.3157894736842106</v>
      </c>
      <c r="V193">
        <v>6</v>
      </c>
      <c r="W193">
        <v>20</v>
      </c>
      <c r="X193">
        <v>6</v>
      </c>
      <c r="Y193" t="s">
        <v>83</v>
      </c>
      <c r="Z193" t="s">
        <v>438</v>
      </c>
      <c r="AA193" t="str">
        <f>MasterStaffList_All[[#This Row],[Facility]]&amp;MasterStaffList_All[[#This Row],[Role]]&amp;MasterStaffList_All[[#This Row],[Resource]]</f>
        <v>TEAIN22</v>
      </c>
    </row>
    <row r="194" spans="1:27" hidden="1" x14ac:dyDescent="0.25">
      <c r="A194" t="s">
        <v>483</v>
      </c>
      <c r="B194" t="s">
        <v>22</v>
      </c>
      <c r="C194">
        <v>24</v>
      </c>
      <c r="D194" t="s">
        <v>40</v>
      </c>
      <c r="E194" t="s">
        <v>76</v>
      </c>
      <c r="F194" t="s">
        <v>484</v>
      </c>
      <c r="G194" t="s">
        <v>438</v>
      </c>
      <c r="H194" t="s">
        <v>79</v>
      </c>
      <c r="I194" t="s">
        <v>22</v>
      </c>
      <c r="J194" t="b">
        <v>0</v>
      </c>
      <c r="K194" t="b">
        <v>1</v>
      </c>
      <c r="L194" t="s">
        <v>80</v>
      </c>
      <c r="M194" t="s">
        <v>81</v>
      </c>
      <c r="O194" t="s">
        <v>82</v>
      </c>
      <c r="P194">
        <v>64</v>
      </c>
      <c r="Q194">
        <v>46223</v>
      </c>
      <c r="R194">
        <v>46250</v>
      </c>
      <c r="S194">
        <v>2</v>
      </c>
      <c r="T194">
        <v>128</v>
      </c>
      <c r="U194">
        <v>16.842105263157894</v>
      </c>
      <c r="V194">
        <v>16</v>
      </c>
      <c r="W194">
        <v>20</v>
      </c>
      <c r="X194">
        <v>16</v>
      </c>
      <c r="Y194" t="s">
        <v>83</v>
      </c>
      <c r="Z194" t="s">
        <v>438</v>
      </c>
      <c r="AA194" t="str">
        <f>MasterStaffList_All[[#This Row],[Facility]]&amp;MasterStaffList_All[[#This Row],[Role]]&amp;MasterStaffList_All[[#This Row],[Resource]]</f>
        <v>TEAIN24</v>
      </c>
    </row>
    <row r="195" spans="1:27" hidden="1" x14ac:dyDescent="0.25">
      <c r="A195" t="s">
        <v>485</v>
      </c>
      <c r="B195" t="s">
        <v>22</v>
      </c>
      <c r="C195">
        <v>25</v>
      </c>
      <c r="D195" t="s">
        <v>40</v>
      </c>
      <c r="E195" t="s">
        <v>76</v>
      </c>
      <c r="F195" t="s">
        <v>486</v>
      </c>
      <c r="G195" t="s">
        <v>438</v>
      </c>
      <c r="H195" t="s">
        <v>88</v>
      </c>
      <c r="I195" t="s">
        <v>22</v>
      </c>
      <c r="J195" t="b">
        <v>0</v>
      </c>
      <c r="K195" t="b">
        <v>1</v>
      </c>
      <c r="L195" t="s">
        <v>80</v>
      </c>
      <c r="M195" t="s">
        <v>81</v>
      </c>
      <c r="O195" t="s">
        <v>89</v>
      </c>
      <c r="P195">
        <v>76</v>
      </c>
      <c r="Q195">
        <v>46223</v>
      </c>
      <c r="R195">
        <v>46250</v>
      </c>
      <c r="S195">
        <v>2</v>
      </c>
      <c r="T195">
        <v>152</v>
      </c>
      <c r="U195">
        <v>20</v>
      </c>
      <c r="V195">
        <v>20</v>
      </c>
      <c r="W195">
        <v>20</v>
      </c>
      <c r="X195">
        <v>20</v>
      </c>
      <c r="Y195" t="s">
        <v>89</v>
      </c>
      <c r="Z195" t="s">
        <v>438</v>
      </c>
      <c r="AA195" t="str">
        <f>MasterStaffList_All[[#This Row],[Facility]]&amp;MasterStaffList_All[[#This Row],[Role]]&amp;MasterStaffList_All[[#This Row],[Resource]]</f>
        <v>TEAIN25</v>
      </c>
    </row>
    <row r="196" spans="1:27" hidden="1" x14ac:dyDescent="0.25">
      <c r="A196" t="s">
        <v>488</v>
      </c>
      <c r="B196" t="s">
        <v>22</v>
      </c>
      <c r="C196">
        <v>27</v>
      </c>
      <c r="E196" t="s">
        <v>76</v>
      </c>
      <c r="F196" t="s">
        <v>489</v>
      </c>
      <c r="G196" t="s">
        <v>438</v>
      </c>
      <c r="H196" t="s">
        <v>110</v>
      </c>
      <c r="I196" t="s">
        <v>22</v>
      </c>
      <c r="J196" t="b">
        <v>1</v>
      </c>
      <c r="K196" t="b">
        <v>0</v>
      </c>
      <c r="L196" t="s">
        <v>92</v>
      </c>
      <c r="M196" t="s">
        <v>81</v>
      </c>
      <c r="O196" t="s">
        <v>82</v>
      </c>
      <c r="P196">
        <v>76</v>
      </c>
      <c r="Q196">
        <v>46223</v>
      </c>
      <c r="R196">
        <v>46250</v>
      </c>
      <c r="S196">
        <v>2</v>
      </c>
      <c r="T196">
        <v>152</v>
      </c>
      <c r="U196">
        <v>20</v>
      </c>
      <c r="V196">
        <v>20</v>
      </c>
      <c r="W196">
        <v>20</v>
      </c>
      <c r="X196">
        <v>20</v>
      </c>
      <c r="Y196" t="s">
        <v>111</v>
      </c>
      <c r="Z196" t="s">
        <v>438</v>
      </c>
      <c r="AA196" t="str">
        <f>MasterStaffList_All[[#This Row],[Facility]]&amp;MasterStaffList_All[[#This Row],[Role]]&amp;MasterStaffList_All[[#This Row],[Resource]]</f>
        <v>TEAIN27</v>
      </c>
    </row>
    <row r="197" spans="1:27" hidden="1" x14ac:dyDescent="0.25">
      <c r="A197" t="s">
        <v>490</v>
      </c>
      <c r="B197" t="s">
        <v>22</v>
      </c>
      <c r="C197">
        <v>28</v>
      </c>
      <c r="E197" t="s">
        <v>76</v>
      </c>
      <c r="F197" t="s">
        <v>491</v>
      </c>
      <c r="G197" t="s">
        <v>438</v>
      </c>
      <c r="H197" t="s">
        <v>79</v>
      </c>
      <c r="I197" t="s">
        <v>22</v>
      </c>
      <c r="J197" t="b">
        <v>1</v>
      </c>
      <c r="K197" t="b">
        <v>0</v>
      </c>
      <c r="L197" t="s">
        <v>92</v>
      </c>
      <c r="M197" t="s">
        <v>81</v>
      </c>
      <c r="O197" t="s">
        <v>82</v>
      </c>
      <c r="P197">
        <v>48</v>
      </c>
      <c r="Q197">
        <v>46223</v>
      </c>
      <c r="R197">
        <v>46250</v>
      </c>
      <c r="S197">
        <v>2</v>
      </c>
      <c r="T197">
        <v>96</v>
      </c>
      <c r="U197">
        <v>12.631578947368419</v>
      </c>
      <c r="V197">
        <v>12</v>
      </c>
      <c r="W197">
        <v>20</v>
      </c>
      <c r="X197">
        <v>12</v>
      </c>
      <c r="Y197" t="s">
        <v>83</v>
      </c>
      <c r="Z197" t="s">
        <v>438</v>
      </c>
      <c r="AA197" t="str">
        <f>MasterStaffList_All[[#This Row],[Facility]]&amp;MasterStaffList_All[[#This Row],[Role]]&amp;MasterStaffList_All[[#This Row],[Resource]]</f>
        <v>TEAIN28</v>
      </c>
    </row>
    <row r="198" spans="1:27" hidden="1" x14ac:dyDescent="0.25">
      <c r="A198" t="s">
        <v>492</v>
      </c>
      <c r="B198" t="s">
        <v>22</v>
      </c>
      <c r="C198">
        <v>29</v>
      </c>
      <c r="E198" t="s">
        <v>76</v>
      </c>
      <c r="F198" t="s">
        <v>493</v>
      </c>
      <c r="G198" t="s">
        <v>438</v>
      </c>
      <c r="H198" t="s">
        <v>79</v>
      </c>
      <c r="I198" t="s">
        <v>22</v>
      </c>
      <c r="J198" t="b">
        <v>1</v>
      </c>
      <c r="K198" t="b">
        <v>0</v>
      </c>
      <c r="L198" t="s">
        <v>92</v>
      </c>
      <c r="M198" t="s">
        <v>81</v>
      </c>
      <c r="O198" t="s">
        <v>82</v>
      </c>
      <c r="P198">
        <v>58</v>
      </c>
      <c r="Q198">
        <v>46223</v>
      </c>
      <c r="R198">
        <v>46250</v>
      </c>
      <c r="S198">
        <v>2</v>
      </c>
      <c r="T198">
        <v>116</v>
      </c>
      <c r="U198">
        <v>15.263157894736842</v>
      </c>
      <c r="V198">
        <v>15</v>
      </c>
      <c r="W198">
        <v>20</v>
      </c>
      <c r="X198">
        <v>15</v>
      </c>
      <c r="Y198" t="s">
        <v>83</v>
      </c>
      <c r="Z198" t="s">
        <v>438</v>
      </c>
      <c r="AA198" t="str">
        <f>MasterStaffList_All[[#This Row],[Facility]]&amp;MasterStaffList_All[[#This Row],[Role]]&amp;MasterStaffList_All[[#This Row],[Resource]]</f>
        <v>TEAIN29</v>
      </c>
    </row>
    <row r="199" spans="1:27" hidden="1" x14ac:dyDescent="0.25">
      <c r="A199" t="s">
        <v>86</v>
      </c>
      <c r="B199" t="s">
        <v>22</v>
      </c>
      <c r="C199">
        <v>3</v>
      </c>
      <c r="D199" t="s">
        <v>40</v>
      </c>
      <c r="E199" t="s">
        <v>76</v>
      </c>
      <c r="F199" t="s">
        <v>87</v>
      </c>
      <c r="G199" t="s">
        <v>438</v>
      </c>
      <c r="H199" t="s">
        <v>88</v>
      </c>
      <c r="I199" t="s">
        <v>22</v>
      </c>
      <c r="J199" t="b">
        <v>0</v>
      </c>
      <c r="K199" t="b">
        <v>1</v>
      </c>
      <c r="L199" t="s">
        <v>80</v>
      </c>
      <c r="M199" t="s">
        <v>81</v>
      </c>
      <c r="O199" t="s">
        <v>89</v>
      </c>
      <c r="P199">
        <v>76</v>
      </c>
      <c r="Q199">
        <v>46223</v>
      </c>
      <c r="R199">
        <v>46250</v>
      </c>
      <c r="S199">
        <v>2</v>
      </c>
      <c r="T199">
        <v>152</v>
      </c>
      <c r="U199">
        <v>20</v>
      </c>
      <c r="V199">
        <v>20</v>
      </c>
      <c r="W199">
        <v>20</v>
      </c>
      <c r="X199">
        <v>20</v>
      </c>
      <c r="Y199" t="s">
        <v>89</v>
      </c>
      <c r="Z199" t="s">
        <v>438</v>
      </c>
      <c r="AA199" t="str">
        <f>MasterStaffList_All[[#This Row],[Facility]]&amp;MasterStaffList_All[[#This Row],[Role]]&amp;MasterStaffList_All[[#This Row],[Resource]]</f>
        <v>TEAIN3</v>
      </c>
    </row>
    <row r="200" spans="1:27" hidden="1" x14ac:dyDescent="0.25">
      <c r="A200" t="s">
        <v>494</v>
      </c>
      <c r="B200" t="s">
        <v>22</v>
      </c>
      <c r="C200">
        <v>30</v>
      </c>
      <c r="E200" t="s">
        <v>76</v>
      </c>
      <c r="F200" t="s">
        <v>495</v>
      </c>
      <c r="G200" t="s">
        <v>438</v>
      </c>
      <c r="H200" t="s">
        <v>79</v>
      </c>
      <c r="I200" t="s">
        <v>22</v>
      </c>
      <c r="J200" t="b">
        <v>1</v>
      </c>
      <c r="K200" t="b">
        <v>1</v>
      </c>
      <c r="L200" t="s">
        <v>95</v>
      </c>
      <c r="M200" t="s">
        <v>81</v>
      </c>
      <c r="O200" t="s">
        <v>82</v>
      </c>
      <c r="P200">
        <v>40</v>
      </c>
      <c r="Q200">
        <v>46223</v>
      </c>
      <c r="R200">
        <v>46250</v>
      </c>
      <c r="S200">
        <v>2</v>
      </c>
      <c r="T200">
        <v>80</v>
      </c>
      <c r="U200">
        <v>10.526315789473683</v>
      </c>
      <c r="V200">
        <v>10</v>
      </c>
      <c r="W200">
        <v>20</v>
      </c>
      <c r="X200">
        <v>10</v>
      </c>
      <c r="Y200" t="s">
        <v>83</v>
      </c>
      <c r="Z200" t="s">
        <v>438</v>
      </c>
      <c r="AA200" t="str">
        <f>MasterStaffList_All[[#This Row],[Facility]]&amp;MasterStaffList_All[[#This Row],[Role]]&amp;MasterStaffList_All[[#This Row],[Resource]]</f>
        <v>TEAIN30</v>
      </c>
    </row>
    <row r="201" spans="1:27" hidden="1" x14ac:dyDescent="0.25">
      <c r="A201" t="s">
        <v>496</v>
      </c>
      <c r="B201" t="s">
        <v>22</v>
      </c>
      <c r="C201">
        <v>31</v>
      </c>
      <c r="E201" t="s">
        <v>76</v>
      </c>
      <c r="F201" t="s">
        <v>497</v>
      </c>
      <c r="G201" t="s">
        <v>438</v>
      </c>
      <c r="H201" t="s">
        <v>110</v>
      </c>
      <c r="I201" t="s">
        <v>22</v>
      </c>
      <c r="J201" t="b">
        <v>1</v>
      </c>
      <c r="K201" t="b">
        <v>1</v>
      </c>
      <c r="L201" t="s">
        <v>95</v>
      </c>
      <c r="M201" t="s">
        <v>81</v>
      </c>
      <c r="O201" t="s">
        <v>82</v>
      </c>
      <c r="P201">
        <v>76</v>
      </c>
      <c r="Q201">
        <v>46223</v>
      </c>
      <c r="R201">
        <v>46250</v>
      </c>
      <c r="S201">
        <v>2</v>
      </c>
      <c r="T201">
        <v>152</v>
      </c>
      <c r="U201">
        <v>20</v>
      </c>
      <c r="V201">
        <v>20</v>
      </c>
      <c r="W201">
        <v>20</v>
      </c>
      <c r="X201">
        <v>20</v>
      </c>
      <c r="Y201" t="s">
        <v>111</v>
      </c>
      <c r="Z201" t="s">
        <v>438</v>
      </c>
      <c r="AA201" t="str">
        <f>MasterStaffList_All[[#This Row],[Facility]]&amp;MasterStaffList_All[[#This Row],[Role]]&amp;MasterStaffList_All[[#This Row],[Resource]]</f>
        <v>TEAIN31</v>
      </c>
    </row>
    <row r="202" spans="1:27" hidden="1" x14ac:dyDescent="0.25">
      <c r="A202" t="s">
        <v>498</v>
      </c>
      <c r="B202" t="s">
        <v>22</v>
      </c>
      <c r="C202">
        <v>32</v>
      </c>
      <c r="D202" t="s">
        <v>40</v>
      </c>
      <c r="E202" t="s">
        <v>76</v>
      </c>
      <c r="F202" t="s">
        <v>499</v>
      </c>
      <c r="G202" t="s">
        <v>438</v>
      </c>
      <c r="H202" t="s">
        <v>88</v>
      </c>
      <c r="I202" t="s">
        <v>22</v>
      </c>
      <c r="J202" t="b">
        <v>0</v>
      </c>
      <c r="K202" t="b">
        <v>1</v>
      </c>
      <c r="L202" t="s">
        <v>80</v>
      </c>
      <c r="M202" t="s">
        <v>81</v>
      </c>
      <c r="O202" t="s">
        <v>89</v>
      </c>
      <c r="P202">
        <v>76</v>
      </c>
      <c r="Q202">
        <v>46223</v>
      </c>
      <c r="R202">
        <v>46250</v>
      </c>
      <c r="S202">
        <v>2</v>
      </c>
      <c r="T202">
        <v>152</v>
      </c>
      <c r="U202">
        <v>20</v>
      </c>
      <c r="V202">
        <v>20</v>
      </c>
      <c r="W202">
        <v>20</v>
      </c>
      <c r="X202">
        <v>20</v>
      </c>
      <c r="Y202" t="s">
        <v>89</v>
      </c>
      <c r="Z202" t="s">
        <v>438</v>
      </c>
      <c r="AA202" t="str">
        <f>MasterStaffList_All[[#This Row],[Facility]]&amp;MasterStaffList_All[[#This Row],[Role]]&amp;MasterStaffList_All[[#This Row],[Resource]]</f>
        <v>TEAIN32</v>
      </c>
    </row>
    <row r="203" spans="1:27" hidden="1" x14ac:dyDescent="0.25">
      <c r="A203" t="s">
        <v>500</v>
      </c>
      <c r="B203" t="s">
        <v>22</v>
      </c>
      <c r="C203">
        <v>33</v>
      </c>
      <c r="E203" t="s">
        <v>76</v>
      </c>
      <c r="F203" t="s">
        <v>501</v>
      </c>
      <c r="G203" t="s">
        <v>438</v>
      </c>
      <c r="H203" t="s">
        <v>88</v>
      </c>
      <c r="I203" t="s">
        <v>22</v>
      </c>
      <c r="J203" t="b">
        <v>1</v>
      </c>
      <c r="K203" t="b">
        <v>0</v>
      </c>
      <c r="L203" t="s">
        <v>92</v>
      </c>
      <c r="M203" t="s">
        <v>81</v>
      </c>
      <c r="O203" t="s">
        <v>89</v>
      </c>
      <c r="P203">
        <v>76</v>
      </c>
      <c r="Q203">
        <v>46223</v>
      </c>
      <c r="R203">
        <v>46250</v>
      </c>
      <c r="S203">
        <v>2</v>
      </c>
      <c r="T203">
        <v>152</v>
      </c>
      <c r="U203">
        <v>20</v>
      </c>
      <c r="V203">
        <v>20</v>
      </c>
      <c r="W203">
        <v>20</v>
      </c>
      <c r="X203">
        <v>20</v>
      </c>
      <c r="Y203" t="s">
        <v>89</v>
      </c>
      <c r="Z203" t="s">
        <v>438</v>
      </c>
      <c r="AA203" t="str">
        <f>MasterStaffList_All[[#This Row],[Facility]]&amp;MasterStaffList_All[[#This Row],[Role]]&amp;MasterStaffList_All[[#This Row],[Resource]]</f>
        <v>TEAIN33</v>
      </c>
    </row>
    <row r="204" spans="1:27" hidden="1" x14ac:dyDescent="0.25">
      <c r="A204" t="s">
        <v>502</v>
      </c>
      <c r="B204" t="s">
        <v>22</v>
      </c>
      <c r="C204">
        <v>34</v>
      </c>
      <c r="E204" t="s">
        <v>76</v>
      </c>
      <c r="F204" t="s">
        <v>503</v>
      </c>
      <c r="G204" t="s">
        <v>438</v>
      </c>
      <c r="H204" t="s">
        <v>79</v>
      </c>
      <c r="I204" t="s">
        <v>22</v>
      </c>
      <c r="J204" t="b">
        <v>1</v>
      </c>
      <c r="K204" t="b">
        <v>1</v>
      </c>
      <c r="L204" t="s">
        <v>95</v>
      </c>
      <c r="M204" t="s">
        <v>81</v>
      </c>
      <c r="O204" t="s">
        <v>82</v>
      </c>
      <c r="P204">
        <v>40</v>
      </c>
      <c r="Q204">
        <v>46223</v>
      </c>
      <c r="R204">
        <v>46250</v>
      </c>
      <c r="S204">
        <v>2</v>
      </c>
      <c r="T204">
        <v>80</v>
      </c>
      <c r="U204">
        <v>10.526315789473683</v>
      </c>
      <c r="V204">
        <v>10</v>
      </c>
      <c r="W204">
        <v>20</v>
      </c>
      <c r="X204">
        <v>10</v>
      </c>
      <c r="Y204" t="s">
        <v>83</v>
      </c>
      <c r="Z204" t="s">
        <v>438</v>
      </c>
      <c r="AA204" t="str">
        <f>MasterStaffList_All[[#This Row],[Facility]]&amp;MasterStaffList_All[[#This Row],[Role]]&amp;MasterStaffList_All[[#This Row],[Resource]]</f>
        <v>TEAIN34</v>
      </c>
    </row>
    <row r="205" spans="1:27" hidden="1" x14ac:dyDescent="0.25">
      <c r="A205" t="s">
        <v>504</v>
      </c>
      <c r="B205" t="s">
        <v>22</v>
      </c>
      <c r="C205">
        <v>35</v>
      </c>
      <c r="E205" t="s">
        <v>76</v>
      </c>
      <c r="F205" t="s">
        <v>505</v>
      </c>
      <c r="G205" t="s">
        <v>438</v>
      </c>
      <c r="H205" t="s">
        <v>88</v>
      </c>
      <c r="I205" t="s">
        <v>22</v>
      </c>
      <c r="J205" t="b">
        <v>1</v>
      </c>
      <c r="K205" t="b">
        <v>0</v>
      </c>
      <c r="L205" t="s">
        <v>92</v>
      </c>
      <c r="M205" t="s">
        <v>81</v>
      </c>
      <c r="O205" t="s">
        <v>89</v>
      </c>
      <c r="P205">
        <v>76</v>
      </c>
      <c r="Q205">
        <v>46223</v>
      </c>
      <c r="R205">
        <v>46250</v>
      </c>
      <c r="S205">
        <v>2</v>
      </c>
      <c r="T205">
        <v>152</v>
      </c>
      <c r="U205">
        <v>20</v>
      </c>
      <c r="V205">
        <v>20</v>
      </c>
      <c r="W205">
        <v>20</v>
      </c>
      <c r="X205">
        <v>20</v>
      </c>
      <c r="Y205" t="s">
        <v>89</v>
      </c>
      <c r="Z205" t="s">
        <v>438</v>
      </c>
      <c r="AA205" t="str">
        <f>MasterStaffList_All[[#This Row],[Facility]]&amp;MasterStaffList_All[[#This Row],[Role]]&amp;MasterStaffList_All[[#This Row],[Resource]]</f>
        <v>TEAIN35</v>
      </c>
    </row>
    <row r="206" spans="1:27" hidden="1" x14ac:dyDescent="0.25">
      <c r="A206" t="s">
        <v>506</v>
      </c>
      <c r="B206" t="s">
        <v>22</v>
      </c>
      <c r="C206">
        <v>36</v>
      </c>
      <c r="E206" t="s">
        <v>76</v>
      </c>
      <c r="F206" t="s">
        <v>507</v>
      </c>
      <c r="G206" t="s">
        <v>438</v>
      </c>
      <c r="H206" t="s">
        <v>110</v>
      </c>
      <c r="I206" t="s">
        <v>22</v>
      </c>
      <c r="J206" t="b">
        <v>1</v>
      </c>
      <c r="K206" t="b">
        <v>0</v>
      </c>
      <c r="L206" t="s">
        <v>92</v>
      </c>
      <c r="M206" t="s">
        <v>81</v>
      </c>
      <c r="O206" t="s">
        <v>82</v>
      </c>
      <c r="P206">
        <v>76</v>
      </c>
      <c r="Q206">
        <v>46223</v>
      </c>
      <c r="R206">
        <v>46250</v>
      </c>
      <c r="S206">
        <v>2</v>
      </c>
      <c r="T206">
        <v>152</v>
      </c>
      <c r="U206">
        <v>20</v>
      </c>
      <c r="V206">
        <v>20</v>
      </c>
      <c r="W206">
        <v>20</v>
      </c>
      <c r="X206">
        <v>20</v>
      </c>
      <c r="Y206" t="s">
        <v>111</v>
      </c>
      <c r="Z206" t="s">
        <v>438</v>
      </c>
      <c r="AA206" t="str">
        <f>MasterStaffList_All[[#This Row],[Facility]]&amp;MasterStaffList_All[[#This Row],[Role]]&amp;MasterStaffList_All[[#This Row],[Resource]]</f>
        <v>TEAIN36</v>
      </c>
    </row>
    <row r="207" spans="1:27" hidden="1" x14ac:dyDescent="0.25">
      <c r="A207" t="s">
        <v>510</v>
      </c>
      <c r="B207" t="s">
        <v>22</v>
      </c>
      <c r="C207">
        <v>38</v>
      </c>
      <c r="E207" t="s">
        <v>76</v>
      </c>
      <c r="F207" t="s">
        <v>511</v>
      </c>
      <c r="G207" t="s">
        <v>438</v>
      </c>
      <c r="H207" t="s">
        <v>88</v>
      </c>
      <c r="I207" t="s">
        <v>22</v>
      </c>
      <c r="J207" t="b">
        <v>1</v>
      </c>
      <c r="K207" t="b">
        <v>0</v>
      </c>
      <c r="L207" t="s">
        <v>92</v>
      </c>
      <c r="M207" t="s">
        <v>81</v>
      </c>
      <c r="O207" t="s">
        <v>89</v>
      </c>
      <c r="P207">
        <v>76</v>
      </c>
      <c r="Q207">
        <v>46223</v>
      </c>
      <c r="R207">
        <v>46250</v>
      </c>
      <c r="S207">
        <v>2</v>
      </c>
      <c r="T207">
        <v>152</v>
      </c>
      <c r="U207">
        <v>20</v>
      </c>
      <c r="V207">
        <v>20</v>
      </c>
      <c r="W207">
        <v>20</v>
      </c>
      <c r="X207">
        <v>20</v>
      </c>
      <c r="Y207" t="s">
        <v>89</v>
      </c>
      <c r="Z207" t="s">
        <v>438</v>
      </c>
      <c r="AA207" t="str">
        <f>MasterStaffList_All[[#This Row],[Facility]]&amp;MasterStaffList_All[[#This Row],[Role]]&amp;MasterStaffList_All[[#This Row],[Resource]]</f>
        <v>TEAIN38</v>
      </c>
    </row>
    <row r="208" spans="1:27" hidden="1" x14ac:dyDescent="0.25">
      <c r="A208" t="s">
        <v>512</v>
      </c>
      <c r="B208" t="s">
        <v>22</v>
      </c>
      <c r="C208">
        <v>39</v>
      </c>
      <c r="E208" t="s">
        <v>76</v>
      </c>
      <c r="F208" t="s">
        <v>513</v>
      </c>
      <c r="G208" t="s">
        <v>438</v>
      </c>
      <c r="H208" t="s">
        <v>79</v>
      </c>
      <c r="I208" t="s">
        <v>22</v>
      </c>
      <c r="J208" t="b">
        <v>1</v>
      </c>
      <c r="K208" t="b">
        <v>0</v>
      </c>
      <c r="L208" t="s">
        <v>92</v>
      </c>
      <c r="M208" t="s">
        <v>81</v>
      </c>
      <c r="O208" t="s">
        <v>82</v>
      </c>
      <c r="P208">
        <v>16</v>
      </c>
      <c r="Q208">
        <v>46223</v>
      </c>
      <c r="R208">
        <v>46250</v>
      </c>
      <c r="S208">
        <v>2</v>
      </c>
      <c r="T208">
        <v>32</v>
      </c>
      <c r="U208">
        <v>4.2105263157894735</v>
      </c>
      <c r="V208">
        <v>4</v>
      </c>
      <c r="W208">
        <v>20</v>
      </c>
      <c r="X208">
        <v>4</v>
      </c>
      <c r="Y208" t="s">
        <v>83</v>
      </c>
      <c r="Z208" t="s">
        <v>438</v>
      </c>
      <c r="AA208" t="str">
        <f>MasterStaffList_All[[#This Row],[Facility]]&amp;MasterStaffList_All[[#This Row],[Role]]&amp;MasterStaffList_All[[#This Row],[Resource]]</f>
        <v>TEAIN39</v>
      </c>
    </row>
    <row r="209" spans="1:27" hidden="1" x14ac:dyDescent="0.25">
      <c r="A209" t="s">
        <v>443</v>
      </c>
      <c r="B209" t="s">
        <v>22</v>
      </c>
      <c r="C209">
        <v>4</v>
      </c>
      <c r="D209" t="s">
        <v>40</v>
      </c>
      <c r="E209" t="s">
        <v>76</v>
      </c>
      <c r="F209" t="s">
        <v>444</v>
      </c>
      <c r="G209" t="s">
        <v>438</v>
      </c>
      <c r="H209" t="s">
        <v>79</v>
      </c>
      <c r="I209" t="s">
        <v>22</v>
      </c>
      <c r="J209" t="b">
        <v>0</v>
      </c>
      <c r="K209" t="b">
        <v>1</v>
      </c>
      <c r="L209" t="s">
        <v>80</v>
      </c>
      <c r="M209" t="s">
        <v>81</v>
      </c>
      <c r="O209" t="s">
        <v>82</v>
      </c>
      <c r="P209">
        <v>26</v>
      </c>
      <c r="Q209">
        <v>46223</v>
      </c>
      <c r="R209">
        <v>46250</v>
      </c>
      <c r="S209">
        <v>2</v>
      </c>
      <c r="T209">
        <v>52</v>
      </c>
      <c r="U209">
        <v>6.8421052631578947</v>
      </c>
      <c r="V209">
        <v>6</v>
      </c>
      <c r="W209">
        <v>20</v>
      </c>
      <c r="X209">
        <v>6</v>
      </c>
      <c r="Y209" t="s">
        <v>83</v>
      </c>
      <c r="Z209" t="s">
        <v>438</v>
      </c>
      <c r="AA209" t="str">
        <f>MasterStaffList_All[[#This Row],[Facility]]&amp;MasterStaffList_All[[#This Row],[Role]]&amp;MasterStaffList_All[[#This Row],[Resource]]</f>
        <v>TEAIN4</v>
      </c>
    </row>
    <row r="210" spans="1:27" hidden="1" x14ac:dyDescent="0.25">
      <c r="A210" t="s">
        <v>514</v>
      </c>
      <c r="B210" t="s">
        <v>22</v>
      </c>
      <c r="C210">
        <v>40</v>
      </c>
      <c r="E210" t="s">
        <v>76</v>
      </c>
      <c r="F210" t="s">
        <v>515</v>
      </c>
      <c r="G210" t="s">
        <v>438</v>
      </c>
      <c r="H210" t="s">
        <v>110</v>
      </c>
      <c r="I210" t="s">
        <v>22</v>
      </c>
      <c r="J210" t="b">
        <v>1</v>
      </c>
      <c r="K210" t="b">
        <v>1</v>
      </c>
      <c r="L210" t="s">
        <v>95</v>
      </c>
      <c r="M210" t="s">
        <v>81</v>
      </c>
      <c r="O210" t="s">
        <v>82</v>
      </c>
      <c r="P210">
        <v>76</v>
      </c>
      <c r="Q210">
        <v>46223</v>
      </c>
      <c r="R210">
        <v>46250</v>
      </c>
      <c r="S210">
        <v>2</v>
      </c>
      <c r="T210">
        <v>152</v>
      </c>
      <c r="U210">
        <v>20</v>
      </c>
      <c r="V210">
        <v>20</v>
      </c>
      <c r="W210">
        <v>20</v>
      </c>
      <c r="X210">
        <v>20</v>
      </c>
      <c r="Y210" t="s">
        <v>111</v>
      </c>
      <c r="Z210" t="s">
        <v>438</v>
      </c>
      <c r="AA210" t="str">
        <f>MasterStaffList_All[[#This Row],[Facility]]&amp;MasterStaffList_All[[#This Row],[Role]]&amp;MasterStaffList_All[[#This Row],[Resource]]</f>
        <v>TEAIN40</v>
      </c>
    </row>
    <row r="211" spans="1:27" hidden="1" x14ac:dyDescent="0.25">
      <c r="A211" t="s">
        <v>516</v>
      </c>
      <c r="B211" t="s">
        <v>22</v>
      </c>
      <c r="C211">
        <v>41</v>
      </c>
      <c r="E211" t="s">
        <v>76</v>
      </c>
      <c r="F211" t="s">
        <v>517</v>
      </c>
      <c r="G211" t="s">
        <v>438</v>
      </c>
      <c r="H211" t="s">
        <v>110</v>
      </c>
      <c r="I211" t="s">
        <v>22</v>
      </c>
      <c r="J211" t="b">
        <v>1</v>
      </c>
      <c r="K211" t="b">
        <v>1</v>
      </c>
      <c r="L211" t="s">
        <v>95</v>
      </c>
      <c r="M211" t="s">
        <v>81</v>
      </c>
      <c r="O211" t="s">
        <v>82</v>
      </c>
      <c r="P211">
        <v>76</v>
      </c>
      <c r="Q211">
        <v>46223</v>
      </c>
      <c r="R211">
        <v>46250</v>
      </c>
      <c r="S211">
        <v>2</v>
      </c>
      <c r="T211">
        <v>152</v>
      </c>
      <c r="U211">
        <v>20</v>
      </c>
      <c r="V211">
        <v>20</v>
      </c>
      <c r="W211">
        <v>20</v>
      </c>
      <c r="X211">
        <v>20</v>
      </c>
      <c r="Y211" t="s">
        <v>111</v>
      </c>
      <c r="Z211" t="s">
        <v>438</v>
      </c>
      <c r="AA211" t="str">
        <f>MasterStaffList_All[[#This Row],[Facility]]&amp;MasterStaffList_All[[#This Row],[Role]]&amp;MasterStaffList_All[[#This Row],[Resource]]</f>
        <v>TEAIN41</v>
      </c>
    </row>
    <row r="212" spans="1:27" hidden="1" x14ac:dyDescent="0.25">
      <c r="A212" t="s">
        <v>518</v>
      </c>
      <c r="B212" t="s">
        <v>22</v>
      </c>
      <c r="C212">
        <v>42</v>
      </c>
      <c r="D212" t="s">
        <v>40</v>
      </c>
      <c r="E212" t="s">
        <v>76</v>
      </c>
      <c r="F212" t="s">
        <v>519</v>
      </c>
      <c r="G212" t="s">
        <v>438</v>
      </c>
      <c r="H212" t="s">
        <v>79</v>
      </c>
      <c r="I212" t="s">
        <v>22</v>
      </c>
      <c r="J212" t="b">
        <v>0</v>
      </c>
      <c r="K212" t="b">
        <v>1</v>
      </c>
      <c r="L212" t="s">
        <v>80</v>
      </c>
      <c r="M212" t="s">
        <v>81</v>
      </c>
      <c r="O212" t="s">
        <v>82</v>
      </c>
      <c r="P212">
        <v>32</v>
      </c>
      <c r="Q212">
        <v>46223</v>
      </c>
      <c r="R212">
        <v>46250</v>
      </c>
      <c r="S212">
        <v>2</v>
      </c>
      <c r="T212">
        <v>64</v>
      </c>
      <c r="U212">
        <v>8.4210526315789469</v>
      </c>
      <c r="V212">
        <v>8</v>
      </c>
      <c r="W212">
        <v>20</v>
      </c>
      <c r="X212">
        <v>8</v>
      </c>
      <c r="Y212" t="s">
        <v>83</v>
      </c>
      <c r="Z212" t="s">
        <v>438</v>
      </c>
      <c r="AA212" t="str">
        <f>MasterStaffList_All[[#This Row],[Facility]]&amp;MasterStaffList_All[[#This Row],[Role]]&amp;MasterStaffList_All[[#This Row],[Resource]]</f>
        <v>TEAIN42</v>
      </c>
    </row>
    <row r="213" spans="1:27" hidden="1" x14ac:dyDescent="0.25">
      <c r="A213" t="s">
        <v>520</v>
      </c>
      <c r="B213" t="s">
        <v>22</v>
      </c>
      <c r="C213">
        <v>43</v>
      </c>
      <c r="E213" t="s">
        <v>76</v>
      </c>
      <c r="F213" t="s">
        <v>521</v>
      </c>
      <c r="G213" t="s">
        <v>438</v>
      </c>
      <c r="H213" t="s">
        <v>110</v>
      </c>
      <c r="I213" t="s">
        <v>22</v>
      </c>
      <c r="J213" t="b">
        <v>1</v>
      </c>
      <c r="K213" t="b">
        <v>0</v>
      </c>
      <c r="L213" t="s">
        <v>92</v>
      </c>
      <c r="M213" t="s">
        <v>81</v>
      </c>
      <c r="O213" t="s">
        <v>82</v>
      </c>
      <c r="P213">
        <v>76</v>
      </c>
      <c r="Q213">
        <v>46223</v>
      </c>
      <c r="R213">
        <v>46250</v>
      </c>
      <c r="S213">
        <v>2</v>
      </c>
      <c r="T213">
        <v>152</v>
      </c>
      <c r="U213">
        <v>20</v>
      </c>
      <c r="V213">
        <v>20</v>
      </c>
      <c r="W213">
        <v>20</v>
      </c>
      <c r="X213">
        <v>20</v>
      </c>
      <c r="Y213" t="s">
        <v>111</v>
      </c>
      <c r="Z213" t="s">
        <v>438</v>
      </c>
      <c r="AA213" t="str">
        <f>MasterStaffList_All[[#This Row],[Facility]]&amp;MasterStaffList_All[[#This Row],[Role]]&amp;MasterStaffList_All[[#This Row],[Resource]]</f>
        <v>TEAIN43</v>
      </c>
    </row>
    <row r="214" spans="1:27" hidden="1" x14ac:dyDescent="0.25">
      <c r="A214" t="s">
        <v>524</v>
      </c>
      <c r="B214" t="s">
        <v>22</v>
      </c>
      <c r="C214">
        <v>45</v>
      </c>
      <c r="E214" t="s">
        <v>76</v>
      </c>
      <c r="F214" t="s">
        <v>525</v>
      </c>
      <c r="G214" t="s">
        <v>438</v>
      </c>
      <c r="H214" t="s">
        <v>79</v>
      </c>
      <c r="I214" t="s">
        <v>22</v>
      </c>
      <c r="J214" t="b">
        <v>1</v>
      </c>
      <c r="K214" t="b">
        <v>1</v>
      </c>
      <c r="L214" t="s">
        <v>95</v>
      </c>
      <c r="M214" t="s">
        <v>81</v>
      </c>
      <c r="O214" t="s">
        <v>82</v>
      </c>
      <c r="P214">
        <v>56</v>
      </c>
      <c r="Q214">
        <v>46223</v>
      </c>
      <c r="R214">
        <v>46250</v>
      </c>
      <c r="S214">
        <v>2</v>
      </c>
      <c r="T214">
        <v>112</v>
      </c>
      <c r="U214">
        <v>14.736842105263159</v>
      </c>
      <c r="V214">
        <v>14</v>
      </c>
      <c r="W214">
        <v>20</v>
      </c>
      <c r="X214">
        <v>14</v>
      </c>
      <c r="Y214" t="s">
        <v>83</v>
      </c>
      <c r="Z214" t="s">
        <v>438</v>
      </c>
      <c r="AA214" t="str">
        <f>MasterStaffList_All[[#This Row],[Facility]]&amp;MasterStaffList_All[[#This Row],[Role]]&amp;MasterStaffList_All[[#This Row],[Resource]]</f>
        <v>TEAIN45</v>
      </c>
    </row>
    <row r="215" spans="1:27" hidden="1" x14ac:dyDescent="0.25">
      <c r="A215" t="s">
        <v>528</v>
      </c>
      <c r="B215" t="s">
        <v>22</v>
      </c>
      <c r="C215">
        <v>47</v>
      </c>
      <c r="E215" t="s">
        <v>76</v>
      </c>
      <c r="F215" t="s">
        <v>529</v>
      </c>
      <c r="G215" t="s">
        <v>438</v>
      </c>
      <c r="H215" t="s">
        <v>79</v>
      </c>
      <c r="I215" t="s">
        <v>22</v>
      </c>
      <c r="J215" t="b">
        <v>1</v>
      </c>
      <c r="K215" t="b">
        <v>0</v>
      </c>
      <c r="L215" t="s">
        <v>92</v>
      </c>
      <c r="M215" t="s">
        <v>81</v>
      </c>
      <c r="O215" t="s">
        <v>82</v>
      </c>
      <c r="P215">
        <v>32</v>
      </c>
      <c r="Q215">
        <v>46223</v>
      </c>
      <c r="R215">
        <v>46250</v>
      </c>
      <c r="S215">
        <v>2</v>
      </c>
      <c r="T215">
        <v>64</v>
      </c>
      <c r="U215">
        <v>8.4210526315789469</v>
      </c>
      <c r="V215">
        <v>8</v>
      </c>
      <c r="W215">
        <v>20</v>
      </c>
      <c r="X215">
        <v>8</v>
      </c>
      <c r="Y215" t="s">
        <v>83</v>
      </c>
      <c r="Z215" t="s">
        <v>438</v>
      </c>
      <c r="AA215" t="str">
        <f>MasterStaffList_All[[#This Row],[Facility]]&amp;MasterStaffList_All[[#This Row],[Role]]&amp;MasterStaffList_All[[#This Row],[Resource]]</f>
        <v>TEAIN47</v>
      </c>
    </row>
    <row r="216" spans="1:27" hidden="1" x14ac:dyDescent="0.25">
      <c r="A216" t="s">
        <v>530</v>
      </c>
      <c r="B216" t="s">
        <v>22</v>
      </c>
      <c r="C216">
        <v>48</v>
      </c>
      <c r="E216" t="s">
        <v>76</v>
      </c>
      <c r="F216" t="s">
        <v>531</v>
      </c>
      <c r="G216" t="s">
        <v>438</v>
      </c>
      <c r="H216" t="s">
        <v>88</v>
      </c>
      <c r="I216" t="s">
        <v>22</v>
      </c>
      <c r="J216" t="b">
        <v>1</v>
      </c>
      <c r="K216" t="b">
        <v>0</v>
      </c>
      <c r="L216" t="s">
        <v>92</v>
      </c>
      <c r="M216" t="s">
        <v>81</v>
      </c>
      <c r="O216" t="s">
        <v>89</v>
      </c>
      <c r="P216">
        <v>76</v>
      </c>
      <c r="Q216">
        <v>46223</v>
      </c>
      <c r="R216">
        <v>46250</v>
      </c>
      <c r="S216">
        <v>2</v>
      </c>
      <c r="T216">
        <v>152</v>
      </c>
      <c r="U216">
        <v>20</v>
      </c>
      <c r="V216">
        <v>20</v>
      </c>
      <c r="W216">
        <v>20</v>
      </c>
      <c r="X216">
        <v>20</v>
      </c>
      <c r="Y216" t="s">
        <v>89</v>
      </c>
      <c r="Z216" t="s">
        <v>438</v>
      </c>
      <c r="AA216" t="str">
        <f>MasterStaffList_All[[#This Row],[Facility]]&amp;MasterStaffList_All[[#This Row],[Role]]&amp;MasterStaffList_All[[#This Row],[Resource]]</f>
        <v>TEAIN48</v>
      </c>
    </row>
    <row r="217" spans="1:27" hidden="1" x14ac:dyDescent="0.25">
      <c r="A217" t="s">
        <v>532</v>
      </c>
      <c r="B217" t="s">
        <v>22</v>
      </c>
      <c r="C217">
        <v>49</v>
      </c>
      <c r="E217" t="s">
        <v>76</v>
      </c>
      <c r="F217" t="s">
        <v>533</v>
      </c>
      <c r="G217" t="s">
        <v>438</v>
      </c>
      <c r="H217" t="s">
        <v>88</v>
      </c>
      <c r="I217" t="s">
        <v>22</v>
      </c>
      <c r="J217" t="b">
        <v>1</v>
      </c>
      <c r="K217" t="b">
        <v>0</v>
      </c>
      <c r="L217" t="s">
        <v>92</v>
      </c>
      <c r="M217" t="s">
        <v>81</v>
      </c>
      <c r="O217" t="s">
        <v>89</v>
      </c>
      <c r="P217">
        <v>76</v>
      </c>
      <c r="Q217">
        <v>46223</v>
      </c>
      <c r="R217">
        <v>46250</v>
      </c>
      <c r="S217">
        <v>2</v>
      </c>
      <c r="T217">
        <v>152</v>
      </c>
      <c r="U217">
        <v>20</v>
      </c>
      <c r="V217">
        <v>20</v>
      </c>
      <c r="W217">
        <v>20</v>
      </c>
      <c r="X217">
        <v>20</v>
      </c>
      <c r="Y217" t="s">
        <v>89</v>
      </c>
      <c r="Z217" t="s">
        <v>438</v>
      </c>
      <c r="AA217" t="str">
        <f>MasterStaffList_All[[#This Row],[Facility]]&amp;MasterStaffList_All[[#This Row],[Role]]&amp;MasterStaffList_All[[#This Row],[Resource]]</f>
        <v>TEAIN49</v>
      </c>
    </row>
    <row r="218" spans="1:27" hidden="1" x14ac:dyDescent="0.25">
      <c r="A218" t="s">
        <v>445</v>
      </c>
      <c r="B218" t="s">
        <v>22</v>
      </c>
      <c r="C218">
        <v>5</v>
      </c>
      <c r="E218" t="s">
        <v>76</v>
      </c>
      <c r="F218" t="s">
        <v>446</v>
      </c>
      <c r="G218" t="s">
        <v>438</v>
      </c>
      <c r="H218" t="s">
        <v>79</v>
      </c>
      <c r="I218" t="s">
        <v>22</v>
      </c>
      <c r="J218" t="b">
        <v>1</v>
      </c>
      <c r="K218" t="b">
        <v>0</v>
      </c>
      <c r="L218" t="s">
        <v>92</v>
      </c>
      <c r="M218" t="s">
        <v>81</v>
      </c>
      <c r="O218" t="s">
        <v>82</v>
      </c>
      <c r="P218">
        <v>24</v>
      </c>
      <c r="Q218">
        <v>46223</v>
      </c>
      <c r="R218">
        <v>46250</v>
      </c>
      <c r="S218">
        <v>2</v>
      </c>
      <c r="T218">
        <v>48</v>
      </c>
      <c r="U218">
        <v>6.3157894736842106</v>
      </c>
      <c r="V218">
        <v>6</v>
      </c>
      <c r="W218">
        <v>20</v>
      </c>
      <c r="X218">
        <v>6</v>
      </c>
      <c r="Y218" t="s">
        <v>83</v>
      </c>
      <c r="Z218" t="s">
        <v>438</v>
      </c>
      <c r="AA218" t="str">
        <f>MasterStaffList_All[[#This Row],[Facility]]&amp;MasterStaffList_All[[#This Row],[Role]]&amp;MasterStaffList_All[[#This Row],[Resource]]</f>
        <v>TEAIN5</v>
      </c>
    </row>
    <row r="219" spans="1:27" hidden="1" x14ac:dyDescent="0.25">
      <c r="A219" t="s">
        <v>536</v>
      </c>
      <c r="B219" t="s">
        <v>22</v>
      </c>
      <c r="C219">
        <v>51</v>
      </c>
      <c r="E219" t="s">
        <v>76</v>
      </c>
      <c r="F219" t="s">
        <v>537</v>
      </c>
      <c r="G219" t="s">
        <v>438</v>
      </c>
      <c r="H219" t="s">
        <v>110</v>
      </c>
      <c r="I219" t="s">
        <v>22</v>
      </c>
      <c r="J219" t="b">
        <v>1</v>
      </c>
      <c r="K219" t="b">
        <v>1</v>
      </c>
      <c r="L219" t="s">
        <v>95</v>
      </c>
      <c r="M219" t="s">
        <v>81</v>
      </c>
      <c r="O219" t="s">
        <v>82</v>
      </c>
      <c r="P219">
        <v>76</v>
      </c>
      <c r="Q219">
        <v>46223</v>
      </c>
      <c r="R219">
        <v>46250</v>
      </c>
      <c r="S219">
        <v>2</v>
      </c>
      <c r="T219">
        <v>152</v>
      </c>
      <c r="U219">
        <v>20</v>
      </c>
      <c r="V219">
        <v>20</v>
      </c>
      <c r="W219">
        <v>20</v>
      </c>
      <c r="X219">
        <v>20</v>
      </c>
      <c r="Y219" t="s">
        <v>111</v>
      </c>
      <c r="Z219" t="s">
        <v>438</v>
      </c>
      <c r="AA219" t="str">
        <f>MasterStaffList_All[[#This Row],[Facility]]&amp;MasterStaffList_All[[#This Row],[Role]]&amp;MasterStaffList_All[[#This Row],[Resource]]</f>
        <v>TEAIN51</v>
      </c>
    </row>
    <row r="220" spans="1:27" hidden="1" x14ac:dyDescent="0.25">
      <c r="A220" t="s">
        <v>538</v>
      </c>
      <c r="B220" t="s">
        <v>22</v>
      </c>
      <c r="C220">
        <v>52</v>
      </c>
      <c r="D220" t="s">
        <v>40</v>
      </c>
      <c r="E220" t="s">
        <v>76</v>
      </c>
      <c r="F220" t="s">
        <v>539</v>
      </c>
      <c r="G220" t="s">
        <v>438</v>
      </c>
      <c r="H220" t="s">
        <v>88</v>
      </c>
      <c r="I220" t="s">
        <v>22</v>
      </c>
      <c r="J220" t="b">
        <v>0</v>
      </c>
      <c r="K220" t="b">
        <v>1</v>
      </c>
      <c r="L220" t="s">
        <v>80</v>
      </c>
      <c r="M220" t="s">
        <v>81</v>
      </c>
      <c r="O220" t="s">
        <v>89</v>
      </c>
      <c r="P220">
        <v>76</v>
      </c>
      <c r="Q220">
        <v>46223</v>
      </c>
      <c r="R220">
        <v>46250</v>
      </c>
      <c r="S220">
        <v>2</v>
      </c>
      <c r="T220">
        <v>152</v>
      </c>
      <c r="U220">
        <v>20</v>
      </c>
      <c r="V220">
        <v>20</v>
      </c>
      <c r="W220">
        <v>20</v>
      </c>
      <c r="X220">
        <v>20</v>
      </c>
      <c r="Y220" t="s">
        <v>89</v>
      </c>
      <c r="Z220" t="s">
        <v>438</v>
      </c>
      <c r="AA220" t="str">
        <f>MasterStaffList_All[[#This Row],[Facility]]&amp;MasterStaffList_All[[#This Row],[Role]]&amp;MasterStaffList_All[[#This Row],[Resource]]</f>
        <v>TEAIN52</v>
      </c>
    </row>
    <row r="221" spans="1:27" hidden="1" x14ac:dyDescent="0.25">
      <c r="A221" t="s">
        <v>540</v>
      </c>
      <c r="B221" t="s">
        <v>22</v>
      </c>
      <c r="C221">
        <v>53</v>
      </c>
      <c r="E221" t="s">
        <v>76</v>
      </c>
      <c r="F221" t="s">
        <v>541</v>
      </c>
      <c r="G221" t="s">
        <v>438</v>
      </c>
      <c r="H221" t="s">
        <v>110</v>
      </c>
      <c r="I221" t="s">
        <v>22</v>
      </c>
      <c r="J221" t="b">
        <v>1</v>
      </c>
      <c r="K221" t="b">
        <v>1</v>
      </c>
      <c r="L221" t="s">
        <v>95</v>
      </c>
      <c r="M221" t="s">
        <v>81</v>
      </c>
      <c r="O221" t="s">
        <v>82</v>
      </c>
      <c r="P221">
        <v>76</v>
      </c>
      <c r="Q221">
        <v>46223</v>
      </c>
      <c r="R221">
        <v>46250</v>
      </c>
      <c r="S221">
        <v>2</v>
      </c>
      <c r="T221">
        <v>152</v>
      </c>
      <c r="U221">
        <v>20</v>
      </c>
      <c r="V221">
        <v>20</v>
      </c>
      <c r="W221">
        <v>20</v>
      </c>
      <c r="X221">
        <v>20</v>
      </c>
      <c r="Y221" t="s">
        <v>111</v>
      </c>
      <c r="Z221" t="s">
        <v>438</v>
      </c>
      <c r="AA221" t="str">
        <f>MasterStaffList_All[[#This Row],[Facility]]&amp;MasterStaffList_All[[#This Row],[Role]]&amp;MasterStaffList_All[[#This Row],[Resource]]</f>
        <v>TEAIN53</v>
      </c>
    </row>
    <row r="222" spans="1:27" hidden="1" x14ac:dyDescent="0.25">
      <c r="A222" t="s">
        <v>542</v>
      </c>
      <c r="B222" t="s">
        <v>22</v>
      </c>
      <c r="C222">
        <v>54</v>
      </c>
      <c r="E222" t="s">
        <v>76</v>
      </c>
      <c r="F222" t="s">
        <v>543</v>
      </c>
      <c r="G222" t="s">
        <v>438</v>
      </c>
      <c r="H222" t="s">
        <v>79</v>
      </c>
      <c r="I222" t="s">
        <v>22</v>
      </c>
      <c r="J222" t="b">
        <v>1</v>
      </c>
      <c r="K222" t="b">
        <v>1</v>
      </c>
      <c r="L222" t="s">
        <v>95</v>
      </c>
      <c r="M222" t="s">
        <v>81</v>
      </c>
      <c r="O222" t="s">
        <v>82</v>
      </c>
      <c r="P222">
        <v>60</v>
      </c>
      <c r="Q222">
        <v>46223</v>
      </c>
      <c r="R222">
        <v>46250</v>
      </c>
      <c r="S222">
        <v>2</v>
      </c>
      <c r="T222">
        <v>120</v>
      </c>
      <c r="U222">
        <v>15.789473684210527</v>
      </c>
      <c r="V222">
        <v>15</v>
      </c>
      <c r="W222">
        <v>20</v>
      </c>
      <c r="X222">
        <v>15</v>
      </c>
      <c r="Y222" t="s">
        <v>83</v>
      </c>
      <c r="Z222" t="s">
        <v>438</v>
      </c>
      <c r="AA222" t="str">
        <f>MasterStaffList_All[[#This Row],[Facility]]&amp;MasterStaffList_All[[#This Row],[Role]]&amp;MasterStaffList_All[[#This Row],[Resource]]</f>
        <v>TEAIN54</v>
      </c>
    </row>
    <row r="223" spans="1:27" hidden="1" x14ac:dyDescent="0.25">
      <c r="A223" t="s">
        <v>414</v>
      </c>
      <c r="B223" t="s">
        <v>22</v>
      </c>
      <c r="C223">
        <v>55</v>
      </c>
      <c r="D223" t="s">
        <v>40</v>
      </c>
      <c r="E223" t="s">
        <v>76</v>
      </c>
      <c r="F223" t="s">
        <v>415</v>
      </c>
      <c r="G223" t="s">
        <v>438</v>
      </c>
      <c r="H223" t="s">
        <v>88</v>
      </c>
      <c r="I223" t="s">
        <v>22</v>
      </c>
      <c r="J223" t="b">
        <v>0</v>
      </c>
      <c r="K223" t="b">
        <v>1</v>
      </c>
      <c r="L223" t="s">
        <v>80</v>
      </c>
      <c r="M223" t="s">
        <v>81</v>
      </c>
      <c r="O223" t="s">
        <v>89</v>
      </c>
      <c r="P223">
        <v>76</v>
      </c>
      <c r="Q223">
        <v>46223</v>
      </c>
      <c r="R223">
        <v>46250</v>
      </c>
      <c r="S223">
        <v>2</v>
      </c>
      <c r="T223">
        <v>152</v>
      </c>
      <c r="U223">
        <v>20</v>
      </c>
      <c r="V223">
        <v>20</v>
      </c>
      <c r="W223">
        <v>20</v>
      </c>
      <c r="X223">
        <v>20</v>
      </c>
      <c r="Y223" t="s">
        <v>89</v>
      </c>
      <c r="Z223" t="s">
        <v>438</v>
      </c>
      <c r="AA223" t="str">
        <f>MasterStaffList_All[[#This Row],[Facility]]&amp;MasterStaffList_All[[#This Row],[Role]]&amp;MasterStaffList_All[[#This Row],[Resource]]</f>
        <v>TEAIN55</v>
      </c>
    </row>
    <row r="224" spans="1:27" hidden="1" x14ac:dyDescent="0.25">
      <c r="A224" t="s">
        <v>544</v>
      </c>
      <c r="B224" t="s">
        <v>22</v>
      </c>
      <c r="C224">
        <v>56</v>
      </c>
      <c r="E224" t="s">
        <v>76</v>
      </c>
      <c r="F224" t="s">
        <v>545</v>
      </c>
      <c r="G224" t="s">
        <v>438</v>
      </c>
      <c r="H224" t="s">
        <v>88</v>
      </c>
      <c r="I224" t="s">
        <v>22</v>
      </c>
      <c r="J224" t="b">
        <v>1</v>
      </c>
      <c r="K224" t="b">
        <v>0</v>
      </c>
      <c r="L224" t="s">
        <v>92</v>
      </c>
      <c r="M224" t="s">
        <v>81</v>
      </c>
      <c r="O224" t="s">
        <v>89</v>
      </c>
      <c r="P224">
        <v>76</v>
      </c>
      <c r="Q224">
        <v>46223</v>
      </c>
      <c r="R224">
        <v>46250</v>
      </c>
      <c r="S224">
        <v>2</v>
      </c>
      <c r="T224">
        <v>152</v>
      </c>
      <c r="U224">
        <v>20</v>
      </c>
      <c r="V224">
        <v>20</v>
      </c>
      <c r="W224">
        <v>20</v>
      </c>
      <c r="X224">
        <v>20</v>
      </c>
      <c r="Y224" t="s">
        <v>89</v>
      </c>
      <c r="Z224" t="s">
        <v>438</v>
      </c>
      <c r="AA224" t="str">
        <f>MasterStaffList_All[[#This Row],[Facility]]&amp;MasterStaffList_All[[#This Row],[Role]]&amp;MasterStaffList_All[[#This Row],[Resource]]</f>
        <v>TEAIN56</v>
      </c>
    </row>
    <row r="225" spans="1:27" hidden="1" x14ac:dyDescent="0.25">
      <c r="A225" t="s">
        <v>546</v>
      </c>
      <c r="B225" t="s">
        <v>22</v>
      </c>
      <c r="C225">
        <v>57</v>
      </c>
      <c r="E225" t="s">
        <v>76</v>
      </c>
      <c r="F225" t="s">
        <v>547</v>
      </c>
      <c r="G225" t="s">
        <v>438</v>
      </c>
      <c r="H225" t="s">
        <v>79</v>
      </c>
      <c r="I225" t="s">
        <v>22</v>
      </c>
      <c r="J225" t="b">
        <v>1</v>
      </c>
      <c r="K225" t="b">
        <v>0</v>
      </c>
      <c r="L225" t="s">
        <v>92</v>
      </c>
      <c r="M225" t="s">
        <v>81</v>
      </c>
      <c r="O225" t="s">
        <v>82</v>
      </c>
      <c r="P225">
        <v>32</v>
      </c>
      <c r="Q225">
        <v>46223</v>
      </c>
      <c r="R225">
        <v>46250</v>
      </c>
      <c r="S225">
        <v>2</v>
      </c>
      <c r="T225">
        <v>64</v>
      </c>
      <c r="U225">
        <v>8.4210526315789469</v>
      </c>
      <c r="V225">
        <v>8</v>
      </c>
      <c r="W225">
        <v>20</v>
      </c>
      <c r="X225">
        <v>8</v>
      </c>
      <c r="Y225" t="s">
        <v>83</v>
      </c>
      <c r="Z225" t="s">
        <v>438</v>
      </c>
      <c r="AA225" t="str">
        <f>MasterStaffList_All[[#This Row],[Facility]]&amp;MasterStaffList_All[[#This Row],[Role]]&amp;MasterStaffList_All[[#This Row],[Resource]]</f>
        <v>TEAIN57</v>
      </c>
    </row>
    <row r="226" spans="1:27" hidden="1" x14ac:dyDescent="0.25">
      <c r="A226" t="s">
        <v>548</v>
      </c>
      <c r="B226" t="s">
        <v>22</v>
      </c>
      <c r="C226">
        <v>58</v>
      </c>
      <c r="E226" t="s">
        <v>76</v>
      </c>
      <c r="F226" t="s">
        <v>549</v>
      </c>
      <c r="G226" t="s">
        <v>438</v>
      </c>
      <c r="H226" t="s">
        <v>88</v>
      </c>
      <c r="I226" t="s">
        <v>22</v>
      </c>
      <c r="J226" t="b">
        <v>1</v>
      </c>
      <c r="K226" t="b">
        <v>0</v>
      </c>
      <c r="L226" t="s">
        <v>92</v>
      </c>
      <c r="M226" t="s">
        <v>81</v>
      </c>
      <c r="O226" t="s">
        <v>89</v>
      </c>
      <c r="P226">
        <v>76</v>
      </c>
      <c r="Q226">
        <v>46223</v>
      </c>
      <c r="R226">
        <v>46250</v>
      </c>
      <c r="S226">
        <v>2</v>
      </c>
      <c r="T226">
        <v>152</v>
      </c>
      <c r="U226">
        <v>20</v>
      </c>
      <c r="V226">
        <v>20</v>
      </c>
      <c r="W226">
        <v>20</v>
      </c>
      <c r="X226">
        <v>20</v>
      </c>
      <c r="Y226" t="s">
        <v>89</v>
      </c>
      <c r="Z226" t="s">
        <v>438</v>
      </c>
      <c r="AA226" t="str">
        <f>MasterStaffList_All[[#This Row],[Facility]]&amp;MasterStaffList_All[[#This Row],[Role]]&amp;MasterStaffList_All[[#This Row],[Resource]]</f>
        <v>TEAIN58</v>
      </c>
    </row>
    <row r="227" spans="1:27" hidden="1" x14ac:dyDescent="0.25">
      <c r="A227" t="s">
        <v>550</v>
      </c>
      <c r="B227" t="s">
        <v>22</v>
      </c>
      <c r="C227">
        <v>59</v>
      </c>
      <c r="E227" t="s">
        <v>76</v>
      </c>
      <c r="F227" t="s">
        <v>551</v>
      </c>
      <c r="G227" t="s">
        <v>438</v>
      </c>
      <c r="H227" t="s">
        <v>88</v>
      </c>
      <c r="I227" t="s">
        <v>22</v>
      </c>
      <c r="J227" t="b">
        <v>1</v>
      </c>
      <c r="K227" t="b">
        <v>0</v>
      </c>
      <c r="L227" t="s">
        <v>92</v>
      </c>
      <c r="M227" t="s">
        <v>81</v>
      </c>
      <c r="O227" t="s">
        <v>89</v>
      </c>
      <c r="P227">
        <v>76</v>
      </c>
      <c r="Q227">
        <v>46223</v>
      </c>
      <c r="R227">
        <v>46250</v>
      </c>
      <c r="S227">
        <v>2</v>
      </c>
      <c r="T227">
        <v>152</v>
      </c>
      <c r="U227">
        <v>20</v>
      </c>
      <c r="V227">
        <v>20</v>
      </c>
      <c r="W227">
        <v>20</v>
      </c>
      <c r="X227">
        <v>20</v>
      </c>
      <c r="Y227" t="s">
        <v>89</v>
      </c>
      <c r="Z227" t="s">
        <v>438</v>
      </c>
      <c r="AA227" t="str">
        <f>MasterStaffList_All[[#This Row],[Facility]]&amp;MasterStaffList_All[[#This Row],[Role]]&amp;MasterStaffList_All[[#This Row],[Resource]]</f>
        <v>TEAIN59</v>
      </c>
    </row>
    <row r="228" spans="1:27" hidden="1" x14ac:dyDescent="0.25">
      <c r="A228" t="s">
        <v>552</v>
      </c>
      <c r="B228" t="s">
        <v>22</v>
      </c>
      <c r="C228">
        <v>60</v>
      </c>
      <c r="E228" t="s">
        <v>76</v>
      </c>
      <c r="F228" t="s">
        <v>553</v>
      </c>
      <c r="G228" t="s">
        <v>438</v>
      </c>
      <c r="H228" t="s">
        <v>79</v>
      </c>
      <c r="I228" t="s">
        <v>22</v>
      </c>
      <c r="J228" t="b">
        <v>1</v>
      </c>
      <c r="K228" t="b">
        <v>1</v>
      </c>
      <c r="L228" t="s">
        <v>95</v>
      </c>
      <c r="M228" t="s">
        <v>81</v>
      </c>
      <c r="O228" t="s">
        <v>82</v>
      </c>
      <c r="P228">
        <v>64</v>
      </c>
      <c r="Q228">
        <v>46223</v>
      </c>
      <c r="R228">
        <v>46250</v>
      </c>
      <c r="S228">
        <v>2</v>
      </c>
      <c r="T228">
        <v>128</v>
      </c>
      <c r="U228">
        <v>16.842105263157894</v>
      </c>
      <c r="V228">
        <v>16</v>
      </c>
      <c r="W228">
        <v>20</v>
      </c>
      <c r="X228">
        <v>16</v>
      </c>
      <c r="Y228" t="s">
        <v>83</v>
      </c>
      <c r="Z228" t="s">
        <v>438</v>
      </c>
      <c r="AA228" t="str">
        <f>MasterStaffList_All[[#This Row],[Facility]]&amp;MasterStaffList_All[[#This Row],[Role]]&amp;MasterStaffList_All[[#This Row],[Resource]]</f>
        <v>TEAIN60</v>
      </c>
    </row>
    <row r="229" spans="1:27" hidden="1" x14ac:dyDescent="0.25">
      <c r="A229" t="s">
        <v>554</v>
      </c>
      <c r="B229" t="s">
        <v>22</v>
      </c>
      <c r="C229">
        <v>61</v>
      </c>
      <c r="E229" t="s">
        <v>76</v>
      </c>
      <c r="F229" t="s">
        <v>555</v>
      </c>
      <c r="G229" t="s">
        <v>438</v>
      </c>
      <c r="H229" t="s">
        <v>79</v>
      </c>
      <c r="I229" t="s">
        <v>22</v>
      </c>
      <c r="J229" t="b">
        <v>1</v>
      </c>
      <c r="K229" t="b">
        <v>1</v>
      </c>
      <c r="L229" t="s">
        <v>95</v>
      </c>
      <c r="M229" t="s">
        <v>81</v>
      </c>
      <c r="O229" t="s">
        <v>82</v>
      </c>
      <c r="P229">
        <v>64</v>
      </c>
      <c r="Q229">
        <v>46223</v>
      </c>
      <c r="R229">
        <v>46250</v>
      </c>
      <c r="S229">
        <v>2</v>
      </c>
      <c r="T229">
        <v>128</v>
      </c>
      <c r="U229">
        <v>16.842105263157894</v>
      </c>
      <c r="V229">
        <v>16</v>
      </c>
      <c r="W229">
        <v>20</v>
      </c>
      <c r="X229">
        <v>16</v>
      </c>
      <c r="Y229" t="s">
        <v>83</v>
      </c>
      <c r="Z229" t="s">
        <v>438</v>
      </c>
      <c r="AA229" t="str">
        <f>MasterStaffList_All[[#This Row],[Facility]]&amp;MasterStaffList_All[[#This Row],[Role]]&amp;MasterStaffList_All[[#This Row],[Resource]]</f>
        <v>TEAIN61</v>
      </c>
    </row>
    <row r="230" spans="1:27" hidden="1" x14ac:dyDescent="0.25">
      <c r="A230" t="s">
        <v>556</v>
      </c>
      <c r="B230" t="s">
        <v>22</v>
      </c>
      <c r="C230">
        <v>62</v>
      </c>
      <c r="D230" t="s">
        <v>40</v>
      </c>
      <c r="E230" t="s">
        <v>76</v>
      </c>
      <c r="F230" t="s">
        <v>557</v>
      </c>
      <c r="G230" t="s">
        <v>438</v>
      </c>
      <c r="H230" t="s">
        <v>110</v>
      </c>
      <c r="I230" t="s">
        <v>22</v>
      </c>
      <c r="J230" t="b">
        <v>0</v>
      </c>
      <c r="K230" t="b">
        <v>1</v>
      </c>
      <c r="L230" t="s">
        <v>80</v>
      </c>
      <c r="M230" t="s">
        <v>81</v>
      </c>
      <c r="O230" t="s">
        <v>82</v>
      </c>
      <c r="P230">
        <v>76</v>
      </c>
      <c r="Q230">
        <v>46223</v>
      </c>
      <c r="R230">
        <v>46250</v>
      </c>
      <c r="S230">
        <v>2</v>
      </c>
      <c r="T230">
        <v>152</v>
      </c>
      <c r="U230">
        <v>20</v>
      </c>
      <c r="V230">
        <v>20</v>
      </c>
      <c r="W230">
        <v>20</v>
      </c>
      <c r="X230">
        <v>20</v>
      </c>
      <c r="Y230" t="s">
        <v>111</v>
      </c>
      <c r="Z230" t="s">
        <v>438</v>
      </c>
      <c r="AA230" t="str">
        <f>MasterStaffList_All[[#This Row],[Facility]]&amp;MasterStaffList_All[[#This Row],[Role]]&amp;MasterStaffList_All[[#This Row],[Resource]]</f>
        <v>TEAIN62</v>
      </c>
    </row>
    <row r="231" spans="1:27" hidden="1" x14ac:dyDescent="0.25">
      <c r="A231" t="s">
        <v>558</v>
      </c>
      <c r="B231" t="s">
        <v>22</v>
      </c>
      <c r="C231">
        <v>63</v>
      </c>
      <c r="D231" t="s">
        <v>40</v>
      </c>
      <c r="E231" t="s">
        <v>76</v>
      </c>
      <c r="F231" t="s">
        <v>559</v>
      </c>
      <c r="G231" t="s">
        <v>438</v>
      </c>
      <c r="H231" t="s">
        <v>79</v>
      </c>
      <c r="I231" t="s">
        <v>22</v>
      </c>
      <c r="J231" t="b">
        <v>1</v>
      </c>
      <c r="K231" t="b">
        <v>0</v>
      </c>
      <c r="L231" t="s">
        <v>92</v>
      </c>
      <c r="M231" t="s">
        <v>81</v>
      </c>
      <c r="O231" t="s">
        <v>82</v>
      </c>
      <c r="P231">
        <v>60</v>
      </c>
      <c r="Q231">
        <v>46223</v>
      </c>
      <c r="R231">
        <v>46250</v>
      </c>
      <c r="S231">
        <v>2</v>
      </c>
      <c r="T231">
        <v>120</v>
      </c>
      <c r="U231">
        <v>15.789473684210527</v>
      </c>
      <c r="V231">
        <v>15</v>
      </c>
      <c r="W231">
        <v>20</v>
      </c>
      <c r="X231">
        <v>15</v>
      </c>
      <c r="Y231" t="s">
        <v>83</v>
      </c>
      <c r="Z231" t="s">
        <v>438</v>
      </c>
      <c r="AA231" t="str">
        <f>MasterStaffList_All[[#This Row],[Facility]]&amp;MasterStaffList_All[[#This Row],[Role]]&amp;MasterStaffList_All[[#This Row],[Resource]]</f>
        <v>TEAIN63</v>
      </c>
    </row>
    <row r="232" spans="1:27" hidden="1" x14ac:dyDescent="0.25">
      <c r="A232" t="s">
        <v>562</v>
      </c>
      <c r="B232" t="s">
        <v>22</v>
      </c>
      <c r="C232">
        <v>65</v>
      </c>
      <c r="D232" t="s">
        <v>40</v>
      </c>
      <c r="E232" t="s">
        <v>76</v>
      </c>
      <c r="F232" t="s">
        <v>563</v>
      </c>
      <c r="G232" t="s">
        <v>438</v>
      </c>
      <c r="H232" t="s">
        <v>88</v>
      </c>
      <c r="I232" t="s">
        <v>22</v>
      </c>
      <c r="J232" t="b">
        <v>0</v>
      </c>
      <c r="K232" t="b">
        <v>1</v>
      </c>
      <c r="L232" t="s">
        <v>80</v>
      </c>
      <c r="M232" t="s">
        <v>81</v>
      </c>
      <c r="O232" t="s">
        <v>89</v>
      </c>
      <c r="P232">
        <v>76</v>
      </c>
      <c r="Q232">
        <v>46223</v>
      </c>
      <c r="R232">
        <v>46250</v>
      </c>
      <c r="S232">
        <v>2</v>
      </c>
      <c r="T232">
        <v>152</v>
      </c>
      <c r="U232">
        <v>20</v>
      </c>
      <c r="V232">
        <v>20</v>
      </c>
      <c r="W232">
        <v>20</v>
      </c>
      <c r="X232">
        <v>20</v>
      </c>
      <c r="Y232" t="s">
        <v>89</v>
      </c>
      <c r="Z232" t="s">
        <v>438</v>
      </c>
      <c r="AA232" t="str">
        <f>MasterStaffList_All[[#This Row],[Facility]]&amp;MasterStaffList_All[[#This Row],[Role]]&amp;MasterStaffList_All[[#This Row],[Resource]]</f>
        <v>TEAIN65</v>
      </c>
    </row>
    <row r="233" spans="1:27" hidden="1" x14ac:dyDescent="0.25">
      <c r="A233" t="s">
        <v>564</v>
      </c>
      <c r="B233" t="s">
        <v>22</v>
      </c>
      <c r="C233">
        <v>66</v>
      </c>
      <c r="D233" t="s">
        <v>40</v>
      </c>
      <c r="E233" t="s">
        <v>76</v>
      </c>
      <c r="F233" t="s">
        <v>565</v>
      </c>
      <c r="G233" t="s">
        <v>438</v>
      </c>
      <c r="H233" t="s">
        <v>88</v>
      </c>
      <c r="I233" t="s">
        <v>22</v>
      </c>
      <c r="J233" t="b">
        <v>0</v>
      </c>
      <c r="K233" t="b">
        <v>1</v>
      </c>
      <c r="L233" t="s">
        <v>80</v>
      </c>
      <c r="M233" t="s">
        <v>81</v>
      </c>
      <c r="O233" t="s">
        <v>89</v>
      </c>
      <c r="P233">
        <v>76</v>
      </c>
      <c r="Q233">
        <v>46223</v>
      </c>
      <c r="R233">
        <v>46250</v>
      </c>
      <c r="S233">
        <v>2</v>
      </c>
      <c r="T233">
        <v>152</v>
      </c>
      <c r="U233">
        <v>20</v>
      </c>
      <c r="V233">
        <v>20</v>
      </c>
      <c r="W233">
        <v>20</v>
      </c>
      <c r="X233">
        <v>20</v>
      </c>
      <c r="Y233" t="s">
        <v>89</v>
      </c>
      <c r="Z233" t="s">
        <v>438</v>
      </c>
      <c r="AA233" t="str">
        <f>MasterStaffList_All[[#This Row],[Facility]]&amp;MasterStaffList_All[[#This Row],[Role]]&amp;MasterStaffList_All[[#This Row],[Resource]]</f>
        <v>TEAIN66</v>
      </c>
    </row>
    <row r="234" spans="1:27" hidden="1" x14ac:dyDescent="0.25">
      <c r="A234" t="s">
        <v>566</v>
      </c>
      <c r="B234" t="s">
        <v>22</v>
      </c>
      <c r="C234">
        <v>67</v>
      </c>
      <c r="D234" t="s">
        <v>40</v>
      </c>
      <c r="E234" t="s">
        <v>76</v>
      </c>
      <c r="F234" t="s">
        <v>567</v>
      </c>
      <c r="G234" t="s">
        <v>438</v>
      </c>
      <c r="H234" t="s">
        <v>88</v>
      </c>
      <c r="I234" t="s">
        <v>22</v>
      </c>
      <c r="J234" t="b">
        <v>0</v>
      </c>
      <c r="K234" t="b">
        <v>1</v>
      </c>
      <c r="L234" t="s">
        <v>80</v>
      </c>
      <c r="M234" t="s">
        <v>81</v>
      </c>
      <c r="O234" t="s">
        <v>89</v>
      </c>
      <c r="P234">
        <v>76</v>
      </c>
      <c r="Q234">
        <v>46223</v>
      </c>
      <c r="R234">
        <v>46250</v>
      </c>
      <c r="S234">
        <v>2</v>
      </c>
      <c r="T234">
        <v>152</v>
      </c>
      <c r="U234">
        <v>20</v>
      </c>
      <c r="V234">
        <v>20</v>
      </c>
      <c r="W234">
        <v>20</v>
      </c>
      <c r="X234">
        <v>20</v>
      </c>
      <c r="Y234" t="s">
        <v>89</v>
      </c>
      <c r="Z234" t="s">
        <v>438</v>
      </c>
      <c r="AA234" t="str">
        <f>MasterStaffList_All[[#This Row],[Facility]]&amp;MasterStaffList_All[[#This Row],[Role]]&amp;MasterStaffList_All[[#This Row],[Resource]]</f>
        <v>TEAIN67</v>
      </c>
    </row>
    <row r="235" spans="1:27" hidden="1" x14ac:dyDescent="0.25">
      <c r="A235" t="s">
        <v>568</v>
      </c>
      <c r="B235" t="s">
        <v>22</v>
      </c>
      <c r="C235">
        <v>68</v>
      </c>
      <c r="E235" t="s">
        <v>76</v>
      </c>
      <c r="F235" t="s">
        <v>569</v>
      </c>
      <c r="G235" t="s">
        <v>438</v>
      </c>
      <c r="H235" t="s">
        <v>110</v>
      </c>
      <c r="I235" t="s">
        <v>22</v>
      </c>
      <c r="J235" t="b">
        <v>1</v>
      </c>
      <c r="K235" t="b">
        <v>1</v>
      </c>
      <c r="L235" t="s">
        <v>95</v>
      </c>
      <c r="M235" t="s">
        <v>81</v>
      </c>
      <c r="O235" t="s">
        <v>82</v>
      </c>
      <c r="P235">
        <v>76</v>
      </c>
      <c r="Q235">
        <v>46223</v>
      </c>
      <c r="R235">
        <v>46250</v>
      </c>
      <c r="S235">
        <v>2</v>
      </c>
      <c r="T235">
        <v>152</v>
      </c>
      <c r="U235">
        <v>20</v>
      </c>
      <c r="V235">
        <v>20</v>
      </c>
      <c r="W235">
        <v>20</v>
      </c>
      <c r="X235">
        <v>20</v>
      </c>
      <c r="Y235" t="s">
        <v>111</v>
      </c>
      <c r="Z235" t="s">
        <v>438</v>
      </c>
      <c r="AA235" t="str">
        <f>MasterStaffList_All[[#This Row],[Facility]]&amp;MasterStaffList_All[[#This Row],[Role]]&amp;MasterStaffList_All[[#This Row],[Resource]]</f>
        <v>TEAIN68</v>
      </c>
    </row>
    <row r="236" spans="1:27" hidden="1" x14ac:dyDescent="0.25">
      <c r="A236" t="s">
        <v>570</v>
      </c>
      <c r="B236" t="s">
        <v>22</v>
      </c>
      <c r="C236">
        <v>69</v>
      </c>
      <c r="E236" t="s">
        <v>76</v>
      </c>
      <c r="F236" t="s">
        <v>571</v>
      </c>
      <c r="G236" t="s">
        <v>438</v>
      </c>
      <c r="H236" t="s">
        <v>110</v>
      </c>
      <c r="I236" t="s">
        <v>22</v>
      </c>
      <c r="J236" t="b">
        <v>1</v>
      </c>
      <c r="K236" t="b">
        <v>0</v>
      </c>
      <c r="L236" t="s">
        <v>92</v>
      </c>
      <c r="M236" t="s">
        <v>81</v>
      </c>
      <c r="O236" t="s">
        <v>82</v>
      </c>
      <c r="P236">
        <v>76</v>
      </c>
      <c r="Q236">
        <v>46223</v>
      </c>
      <c r="R236">
        <v>46250</v>
      </c>
      <c r="S236">
        <v>2</v>
      </c>
      <c r="T236">
        <v>152</v>
      </c>
      <c r="U236">
        <v>20</v>
      </c>
      <c r="V236">
        <v>20</v>
      </c>
      <c r="W236">
        <v>20</v>
      </c>
      <c r="X236">
        <v>20</v>
      </c>
      <c r="Y236" t="s">
        <v>111</v>
      </c>
      <c r="Z236" t="s">
        <v>438</v>
      </c>
      <c r="AA236" t="str">
        <f>MasterStaffList_All[[#This Row],[Facility]]&amp;MasterStaffList_All[[#This Row],[Role]]&amp;MasterStaffList_All[[#This Row],[Resource]]</f>
        <v>TEAIN69</v>
      </c>
    </row>
    <row r="237" spans="1:27" hidden="1" x14ac:dyDescent="0.25">
      <c r="A237" t="s">
        <v>574</v>
      </c>
      <c r="B237" t="s">
        <v>22</v>
      </c>
      <c r="C237">
        <v>71</v>
      </c>
      <c r="E237" t="s">
        <v>76</v>
      </c>
      <c r="F237" t="s">
        <v>575</v>
      </c>
      <c r="G237" t="s">
        <v>438</v>
      </c>
      <c r="H237" t="s">
        <v>88</v>
      </c>
      <c r="I237" t="s">
        <v>22</v>
      </c>
      <c r="J237" t="b">
        <v>1</v>
      </c>
      <c r="K237" t="b">
        <v>0</v>
      </c>
      <c r="L237" t="s">
        <v>92</v>
      </c>
      <c r="M237" t="s">
        <v>81</v>
      </c>
      <c r="O237" t="s">
        <v>89</v>
      </c>
      <c r="P237">
        <v>76</v>
      </c>
      <c r="Q237">
        <v>46223</v>
      </c>
      <c r="R237">
        <v>46250</v>
      </c>
      <c r="S237">
        <v>2</v>
      </c>
      <c r="T237">
        <v>152</v>
      </c>
      <c r="U237">
        <v>20</v>
      </c>
      <c r="V237">
        <v>20</v>
      </c>
      <c r="W237">
        <v>20</v>
      </c>
      <c r="X237">
        <v>20</v>
      </c>
      <c r="Y237" t="s">
        <v>89</v>
      </c>
      <c r="Z237" t="s">
        <v>438</v>
      </c>
      <c r="AA237" t="str">
        <f>MasterStaffList_All[[#This Row],[Facility]]&amp;MasterStaffList_All[[#This Row],[Role]]&amp;MasterStaffList_All[[#This Row],[Resource]]</f>
        <v>TEAIN71</v>
      </c>
    </row>
    <row r="238" spans="1:27" hidden="1" x14ac:dyDescent="0.25">
      <c r="A238" t="s">
        <v>451</v>
      </c>
      <c r="B238" t="s">
        <v>22</v>
      </c>
      <c r="C238">
        <v>8</v>
      </c>
      <c r="E238" t="s">
        <v>76</v>
      </c>
      <c r="F238" t="s">
        <v>452</v>
      </c>
      <c r="G238" t="s">
        <v>438</v>
      </c>
      <c r="H238" t="s">
        <v>79</v>
      </c>
      <c r="I238" t="s">
        <v>22</v>
      </c>
      <c r="J238" t="b">
        <v>1</v>
      </c>
      <c r="K238" t="b">
        <v>1</v>
      </c>
      <c r="L238" t="s">
        <v>95</v>
      </c>
      <c r="M238" t="s">
        <v>81</v>
      </c>
      <c r="O238" t="s">
        <v>82</v>
      </c>
      <c r="P238">
        <v>64</v>
      </c>
      <c r="Q238">
        <v>46223</v>
      </c>
      <c r="R238">
        <v>46250</v>
      </c>
      <c r="S238">
        <v>2</v>
      </c>
      <c r="T238">
        <v>128</v>
      </c>
      <c r="U238">
        <v>16.842105263157894</v>
      </c>
      <c r="V238">
        <v>16</v>
      </c>
      <c r="W238">
        <v>20</v>
      </c>
      <c r="X238">
        <v>16</v>
      </c>
      <c r="Y238" t="s">
        <v>83</v>
      </c>
      <c r="Z238" t="s">
        <v>438</v>
      </c>
      <c r="AA238" t="str">
        <f>MasterStaffList_All[[#This Row],[Facility]]&amp;MasterStaffList_All[[#This Row],[Role]]&amp;MasterStaffList_All[[#This Row],[Resource]]</f>
        <v>TEAIN8</v>
      </c>
    </row>
    <row r="239" spans="1:27" hidden="1" x14ac:dyDescent="0.25">
      <c r="A239" t="s">
        <v>453</v>
      </c>
      <c r="B239" t="s">
        <v>22</v>
      </c>
      <c r="C239">
        <v>9</v>
      </c>
      <c r="E239" t="s">
        <v>76</v>
      </c>
      <c r="F239" t="s">
        <v>454</v>
      </c>
      <c r="G239" t="s">
        <v>438</v>
      </c>
      <c r="H239" t="s">
        <v>88</v>
      </c>
      <c r="I239" t="s">
        <v>22</v>
      </c>
      <c r="J239" t="b">
        <v>1</v>
      </c>
      <c r="K239" t="b">
        <v>0</v>
      </c>
      <c r="L239" t="s">
        <v>92</v>
      </c>
      <c r="M239" t="s">
        <v>81</v>
      </c>
      <c r="O239" t="s">
        <v>89</v>
      </c>
      <c r="P239">
        <v>76</v>
      </c>
      <c r="Q239">
        <v>46223</v>
      </c>
      <c r="R239">
        <v>46250</v>
      </c>
      <c r="S239">
        <v>2</v>
      </c>
      <c r="T239">
        <v>152</v>
      </c>
      <c r="U239">
        <v>20</v>
      </c>
      <c r="V239">
        <v>20</v>
      </c>
      <c r="W239">
        <v>20</v>
      </c>
      <c r="X239">
        <v>20</v>
      </c>
      <c r="Y239" t="s">
        <v>89</v>
      </c>
      <c r="Z239" t="s">
        <v>438</v>
      </c>
      <c r="AA239" t="str">
        <f>MasterStaffList_All[[#This Row],[Facility]]&amp;MasterStaffList_All[[#This Row],[Role]]&amp;MasterStaffList_All[[#This Row],[Resource]]</f>
        <v>TEAIN9</v>
      </c>
    </row>
    <row r="240" spans="1:27" hidden="1" x14ac:dyDescent="0.25">
      <c r="A240" t="s">
        <v>481</v>
      </c>
      <c r="B240" t="s">
        <v>31</v>
      </c>
      <c r="C240">
        <v>23</v>
      </c>
      <c r="E240" t="s">
        <v>76</v>
      </c>
      <c r="F240" t="s">
        <v>482</v>
      </c>
      <c r="G240" t="s">
        <v>438</v>
      </c>
      <c r="H240" t="s">
        <v>110</v>
      </c>
      <c r="I240" t="s">
        <v>31</v>
      </c>
      <c r="J240" t="b">
        <v>1</v>
      </c>
      <c r="K240" t="b">
        <v>0</v>
      </c>
      <c r="L240" t="s">
        <v>92</v>
      </c>
      <c r="M240" t="s">
        <v>81</v>
      </c>
      <c r="O240" t="s">
        <v>82</v>
      </c>
      <c r="P240">
        <v>76</v>
      </c>
      <c r="Q240">
        <v>46223</v>
      </c>
      <c r="R240">
        <v>46250</v>
      </c>
      <c r="S240">
        <v>2</v>
      </c>
      <c r="T240">
        <v>152</v>
      </c>
      <c r="U240">
        <v>20</v>
      </c>
      <c r="V240">
        <v>20</v>
      </c>
      <c r="W240">
        <v>20</v>
      </c>
      <c r="X240">
        <v>20</v>
      </c>
      <c r="Y240" t="s">
        <v>111</v>
      </c>
      <c r="Z240" t="s">
        <v>438</v>
      </c>
      <c r="AA240" t="str">
        <f>MasterStaffList_All[[#This Row],[Facility]]&amp;MasterStaffList_All[[#This Row],[Role]]&amp;MasterStaffList_All[[#This Row],[Resource]]</f>
        <v>TEEN23</v>
      </c>
    </row>
    <row r="241" spans="1:27" hidden="1" x14ac:dyDescent="0.25">
      <c r="A241" t="s">
        <v>487</v>
      </c>
      <c r="B241" t="s">
        <v>31</v>
      </c>
      <c r="C241">
        <v>26</v>
      </c>
      <c r="E241" t="s">
        <v>76</v>
      </c>
      <c r="F241" t="s">
        <v>189</v>
      </c>
      <c r="G241" t="s">
        <v>438</v>
      </c>
      <c r="H241" t="s">
        <v>79</v>
      </c>
      <c r="I241" t="s">
        <v>31</v>
      </c>
      <c r="J241" t="b">
        <v>1</v>
      </c>
      <c r="K241" t="b">
        <v>1</v>
      </c>
      <c r="L241" t="s">
        <v>95</v>
      </c>
      <c r="M241" t="s">
        <v>81</v>
      </c>
      <c r="O241" t="s">
        <v>82</v>
      </c>
      <c r="P241">
        <v>72</v>
      </c>
      <c r="Q241">
        <v>46223</v>
      </c>
      <c r="R241">
        <v>46250</v>
      </c>
      <c r="S241">
        <v>2</v>
      </c>
      <c r="T241">
        <v>144</v>
      </c>
      <c r="U241">
        <v>18.947368421052634</v>
      </c>
      <c r="V241">
        <v>18</v>
      </c>
      <c r="W241">
        <v>20</v>
      </c>
      <c r="X241">
        <v>18</v>
      </c>
      <c r="Y241" t="s">
        <v>83</v>
      </c>
      <c r="Z241" t="s">
        <v>438</v>
      </c>
      <c r="AA241" t="str">
        <f>MasterStaffList_All[[#This Row],[Facility]]&amp;MasterStaffList_All[[#This Row],[Role]]&amp;MasterStaffList_All[[#This Row],[Resource]]</f>
        <v>TEEN26</v>
      </c>
    </row>
    <row r="242" spans="1:27" hidden="1" x14ac:dyDescent="0.25">
      <c r="A242" t="s">
        <v>560</v>
      </c>
      <c r="B242" t="s">
        <v>31</v>
      </c>
      <c r="C242">
        <v>64</v>
      </c>
      <c r="E242" t="s">
        <v>76</v>
      </c>
      <c r="F242" t="s">
        <v>561</v>
      </c>
      <c r="G242" t="s">
        <v>438</v>
      </c>
      <c r="H242" t="s">
        <v>88</v>
      </c>
      <c r="I242" t="s">
        <v>31</v>
      </c>
      <c r="J242" t="b">
        <v>1</v>
      </c>
      <c r="K242" t="b">
        <v>0</v>
      </c>
      <c r="L242" t="s">
        <v>92</v>
      </c>
      <c r="M242" t="s">
        <v>81</v>
      </c>
      <c r="O242" t="s">
        <v>89</v>
      </c>
      <c r="P242">
        <v>76</v>
      </c>
      <c r="Q242">
        <v>46223</v>
      </c>
      <c r="R242">
        <v>46250</v>
      </c>
      <c r="S242">
        <v>2</v>
      </c>
      <c r="T242">
        <v>152</v>
      </c>
      <c r="U242">
        <v>20</v>
      </c>
      <c r="V242">
        <v>20</v>
      </c>
      <c r="W242">
        <v>20</v>
      </c>
      <c r="X242">
        <v>20</v>
      </c>
      <c r="Y242" t="s">
        <v>89</v>
      </c>
      <c r="Z242" t="s">
        <v>438</v>
      </c>
      <c r="AA242" t="str">
        <f>MasterStaffList_All[[#This Row],[Facility]]&amp;MasterStaffList_All[[#This Row],[Role]]&amp;MasterStaffList_All[[#This Row],[Resource]]</f>
        <v>TEEN64</v>
      </c>
    </row>
    <row r="243" spans="1:27" hidden="1" x14ac:dyDescent="0.25">
      <c r="A243" t="s">
        <v>449</v>
      </c>
      <c r="B243" t="s">
        <v>31</v>
      </c>
      <c r="C243">
        <v>7</v>
      </c>
      <c r="E243" t="s">
        <v>76</v>
      </c>
      <c r="F243" t="s">
        <v>450</v>
      </c>
      <c r="G243" t="s">
        <v>438</v>
      </c>
      <c r="H243" t="s">
        <v>79</v>
      </c>
      <c r="I243" t="s">
        <v>31</v>
      </c>
      <c r="J243" t="b">
        <v>1</v>
      </c>
      <c r="K243" t="b">
        <v>1</v>
      </c>
      <c r="L243" t="s">
        <v>95</v>
      </c>
      <c r="M243" t="s">
        <v>81</v>
      </c>
      <c r="O243" t="s">
        <v>82</v>
      </c>
      <c r="P243">
        <v>56</v>
      </c>
      <c r="Q243">
        <v>46223</v>
      </c>
      <c r="R243">
        <v>46250</v>
      </c>
      <c r="S243">
        <v>2</v>
      </c>
      <c r="T243">
        <v>112</v>
      </c>
      <c r="U243">
        <v>14.736842105263159</v>
      </c>
      <c r="V243">
        <v>14</v>
      </c>
      <c r="W243">
        <v>20</v>
      </c>
      <c r="X243">
        <v>14</v>
      </c>
      <c r="Y243" t="s">
        <v>83</v>
      </c>
      <c r="Z243" t="s">
        <v>438</v>
      </c>
      <c r="AA243" t="str">
        <f>MasterStaffList_All[[#This Row],[Facility]]&amp;MasterStaffList_All[[#This Row],[Role]]&amp;MasterStaffList_All[[#This Row],[Resource]]</f>
        <v>TEEN7</v>
      </c>
    </row>
    <row r="244" spans="1:27" hidden="1" x14ac:dyDescent="0.25">
      <c r="A244" t="s">
        <v>455</v>
      </c>
      <c r="B244" t="s">
        <v>29</v>
      </c>
      <c r="C244">
        <v>10</v>
      </c>
      <c r="E244" t="s">
        <v>76</v>
      </c>
      <c r="F244" t="s">
        <v>456</v>
      </c>
      <c r="G244" t="s">
        <v>438</v>
      </c>
      <c r="H244" t="s">
        <v>110</v>
      </c>
      <c r="I244" t="s">
        <v>29</v>
      </c>
      <c r="J244" t="b">
        <v>1</v>
      </c>
      <c r="K244" t="b">
        <v>1</v>
      </c>
      <c r="L244" t="s">
        <v>95</v>
      </c>
      <c r="M244" t="s">
        <v>81</v>
      </c>
      <c r="O244" t="s">
        <v>82</v>
      </c>
      <c r="P244">
        <v>76</v>
      </c>
      <c r="Q244">
        <v>46223</v>
      </c>
      <c r="R244">
        <v>46250</v>
      </c>
      <c r="S244">
        <v>2</v>
      </c>
      <c r="T244">
        <v>152</v>
      </c>
      <c r="U244">
        <v>20</v>
      </c>
      <c r="V244">
        <v>20</v>
      </c>
      <c r="W244">
        <v>20</v>
      </c>
      <c r="X244">
        <v>20</v>
      </c>
      <c r="Y244" t="s">
        <v>111</v>
      </c>
      <c r="Z244" t="s">
        <v>438</v>
      </c>
      <c r="AA244" t="str">
        <f>MasterStaffList_All[[#This Row],[Facility]]&amp;MasterStaffList_All[[#This Row],[Role]]&amp;MasterStaffList_All[[#This Row],[Resource]]</f>
        <v>TERN10</v>
      </c>
    </row>
    <row r="245" spans="1:27" hidden="1" x14ac:dyDescent="0.25">
      <c r="A245" t="s">
        <v>467</v>
      </c>
      <c r="B245" t="s">
        <v>29</v>
      </c>
      <c r="C245">
        <v>16</v>
      </c>
      <c r="E245" t="s">
        <v>76</v>
      </c>
      <c r="F245" t="s">
        <v>468</v>
      </c>
      <c r="G245" t="s">
        <v>438</v>
      </c>
      <c r="H245" t="s">
        <v>110</v>
      </c>
      <c r="I245" t="s">
        <v>29</v>
      </c>
      <c r="J245" t="b">
        <v>1</v>
      </c>
      <c r="K245" t="b">
        <v>1</v>
      </c>
      <c r="L245" t="s">
        <v>95</v>
      </c>
      <c r="M245" t="s">
        <v>81</v>
      </c>
      <c r="O245" t="s">
        <v>82</v>
      </c>
      <c r="P245">
        <v>76</v>
      </c>
      <c r="Q245">
        <v>46223</v>
      </c>
      <c r="R245">
        <v>46250</v>
      </c>
      <c r="S245">
        <v>2</v>
      </c>
      <c r="T245">
        <v>152</v>
      </c>
      <c r="U245">
        <v>20</v>
      </c>
      <c r="V245">
        <v>20</v>
      </c>
      <c r="W245">
        <v>20</v>
      </c>
      <c r="X245">
        <v>20</v>
      </c>
      <c r="Y245" t="s">
        <v>111</v>
      </c>
      <c r="Z245" t="s">
        <v>438</v>
      </c>
      <c r="AA245" t="str">
        <f>MasterStaffList_All[[#This Row],[Facility]]&amp;MasterStaffList_All[[#This Row],[Role]]&amp;MasterStaffList_All[[#This Row],[Resource]]</f>
        <v>TERN16</v>
      </c>
    </row>
    <row r="246" spans="1:27" hidden="1" x14ac:dyDescent="0.25">
      <c r="A246" t="s">
        <v>441</v>
      </c>
      <c r="B246" t="s">
        <v>29</v>
      </c>
      <c r="C246">
        <v>2</v>
      </c>
      <c r="E246" t="s">
        <v>76</v>
      </c>
      <c r="F246" t="s">
        <v>442</v>
      </c>
      <c r="G246" t="s">
        <v>438</v>
      </c>
      <c r="H246" t="s">
        <v>88</v>
      </c>
      <c r="I246" t="s">
        <v>29</v>
      </c>
      <c r="J246" t="b">
        <v>1</v>
      </c>
      <c r="K246" t="b">
        <v>0</v>
      </c>
      <c r="L246" t="s">
        <v>92</v>
      </c>
      <c r="M246" t="s">
        <v>81</v>
      </c>
      <c r="O246" t="s">
        <v>89</v>
      </c>
      <c r="P246">
        <v>76</v>
      </c>
      <c r="Q246">
        <v>46223</v>
      </c>
      <c r="R246">
        <v>46250</v>
      </c>
      <c r="S246">
        <v>2</v>
      </c>
      <c r="T246">
        <v>152</v>
      </c>
      <c r="U246">
        <v>20</v>
      </c>
      <c r="V246">
        <v>20</v>
      </c>
      <c r="W246">
        <v>20</v>
      </c>
      <c r="X246">
        <v>20</v>
      </c>
      <c r="Y246" t="s">
        <v>89</v>
      </c>
      <c r="Z246" t="s">
        <v>438</v>
      </c>
      <c r="AA246" t="str">
        <f>MasterStaffList_All[[#This Row],[Facility]]&amp;MasterStaffList_All[[#This Row],[Role]]&amp;MasterStaffList_All[[#This Row],[Resource]]</f>
        <v>TERN2</v>
      </c>
    </row>
    <row r="247" spans="1:27" hidden="1" x14ac:dyDescent="0.25">
      <c r="A247" t="s">
        <v>508</v>
      </c>
      <c r="B247" t="s">
        <v>29</v>
      </c>
      <c r="C247">
        <v>37</v>
      </c>
      <c r="E247" t="s">
        <v>76</v>
      </c>
      <c r="F247" t="s">
        <v>509</v>
      </c>
      <c r="G247" t="s">
        <v>438</v>
      </c>
      <c r="H247" t="s">
        <v>110</v>
      </c>
      <c r="I247" t="s">
        <v>29</v>
      </c>
      <c r="J247" t="b">
        <v>1</v>
      </c>
      <c r="K247" t="b">
        <v>0</v>
      </c>
      <c r="L247" t="s">
        <v>92</v>
      </c>
      <c r="M247" t="s">
        <v>81</v>
      </c>
      <c r="O247" t="s">
        <v>82</v>
      </c>
      <c r="P247">
        <v>76</v>
      </c>
      <c r="Q247">
        <v>46223</v>
      </c>
      <c r="R247">
        <v>46250</v>
      </c>
      <c r="S247">
        <v>2</v>
      </c>
      <c r="T247">
        <v>152</v>
      </c>
      <c r="U247">
        <v>20</v>
      </c>
      <c r="V247">
        <v>20</v>
      </c>
      <c r="W247">
        <v>20</v>
      </c>
      <c r="X247">
        <v>20</v>
      </c>
      <c r="Y247" t="s">
        <v>111</v>
      </c>
      <c r="Z247" t="s">
        <v>438</v>
      </c>
      <c r="AA247" t="str">
        <f>MasterStaffList_All[[#This Row],[Facility]]&amp;MasterStaffList_All[[#This Row],[Role]]&amp;MasterStaffList_All[[#This Row],[Resource]]</f>
        <v>TERN37</v>
      </c>
    </row>
    <row r="248" spans="1:27" hidden="1" x14ac:dyDescent="0.25">
      <c r="A248" t="s">
        <v>522</v>
      </c>
      <c r="B248" t="s">
        <v>29</v>
      </c>
      <c r="C248">
        <v>44</v>
      </c>
      <c r="E248" t="s">
        <v>76</v>
      </c>
      <c r="F248" t="s">
        <v>523</v>
      </c>
      <c r="G248" t="s">
        <v>438</v>
      </c>
      <c r="H248" t="s">
        <v>79</v>
      </c>
      <c r="I248" t="s">
        <v>29</v>
      </c>
      <c r="J248" t="b">
        <v>1</v>
      </c>
      <c r="K248" t="b">
        <v>1</v>
      </c>
      <c r="L248" t="s">
        <v>95</v>
      </c>
      <c r="M248" t="s">
        <v>81</v>
      </c>
      <c r="O248" t="s">
        <v>82</v>
      </c>
      <c r="P248">
        <v>56</v>
      </c>
      <c r="Q248">
        <v>46223</v>
      </c>
      <c r="R248">
        <v>46250</v>
      </c>
      <c r="S248">
        <v>2</v>
      </c>
      <c r="T248">
        <v>112</v>
      </c>
      <c r="U248">
        <v>14.736842105263159</v>
      </c>
      <c r="V248">
        <v>14</v>
      </c>
      <c r="W248">
        <v>20</v>
      </c>
      <c r="X248">
        <v>14</v>
      </c>
      <c r="Y248" t="s">
        <v>83</v>
      </c>
      <c r="Z248" t="s">
        <v>438</v>
      </c>
      <c r="AA248" t="str">
        <f>MasterStaffList_All[[#This Row],[Facility]]&amp;MasterStaffList_All[[#This Row],[Role]]&amp;MasterStaffList_All[[#This Row],[Resource]]</f>
        <v>TERN44</v>
      </c>
    </row>
    <row r="249" spans="1:27" hidden="1" x14ac:dyDescent="0.25">
      <c r="A249" t="s">
        <v>526</v>
      </c>
      <c r="B249" t="s">
        <v>29</v>
      </c>
      <c r="C249">
        <v>46</v>
      </c>
      <c r="E249" t="s">
        <v>76</v>
      </c>
      <c r="F249" t="s">
        <v>527</v>
      </c>
      <c r="G249" t="s">
        <v>438</v>
      </c>
      <c r="H249" t="s">
        <v>79</v>
      </c>
      <c r="I249" t="s">
        <v>29</v>
      </c>
      <c r="J249" t="b">
        <v>1</v>
      </c>
      <c r="K249" t="b">
        <v>1</v>
      </c>
      <c r="L249" t="s">
        <v>95</v>
      </c>
      <c r="M249" t="s">
        <v>81</v>
      </c>
      <c r="O249" t="s">
        <v>82</v>
      </c>
      <c r="P249">
        <v>48</v>
      </c>
      <c r="Q249">
        <v>46223</v>
      </c>
      <c r="R249">
        <v>46250</v>
      </c>
      <c r="S249">
        <v>2</v>
      </c>
      <c r="T249">
        <v>96</v>
      </c>
      <c r="U249">
        <v>12.631578947368419</v>
      </c>
      <c r="V249">
        <v>12</v>
      </c>
      <c r="W249">
        <v>20</v>
      </c>
      <c r="X249">
        <v>12</v>
      </c>
      <c r="Y249" t="s">
        <v>83</v>
      </c>
      <c r="Z249" t="s">
        <v>438</v>
      </c>
      <c r="AA249" t="str">
        <f>MasterStaffList_All[[#This Row],[Facility]]&amp;MasterStaffList_All[[#This Row],[Role]]&amp;MasterStaffList_All[[#This Row],[Resource]]</f>
        <v>TERN46</v>
      </c>
    </row>
    <row r="250" spans="1:27" hidden="1" x14ac:dyDescent="0.25">
      <c r="A250" t="s">
        <v>534</v>
      </c>
      <c r="B250" t="s">
        <v>29</v>
      </c>
      <c r="C250">
        <v>50</v>
      </c>
      <c r="E250" t="s">
        <v>76</v>
      </c>
      <c r="F250" t="s">
        <v>535</v>
      </c>
      <c r="G250" t="s">
        <v>438</v>
      </c>
      <c r="H250" t="s">
        <v>110</v>
      </c>
      <c r="I250" t="s">
        <v>29</v>
      </c>
      <c r="J250" t="b">
        <v>1</v>
      </c>
      <c r="K250" t="b">
        <v>1</v>
      </c>
      <c r="L250" t="s">
        <v>95</v>
      </c>
      <c r="M250" t="s">
        <v>81</v>
      </c>
      <c r="O250" t="s">
        <v>82</v>
      </c>
      <c r="P250">
        <v>76</v>
      </c>
      <c r="Q250">
        <v>46223</v>
      </c>
      <c r="R250">
        <v>46250</v>
      </c>
      <c r="S250">
        <v>2</v>
      </c>
      <c r="T250">
        <v>152</v>
      </c>
      <c r="U250">
        <v>20</v>
      </c>
      <c r="V250">
        <v>20</v>
      </c>
      <c r="W250">
        <v>20</v>
      </c>
      <c r="X250">
        <v>20</v>
      </c>
      <c r="Y250" t="s">
        <v>111</v>
      </c>
      <c r="Z250" t="s">
        <v>438</v>
      </c>
      <c r="AA250" t="str">
        <f>MasterStaffList_All[[#This Row],[Facility]]&amp;MasterStaffList_All[[#This Row],[Role]]&amp;MasterStaffList_All[[#This Row],[Resource]]</f>
        <v>TERN50</v>
      </c>
    </row>
    <row r="251" spans="1:27" hidden="1" x14ac:dyDescent="0.25">
      <c r="A251" t="s">
        <v>447</v>
      </c>
      <c r="B251" t="s">
        <v>29</v>
      </c>
      <c r="C251">
        <v>6</v>
      </c>
      <c r="E251" t="s">
        <v>76</v>
      </c>
      <c r="F251" t="s">
        <v>448</v>
      </c>
      <c r="G251" t="s">
        <v>438</v>
      </c>
      <c r="H251" t="s">
        <v>110</v>
      </c>
      <c r="I251" t="s">
        <v>29</v>
      </c>
      <c r="J251" t="b">
        <v>1</v>
      </c>
      <c r="K251" t="b">
        <v>1</v>
      </c>
      <c r="L251" t="s">
        <v>95</v>
      </c>
      <c r="M251" t="s">
        <v>81</v>
      </c>
      <c r="O251" t="s">
        <v>82</v>
      </c>
      <c r="P251">
        <v>76</v>
      </c>
      <c r="Q251">
        <v>46223</v>
      </c>
      <c r="R251">
        <v>46250</v>
      </c>
      <c r="S251">
        <v>2</v>
      </c>
      <c r="T251">
        <v>152</v>
      </c>
      <c r="U251">
        <v>20</v>
      </c>
      <c r="V251">
        <v>20</v>
      </c>
      <c r="W251">
        <v>20</v>
      </c>
      <c r="X251">
        <v>20</v>
      </c>
      <c r="Y251" t="s">
        <v>111</v>
      </c>
      <c r="Z251" t="s">
        <v>438</v>
      </c>
      <c r="AA251" t="str">
        <f>MasterStaffList_All[[#This Row],[Facility]]&amp;MasterStaffList_All[[#This Row],[Role]]&amp;MasterStaffList_All[[#This Row],[Resource]]</f>
        <v>TERN6</v>
      </c>
    </row>
    <row r="252" spans="1:27" hidden="1" x14ac:dyDescent="0.25">
      <c r="A252" t="s">
        <v>572</v>
      </c>
      <c r="B252" t="s">
        <v>29</v>
      </c>
      <c r="C252">
        <v>70</v>
      </c>
      <c r="E252" t="s">
        <v>76</v>
      </c>
      <c r="F252" t="s">
        <v>573</v>
      </c>
      <c r="G252" t="s">
        <v>438</v>
      </c>
      <c r="H252" t="s">
        <v>110</v>
      </c>
      <c r="I252" t="s">
        <v>29</v>
      </c>
      <c r="J252" t="b">
        <v>1</v>
      </c>
      <c r="K252" t="b">
        <v>0</v>
      </c>
      <c r="L252" t="s">
        <v>92</v>
      </c>
      <c r="M252" t="s">
        <v>81</v>
      </c>
      <c r="O252" t="s">
        <v>82</v>
      </c>
      <c r="P252">
        <v>76</v>
      </c>
      <c r="Q252">
        <v>46223</v>
      </c>
      <c r="R252">
        <v>46250</v>
      </c>
      <c r="S252">
        <v>2</v>
      </c>
      <c r="T252">
        <v>152</v>
      </c>
      <c r="U252">
        <v>20</v>
      </c>
      <c r="V252">
        <v>20</v>
      </c>
      <c r="W252">
        <v>20</v>
      </c>
      <c r="X252">
        <v>20</v>
      </c>
      <c r="Y252" t="s">
        <v>111</v>
      </c>
      <c r="Z252" t="s">
        <v>438</v>
      </c>
      <c r="AA252" t="str">
        <f>MasterStaffList_All[[#This Row],[Facility]]&amp;MasterStaffList_All[[#This Row],[Role]]&amp;MasterStaffList_All[[#This Row],[Resource]]</f>
        <v>TERN70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F500-E299-4A2B-A296-829D78EDD7BE}">
  <dimension ref="A7:D39"/>
  <sheetViews>
    <sheetView workbookViewId="0">
      <selection activeCell="B22" sqref="B22"/>
    </sheetView>
  </sheetViews>
  <sheetFormatPr defaultColWidth="8" defaultRowHeight="12.75" x14ac:dyDescent="0.25"/>
  <cols>
    <col min="1" max="1" width="23.140625" style="2" customWidth="1"/>
    <col min="2" max="2" width="105.28515625" style="2" customWidth="1"/>
    <col min="3" max="3" width="23.28515625" style="2" customWidth="1"/>
    <col min="4" max="16384" width="8" style="2"/>
  </cols>
  <sheetData>
    <row r="7" spans="1:4" x14ac:dyDescent="0.25">
      <c r="A7" s="1"/>
      <c r="B7" s="1"/>
      <c r="C7" s="1"/>
      <c r="D7" s="1"/>
    </row>
    <row r="9" spans="1:4" x14ac:dyDescent="0.25">
      <c r="A9" s="3" t="s">
        <v>0</v>
      </c>
      <c r="B9" s="3" t="str" cm="1">
        <f t="array" aca="1" ref="B9" ca="1">CELL("filename",E16)</f>
        <v>C:\Users\Alex\CentriNOTSYNC\ResidentialCare\CLIENT\DATExx-Whiddon\2. Calculations\E-O-I\[StafMasterList-All.xlsx]FILEPATH-EffortALL</v>
      </c>
    </row>
    <row r="10" spans="1:4" x14ac:dyDescent="0.25">
      <c r="A10" s="3"/>
      <c r="B10" s="3"/>
    </row>
    <row r="11" spans="1:4" x14ac:dyDescent="0.25">
      <c r="A11" s="4"/>
      <c r="B11" s="3"/>
    </row>
    <row r="12" spans="1:4" x14ac:dyDescent="0.25">
      <c r="A12" s="3"/>
      <c r="B12" s="3"/>
    </row>
    <row r="13" spans="1:4" x14ac:dyDescent="0.25">
      <c r="A13" s="3"/>
      <c r="B13" s="3"/>
    </row>
    <row r="14" spans="1:4" x14ac:dyDescent="0.25">
      <c r="A14" s="5" t="s">
        <v>1</v>
      </c>
      <c r="B14" s="5" t="str" cm="1">
        <f t="array" ref="B14">[4]!Computerpath</f>
        <v>C:\Users\Alex\Centri\4. Production - Documents\WFEffectiveness\4.1.1 AGED CARE\01 Christadelphian Aged Care\240715</v>
      </c>
      <c r="D14" s="2" t="s">
        <v>2</v>
      </c>
    </row>
    <row r="15" spans="1:4" x14ac:dyDescent="0.25">
      <c r="A15" s="3" t="s">
        <v>3</v>
      </c>
      <c r="B15" s="3" t="e" cm="1">
        <f t="array" aca="1" ref="B15" ca="1">LEFT(CELL("filename",B9),FIND(Client,CELL("filename",B9),1)-1)</f>
        <v>#VALUE!</v>
      </c>
      <c r="C15" s="6" t="e">
        <f ca="1">LEN(B15)</f>
        <v>#VALUE!</v>
      </c>
    </row>
    <row r="16" spans="1:4" x14ac:dyDescent="0.25">
      <c r="C16" s="6"/>
    </row>
    <row r="17" spans="1:4" x14ac:dyDescent="0.25">
      <c r="C17" s="6"/>
    </row>
    <row r="18" spans="1:4" x14ac:dyDescent="0.25">
      <c r="A18" s="5" t="s">
        <v>4</v>
      </c>
      <c r="B18" s="5" t="str">
        <f>Client&amp;"\FACILITIES"</f>
        <v>C:\Users\Alex\Centri\4. Production - Documents\WFEffectiveness\4.1.1 AGED CARE\01 Christadelphian Aged Care\240715\FACILITIES</v>
      </c>
      <c r="C18" s="6">
        <f>LEN(B14)</f>
        <v>114</v>
      </c>
      <c r="D18" s="2" t="s">
        <v>2</v>
      </c>
    </row>
    <row r="19" spans="1:4" x14ac:dyDescent="0.25">
      <c r="A19" s="1" t="s">
        <v>5</v>
      </c>
      <c r="B19" s="1" t="s">
        <v>6</v>
      </c>
      <c r="C19" s="7">
        <f>LEN(B19)</f>
        <v>11</v>
      </c>
      <c r="D19" s="2" t="s">
        <v>7</v>
      </c>
    </row>
    <row r="20" spans="1:4" x14ac:dyDescent="0.25">
      <c r="C20" s="6" t="e">
        <f ca="1">SUM(C15:C19)</f>
        <v>#VALUE!</v>
      </c>
    </row>
    <row r="21" spans="1:4" x14ac:dyDescent="0.25">
      <c r="C21" s="6"/>
    </row>
    <row r="22" spans="1:4" x14ac:dyDescent="0.25">
      <c r="C22" s="6"/>
    </row>
    <row r="23" spans="1:4" x14ac:dyDescent="0.25">
      <c r="A23" s="2" t="s">
        <v>8</v>
      </c>
      <c r="B23" s="8"/>
      <c r="C23" s="6"/>
    </row>
    <row r="24" spans="1:4" x14ac:dyDescent="0.25">
      <c r="D24" s="2" t="s">
        <v>9</v>
      </c>
    </row>
    <row r="26" spans="1:4" x14ac:dyDescent="0.25">
      <c r="B26" s="2" t="s">
        <v>10</v>
      </c>
    </row>
    <row r="27" spans="1:4" x14ac:dyDescent="0.25">
      <c r="B27" s="8" t="str">
        <f>$B$18&amp;"\"</f>
        <v>C:\Users\Alex\Centri\4. Production - Documents\WFEffectiveness\4.1.1 AGED CARE\01 Christadelphian Aged Care\240715\FACILITIES\</v>
      </c>
    </row>
    <row r="29" spans="1:4" x14ac:dyDescent="0.25">
      <c r="B29" s="9"/>
    </row>
    <row r="33" spans="2:3" x14ac:dyDescent="0.25">
      <c r="B33" s="2" t="s">
        <v>11</v>
      </c>
      <c r="C33" s="2" t="s">
        <v>12</v>
      </c>
    </row>
    <row r="34" spans="2:3" x14ac:dyDescent="0.25">
      <c r="B34" s="2" t="s">
        <v>13</v>
      </c>
      <c r="C34" s="2" t="s">
        <v>14</v>
      </c>
    </row>
    <row r="38" spans="2:3" x14ac:dyDescent="0.25">
      <c r="B38" s="2" t="s">
        <v>15</v>
      </c>
    </row>
    <row r="39" spans="2:3" x14ac:dyDescent="0.25">
      <c r="B39" s="2">
        <v>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38EA-35AE-42E3-BECB-831CC15363FB}">
  <dimension ref="A1:H983"/>
  <sheetViews>
    <sheetView workbookViewId="0"/>
  </sheetViews>
  <sheetFormatPr defaultRowHeight="15" x14ac:dyDescent="0.25"/>
  <cols>
    <col min="1" max="1" width="13.42578125" bestFit="1" customWidth="1"/>
    <col min="2" max="2" width="7.42578125" bestFit="1" customWidth="1"/>
    <col min="3" max="3" width="12" bestFit="1" customWidth="1"/>
    <col min="4" max="4" width="14.140625" bestFit="1" customWidth="1"/>
    <col min="5" max="5" width="11.85546875" bestFit="1" customWidth="1"/>
    <col min="7" max="7" width="9.7109375" bestFit="1" customWidth="1"/>
    <col min="8" max="8" width="10" bestFit="1" customWidth="1"/>
  </cols>
  <sheetData>
    <row r="1" spans="1:8" x14ac:dyDescent="0.25">
      <c r="A1" t="s">
        <v>32</v>
      </c>
      <c r="B1" t="s">
        <v>21</v>
      </c>
      <c r="C1" t="s">
        <v>33</v>
      </c>
      <c r="D1" t="s">
        <v>34</v>
      </c>
      <c r="E1" t="s">
        <v>27</v>
      </c>
      <c r="F1" t="s">
        <v>35</v>
      </c>
      <c r="G1" t="s">
        <v>20</v>
      </c>
      <c r="H1" t="s">
        <v>5</v>
      </c>
    </row>
    <row r="2" spans="1:8" x14ac:dyDescent="0.25">
      <c r="A2" t="s">
        <v>36</v>
      </c>
      <c r="B2" t="s">
        <v>22</v>
      </c>
      <c r="C2" s="10">
        <v>45575</v>
      </c>
      <c r="D2">
        <v>1.021671826625387</v>
      </c>
      <c r="E2">
        <v>1</v>
      </c>
      <c r="F2">
        <v>10</v>
      </c>
      <c r="G2" t="s">
        <v>14</v>
      </c>
      <c r="H2" t="s">
        <v>37</v>
      </c>
    </row>
    <row r="3" spans="1:8" x14ac:dyDescent="0.25">
      <c r="A3" t="s">
        <v>38</v>
      </c>
      <c r="B3" t="s">
        <v>22</v>
      </c>
      <c r="C3" s="10">
        <v>45575</v>
      </c>
      <c r="D3">
        <v>3.0959752321981424E-2</v>
      </c>
      <c r="E3">
        <v>1</v>
      </c>
      <c r="F3">
        <v>11</v>
      </c>
      <c r="G3" t="s">
        <v>14</v>
      </c>
      <c r="H3" t="s">
        <v>37</v>
      </c>
    </row>
    <row r="4" spans="1:8" x14ac:dyDescent="0.25">
      <c r="A4" t="s">
        <v>36</v>
      </c>
      <c r="B4" t="s">
        <v>22</v>
      </c>
      <c r="C4" s="10">
        <v>45579</v>
      </c>
      <c r="D4">
        <v>0.78947368421052622</v>
      </c>
      <c r="E4">
        <v>1</v>
      </c>
      <c r="F4">
        <v>22</v>
      </c>
      <c r="G4" t="s">
        <v>14</v>
      </c>
      <c r="H4" t="s">
        <v>37</v>
      </c>
    </row>
    <row r="5" spans="1:8" x14ac:dyDescent="0.25">
      <c r="A5" t="s">
        <v>36</v>
      </c>
      <c r="B5" t="s">
        <v>22</v>
      </c>
      <c r="C5" s="10">
        <v>45585</v>
      </c>
      <c r="D5">
        <v>0.78947368421052633</v>
      </c>
      <c r="E5">
        <v>1</v>
      </c>
      <c r="F5">
        <v>40</v>
      </c>
      <c r="G5" t="s">
        <v>14</v>
      </c>
      <c r="H5" t="s">
        <v>37</v>
      </c>
    </row>
    <row r="6" spans="1:8" x14ac:dyDescent="0.25">
      <c r="A6" t="s">
        <v>36</v>
      </c>
      <c r="B6" t="s">
        <v>22</v>
      </c>
      <c r="C6" s="10">
        <v>45572</v>
      </c>
      <c r="D6">
        <v>0.78947368421052622</v>
      </c>
      <c r="E6">
        <v>4</v>
      </c>
      <c r="F6">
        <v>1</v>
      </c>
      <c r="G6" t="s">
        <v>14</v>
      </c>
      <c r="H6" t="s">
        <v>37</v>
      </c>
    </row>
    <row r="7" spans="1:8" x14ac:dyDescent="0.25">
      <c r="A7" t="s">
        <v>36</v>
      </c>
      <c r="B7" t="s">
        <v>22</v>
      </c>
      <c r="C7" s="10">
        <v>45574</v>
      </c>
      <c r="D7">
        <v>0.98214285714285721</v>
      </c>
      <c r="E7">
        <v>4</v>
      </c>
      <c r="F7">
        <v>7</v>
      </c>
      <c r="G7" t="s">
        <v>14</v>
      </c>
      <c r="H7" t="s">
        <v>37</v>
      </c>
    </row>
    <row r="8" spans="1:8" x14ac:dyDescent="0.25">
      <c r="A8" t="s">
        <v>38</v>
      </c>
      <c r="B8" t="s">
        <v>22</v>
      </c>
      <c r="C8" s="10">
        <v>45574</v>
      </c>
      <c r="D8">
        <v>0.26785714285714285</v>
      </c>
      <c r="E8">
        <v>4</v>
      </c>
      <c r="F8">
        <v>8</v>
      </c>
      <c r="G8" t="s">
        <v>14</v>
      </c>
      <c r="H8" t="s">
        <v>37</v>
      </c>
    </row>
    <row r="9" spans="1:8" x14ac:dyDescent="0.25">
      <c r="A9" t="s">
        <v>36</v>
      </c>
      <c r="B9" t="s">
        <v>22</v>
      </c>
      <c r="C9" s="10">
        <v>45581</v>
      </c>
      <c r="D9">
        <v>1.021671826625387</v>
      </c>
      <c r="E9">
        <v>4</v>
      </c>
      <c r="F9">
        <v>28</v>
      </c>
      <c r="G9" t="s">
        <v>14</v>
      </c>
      <c r="H9" t="s">
        <v>37</v>
      </c>
    </row>
    <row r="10" spans="1:8" x14ac:dyDescent="0.25">
      <c r="A10" t="s">
        <v>38</v>
      </c>
      <c r="B10" t="s">
        <v>22</v>
      </c>
      <c r="C10" s="10">
        <v>45581</v>
      </c>
      <c r="D10">
        <v>3.0959752321981424E-2</v>
      </c>
      <c r="E10">
        <v>4</v>
      </c>
      <c r="F10">
        <v>29</v>
      </c>
      <c r="G10" t="s">
        <v>14</v>
      </c>
      <c r="H10" t="s">
        <v>37</v>
      </c>
    </row>
    <row r="11" spans="1:8" x14ac:dyDescent="0.25">
      <c r="A11" t="s">
        <v>36</v>
      </c>
      <c r="B11" t="s">
        <v>22</v>
      </c>
      <c r="C11" s="10">
        <v>45582</v>
      </c>
      <c r="D11">
        <v>0.78947368421052622</v>
      </c>
      <c r="E11">
        <v>4</v>
      </c>
      <c r="F11">
        <v>31</v>
      </c>
      <c r="G11" t="s">
        <v>14</v>
      </c>
      <c r="H11" t="s">
        <v>37</v>
      </c>
    </row>
    <row r="12" spans="1:8" x14ac:dyDescent="0.25">
      <c r="A12" t="s">
        <v>36</v>
      </c>
      <c r="B12" t="s">
        <v>22</v>
      </c>
      <c r="C12" s="10">
        <v>45583</v>
      </c>
      <c r="D12">
        <v>1.0216718266253872</v>
      </c>
      <c r="E12">
        <v>4</v>
      </c>
      <c r="F12">
        <v>34</v>
      </c>
      <c r="G12" t="s">
        <v>14</v>
      </c>
      <c r="H12" t="s">
        <v>37</v>
      </c>
    </row>
    <row r="13" spans="1:8" x14ac:dyDescent="0.25">
      <c r="A13" t="s">
        <v>38</v>
      </c>
      <c r="B13" t="s">
        <v>22</v>
      </c>
      <c r="C13" s="10">
        <v>45583</v>
      </c>
      <c r="D13">
        <v>3.0959752321981424E-2</v>
      </c>
      <c r="E13">
        <v>4</v>
      </c>
      <c r="F13">
        <v>35</v>
      </c>
      <c r="G13" t="s">
        <v>14</v>
      </c>
      <c r="H13" t="s">
        <v>37</v>
      </c>
    </row>
    <row r="14" spans="1:8" x14ac:dyDescent="0.25">
      <c r="A14" t="s">
        <v>39</v>
      </c>
      <c r="B14" t="s">
        <v>22</v>
      </c>
      <c r="C14" s="10">
        <v>45584</v>
      </c>
      <c r="D14">
        <v>3.0701754385964914E-2</v>
      </c>
      <c r="E14">
        <v>4</v>
      </c>
      <c r="F14">
        <v>39</v>
      </c>
      <c r="G14" t="s">
        <v>14</v>
      </c>
      <c r="H14" t="s">
        <v>37</v>
      </c>
    </row>
    <row r="15" spans="1:8" x14ac:dyDescent="0.25">
      <c r="A15" t="s">
        <v>38</v>
      </c>
      <c r="B15" t="s">
        <v>22</v>
      </c>
      <c r="C15" s="10">
        <v>45584</v>
      </c>
      <c r="D15">
        <v>0.89035087719298234</v>
      </c>
      <c r="E15">
        <v>4</v>
      </c>
      <c r="F15">
        <v>38</v>
      </c>
      <c r="G15" t="s">
        <v>14</v>
      </c>
      <c r="H15" t="s">
        <v>37</v>
      </c>
    </row>
    <row r="16" spans="1:8" x14ac:dyDescent="0.25">
      <c r="A16" t="s">
        <v>36</v>
      </c>
      <c r="B16" t="s">
        <v>22</v>
      </c>
      <c r="C16" s="10">
        <v>45585</v>
      </c>
      <c r="D16">
        <v>1.0093490304709143</v>
      </c>
      <c r="E16">
        <v>4</v>
      </c>
      <c r="F16">
        <v>40</v>
      </c>
      <c r="G16" t="s">
        <v>14</v>
      </c>
      <c r="H16" t="s">
        <v>37</v>
      </c>
    </row>
    <row r="17" spans="1:8" x14ac:dyDescent="0.25">
      <c r="A17" t="s">
        <v>38</v>
      </c>
      <c r="B17" t="s">
        <v>22</v>
      </c>
      <c r="C17" s="10">
        <v>45585</v>
      </c>
      <c r="D17">
        <v>0.73407202216066492</v>
      </c>
      <c r="E17">
        <v>4</v>
      </c>
      <c r="F17">
        <v>41</v>
      </c>
      <c r="G17" t="s">
        <v>14</v>
      </c>
      <c r="H17" t="s">
        <v>37</v>
      </c>
    </row>
    <row r="18" spans="1:8" x14ac:dyDescent="0.25">
      <c r="A18" t="s">
        <v>39</v>
      </c>
      <c r="B18" t="s">
        <v>22</v>
      </c>
      <c r="C18" s="10">
        <v>45574</v>
      </c>
      <c r="D18">
        <v>1.0545112781954891</v>
      </c>
      <c r="E18">
        <v>5</v>
      </c>
      <c r="F18">
        <v>9</v>
      </c>
      <c r="G18" t="s">
        <v>14</v>
      </c>
      <c r="H18" t="s">
        <v>37</v>
      </c>
    </row>
    <row r="19" spans="1:8" x14ac:dyDescent="0.25">
      <c r="A19" t="s">
        <v>36</v>
      </c>
      <c r="B19" t="s">
        <v>22</v>
      </c>
      <c r="C19" s="10">
        <v>45575</v>
      </c>
      <c r="D19">
        <v>3.1015037593984971E-2</v>
      </c>
      <c r="E19">
        <v>5</v>
      </c>
      <c r="F19">
        <v>10</v>
      </c>
      <c r="G19" t="s">
        <v>14</v>
      </c>
      <c r="H19" t="s">
        <v>37</v>
      </c>
    </row>
    <row r="20" spans="1:8" x14ac:dyDescent="0.25">
      <c r="A20" t="s">
        <v>39</v>
      </c>
      <c r="B20" t="s">
        <v>22</v>
      </c>
      <c r="C20" s="10">
        <v>45575</v>
      </c>
      <c r="D20">
        <v>1.0545112781954891</v>
      </c>
      <c r="E20">
        <v>5</v>
      </c>
      <c r="F20">
        <v>12</v>
      </c>
      <c r="G20" t="s">
        <v>14</v>
      </c>
      <c r="H20" t="s">
        <v>37</v>
      </c>
    </row>
    <row r="21" spans="1:8" x14ac:dyDescent="0.25">
      <c r="A21" t="s">
        <v>36</v>
      </c>
      <c r="B21" t="s">
        <v>22</v>
      </c>
      <c r="C21" s="10">
        <v>45576</v>
      </c>
      <c r="D21">
        <v>3.1015037593984971E-2</v>
      </c>
      <c r="E21">
        <v>5</v>
      </c>
      <c r="F21">
        <v>13</v>
      </c>
      <c r="G21" t="s">
        <v>14</v>
      </c>
      <c r="H21" t="s">
        <v>37</v>
      </c>
    </row>
    <row r="22" spans="1:8" x14ac:dyDescent="0.25">
      <c r="A22" t="s">
        <v>39</v>
      </c>
      <c r="B22" t="s">
        <v>22</v>
      </c>
      <c r="C22" s="10">
        <v>45581</v>
      </c>
      <c r="D22">
        <v>1.0545112781954891</v>
      </c>
      <c r="E22">
        <v>5</v>
      </c>
      <c r="F22">
        <v>30</v>
      </c>
      <c r="G22" t="s">
        <v>14</v>
      </c>
      <c r="H22" t="s">
        <v>37</v>
      </c>
    </row>
    <row r="23" spans="1:8" x14ac:dyDescent="0.25">
      <c r="A23" t="s">
        <v>36</v>
      </c>
      <c r="B23" t="s">
        <v>22</v>
      </c>
      <c r="C23" s="10">
        <v>45582</v>
      </c>
      <c r="D23">
        <v>3.1015037593984971E-2</v>
      </c>
      <c r="E23">
        <v>5</v>
      </c>
      <c r="F23">
        <v>31</v>
      </c>
      <c r="G23" t="s">
        <v>14</v>
      </c>
      <c r="H23" t="s">
        <v>37</v>
      </c>
    </row>
    <row r="24" spans="1:8" x14ac:dyDescent="0.25">
      <c r="A24" t="s">
        <v>39</v>
      </c>
      <c r="B24" t="s">
        <v>22</v>
      </c>
      <c r="C24" s="10">
        <v>45582</v>
      </c>
      <c r="D24">
        <v>1.0545112781954891</v>
      </c>
      <c r="E24">
        <v>5</v>
      </c>
      <c r="F24">
        <v>33</v>
      </c>
      <c r="G24" t="s">
        <v>14</v>
      </c>
      <c r="H24" t="s">
        <v>37</v>
      </c>
    </row>
    <row r="25" spans="1:8" x14ac:dyDescent="0.25">
      <c r="A25" t="s">
        <v>36</v>
      </c>
      <c r="B25" t="s">
        <v>22</v>
      </c>
      <c r="C25" s="10">
        <v>45583</v>
      </c>
      <c r="D25">
        <v>3.1015037593984971E-2</v>
      </c>
      <c r="E25">
        <v>5</v>
      </c>
      <c r="F25">
        <v>34</v>
      </c>
      <c r="G25" t="s">
        <v>14</v>
      </c>
      <c r="H25" t="s">
        <v>37</v>
      </c>
    </row>
    <row r="26" spans="1:8" x14ac:dyDescent="0.25">
      <c r="A26" t="s">
        <v>39</v>
      </c>
      <c r="B26" t="s">
        <v>22</v>
      </c>
      <c r="C26" s="10">
        <v>45583</v>
      </c>
      <c r="D26">
        <v>1.0545112781954891</v>
      </c>
      <c r="E26">
        <v>5</v>
      </c>
      <c r="F26">
        <v>36</v>
      </c>
      <c r="G26" t="s">
        <v>14</v>
      </c>
      <c r="H26" t="s">
        <v>37</v>
      </c>
    </row>
    <row r="27" spans="1:8" x14ac:dyDescent="0.25">
      <c r="A27" t="s">
        <v>36</v>
      </c>
      <c r="B27" t="s">
        <v>22</v>
      </c>
      <c r="C27" s="10">
        <v>45584</v>
      </c>
      <c r="D27">
        <v>3.1015037593984971E-2</v>
      </c>
      <c r="E27">
        <v>5</v>
      </c>
      <c r="F27">
        <v>37</v>
      </c>
      <c r="G27" t="s">
        <v>14</v>
      </c>
      <c r="H27" t="s">
        <v>37</v>
      </c>
    </row>
    <row r="28" spans="1:8" x14ac:dyDescent="0.25">
      <c r="A28" t="s">
        <v>36</v>
      </c>
      <c r="B28" t="s">
        <v>22</v>
      </c>
      <c r="C28" s="10">
        <v>45572</v>
      </c>
      <c r="D28">
        <v>0.78947368421052622</v>
      </c>
      <c r="E28">
        <v>6</v>
      </c>
      <c r="F28">
        <v>1</v>
      </c>
      <c r="G28" t="s">
        <v>14</v>
      </c>
      <c r="H28" t="s">
        <v>37</v>
      </c>
    </row>
    <row r="29" spans="1:8" x14ac:dyDescent="0.25">
      <c r="A29" t="s">
        <v>36</v>
      </c>
      <c r="B29" t="s">
        <v>22</v>
      </c>
      <c r="C29" s="10">
        <v>45574</v>
      </c>
      <c r="D29">
        <v>0.78947368421052633</v>
      </c>
      <c r="E29">
        <v>6</v>
      </c>
      <c r="F29">
        <v>7</v>
      </c>
      <c r="G29" t="s">
        <v>14</v>
      </c>
      <c r="H29" t="s">
        <v>37</v>
      </c>
    </row>
    <row r="30" spans="1:8" x14ac:dyDescent="0.25">
      <c r="A30" t="s">
        <v>39</v>
      </c>
      <c r="B30" t="s">
        <v>22</v>
      </c>
      <c r="C30" s="10">
        <v>45584</v>
      </c>
      <c r="D30">
        <v>1.0545112781954891</v>
      </c>
      <c r="E30">
        <v>7</v>
      </c>
      <c r="F30">
        <v>39</v>
      </c>
      <c r="G30" t="s">
        <v>14</v>
      </c>
      <c r="H30" t="s">
        <v>37</v>
      </c>
    </row>
    <row r="31" spans="1:8" x14ac:dyDescent="0.25">
      <c r="A31" t="s">
        <v>36</v>
      </c>
      <c r="B31" t="s">
        <v>22</v>
      </c>
      <c r="C31" s="10">
        <v>45585</v>
      </c>
      <c r="D31">
        <v>3.1015037593984971E-2</v>
      </c>
      <c r="E31">
        <v>7</v>
      </c>
      <c r="F31">
        <v>40</v>
      </c>
      <c r="G31" t="s">
        <v>14</v>
      </c>
      <c r="H31" t="s">
        <v>37</v>
      </c>
    </row>
    <row r="32" spans="1:8" x14ac:dyDescent="0.25">
      <c r="A32" t="s">
        <v>39</v>
      </c>
      <c r="B32" t="s">
        <v>22</v>
      </c>
      <c r="C32" s="10">
        <v>45585</v>
      </c>
      <c r="D32">
        <v>1.0197368421052633</v>
      </c>
      <c r="E32">
        <v>7</v>
      </c>
      <c r="F32">
        <v>42</v>
      </c>
      <c r="G32" t="s">
        <v>14</v>
      </c>
      <c r="H32" t="s">
        <v>37</v>
      </c>
    </row>
    <row r="33" spans="1:8" x14ac:dyDescent="0.25">
      <c r="A33" t="s">
        <v>39</v>
      </c>
      <c r="B33" t="s">
        <v>22</v>
      </c>
      <c r="C33" s="10">
        <v>45580</v>
      </c>
      <c r="D33">
        <v>3.0701754385964914E-2</v>
      </c>
      <c r="E33">
        <v>9</v>
      </c>
      <c r="F33">
        <v>27</v>
      </c>
      <c r="G33" t="s">
        <v>14</v>
      </c>
      <c r="H33" t="s">
        <v>37</v>
      </c>
    </row>
    <row r="34" spans="1:8" x14ac:dyDescent="0.25">
      <c r="A34" t="s">
        <v>38</v>
      </c>
      <c r="B34" t="s">
        <v>22</v>
      </c>
      <c r="C34" s="10">
        <v>45580</v>
      </c>
      <c r="D34">
        <v>0.89035087719298245</v>
      </c>
      <c r="E34">
        <v>9</v>
      </c>
      <c r="F34">
        <v>26</v>
      </c>
      <c r="G34" t="s">
        <v>14</v>
      </c>
      <c r="H34" t="s">
        <v>37</v>
      </c>
    </row>
    <row r="35" spans="1:8" x14ac:dyDescent="0.25">
      <c r="A35" t="s">
        <v>39</v>
      </c>
      <c r="B35" t="s">
        <v>22</v>
      </c>
      <c r="C35" s="10">
        <v>45581</v>
      </c>
      <c r="D35">
        <v>3.0701754385964914E-2</v>
      </c>
      <c r="E35">
        <v>9</v>
      </c>
      <c r="F35">
        <v>30</v>
      </c>
      <c r="G35" t="s">
        <v>14</v>
      </c>
      <c r="H35" t="s">
        <v>37</v>
      </c>
    </row>
    <row r="36" spans="1:8" x14ac:dyDescent="0.25">
      <c r="A36" t="s">
        <v>38</v>
      </c>
      <c r="B36" t="s">
        <v>22</v>
      </c>
      <c r="C36" s="10">
        <v>45581</v>
      </c>
      <c r="D36">
        <v>0.89035087719298245</v>
      </c>
      <c r="E36">
        <v>9</v>
      </c>
      <c r="F36">
        <v>29</v>
      </c>
      <c r="G36" t="s">
        <v>14</v>
      </c>
      <c r="H36" t="s">
        <v>37</v>
      </c>
    </row>
    <row r="37" spans="1:8" x14ac:dyDescent="0.25">
      <c r="A37" t="s">
        <v>38</v>
      </c>
      <c r="B37" t="s">
        <v>22</v>
      </c>
      <c r="C37" s="10">
        <v>45582</v>
      </c>
      <c r="D37">
        <v>0.7236842105263156</v>
      </c>
      <c r="E37">
        <v>9</v>
      </c>
      <c r="F37">
        <v>32</v>
      </c>
      <c r="G37" t="s">
        <v>14</v>
      </c>
      <c r="H37" t="s">
        <v>37</v>
      </c>
    </row>
    <row r="38" spans="1:8" x14ac:dyDescent="0.25">
      <c r="A38" t="s">
        <v>36</v>
      </c>
      <c r="B38" t="s">
        <v>22</v>
      </c>
      <c r="C38" s="10">
        <v>45574</v>
      </c>
      <c r="D38">
        <v>0.78947368421052633</v>
      </c>
      <c r="E38">
        <v>11</v>
      </c>
      <c r="F38">
        <v>7</v>
      </c>
      <c r="G38" t="s">
        <v>14</v>
      </c>
      <c r="H38" t="s">
        <v>37</v>
      </c>
    </row>
    <row r="39" spans="1:8" x14ac:dyDescent="0.25">
      <c r="A39" t="s">
        <v>36</v>
      </c>
      <c r="B39" t="s">
        <v>22</v>
      </c>
      <c r="C39" s="10">
        <v>45575</v>
      </c>
      <c r="D39">
        <v>1.021671826625387</v>
      </c>
      <c r="E39">
        <v>11</v>
      </c>
      <c r="F39">
        <v>10</v>
      </c>
      <c r="G39" t="s">
        <v>14</v>
      </c>
      <c r="H39" t="s">
        <v>37</v>
      </c>
    </row>
    <row r="40" spans="1:8" x14ac:dyDescent="0.25">
      <c r="A40" t="s">
        <v>38</v>
      </c>
      <c r="B40" t="s">
        <v>22</v>
      </c>
      <c r="C40" s="10">
        <v>45575</v>
      </c>
      <c r="D40">
        <v>3.0959752321981424E-2</v>
      </c>
      <c r="E40">
        <v>11</v>
      </c>
      <c r="F40">
        <v>11</v>
      </c>
      <c r="G40" t="s">
        <v>14</v>
      </c>
      <c r="H40" t="s">
        <v>37</v>
      </c>
    </row>
    <row r="41" spans="1:8" x14ac:dyDescent="0.25">
      <c r="A41" t="s">
        <v>36</v>
      </c>
      <c r="B41" t="s">
        <v>22</v>
      </c>
      <c r="C41" s="10">
        <v>45576</v>
      </c>
      <c r="D41">
        <v>0.78947368421052622</v>
      </c>
      <c r="E41">
        <v>11</v>
      </c>
      <c r="F41">
        <v>13</v>
      </c>
      <c r="G41" t="s">
        <v>14</v>
      </c>
      <c r="H41" t="s">
        <v>37</v>
      </c>
    </row>
    <row r="42" spans="1:8" x14ac:dyDescent="0.25">
      <c r="A42" t="s">
        <v>36</v>
      </c>
      <c r="B42" t="s">
        <v>22</v>
      </c>
      <c r="C42" s="10">
        <v>45577</v>
      </c>
      <c r="D42">
        <v>1.0216718266253872</v>
      </c>
      <c r="E42">
        <v>11</v>
      </c>
      <c r="F42">
        <v>16</v>
      </c>
      <c r="G42" t="s">
        <v>14</v>
      </c>
      <c r="H42" t="s">
        <v>37</v>
      </c>
    </row>
    <row r="43" spans="1:8" x14ac:dyDescent="0.25">
      <c r="A43" t="s">
        <v>38</v>
      </c>
      <c r="B43" t="s">
        <v>22</v>
      </c>
      <c r="C43" s="10">
        <v>45577</v>
      </c>
      <c r="D43">
        <v>3.0959752321981424E-2</v>
      </c>
      <c r="E43">
        <v>11</v>
      </c>
      <c r="F43">
        <v>17</v>
      </c>
      <c r="G43" t="s">
        <v>14</v>
      </c>
      <c r="H43" t="s">
        <v>37</v>
      </c>
    </row>
    <row r="44" spans="1:8" x14ac:dyDescent="0.25">
      <c r="A44" t="s">
        <v>36</v>
      </c>
      <c r="B44" t="s">
        <v>22</v>
      </c>
      <c r="C44" s="10">
        <v>45579</v>
      </c>
      <c r="D44">
        <v>0.78947368421052622</v>
      </c>
      <c r="E44">
        <v>11</v>
      </c>
      <c r="F44">
        <v>22</v>
      </c>
      <c r="G44" t="s">
        <v>14</v>
      </c>
      <c r="H44" t="s">
        <v>37</v>
      </c>
    </row>
    <row r="45" spans="1:8" x14ac:dyDescent="0.25">
      <c r="A45" t="s">
        <v>36</v>
      </c>
      <c r="B45" t="s">
        <v>22</v>
      </c>
      <c r="C45" s="10">
        <v>45582</v>
      </c>
      <c r="D45">
        <v>0.78947368421052622</v>
      </c>
      <c r="E45">
        <v>11</v>
      </c>
      <c r="F45">
        <v>31</v>
      </c>
      <c r="G45" t="s">
        <v>14</v>
      </c>
      <c r="H45" t="s">
        <v>37</v>
      </c>
    </row>
    <row r="46" spans="1:8" x14ac:dyDescent="0.25">
      <c r="A46" t="s">
        <v>36</v>
      </c>
      <c r="B46" t="s">
        <v>22</v>
      </c>
      <c r="C46" s="10">
        <v>45583</v>
      </c>
      <c r="D46">
        <v>1.0216718266253872</v>
      </c>
      <c r="E46">
        <v>11</v>
      </c>
      <c r="F46">
        <v>34</v>
      </c>
      <c r="G46" t="s">
        <v>14</v>
      </c>
      <c r="H46" t="s">
        <v>37</v>
      </c>
    </row>
    <row r="47" spans="1:8" x14ac:dyDescent="0.25">
      <c r="A47" t="s">
        <v>38</v>
      </c>
      <c r="B47" t="s">
        <v>22</v>
      </c>
      <c r="C47" s="10">
        <v>45583</v>
      </c>
      <c r="D47">
        <v>3.0959752321981424E-2</v>
      </c>
      <c r="E47">
        <v>11</v>
      </c>
      <c r="F47">
        <v>35</v>
      </c>
      <c r="G47" t="s">
        <v>14</v>
      </c>
      <c r="H47" t="s">
        <v>37</v>
      </c>
    </row>
    <row r="48" spans="1:8" x14ac:dyDescent="0.25">
      <c r="A48" t="s">
        <v>39</v>
      </c>
      <c r="B48" t="s">
        <v>22</v>
      </c>
      <c r="C48" s="10">
        <v>45572</v>
      </c>
      <c r="D48">
        <v>3.0701754385964914E-2</v>
      </c>
      <c r="E48">
        <v>12</v>
      </c>
      <c r="F48">
        <v>3</v>
      </c>
      <c r="G48" t="s">
        <v>14</v>
      </c>
      <c r="H48" t="s">
        <v>37</v>
      </c>
    </row>
    <row r="49" spans="1:8" x14ac:dyDescent="0.25">
      <c r="A49" t="s">
        <v>38</v>
      </c>
      <c r="B49" t="s">
        <v>22</v>
      </c>
      <c r="C49" s="10">
        <v>45572</v>
      </c>
      <c r="D49">
        <v>0.89035087719298234</v>
      </c>
      <c r="E49">
        <v>12</v>
      </c>
      <c r="F49">
        <v>2</v>
      </c>
      <c r="G49" t="s">
        <v>14</v>
      </c>
      <c r="H49" t="s">
        <v>37</v>
      </c>
    </row>
    <row r="50" spans="1:8" x14ac:dyDescent="0.25">
      <c r="A50" t="s">
        <v>38</v>
      </c>
      <c r="B50" t="s">
        <v>22</v>
      </c>
      <c r="C50" s="10">
        <v>45573</v>
      </c>
      <c r="D50">
        <v>0.7236842105263156</v>
      </c>
      <c r="E50">
        <v>12</v>
      </c>
      <c r="F50">
        <v>5</v>
      </c>
      <c r="G50" t="s">
        <v>14</v>
      </c>
      <c r="H50" t="s">
        <v>37</v>
      </c>
    </row>
    <row r="51" spans="1:8" x14ac:dyDescent="0.25">
      <c r="A51" t="s">
        <v>36</v>
      </c>
      <c r="B51" t="s">
        <v>22</v>
      </c>
      <c r="C51" s="10">
        <v>45574</v>
      </c>
      <c r="D51">
        <v>1.0216718266253872</v>
      </c>
      <c r="E51">
        <v>12</v>
      </c>
      <c r="F51">
        <v>7</v>
      </c>
      <c r="G51" t="s">
        <v>14</v>
      </c>
      <c r="H51" t="s">
        <v>37</v>
      </c>
    </row>
    <row r="52" spans="1:8" x14ac:dyDescent="0.25">
      <c r="A52" t="s">
        <v>38</v>
      </c>
      <c r="B52" t="s">
        <v>22</v>
      </c>
      <c r="C52" s="10">
        <v>45574</v>
      </c>
      <c r="D52">
        <v>3.0959752321981424E-2</v>
      </c>
      <c r="E52">
        <v>12</v>
      </c>
      <c r="F52">
        <v>8</v>
      </c>
      <c r="G52" t="s">
        <v>14</v>
      </c>
      <c r="H52" t="s">
        <v>37</v>
      </c>
    </row>
    <row r="53" spans="1:8" x14ac:dyDescent="0.25">
      <c r="A53" t="s">
        <v>39</v>
      </c>
      <c r="B53" t="s">
        <v>22</v>
      </c>
      <c r="C53" s="10">
        <v>45576</v>
      </c>
      <c r="D53">
        <v>3.0701754385964914E-2</v>
      </c>
      <c r="E53">
        <v>12</v>
      </c>
      <c r="F53">
        <v>15</v>
      </c>
      <c r="G53" t="s">
        <v>14</v>
      </c>
      <c r="H53" t="s">
        <v>37</v>
      </c>
    </row>
    <row r="54" spans="1:8" x14ac:dyDescent="0.25">
      <c r="A54" t="s">
        <v>38</v>
      </c>
      <c r="B54" t="s">
        <v>22</v>
      </c>
      <c r="C54" s="10">
        <v>45576</v>
      </c>
      <c r="D54">
        <v>0.89035087719298223</v>
      </c>
      <c r="E54">
        <v>12</v>
      </c>
      <c r="F54">
        <v>14</v>
      </c>
      <c r="G54" t="s">
        <v>14</v>
      </c>
      <c r="H54" t="s">
        <v>37</v>
      </c>
    </row>
    <row r="55" spans="1:8" x14ac:dyDescent="0.25">
      <c r="A55" t="s">
        <v>38</v>
      </c>
      <c r="B55" t="s">
        <v>22</v>
      </c>
      <c r="C55" s="10">
        <v>45577</v>
      </c>
      <c r="D55">
        <v>0.72368421052631582</v>
      </c>
      <c r="E55">
        <v>12</v>
      </c>
      <c r="F55">
        <v>17</v>
      </c>
      <c r="G55" t="s">
        <v>14</v>
      </c>
      <c r="H55" t="s">
        <v>37</v>
      </c>
    </row>
    <row r="56" spans="1:8" x14ac:dyDescent="0.25">
      <c r="A56" t="s">
        <v>39</v>
      </c>
      <c r="B56" t="s">
        <v>22</v>
      </c>
      <c r="C56" s="10">
        <v>45579</v>
      </c>
      <c r="D56">
        <v>3.0701754385964914E-2</v>
      </c>
      <c r="E56">
        <v>12</v>
      </c>
      <c r="F56">
        <v>24</v>
      </c>
      <c r="G56" t="s">
        <v>14</v>
      </c>
      <c r="H56" t="s">
        <v>37</v>
      </c>
    </row>
    <row r="57" spans="1:8" x14ac:dyDescent="0.25">
      <c r="A57" t="s">
        <v>38</v>
      </c>
      <c r="B57" t="s">
        <v>22</v>
      </c>
      <c r="C57" s="10">
        <v>45579</v>
      </c>
      <c r="D57">
        <v>0.89035087719298234</v>
      </c>
      <c r="E57">
        <v>12</v>
      </c>
      <c r="F57">
        <v>23</v>
      </c>
      <c r="G57" t="s">
        <v>14</v>
      </c>
      <c r="H57" t="s">
        <v>37</v>
      </c>
    </row>
    <row r="58" spans="1:8" x14ac:dyDescent="0.25">
      <c r="A58" t="s">
        <v>38</v>
      </c>
      <c r="B58" t="s">
        <v>22</v>
      </c>
      <c r="C58" s="10">
        <v>45580</v>
      </c>
      <c r="D58">
        <v>0.72368421052631571</v>
      </c>
      <c r="E58">
        <v>12</v>
      </c>
      <c r="F58">
        <v>26</v>
      </c>
      <c r="G58" t="s">
        <v>14</v>
      </c>
      <c r="H58" t="s">
        <v>37</v>
      </c>
    </row>
    <row r="59" spans="1:8" x14ac:dyDescent="0.25">
      <c r="A59" t="s">
        <v>39</v>
      </c>
      <c r="B59" t="s">
        <v>22</v>
      </c>
      <c r="C59" s="10">
        <v>45583</v>
      </c>
      <c r="D59">
        <v>3.0701754385964914E-2</v>
      </c>
      <c r="E59">
        <v>12</v>
      </c>
      <c r="F59">
        <v>36</v>
      </c>
      <c r="G59" t="s">
        <v>14</v>
      </c>
      <c r="H59" t="s">
        <v>37</v>
      </c>
    </row>
    <row r="60" spans="1:8" x14ac:dyDescent="0.25">
      <c r="A60" t="s">
        <v>38</v>
      </c>
      <c r="B60" t="s">
        <v>22</v>
      </c>
      <c r="C60" s="10">
        <v>45583</v>
      </c>
      <c r="D60">
        <v>0.89035087719298245</v>
      </c>
      <c r="E60">
        <v>12</v>
      </c>
      <c r="F60">
        <v>35</v>
      </c>
      <c r="G60" t="s">
        <v>14</v>
      </c>
      <c r="H60" t="s">
        <v>37</v>
      </c>
    </row>
    <row r="61" spans="1:8" x14ac:dyDescent="0.25">
      <c r="A61" t="s">
        <v>38</v>
      </c>
      <c r="B61" t="s">
        <v>22</v>
      </c>
      <c r="C61" s="10">
        <v>45584</v>
      </c>
      <c r="D61">
        <v>0.72368421052631571</v>
      </c>
      <c r="E61">
        <v>12</v>
      </c>
      <c r="F61">
        <v>38</v>
      </c>
      <c r="G61" t="s">
        <v>14</v>
      </c>
      <c r="H61" t="s">
        <v>37</v>
      </c>
    </row>
    <row r="62" spans="1:8" x14ac:dyDescent="0.25">
      <c r="A62" t="s">
        <v>39</v>
      </c>
      <c r="B62" t="s">
        <v>22</v>
      </c>
      <c r="C62" s="10">
        <v>45573</v>
      </c>
      <c r="D62">
        <v>3.0701754385964914E-2</v>
      </c>
      <c r="E62">
        <v>13</v>
      </c>
      <c r="F62">
        <v>6</v>
      </c>
      <c r="G62" t="s">
        <v>14</v>
      </c>
      <c r="H62" t="s">
        <v>37</v>
      </c>
    </row>
    <row r="63" spans="1:8" x14ac:dyDescent="0.25">
      <c r="A63" t="s">
        <v>38</v>
      </c>
      <c r="B63" t="s">
        <v>22</v>
      </c>
      <c r="C63" s="10">
        <v>45573</v>
      </c>
      <c r="D63">
        <v>0.89035087719298245</v>
      </c>
      <c r="E63">
        <v>13</v>
      </c>
      <c r="F63">
        <v>5</v>
      </c>
      <c r="G63" t="s">
        <v>14</v>
      </c>
      <c r="H63" t="s">
        <v>37</v>
      </c>
    </row>
    <row r="64" spans="1:8" x14ac:dyDescent="0.25">
      <c r="A64" t="s">
        <v>39</v>
      </c>
      <c r="B64" t="s">
        <v>22</v>
      </c>
      <c r="C64" s="10">
        <v>45574</v>
      </c>
      <c r="D64">
        <v>3.0701754385964914E-2</v>
      </c>
      <c r="E64">
        <v>13</v>
      </c>
      <c r="F64">
        <v>9</v>
      </c>
      <c r="G64" t="s">
        <v>14</v>
      </c>
      <c r="H64" t="s">
        <v>37</v>
      </c>
    </row>
    <row r="65" spans="1:8" x14ac:dyDescent="0.25">
      <c r="A65" t="s">
        <v>38</v>
      </c>
      <c r="B65" t="s">
        <v>22</v>
      </c>
      <c r="C65" s="10">
        <v>45574</v>
      </c>
      <c r="D65">
        <v>0.89035087719298245</v>
      </c>
      <c r="E65">
        <v>13</v>
      </c>
      <c r="F65">
        <v>8</v>
      </c>
      <c r="G65" t="s">
        <v>14</v>
      </c>
      <c r="H65" t="s">
        <v>37</v>
      </c>
    </row>
    <row r="66" spans="1:8" x14ac:dyDescent="0.25">
      <c r="A66" t="s">
        <v>38</v>
      </c>
      <c r="B66" t="s">
        <v>22</v>
      </c>
      <c r="C66" s="10">
        <v>45575</v>
      </c>
      <c r="D66">
        <v>0.7236842105263156</v>
      </c>
      <c r="E66">
        <v>13</v>
      </c>
      <c r="F66">
        <v>11</v>
      </c>
      <c r="G66" t="s">
        <v>14</v>
      </c>
      <c r="H66" t="s">
        <v>37</v>
      </c>
    </row>
    <row r="67" spans="1:8" x14ac:dyDescent="0.25">
      <c r="A67" t="s">
        <v>39</v>
      </c>
      <c r="B67" t="s">
        <v>22</v>
      </c>
      <c r="C67" s="10">
        <v>45576</v>
      </c>
      <c r="D67">
        <v>3.0701754385964914E-2</v>
      </c>
      <c r="E67">
        <v>13</v>
      </c>
      <c r="F67">
        <v>15</v>
      </c>
      <c r="G67" t="s">
        <v>14</v>
      </c>
      <c r="H67" t="s">
        <v>37</v>
      </c>
    </row>
    <row r="68" spans="1:8" x14ac:dyDescent="0.25">
      <c r="A68" t="s">
        <v>38</v>
      </c>
      <c r="B68" t="s">
        <v>22</v>
      </c>
      <c r="C68" s="10">
        <v>45576</v>
      </c>
      <c r="D68">
        <v>0.89035087719298223</v>
      </c>
      <c r="E68">
        <v>13</v>
      </c>
      <c r="F68">
        <v>14</v>
      </c>
      <c r="G68" t="s">
        <v>14</v>
      </c>
      <c r="H68" t="s">
        <v>37</v>
      </c>
    </row>
    <row r="69" spans="1:8" x14ac:dyDescent="0.25">
      <c r="A69" t="s">
        <v>38</v>
      </c>
      <c r="B69" t="s">
        <v>22</v>
      </c>
      <c r="C69" s="10">
        <v>45580</v>
      </c>
      <c r="D69">
        <v>0.72368421052631571</v>
      </c>
      <c r="E69">
        <v>13</v>
      </c>
      <c r="F69">
        <v>26</v>
      </c>
      <c r="G69" t="s">
        <v>14</v>
      </c>
      <c r="H69" t="s">
        <v>37</v>
      </c>
    </row>
    <row r="70" spans="1:8" x14ac:dyDescent="0.25">
      <c r="A70" t="s">
        <v>38</v>
      </c>
      <c r="B70" t="s">
        <v>22</v>
      </c>
      <c r="C70" s="10">
        <v>45581</v>
      </c>
      <c r="D70">
        <v>0.7236842105263156</v>
      </c>
      <c r="E70">
        <v>13</v>
      </c>
      <c r="F70">
        <v>29</v>
      </c>
      <c r="G70" t="s">
        <v>14</v>
      </c>
      <c r="H70" t="s">
        <v>37</v>
      </c>
    </row>
    <row r="71" spans="1:8" x14ac:dyDescent="0.25">
      <c r="A71" t="s">
        <v>39</v>
      </c>
      <c r="B71" t="s">
        <v>22</v>
      </c>
      <c r="C71" s="10">
        <v>45582</v>
      </c>
      <c r="D71">
        <v>3.0701754385964914E-2</v>
      </c>
      <c r="E71">
        <v>13</v>
      </c>
      <c r="F71">
        <v>33</v>
      </c>
      <c r="G71" t="s">
        <v>14</v>
      </c>
      <c r="H71" t="s">
        <v>37</v>
      </c>
    </row>
    <row r="72" spans="1:8" x14ac:dyDescent="0.25">
      <c r="A72" t="s">
        <v>38</v>
      </c>
      <c r="B72" t="s">
        <v>22</v>
      </c>
      <c r="C72" s="10">
        <v>45582</v>
      </c>
      <c r="D72">
        <v>0.89035087719298234</v>
      </c>
      <c r="E72">
        <v>13</v>
      </c>
      <c r="F72">
        <v>32</v>
      </c>
      <c r="G72" t="s">
        <v>14</v>
      </c>
      <c r="H72" t="s">
        <v>37</v>
      </c>
    </row>
    <row r="73" spans="1:8" x14ac:dyDescent="0.25">
      <c r="A73" t="s">
        <v>38</v>
      </c>
      <c r="B73" t="s">
        <v>22</v>
      </c>
      <c r="C73" s="10">
        <v>45583</v>
      </c>
      <c r="D73">
        <v>0.7236842105263156</v>
      </c>
      <c r="E73">
        <v>13</v>
      </c>
      <c r="F73">
        <v>35</v>
      </c>
      <c r="G73" t="s">
        <v>14</v>
      </c>
      <c r="H73" t="s">
        <v>37</v>
      </c>
    </row>
    <row r="74" spans="1:8" x14ac:dyDescent="0.25">
      <c r="A74" t="s">
        <v>36</v>
      </c>
      <c r="B74" t="s">
        <v>22</v>
      </c>
      <c r="C74" s="10">
        <v>45584</v>
      </c>
      <c r="D74">
        <v>0.78947368421052633</v>
      </c>
      <c r="E74">
        <v>13</v>
      </c>
      <c r="F74">
        <v>37</v>
      </c>
      <c r="G74" t="s">
        <v>14</v>
      </c>
      <c r="H74" t="s">
        <v>37</v>
      </c>
    </row>
    <row r="75" spans="1:8" x14ac:dyDescent="0.25">
      <c r="A75" t="s">
        <v>39</v>
      </c>
      <c r="B75" t="s">
        <v>22</v>
      </c>
      <c r="C75" s="10">
        <v>45574</v>
      </c>
      <c r="D75">
        <v>3.0701754385964914E-2</v>
      </c>
      <c r="E75">
        <v>15</v>
      </c>
      <c r="F75">
        <v>9</v>
      </c>
      <c r="G75" t="s">
        <v>14</v>
      </c>
      <c r="H75" t="s">
        <v>37</v>
      </c>
    </row>
    <row r="76" spans="1:8" x14ac:dyDescent="0.25">
      <c r="A76" t="s">
        <v>38</v>
      </c>
      <c r="B76" t="s">
        <v>22</v>
      </c>
      <c r="C76" s="10">
        <v>45574</v>
      </c>
      <c r="D76">
        <v>0.89035087719298245</v>
      </c>
      <c r="E76">
        <v>15</v>
      </c>
      <c r="F76">
        <v>8</v>
      </c>
      <c r="G76" t="s">
        <v>14</v>
      </c>
      <c r="H76" t="s">
        <v>37</v>
      </c>
    </row>
    <row r="77" spans="1:8" x14ac:dyDescent="0.25">
      <c r="A77" t="s">
        <v>36</v>
      </c>
      <c r="B77" t="s">
        <v>22</v>
      </c>
      <c r="C77" s="10">
        <v>45575</v>
      </c>
      <c r="D77">
        <v>1.021671826625387</v>
      </c>
      <c r="E77">
        <v>15</v>
      </c>
      <c r="F77">
        <v>10</v>
      </c>
      <c r="G77" t="s">
        <v>14</v>
      </c>
      <c r="H77" t="s">
        <v>37</v>
      </c>
    </row>
    <row r="78" spans="1:8" x14ac:dyDescent="0.25">
      <c r="A78" t="s">
        <v>38</v>
      </c>
      <c r="B78" t="s">
        <v>22</v>
      </c>
      <c r="C78" s="10">
        <v>45575</v>
      </c>
      <c r="D78">
        <v>3.0959752321981424E-2</v>
      </c>
      <c r="E78">
        <v>15</v>
      </c>
      <c r="F78">
        <v>11</v>
      </c>
      <c r="G78" t="s">
        <v>14</v>
      </c>
      <c r="H78" t="s">
        <v>37</v>
      </c>
    </row>
    <row r="79" spans="1:8" x14ac:dyDescent="0.25">
      <c r="A79" t="s">
        <v>36</v>
      </c>
      <c r="B79" t="s">
        <v>22</v>
      </c>
      <c r="C79" s="10">
        <v>45577</v>
      </c>
      <c r="D79">
        <v>1.0216718266253872</v>
      </c>
      <c r="E79">
        <v>15</v>
      </c>
      <c r="F79">
        <v>16</v>
      </c>
      <c r="G79" t="s">
        <v>14</v>
      </c>
      <c r="H79" t="s">
        <v>37</v>
      </c>
    </row>
    <row r="80" spans="1:8" x14ac:dyDescent="0.25">
      <c r="A80" t="s">
        <v>38</v>
      </c>
      <c r="B80" t="s">
        <v>22</v>
      </c>
      <c r="C80" s="10">
        <v>45577</v>
      </c>
      <c r="D80">
        <v>3.0959752321981424E-2</v>
      </c>
      <c r="E80">
        <v>15</v>
      </c>
      <c r="F80">
        <v>17</v>
      </c>
      <c r="G80" t="s">
        <v>14</v>
      </c>
      <c r="H80" t="s">
        <v>37</v>
      </c>
    </row>
    <row r="81" spans="1:8" x14ac:dyDescent="0.25">
      <c r="A81" t="s">
        <v>38</v>
      </c>
      <c r="B81" t="s">
        <v>22</v>
      </c>
      <c r="C81" s="10">
        <v>45581</v>
      </c>
      <c r="D81">
        <v>0.7236842105263156</v>
      </c>
      <c r="E81">
        <v>15</v>
      </c>
      <c r="F81">
        <v>29</v>
      </c>
      <c r="G81" t="s">
        <v>14</v>
      </c>
      <c r="H81" t="s">
        <v>37</v>
      </c>
    </row>
    <row r="82" spans="1:8" x14ac:dyDescent="0.25">
      <c r="A82" t="s">
        <v>36</v>
      </c>
      <c r="B82" t="s">
        <v>22</v>
      </c>
      <c r="C82" s="10">
        <v>45582</v>
      </c>
      <c r="D82">
        <v>0.78947368421052622</v>
      </c>
      <c r="E82">
        <v>15</v>
      </c>
      <c r="F82">
        <v>31</v>
      </c>
      <c r="G82" t="s">
        <v>14</v>
      </c>
      <c r="H82" t="s">
        <v>37</v>
      </c>
    </row>
    <row r="83" spans="1:8" x14ac:dyDescent="0.25">
      <c r="A83" t="s">
        <v>38</v>
      </c>
      <c r="B83" t="s">
        <v>22</v>
      </c>
      <c r="C83" s="10">
        <v>45583</v>
      </c>
      <c r="D83">
        <v>0.7236842105263156</v>
      </c>
      <c r="E83">
        <v>15</v>
      </c>
      <c r="F83">
        <v>35</v>
      </c>
      <c r="G83" t="s">
        <v>14</v>
      </c>
      <c r="H83" t="s">
        <v>37</v>
      </c>
    </row>
    <row r="84" spans="1:8" x14ac:dyDescent="0.25">
      <c r="A84" t="s">
        <v>38</v>
      </c>
      <c r="B84" t="s">
        <v>22</v>
      </c>
      <c r="C84" s="10">
        <v>45585</v>
      </c>
      <c r="D84">
        <v>0.72368421052631571</v>
      </c>
      <c r="E84">
        <v>15</v>
      </c>
      <c r="F84">
        <v>41</v>
      </c>
      <c r="G84" t="s">
        <v>14</v>
      </c>
      <c r="H84" t="s">
        <v>37</v>
      </c>
    </row>
    <row r="85" spans="1:8" x14ac:dyDescent="0.25">
      <c r="A85" t="s">
        <v>39</v>
      </c>
      <c r="B85" t="s">
        <v>22</v>
      </c>
      <c r="C85" s="10">
        <v>45573</v>
      </c>
      <c r="D85">
        <v>3.0701754385964914E-2</v>
      </c>
      <c r="E85">
        <v>16</v>
      </c>
      <c r="F85">
        <v>6</v>
      </c>
      <c r="G85" t="s">
        <v>14</v>
      </c>
      <c r="H85" t="s">
        <v>37</v>
      </c>
    </row>
    <row r="86" spans="1:8" x14ac:dyDescent="0.25">
      <c r="A86" t="s">
        <v>38</v>
      </c>
      <c r="B86" t="s">
        <v>22</v>
      </c>
      <c r="C86" s="10">
        <v>45573</v>
      </c>
      <c r="D86">
        <v>0.89035087719298245</v>
      </c>
      <c r="E86">
        <v>16</v>
      </c>
      <c r="F86">
        <v>5</v>
      </c>
      <c r="G86" t="s">
        <v>14</v>
      </c>
      <c r="H86" t="s">
        <v>37</v>
      </c>
    </row>
    <row r="87" spans="1:8" x14ac:dyDescent="0.25">
      <c r="A87" t="s">
        <v>39</v>
      </c>
      <c r="B87" t="s">
        <v>22</v>
      </c>
      <c r="C87" s="10">
        <v>45580</v>
      </c>
      <c r="D87">
        <v>3.0701754385964914E-2</v>
      </c>
      <c r="E87">
        <v>16</v>
      </c>
      <c r="F87">
        <v>27</v>
      </c>
      <c r="G87" t="s">
        <v>14</v>
      </c>
      <c r="H87" t="s">
        <v>37</v>
      </c>
    </row>
    <row r="88" spans="1:8" x14ac:dyDescent="0.25">
      <c r="A88" t="s">
        <v>38</v>
      </c>
      <c r="B88" t="s">
        <v>22</v>
      </c>
      <c r="C88" s="10">
        <v>45580</v>
      </c>
      <c r="D88">
        <v>0.89035087719298245</v>
      </c>
      <c r="E88">
        <v>16</v>
      </c>
      <c r="F88">
        <v>26</v>
      </c>
      <c r="G88" t="s">
        <v>14</v>
      </c>
      <c r="H88" t="s">
        <v>37</v>
      </c>
    </row>
    <row r="89" spans="1:8" x14ac:dyDescent="0.25">
      <c r="A89" t="s">
        <v>38</v>
      </c>
      <c r="B89" t="s">
        <v>22</v>
      </c>
      <c r="C89" s="10">
        <v>45582</v>
      </c>
      <c r="D89">
        <v>0.7236842105263156</v>
      </c>
      <c r="E89">
        <v>16</v>
      </c>
      <c r="F89">
        <v>32</v>
      </c>
      <c r="G89" t="s">
        <v>14</v>
      </c>
      <c r="H89" t="s">
        <v>37</v>
      </c>
    </row>
    <row r="90" spans="1:8" x14ac:dyDescent="0.25">
      <c r="A90" t="s">
        <v>38</v>
      </c>
      <c r="B90" t="s">
        <v>22</v>
      </c>
      <c r="C90" s="10">
        <v>45584</v>
      </c>
      <c r="D90">
        <v>0.72368421052631571</v>
      </c>
      <c r="E90">
        <v>16</v>
      </c>
      <c r="F90">
        <v>38</v>
      </c>
      <c r="G90" t="s">
        <v>14</v>
      </c>
      <c r="H90" t="s">
        <v>37</v>
      </c>
    </row>
    <row r="91" spans="1:8" x14ac:dyDescent="0.25">
      <c r="A91" t="s">
        <v>39</v>
      </c>
      <c r="B91" t="s">
        <v>22</v>
      </c>
      <c r="C91" s="10">
        <v>45577</v>
      </c>
      <c r="D91">
        <v>1.0545112781954891</v>
      </c>
      <c r="E91">
        <v>18</v>
      </c>
      <c r="F91">
        <v>18</v>
      </c>
      <c r="G91" t="s">
        <v>14</v>
      </c>
      <c r="H91" t="s">
        <v>37</v>
      </c>
    </row>
    <row r="92" spans="1:8" x14ac:dyDescent="0.25">
      <c r="A92" t="s">
        <v>36</v>
      </c>
      <c r="B92" t="s">
        <v>22</v>
      </c>
      <c r="C92" s="10">
        <v>45578</v>
      </c>
      <c r="D92">
        <v>3.1015037593984971E-2</v>
      </c>
      <c r="E92">
        <v>18</v>
      </c>
      <c r="F92">
        <v>19</v>
      </c>
      <c r="G92" t="s">
        <v>14</v>
      </c>
      <c r="H92" t="s">
        <v>37</v>
      </c>
    </row>
    <row r="93" spans="1:8" x14ac:dyDescent="0.25">
      <c r="A93" t="s">
        <v>39</v>
      </c>
      <c r="B93" t="s">
        <v>22</v>
      </c>
      <c r="C93" s="10">
        <v>45578</v>
      </c>
      <c r="D93">
        <v>1.0545112781954891</v>
      </c>
      <c r="E93">
        <v>18</v>
      </c>
      <c r="F93">
        <v>21</v>
      </c>
      <c r="G93" t="s">
        <v>14</v>
      </c>
      <c r="H93" t="s">
        <v>37</v>
      </c>
    </row>
    <row r="94" spans="1:8" x14ac:dyDescent="0.25">
      <c r="A94" t="s">
        <v>36</v>
      </c>
      <c r="B94" t="s">
        <v>22</v>
      </c>
      <c r="C94" s="10">
        <v>45579</v>
      </c>
      <c r="D94">
        <v>3.1015037593984971E-2</v>
      </c>
      <c r="E94">
        <v>18</v>
      </c>
      <c r="F94">
        <v>22</v>
      </c>
      <c r="G94" t="s">
        <v>14</v>
      </c>
      <c r="H94" t="s">
        <v>37</v>
      </c>
    </row>
    <row r="95" spans="1:8" x14ac:dyDescent="0.25">
      <c r="A95" t="s">
        <v>39</v>
      </c>
      <c r="B95" t="s">
        <v>22</v>
      </c>
      <c r="C95" s="10">
        <v>45584</v>
      </c>
      <c r="D95">
        <v>1.0545112781954891</v>
      </c>
      <c r="E95">
        <v>18</v>
      </c>
      <c r="F95">
        <v>39</v>
      </c>
      <c r="G95" t="s">
        <v>14</v>
      </c>
      <c r="H95" t="s">
        <v>37</v>
      </c>
    </row>
    <row r="96" spans="1:8" x14ac:dyDescent="0.25">
      <c r="A96" t="s">
        <v>36</v>
      </c>
      <c r="B96" t="s">
        <v>22</v>
      </c>
      <c r="C96" s="10">
        <v>45585</v>
      </c>
      <c r="D96">
        <v>3.1015037593984971E-2</v>
      </c>
      <c r="E96">
        <v>18</v>
      </c>
      <c r="F96">
        <v>40</v>
      </c>
      <c r="G96" t="s">
        <v>14</v>
      </c>
      <c r="H96" t="s">
        <v>37</v>
      </c>
    </row>
    <row r="97" spans="1:8" x14ac:dyDescent="0.25">
      <c r="A97" t="s">
        <v>39</v>
      </c>
      <c r="B97" t="s">
        <v>22</v>
      </c>
      <c r="C97" s="10">
        <v>45585</v>
      </c>
      <c r="D97">
        <v>1.023496240601504</v>
      </c>
      <c r="E97">
        <v>18</v>
      </c>
      <c r="F97">
        <v>42</v>
      </c>
      <c r="G97" t="s">
        <v>14</v>
      </c>
      <c r="H97" t="s">
        <v>37</v>
      </c>
    </row>
    <row r="98" spans="1:8" x14ac:dyDescent="0.25">
      <c r="A98" t="s">
        <v>36</v>
      </c>
      <c r="B98" t="s">
        <v>22</v>
      </c>
      <c r="C98" s="10">
        <v>45586</v>
      </c>
      <c r="D98">
        <v>3.1015037593984971E-2</v>
      </c>
      <c r="E98">
        <v>18</v>
      </c>
      <c r="G98" t="s">
        <v>14</v>
      </c>
      <c r="H98" t="s">
        <v>37</v>
      </c>
    </row>
    <row r="99" spans="1:8" x14ac:dyDescent="0.25">
      <c r="A99" t="s">
        <v>39</v>
      </c>
      <c r="B99" t="s">
        <v>22</v>
      </c>
      <c r="C99" s="10">
        <v>45586</v>
      </c>
      <c r="D99">
        <v>3.1015037593984971E-2</v>
      </c>
      <c r="E99">
        <v>18</v>
      </c>
      <c r="G99" t="s">
        <v>14</v>
      </c>
      <c r="H99" t="s">
        <v>37</v>
      </c>
    </row>
    <row r="100" spans="1:8" x14ac:dyDescent="0.25">
      <c r="A100" t="s">
        <v>36</v>
      </c>
      <c r="B100" t="s">
        <v>22</v>
      </c>
      <c r="C100" s="10">
        <v>45573</v>
      </c>
      <c r="D100">
        <v>1.0216718266253872</v>
      </c>
      <c r="E100">
        <v>19</v>
      </c>
      <c r="F100">
        <v>4</v>
      </c>
      <c r="G100" t="s">
        <v>14</v>
      </c>
      <c r="H100" t="s">
        <v>37</v>
      </c>
    </row>
    <row r="101" spans="1:8" x14ac:dyDescent="0.25">
      <c r="A101" t="s">
        <v>38</v>
      </c>
      <c r="B101" t="s">
        <v>22</v>
      </c>
      <c r="C101" s="10">
        <v>45573</v>
      </c>
      <c r="D101">
        <v>3.0959752321981424E-2</v>
      </c>
      <c r="E101">
        <v>19</v>
      </c>
      <c r="F101">
        <v>5</v>
      </c>
      <c r="G101" t="s">
        <v>14</v>
      </c>
      <c r="H101" t="s">
        <v>37</v>
      </c>
    </row>
    <row r="102" spans="1:8" x14ac:dyDescent="0.25">
      <c r="A102" t="s">
        <v>36</v>
      </c>
      <c r="B102" t="s">
        <v>22</v>
      </c>
      <c r="C102" s="10">
        <v>45574</v>
      </c>
      <c r="D102">
        <v>1.0216718266253872</v>
      </c>
      <c r="E102">
        <v>19</v>
      </c>
      <c r="F102">
        <v>7</v>
      </c>
      <c r="G102" t="s">
        <v>14</v>
      </c>
      <c r="H102" t="s">
        <v>37</v>
      </c>
    </row>
    <row r="103" spans="1:8" x14ac:dyDescent="0.25">
      <c r="A103" t="s">
        <v>38</v>
      </c>
      <c r="B103" t="s">
        <v>22</v>
      </c>
      <c r="C103" s="10">
        <v>45574</v>
      </c>
      <c r="D103">
        <v>3.0959752321981424E-2</v>
      </c>
      <c r="E103">
        <v>19</v>
      </c>
      <c r="F103">
        <v>8</v>
      </c>
      <c r="G103" t="s">
        <v>14</v>
      </c>
      <c r="H103" t="s">
        <v>37</v>
      </c>
    </row>
    <row r="104" spans="1:8" x14ac:dyDescent="0.25">
      <c r="A104" t="s">
        <v>36</v>
      </c>
      <c r="B104" t="s">
        <v>22</v>
      </c>
      <c r="C104" s="10">
        <v>45575</v>
      </c>
      <c r="D104">
        <v>1.021671826625387</v>
      </c>
      <c r="E104">
        <v>19</v>
      </c>
      <c r="F104">
        <v>10</v>
      </c>
      <c r="G104" t="s">
        <v>14</v>
      </c>
      <c r="H104" t="s">
        <v>37</v>
      </c>
    </row>
    <row r="105" spans="1:8" x14ac:dyDescent="0.25">
      <c r="A105" t="s">
        <v>38</v>
      </c>
      <c r="B105" t="s">
        <v>22</v>
      </c>
      <c r="C105" s="10">
        <v>45575</v>
      </c>
      <c r="D105">
        <v>3.0959752321981424E-2</v>
      </c>
      <c r="E105">
        <v>19</v>
      </c>
      <c r="F105">
        <v>11</v>
      </c>
      <c r="G105" t="s">
        <v>14</v>
      </c>
      <c r="H105" t="s">
        <v>37</v>
      </c>
    </row>
    <row r="106" spans="1:8" x14ac:dyDescent="0.25">
      <c r="A106" t="s">
        <v>36</v>
      </c>
      <c r="B106" t="s">
        <v>22</v>
      </c>
      <c r="C106" s="10">
        <v>45576</v>
      </c>
      <c r="D106">
        <v>1.021671826625387</v>
      </c>
      <c r="E106">
        <v>19</v>
      </c>
      <c r="F106">
        <v>13</v>
      </c>
      <c r="G106" t="s">
        <v>14</v>
      </c>
      <c r="H106" t="s">
        <v>37</v>
      </c>
    </row>
    <row r="107" spans="1:8" x14ac:dyDescent="0.25">
      <c r="A107" t="s">
        <v>38</v>
      </c>
      <c r="B107" t="s">
        <v>22</v>
      </c>
      <c r="C107" s="10">
        <v>45576</v>
      </c>
      <c r="D107">
        <v>3.0959752321981424E-2</v>
      </c>
      <c r="E107">
        <v>19</v>
      </c>
      <c r="F107">
        <v>14</v>
      </c>
      <c r="G107" t="s">
        <v>14</v>
      </c>
      <c r="H107" t="s">
        <v>37</v>
      </c>
    </row>
    <row r="108" spans="1:8" x14ac:dyDescent="0.25">
      <c r="A108" t="s">
        <v>36</v>
      </c>
      <c r="B108" t="s">
        <v>22</v>
      </c>
      <c r="C108" s="10">
        <v>45577</v>
      </c>
      <c r="D108">
        <v>0.78947368421052633</v>
      </c>
      <c r="E108">
        <v>19</v>
      </c>
      <c r="F108">
        <v>16</v>
      </c>
      <c r="G108" t="s">
        <v>14</v>
      </c>
      <c r="H108" t="s">
        <v>37</v>
      </c>
    </row>
    <row r="109" spans="1:8" x14ac:dyDescent="0.25">
      <c r="A109" t="s">
        <v>36</v>
      </c>
      <c r="B109" t="s">
        <v>22</v>
      </c>
      <c r="C109" s="10">
        <v>45578</v>
      </c>
      <c r="D109">
        <v>0.78947368421052633</v>
      </c>
      <c r="E109">
        <v>19</v>
      </c>
      <c r="F109">
        <v>19</v>
      </c>
      <c r="G109" t="s">
        <v>14</v>
      </c>
      <c r="H109" t="s">
        <v>37</v>
      </c>
    </row>
    <row r="110" spans="1:8" x14ac:dyDescent="0.25">
      <c r="A110" t="s">
        <v>36</v>
      </c>
      <c r="B110" t="s">
        <v>22</v>
      </c>
      <c r="C110" s="10">
        <v>45580</v>
      </c>
      <c r="D110">
        <v>1.021671826625387</v>
      </c>
      <c r="E110">
        <v>19</v>
      </c>
      <c r="F110">
        <v>25</v>
      </c>
      <c r="G110" t="s">
        <v>14</v>
      </c>
      <c r="H110" t="s">
        <v>37</v>
      </c>
    </row>
    <row r="111" spans="1:8" x14ac:dyDescent="0.25">
      <c r="A111" t="s">
        <v>38</v>
      </c>
      <c r="B111" t="s">
        <v>22</v>
      </c>
      <c r="C111" s="10">
        <v>45580</v>
      </c>
      <c r="D111">
        <v>3.0959752321981424E-2</v>
      </c>
      <c r="E111">
        <v>19</v>
      </c>
      <c r="F111">
        <v>26</v>
      </c>
      <c r="G111" t="s">
        <v>14</v>
      </c>
      <c r="H111" t="s">
        <v>37</v>
      </c>
    </row>
    <row r="112" spans="1:8" x14ac:dyDescent="0.25">
      <c r="A112" t="s">
        <v>36</v>
      </c>
      <c r="B112" t="s">
        <v>22</v>
      </c>
      <c r="C112" s="10">
        <v>45581</v>
      </c>
      <c r="D112">
        <v>1.021671826625387</v>
      </c>
      <c r="E112">
        <v>19</v>
      </c>
      <c r="F112">
        <v>28</v>
      </c>
      <c r="G112" t="s">
        <v>14</v>
      </c>
      <c r="H112" t="s">
        <v>37</v>
      </c>
    </row>
    <row r="113" spans="1:8" x14ac:dyDescent="0.25">
      <c r="A113" t="s">
        <v>38</v>
      </c>
      <c r="B113" t="s">
        <v>22</v>
      </c>
      <c r="C113" s="10">
        <v>45581</v>
      </c>
      <c r="D113">
        <v>3.0959752321981424E-2</v>
      </c>
      <c r="E113">
        <v>19</v>
      </c>
      <c r="F113">
        <v>29</v>
      </c>
      <c r="G113" t="s">
        <v>14</v>
      </c>
      <c r="H113" t="s">
        <v>37</v>
      </c>
    </row>
    <row r="114" spans="1:8" x14ac:dyDescent="0.25">
      <c r="A114" t="s">
        <v>36</v>
      </c>
      <c r="B114" t="s">
        <v>22</v>
      </c>
      <c r="C114" s="10">
        <v>45582</v>
      </c>
      <c r="D114">
        <v>1.021671826625387</v>
      </c>
      <c r="E114">
        <v>19</v>
      </c>
      <c r="F114">
        <v>31</v>
      </c>
      <c r="G114" t="s">
        <v>14</v>
      </c>
      <c r="H114" t="s">
        <v>37</v>
      </c>
    </row>
    <row r="115" spans="1:8" x14ac:dyDescent="0.25">
      <c r="A115" t="s">
        <v>38</v>
      </c>
      <c r="B115" t="s">
        <v>22</v>
      </c>
      <c r="C115" s="10">
        <v>45582</v>
      </c>
      <c r="D115">
        <v>3.0959752321981424E-2</v>
      </c>
      <c r="E115">
        <v>19</v>
      </c>
      <c r="F115">
        <v>32</v>
      </c>
      <c r="G115" t="s">
        <v>14</v>
      </c>
      <c r="H115" t="s">
        <v>37</v>
      </c>
    </row>
    <row r="116" spans="1:8" x14ac:dyDescent="0.25">
      <c r="A116" t="s">
        <v>36</v>
      </c>
      <c r="B116" t="s">
        <v>22</v>
      </c>
      <c r="C116" s="10">
        <v>45583</v>
      </c>
      <c r="D116">
        <v>1.0216718266253872</v>
      </c>
      <c r="E116">
        <v>19</v>
      </c>
      <c r="F116">
        <v>34</v>
      </c>
      <c r="G116" t="s">
        <v>14</v>
      </c>
      <c r="H116" t="s">
        <v>37</v>
      </c>
    </row>
    <row r="117" spans="1:8" x14ac:dyDescent="0.25">
      <c r="A117" t="s">
        <v>38</v>
      </c>
      <c r="B117" t="s">
        <v>22</v>
      </c>
      <c r="C117" s="10">
        <v>45583</v>
      </c>
      <c r="D117">
        <v>3.0959752321981424E-2</v>
      </c>
      <c r="E117">
        <v>19</v>
      </c>
      <c r="F117">
        <v>35</v>
      </c>
      <c r="G117" t="s">
        <v>14</v>
      </c>
      <c r="H117" t="s">
        <v>37</v>
      </c>
    </row>
    <row r="118" spans="1:8" x14ac:dyDescent="0.25">
      <c r="A118" t="s">
        <v>36</v>
      </c>
      <c r="B118" t="s">
        <v>22</v>
      </c>
      <c r="C118" s="10">
        <v>45584</v>
      </c>
      <c r="D118">
        <v>0.78947368421052633</v>
      </c>
      <c r="E118">
        <v>19</v>
      </c>
      <c r="F118">
        <v>37</v>
      </c>
      <c r="G118" t="s">
        <v>14</v>
      </c>
      <c r="H118" t="s">
        <v>37</v>
      </c>
    </row>
    <row r="119" spans="1:8" x14ac:dyDescent="0.25">
      <c r="A119" t="s">
        <v>38</v>
      </c>
      <c r="B119" t="s">
        <v>22</v>
      </c>
      <c r="C119" s="10">
        <v>45572</v>
      </c>
      <c r="D119">
        <v>0.7236842105263156</v>
      </c>
      <c r="E119">
        <v>20</v>
      </c>
      <c r="F119">
        <v>2</v>
      </c>
      <c r="G119" t="s">
        <v>14</v>
      </c>
      <c r="H119" t="s">
        <v>37</v>
      </c>
    </row>
    <row r="120" spans="1:8" x14ac:dyDescent="0.25">
      <c r="A120" t="s">
        <v>39</v>
      </c>
      <c r="B120" t="s">
        <v>22</v>
      </c>
      <c r="C120" s="10">
        <v>45573</v>
      </c>
      <c r="D120">
        <v>3.0701754385964914E-2</v>
      </c>
      <c r="E120">
        <v>20</v>
      </c>
      <c r="F120">
        <v>6</v>
      </c>
      <c r="G120" t="s">
        <v>14</v>
      </c>
      <c r="H120" t="s">
        <v>37</v>
      </c>
    </row>
    <row r="121" spans="1:8" x14ac:dyDescent="0.25">
      <c r="A121" t="s">
        <v>38</v>
      </c>
      <c r="B121" t="s">
        <v>22</v>
      </c>
      <c r="C121" s="10">
        <v>45573</v>
      </c>
      <c r="D121">
        <v>0.89035087719298245</v>
      </c>
      <c r="E121">
        <v>20</v>
      </c>
      <c r="F121">
        <v>5</v>
      </c>
      <c r="G121" t="s">
        <v>14</v>
      </c>
      <c r="H121" t="s">
        <v>37</v>
      </c>
    </row>
    <row r="122" spans="1:8" x14ac:dyDescent="0.25">
      <c r="A122" t="s">
        <v>39</v>
      </c>
      <c r="B122" t="s">
        <v>22</v>
      </c>
      <c r="C122" s="10">
        <v>45576</v>
      </c>
      <c r="D122">
        <v>3.0701754385964914E-2</v>
      </c>
      <c r="E122">
        <v>20</v>
      </c>
      <c r="F122">
        <v>15</v>
      </c>
      <c r="G122" t="s">
        <v>14</v>
      </c>
      <c r="H122" t="s">
        <v>37</v>
      </c>
    </row>
    <row r="123" spans="1:8" x14ac:dyDescent="0.25">
      <c r="A123" t="s">
        <v>38</v>
      </c>
      <c r="B123" t="s">
        <v>22</v>
      </c>
      <c r="C123" s="10">
        <v>45576</v>
      </c>
      <c r="D123">
        <v>0.89035087719298223</v>
      </c>
      <c r="E123">
        <v>20</v>
      </c>
      <c r="F123">
        <v>14</v>
      </c>
      <c r="G123" t="s">
        <v>14</v>
      </c>
      <c r="H123" t="s">
        <v>37</v>
      </c>
    </row>
    <row r="124" spans="1:8" x14ac:dyDescent="0.25">
      <c r="A124" t="s">
        <v>39</v>
      </c>
      <c r="B124" t="s">
        <v>22</v>
      </c>
      <c r="C124" s="10">
        <v>45577</v>
      </c>
      <c r="D124">
        <v>3.0701754385964914E-2</v>
      </c>
      <c r="E124">
        <v>20</v>
      </c>
      <c r="F124">
        <v>18</v>
      </c>
      <c r="G124" t="s">
        <v>14</v>
      </c>
      <c r="H124" t="s">
        <v>37</v>
      </c>
    </row>
    <row r="125" spans="1:8" x14ac:dyDescent="0.25">
      <c r="A125" t="s">
        <v>38</v>
      </c>
      <c r="B125" t="s">
        <v>22</v>
      </c>
      <c r="C125" s="10">
        <v>45577</v>
      </c>
      <c r="D125">
        <v>0.89035087719298223</v>
      </c>
      <c r="E125">
        <v>20</v>
      </c>
      <c r="F125">
        <v>17</v>
      </c>
      <c r="G125" t="s">
        <v>14</v>
      </c>
      <c r="H125" t="s">
        <v>37</v>
      </c>
    </row>
    <row r="126" spans="1:8" x14ac:dyDescent="0.25">
      <c r="A126" t="s">
        <v>39</v>
      </c>
      <c r="B126" t="s">
        <v>22</v>
      </c>
      <c r="C126" s="10">
        <v>45578</v>
      </c>
      <c r="D126">
        <v>3.0701754385964914E-2</v>
      </c>
      <c r="E126">
        <v>20</v>
      </c>
      <c r="F126">
        <v>21</v>
      </c>
      <c r="G126" t="s">
        <v>14</v>
      </c>
      <c r="H126" t="s">
        <v>37</v>
      </c>
    </row>
    <row r="127" spans="1:8" x14ac:dyDescent="0.25">
      <c r="A127" t="s">
        <v>38</v>
      </c>
      <c r="B127" t="s">
        <v>22</v>
      </c>
      <c r="C127" s="10">
        <v>45578</v>
      </c>
      <c r="D127">
        <v>0.89035087719298245</v>
      </c>
      <c r="E127">
        <v>20</v>
      </c>
      <c r="F127">
        <v>20</v>
      </c>
      <c r="G127" t="s">
        <v>14</v>
      </c>
      <c r="H127" t="s">
        <v>37</v>
      </c>
    </row>
    <row r="128" spans="1:8" x14ac:dyDescent="0.25">
      <c r="A128" t="s">
        <v>38</v>
      </c>
      <c r="B128" t="s">
        <v>22</v>
      </c>
      <c r="C128" s="10">
        <v>45579</v>
      </c>
      <c r="D128">
        <v>0.7236842105263156</v>
      </c>
      <c r="E128">
        <v>20</v>
      </c>
      <c r="F128">
        <v>23</v>
      </c>
      <c r="G128" t="s">
        <v>14</v>
      </c>
      <c r="H128" t="s">
        <v>37</v>
      </c>
    </row>
    <row r="129" spans="1:8" x14ac:dyDescent="0.25">
      <c r="A129" t="s">
        <v>39</v>
      </c>
      <c r="B129" t="s">
        <v>22</v>
      </c>
      <c r="C129" s="10">
        <v>45580</v>
      </c>
      <c r="D129">
        <v>3.0701754385964914E-2</v>
      </c>
      <c r="E129">
        <v>20</v>
      </c>
      <c r="F129">
        <v>27</v>
      </c>
      <c r="G129" t="s">
        <v>14</v>
      </c>
      <c r="H129" t="s">
        <v>37</v>
      </c>
    </row>
    <row r="130" spans="1:8" x14ac:dyDescent="0.25">
      <c r="A130" t="s">
        <v>38</v>
      </c>
      <c r="B130" t="s">
        <v>22</v>
      </c>
      <c r="C130" s="10">
        <v>45580</v>
      </c>
      <c r="D130">
        <v>0.89035087719298245</v>
      </c>
      <c r="E130">
        <v>20</v>
      </c>
      <c r="F130">
        <v>26</v>
      </c>
      <c r="G130" t="s">
        <v>14</v>
      </c>
      <c r="H130" t="s">
        <v>37</v>
      </c>
    </row>
    <row r="131" spans="1:8" x14ac:dyDescent="0.25">
      <c r="A131" t="s">
        <v>39</v>
      </c>
      <c r="B131" t="s">
        <v>22</v>
      </c>
      <c r="C131" s="10">
        <v>45583</v>
      </c>
      <c r="D131">
        <v>3.0701754385964914E-2</v>
      </c>
      <c r="E131">
        <v>20</v>
      </c>
      <c r="F131">
        <v>36</v>
      </c>
      <c r="G131" t="s">
        <v>14</v>
      </c>
      <c r="H131" t="s">
        <v>37</v>
      </c>
    </row>
    <row r="132" spans="1:8" x14ac:dyDescent="0.25">
      <c r="A132" t="s">
        <v>38</v>
      </c>
      <c r="B132" t="s">
        <v>22</v>
      </c>
      <c r="C132" s="10">
        <v>45583</v>
      </c>
      <c r="D132">
        <v>0.89035087719298245</v>
      </c>
      <c r="E132">
        <v>20</v>
      </c>
      <c r="F132">
        <v>35</v>
      </c>
      <c r="G132" t="s">
        <v>14</v>
      </c>
      <c r="H132" t="s">
        <v>37</v>
      </c>
    </row>
    <row r="133" spans="1:8" x14ac:dyDescent="0.25">
      <c r="A133" t="s">
        <v>39</v>
      </c>
      <c r="B133" t="s">
        <v>22</v>
      </c>
      <c r="C133" s="10">
        <v>45584</v>
      </c>
      <c r="D133">
        <v>3.0701754385964914E-2</v>
      </c>
      <c r="E133">
        <v>20</v>
      </c>
      <c r="F133">
        <v>39</v>
      </c>
      <c r="G133" t="s">
        <v>14</v>
      </c>
      <c r="H133" t="s">
        <v>37</v>
      </c>
    </row>
    <row r="134" spans="1:8" x14ac:dyDescent="0.25">
      <c r="A134" t="s">
        <v>38</v>
      </c>
      <c r="B134" t="s">
        <v>22</v>
      </c>
      <c r="C134" s="10">
        <v>45584</v>
      </c>
      <c r="D134">
        <v>0.89035087719298234</v>
      </c>
      <c r="E134">
        <v>20</v>
      </c>
      <c r="F134">
        <v>38</v>
      </c>
      <c r="G134" t="s">
        <v>14</v>
      </c>
      <c r="H134" t="s">
        <v>37</v>
      </c>
    </row>
    <row r="135" spans="1:8" x14ac:dyDescent="0.25">
      <c r="A135" t="s">
        <v>39</v>
      </c>
      <c r="B135" t="s">
        <v>22</v>
      </c>
      <c r="C135" s="10">
        <v>45585</v>
      </c>
      <c r="D135">
        <v>3.0701754385964914E-2</v>
      </c>
      <c r="E135">
        <v>20</v>
      </c>
      <c r="F135">
        <v>42</v>
      </c>
      <c r="G135" t="s">
        <v>14</v>
      </c>
      <c r="H135" t="s">
        <v>37</v>
      </c>
    </row>
    <row r="136" spans="1:8" x14ac:dyDescent="0.25">
      <c r="A136" t="s">
        <v>38</v>
      </c>
      <c r="B136" t="s">
        <v>22</v>
      </c>
      <c r="C136" s="10">
        <v>45585</v>
      </c>
      <c r="D136">
        <v>0.89035087719298245</v>
      </c>
      <c r="E136">
        <v>20</v>
      </c>
      <c r="F136">
        <v>41</v>
      </c>
      <c r="G136" t="s">
        <v>14</v>
      </c>
      <c r="H136" t="s">
        <v>37</v>
      </c>
    </row>
    <row r="137" spans="1:8" x14ac:dyDescent="0.25">
      <c r="A137" t="s">
        <v>36</v>
      </c>
      <c r="B137" t="s">
        <v>22</v>
      </c>
      <c r="C137" s="10">
        <v>45578</v>
      </c>
      <c r="D137">
        <v>0.78947368421052633</v>
      </c>
      <c r="E137">
        <v>21</v>
      </c>
      <c r="F137">
        <v>19</v>
      </c>
      <c r="G137" t="s">
        <v>14</v>
      </c>
      <c r="H137" t="s">
        <v>37</v>
      </c>
    </row>
    <row r="138" spans="1:8" x14ac:dyDescent="0.25">
      <c r="A138" t="s">
        <v>36</v>
      </c>
      <c r="B138" t="s">
        <v>22</v>
      </c>
      <c r="C138" s="10">
        <v>45585</v>
      </c>
      <c r="D138">
        <v>0.78947368421052633</v>
      </c>
      <c r="E138">
        <v>21</v>
      </c>
      <c r="F138">
        <v>40</v>
      </c>
      <c r="G138" t="s">
        <v>14</v>
      </c>
      <c r="H138" t="s">
        <v>37</v>
      </c>
    </row>
    <row r="139" spans="1:8" x14ac:dyDescent="0.25">
      <c r="A139" t="s">
        <v>36</v>
      </c>
      <c r="B139" t="s">
        <v>22</v>
      </c>
      <c r="C139" s="10">
        <v>45572</v>
      </c>
      <c r="D139">
        <v>1.021671826625387</v>
      </c>
      <c r="E139">
        <v>23</v>
      </c>
      <c r="F139">
        <v>1</v>
      </c>
      <c r="G139" t="s">
        <v>14</v>
      </c>
      <c r="H139" t="s">
        <v>37</v>
      </c>
    </row>
    <row r="140" spans="1:8" x14ac:dyDescent="0.25">
      <c r="A140" t="s">
        <v>38</v>
      </c>
      <c r="B140" t="s">
        <v>22</v>
      </c>
      <c r="C140" s="10">
        <v>45572</v>
      </c>
      <c r="D140">
        <v>3.0959752321981424E-2</v>
      </c>
      <c r="E140">
        <v>23</v>
      </c>
      <c r="F140">
        <v>2</v>
      </c>
      <c r="G140" t="s">
        <v>14</v>
      </c>
      <c r="H140" t="s">
        <v>37</v>
      </c>
    </row>
    <row r="141" spans="1:8" x14ac:dyDescent="0.25">
      <c r="A141" t="s">
        <v>36</v>
      </c>
      <c r="B141" t="s">
        <v>22</v>
      </c>
      <c r="C141" s="10">
        <v>45573</v>
      </c>
      <c r="D141">
        <v>1.0216718266253872</v>
      </c>
      <c r="E141">
        <v>23</v>
      </c>
      <c r="F141">
        <v>4</v>
      </c>
      <c r="G141" t="s">
        <v>14</v>
      </c>
      <c r="H141" t="s">
        <v>37</v>
      </c>
    </row>
    <row r="142" spans="1:8" x14ac:dyDescent="0.25">
      <c r="A142" t="s">
        <v>38</v>
      </c>
      <c r="B142" t="s">
        <v>22</v>
      </c>
      <c r="C142" s="10">
        <v>45573</v>
      </c>
      <c r="D142">
        <v>3.0959752321981424E-2</v>
      </c>
      <c r="E142">
        <v>23</v>
      </c>
      <c r="F142">
        <v>5</v>
      </c>
      <c r="G142" t="s">
        <v>14</v>
      </c>
      <c r="H142" t="s">
        <v>37</v>
      </c>
    </row>
    <row r="143" spans="1:8" x14ac:dyDescent="0.25">
      <c r="A143" t="s">
        <v>36</v>
      </c>
      <c r="B143" t="s">
        <v>22</v>
      </c>
      <c r="C143" s="10">
        <v>45574</v>
      </c>
      <c r="D143">
        <v>1.0216718266253872</v>
      </c>
      <c r="E143">
        <v>23</v>
      </c>
      <c r="F143">
        <v>7</v>
      </c>
      <c r="G143" t="s">
        <v>14</v>
      </c>
      <c r="H143" t="s">
        <v>37</v>
      </c>
    </row>
    <row r="144" spans="1:8" x14ac:dyDescent="0.25">
      <c r="A144" t="s">
        <v>38</v>
      </c>
      <c r="B144" t="s">
        <v>22</v>
      </c>
      <c r="C144" s="10">
        <v>45574</v>
      </c>
      <c r="D144">
        <v>3.0959752321981424E-2</v>
      </c>
      <c r="E144">
        <v>23</v>
      </c>
      <c r="F144">
        <v>8</v>
      </c>
      <c r="G144" t="s">
        <v>14</v>
      </c>
      <c r="H144" t="s">
        <v>37</v>
      </c>
    </row>
    <row r="145" spans="1:8" x14ac:dyDescent="0.25">
      <c r="A145" t="s">
        <v>39</v>
      </c>
      <c r="B145" t="s">
        <v>22</v>
      </c>
      <c r="C145" s="10">
        <v>45577</v>
      </c>
      <c r="D145">
        <v>3.0701754385964914E-2</v>
      </c>
      <c r="E145">
        <v>23</v>
      </c>
      <c r="F145">
        <v>18</v>
      </c>
      <c r="G145" t="s">
        <v>14</v>
      </c>
      <c r="H145" t="s">
        <v>37</v>
      </c>
    </row>
    <row r="146" spans="1:8" x14ac:dyDescent="0.25">
      <c r="A146" t="s">
        <v>38</v>
      </c>
      <c r="B146" t="s">
        <v>22</v>
      </c>
      <c r="C146" s="10">
        <v>45577</v>
      </c>
      <c r="D146">
        <v>0.89035087719298223</v>
      </c>
      <c r="E146">
        <v>23</v>
      </c>
      <c r="F146">
        <v>17</v>
      </c>
      <c r="G146" t="s">
        <v>14</v>
      </c>
      <c r="H146" t="s">
        <v>37</v>
      </c>
    </row>
    <row r="147" spans="1:8" x14ac:dyDescent="0.25">
      <c r="A147" t="s">
        <v>36</v>
      </c>
      <c r="B147" t="s">
        <v>22</v>
      </c>
      <c r="C147" s="10">
        <v>45578</v>
      </c>
      <c r="D147">
        <v>1.0079887218045114</v>
      </c>
      <c r="E147">
        <v>23</v>
      </c>
      <c r="F147">
        <v>19</v>
      </c>
      <c r="G147" t="s">
        <v>14</v>
      </c>
      <c r="H147" t="s">
        <v>37</v>
      </c>
    </row>
    <row r="148" spans="1:8" x14ac:dyDescent="0.25">
      <c r="A148" t="s">
        <v>38</v>
      </c>
      <c r="B148" t="s">
        <v>22</v>
      </c>
      <c r="C148" s="10">
        <v>45578</v>
      </c>
      <c r="D148">
        <v>0.70253759398496229</v>
      </c>
      <c r="E148">
        <v>23</v>
      </c>
      <c r="F148">
        <v>20</v>
      </c>
      <c r="G148" t="s">
        <v>14</v>
      </c>
      <c r="H148" t="s">
        <v>37</v>
      </c>
    </row>
    <row r="149" spans="1:8" x14ac:dyDescent="0.25">
      <c r="A149" t="s">
        <v>36</v>
      </c>
      <c r="B149" t="s">
        <v>22</v>
      </c>
      <c r="C149" s="10">
        <v>45579</v>
      </c>
      <c r="D149">
        <v>1.0216718266253872</v>
      </c>
      <c r="E149">
        <v>23</v>
      </c>
      <c r="F149">
        <v>22</v>
      </c>
      <c r="G149" t="s">
        <v>14</v>
      </c>
      <c r="H149" t="s">
        <v>37</v>
      </c>
    </row>
    <row r="150" spans="1:8" x14ac:dyDescent="0.25">
      <c r="A150" t="s">
        <v>38</v>
      </c>
      <c r="B150" t="s">
        <v>22</v>
      </c>
      <c r="C150" s="10">
        <v>45579</v>
      </c>
      <c r="D150">
        <v>3.0959752321981424E-2</v>
      </c>
      <c r="E150">
        <v>23</v>
      </c>
      <c r="F150">
        <v>23</v>
      </c>
      <c r="G150" t="s">
        <v>14</v>
      </c>
      <c r="H150" t="s">
        <v>37</v>
      </c>
    </row>
    <row r="151" spans="1:8" x14ac:dyDescent="0.25">
      <c r="A151" t="s">
        <v>36</v>
      </c>
      <c r="B151" t="s">
        <v>22</v>
      </c>
      <c r="C151" s="10">
        <v>45580</v>
      </c>
      <c r="D151">
        <v>1.021671826625387</v>
      </c>
      <c r="E151">
        <v>23</v>
      </c>
      <c r="F151">
        <v>25</v>
      </c>
      <c r="G151" t="s">
        <v>14</v>
      </c>
      <c r="H151" t="s">
        <v>37</v>
      </c>
    </row>
    <row r="152" spans="1:8" x14ac:dyDescent="0.25">
      <c r="A152" t="s">
        <v>38</v>
      </c>
      <c r="B152" t="s">
        <v>22</v>
      </c>
      <c r="C152" s="10">
        <v>45580</v>
      </c>
      <c r="D152">
        <v>3.0959752321981424E-2</v>
      </c>
      <c r="E152">
        <v>23</v>
      </c>
      <c r="F152">
        <v>26</v>
      </c>
      <c r="G152" t="s">
        <v>14</v>
      </c>
      <c r="H152" t="s">
        <v>37</v>
      </c>
    </row>
    <row r="153" spans="1:8" x14ac:dyDescent="0.25">
      <c r="A153" t="s">
        <v>36</v>
      </c>
      <c r="B153" t="s">
        <v>22</v>
      </c>
      <c r="C153" s="10">
        <v>45581</v>
      </c>
      <c r="D153">
        <v>1.021671826625387</v>
      </c>
      <c r="E153">
        <v>23</v>
      </c>
      <c r="F153">
        <v>28</v>
      </c>
      <c r="G153" t="s">
        <v>14</v>
      </c>
      <c r="H153" t="s">
        <v>37</v>
      </c>
    </row>
    <row r="154" spans="1:8" x14ac:dyDescent="0.25">
      <c r="A154" t="s">
        <v>38</v>
      </c>
      <c r="B154" t="s">
        <v>22</v>
      </c>
      <c r="C154" s="10">
        <v>45581</v>
      </c>
      <c r="D154">
        <v>3.0959752321981424E-2</v>
      </c>
      <c r="E154">
        <v>23</v>
      </c>
      <c r="F154">
        <v>29</v>
      </c>
      <c r="G154" t="s">
        <v>14</v>
      </c>
      <c r="H154" t="s">
        <v>37</v>
      </c>
    </row>
    <row r="155" spans="1:8" x14ac:dyDescent="0.25">
      <c r="A155" t="s">
        <v>39</v>
      </c>
      <c r="B155" t="s">
        <v>22</v>
      </c>
      <c r="C155" s="10">
        <v>45584</v>
      </c>
      <c r="D155">
        <v>3.0701754385964914E-2</v>
      </c>
      <c r="E155">
        <v>23</v>
      </c>
      <c r="F155">
        <v>39</v>
      </c>
      <c r="G155" t="s">
        <v>14</v>
      </c>
      <c r="H155" t="s">
        <v>37</v>
      </c>
    </row>
    <row r="156" spans="1:8" x14ac:dyDescent="0.25">
      <c r="A156" t="s">
        <v>38</v>
      </c>
      <c r="B156" t="s">
        <v>22</v>
      </c>
      <c r="C156" s="10">
        <v>45584</v>
      </c>
      <c r="D156">
        <v>0.89035087719298234</v>
      </c>
      <c r="E156">
        <v>23</v>
      </c>
      <c r="F156">
        <v>38</v>
      </c>
      <c r="G156" t="s">
        <v>14</v>
      </c>
      <c r="H156" t="s">
        <v>37</v>
      </c>
    </row>
    <row r="157" spans="1:8" x14ac:dyDescent="0.25">
      <c r="A157" t="s">
        <v>39</v>
      </c>
      <c r="B157" t="s">
        <v>22</v>
      </c>
      <c r="C157" s="10">
        <v>45585</v>
      </c>
      <c r="D157">
        <v>3.0701754385964914E-2</v>
      </c>
      <c r="E157">
        <v>23</v>
      </c>
      <c r="F157">
        <v>42</v>
      </c>
      <c r="G157" t="s">
        <v>14</v>
      </c>
      <c r="H157" t="s">
        <v>37</v>
      </c>
    </row>
    <row r="158" spans="1:8" x14ac:dyDescent="0.25">
      <c r="A158" t="s">
        <v>38</v>
      </c>
      <c r="B158" t="s">
        <v>22</v>
      </c>
      <c r="C158" s="10">
        <v>45585</v>
      </c>
      <c r="D158">
        <v>0.89035087719298245</v>
      </c>
      <c r="E158">
        <v>23</v>
      </c>
      <c r="F158">
        <v>41</v>
      </c>
      <c r="G158" t="s">
        <v>14</v>
      </c>
      <c r="H158" t="s">
        <v>37</v>
      </c>
    </row>
    <row r="159" spans="1:8" x14ac:dyDescent="0.25">
      <c r="A159" t="s">
        <v>38</v>
      </c>
      <c r="B159" t="s">
        <v>22</v>
      </c>
      <c r="C159" s="10">
        <v>45583</v>
      </c>
      <c r="D159">
        <v>0.7236842105263156</v>
      </c>
      <c r="E159">
        <v>24</v>
      </c>
      <c r="F159">
        <v>35</v>
      </c>
      <c r="G159" t="s">
        <v>14</v>
      </c>
      <c r="H159" t="s">
        <v>37</v>
      </c>
    </row>
    <row r="160" spans="1:8" x14ac:dyDescent="0.25">
      <c r="A160" t="s">
        <v>36</v>
      </c>
      <c r="B160" t="s">
        <v>22</v>
      </c>
      <c r="C160" s="10">
        <v>45584</v>
      </c>
      <c r="D160">
        <v>1.0216718266253872</v>
      </c>
      <c r="E160">
        <v>24</v>
      </c>
      <c r="F160">
        <v>37</v>
      </c>
      <c r="G160" t="s">
        <v>14</v>
      </c>
      <c r="H160" t="s">
        <v>37</v>
      </c>
    </row>
    <row r="161" spans="1:8" x14ac:dyDescent="0.25">
      <c r="A161" t="s">
        <v>38</v>
      </c>
      <c r="B161" t="s">
        <v>22</v>
      </c>
      <c r="C161" s="10">
        <v>45584</v>
      </c>
      <c r="D161">
        <v>3.0959752321981424E-2</v>
      </c>
      <c r="E161">
        <v>24</v>
      </c>
      <c r="F161">
        <v>38</v>
      </c>
      <c r="G161" t="s">
        <v>14</v>
      </c>
      <c r="H161" t="s">
        <v>37</v>
      </c>
    </row>
    <row r="162" spans="1:8" x14ac:dyDescent="0.25">
      <c r="A162" t="s">
        <v>39</v>
      </c>
      <c r="B162" t="s">
        <v>22</v>
      </c>
      <c r="C162" s="10">
        <v>45575</v>
      </c>
      <c r="D162">
        <v>3.0701754385964914E-2</v>
      </c>
      <c r="E162">
        <v>25</v>
      </c>
      <c r="F162">
        <v>12</v>
      </c>
      <c r="G162" t="s">
        <v>14</v>
      </c>
      <c r="H162" t="s">
        <v>37</v>
      </c>
    </row>
    <row r="163" spans="1:8" x14ac:dyDescent="0.25">
      <c r="A163" t="s">
        <v>38</v>
      </c>
      <c r="B163" t="s">
        <v>22</v>
      </c>
      <c r="C163" s="10">
        <v>45575</v>
      </c>
      <c r="D163">
        <v>0.89035087719298234</v>
      </c>
      <c r="E163">
        <v>25</v>
      </c>
      <c r="F163">
        <v>11</v>
      </c>
      <c r="G163" t="s">
        <v>14</v>
      </c>
      <c r="H163" t="s">
        <v>37</v>
      </c>
    </row>
    <row r="164" spans="1:8" x14ac:dyDescent="0.25">
      <c r="A164" t="s">
        <v>38</v>
      </c>
      <c r="B164" t="s">
        <v>22</v>
      </c>
      <c r="C164" s="10">
        <v>45576</v>
      </c>
      <c r="D164">
        <v>0.72368421052631571</v>
      </c>
      <c r="E164">
        <v>25</v>
      </c>
      <c r="F164">
        <v>14</v>
      </c>
      <c r="G164" t="s">
        <v>14</v>
      </c>
      <c r="H164" t="s">
        <v>37</v>
      </c>
    </row>
    <row r="165" spans="1:8" x14ac:dyDescent="0.25">
      <c r="A165" t="s">
        <v>36</v>
      </c>
      <c r="B165" t="s">
        <v>22</v>
      </c>
      <c r="C165" s="10">
        <v>45580</v>
      </c>
      <c r="D165">
        <v>0.78947368421052622</v>
      </c>
      <c r="E165">
        <v>25</v>
      </c>
      <c r="F165">
        <v>25</v>
      </c>
      <c r="G165" t="s">
        <v>14</v>
      </c>
      <c r="H165" t="s">
        <v>37</v>
      </c>
    </row>
    <row r="166" spans="1:8" x14ac:dyDescent="0.25">
      <c r="A166" t="s">
        <v>39</v>
      </c>
      <c r="B166" t="s">
        <v>22</v>
      </c>
      <c r="C166" s="10">
        <v>45582</v>
      </c>
      <c r="D166">
        <v>3.0701754385964914E-2</v>
      </c>
      <c r="E166">
        <v>25</v>
      </c>
      <c r="F166">
        <v>33</v>
      </c>
      <c r="G166" t="s">
        <v>14</v>
      </c>
      <c r="H166" t="s">
        <v>37</v>
      </c>
    </row>
    <row r="167" spans="1:8" x14ac:dyDescent="0.25">
      <c r="A167" t="s">
        <v>38</v>
      </c>
      <c r="B167" t="s">
        <v>22</v>
      </c>
      <c r="C167" s="10">
        <v>45582</v>
      </c>
      <c r="D167">
        <v>0.89035087719298234</v>
      </c>
      <c r="E167">
        <v>25</v>
      </c>
      <c r="F167">
        <v>32</v>
      </c>
      <c r="G167" t="s">
        <v>14</v>
      </c>
      <c r="H167" t="s">
        <v>37</v>
      </c>
    </row>
    <row r="168" spans="1:8" x14ac:dyDescent="0.25">
      <c r="A168" t="s">
        <v>38</v>
      </c>
      <c r="B168" t="s">
        <v>22</v>
      </c>
      <c r="C168" s="10">
        <v>45572</v>
      </c>
      <c r="D168">
        <v>0.7236842105263156</v>
      </c>
      <c r="E168">
        <v>27</v>
      </c>
      <c r="F168">
        <v>2</v>
      </c>
      <c r="G168" t="s">
        <v>14</v>
      </c>
      <c r="H168" t="s">
        <v>37</v>
      </c>
    </row>
    <row r="169" spans="1:8" x14ac:dyDescent="0.25">
      <c r="A169" t="s">
        <v>38</v>
      </c>
      <c r="B169" t="s">
        <v>22</v>
      </c>
      <c r="C169" s="10">
        <v>45574</v>
      </c>
      <c r="D169">
        <v>0.72368421052631571</v>
      </c>
      <c r="E169">
        <v>27</v>
      </c>
      <c r="F169">
        <v>8</v>
      </c>
      <c r="G169" t="s">
        <v>14</v>
      </c>
      <c r="H169" t="s">
        <v>37</v>
      </c>
    </row>
    <row r="170" spans="1:8" x14ac:dyDescent="0.25">
      <c r="A170" t="s">
        <v>39</v>
      </c>
      <c r="B170" t="s">
        <v>22</v>
      </c>
      <c r="C170" s="10">
        <v>45575</v>
      </c>
      <c r="D170">
        <v>3.0701754385964914E-2</v>
      </c>
      <c r="E170">
        <v>27</v>
      </c>
      <c r="F170">
        <v>12</v>
      </c>
      <c r="G170" t="s">
        <v>14</v>
      </c>
      <c r="H170" t="s">
        <v>37</v>
      </c>
    </row>
    <row r="171" spans="1:8" x14ac:dyDescent="0.25">
      <c r="A171" t="s">
        <v>38</v>
      </c>
      <c r="B171" t="s">
        <v>22</v>
      </c>
      <c r="C171" s="10">
        <v>45575</v>
      </c>
      <c r="D171">
        <v>0.89035087719298234</v>
      </c>
      <c r="E171">
        <v>27</v>
      </c>
      <c r="F171">
        <v>11</v>
      </c>
      <c r="G171" t="s">
        <v>14</v>
      </c>
      <c r="H171" t="s">
        <v>37</v>
      </c>
    </row>
    <row r="172" spans="1:8" x14ac:dyDescent="0.25">
      <c r="A172" t="s">
        <v>39</v>
      </c>
      <c r="B172" t="s">
        <v>22</v>
      </c>
      <c r="C172" s="10">
        <v>45576</v>
      </c>
      <c r="D172">
        <v>3.0701754385964914E-2</v>
      </c>
      <c r="E172">
        <v>27</v>
      </c>
      <c r="F172">
        <v>15</v>
      </c>
      <c r="G172" t="s">
        <v>14</v>
      </c>
      <c r="H172" t="s">
        <v>37</v>
      </c>
    </row>
    <row r="173" spans="1:8" x14ac:dyDescent="0.25">
      <c r="A173" t="s">
        <v>38</v>
      </c>
      <c r="B173" t="s">
        <v>22</v>
      </c>
      <c r="C173" s="10">
        <v>45576</v>
      </c>
      <c r="D173">
        <v>0.89035087719298223</v>
      </c>
      <c r="E173">
        <v>27</v>
      </c>
      <c r="F173">
        <v>14</v>
      </c>
      <c r="G173" t="s">
        <v>14</v>
      </c>
      <c r="H173" t="s">
        <v>37</v>
      </c>
    </row>
    <row r="174" spans="1:8" x14ac:dyDescent="0.25">
      <c r="A174" t="s">
        <v>36</v>
      </c>
      <c r="B174" t="s">
        <v>22</v>
      </c>
      <c r="C174" s="10">
        <v>45578</v>
      </c>
      <c r="D174">
        <v>1.0216718266253872</v>
      </c>
      <c r="E174">
        <v>27</v>
      </c>
      <c r="F174">
        <v>19</v>
      </c>
      <c r="G174" t="s">
        <v>14</v>
      </c>
      <c r="H174" t="s">
        <v>37</v>
      </c>
    </row>
    <row r="175" spans="1:8" x14ac:dyDescent="0.25">
      <c r="A175" t="s">
        <v>38</v>
      </c>
      <c r="B175" t="s">
        <v>22</v>
      </c>
      <c r="C175" s="10">
        <v>45578</v>
      </c>
      <c r="D175">
        <v>3.0959752321981424E-2</v>
      </c>
      <c r="E175">
        <v>27</v>
      </c>
      <c r="F175">
        <v>20</v>
      </c>
      <c r="G175" t="s">
        <v>14</v>
      </c>
      <c r="H175" t="s">
        <v>37</v>
      </c>
    </row>
    <row r="176" spans="1:8" x14ac:dyDescent="0.25">
      <c r="A176" t="s">
        <v>39</v>
      </c>
      <c r="B176" t="s">
        <v>22</v>
      </c>
      <c r="C176" s="10">
        <v>45581</v>
      </c>
      <c r="D176">
        <v>3.0701754385964914E-2</v>
      </c>
      <c r="E176">
        <v>27</v>
      </c>
      <c r="F176">
        <v>30</v>
      </c>
      <c r="G176" t="s">
        <v>14</v>
      </c>
      <c r="H176" t="s">
        <v>37</v>
      </c>
    </row>
    <row r="177" spans="1:8" x14ac:dyDescent="0.25">
      <c r="A177" t="s">
        <v>38</v>
      </c>
      <c r="B177" t="s">
        <v>22</v>
      </c>
      <c r="C177" s="10">
        <v>45581</v>
      </c>
      <c r="D177">
        <v>0.89035087719298245</v>
      </c>
      <c r="E177">
        <v>27</v>
      </c>
      <c r="F177">
        <v>29</v>
      </c>
      <c r="G177" t="s">
        <v>14</v>
      </c>
      <c r="H177" t="s">
        <v>37</v>
      </c>
    </row>
    <row r="178" spans="1:8" x14ac:dyDescent="0.25">
      <c r="A178" t="s">
        <v>39</v>
      </c>
      <c r="B178" t="s">
        <v>22</v>
      </c>
      <c r="C178" s="10">
        <v>45582</v>
      </c>
      <c r="D178">
        <v>3.0701754385964914E-2</v>
      </c>
      <c r="E178">
        <v>27</v>
      </c>
      <c r="F178">
        <v>33</v>
      </c>
      <c r="G178" t="s">
        <v>14</v>
      </c>
      <c r="H178" t="s">
        <v>37</v>
      </c>
    </row>
    <row r="179" spans="1:8" x14ac:dyDescent="0.25">
      <c r="A179" t="s">
        <v>38</v>
      </c>
      <c r="B179" t="s">
        <v>22</v>
      </c>
      <c r="C179" s="10">
        <v>45582</v>
      </c>
      <c r="D179">
        <v>0.89035087719298234</v>
      </c>
      <c r="E179">
        <v>27</v>
      </c>
      <c r="F179">
        <v>32</v>
      </c>
      <c r="G179" t="s">
        <v>14</v>
      </c>
      <c r="H179" t="s">
        <v>37</v>
      </c>
    </row>
    <row r="180" spans="1:8" x14ac:dyDescent="0.25">
      <c r="A180" t="s">
        <v>38</v>
      </c>
      <c r="B180" t="s">
        <v>22</v>
      </c>
      <c r="C180" s="10">
        <v>45583</v>
      </c>
      <c r="D180">
        <v>0.7236842105263156</v>
      </c>
      <c r="E180">
        <v>27</v>
      </c>
      <c r="F180">
        <v>35</v>
      </c>
      <c r="G180" t="s">
        <v>14</v>
      </c>
      <c r="H180" t="s">
        <v>37</v>
      </c>
    </row>
    <row r="181" spans="1:8" x14ac:dyDescent="0.25">
      <c r="A181" t="s">
        <v>36</v>
      </c>
      <c r="B181" t="s">
        <v>22</v>
      </c>
      <c r="C181" s="10">
        <v>45584</v>
      </c>
      <c r="D181">
        <v>1.0216718266253872</v>
      </c>
      <c r="E181">
        <v>27</v>
      </c>
      <c r="F181">
        <v>37</v>
      </c>
      <c r="G181" t="s">
        <v>14</v>
      </c>
      <c r="H181" t="s">
        <v>37</v>
      </c>
    </row>
    <row r="182" spans="1:8" x14ac:dyDescent="0.25">
      <c r="A182" t="s">
        <v>38</v>
      </c>
      <c r="B182" t="s">
        <v>22</v>
      </c>
      <c r="C182" s="10">
        <v>45584</v>
      </c>
      <c r="D182">
        <v>3.0959752321981424E-2</v>
      </c>
      <c r="E182">
        <v>27</v>
      </c>
      <c r="F182">
        <v>38</v>
      </c>
      <c r="G182" t="s">
        <v>14</v>
      </c>
      <c r="H182" t="s">
        <v>37</v>
      </c>
    </row>
    <row r="183" spans="1:8" x14ac:dyDescent="0.25">
      <c r="A183" t="s">
        <v>36</v>
      </c>
      <c r="B183" t="s">
        <v>22</v>
      </c>
      <c r="C183" s="10">
        <v>45585</v>
      </c>
      <c r="D183">
        <v>1.021671826625387</v>
      </c>
      <c r="E183">
        <v>27</v>
      </c>
      <c r="F183">
        <v>40</v>
      </c>
      <c r="G183" t="s">
        <v>14</v>
      </c>
      <c r="H183" t="s">
        <v>37</v>
      </c>
    </row>
    <row r="184" spans="1:8" x14ac:dyDescent="0.25">
      <c r="A184" t="s">
        <v>38</v>
      </c>
      <c r="B184" t="s">
        <v>22</v>
      </c>
      <c r="C184" s="10">
        <v>45585</v>
      </c>
      <c r="D184">
        <v>3.0959752321981424E-2</v>
      </c>
      <c r="E184">
        <v>27</v>
      </c>
      <c r="F184">
        <v>41</v>
      </c>
      <c r="G184" t="s">
        <v>14</v>
      </c>
      <c r="H184" t="s">
        <v>37</v>
      </c>
    </row>
    <row r="185" spans="1:8" x14ac:dyDescent="0.25">
      <c r="A185" t="s">
        <v>36</v>
      </c>
      <c r="B185" t="s">
        <v>22</v>
      </c>
      <c r="C185" s="10">
        <v>45577</v>
      </c>
      <c r="D185">
        <v>0.78947368421052633</v>
      </c>
      <c r="E185">
        <v>29</v>
      </c>
      <c r="F185">
        <v>16</v>
      </c>
      <c r="G185" t="s">
        <v>14</v>
      </c>
      <c r="H185" t="s">
        <v>37</v>
      </c>
    </row>
    <row r="186" spans="1:8" x14ac:dyDescent="0.25">
      <c r="A186" t="s">
        <v>36</v>
      </c>
      <c r="B186" t="s">
        <v>22</v>
      </c>
      <c r="C186" s="10">
        <v>45584</v>
      </c>
      <c r="D186">
        <v>0.78947368421052633</v>
      </c>
      <c r="E186">
        <v>29</v>
      </c>
      <c r="F186">
        <v>37</v>
      </c>
      <c r="G186" t="s">
        <v>14</v>
      </c>
      <c r="H186" t="s">
        <v>37</v>
      </c>
    </row>
    <row r="187" spans="1:8" x14ac:dyDescent="0.25">
      <c r="A187" t="s">
        <v>39</v>
      </c>
      <c r="B187" t="s">
        <v>22</v>
      </c>
      <c r="C187" s="10">
        <v>45572</v>
      </c>
      <c r="D187">
        <v>3.0701754385964914E-2</v>
      </c>
      <c r="E187">
        <v>30</v>
      </c>
      <c r="F187">
        <v>3</v>
      </c>
      <c r="G187" t="s">
        <v>14</v>
      </c>
      <c r="H187" t="s">
        <v>37</v>
      </c>
    </row>
    <row r="188" spans="1:8" x14ac:dyDescent="0.25">
      <c r="A188" t="s">
        <v>38</v>
      </c>
      <c r="B188" t="s">
        <v>22</v>
      </c>
      <c r="C188" s="10">
        <v>45572</v>
      </c>
      <c r="D188">
        <v>0.89035087719298234</v>
      </c>
      <c r="E188">
        <v>30</v>
      </c>
      <c r="F188">
        <v>2</v>
      </c>
      <c r="G188" t="s">
        <v>14</v>
      </c>
      <c r="H188" t="s">
        <v>37</v>
      </c>
    </row>
    <row r="189" spans="1:8" x14ac:dyDescent="0.25">
      <c r="A189" t="s">
        <v>38</v>
      </c>
      <c r="B189" t="s">
        <v>22</v>
      </c>
      <c r="C189" s="10">
        <v>45575</v>
      </c>
      <c r="D189">
        <v>0.7236842105263156</v>
      </c>
      <c r="E189">
        <v>30</v>
      </c>
      <c r="F189">
        <v>11</v>
      </c>
      <c r="G189" t="s">
        <v>14</v>
      </c>
      <c r="H189" t="s">
        <v>37</v>
      </c>
    </row>
    <row r="190" spans="1:8" x14ac:dyDescent="0.25">
      <c r="A190" t="s">
        <v>39</v>
      </c>
      <c r="B190" t="s">
        <v>22</v>
      </c>
      <c r="C190" s="10">
        <v>45579</v>
      </c>
      <c r="D190">
        <v>3.0701754385964914E-2</v>
      </c>
      <c r="E190">
        <v>30</v>
      </c>
      <c r="F190">
        <v>24</v>
      </c>
      <c r="G190" t="s">
        <v>14</v>
      </c>
      <c r="H190" t="s">
        <v>37</v>
      </c>
    </row>
    <row r="191" spans="1:8" x14ac:dyDescent="0.25">
      <c r="A191" t="s">
        <v>38</v>
      </c>
      <c r="B191" t="s">
        <v>22</v>
      </c>
      <c r="C191" s="10">
        <v>45579</v>
      </c>
      <c r="D191">
        <v>0.89035087719298234</v>
      </c>
      <c r="E191">
        <v>30</v>
      </c>
      <c r="F191">
        <v>23</v>
      </c>
      <c r="G191" t="s">
        <v>14</v>
      </c>
      <c r="H191" t="s">
        <v>37</v>
      </c>
    </row>
    <row r="192" spans="1:8" x14ac:dyDescent="0.25">
      <c r="A192" t="s">
        <v>39</v>
      </c>
      <c r="B192" t="s">
        <v>22</v>
      </c>
      <c r="C192" s="10">
        <v>45580</v>
      </c>
      <c r="D192">
        <v>3.0701754385964914E-2</v>
      </c>
      <c r="E192">
        <v>30</v>
      </c>
      <c r="F192">
        <v>27</v>
      </c>
      <c r="G192" t="s">
        <v>14</v>
      </c>
      <c r="H192" t="s">
        <v>37</v>
      </c>
    </row>
    <row r="193" spans="1:8" x14ac:dyDescent="0.25">
      <c r="A193" t="s">
        <v>38</v>
      </c>
      <c r="B193" t="s">
        <v>22</v>
      </c>
      <c r="C193" s="10">
        <v>45580</v>
      </c>
      <c r="D193">
        <v>0.89035087719298245</v>
      </c>
      <c r="E193">
        <v>30</v>
      </c>
      <c r="F193">
        <v>26</v>
      </c>
      <c r="G193" t="s">
        <v>14</v>
      </c>
      <c r="H193" t="s">
        <v>37</v>
      </c>
    </row>
    <row r="194" spans="1:8" x14ac:dyDescent="0.25">
      <c r="A194" t="s">
        <v>38</v>
      </c>
      <c r="B194" t="s">
        <v>22</v>
      </c>
      <c r="C194" s="10">
        <v>45582</v>
      </c>
      <c r="D194">
        <v>0.7236842105263156</v>
      </c>
      <c r="E194">
        <v>30</v>
      </c>
      <c r="F194">
        <v>32</v>
      </c>
      <c r="G194" t="s">
        <v>14</v>
      </c>
      <c r="H194" t="s">
        <v>37</v>
      </c>
    </row>
    <row r="195" spans="1:8" x14ac:dyDescent="0.25">
      <c r="A195" t="s">
        <v>38</v>
      </c>
      <c r="B195" t="s">
        <v>22</v>
      </c>
      <c r="C195" s="10">
        <v>45583</v>
      </c>
      <c r="D195">
        <v>0.7236842105263156</v>
      </c>
      <c r="E195">
        <v>30</v>
      </c>
      <c r="F195">
        <v>35</v>
      </c>
      <c r="G195" t="s">
        <v>14</v>
      </c>
      <c r="H195" t="s">
        <v>37</v>
      </c>
    </row>
    <row r="196" spans="1:8" x14ac:dyDescent="0.25">
      <c r="A196" t="s">
        <v>38</v>
      </c>
      <c r="B196" t="s">
        <v>22</v>
      </c>
      <c r="C196" s="10">
        <v>45585</v>
      </c>
      <c r="D196">
        <v>0.72368421052631571</v>
      </c>
      <c r="E196">
        <v>30</v>
      </c>
      <c r="F196">
        <v>41</v>
      </c>
      <c r="G196" t="s">
        <v>14</v>
      </c>
      <c r="H196" t="s">
        <v>37</v>
      </c>
    </row>
    <row r="197" spans="1:8" x14ac:dyDescent="0.25">
      <c r="A197" t="s">
        <v>36</v>
      </c>
      <c r="B197" t="s">
        <v>22</v>
      </c>
      <c r="C197" s="10">
        <v>45573</v>
      </c>
      <c r="D197">
        <v>1.0216718266253872</v>
      </c>
      <c r="E197">
        <v>31</v>
      </c>
      <c r="F197">
        <v>4</v>
      </c>
      <c r="G197" t="s">
        <v>14</v>
      </c>
      <c r="H197" t="s">
        <v>37</v>
      </c>
    </row>
    <row r="198" spans="1:8" x14ac:dyDescent="0.25">
      <c r="A198" t="s">
        <v>38</v>
      </c>
      <c r="B198" t="s">
        <v>22</v>
      </c>
      <c r="C198" s="10">
        <v>45573</v>
      </c>
      <c r="D198">
        <v>3.0959752321981424E-2</v>
      </c>
      <c r="E198">
        <v>31</v>
      </c>
      <c r="F198">
        <v>5</v>
      </c>
      <c r="G198" t="s">
        <v>14</v>
      </c>
      <c r="H198" t="s">
        <v>37</v>
      </c>
    </row>
    <row r="199" spans="1:8" x14ac:dyDescent="0.25">
      <c r="A199" t="s">
        <v>36</v>
      </c>
      <c r="B199" t="s">
        <v>22</v>
      </c>
      <c r="C199" s="10">
        <v>45578</v>
      </c>
      <c r="D199">
        <v>0.78947368421052633</v>
      </c>
      <c r="E199">
        <v>31</v>
      </c>
      <c r="F199">
        <v>19</v>
      </c>
      <c r="G199" t="s">
        <v>14</v>
      </c>
      <c r="H199" t="s">
        <v>37</v>
      </c>
    </row>
    <row r="200" spans="1:8" x14ac:dyDescent="0.25">
      <c r="A200" t="s">
        <v>36</v>
      </c>
      <c r="B200" t="s">
        <v>22</v>
      </c>
      <c r="C200" s="10">
        <v>45580</v>
      </c>
      <c r="D200">
        <v>1.021671826625387</v>
      </c>
      <c r="E200">
        <v>31</v>
      </c>
      <c r="F200">
        <v>25</v>
      </c>
      <c r="G200" t="s">
        <v>14</v>
      </c>
      <c r="H200" t="s">
        <v>37</v>
      </c>
    </row>
    <row r="201" spans="1:8" x14ac:dyDescent="0.25">
      <c r="A201" t="s">
        <v>38</v>
      </c>
      <c r="B201" t="s">
        <v>22</v>
      </c>
      <c r="C201" s="10">
        <v>45580</v>
      </c>
      <c r="D201">
        <v>3.0959752321981424E-2</v>
      </c>
      <c r="E201">
        <v>31</v>
      </c>
      <c r="F201">
        <v>26</v>
      </c>
      <c r="G201" t="s">
        <v>14</v>
      </c>
      <c r="H201" t="s">
        <v>37</v>
      </c>
    </row>
    <row r="202" spans="1:8" x14ac:dyDescent="0.25">
      <c r="A202" t="s">
        <v>36</v>
      </c>
      <c r="B202" t="s">
        <v>22</v>
      </c>
      <c r="C202" s="10">
        <v>45582</v>
      </c>
      <c r="D202">
        <v>1.021671826625387</v>
      </c>
      <c r="E202">
        <v>31</v>
      </c>
      <c r="F202">
        <v>31</v>
      </c>
      <c r="G202" t="s">
        <v>14</v>
      </c>
      <c r="H202" t="s">
        <v>37</v>
      </c>
    </row>
    <row r="203" spans="1:8" x14ac:dyDescent="0.25">
      <c r="A203" t="s">
        <v>38</v>
      </c>
      <c r="B203" t="s">
        <v>22</v>
      </c>
      <c r="C203" s="10">
        <v>45582</v>
      </c>
      <c r="D203">
        <v>3.0959752321981424E-2</v>
      </c>
      <c r="E203">
        <v>31</v>
      </c>
      <c r="F203">
        <v>32</v>
      </c>
      <c r="G203" t="s">
        <v>14</v>
      </c>
      <c r="H203" t="s">
        <v>37</v>
      </c>
    </row>
    <row r="204" spans="1:8" x14ac:dyDescent="0.25">
      <c r="A204" t="s">
        <v>36</v>
      </c>
      <c r="B204" t="s">
        <v>22</v>
      </c>
      <c r="C204" s="10">
        <v>45585</v>
      </c>
      <c r="D204">
        <v>0.78947368421052633</v>
      </c>
      <c r="E204">
        <v>31</v>
      </c>
      <c r="F204">
        <v>40</v>
      </c>
      <c r="G204" t="s">
        <v>14</v>
      </c>
      <c r="H204" t="s">
        <v>37</v>
      </c>
    </row>
    <row r="205" spans="1:8" x14ac:dyDescent="0.25">
      <c r="A205" t="s">
        <v>36</v>
      </c>
      <c r="B205" t="s">
        <v>22</v>
      </c>
      <c r="C205" s="10">
        <v>45573</v>
      </c>
      <c r="D205">
        <v>0.78947368421052633</v>
      </c>
      <c r="E205">
        <v>33</v>
      </c>
      <c r="F205">
        <v>4</v>
      </c>
      <c r="G205" t="s">
        <v>14</v>
      </c>
      <c r="H205" t="s">
        <v>37</v>
      </c>
    </row>
    <row r="206" spans="1:8" x14ac:dyDescent="0.25">
      <c r="A206" t="s">
        <v>36</v>
      </c>
      <c r="B206" t="s">
        <v>22</v>
      </c>
      <c r="C206" s="10">
        <v>45574</v>
      </c>
      <c r="D206">
        <v>1.0216718266253872</v>
      </c>
      <c r="E206">
        <v>33</v>
      </c>
      <c r="F206">
        <v>7</v>
      </c>
      <c r="G206" t="s">
        <v>14</v>
      </c>
      <c r="H206" t="s">
        <v>37</v>
      </c>
    </row>
    <row r="207" spans="1:8" x14ac:dyDescent="0.25">
      <c r="A207" t="s">
        <v>38</v>
      </c>
      <c r="B207" t="s">
        <v>22</v>
      </c>
      <c r="C207" s="10">
        <v>45574</v>
      </c>
      <c r="D207">
        <v>3.0959752321981424E-2</v>
      </c>
      <c r="E207">
        <v>33</v>
      </c>
      <c r="F207">
        <v>8</v>
      </c>
      <c r="G207" t="s">
        <v>14</v>
      </c>
      <c r="H207" t="s">
        <v>37</v>
      </c>
    </row>
    <row r="208" spans="1:8" x14ac:dyDescent="0.25">
      <c r="A208" t="s">
        <v>36</v>
      </c>
      <c r="B208" t="s">
        <v>22</v>
      </c>
      <c r="C208" s="10">
        <v>45575</v>
      </c>
      <c r="D208">
        <v>1.021671826625387</v>
      </c>
      <c r="E208">
        <v>33</v>
      </c>
      <c r="F208">
        <v>10</v>
      </c>
      <c r="G208" t="s">
        <v>14</v>
      </c>
      <c r="H208" t="s">
        <v>37</v>
      </c>
    </row>
    <row r="209" spans="1:8" x14ac:dyDescent="0.25">
      <c r="A209" t="s">
        <v>38</v>
      </c>
      <c r="B209" t="s">
        <v>22</v>
      </c>
      <c r="C209" s="10">
        <v>45575</v>
      </c>
      <c r="D209">
        <v>3.0959752321981424E-2</v>
      </c>
      <c r="E209">
        <v>33</v>
      </c>
      <c r="F209">
        <v>11</v>
      </c>
      <c r="G209" t="s">
        <v>14</v>
      </c>
      <c r="H209" t="s">
        <v>37</v>
      </c>
    </row>
    <row r="210" spans="1:8" x14ac:dyDescent="0.25">
      <c r="A210" t="s">
        <v>36</v>
      </c>
      <c r="B210" t="s">
        <v>22</v>
      </c>
      <c r="C210" s="10">
        <v>45576</v>
      </c>
      <c r="D210">
        <v>1.021671826625387</v>
      </c>
      <c r="E210">
        <v>33</v>
      </c>
      <c r="F210">
        <v>13</v>
      </c>
      <c r="G210" t="s">
        <v>14</v>
      </c>
      <c r="H210" t="s">
        <v>37</v>
      </c>
    </row>
    <row r="211" spans="1:8" x14ac:dyDescent="0.25">
      <c r="A211" t="s">
        <v>38</v>
      </c>
      <c r="B211" t="s">
        <v>22</v>
      </c>
      <c r="C211" s="10">
        <v>45576</v>
      </c>
      <c r="D211">
        <v>3.0959752321981424E-2</v>
      </c>
      <c r="E211">
        <v>33</v>
      </c>
      <c r="F211">
        <v>14</v>
      </c>
      <c r="G211" t="s">
        <v>14</v>
      </c>
      <c r="H211" t="s">
        <v>37</v>
      </c>
    </row>
    <row r="212" spans="1:8" x14ac:dyDescent="0.25">
      <c r="A212" t="s">
        <v>36</v>
      </c>
      <c r="B212" t="s">
        <v>22</v>
      </c>
      <c r="C212" s="10">
        <v>45580</v>
      </c>
      <c r="D212">
        <v>0.78947368421052622</v>
      </c>
      <c r="E212">
        <v>33</v>
      </c>
      <c r="F212">
        <v>25</v>
      </c>
      <c r="G212" t="s">
        <v>14</v>
      </c>
      <c r="H212" t="s">
        <v>37</v>
      </c>
    </row>
    <row r="213" spans="1:8" x14ac:dyDescent="0.25">
      <c r="A213" t="s">
        <v>36</v>
      </c>
      <c r="B213" t="s">
        <v>22</v>
      </c>
      <c r="C213" s="10">
        <v>45581</v>
      </c>
      <c r="D213">
        <v>1.021671826625387</v>
      </c>
      <c r="E213">
        <v>33</v>
      </c>
      <c r="F213">
        <v>28</v>
      </c>
      <c r="G213" t="s">
        <v>14</v>
      </c>
      <c r="H213" t="s">
        <v>37</v>
      </c>
    </row>
    <row r="214" spans="1:8" x14ac:dyDescent="0.25">
      <c r="A214" t="s">
        <v>38</v>
      </c>
      <c r="B214" t="s">
        <v>22</v>
      </c>
      <c r="C214" s="10">
        <v>45581</v>
      </c>
      <c r="D214">
        <v>3.0959752321981424E-2</v>
      </c>
      <c r="E214">
        <v>33</v>
      </c>
      <c r="F214">
        <v>29</v>
      </c>
      <c r="G214" t="s">
        <v>14</v>
      </c>
      <c r="H214" t="s">
        <v>37</v>
      </c>
    </row>
    <row r="215" spans="1:8" x14ac:dyDescent="0.25">
      <c r="A215" t="s">
        <v>36</v>
      </c>
      <c r="B215" t="s">
        <v>22</v>
      </c>
      <c r="C215" s="10">
        <v>45582</v>
      </c>
      <c r="D215">
        <v>1.021671826625387</v>
      </c>
      <c r="E215">
        <v>33</v>
      </c>
      <c r="F215">
        <v>31</v>
      </c>
      <c r="G215" t="s">
        <v>14</v>
      </c>
      <c r="H215" t="s">
        <v>37</v>
      </c>
    </row>
    <row r="216" spans="1:8" x14ac:dyDescent="0.25">
      <c r="A216" t="s">
        <v>38</v>
      </c>
      <c r="B216" t="s">
        <v>22</v>
      </c>
      <c r="C216" s="10">
        <v>45582</v>
      </c>
      <c r="D216">
        <v>3.0959752321981424E-2</v>
      </c>
      <c r="E216">
        <v>33</v>
      </c>
      <c r="F216">
        <v>32</v>
      </c>
      <c r="G216" t="s">
        <v>14</v>
      </c>
      <c r="H216" t="s">
        <v>37</v>
      </c>
    </row>
    <row r="217" spans="1:8" x14ac:dyDescent="0.25">
      <c r="A217" t="s">
        <v>36</v>
      </c>
      <c r="B217" t="s">
        <v>22</v>
      </c>
      <c r="C217" s="10">
        <v>45583</v>
      </c>
      <c r="D217">
        <v>1.0216718266253872</v>
      </c>
      <c r="E217">
        <v>33</v>
      </c>
      <c r="F217">
        <v>34</v>
      </c>
      <c r="G217" t="s">
        <v>14</v>
      </c>
      <c r="H217" t="s">
        <v>37</v>
      </c>
    </row>
    <row r="218" spans="1:8" x14ac:dyDescent="0.25">
      <c r="A218" t="s">
        <v>38</v>
      </c>
      <c r="B218" t="s">
        <v>22</v>
      </c>
      <c r="C218" s="10">
        <v>45583</v>
      </c>
      <c r="D218">
        <v>3.0959752321981424E-2</v>
      </c>
      <c r="E218">
        <v>33</v>
      </c>
      <c r="F218">
        <v>35</v>
      </c>
      <c r="G218" t="s">
        <v>14</v>
      </c>
      <c r="H218" t="s">
        <v>37</v>
      </c>
    </row>
    <row r="219" spans="1:8" x14ac:dyDescent="0.25">
      <c r="A219" t="s">
        <v>36</v>
      </c>
      <c r="B219" t="s">
        <v>22</v>
      </c>
      <c r="C219" s="10">
        <v>45584</v>
      </c>
      <c r="D219">
        <v>0.78947368421052633</v>
      </c>
      <c r="E219">
        <v>33</v>
      </c>
      <c r="F219">
        <v>37</v>
      </c>
      <c r="G219" t="s">
        <v>14</v>
      </c>
      <c r="H219" t="s">
        <v>37</v>
      </c>
    </row>
    <row r="220" spans="1:8" x14ac:dyDescent="0.25">
      <c r="A220" t="s">
        <v>36</v>
      </c>
      <c r="B220" t="s">
        <v>22</v>
      </c>
      <c r="C220" s="10">
        <v>45572</v>
      </c>
      <c r="D220">
        <v>0.78947368421052622</v>
      </c>
      <c r="E220">
        <v>35</v>
      </c>
      <c r="F220">
        <v>1</v>
      </c>
      <c r="G220" t="s">
        <v>14</v>
      </c>
      <c r="H220" t="s">
        <v>37</v>
      </c>
    </row>
    <row r="221" spans="1:8" x14ac:dyDescent="0.25">
      <c r="A221" t="s">
        <v>36</v>
      </c>
      <c r="B221" t="s">
        <v>22</v>
      </c>
      <c r="C221" s="10">
        <v>45573</v>
      </c>
      <c r="D221">
        <v>0.78947368421052633</v>
      </c>
      <c r="E221">
        <v>35</v>
      </c>
      <c r="F221">
        <v>4</v>
      </c>
      <c r="G221" t="s">
        <v>14</v>
      </c>
      <c r="H221" t="s">
        <v>37</v>
      </c>
    </row>
    <row r="222" spans="1:8" x14ac:dyDescent="0.25">
      <c r="A222" t="s">
        <v>36</v>
      </c>
      <c r="B222" t="s">
        <v>22</v>
      </c>
      <c r="C222" s="10">
        <v>45575</v>
      </c>
      <c r="D222">
        <v>1.021671826625387</v>
      </c>
      <c r="E222">
        <v>35</v>
      </c>
      <c r="F222">
        <v>10</v>
      </c>
      <c r="G222" t="s">
        <v>14</v>
      </c>
      <c r="H222" t="s">
        <v>37</v>
      </c>
    </row>
    <row r="223" spans="1:8" x14ac:dyDescent="0.25">
      <c r="A223" t="s">
        <v>38</v>
      </c>
      <c r="B223" t="s">
        <v>22</v>
      </c>
      <c r="C223" s="10">
        <v>45575</v>
      </c>
      <c r="D223">
        <v>3.0959752321981424E-2</v>
      </c>
      <c r="E223">
        <v>35</v>
      </c>
      <c r="F223">
        <v>11</v>
      </c>
      <c r="G223" t="s">
        <v>14</v>
      </c>
      <c r="H223" t="s">
        <v>37</v>
      </c>
    </row>
    <row r="224" spans="1:8" x14ac:dyDescent="0.25">
      <c r="A224" t="s">
        <v>36</v>
      </c>
      <c r="B224" t="s">
        <v>22</v>
      </c>
      <c r="C224" s="10">
        <v>45579</v>
      </c>
      <c r="D224">
        <v>1.0216718266253872</v>
      </c>
      <c r="E224">
        <v>35</v>
      </c>
      <c r="F224">
        <v>22</v>
      </c>
      <c r="G224" t="s">
        <v>14</v>
      </c>
      <c r="H224" t="s">
        <v>37</v>
      </c>
    </row>
    <row r="225" spans="1:8" x14ac:dyDescent="0.25">
      <c r="A225" t="s">
        <v>38</v>
      </c>
      <c r="B225" t="s">
        <v>22</v>
      </c>
      <c r="C225" s="10">
        <v>45579</v>
      </c>
      <c r="D225">
        <v>3.0959752321981424E-2</v>
      </c>
      <c r="E225">
        <v>35</v>
      </c>
      <c r="F225">
        <v>23</v>
      </c>
      <c r="G225" t="s">
        <v>14</v>
      </c>
      <c r="H225" t="s">
        <v>37</v>
      </c>
    </row>
    <row r="226" spans="1:8" x14ac:dyDescent="0.25">
      <c r="A226" t="s">
        <v>36</v>
      </c>
      <c r="B226" t="s">
        <v>22</v>
      </c>
      <c r="C226" s="10">
        <v>45580</v>
      </c>
      <c r="D226">
        <v>1.021671826625387</v>
      </c>
      <c r="E226">
        <v>35</v>
      </c>
      <c r="F226">
        <v>25</v>
      </c>
      <c r="G226" t="s">
        <v>14</v>
      </c>
      <c r="H226" t="s">
        <v>37</v>
      </c>
    </row>
    <row r="227" spans="1:8" x14ac:dyDescent="0.25">
      <c r="A227" t="s">
        <v>38</v>
      </c>
      <c r="B227" t="s">
        <v>22</v>
      </c>
      <c r="C227" s="10">
        <v>45580</v>
      </c>
      <c r="D227">
        <v>3.0959752321981424E-2</v>
      </c>
      <c r="E227">
        <v>35</v>
      </c>
      <c r="F227">
        <v>26</v>
      </c>
      <c r="G227" t="s">
        <v>14</v>
      </c>
      <c r="H227" t="s">
        <v>37</v>
      </c>
    </row>
    <row r="228" spans="1:8" x14ac:dyDescent="0.25">
      <c r="A228" t="s">
        <v>36</v>
      </c>
      <c r="B228" t="s">
        <v>22</v>
      </c>
      <c r="C228" s="10">
        <v>45582</v>
      </c>
      <c r="D228">
        <v>1.021671826625387</v>
      </c>
      <c r="E228">
        <v>35</v>
      </c>
      <c r="F228">
        <v>31</v>
      </c>
      <c r="G228" t="s">
        <v>14</v>
      </c>
      <c r="H228" t="s">
        <v>37</v>
      </c>
    </row>
    <row r="229" spans="1:8" x14ac:dyDescent="0.25">
      <c r="A229" t="s">
        <v>38</v>
      </c>
      <c r="B229" t="s">
        <v>22</v>
      </c>
      <c r="C229" s="10">
        <v>45582</v>
      </c>
      <c r="D229">
        <v>3.0959752321981424E-2</v>
      </c>
      <c r="E229">
        <v>35</v>
      </c>
      <c r="F229">
        <v>32</v>
      </c>
      <c r="G229" t="s">
        <v>14</v>
      </c>
      <c r="H229" t="s">
        <v>37</v>
      </c>
    </row>
    <row r="230" spans="1:8" x14ac:dyDescent="0.25">
      <c r="A230" t="s">
        <v>39</v>
      </c>
      <c r="B230" t="s">
        <v>22</v>
      </c>
      <c r="C230" s="10">
        <v>45572</v>
      </c>
      <c r="D230">
        <v>3.0701754385964914E-2</v>
      </c>
      <c r="E230">
        <v>36</v>
      </c>
      <c r="F230">
        <v>3</v>
      </c>
      <c r="G230" t="s">
        <v>14</v>
      </c>
      <c r="H230" t="s">
        <v>37</v>
      </c>
    </row>
    <row r="231" spans="1:8" x14ac:dyDescent="0.25">
      <c r="A231" t="s">
        <v>38</v>
      </c>
      <c r="B231" t="s">
        <v>22</v>
      </c>
      <c r="C231" s="10">
        <v>45572</v>
      </c>
      <c r="D231">
        <v>0.89035087719298234</v>
      </c>
      <c r="E231">
        <v>36</v>
      </c>
      <c r="F231">
        <v>2</v>
      </c>
      <c r="G231" t="s">
        <v>14</v>
      </c>
      <c r="H231" t="s">
        <v>37</v>
      </c>
    </row>
    <row r="232" spans="1:8" x14ac:dyDescent="0.25">
      <c r="A232" t="s">
        <v>38</v>
      </c>
      <c r="B232" t="s">
        <v>22</v>
      </c>
      <c r="C232" s="10">
        <v>45573</v>
      </c>
      <c r="D232">
        <v>0.7236842105263156</v>
      </c>
      <c r="E232">
        <v>36</v>
      </c>
      <c r="F232">
        <v>5</v>
      </c>
      <c r="G232" t="s">
        <v>14</v>
      </c>
      <c r="H232" t="s">
        <v>37</v>
      </c>
    </row>
    <row r="233" spans="1:8" x14ac:dyDescent="0.25">
      <c r="A233" t="s">
        <v>38</v>
      </c>
      <c r="B233" t="s">
        <v>22</v>
      </c>
      <c r="C233" s="10">
        <v>45574</v>
      </c>
      <c r="D233">
        <v>0.72368421052631571</v>
      </c>
      <c r="E233">
        <v>36</v>
      </c>
      <c r="F233">
        <v>8</v>
      </c>
      <c r="G233" t="s">
        <v>14</v>
      </c>
      <c r="H233" t="s">
        <v>37</v>
      </c>
    </row>
    <row r="234" spans="1:8" x14ac:dyDescent="0.25">
      <c r="A234" t="s">
        <v>36</v>
      </c>
      <c r="B234" t="s">
        <v>22</v>
      </c>
      <c r="C234" s="10">
        <v>45577</v>
      </c>
      <c r="D234">
        <v>1.0216718266253872</v>
      </c>
      <c r="E234">
        <v>36</v>
      </c>
      <c r="F234">
        <v>16</v>
      </c>
      <c r="G234" t="s">
        <v>14</v>
      </c>
      <c r="H234" t="s">
        <v>37</v>
      </c>
    </row>
    <row r="235" spans="1:8" x14ac:dyDescent="0.25">
      <c r="A235" t="s">
        <v>38</v>
      </c>
      <c r="B235" t="s">
        <v>22</v>
      </c>
      <c r="C235" s="10">
        <v>45577</v>
      </c>
      <c r="D235">
        <v>3.0959752321981424E-2</v>
      </c>
      <c r="E235">
        <v>36</v>
      </c>
      <c r="F235">
        <v>17</v>
      </c>
      <c r="G235" t="s">
        <v>14</v>
      </c>
      <c r="H235" t="s">
        <v>37</v>
      </c>
    </row>
    <row r="236" spans="1:8" x14ac:dyDescent="0.25">
      <c r="A236" t="s">
        <v>36</v>
      </c>
      <c r="B236" t="s">
        <v>22</v>
      </c>
      <c r="C236" s="10">
        <v>45578</v>
      </c>
      <c r="D236">
        <v>1.0216718266253872</v>
      </c>
      <c r="E236">
        <v>36</v>
      </c>
      <c r="F236">
        <v>19</v>
      </c>
      <c r="G236" t="s">
        <v>14</v>
      </c>
      <c r="H236" t="s">
        <v>37</v>
      </c>
    </row>
    <row r="237" spans="1:8" x14ac:dyDescent="0.25">
      <c r="A237" t="s">
        <v>38</v>
      </c>
      <c r="B237" t="s">
        <v>22</v>
      </c>
      <c r="C237" s="10">
        <v>45578</v>
      </c>
      <c r="D237">
        <v>3.0959752321981424E-2</v>
      </c>
      <c r="E237">
        <v>36</v>
      </c>
      <c r="F237">
        <v>20</v>
      </c>
      <c r="G237" t="s">
        <v>14</v>
      </c>
      <c r="H237" t="s">
        <v>37</v>
      </c>
    </row>
    <row r="238" spans="1:8" x14ac:dyDescent="0.25">
      <c r="A238" t="s">
        <v>36</v>
      </c>
      <c r="B238" t="s">
        <v>22</v>
      </c>
      <c r="C238" s="10">
        <v>45572</v>
      </c>
      <c r="D238">
        <v>1.021671826625387</v>
      </c>
      <c r="E238">
        <v>41</v>
      </c>
      <c r="F238">
        <v>1</v>
      </c>
      <c r="G238" t="s">
        <v>14</v>
      </c>
      <c r="H238" t="s">
        <v>37</v>
      </c>
    </row>
    <row r="239" spans="1:8" x14ac:dyDescent="0.25">
      <c r="A239" t="s">
        <v>38</v>
      </c>
      <c r="B239" t="s">
        <v>22</v>
      </c>
      <c r="C239" s="10">
        <v>45572</v>
      </c>
      <c r="D239">
        <v>3.0959752321981424E-2</v>
      </c>
      <c r="E239">
        <v>41</v>
      </c>
      <c r="F239">
        <v>2</v>
      </c>
      <c r="G239" t="s">
        <v>14</v>
      </c>
      <c r="H239" t="s">
        <v>37</v>
      </c>
    </row>
    <row r="240" spans="1:8" x14ac:dyDescent="0.25">
      <c r="A240" t="s">
        <v>36</v>
      </c>
      <c r="B240" t="s">
        <v>22</v>
      </c>
      <c r="C240" s="10">
        <v>45573</v>
      </c>
      <c r="D240">
        <v>1.0216718266253872</v>
      </c>
      <c r="E240">
        <v>41</v>
      </c>
      <c r="F240">
        <v>4</v>
      </c>
      <c r="G240" t="s">
        <v>14</v>
      </c>
      <c r="H240" t="s">
        <v>37</v>
      </c>
    </row>
    <row r="241" spans="1:8" x14ac:dyDescent="0.25">
      <c r="A241" t="s">
        <v>38</v>
      </c>
      <c r="B241" t="s">
        <v>22</v>
      </c>
      <c r="C241" s="10">
        <v>45573</v>
      </c>
      <c r="D241">
        <v>3.0959752321981424E-2</v>
      </c>
      <c r="E241">
        <v>41</v>
      </c>
      <c r="F241">
        <v>5</v>
      </c>
      <c r="G241" t="s">
        <v>14</v>
      </c>
      <c r="H241" t="s">
        <v>37</v>
      </c>
    </row>
    <row r="242" spans="1:8" x14ac:dyDescent="0.25">
      <c r="A242" t="s">
        <v>36</v>
      </c>
      <c r="B242" t="s">
        <v>22</v>
      </c>
      <c r="C242" s="10">
        <v>45574</v>
      </c>
      <c r="D242">
        <v>0.78947368421052633</v>
      </c>
      <c r="E242">
        <v>41</v>
      </c>
      <c r="F242">
        <v>7</v>
      </c>
      <c r="G242" t="s">
        <v>14</v>
      </c>
      <c r="H242" t="s">
        <v>37</v>
      </c>
    </row>
    <row r="243" spans="1:8" x14ac:dyDescent="0.25">
      <c r="A243" t="s">
        <v>36</v>
      </c>
      <c r="B243" t="s">
        <v>22</v>
      </c>
      <c r="C243" s="10">
        <v>45575</v>
      </c>
      <c r="D243">
        <v>1.021671826625387</v>
      </c>
      <c r="E243">
        <v>41</v>
      </c>
      <c r="F243">
        <v>10</v>
      </c>
      <c r="G243" t="s">
        <v>14</v>
      </c>
      <c r="H243" t="s">
        <v>37</v>
      </c>
    </row>
    <row r="244" spans="1:8" x14ac:dyDescent="0.25">
      <c r="A244" t="s">
        <v>38</v>
      </c>
      <c r="B244" t="s">
        <v>22</v>
      </c>
      <c r="C244" s="10">
        <v>45575</v>
      </c>
      <c r="D244">
        <v>3.0959752321981424E-2</v>
      </c>
      <c r="E244">
        <v>41</v>
      </c>
      <c r="F244">
        <v>11</v>
      </c>
      <c r="G244" t="s">
        <v>14</v>
      </c>
      <c r="H244" t="s">
        <v>37</v>
      </c>
    </row>
    <row r="245" spans="1:8" x14ac:dyDescent="0.25">
      <c r="A245" t="s">
        <v>39</v>
      </c>
      <c r="B245" t="s">
        <v>22</v>
      </c>
      <c r="C245" s="10">
        <v>45577</v>
      </c>
      <c r="D245">
        <v>3.0701754385964914E-2</v>
      </c>
      <c r="E245">
        <v>41</v>
      </c>
      <c r="F245">
        <v>18</v>
      </c>
      <c r="G245" t="s">
        <v>14</v>
      </c>
      <c r="H245" t="s">
        <v>37</v>
      </c>
    </row>
    <row r="246" spans="1:8" x14ac:dyDescent="0.25">
      <c r="A246" t="s">
        <v>38</v>
      </c>
      <c r="B246" t="s">
        <v>22</v>
      </c>
      <c r="C246" s="10">
        <v>45577</v>
      </c>
      <c r="D246">
        <v>0.89035087719298223</v>
      </c>
      <c r="E246">
        <v>41</v>
      </c>
      <c r="F246">
        <v>17</v>
      </c>
      <c r="G246" t="s">
        <v>14</v>
      </c>
      <c r="H246" t="s">
        <v>37</v>
      </c>
    </row>
    <row r="247" spans="1:8" x14ac:dyDescent="0.25">
      <c r="A247" t="s">
        <v>39</v>
      </c>
      <c r="B247" t="s">
        <v>22</v>
      </c>
      <c r="C247" s="10">
        <v>45578</v>
      </c>
      <c r="D247">
        <v>3.0701754385964914E-2</v>
      </c>
      <c r="E247">
        <v>41</v>
      </c>
      <c r="F247">
        <v>21</v>
      </c>
      <c r="G247" t="s">
        <v>14</v>
      </c>
      <c r="H247" t="s">
        <v>37</v>
      </c>
    </row>
    <row r="248" spans="1:8" x14ac:dyDescent="0.25">
      <c r="A248" t="s">
        <v>38</v>
      </c>
      <c r="B248" t="s">
        <v>22</v>
      </c>
      <c r="C248" s="10">
        <v>45578</v>
      </c>
      <c r="D248">
        <v>0.89035087719298245</v>
      </c>
      <c r="E248">
        <v>41</v>
      </c>
      <c r="F248">
        <v>20</v>
      </c>
      <c r="G248" t="s">
        <v>14</v>
      </c>
      <c r="H248" t="s">
        <v>37</v>
      </c>
    </row>
    <row r="249" spans="1:8" x14ac:dyDescent="0.25">
      <c r="A249" t="s">
        <v>36</v>
      </c>
      <c r="B249" t="s">
        <v>22</v>
      </c>
      <c r="C249" s="10">
        <v>45579</v>
      </c>
      <c r="D249">
        <v>1.0216718266253872</v>
      </c>
      <c r="E249">
        <v>41</v>
      </c>
      <c r="F249">
        <v>22</v>
      </c>
      <c r="G249" t="s">
        <v>14</v>
      </c>
      <c r="H249" t="s">
        <v>37</v>
      </c>
    </row>
    <row r="250" spans="1:8" x14ac:dyDescent="0.25">
      <c r="A250" t="s">
        <v>38</v>
      </c>
      <c r="B250" t="s">
        <v>22</v>
      </c>
      <c r="C250" s="10">
        <v>45579</v>
      </c>
      <c r="D250">
        <v>3.0959752321981424E-2</v>
      </c>
      <c r="E250">
        <v>41</v>
      </c>
      <c r="F250">
        <v>23</v>
      </c>
      <c r="G250" t="s">
        <v>14</v>
      </c>
      <c r="H250" t="s">
        <v>37</v>
      </c>
    </row>
    <row r="251" spans="1:8" x14ac:dyDescent="0.25">
      <c r="A251" t="s">
        <v>36</v>
      </c>
      <c r="B251" t="s">
        <v>22</v>
      </c>
      <c r="C251" s="10">
        <v>45580</v>
      </c>
      <c r="D251">
        <v>1.021671826625387</v>
      </c>
      <c r="E251">
        <v>41</v>
      </c>
      <c r="F251">
        <v>25</v>
      </c>
      <c r="G251" t="s">
        <v>14</v>
      </c>
      <c r="H251" t="s">
        <v>37</v>
      </c>
    </row>
    <row r="252" spans="1:8" x14ac:dyDescent="0.25">
      <c r="A252" t="s">
        <v>38</v>
      </c>
      <c r="B252" t="s">
        <v>22</v>
      </c>
      <c r="C252" s="10">
        <v>45580</v>
      </c>
      <c r="D252">
        <v>3.0959752321981424E-2</v>
      </c>
      <c r="E252">
        <v>41</v>
      </c>
      <c r="F252">
        <v>26</v>
      </c>
      <c r="G252" t="s">
        <v>14</v>
      </c>
      <c r="H252" t="s">
        <v>37</v>
      </c>
    </row>
    <row r="253" spans="1:8" x14ac:dyDescent="0.25">
      <c r="A253" t="s">
        <v>36</v>
      </c>
      <c r="B253" t="s">
        <v>22</v>
      </c>
      <c r="C253" s="10">
        <v>45581</v>
      </c>
      <c r="D253">
        <v>0.78947368421052622</v>
      </c>
      <c r="E253">
        <v>41</v>
      </c>
      <c r="F253">
        <v>28</v>
      </c>
      <c r="G253" t="s">
        <v>14</v>
      </c>
      <c r="H253" t="s">
        <v>37</v>
      </c>
    </row>
    <row r="254" spans="1:8" x14ac:dyDescent="0.25">
      <c r="A254" t="s">
        <v>36</v>
      </c>
      <c r="B254" t="s">
        <v>22</v>
      </c>
      <c r="C254" s="10">
        <v>45582</v>
      </c>
      <c r="D254">
        <v>1.021671826625387</v>
      </c>
      <c r="E254">
        <v>41</v>
      </c>
      <c r="F254">
        <v>31</v>
      </c>
      <c r="G254" t="s">
        <v>14</v>
      </c>
      <c r="H254" t="s">
        <v>37</v>
      </c>
    </row>
    <row r="255" spans="1:8" x14ac:dyDescent="0.25">
      <c r="A255" t="s">
        <v>38</v>
      </c>
      <c r="B255" t="s">
        <v>22</v>
      </c>
      <c r="C255" s="10">
        <v>45582</v>
      </c>
      <c r="D255">
        <v>3.0959752321981424E-2</v>
      </c>
      <c r="E255">
        <v>41</v>
      </c>
      <c r="F255">
        <v>32</v>
      </c>
      <c r="G255" t="s">
        <v>14</v>
      </c>
      <c r="H255" t="s">
        <v>37</v>
      </c>
    </row>
    <row r="256" spans="1:8" x14ac:dyDescent="0.25">
      <c r="A256" t="s">
        <v>39</v>
      </c>
      <c r="B256" t="s">
        <v>22</v>
      </c>
      <c r="C256" s="10">
        <v>45585</v>
      </c>
      <c r="D256">
        <v>3.0701754385964914E-2</v>
      </c>
      <c r="E256">
        <v>41</v>
      </c>
      <c r="F256">
        <v>42</v>
      </c>
      <c r="G256" t="s">
        <v>14</v>
      </c>
      <c r="H256" t="s">
        <v>37</v>
      </c>
    </row>
    <row r="257" spans="1:8" x14ac:dyDescent="0.25">
      <c r="A257" t="s">
        <v>38</v>
      </c>
      <c r="B257" t="s">
        <v>22</v>
      </c>
      <c r="C257" s="10">
        <v>45585</v>
      </c>
      <c r="D257">
        <v>0.89035087719298245</v>
      </c>
      <c r="E257">
        <v>41</v>
      </c>
      <c r="F257">
        <v>41</v>
      </c>
      <c r="G257" t="s">
        <v>14</v>
      </c>
      <c r="H257" t="s">
        <v>37</v>
      </c>
    </row>
    <row r="258" spans="1:8" x14ac:dyDescent="0.25">
      <c r="A258" t="s">
        <v>39</v>
      </c>
      <c r="B258" t="s">
        <v>22</v>
      </c>
      <c r="C258" s="10">
        <v>45572</v>
      </c>
      <c r="D258">
        <v>1.0545112781954891</v>
      </c>
      <c r="E258">
        <v>43</v>
      </c>
      <c r="F258">
        <v>3</v>
      </c>
      <c r="G258" t="s">
        <v>14</v>
      </c>
      <c r="H258" t="s">
        <v>37</v>
      </c>
    </row>
    <row r="259" spans="1:8" x14ac:dyDescent="0.25">
      <c r="A259" t="s">
        <v>36</v>
      </c>
      <c r="B259" t="s">
        <v>22</v>
      </c>
      <c r="C259" s="10">
        <v>45573</v>
      </c>
      <c r="D259">
        <v>3.1015037593984971E-2</v>
      </c>
      <c r="E259">
        <v>43</v>
      </c>
      <c r="F259">
        <v>4</v>
      </c>
      <c r="G259" t="s">
        <v>14</v>
      </c>
      <c r="H259" t="s">
        <v>37</v>
      </c>
    </row>
    <row r="260" spans="1:8" x14ac:dyDescent="0.25">
      <c r="A260" t="s">
        <v>39</v>
      </c>
      <c r="B260" t="s">
        <v>22</v>
      </c>
      <c r="C260" s="10">
        <v>45578</v>
      </c>
      <c r="D260">
        <v>1.0545112781954891</v>
      </c>
      <c r="E260">
        <v>43</v>
      </c>
      <c r="F260">
        <v>21</v>
      </c>
      <c r="G260" t="s">
        <v>14</v>
      </c>
      <c r="H260" t="s">
        <v>37</v>
      </c>
    </row>
    <row r="261" spans="1:8" x14ac:dyDescent="0.25">
      <c r="A261" t="s">
        <v>36</v>
      </c>
      <c r="B261" t="s">
        <v>22</v>
      </c>
      <c r="C261" s="10">
        <v>45579</v>
      </c>
      <c r="D261">
        <v>3.1015037593984971E-2</v>
      </c>
      <c r="E261">
        <v>43</v>
      </c>
      <c r="F261">
        <v>22</v>
      </c>
      <c r="G261" t="s">
        <v>14</v>
      </c>
      <c r="H261" t="s">
        <v>37</v>
      </c>
    </row>
    <row r="262" spans="1:8" x14ac:dyDescent="0.25">
      <c r="A262" t="s">
        <v>39</v>
      </c>
      <c r="B262" t="s">
        <v>22</v>
      </c>
      <c r="C262" s="10">
        <v>45579</v>
      </c>
      <c r="D262">
        <v>1.0545112781954891</v>
      </c>
      <c r="E262">
        <v>43</v>
      </c>
      <c r="F262">
        <v>24</v>
      </c>
      <c r="G262" t="s">
        <v>14</v>
      </c>
      <c r="H262" t="s">
        <v>37</v>
      </c>
    </row>
    <row r="263" spans="1:8" x14ac:dyDescent="0.25">
      <c r="A263" t="s">
        <v>36</v>
      </c>
      <c r="B263" t="s">
        <v>22</v>
      </c>
      <c r="C263" s="10">
        <v>45580</v>
      </c>
      <c r="D263">
        <v>3.1015037593984971E-2</v>
      </c>
      <c r="E263">
        <v>43</v>
      </c>
      <c r="F263">
        <v>25</v>
      </c>
      <c r="G263" t="s">
        <v>14</v>
      </c>
      <c r="H263" t="s">
        <v>37</v>
      </c>
    </row>
    <row r="264" spans="1:8" x14ac:dyDescent="0.25">
      <c r="A264" t="s">
        <v>39</v>
      </c>
      <c r="B264" t="s">
        <v>22</v>
      </c>
      <c r="C264" s="10">
        <v>45580</v>
      </c>
      <c r="D264">
        <v>1.0545112781954891</v>
      </c>
      <c r="E264">
        <v>43</v>
      </c>
      <c r="F264">
        <v>27</v>
      </c>
      <c r="G264" t="s">
        <v>14</v>
      </c>
      <c r="H264" t="s">
        <v>37</v>
      </c>
    </row>
    <row r="265" spans="1:8" x14ac:dyDescent="0.25">
      <c r="A265" t="s">
        <v>36</v>
      </c>
      <c r="B265" t="s">
        <v>22</v>
      </c>
      <c r="C265" s="10">
        <v>45581</v>
      </c>
      <c r="D265">
        <v>3.1015037593984971E-2</v>
      </c>
      <c r="E265">
        <v>43</v>
      </c>
      <c r="F265">
        <v>28</v>
      </c>
      <c r="G265" t="s">
        <v>14</v>
      </c>
      <c r="H265" t="s">
        <v>37</v>
      </c>
    </row>
    <row r="266" spans="1:8" x14ac:dyDescent="0.25">
      <c r="A266" t="s">
        <v>39</v>
      </c>
      <c r="B266" t="s">
        <v>22</v>
      </c>
      <c r="C266" s="10">
        <v>45581</v>
      </c>
      <c r="D266">
        <v>1.0545112781954891</v>
      </c>
      <c r="E266">
        <v>43</v>
      </c>
      <c r="F266">
        <v>30</v>
      </c>
      <c r="G266" t="s">
        <v>14</v>
      </c>
      <c r="H266" t="s">
        <v>37</v>
      </c>
    </row>
    <row r="267" spans="1:8" x14ac:dyDescent="0.25">
      <c r="A267" t="s">
        <v>36</v>
      </c>
      <c r="B267" t="s">
        <v>22</v>
      </c>
      <c r="C267" s="10">
        <v>45582</v>
      </c>
      <c r="D267">
        <v>3.1015037593984971E-2</v>
      </c>
      <c r="E267">
        <v>43</v>
      </c>
      <c r="F267">
        <v>31</v>
      </c>
      <c r="G267" t="s">
        <v>14</v>
      </c>
      <c r="H267" t="s">
        <v>37</v>
      </c>
    </row>
    <row r="268" spans="1:8" x14ac:dyDescent="0.25">
      <c r="A268" t="s">
        <v>39</v>
      </c>
      <c r="B268" t="s">
        <v>22</v>
      </c>
      <c r="C268" s="10">
        <v>45583</v>
      </c>
      <c r="D268">
        <v>1.0545112781954891</v>
      </c>
      <c r="E268">
        <v>43</v>
      </c>
      <c r="F268">
        <v>36</v>
      </c>
      <c r="G268" t="s">
        <v>14</v>
      </c>
      <c r="H268" t="s">
        <v>37</v>
      </c>
    </row>
    <row r="269" spans="1:8" x14ac:dyDescent="0.25">
      <c r="A269" t="s">
        <v>36</v>
      </c>
      <c r="B269" t="s">
        <v>22</v>
      </c>
      <c r="C269" s="10">
        <v>45584</v>
      </c>
      <c r="D269">
        <v>3.1015037593984971E-2</v>
      </c>
      <c r="E269">
        <v>43</v>
      </c>
      <c r="F269">
        <v>37</v>
      </c>
      <c r="G269" t="s">
        <v>14</v>
      </c>
      <c r="H269" t="s">
        <v>37</v>
      </c>
    </row>
    <row r="270" spans="1:8" x14ac:dyDescent="0.25">
      <c r="A270" t="s">
        <v>39</v>
      </c>
      <c r="B270" t="s">
        <v>22</v>
      </c>
      <c r="C270" s="10">
        <v>45584</v>
      </c>
      <c r="D270">
        <v>1.0545112781954891</v>
      </c>
      <c r="E270">
        <v>43</v>
      </c>
      <c r="F270">
        <v>39</v>
      </c>
      <c r="G270" t="s">
        <v>14</v>
      </c>
      <c r="H270" t="s">
        <v>37</v>
      </c>
    </row>
    <row r="271" spans="1:8" x14ac:dyDescent="0.25">
      <c r="A271" t="s">
        <v>36</v>
      </c>
      <c r="B271" t="s">
        <v>22</v>
      </c>
      <c r="C271" s="10">
        <v>45585</v>
      </c>
      <c r="D271">
        <v>3.1015037593984971E-2</v>
      </c>
      <c r="E271">
        <v>43</v>
      </c>
      <c r="F271">
        <v>40</v>
      </c>
      <c r="G271" t="s">
        <v>14</v>
      </c>
      <c r="H271" t="s">
        <v>37</v>
      </c>
    </row>
    <row r="272" spans="1:8" x14ac:dyDescent="0.25">
      <c r="A272" t="s">
        <v>39</v>
      </c>
      <c r="B272" t="s">
        <v>22</v>
      </c>
      <c r="C272" s="10">
        <v>45572</v>
      </c>
      <c r="D272">
        <v>1.0545112781954891</v>
      </c>
      <c r="E272">
        <v>44</v>
      </c>
      <c r="F272">
        <v>3</v>
      </c>
      <c r="G272" t="s">
        <v>14</v>
      </c>
      <c r="H272" t="s">
        <v>37</v>
      </c>
    </row>
    <row r="273" spans="1:8" x14ac:dyDescent="0.25">
      <c r="A273" t="s">
        <v>36</v>
      </c>
      <c r="B273" t="s">
        <v>22</v>
      </c>
      <c r="C273" s="10">
        <v>45573</v>
      </c>
      <c r="D273">
        <v>3.1015037593984971E-2</v>
      </c>
      <c r="E273">
        <v>44</v>
      </c>
      <c r="F273">
        <v>4</v>
      </c>
      <c r="G273" t="s">
        <v>14</v>
      </c>
      <c r="H273" t="s">
        <v>37</v>
      </c>
    </row>
    <row r="274" spans="1:8" x14ac:dyDescent="0.25">
      <c r="A274" t="s">
        <v>39</v>
      </c>
      <c r="B274" t="s">
        <v>22</v>
      </c>
      <c r="C274" s="10">
        <v>45573</v>
      </c>
      <c r="D274">
        <v>1.0545112781954891</v>
      </c>
      <c r="E274">
        <v>44</v>
      </c>
      <c r="F274">
        <v>6</v>
      </c>
      <c r="G274" t="s">
        <v>14</v>
      </c>
      <c r="H274" t="s">
        <v>37</v>
      </c>
    </row>
    <row r="275" spans="1:8" x14ac:dyDescent="0.25">
      <c r="A275" t="s">
        <v>36</v>
      </c>
      <c r="B275" t="s">
        <v>22</v>
      </c>
      <c r="C275" s="10">
        <v>45574</v>
      </c>
      <c r="D275">
        <v>3.1015037593984971E-2</v>
      </c>
      <c r="E275">
        <v>44</v>
      </c>
      <c r="F275">
        <v>7</v>
      </c>
      <c r="G275" t="s">
        <v>14</v>
      </c>
      <c r="H275" t="s">
        <v>37</v>
      </c>
    </row>
    <row r="276" spans="1:8" x14ac:dyDescent="0.25">
      <c r="A276" t="s">
        <v>39</v>
      </c>
      <c r="B276" t="s">
        <v>22</v>
      </c>
      <c r="C276" s="10">
        <v>45575</v>
      </c>
      <c r="D276">
        <v>1.0545112781954891</v>
      </c>
      <c r="E276">
        <v>44</v>
      </c>
      <c r="F276">
        <v>12</v>
      </c>
      <c r="G276" t="s">
        <v>14</v>
      </c>
      <c r="H276" t="s">
        <v>37</v>
      </c>
    </row>
    <row r="277" spans="1:8" x14ac:dyDescent="0.25">
      <c r="A277" t="s">
        <v>36</v>
      </c>
      <c r="B277" t="s">
        <v>22</v>
      </c>
      <c r="C277" s="10">
        <v>45576</v>
      </c>
      <c r="D277">
        <v>3.1015037593984971E-2</v>
      </c>
      <c r="E277">
        <v>44</v>
      </c>
      <c r="F277">
        <v>13</v>
      </c>
      <c r="G277" t="s">
        <v>14</v>
      </c>
      <c r="H277" t="s">
        <v>37</v>
      </c>
    </row>
    <row r="278" spans="1:8" x14ac:dyDescent="0.25">
      <c r="A278" t="s">
        <v>39</v>
      </c>
      <c r="B278" t="s">
        <v>22</v>
      </c>
      <c r="C278" s="10">
        <v>45576</v>
      </c>
      <c r="D278">
        <v>1.0545112781954891</v>
      </c>
      <c r="E278">
        <v>44</v>
      </c>
      <c r="F278">
        <v>15</v>
      </c>
      <c r="G278" t="s">
        <v>14</v>
      </c>
      <c r="H278" t="s">
        <v>37</v>
      </c>
    </row>
    <row r="279" spans="1:8" x14ac:dyDescent="0.25">
      <c r="A279" t="s">
        <v>36</v>
      </c>
      <c r="B279" t="s">
        <v>22</v>
      </c>
      <c r="C279" s="10">
        <v>45577</v>
      </c>
      <c r="D279">
        <v>3.1015037593984971E-2</v>
      </c>
      <c r="E279">
        <v>44</v>
      </c>
      <c r="F279">
        <v>16</v>
      </c>
      <c r="G279" t="s">
        <v>14</v>
      </c>
      <c r="H279" t="s">
        <v>37</v>
      </c>
    </row>
    <row r="280" spans="1:8" x14ac:dyDescent="0.25">
      <c r="A280" t="s">
        <v>39</v>
      </c>
      <c r="B280" t="s">
        <v>22</v>
      </c>
      <c r="C280" s="10">
        <v>45577</v>
      </c>
      <c r="D280">
        <v>1.0545112781954891</v>
      </c>
      <c r="E280">
        <v>44</v>
      </c>
      <c r="F280">
        <v>18</v>
      </c>
      <c r="G280" t="s">
        <v>14</v>
      </c>
      <c r="H280" t="s">
        <v>37</v>
      </c>
    </row>
    <row r="281" spans="1:8" x14ac:dyDescent="0.25">
      <c r="A281" t="s">
        <v>36</v>
      </c>
      <c r="B281" t="s">
        <v>22</v>
      </c>
      <c r="C281" s="10">
        <v>45578</v>
      </c>
      <c r="D281">
        <v>3.1015037593984971E-2</v>
      </c>
      <c r="E281">
        <v>44</v>
      </c>
      <c r="F281">
        <v>19</v>
      </c>
      <c r="G281" t="s">
        <v>14</v>
      </c>
      <c r="H281" t="s">
        <v>37</v>
      </c>
    </row>
    <row r="282" spans="1:8" x14ac:dyDescent="0.25">
      <c r="A282" t="s">
        <v>39</v>
      </c>
      <c r="B282" t="s">
        <v>22</v>
      </c>
      <c r="C282" s="10">
        <v>45579</v>
      </c>
      <c r="D282">
        <v>1.0545112781954891</v>
      </c>
      <c r="E282">
        <v>44</v>
      </c>
      <c r="F282">
        <v>24</v>
      </c>
      <c r="G282" t="s">
        <v>14</v>
      </c>
      <c r="H282" t="s">
        <v>37</v>
      </c>
    </row>
    <row r="283" spans="1:8" x14ac:dyDescent="0.25">
      <c r="A283" t="s">
        <v>36</v>
      </c>
      <c r="B283" t="s">
        <v>22</v>
      </c>
      <c r="C283" s="10">
        <v>45580</v>
      </c>
      <c r="D283">
        <v>3.1015037593984971E-2</v>
      </c>
      <c r="E283">
        <v>44</v>
      </c>
      <c r="F283">
        <v>25</v>
      </c>
      <c r="G283" t="s">
        <v>14</v>
      </c>
      <c r="H283" t="s">
        <v>37</v>
      </c>
    </row>
    <row r="284" spans="1:8" x14ac:dyDescent="0.25">
      <c r="A284" t="s">
        <v>39</v>
      </c>
      <c r="B284" t="s">
        <v>22</v>
      </c>
      <c r="C284" s="10">
        <v>45582</v>
      </c>
      <c r="D284">
        <v>1.0545112781954891</v>
      </c>
      <c r="E284">
        <v>44</v>
      </c>
      <c r="F284">
        <v>33</v>
      </c>
      <c r="G284" t="s">
        <v>14</v>
      </c>
      <c r="H284" t="s">
        <v>37</v>
      </c>
    </row>
    <row r="285" spans="1:8" x14ac:dyDescent="0.25">
      <c r="A285" t="s">
        <v>36</v>
      </c>
      <c r="B285" t="s">
        <v>22</v>
      </c>
      <c r="C285" s="10">
        <v>45583</v>
      </c>
      <c r="D285">
        <v>3.1015037593984971E-2</v>
      </c>
      <c r="E285">
        <v>44</v>
      </c>
      <c r="F285">
        <v>34</v>
      </c>
      <c r="G285" t="s">
        <v>14</v>
      </c>
      <c r="H285" t="s">
        <v>37</v>
      </c>
    </row>
    <row r="286" spans="1:8" x14ac:dyDescent="0.25">
      <c r="A286" t="s">
        <v>38</v>
      </c>
      <c r="B286" t="s">
        <v>22</v>
      </c>
      <c r="C286" s="10">
        <v>45573</v>
      </c>
      <c r="D286">
        <v>0.7236842105263156</v>
      </c>
      <c r="E286">
        <v>45</v>
      </c>
      <c r="F286">
        <v>5</v>
      </c>
      <c r="G286" t="s">
        <v>14</v>
      </c>
      <c r="H286" t="s">
        <v>37</v>
      </c>
    </row>
    <row r="287" spans="1:8" x14ac:dyDescent="0.25">
      <c r="A287" t="s">
        <v>38</v>
      </c>
      <c r="B287" t="s">
        <v>22</v>
      </c>
      <c r="C287" s="10">
        <v>45574</v>
      </c>
      <c r="D287">
        <v>0.72368421052631571</v>
      </c>
      <c r="E287">
        <v>45</v>
      </c>
      <c r="F287">
        <v>8</v>
      </c>
      <c r="G287" t="s">
        <v>14</v>
      </c>
      <c r="H287" t="s">
        <v>37</v>
      </c>
    </row>
    <row r="288" spans="1:8" x14ac:dyDescent="0.25">
      <c r="A288" t="s">
        <v>38</v>
      </c>
      <c r="B288" t="s">
        <v>22</v>
      </c>
      <c r="C288" s="10">
        <v>45575</v>
      </c>
      <c r="D288">
        <v>0.7236842105263156</v>
      </c>
      <c r="E288">
        <v>45</v>
      </c>
      <c r="F288">
        <v>11</v>
      </c>
      <c r="G288" t="s">
        <v>14</v>
      </c>
      <c r="H288" t="s">
        <v>37</v>
      </c>
    </row>
    <row r="289" spans="1:8" x14ac:dyDescent="0.25">
      <c r="A289" t="s">
        <v>38</v>
      </c>
      <c r="B289" t="s">
        <v>22</v>
      </c>
      <c r="C289" s="10">
        <v>45577</v>
      </c>
      <c r="D289">
        <v>0.72368421052631582</v>
      </c>
      <c r="E289">
        <v>45</v>
      </c>
      <c r="F289">
        <v>17</v>
      </c>
      <c r="G289" t="s">
        <v>14</v>
      </c>
      <c r="H289" t="s">
        <v>37</v>
      </c>
    </row>
    <row r="290" spans="1:8" x14ac:dyDescent="0.25">
      <c r="A290" t="s">
        <v>38</v>
      </c>
      <c r="B290" t="s">
        <v>22</v>
      </c>
      <c r="C290" s="10">
        <v>45580</v>
      </c>
      <c r="D290">
        <v>0.72368421052631571</v>
      </c>
      <c r="E290">
        <v>45</v>
      </c>
      <c r="F290">
        <v>26</v>
      </c>
      <c r="G290" t="s">
        <v>14</v>
      </c>
      <c r="H290" t="s">
        <v>37</v>
      </c>
    </row>
    <row r="291" spans="1:8" x14ac:dyDescent="0.25">
      <c r="A291" t="s">
        <v>38</v>
      </c>
      <c r="B291" t="s">
        <v>22</v>
      </c>
      <c r="C291" s="10">
        <v>45581</v>
      </c>
      <c r="D291">
        <v>0.7236842105263156</v>
      </c>
      <c r="E291">
        <v>45</v>
      </c>
      <c r="F291">
        <v>29</v>
      </c>
      <c r="G291" t="s">
        <v>14</v>
      </c>
      <c r="H291" t="s">
        <v>37</v>
      </c>
    </row>
    <row r="292" spans="1:8" x14ac:dyDescent="0.25">
      <c r="A292" t="s">
        <v>38</v>
      </c>
      <c r="B292" t="s">
        <v>22</v>
      </c>
      <c r="C292" s="10">
        <v>45582</v>
      </c>
      <c r="D292">
        <v>0.7236842105263156</v>
      </c>
      <c r="E292">
        <v>45</v>
      </c>
      <c r="F292">
        <v>32</v>
      </c>
      <c r="G292" t="s">
        <v>14</v>
      </c>
      <c r="H292" t="s">
        <v>37</v>
      </c>
    </row>
    <row r="293" spans="1:8" x14ac:dyDescent="0.25">
      <c r="A293" t="s">
        <v>36</v>
      </c>
      <c r="B293" t="s">
        <v>22</v>
      </c>
      <c r="C293" s="10">
        <v>45574</v>
      </c>
      <c r="D293">
        <v>1.0216718266253872</v>
      </c>
      <c r="E293">
        <v>46</v>
      </c>
      <c r="F293">
        <v>7</v>
      </c>
      <c r="G293" t="s">
        <v>14</v>
      </c>
      <c r="H293" t="s">
        <v>37</v>
      </c>
    </row>
    <row r="294" spans="1:8" x14ac:dyDescent="0.25">
      <c r="A294" t="s">
        <v>38</v>
      </c>
      <c r="B294" t="s">
        <v>22</v>
      </c>
      <c r="C294" s="10">
        <v>45574</v>
      </c>
      <c r="D294">
        <v>3.0959752321981424E-2</v>
      </c>
      <c r="E294">
        <v>46</v>
      </c>
      <c r="F294">
        <v>8</v>
      </c>
      <c r="G294" t="s">
        <v>14</v>
      </c>
      <c r="H294" t="s">
        <v>37</v>
      </c>
    </row>
    <row r="295" spans="1:8" x14ac:dyDescent="0.25">
      <c r="A295" t="s">
        <v>36</v>
      </c>
      <c r="B295" t="s">
        <v>22</v>
      </c>
      <c r="C295" s="10">
        <v>45576</v>
      </c>
      <c r="D295">
        <v>1.021671826625387</v>
      </c>
      <c r="E295">
        <v>46</v>
      </c>
      <c r="F295">
        <v>13</v>
      </c>
      <c r="G295" t="s">
        <v>14</v>
      </c>
      <c r="H295" t="s">
        <v>37</v>
      </c>
    </row>
    <row r="296" spans="1:8" x14ac:dyDescent="0.25">
      <c r="A296" t="s">
        <v>38</v>
      </c>
      <c r="B296" t="s">
        <v>22</v>
      </c>
      <c r="C296" s="10">
        <v>45576</v>
      </c>
      <c r="D296">
        <v>3.0959752321981424E-2</v>
      </c>
      <c r="E296">
        <v>46</v>
      </c>
      <c r="F296">
        <v>14</v>
      </c>
      <c r="G296" t="s">
        <v>14</v>
      </c>
      <c r="H296" t="s">
        <v>37</v>
      </c>
    </row>
    <row r="297" spans="1:8" x14ac:dyDescent="0.25">
      <c r="A297" t="s">
        <v>39</v>
      </c>
      <c r="B297" t="s">
        <v>22</v>
      </c>
      <c r="C297" s="10">
        <v>45580</v>
      </c>
      <c r="D297">
        <v>1.0545112781954891</v>
      </c>
      <c r="E297">
        <v>46</v>
      </c>
      <c r="F297">
        <v>27</v>
      </c>
      <c r="G297" t="s">
        <v>14</v>
      </c>
      <c r="H297" t="s">
        <v>37</v>
      </c>
    </row>
    <row r="298" spans="1:8" x14ac:dyDescent="0.25">
      <c r="A298" t="s">
        <v>36</v>
      </c>
      <c r="B298" t="s">
        <v>22</v>
      </c>
      <c r="C298" s="10">
        <v>45581</v>
      </c>
      <c r="D298">
        <v>3.1015037593984971E-2</v>
      </c>
      <c r="E298">
        <v>46</v>
      </c>
      <c r="F298">
        <v>28</v>
      </c>
      <c r="G298" t="s">
        <v>14</v>
      </c>
      <c r="H298" t="s">
        <v>37</v>
      </c>
    </row>
    <row r="299" spans="1:8" x14ac:dyDescent="0.25">
      <c r="A299" t="s">
        <v>38</v>
      </c>
      <c r="B299" t="s">
        <v>22</v>
      </c>
      <c r="C299" s="10">
        <v>45582</v>
      </c>
      <c r="D299">
        <v>0.7236842105263156</v>
      </c>
      <c r="E299">
        <v>46</v>
      </c>
      <c r="F299">
        <v>32</v>
      </c>
      <c r="G299" t="s">
        <v>14</v>
      </c>
      <c r="H299" t="s">
        <v>37</v>
      </c>
    </row>
    <row r="300" spans="1:8" x14ac:dyDescent="0.25">
      <c r="A300" t="s">
        <v>36</v>
      </c>
      <c r="B300" t="s">
        <v>22</v>
      </c>
      <c r="C300" s="10">
        <v>45583</v>
      </c>
      <c r="D300">
        <v>0.78947368421052633</v>
      </c>
      <c r="E300">
        <v>46</v>
      </c>
      <c r="F300">
        <v>34</v>
      </c>
      <c r="G300" t="s">
        <v>14</v>
      </c>
      <c r="H300" t="s">
        <v>37</v>
      </c>
    </row>
    <row r="301" spans="1:8" x14ac:dyDescent="0.25">
      <c r="A301" t="s">
        <v>39</v>
      </c>
      <c r="B301" t="s">
        <v>22</v>
      </c>
      <c r="C301" s="10">
        <v>45584</v>
      </c>
      <c r="D301">
        <v>3.0701754385964914E-2</v>
      </c>
      <c r="E301">
        <v>46</v>
      </c>
      <c r="F301">
        <v>39</v>
      </c>
      <c r="G301" t="s">
        <v>14</v>
      </c>
      <c r="H301" t="s">
        <v>37</v>
      </c>
    </row>
    <row r="302" spans="1:8" x14ac:dyDescent="0.25">
      <c r="A302" t="s">
        <v>38</v>
      </c>
      <c r="B302" t="s">
        <v>22</v>
      </c>
      <c r="C302" s="10">
        <v>45584</v>
      </c>
      <c r="D302">
        <v>0.89035087719298234</v>
      </c>
      <c r="E302">
        <v>46</v>
      </c>
      <c r="F302">
        <v>38</v>
      </c>
      <c r="G302" t="s">
        <v>14</v>
      </c>
      <c r="H302" t="s">
        <v>37</v>
      </c>
    </row>
    <row r="303" spans="1:8" x14ac:dyDescent="0.25">
      <c r="A303" t="s">
        <v>38</v>
      </c>
      <c r="B303" t="s">
        <v>22</v>
      </c>
      <c r="C303" s="10">
        <v>45574</v>
      </c>
      <c r="D303">
        <v>0.72368421052631571</v>
      </c>
      <c r="E303">
        <v>47</v>
      </c>
      <c r="F303">
        <v>8</v>
      </c>
      <c r="G303" t="s">
        <v>14</v>
      </c>
      <c r="H303" t="s">
        <v>37</v>
      </c>
    </row>
    <row r="304" spans="1:8" x14ac:dyDescent="0.25">
      <c r="A304" t="s">
        <v>39</v>
      </c>
      <c r="B304" t="s">
        <v>22</v>
      </c>
      <c r="C304" s="10">
        <v>45575</v>
      </c>
      <c r="D304">
        <v>3.0701754385964914E-2</v>
      </c>
      <c r="E304">
        <v>47</v>
      </c>
      <c r="F304">
        <v>12</v>
      </c>
      <c r="G304" t="s">
        <v>14</v>
      </c>
      <c r="H304" t="s">
        <v>37</v>
      </c>
    </row>
    <row r="305" spans="1:8" x14ac:dyDescent="0.25">
      <c r="A305" t="s">
        <v>38</v>
      </c>
      <c r="B305" t="s">
        <v>22</v>
      </c>
      <c r="C305" s="10">
        <v>45575</v>
      </c>
      <c r="D305">
        <v>0.89035087719298234</v>
      </c>
      <c r="E305">
        <v>47</v>
      </c>
      <c r="F305">
        <v>11</v>
      </c>
      <c r="G305" t="s">
        <v>14</v>
      </c>
      <c r="H305" t="s">
        <v>37</v>
      </c>
    </row>
    <row r="306" spans="1:8" x14ac:dyDescent="0.25">
      <c r="A306" t="s">
        <v>39</v>
      </c>
      <c r="B306" t="s">
        <v>22</v>
      </c>
      <c r="C306" s="10">
        <v>45576</v>
      </c>
      <c r="D306">
        <v>1.0545112781954891</v>
      </c>
      <c r="E306">
        <v>47</v>
      </c>
      <c r="F306">
        <v>15</v>
      </c>
      <c r="G306" t="s">
        <v>14</v>
      </c>
      <c r="H306" t="s">
        <v>37</v>
      </c>
    </row>
    <row r="307" spans="1:8" x14ac:dyDescent="0.25">
      <c r="A307" t="s">
        <v>36</v>
      </c>
      <c r="B307" t="s">
        <v>22</v>
      </c>
      <c r="C307" s="10">
        <v>45577</v>
      </c>
      <c r="D307">
        <v>3.1015037593984971E-2</v>
      </c>
      <c r="E307">
        <v>47</v>
      </c>
      <c r="F307">
        <v>16</v>
      </c>
      <c r="G307" t="s">
        <v>14</v>
      </c>
      <c r="H307" t="s">
        <v>37</v>
      </c>
    </row>
    <row r="308" spans="1:8" x14ac:dyDescent="0.25">
      <c r="A308" t="s">
        <v>39</v>
      </c>
      <c r="B308" t="s">
        <v>22</v>
      </c>
      <c r="C308" s="10">
        <v>45577</v>
      </c>
      <c r="D308">
        <v>3.0701754385964914E-2</v>
      </c>
      <c r="E308">
        <v>47</v>
      </c>
      <c r="F308">
        <v>18</v>
      </c>
      <c r="G308" t="s">
        <v>14</v>
      </c>
      <c r="H308" t="s">
        <v>37</v>
      </c>
    </row>
    <row r="309" spans="1:8" x14ac:dyDescent="0.25">
      <c r="A309" t="s">
        <v>38</v>
      </c>
      <c r="B309" t="s">
        <v>22</v>
      </c>
      <c r="C309" s="10">
        <v>45577</v>
      </c>
      <c r="D309">
        <v>0.89035087719298223</v>
      </c>
      <c r="E309">
        <v>47</v>
      </c>
      <c r="F309">
        <v>17</v>
      </c>
      <c r="G309" t="s">
        <v>14</v>
      </c>
      <c r="H309" t="s">
        <v>37</v>
      </c>
    </row>
    <row r="310" spans="1:8" x14ac:dyDescent="0.25">
      <c r="A310" t="s">
        <v>36</v>
      </c>
      <c r="B310" t="s">
        <v>22</v>
      </c>
      <c r="C310" s="10">
        <v>45578</v>
      </c>
      <c r="D310">
        <v>1.0216718266253872</v>
      </c>
      <c r="E310">
        <v>47</v>
      </c>
      <c r="F310">
        <v>19</v>
      </c>
      <c r="G310" t="s">
        <v>14</v>
      </c>
      <c r="H310" t="s">
        <v>37</v>
      </c>
    </row>
    <row r="311" spans="1:8" x14ac:dyDescent="0.25">
      <c r="A311" t="s">
        <v>38</v>
      </c>
      <c r="B311" t="s">
        <v>22</v>
      </c>
      <c r="C311" s="10">
        <v>45578</v>
      </c>
      <c r="D311">
        <v>3.0959752321981424E-2</v>
      </c>
      <c r="E311">
        <v>47</v>
      </c>
      <c r="F311">
        <v>20</v>
      </c>
      <c r="G311" t="s">
        <v>14</v>
      </c>
      <c r="H311" t="s">
        <v>37</v>
      </c>
    </row>
    <row r="312" spans="1:8" x14ac:dyDescent="0.25">
      <c r="A312" t="s">
        <v>38</v>
      </c>
      <c r="B312" t="s">
        <v>22</v>
      </c>
      <c r="C312" s="10">
        <v>45580</v>
      </c>
      <c r="D312">
        <v>0.72368421052631571</v>
      </c>
      <c r="E312">
        <v>47</v>
      </c>
      <c r="F312">
        <v>26</v>
      </c>
      <c r="G312" t="s">
        <v>14</v>
      </c>
      <c r="H312" t="s">
        <v>37</v>
      </c>
    </row>
    <row r="313" spans="1:8" x14ac:dyDescent="0.25">
      <c r="A313" t="s">
        <v>38</v>
      </c>
      <c r="B313" t="s">
        <v>22</v>
      </c>
      <c r="C313" s="10">
        <v>45581</v>
      </c>
      <c r="D313">
        <v>0.7236842105263156</v>
      </c>
      <c r="E313">
        <v>47</v>
      </c>
      <c r="F313">
        <v>29</v>
      </c>
      <c r="G313" t="s">
        <v>14</v>
      </c>
      <c r="H313" t="s">
        <v>37</v>
      </c>
    </row>
    <row r="314" spans="1:8" x14ac:dyDescent="0.25">
      <c r="A314" t="s">
        <v>39</v>
      </c>
      <c r="B314" t="s">
        <v>22</v>
      </c>
      <c r="C314" s="10">
        <v>45582</v>
      </c>
      <c r="D314">
        <v>1.0545112781954891</v>
      </c>
      <c r="E314">
        <v>47</v>
      </c>
      <c r="F314">
        <v>33</v>
      </c>
      <c r="G314" t="s">
        <v>14</v>
      </c>
      <c r="H314" t="s">
        <v>37</v>
      </c>
    </row>
    <row r="315" spans="1:8" x14ac:dyDescent="0.25">
      <c r="A315" t="s">
        <v>36</v>
      </c>
      <c r="B315" t="s">
        <v>22</v>
      </c>
      <c r="C315" s="10">
        <v>45583</v>
      </c>
      <c r="D315">
        <v>3.1015037593984971E-2</v>
      </c>
      <c r="E315">
        <v>47</v>
      </c>
      <c r="F315">
        <v>34</v>
      </c>
      <c r="G315" t="s">
        <v>14</v>
      </c>
      <c r="H315" t="s">
        <v>37</v>
      </c>
    </row>
    <row r="316" spans="1:8" x14ac:dyDescent="0.25">
      <c r="A316" t="s">
        <v>39</v>
      </c>
      <c r="B316" t="s">
        <v>22</v>
      </c>
      <c r="C316" s="10">
        <v>45583</v>
      </c>
      <c r="D316">
        <v>3.0701754385964914E-2</v>
      </c>
      <c r="E316">
        <v>47</v>
      </c>
      <c r="F316">
        <v>36</v>
      </c>
      <c r="G316" t="s">
        <v>14</v>
      </c>
      <c r="H316" t="s">
        <v>37</v>
      </c>
    </row>
    <row r="317" spans="1:8" x14ac:dyDescent="0.25">
      <c r="A317" t="s">
        <v>38</v>
      </c>
      <c r="B317" t="s">
        <v>22</v>
      </c>
      <c r="C317" s="10">
        <v>45583</v>
      </c>
      <c r="D317">
        <v>0.89035087719298245</v>
      </c>
      <c r="E317">
        <v>47</v>
      </c>
      <c r="F317">
        <v>35</v>
      </c>
      <c r="G317" t="s">
        <v>14</v>
      </c>
      <c r="H317" t="s">
        <v>37</v>
      </c>
    </row>
    <row r="318" spans="1:8" x14ac:dyDescent="0.25">
      <c r="A318" t="s">
        <v>36</v>
      </c>
      <c r="B318" t="s">
        <v>22</v>
      </c>
      <c r="C318" s="10">
        <v>45584</v>
      </c>
      <c r="D318">
        <v>1.0093490304709143</v>
      </c>
      <c r="E318">
        <v>47</v>
      </c>
      <c r="F318">
        <v>37</v>
      </c>
      <c r="G318" t="s">
        <v>14</v>
      </c>
      <c r="H318" t="s">
        <v>37</v>
      </c>
    </row>
    <row r="319" spans="1:8" x14ac:dyDescent="0.25">
      <c r="A319" t="s">
        <v>38</v>
      </c>
      <c r="B319" t="s">
        <v>22</v>
      </c>
      <c r="C319" s="10">
        <v>45584</v>
      </c>
      <c r="D319">
        <v>0.73407202216066492</v>
      </c>
      <c r="E319">
        <v>47</v>
      </c>
      <c r="F319">
        <v>38</v>
      </c>
      <c r="G319" t="s">
        <v>14</v>
      </c>
      <c r="H319" t="s">
        <v>37</v>
      </c>
    </row>
    <row r="320" spans="1:8" x14ac:dyDescent="0.25">
      <c r="A320" t="s">
        <v>39</v>
      </c>
      <c r="B320" t="s">
        <v>22</v>
      </c>
      <c r="C320" s="10">
        <v>45572</v>
      </c>
      <c r="D320">
        <v>1.0545112781954891</v>
      </c>
      <c r="E320">
        <v>48</v>
      </c>
      <c r="F320">
        <v>3</v>
      </c>
      <c r="G320" t="s">
        <v>14</v>
      </c>
      <c r="H320" t="s">
        <v>37</v>
      </c>
    </row>
    <row r="321" spans="1:8" x14ac:dyDescent="0.25">
      <c r="A321" t="s">
        <v>36</v>
      </c>
      <c r="B321" t="s">
        <v>22</v>
      </c>
      <c r="C321" s="10">
        <v>45573</v>
      </c>
      <c r="D321">
        <v>3.1015037593984971E-2</v>
      </c>
      <c r="E321">
        <v>48</v>
      </c>
      <c r="F321">
        <v>4</v>
      </c>
      <c r="G321" t="s">
        <v>14</v>
      </c>
      <c r="H321" t="s">
        <v>37</v>
      </c>
    </row>
    <row r="322" spans="1:8" x14ac:dyDescent="0.25">
      <c r="A322" t="s">
        <v>39</v>
      </c>
      <c r="B322" t="s">
        <v>22</v>
      </c>
      <c r="C322" s="10">
        <v>45573</v>
      </c>
      <c r="D322">
        <v>1.0545112781954891</v>
      </c>
      <c r="E322">
        <v>48</v>
      </c>
      <c r="F322">
        <v>6</v>
      </c>
      <c r="G322" t="s">
        <v>14</v>
      </c>
      <c r="H322" t="s">
        <v>37</v>
      </c>
    </row>
    <row r="323" spans="1:8" x14ac:dyDescent="0.25">
      <c r="A323" t="s">
        <v>36</v>
      </c>
      <c r="B323" t="s">
        <v>22</v>
      </c>
      <c r="C323" s="10">
        <v>45574</v>
      </c>
      <c r="D323">
        <v>3.1015037593984971E-2</v>
      </c>
      <c r="E323">
        <v>48</v>
      </c>
      <c r="F323">
        <v>7</v>
      </c>
      <c r="G323" t="s">
        <v>14</v>
      </c>
      <c r="H323" t="s">
        <v>37</v>
      </c>
    </row>
    <row r="324" spans="1:8" x14ac:dyDescent="0.25">
      <c r="A324" t="s">
        <v>39</v>
      </c>
      <c r="B324" t="s">
        <v>22</v>
      </c>
      <c r="C324" s="10">
        <v>45576</v>
      </c>
      <c r="D324">
        <v>1.0545112781954891</v>
      </c>
      <c r="E324">
        <v>48</v>
      </c>
      <c r="F324">
        <v>15</v>
      </c>
      <c r="G324" t="s">
        <v>14</v>
      </c>
      <c r="H324" t="s">
        <v>37</v>
      </c>
    </row>
    <row r="325" spans="1:8" x14ac:dyDescent="0.25">
      <c r="A325" t="s">
        <v>36</v>
      </c>
      <c r="B325" t="s">
        <v>22</v>
      </c>
      <c r="C325" s="10">
        <v>45577</v>
      </c>
      <c r="D325">
        <v>3.1015037593984971E-2</v>
      </c>
      <c r="E325">
        <v>48</v>
      </c>
      <c r="F325">
        <v>16</v>
      </c>
      <c r="G325" t="s">
        <v>14</v>
      </c>
      <c r="H325" t="s">
        <v>37</v>
      </c>
    </row>
    <row r="326" spans="1:8" x14ac:dyDescent="0.25">
      <c r="A326" t="s">
        <v>39</v>
      </c>
      <c r="B326" t="s">
        <v>22</v>
      </c>
      <c r="C326" s="10">
        <v>45579</v>
      </c>
      <c r="D326">
        <v>1.0545112781954891</v>
      </c>
      <c r="E326">
        <v>48</v>
      </c>
      <c r="F326">
        <v>24</v>
      </c>
      <c r="G326" t="s">
        <v>14</v>
      </c>
      <c r="H326" t="s">
        <v>37</v>
      </c>
    </row>
    <row r="327" spans="1:8" x14ac:dyDescent="0.25">
      <c r="A327" t="s">
        <v>36</v>
      </c>
      <c r="B327" t="s">
        <v>22</v>
      </c>
      <c r="C327" s="10">
        <v>45580</v>
      </c>
      <c r="D327">
        <v>3.1015037593984971E-2</v>
      </c>
      <c r="E327">
        <v>48</v>
      </c>
      <c r="F327">
        <v>25</v>
      </c>
      <c r="G327" t="s">
        <v>14</v>
      </c>
      <c r="H327" t="s">
        <v>37</v>
      </c>
    </row>
    <row r="328" spans="1:8" x14ac:dyDescent="0.25">
      <c r="A328" t="s">
        <v>39</v>
      </c>
      <c r="B328" t="s">
        <v>22</v>
      </c>
      <c r="C328" s="10">
        <v>45583</v>
      </c>
      <c r="D328">
        <v>1.0545112781954891</v>
      </c>
      <c r="E328">
        <v>48</v>
      </c>
      <c r="F328">
        <v>36</v>
      </c>
      <c r="G328" t="s">
        <v>14</v>
      </c>
      <c r="H328" t="s">
        <v>37</v>
      </c>
    </row>
    <row r="329" spans="1:8" x14ac:dyDescent="0.25">
      <c r="A329" t="s">
        <v>36</v>
      </c>
      <c r="B329" t="s">
        <v>22</v>
      </c>
      <c r="C329" s="10">
        <v>45584</v>
      </c>
      <c r="D329">
        <v>3.1015037593984971E-2</v>
      </c>
      <c r="E329">
        <v>48</v>
      </c>
      <c r="F329">
        <v>37</v>
      </c>
      <c r="G329" t="s">
        <v>14</v>
      </c>
      <c r="H329" t="s">
        <v>37</v>
      </c>
    </row>
    <row r="330" spans="1:8" x14ac:dyDescent="0.25">
      <c r="A330" t="s">
        <v>39</v>
      </c>
      <c r="B330" t="s">
        <v>22</v>
      </c>
      <c r="C330" s="10">
        <v>45584</v>
      </c>
      <c r="D330">
        <v>1.0545112781954891</v>
      </c>
      <c r="E330">
        <v>48</v>
      </c>
      <c r="F330">
        <v>39</v>
      </c>
      <c r="G330" t="s">
        <v>14</v>
      </c>
      <c r="H330" t="s">
        <v>37</v>
      </c>
    </row>
    <row r="331" spans="1:8" x14ac:dyDescent="0.25">
      <c r="A331" t="s">
        <v>36</v>
      </c>
      <c r="B331" t="s">
        <v>22</v>
      </c>
      <c r="C331" s="10">
        <v>45585</v>
      </c>
      <c r="D331">
        <v>3.1015037593984971E-2</v>
      </c>
      <c r="E331">
        <v>48</v>
      </c>
      <c r="F331">
        <v>40</v>
      </c>
      <c r="G331" t="s">
        <v>14</v>
      </c>
      <c r="H331" t="s">
        <v>37</v>
      </c>
    </row>
    <row r="332" spans="1:8" x14ac:dyDescent="0.25">
      <c r="A332" t="s">
        <v>38</v>
      </c>
      <c r="B332" t="s">
        <v>22</v>
      </c>
      <c r="C332" s="10">
        <v>45573</v>
      </c>
      <c r="D332">
        <v>0.7236842105263156</v>
      </c>
      <c r="E332">
        <v>50</v>
      </c>
      <c r="F332">
        <v>5</v>
      </c>
      <c r="G332" t="s">
        <v>14</v>
      </c>
      <c r="H332" t="s">
        <v>37</v>
      </c>
    </row>
    <row r="333" spans="1:8" x14ac:dyDescent="0.25">
      <c r="A333" t="s">
        <v>36</v>
      </c>
      <c r="B333" t="s">
        <v>22</v>
      </c>
      <c r="C333" s="10">
        <v>45574</v>
      </c>
      <c r="D333">
        <v>0.78947368421052633</v>
      </c>
      <c r="E333">
        <v>50</v>
      </c>
      <c r="F333">
        <v>7</v>
      </c>
      <c r="G333" t="s">
        <v>14</v>
      </c>
      <c r="H333" t="s">
        <v>37</v>
      </c>
    </row>
    <row r="334" spans="1:8" x14ac:dyDescent="0.25">
      <c r="A334" t="s">
        <v>36</v>
      </c>
      <c r="B334" t="s">
        <v>22</v>
      </c>
      <c r="C334" s="10">
        <v>45575</v>
      </c>
      <c r="D334">
        <v>0.78947368421052622</v>
      </c>
      <c r="E334">
        <v>50</v>
      </c>
      <c r="F334">
        <v>10</v>
      </c>
      <c r="G334" t="s">
        <v>14</v>
      </c>
      <c r="H334" t="s">
        <v>37</v>
      </c>
    </row>
    <row r="335" spans="1:8" x14ac:dyDescent="0.25">
      <c r="A335" t="s">
        <v>38</v>
      </c>
      <c r="B335" t="s">
        <v>22</v>
      </c>
      <c r="C335" s="10">
        <v>45578</v>
      </c>
      <c r="D335">
        <v>0.7236842105263156</v>
      </c>
      <c r="E335">
        <v>50</v>
      </c>
      <c r="F335">
        <v>20</v>
      </c>
      <c r="G335" t="s">
        <v>14</v>
      </c>
      <c r="H335" t="s">
        <v>37</v>
      </c>
    </row>
    <row r="336" spans="1:8" x14ac:dyDescent="0.25">
      <c r="A336" t="s">
        <v>38</v>
      </c>
      <c r="B336" t="s">
        <v>22</v>
      </c>
      <c r="C336" s="10">
        <v>45580</v>
      </c>
      <c r="D336">
        <v>0.72368421052631571</v>
      </c>
      <c r="E336">
        <v>50</v>
      </c>
      <c r="F336">
        <v>26</v>
      </c>
      <c r="G336" t="s">
        <v>14</v>
      </c>
      <c r="H336" t="s">
        <v>37</v>
      </c>
    </row>
    <row r="337" spans="1:8" x14ac:dyDescent="0.25">
      <c r="A337" t="s">
        <v>36</v>
      </c>
      <c r="B337" t="s">
        <v>22</v>
      </c>
      <c r="C337" s="10">
        <v>45581</v>
      </c>
      <c r="D337">
        <v>0.78947368421052622</v>
      </c>
      <c r="E337">
        <v>50</v>
      </c>
      <c r="F337">
        <v>28</v>
      </c>
      <c r="G337" t="s">
        <v>14</v>
      </c>
      <c r="H337" t="s">
        <v>37</v>
      </c>
    </row>
    <row r="338" spans="1:8" x14ac:dyDescent="0.25">
      <c r="A338" t="s">
        <v>36</v>
      </c>
      <c r="B338" t="s">
        <v>22</v>
      </c>
      <c r="C338" s="10">
        <v>45582</v>
      </c>
      <c r="D338">
        <v>0.78947368421052622</v>
      </c>
      <c r="E338">
        <v>50</v>
      </c>
      <c r="F338">
        <v>31</v>
      </c>
      <c r="G338" t="s">
        <v>14</v>
      </c>
      <c r="H338" t="s">
        <v>37</v>
      </c>
    </row>
    <row r="339" spans="1:8" x14ac:dyDescent="0.25">
      <c r="A339" t="s">
        <v>38</v>
      </c>
      <c r="B339" t="s">
        <v>22</v>
      </c>
      <c r="C339" s="10">
        <v>45585</v>
      </c>
      <c r="D339">
        <v>0.72368421052631571</v>
      </c>
      <c r="E339">
        <v>50</v>
      </c>
      <c r="F339">
        <v>41</v>
      </c>
      <c r="G339" t="s">
        <v>14</v>
      </c>
      <c r="H339" t="s">
        <v>37</v>
      </c>
    </row>
    <row r="340" spans="1:8" x14ac:dyDescent="0.25">
      <c r="A340" t="s">
        <v>38</v>
      </c>
      <c r="B340" t="s">
        <v>22</v>
      </c>
      <c r="C340" s="10">
        <v>45575</v>
      </c>
      <c r="D340">
        <v>0.7236842105263156</v>
      </c>
      <c r="E340">
        <v>52</v>
      </c>
      <c r="F340">
        <v>11</v>
      </c>
      <c r="G340" t="s">
        <v>14</v>
      </c>
      <c r="H340" t="s">
        <v>37</v>
      </c>
    </row>
    <row r="341" spans="1:8" x14ac:dyDescent="0.25">
      <c r="A341" t="s">
        <v>36</v>
      </c>
      <c r="B341" t="s">
        <v>22</v>
      </c>
      <c r="C341" s="10">
        <v>45576</v>
      </c>
      <c r="D341">
        <v>1.021671826625387</v>
      </c>
      <c r="E341">
        <v>52</v>
      </c>
      <c r="F341">
        <v>13</v>
      </c>
      <c r="G341" t="s">
        <v>14</v>
      </c>
      <c r="H341" t="s">
        <v>37</v>
      </c>
    </row>
    <row r="342" spans="1:8" x14ac:dyDescent="0.25">
      <c r="A342" t="s">
        <v>38</v>
      </c>
      <c r="B342" t="s">
        <v>22</v>
      </c>
      <c r="C342" s="10">
        <v>45576</v>
      </c>
      <c r="D342">
        <v>3.0959752321981424E-2</v>
      </c>
      <c r="E342">
        <v>52</v>
      </c>
      <c r="F342">
        <v>14</v>
      </c>
      <c r="G342" t="s">
        <v>14</v>
      </c>
      <c r="H342" t="s">
        <v>37</v>
      </c>
    </row>
    <row r="343" spans="1:8" x14ac:dyDescent="0.25">
      <c r="A343" t="s">
        <v>38</v>
      </c>
      <c r="B343" t="s">
        <v>22</v>
      </c>
      <c r="C343" s="10">
        <v>45582</v>
      </c>
      <c r="D343">
        <v>0.7236842105263156</v>
      </c>
      <c r="E343">
        <v>52</v>
      </c>
      <c r="F343">
        <v>32</v>
      </c>
      <c r="G343" t="s">
        <v>14</v>
      </c>
      <c r="H343" t="s">
        <v>37</v>
      </c>
    </row>
    <row r="344" spans="1:8" x14ac:dyDescent="0.25">
      <c r="A344" t="s">
        <v>36</v>
      </c>
      <c r="B344" t="s">
        <v>22</v>
      </c>
      <c r="C344" s="10">
        <v>45583</v>
      </c>
      <c r="D344">
        <v>0.78947368421052633</v>
      </c>
      <c r="E344">
        <v>52</v>
      </c>
      <c r="F344">
        <v>34</v>
      </c>
      <c r="G344" t="s">
        <v>14</v>
      </c>
      <c r="H344" t="s">
        <v>37</v>
      </c>
    </row>
    <row r="345" spans="1:8" x14ac:dyDescent="0.25">
      <c r="A345" t="s">
        <v>39</v>
      </c>
      <c r="B345" t="s">
        <v>22</v>
      </c>
      <c r="C345" s="10">
        <v>45575</v>
      </c>
      <c r="D345">
        <v>1.0545112781954891</v>
      </c>
      <c r="E345">
        <v>54</v>
      </c>
      <c r="F345">
        <v>12</v>
      </c>
      <c r="G345" t="s">
        <v>14</v>
      </c>
      <c r="H345" t="s">
        <v>37</v>
      </c>
    </row>
    <row r="346" spans="1:8" x14ac:dyDescent="0.25">
      <c r="A346" t="s">
        <v>36</v>
      </c>
      <c r="B346" t="s">
        <v>22</v>
      </c>
      <c r="C346" s="10">
        <v>45576</v>
      </c>
      <c r="D346">
        <v>3.1015037593984971E-2</v>
      </c>
      <c r="E346">
        <v>54</v>
      </c>
      <c r="F346">
        <v>13</v>
      </c>
      <c r="G346" t="s">
        <v>14</v>
      </c>
      <c r="H346" t="s">
        <v>37</v>
      </c>
    </row>
    <row r="347" spans="1:8" x14ac:dyDescent="0.25">
      <c r="A347" t="s">
        <v>39</v>
      </c>
      <c r="B347" t="s">
        <v>22</v>
      </c>
      <c r="C347" s="10">
        <v>45576</v>
      </c>
      <c r="D347">
        <v>1.0545112781954891</v>
      </c>
      <c r="E347">
        <v>54</v>
      </c>
      <c r="F347">
        <v>15</v>
      </c>
      <c r="G347" t="s">
        <v>14</v>
      </c>
      <c r="H347" t="s">
        <v>37</v>
      </c>
    </row>
    <row r="348" spans="1:8" x14ac:dyDescent="0.25">
      <c r="A348" t="s">
        <v>36</v>
      </c>
      <c r="B348" t="s">
        <v>22</v>
      </c>
      <c r="C348" s="10">
        <v>45577</v>
      </c>
      <c r="D348">
        <v>3.1015037593984971E-2</v>
      </c>
      <c r="E348">
        <v>54</v>
      </c>
      <c r="F348">
        <v>16</v>
      </c>
      <c r="G348" t="s">
        <v>14</v>
      </c>
      <c r="H348" t="s">
        <v>37</v>
      </c>
    </row>
    <row r="349" spans="1:8" x14ac:dyDescent="0.25">
      <c r="A349" t="s">
        <v>39</v>
      </c>
      <c r="B349" t="s">
        <v>22</v>
      </c>
      <c r="C349" s="10">
        <v>45577</v>
      </c>
      <c r="D349">
        <v>1.0545112781954891</v>
      </c>
      <c r="E349">
        <v>54</v>
      </c>
      <c r="F349">
        <v>18</v>
      </c>
      <c r="G349" t="s">
        <v>14</v>
      </c>
      <c r="H349" t="s">
        <v>37</v>
      </c>
    </row>
    <row r="350" spans="1:8" x14ac:dyDescent="0.25">
      <c r="A350" t="s">
        <v>36</v>
      </c>
      <c r="B350" t="s">
        <v>22</v>
      </c>
      <c r="C350" s="10">
        <v>45578</v>
      </c>
      <c r="D350">
        <v>3.1015037593984971E-2</v>
      </c>
      <c r="E350">
        <v>54</v>
      </c>
      <c r="F350">
        <v>19</v>
      </c>
      <c r="G350" t="s">
        <v>14</v>
      </c>
      <c r="H350" t="s">
        <v>37</v>
      </c>
    </row>
    <row r="351" spans="1:8" x14ac:dyDescent="0.25">
      <c r="A351" t="s">
        <v>39</v>
      </c>
      <c r="B351" t="s">
        <v>22</v>
      </c>
      <c r="C351" s="10">
        <v>45578</v>
      </c>
      <c r="D351">
        <v>1.0545112781954891</v>
      </c>
      <c r="E351">
        <v>54</v>
      </c>
      <c r="F351">
        <v>21</v>
      </c>
      <c r="G351" t="s">
        <v>14</v>
      </c>
      <c r="H351" t="s">
        <v>37</v>
      </c>
    </row>
    <row r="352" spans="1:8" x14ac:dyDescent="0.25">
      <c r="A352" t="s">
        <v>36</v>
      </c>
      <c r="B352" t="s">
        <v>22</v>
      </c>
      <c r="C352" s="10">
        <v>45579</v>
      </c>
      <c r="D352">
        <v>3.1015037593984971E-2</v>
      </c>
      <c r="E352">
        <v>54</v>
      </c>
      <c r="F352">
        <v>22</v>
      </c>
      <c r="G352" t="s">
        <v>14</v>
      </c>
      <c r="H352" t="s">
        <v>37</v>
      </c>
    </row>
    <row r="353" spans="1:8" x14ac:dyDescent="0.25">
      <c r="A353" t="s">
        <v>39</v>
      </c>
      <c r="B353" t="s">
        <v>22</v>
      </c>
      <c r="C353" s="10">
        <v>45582</v>
      </c>
      <c r="D353">
        <v>1.0545112781954891</v>
      </c>
      <c r="E353">
        <v>54</v>
      </c>
      <c r="F353">
        <v>33</v>
      </c>
      <c r="G353" t="s">
        <v>14</v>
      </c>
      <c r="H353" t="s">
        <v>37</v>
      </c>
    </row>
    <row r="354" spans="1:8" x14ac:dyDescent="0.25">
      <c r="A354" t="s">
        <v>36</v>
      </c>
      <c r="B354" t="s">
        <v>22</v>
      </c>
      <c r="C354" s="10">
        <v>45583</v>
      </c>
      <c r="D354">
        <v>3.1015037593984971E-2</v>
      </c>
      <c r="E354">
        <v>54</v>
      </c>
      <c r="F354">
        <v>34</v>
      </c>
      <c r="G354" t="s">
        <v>14</v>
      </c>
      <c r="H354" t="s">
        <v>37</v>
      </c>
    </row>
    <row r="355" spans="1:8" x14ac:dyDescent="0.25">
      <c r="A355" t="s">
        <v>39</v>
      </c>
      <c r="B355" t="s">
        <v>22</v>
      </c>
      <c r="C355" s="10">
        <v>45583</v>
      </c>
      <c r="D355">
        <v>1.0545112781954891</v>
      </c>
      <c r="E355">
        <v>54</v>
      </c>
      <c r="F355">
        <v>36</v>
      </c>
      <c r="G355" t="s">
        <v>14</v>
      </c>
      <c r="H355" t="s">
        <v>37</v>
      </c>
    </row>
    <row r="356" spans="1:8" x14ac:dyDescent="0.25">
      <c r="A356" t="s">
        <v>36</v>
      </c>
      <c r="B356" t="s">
        <v>22</v>
      </c>
      <c r="C356" s="10">
        <v>45584</v>
      </c>
      <c r="D356">
        <v>3.1015037593984971E-2</v>
      </c>
      <c r="E356">
        <v>54</v>
      </c>
      <c r="F356">
        <v>37</v>
      </c>
      <c r="G356" t="s">
        <v>14</v>
      </c>
      <c r="H356" t="s">
        <v>37</v>
      </c>
    </row>
    <row r="357" spans="1:8" x14ac:dyDescent="0.25">
      <c r="A357" t="s">
        <v>39</v>
      </c>
      <c r="B357" t="s">
        <v>22</v>
      </c>
      <c r="C357" s="10">
        <v>45584</v>
      </c>
      <c r="D357">
        <v>1.0545112781954891</v>
      </c>
      <c r="E357">
        <v>54</v>
      </c>
      <c r="F357">
        <v>39</v>
      </c>
      <c r="G357" t="s">
        <v>14</v>
      </c>
      <c r="H357" t="s">
        <v>37</v>
      </c>
    </row>
    <row r="358" spans="1:8" x14ac:dyDescent="0.25">
      <c r="A358" t="s">
        <v>36</v>
      </c>
      <c r="B358" t="s">
        <v>22</v>
      </c>
      <c r="C358" s="10">
        <v>45585</v>
      </c>
      <c r="D358">
        <v>3.1015037593984971E-2</v>
      </c>
      <c r="E358">
        <v>54</v>
      </c>
      <c r="F358">
        <v>40</v>
      </c>
      <c r="G358" t="s">
        <v>14</v>
      </c>
      <c r="H358" t="s">
        <v>37</v>
      </c>
    </row>
    <row r="359" spans="1:8" x14ac:dyDescent="0.25">
      <c r="A359" t="s">
        <v>39</v>
      </c>
      <c r="B359" t="s">
        <v>22</v>
      </c>
      <c r="C359" s="10">
        <v>45585</v>
      </c>
      <c r="D359">
        <v>1.023496240601504</v>
      </c>
      <c r="E359">
        <v>54</v>
      </c>
      <c r="F359">
        <v>42</v>
      </c>
      <c r="G359" t="s">
        <v>14</v>
      </c>
      <c r="H359" t="s">
        <v>37</v>
      </c>
    </row>
    <row r="360" spans="1:8" x14ac:dyDescent="0.25">
      <c r="A360" t="s">
        <v>36</v>
      </c>
      <c r="B360" t="s">
        <v>22</v>
      </c>
      <c r="C360" s="10">
        <v>45586</v>
      </c>
      <c r="D360">
        <v>3.1015037593984971E-2</v>
      </c>
      <c r="E360">
        <v>54</v>
      </c>
      <c r="G360" t="s">
        <v>14</v>
      </c>
      <c r="H360" t="s">
        <v>37</v>
      </c>
    </row>
    <row r="361" spans="1:8" x14ac:dyDescent="0.25">
      <c r="A361" t="s">
        <v>39</v>
      </c>
      <c r="B361" t="s">
        <v>22</v>
      </c>
      <c r="C361" s="10">
        <v>45586</v>
      </c>
      <c r="D361">
        <v>3.1015037593984971E-2</v>
      </c>
      <c r="E361">
        <v>54</v>
      </c>
      <c r="G361" t="s">
        <v>14</v>
      </c>
      <c r="H361" t="s">
        <v>37</v>
      </c>
    </row>
    <row r="362" spans="1:8" x14ac:dyDescent="0.25">
      <c r="A362" t="s">
        <v>39</v>
      </c>
      <c r="B362" t="s">
        <v>22</v>
      </c>
      <c r="C362" s="10">
        <v>45574</v>
      </c>
      <c r="D362">
        <v>1.0545112781954891</v>
      </c>
      <c r="E362">
        <v>56</v>
      </c>
      <c r="F362">
        <v>9</v>
      </c>
      <c r="G362" t="s">
        <v>14</v>
      </c>
      <c r="H362" t="s">
        <v>37</v>
      </c>
    </row>
    <row r="363" spans="1:8" x14ac:dyDescent="0.25">
      <c r="A363" t="s">
        <v>36</v>
      </c>
      <c r="B363" t="s">
        <v>22</v>
      </c>
      <c r="C363" s="10">
        <v>45575</v>
      </c>
      <c r="D363">
        <v>3.1015037593984971E-2</v>
      </c>
      <c r="E363">
        <v>56</v>
      </c>
      <c r="F363">
        <v>10</v>
      </c>
      <c r="G363" t="s">
        <v>14</v>
      </c>
      <c r="H363" t="s">
        <v>37</v>
      </c>
    </row>
    <row r="364" spans="1:8" x14ac:dyDescent="0.25">
      <c r="A364" t="s">
        <v>39</v>
      </c>
      <c r="B364" t="s">
        <v>22</v>
      </c>
      <c r="C364" s="10">
        <v>45575</v>
      </c>
      <c r="D364">
        <v>1.0545112781954891</v>
      </c>
      <c r="E364">
        <v>56</v>
      </c>
      <c r="F364">
        <v>12</v>
      </c>
      <c r="G364" t="s">
        <v>14</v>
      </c>
      <c r="H364" t="s">
        <v>37</v>
      </c>
    </row>
    <row r="365" spans="1:8" x14ac:dyDescent="0.25">
      <c r="A365" t="s">
        <v>36</v>
      </c>
      <c r="B365" t="s">
        <v>22</v>
      </c>
      <c r="C365" s="10">
        <v>45576</v>
      </c>
      <c r="D365">
        <v>3.1015037593984971E-2</v>
      </c>
      <c r="E365">
        <v>56</v>
      </c>
      <c r="F365">
        <v>13</v>
      </c>
      <c r="G365" t="s">
        <v>14</v>
      </c>
      <c r="H365" t="s">
        <v>37</v>
      </c>
    </row>
    <row r="366" spans="1:8" x14ac:dyDescent="0.25">
      <c r="A366" t="s">
        <v>39</v>
      </c>
      <c r="B366" t="s">
        <v>22</v>
      </c>
      <c r="C366" s="10">
        <v>45576</v>
      </c>
      <c r="D366">
        <v>1.1047979797979801</v>
      </c>
      <c r="E366">
        <v>56</v>
      </c>
      <c r="F366">
        <v>15</v>
      </c>
      <c r="G366" t="s">
        <v>14</v>
      </c>
      <c r="H366" t="s">
        <v>37</v>
      </c>
    </row>
    <row r="367" spans="1:8" x14ac:dyDescent="0.25">
      <c r="A367" t="s">
        <v>38</v>
      </c>
      <c r="B367" t="s">
        <v>22</v>
      </c>
      <c r="C367" s="10">
        <v>45576</v>
      </c>
      <c r="D367">
        <v>0.91540404040404044</v>
      </c>
      <c r="E367">
        <v>56</v>
      </c>
      <c r="F367">
        <v>14</v>
      </c>
      <c r="G367" t="s">
        <v>14</v>
      </c>
      <c r="H367" t="s">
        <v>37</v>
      </c>
    </row>
    <row r="368" spans="1:8" x14ac:dyDescent="0.25">
      <c r="A368" t="s">
        <v>36</v>
      </c>
      <c r="B368" t="s">
        <v>22</v>
      </c>
      <c r="C368" s="10">
        <v>45577</v>
      </c>
      <c r="D368">
        <v>3.1565656565656568E-2</v>
      </c>
      <c r="E368">
        <v>56</v>
      </c>
      <c r="F368">
        <v>16</v>
      </c>
      <c r="G368" t="s">
        <v>14</v>
      </c>
      <c r="H368" t="s">
        <v>37</v>
      </c>
    </row>
    <row r="369" spans="1:8" x14ac:dyDescent="0.25">
      <c r="A369" t="s">
        <v>39</v>
      </c>
      <c r="B369" t="s">
        <v>22</v>
      </c>
      <c r="C369" s="10">
        <v>45577</v>
      </c>
      <c r="D369">
        <v>1.0545112781954891</v>
      </c>
      <c r="E369">
        <v>56</v>
      </c>
      <c r="F369">
        <v>18</v>
      </c>
      <c r="G369" t="s">
        <v>14</v>
      </c>
      <c r="H369" t="s">
        <v>37</v>
      </c>
    </row>
    <row r="370" spans="1:8" x14ac:dyDescent="0.25">
      <c r="A370" t="s">
        <v>36</v>
      </c>
      <c r="B370" t="s">
        <v>22</v>
      </c>
      <c r="C370" s="10">
        <v>45578</v>
      </c>
      <c r="D370">
        <v>3.1015037593984971E-2</v>
      </c>
      <c r="E370">
        <v>56</v>
      </c>
      <c r="F370">
        <v>19</v>
      </c>
      <c r="G370" t="s">
        <v>14</v>
      </c>
      <c r="H370" t="s">
        <v>37</v>
      </c>
    </row>
    <row r="371" spans="1:8" x14ac:dyDescent="0.25">
      <c r="A371" t="s">
        <v>39</v>
      </c>
      <c r="B371" t="s">
        <v>22</v>
      </c>
      <c r="C371" s="10">
        <v>45578</v>
      </c>
      <c r="D371">
        <v>1.0545112781954891</v>
      </c>
      <c r="E371">
        <v>56</v>
      </c>
      <c r="F371">
        <v>21</v>
      </c>
      <c r="G371" t="s">
        <v>14</v>
      </c>
      <c r="H371" t="s">
        <v>37</v>
      </c>
    </row>
    <row r="372" spans="1:8" x14ac:dyDescent="0.25">
      <c r="A372" t="s">
        <v>36</v>
      </c>
      <c r="B372" t="s">
        <v>22</v>
      </c>
      <c r="C372" s="10">
        <v>45579</v>
      </c>
      <c r="D372">
        <v>3.1015037593984971E-2</v>
      </c>
      <c r="E372">
        <v>56</v>
      </c>
      <c r="F372">
        <v>22</v>
      </c>
      <c r="G372" t="s">
        <v>14</v>
      </c>
      <c r="H372" t="s">
        <v>37</v>
      </c>
    </row>
    <row r="373" spans="1:8" x14ac:dyDescent="0.25">
      <c r="A373" t="s">
        <v>39</v>
      </c>
      <c r="B373" t="s">
        <v>22</v>
      </c>
      <c r="C373" s="10">
        <v>45580</v>
      </c>
      <c r="D373">
        <v>1.0545112781954891</v>
      </c>
      <c r="E373">
        <v>56</v>
      </c>
      <c r="F373">
        <v>27</v>
      </c>
      <c r="G373" t="s">
        <v>14</v>
      </c>
      <c r="H373" t="s">
        <v>37</v>
      </c>
    </row>
    <row r="374" spans="1:8" x14ac:dyDescent="0.25">
      <c r="A374" t="s">
        <v>36</v>
      </c>
      <c r="B374" t="s">
        <v>22</v>
      </c>
      <c r="C374" s="10">
        <v>45581</v>
      </c>
      <c r="D374">
        <v>3.1015037593984971E-2</v>
      </c>
      <c r="E374">
        <v>56</v>
      </c>
      <c r="F374">
        <v>28</v>
      </c>
      <c r="G374" t="s">
        <v>14</v>
      </c>
      <c r="H374" t="s">
        <v>37</v>
      </c>
    </row>
    <row r="375" spans="1:8" x14ac:dyDescent="0.25">
      <c r="A375" t="s">
        <v>39</v>
      </c>
      <c r="B375" t="s">
        <v>22</v>
      </c>
      <c r="C375" s="10">
        <v>45581</v>
      </c>
      <c r="D375">
        <v>1.0545112781954891</v>
      </c>
      <c r="E375">
        <v>56</v>
      </c>
      <c r="F375">
        <v>30</v>
      </c>
      <c r="G375" t="s">
        <v>14</v>
      </c>
      <c r="H375" t="s">
        <v>37</v>
      </c>
    </row>
    <row r="376" spans="1:8" x14ac:dyDescent="0.25">
      <c r="A376" t="s">
        <v>36</v>
      </c>
      <c r="B376" t="s">
        <v>22</v>
      </c>
      <c r="C376" s="10">
        <v>45582</v>
      </c>
      <c r="D376">
        <v>3.1015037593984971E-2</v>
      </c>
      <c r="E376">
        <v>56</v>
      </c>
      <c r="F376">
        <v>31</v>
      </c>
      <c r="G376" t="s">
        <v>14</v>
      </c>
      <c r="H376" t="s">
        <v>37</v>
      </c>
    </row>
    <row r="377" spans="1:8" x14ac:dyDescent="0.25">
      <c r="A377" t="s">
        <v>39</v>
      </c>
      <c r="B377" t="s">
        <v>22</v>
      </c>
      <c r="C377" s="10">
        <v>45582</v>
      </c>
      <c r="D377">
        <v>1.0545112781954891</v>
      </c>
      <c r="E377">
        <v>56</v>
      </c>
      <c r="F377">
        <v>33</v>
      </c>
      <c r="G377" t="s">
        <v>14</v>
      </c>
      <c r="H377" t="s">
        <v>37</v>
      </c>
    </row>
    <row r="378" spans="1:8" x14ac:dyDescent="0.25">
      <c r="A378" t="s">
        <v>36</v>
      </c>
      <c r="B378" t="s">
        <v>22</v>
      </c>
      <c r="C378" s="10">
        <v>45583</v>
      </c>
      <c r="D378">
        <v>3.1015037593984971E-2</v>
      </c>
      <c r="E378">
        <v>56</v>
      </c>
      <c r="F378">
        <v>34</v>
      </c>
      <c r="G378" t="s">
        <v>14</v>
      </c>
      <c r="H378" t="s">
        <v>37</v>
      </c>
    </row>
    <row r="379" spans="1:8" x14ac:dyDescent="0.25">
      <c r="A379" t="s">
        <v>39</v>
      </c>
      <c r="B379" t="s">
        <v>22</v>
      </c>
      <c r="C379" s="10">
        <v>45583</v>
      </c>
      <c r="D379">
        <v>1.0545112781954891</v>
      </c>
      <c r="E379">
        <v>56</v>
      </c>
      <c r="F379">
        <v>36</v>
      </c>
      <c r="G379" t="s">
        <v>14</v>
      </c>
      <c r="H379" t="s">
        <v>37</v>
      </c>
    </row>
    <row r="380" spans="1:8" x14ac:dyDescent="0.25">
      <c r="A380" t="s">
        <v>36</v>
      </c>
      <c r="B380" t="s">
        <v>22</v>
      </c>
      <c r="C380" s="10">
        <v>45584</v>
      </c>
      <c r="D380">
        <v>3.1015037593984971E-2</v>
      </c>
      <c r="E380">
        <v>56</v>
      </c>
      <c r="F380">
        <v>37</v>
      </c>
      <c r="G380" t="s">
        <v>14</v>
      </c>
      <c r="H380" t="s">
        <v>37</v>
      </c>
    </row>
    <row r="381" spans="1:8" x14ac:dyDescent="0.25">
      <c r="A381" t="s">
        <v>39</v>
      </c>
      <c r="B381" t="s">
        <v>22</v>
      </c>
      <c r="C381" s="10">
        <v>45585</v>
      </c>
      <c r="D381">
        <v>1.023496240601504</v>
      </c>
      <c r="E381">
        <v>56</v>
      </c>
      <c r="F381">
        <v>42</v>
      </c>
      <c r="G381" t="s">
        <v>14</v>
      </c>
      <c r="H381" t="s">
        <v>37</v>
      </c>
    </row>
    <row r="382" spans="1:8" x14ac:dyDescent="0.25">
      <c r="A382" t="s">
        <v>36</v>
      </c>
      <c r="B382" t="s">
        <v>22</v>
      </c>
      <c r="C382" s="10">
        <v>45586</v>
      </c>
      <c r="D382">
        <v>3.1015037593984971E-2</v>
      </c>
      <c r="E382">
        <v>56</v>
      </c>
      <c r="G382" t="s">
        <v>14</v>
      </c>
      <c r="H382" t="s">
        <v>37</v>
      </c>
    </row>
    <row r="383" spans="1:8" x14ac:dyDescent="0.25">
      <c r="A383" t="s">
        <v>39</v>
      </c>
      <c r="B383" t="s">
        <v>22</v>
      </c>
      <c r="C383" s="10">
        <v>45586</v>
      </c>
      <c r="D383">
        <v>3.1015037593984971E-2</v>
      </c>
      <c r="E383">
        <v>56</v>
      </c>
      <c r="G383" t="s">
        <v>14</v>
      </c>
      <c r="H383" t="s">
        <v>37</v>
      </c>
    </row>
    <row r="384" spans="1:8" x14ac:dyDescent="0.25">
      <c r="A384" t="s">
        <v>38</v>
      </c>
      <c r="B384" t="s">
        <v>22</v>
      </c>
      <c r="C384" s="10">
        <v>45572</v>
      </c>
      <c r="D384">
        <v>0.7236842105263156</v>
      </c>
      <c r="E384">
        <v>57</v>
      </c>
      <c r="F384">
        <v>2</v>
      </c>
      <c r="G384" t="s">
        <v>14</v>
      </c>
      <c r="H384" t="s">
        <v>37</v>
      </c>
    </row>
    <row r="385" spans="1:8" x14ac:dyDescent="0.25">
      <c r="A385" t="s">
        <v>36</v>
      </c>
      <c r="B385" t="s">
        <v>22</v>
      </c>
      <c r="C385" s="10">
        <v>45577</v>
      </c>
      <c r="D385">
        <v>1.0216718266253872</v>
      </c>
      <c r="E385">
        <v>57</v>
      </c>
      <c r="F385">
        <v>16</v>
      </c>
      <c r="G385" t="s">
        <v>14</v>
      </c>
      <c r="H385" t="s">
        <v>37</v>
      </c>
    </row>
    <row r="386" spans="1:8" x14ac:dyDescent="0.25">
      <c r="A386" t="s">
        <v>38</v>
      </c>
      <c r="B386" t="s">
        <v>22</v>
      </c>
      <c r="C386" s="10">
        <v>45577</v>
      </c>
      <c r="D386">
        <v>3.0959752321981424E-2</v>
      </c>
      <c r="E386">
        <v>57</v>
      </c>
      <c r="F386">
        <v>17</v>
      </c>
      <c r="G386" t="s">
        <v>14</v>
      </c>
      <c r="H386" t="s">
        <v>37</v>
      </c>
    </row>
    <row r="387" spans="1:8" x14ac:dyDescent="0.25">
      <c r="A387" t="s">
        <v>36</v>
      </c>
      <c r="B387" t="s">
        <v>22</v>
      </c>
      <c r="C387" s="10">
        <v>45572</v>
      </c>
      <c r="D387">
        <v>1.021671826625387</v>
      </c>
      <c r="E387">
        <v>58</v>
      </c>
      <c r="F387">
        <v>1</v>
      </c>
      <c r="G387" t="s">
        <v>14</v>
      </c>
      <c r="H387" t="s">
        <v>37</v>
      </c>
    </row>
    <row r="388" spans="1:8" x14ac:dyDescent="0.25">
      <c r="A388" t="s">
        <v>38</v>
      </c>
      <c r="B388" t="s">
        <v>22</v>
      </c>
      <c r="C388" s="10">
        <v>45572</v>
      </c>
      <c r="D388">
        <v>3.0959752321981424E-2</v>
      </c>
      <c r="E388">
        <v>58</v>
      </c>
      <c r="F388">
        <v>2</v>
      </c>
      <c r="G388" t="s">
        <v>14</v>
      </c>
      <c r="H388" t="s">
        <v>37</v>
      </c>
    </row>
    <row r="389" spans="1:8" x14ac:dyDescent="0.25">
      <c r="A389" t="s">
        <v>36</v>
      </c>
      <c r="B389" t="s">
        <v>22</v>
      </c>
      <c r="C389" s="10">
        <v>45573</v>
      </c>
      <c r="D389">
        <v>0.78947368421052633</v>
      </c>
      <c r="E389">
        <v>58</v>
      </c>
      <c r="F389">
        <v>4</v>
      </c>
      <c r="G389" t="s">
        <v>14</v>
      </c>
      <c r="H389" t="s">
        <v>37</v>
      </c>
    </row>
    <row r="390" spans="1:8" x14ac:dyDescent="0.25">
      <c r="A390" t="s">
        <v>36</v>
      </c>
      <c r="B390" t="s">
        <v>22</v>
      </c>
      <c r="C390" s="10">
        <v>45574</v>
      </c>
      <c r="D390">
        <v>1.0216718266253872</v>
      </c>
      <c r="E390">
        <v>58</v>
      </c>
      <c r="F390">
        <v>7</v>
      </c>
      <c r="G390" t="s">
        <v>14</v>
      </c>
      <c r="H390" t="s">
        <v>37</v>
      </c>
    </row>
    <row r="391" spans="1:8" x14ac:dyDescent="0.25">
      <c r="A391" t="s">
        <v>38</v>
      </c>
      <c r="B391" t="s">
        <v>22</v>
      </c>
      <c r="C391" s="10">
        <v>45574</v>
      </c>
      <c r="D391">
        <v>3.0959752321981424E-2</v>
      </c>
      <c r="E391">
        <v>58</v>
      </c>
      <c r="F391">
        <v>8</v>
      </c>
      <c r="G391" t="s">
        <v>14</v>
      </c>
      <c r="H391" t="s">
        <v>37</v>
      </c>
    </row>
    <row r="392" spans="1:8" x14ac:dyDescent="0.25">
      <c r="A392" t="s">
        <v>36</v>
      </c>
      <c r="B392" t="s">
        <v>22</v>
      </c>
      <c r="C392" s="10">
        <v>45575</v>
      </c>
      <c r="D392">
        <v>0.78947368421052622</v>
      </c>
      <c r="E392">
        <v>58</v>
      </c>
      <c r="F392">
        <v>10</v>
      </c>
      <c r="G392" t="s">
        <v>14</v>
      </c>
      <c r="H392" t="s">
        <v>37</v>
      </c>
    </row>
    <row r="393" spans="1:8" x14ac:dyDescent="0.25">
      <c r="A393" t="s">
        <v>36</v>
      </c>
      <c r="B393" t="s">
        <v>22</v>
      </c>
      <c r="C393" s="10">
        <v>45576</v>
      </c>
      <c r="D393">
        <v>0.78947368421052622</v>
      </c>
      <c r="E393">
        <v>58</v>
      </c>
      <c r="F393">
        <v>13</v>
      </c>
      <c r="G393" t="s">
        <v>14</v>
      </c>
      <c r="H393" t="s">
        <v>37</v>
      </c>
    </row>
    <row r="394" spans="1:8" x14ac:dyDescent="0.25">
      <c r="A394" t="s">
        <v>36</v>
      </c>
      <c r="B394" t="s">
        <v>22</v>
      </c>
      <c r="C394" s="10">
        <v>45579</v>
      </c>
      <c r="D394">
        <v>1.0216718266253872</v>
      </c>
      <c r="E394">
        <v>58</v>
      </c>
      <c r="F394">
        <v>22</v>
      </c>
      <c r="G394" t="s">
        <v>14</v>
      </c>
      <c r="H394" t="s">
        <v>37</v>
      </c>
    </row>
    <row r="395" spans="1:8" x14ac:dyDescent="0.25">
      <c r="A395" t="s">
        <v>38</v>
      </c>
      <c r="B395" t="s">
        <v>22</v>
      </c>
      <c r="C395" s="10">
        <v>45579</v>
      </c>
      <c r="D395">
        <v>3.0959752321981424E-2</v>
      </c>
      <c r="E395">
        <v>58</v>
      </c>
      <c r="F395">
        <v>23</v>
      </c>
      <c r="G395" t="s">
        <v>14</v>
      </c>
      <c r="H395" t="s">
        <v>37</v>
      </c>
    </row>
    <row r="396" spans="1:8" x14ac:dyDescent="0.25">
      <c r="A396" t="s">
        <v>36</v>
      </c>
      <c r="B396" t="s">
        <v>22</v>
      </c>
      <c r="C396" s="10">
        <v>45580</v>
      </c>
      <c r="D396">
        <v>1.021671826625387</v>
      </c>
      <c r="E396">
        <v>58</v>
      </c>
      <c r="F396">
        <v>25</v>
      </c>
      <c r="G396" t="s">
        <v>14</v>
      </c>
      <c r="H396" t="s">
        <v>37</v>
      </c>
    </row>
    <row r="397" spans="1:8" x14ac:dyDescent="0.25">
      <c r="A397" t="s">
        <v>38</v>
      </c>
      <c r="B397" t="s">
        <v>22</v>
      </c>
      <c r="C397" s="10">
        <v>45580</v>
      </c>
      <c r="D397">
        <v>3.0959752321981424E-2</v>
      </c>
      <c r="E397">
        <v>58</v>
      </c>
      <c r="F397">
        <v>26</v>
      </c>
      <c r="G397" t="s">
        <v>14</v>
      </c>
      <c r="H397" t="s">
        <v>37</v>
      </c>
    </row>
    <row r="398" spans="1:8" x14ac:dyDescent="0.25">
      <c r="A398" t="s">
        <v>36</v>
      </c>
      <c r="B398" t="s">
        <v>22</v>
      </c>
      <c r="C398" s="10">
        <v>45581</v>
      </c>
      <c r="D398">
        <v>1.021671826625387</v>
      </c>
      <c r="E398">
        <v>58</v>
      </c>
      <c r="F398">
        <v>28</v>
      </c>
      <c r="G398" t="s">
        <v>14</v>
      </c>
      <c r="H398" t="s">
        <v>37</v>
      </c>
    </row>
    <row r="399" spans="1:8" x14ac:dyDescent="0.25">
      <c r="A399" t="s">
        <v>38</v>
      </c>
      <c r="B399" t="s">
        <v>22</v>
      </c>
      <c r="C399" s="10">
        <v>45581</v>
      </c>
      <c r="D399">
        <v>3.0959752321981424E-2</v>
      </c>
      <c r="E399">
        <v>58</v>
      </c>
      <c r="F399">
        <v>29</v>
      </c>
      <c r="G399" t="s">
        <v>14</v>
      </c>
      <c r="H399" t="s">
        <v>37</v>
      </c>
    </row>
    <row r="400" spans="1:8" x14ac:dyDescent="0.25">
      <c r="A400" t="s">
        <v>36</v>
      </c>
      <c r="B400" t="s">
        <v>22</v>
      </c>
      <c r="C400" s="10">
        <v>45582</v>
      </c>
      <c r="D400">
        <v>1.021671826625387</v>
      </c>
      <c r="E400">
        <v>58</v>
      </c>
      <c r="F400">
        <v>31</v>
      </c>
      <c r="G400" t="s">
        <v>14</v>
      </c>
      <c r="H400" t="s">
        <v>37</v>
      </c>
    </row>
    <row r="401" spans="1:8" x14ac:dyDescent="0.25">
      <c r="A401" t="s">
        <v>38</v>
      </c>
      <c r="B401" t="s">
        <v>22</v>
      </c>
      <c r="C401" s="10">
        <v>45582</v>
      </c>
      <c r="D401">
        <v>3.0959752321981424E-2</v>
      </c>
      <c r="E401">
        <v>58</v>
      </c>
      <c r="F401">
        <v>32</v>
      </c>
      <c r="G401" t="s">
        <v>14</v>
      </c>
      <c r="H401" t="s">
        <v>37</v>
      </c>
    </row>
    <row r="402" spans="1:8" x14ac:dyDescent="0.25">
      <c r="A402" t="s">
        <v>36</v>
      </c>
      <c r="B402" t="s">
        <v>22</v>
      </c>
      <c r="C402" s="10">
        <v>45583</v>
      </c>
      <c r="D402">
        <v>0.78947368421052633</v>
      </c>
      <c r="E402">
        <v>58</v>
      </c>
      <c r="F402">
        <v>34</v>
      </c>
      <c r="G402" t="s">
        <v>14</v>
      </c>
      <c r="H402" t="s">
        <v>37</v>
      </c>
    </row>
    <row r="403" spans="1:8" x14ac:dyDescent="0.25">
      <c r="A403" t="s">
        <v>38</v>
      </c>
      <c r="B403" t="s">
        <v>22</v>
      </c>
      <c r="C403" s="10">
        <v>45572</v>
      </c>
      <c r="D403">
        <v>0.7236842105263156</v>
      </c>
      <c r="E403">
        <v>60</v>
      </c>
      <c r="F403">
        <v>2</v>
      </c>
      <c r="G403" t="s">
        <v>14</v>
      </c>
      <c r="H403" t="s">
        <v>37</v>
      </c>
    </row>
    <row r="404" spans="1:8" x14ac:dyDescent="0.25">
      <c r="A404" t="s">
        <v>38</v>
      </c>
      <c r="B404" t="s">
        <v>22</v>
      </c>
      <c r="C404" s="10">
        <v>45573</v>
      </c>
      <c r="D404">
        <v>0.7236842105263156</v>
      </c>
      <c r="E404">
        <v>60</v>
      </c>
      <c r="F404">
        <v>5</v>
      </c>
      <c r="G404" t="s">
        <v>14</v>
      </c>
      <c r="H404" t="s">
        <v>37</v>
      </c>
    </row>
    <row r="405" spans="1:8" x14ac:dyDescent="0.25">
      <c r="A405" t="s">
        <v>36</v>
      </c>
      <c r="B405" t="s">
        <v>22</v>
      </c>
      <c r="C405" s="10">
        <v>45576</v>
      </c>
      <c r="D405">
        <v>1.021671826625387</v>
      </c>
      <c r="E405">
        <v>60</v>
      </c>
      <c r="F405">
        <v>13</v>
      </c>
      <c r="G405" t="s">
        <v>14</v>
      </c>
      <c r="H405" t="s">
        <v>37</v>
      </c>
    </row>
    <row r="406" spans="1:8" x14ac:dyDescent="0.25">
      <c r="A406" t="s">
        <v>38</v>
      </c>
      <c r="B406" t="s">
        <v>22</v>
      </c>
      <c r="C406" s="10">
        <v>45576</v>
      </c>
      <c r="D406">
        <v>3.0959752321981424E-2</v>
      </c>
      <c r="E406">
        <v>60</v>
      </c>
      <c r="F406">
        <v>14</v>
      </c>
      <c r="G406" t="s">
        <v>14</v>
      </c>
      <c r="H406" t="s">
        <v>37</v>
      </c>
    </row>
    <row r="407" spans="1:8" x14ac:dyDescent="0.25">
      <c r="A407" t="s">
        <v>36</v>
      </c>
      <c r="B407" t="s">
        <v>22</v>
      </c>
      <c r="C407" s="10">
        <v>45577</v>
      </c>
      <c r="D407">
        <v>1.0216718266253872</v>
      </c>
      <c r="E407">
        <v>60</v>
      </c>
      <c r="F407">
        <v>16</v>
      </c>
      <c r="G407" t="s">
        <v>14</v>
      </c>
      <c r="H407" t="s">
        <v>37</v>
      </c>
    </row>
    <row r="408" spans="1:8" x14ac:dyDescent="0.25">
      <c r="A408" t="s">
        <v>38</v>
      </c>
      <c r="B408" t="s">
        <v>22</v>
      </c>
      <c r="C408" s="10">
        <v>45577</v>
      </c>
      <c r="D408">
        <v>3.0959752321981424E-2</v>
      </c>
      <c r="E408">
        <v>60</v>
      </c>
      <c r="F408">
        <v>17</v>
      </c>
      <c r="G408" t="s">
        <v>14</v>
      </c>
      <c r="H408" t="s">
        <v>37</v>
      </c>
    </row>
    <row r="409" spans="1:8" x14ac:dyDescent="0.25">
      <c r="A409" t="s">
        <v>38</v>
      </c>
      <c r="B409" t="s">
        <v>22</v>
      </c>
      <c r="C409" s="10">
        <v>45579</v>
      </c>
      <c r="D409">
        <v>0.7236842105263156</v>
      </c>
      <c r="E409">
        <v>60</v>
      </c>
      <c r="F409">
        <v>23</v>
      </c>
      <c r="G409" t="s">
        <v>14</v>
      </c>
      <c r="H409" t="s">
        <v>37</v>
      </c>
    </row>
    <row r="410" spans="1:8" x14ac:dyDescent="0.25">
      <c r="A410" t="s">
        <v>36</v>
      </c>
      <c r="B410" t="s">
        <v>22</v>
      </c>
      <c r="C410" s="10">
        <v>45583</v>
      </c>
      <c r="D410">
        <v>1.0216718266253872</v>
      </c>
      <c r="E410">
        <v>60</v>
      </c>
      <c r="F410">
        <v>34</v>
      </c>
      <c r="G410" t="s">
        <v>14</v>
      </c>
      <c r="H410" t="s">
        <v>37</v>
      </c>
    </row>
    <row r="411" spans="1:8" x14ac:dyDescent="0.25">
      <c r="A411" t="s">
        <v>38</v>
      </c>
      <c r="B411" t="s">
        <v>22</v>
      </c>
      <c r="C411" s="10">
        <v>45583</v>
      </c>
      <c r="D411">
        <v>3.0959752321981424E-2</v>
      </c>
      <c r="E411">
        <v>60</v>
      </c>
      <c r="F411">
        <v>35</v>
      </c>
      <c r="G411" t="s">
        <v>14</v>
      </c>
      <c r="H411" t="s">
        <v>37</v>
      </c>
    </row>
    <row r="412" spans="1:8" x14ac:dyDescent="0.25">
      <c r="A412" t="s">
        <v>36</v>
      </c>
      <c r="B412" t="s">
        <v>22</v>
      </c>
      <c r="C412" s="10">
        <v>45584</v>
      </c>
      <c r="D412">
        <v>1.0216718266253872</v>
      </c>
      <c r="E412">
        <v>60</v>
      </c>
      <c r="F412">
        <v>37</v>
      </c>
      <c r="G412" t="s">
        <v>14</v>
      </c>
      <c r="H412" t="s">
        <v>37</v>
      </c>
    </row>
    <row r="413" spans="1:8" x14ac:dyDescent="0.25">
      <c r="A413" t="s">
        <v>38</v>
      </c>
      <c r="B413" t="s">
        <v>22</v>
      </c>
      <c r="C413" s="10">
        <v>45584</v>
      </c>
      <c r="D413">
        <v>3.0959752321981424E-2</v>
      </c>
      <c r="E413">
        <v>60</v>
      </c>
      <c r="F413">
        <v>38</v>
      </c>
      <c r="G413" t="s">
        <v>14</v>
      </c>
      <c r="H413" t="s">
        <v>37</v>
      </c>
    </row>
    <row r="414" spans="1:8" x14ac:dyDescent="0.25">
      <c r="A414" t="s">
        <v>36</v>
      </c>
      <c r="B414" t="s">
        <v>22</v>
      </c>
      <c r="C414" s="10">
        <v>45585</v>
      </c>
      <c r="D414">
        <v>1.021671826625387</v>
      </c>
      <c r="E414">
        <v>60</v>
      </c>
      <c r="F414">
        <v>40</v>
      </c>
      <c r="G414" t="s">
        <v>14</v>
      </c>
      <c r="H414" t="s">
        <v>37</v>
      </c>
    </row>
    <row r="415" spans="1:8" x14ac:dyDescent="0.25">
      <c r="A415" t="s">
        <v>38</v>
      </c>
      <c r="B415" t="s">
        <v>22</v>
      </c>
      <c r="C415" s="10">
        <v>45585</v>
      </c>
      <c r="D415">
        <v>3.0959752321981424E-2</v>
      </c>
      <c r="E415">
        <v>60</v>
      </c>
      <c r="F415">
        <v>41</v>
      </c>
      <c r="G415" t="s">
        <v>14</v>
      </c>
      <c r="H415" t="s">
        <v>37</v>
      </c>
    </row>
    <row r="416" spans="1:8" x14ac:dyDescent="0.25">
      <c r="A416" t="s">
        <v>39</v>
      </c>
      <c r="B416" t="s">
        <v>22</v>
      </c>
      <c r="C416" s="10">
        <v>45573</v>
      </c>
      <c r="D416">
        <v>1.0545112781954891</v>
      </c>
      <c r="E416">
        <v>61</v>
      </c>
      <c r="F416">
        <v>6</v>
      </c>
      <c r="G416" t="s">
        <v>14</v>
      </c>
      <c r="H416" t="s">
        <v>37</v>
      </c>
    </row>
    <row r="417" spans="1:8" x14ac:dyDescent="0.25">
      <c r="A417" t="s">
        <v>36</v>
      </c>
      <c r="B417" t="s">
        <v>22</v>
      </c>
      <c r="C417" s="10">
        <v>45574</v>
      </c>
      <c r="D417">
        <v>3.1015037593984971E-2</v>
      </c>
      <c r="E417">
        <v>61</v>
      </c>
      <c r="F417">
        <v>7</v>
      </c>
      <c r="G417" t="s">
        <v>14</v>
      </c>
      <c r="H417" t="s">
        <v>37</v>
      </c>
    </row>
    <row r="418" spans="1:8" x14ac:dyDescent="0.25">
      <c r="A418" t="s">
        <v>39</v>
      </c>
      <c r="B418" t="s">
        <v>22</v>
      </c>
      <c r="C418" s="10">
        <v>45574</v>
      </c>
      <c r="D418">
        <v>1.0545112781954891</v>
      </c>
      <c r="E418">
        <v>61</v>
      </c>
      <c r="F418">
        <v>9</v>
      </c>
      <c r="G418" t="s">
        <v>14</v>
      </c>
      <c r="H418" t="s">
        <v>37</v>
      </c>
    </row>
    <row r="419" spans="1:8" x14ac:dyDescent="0.25">
      <c r="A419" t="s">
        <v>36</v>
      </c>
      <c r="B419" t="s">
        <v>22</v>
      </c>
      <c r="C419" s="10">
        <v>45575</v>
      </c>
      <c r="D419">
        <v>3.1015037593984971E-2</v>
      </c>
      <c r="E419">
        <v>61</v>
      </c>
      <c r="F419">
        <v>10</v>
      </c>
      <c r="G419" t="s">
        <v>14</v>
      </c>
      <c r="H419" t="s">
        <v>37</v>
      </c>
    </row>
    <row r="420" spans="1:8" x14ac:dyDescent="0.25">
      <c r="A420" t="s">
        <v>38</v>
      </c>
      <c r="B420" t="s">
        <v>22</v>
      </c>
      <c r="C420" s="10">
        <v>45577</v>
      </c>
      <c r="D420">
        <v>0.72368421052631582</v>
      </c>
      <c r="E420">
        <v>61</v>
      </c>
      <c r="F420">
        <v>17</v>
      </c>
      <c r="G420" t="s">
        <v>14</v>
      </c>
      <c r="H420" t="s">
        <v>37</v>
      </c>
    </row>
    <row r="421" spans="1:8" x14ac:dyDescent="0.25">
      <c r="A421" t="s">
        <v>39</v>
      </c>
      <c r="B421" t="s">
        <v>22</v>
      </c>
      <c r="C421" s="10">
        <v>45583</v>
      </c>
      <c r="D421">
        <v>1.0545112781954891</v>
      </c>
      <c r="E421">
        <v>61</v>
      </c>
      <c r="F421">
        <v>36</v>
      </c>
      <c r="G421" t="s">
        <v>14</v>
      </c>
      <c r="H421" t="s">
        <v>37</v>
      </c>
    </row>
    <row r="422" spans="1:8" x14ac:dyDescent="0.25">
      <c r="A422" t="s">
        <v>36</v>
      </c>
      <c r="B422" t="s">
        <v>22</v>
      </c>
      <c r="C422" s="10">
        <v>45584</v>
      </c>
      <c r="D422">
        <v>3.1015037593984971E-2</v>
      </c>
      <c r="E422">
        <v>61</v>
      </c>
      <c r="F422">
        <v>37</v>
      </c>
      <c r="G422" t="s">
        <v>14</v>
      </c>
      <c r="H422" t="s">
        <v>37</v>
      </c>
    </row>
    <row r="423" spans="1:8" x14ac:dyDescent="0.25">
      <c r="A423" t="s">
        <v>39</v>
      </c>
      <c r="B423" t="s">
        <v>22</v>
      </c>
      <c r="C423" s="10">
        <v>45584</v>
      </c>
      <c r="D423">
        <v>3.0701754385964914E-2</v>
      </c>
      <c r="E423">
        <v>61</v>
      </c>
      <c r="F423">
        <v>39</v>
      </c>
      <c r="G423" t="s">
        <v>14</v>
      </c>
      <c r="H423" t="s">
        <v>37</v>
      </c>
    </row>
    <row r="424" spans="1:8" x14ac:dyDescent="0.25">
      <c r="A424" t="s">
        <v>38</v>
      </c>
      <c r="B424" t="s">
        <v>22</v>
      </c>
      <c r="C424" s="10">
        <v>45584</v>
      </c>
      <c r="D424">
        <v>0.89035087719298234</v>
      </c>
      <c r="E424">
        <v>61</v>
      </c>
      <c r="F424">
        <v>38</v>
      </c>
      <c r="G424" t="s">
        <v>14</v>
      </c>
      <c r="H424" t="s">
        <v>37</v>
      </c>
    </row>
    <row r="425" spans="1:8" x14ac:dyDescent="0.25">
      <c r="A425" t="s">
        <v>36</v>
      </c>
      <c r="B425" t="s">
        <v>22</v>
      </c>
      <c r="C425" s="10">
        <v>45585</v>
      </c>
      <c r="D425">
        <v>1.021671826625387</v>
      </c>
      <c r="E425">
        <v>61</v>
      </c>
      <c r="F425">
        <v>40</v>
      </c>
      <c r="G425" t="s">
        <v>14</v>
      </c>
      <c r="H425" t="s">
        <v>37</v>
      </c>
    </row>
    <row r="426" spans="1:8" x14ac:dyDescent="0.25">
      <c r="A426" t="s">
        <v>38</v>
      </c>
      <c r="B426" t="s">
        <v>22</v>
      </c>
      <c r="C426" s="10">
        <v>45585</v>
      </c>
      <c r="D426">
        <v>3.0959752321981424E-2</v>
      </c>
      <c r="E426">
        <v>61</v>
      </c>
      <c r="F426">
        <v>41</v>
      </c>
      <c r="G426" t="s">
        <v>14</v>
      </c>
      <c r="H426" t="s">
        <v>37</v>
      </c>
    </row>
    <row r="427" spans="1:8" x14ac:dyDescent="0.25">
      <c r="A427" t="s">
        <v>36</v>
      </c>
      <c r="B427" t="s">
        <v>22</v>
      </c>
      <c r="C427" s="10">
        <v>45572</v>
      </c>
      <c r="D427">
        <v>1.021671826625387</v>
      </c>
      <c r="E427">
        <v>62</v>
      </c>
      <c r="F427">
        <v>1</v>
      </c>
      <c r="G427" t="s">
        <v>14</v>
      </c>
      <c r="H427" t="s">
        <v>37</v>
      </c>
    </row>
    <row r="428" spans="1:8" x14ac:dyDescent="0.25">
      <c r="A428" t="s">
        <v>38</v>
      </c>
      <c r="B428" t="s">
        <v>22</v>
      </c>
      <c r="C428" s="10">
        <v>45572</v>
      </c>
      <c r="D428">
        <v>3.0959752321981424E-2</v>
      </c>
      <c r="E428">
        <v>62</v>
      </c>
      <c r="F428">
        <v>2</v>
      </c>
      <c r="G428" t="s">
        <v>14</v>
      </c>
      <c r="H428" t="s">
        <v>37</v>
      </c>
    </row>
    <row r="429" spans="1:8" x14ac:dyDescent="0.25">
      <c r="A429" t="s">
        <v>36</v>
      </c>
      <c r="B429" t="s">
        <v>22</v>
      </c>
      <c r="C429" s="10">
        <v>45573</v>
      </c>
      <c r="D429">
        <v>0.78947368421052633</v>
      </c>
      <c r="E429">
        <v>62</v>
      </c>
      <c r="F429">
        <v>4</v>
      </c>
      <c r="G429" t="s">
        <v>14</v>
      </c>
      <c r="H429" t="s">
        <v>37</v>
      </c>
    </row>
    <row r="430" spans="1:8" x14ac:dyDescent="0.25">
      <c r="A430" t="s">
        <v>36</v>
      </c>
      <c r="B430" t="s">
        <v>22</v>
      </c>
      <c r="C430" s="10">
        <v>45577</v>
      </c>
      <c r="D430">
        <v>0.6578947368421052</v>
      </c>
      <c r="E430">
        <v>62</v>
      </c>
      <c r="F430">
        <v>16</v>
      </c>
      <c r="G430" t="s">
        <v>14</v>
      </c>
      <c r="H430" t="s">
        <v>37</v>
      </c>
    </row>
    <row r="431" spans="1:8" x14ac:dyDescent="0.25">
      <c r="A431" t="s">
        <v>36</v>
      </c>
      <c r="B431" t="s">
        <v>22</v>
      </c>
      <c r="C431" s="10">
        <v>45580</v>
      </c>
      <c r="D431">
        <v>0.78947368421052622</v>
      </c>
      <c r="E431">
        <v>62</v>
      </c>
      <c r="F431">
        <v>25</v>
      </c>
      <c r="G431" t="s">
        <v>14</v>
      </c>
      <c r="H431" t="s">
        <v>37</v>
      </c>
    </row>
    <row r="432" spans="1:8" x14ac:dyDescent="0.25">
      <c r="A432" t="s">
        <v>36</v>
      </c>
      <c r="B432" t="s">
        <v>22</v>
      </c>
      <c r="C432" s="10">
        <v>45583</v>
      </c>
      <c r="D432">
        <v>1.0216718266253872</v>
      </c>
      <c r="E432">
        <v>62</v>
      </c>
      <c r="F432">
        <v>34</v>
      </c>
      <c r="G432" t="s">
        <v>14</v>
      </c>
      <c r="H432" t="s">
        <v>37</v>
      </c>
    </row>
    <row r="433" spans="1:8" x14ac:dyDescent="0.25">
      <c r="A433" t="s">
        <v>38</v>
      </c>
      <c r="B433" t="s">
        <v>22</v>
      </c>
      <c r="C433" s="10">
        <v>45583</v>
      </c>
      <c r="D433">
        <v>3.0959752321981424E-2</v>
      </c>
      <c r="E433">
        <v>62</v>
      </c>
      <c r="F433">
        <v>35</v>
      </c>
      <c r="G433" t="s">
        <v>14</v>
      </c>
      <c r="H433" t="s">
        <v>37</v>
      </c>
    </row>
    <row r="434" spans="1:8" x14ac:dyDescent="0.25">
      <c r="A434" t="s">
        <v>36</v>
      </c>
      <c r="B434" t="s">
        <v>22</v>
      </c>
      <c r="C434" s="10">
        <v>45584</v>
      </c>
      <c r="D434">
        <v>1.0216718266253872</v>
      </c>
      <c r="E434">
        <v>62</v>
      </c>
      <c r="F434">
        <v>37</v>
      </c>
      <c r="G434" t="s">
        <v>14</v>
      </c>
      <c r="H434" t="s">
        <v>37</v>
      </c>
    </row>
    <row r="435" spans="1:8" x14ac:dyDescent="0.25">
      <c r="A435" t="s">
        <v>38</v>
      </c>
      <c r="B435" t="s">
        <v>22</v>
      </c>
      <c r="C435" s="10">
        <v>45584</v>
      </c>
      <c r="D435">
        <v>3.0959752321981424E-2</v>
      </c>
      <c r="E435">
        <v>62</v>
      </c>
      <c r="F435">
        <v>38</v>
      </c>
      <c r="G435" t="s">
        <v>14</v>
      </c>
      <c r="H435" t="s">
        <v>37</v>
      </c>
    </row>
    <row r="436" spans="1:8" x14ac:dyDescent="0.25">
      <c r="A436" t="s">
        <v>36</v>
      </c>
      <c r="B436" t="s">
        <v>22</v>
      </c>
      <c r="C436" s="10">
        <v>45585</v>
      </c>
      <c r="D436">
        <v>1.021671826625387</v>
      </c>
      <c r="E436">
        <v>62</v>
      </c>
      <c r="F436">
        <v>40</v>
      </c>
      <c r="G436" t="s">
        <v>14</v>
      </c>
      <c r="H436" t="s">
        <v>37</v>
      </c>
    </row>
    <row r="437" spans="1:8" x14ac:dyDescent="0.25">
      <c r="A437" t="s">
        <v>38</v>
      </c>
      <c r="B437" t="s">
        <v>22</v>
      </c>
      <c r="C437" s="10">
        <v>45585</v>
      </c>
      <c r="D437">
        <v>3.0959752321981424E-2</v>
      </c>
      <c r="E437">
        <v>62</v>
      </c>
      <c r="F437">
        <v>41</v>
      </c>
      <c r="G437" t="s">
        <v>14</v>
      </c>
      <c r="H437" t="s">
        <v>37</v>
      </c>
    </row>
    <row r="438" spans="1:8" x14ac:dyDescent="0.25">
      <c r="A438" t="s">
        <v>38</v>
      </c>
      <c r="B438" t="s">
        <v>22</v>
      </c>
      <c r="C438" s="10">
        <v>45572</v>
      </c>
      <c r="D438">
        <v>0.7236842105263156</v>
      </c>
      <c r="E438">
        <v>63</v>
      </c>
      <c r="F438">
        <v>2</v>
      </c>
      <c r="G438" t="s">
        <v>14</v>
      </c>
      <c r="H438" t="s">
        <v>37</v>
      </c>
    </row>
    <row r="439" spans="1:8" x14ac:dyDescent="0.25">
      <c r="A439" t="s">
        <v>36</v>
      </c>
      <c r="B439" t="s">
        <v>22</v>
      </c>
      <c r="C439" s="10">
        <v>45572</v>
      </c>
      <c r="D439">
        <v>1.021671826625387</v>
      </c>
      <c r="E439">
        <v>65</v>
      </c>
      <c r="F439">
        <v>1</v>
      </c>
      <c r="G439" t="s">
        <v>14</v>
      </c>
      <c r="H439" t="s">
        <v>37</v>
      </c>
    </row>
    <row r="440" spans="1:8" x14ac:dyDescent="0.25">
      <c r="A440" t="s">
        <v>38</v>
      </c>
      <c r="B440" t="s">
        <v>22</v>
      </c>
      <c r="C440" s="10">
        <v>45572</v>
      </c>
      <c r="D440">
        <v>3.0959752321981424E-2</v>
      </c>
      <c r="E440">
        <v>65</v>
      </c>
      <c r="F440">
        <v>2</v>
      </c>
      <c r="G440" t="s">
        <v>14</v>
      </c>
      <c r="H440" t="s">
        <v>37</v>
      </c>
    </row>
    <row r="441" spans="1:8" x14ac:dyDescent="0.25">
      <c r="A441" t="s">
        <v>36</v>
      </c>
      <c r="B441" t="s">
        <v>22</v>
      </c>
      <c r="C441" s="10">
        <v>45573</v>
      </c>
      <c r="D441">
        <v>1.0216718266253872</v>
      </c>
      <c r="E441">
        <v>65</v>
      </c>
      <c r="F441">
        <v>4</v>
      </c>
      <c r="G441" t="s">
        <v>14</v>
      </c>
      <c r="H441" t="s">
        <v>37</v>
      </c>
    </row>
    <row r="442" spans="1:8" x14ac:dyDescent="0.25">
      <c r="A442" t="s">
        <v>38</v>
      </c>
      <c r="B442" t="s">
        <v>22</v>
      </c>
      <c r="C442" s="10">
        <v>45573</v>
      </c>
      <c r="D442">
        <v>3.0959752321981424E-2</v>
      </c>
      <c r="E442">
        <v>65</v>
      </c>
      <c r="F442">
        <v>5</v>
      </c>
      <c r="G442" t="s">
        <v>14</v>
      </c>
      <c r="H442" t="s">
        <v>37</v>
      </c>
    </row>
    <row r="443" spans="1:8" x14ac:dyDescent="0.25">
      <c r="A443" t="s">
        <v>38</v>
      </c>
      <c r="B443" t="s">
        <v>22</v>
      </c>
      <c r="C443" s="10">
        <v>45576</v>
      </c>
      <c r="D443">
        <v>0.72368421052631571</v>
      </c>
      <c r="E443">
        <v>65</v>
      </c>
      <c r="F443">
        <v>14</v>
      </c>
      <c r="G443" t="s">
        <v>14</v>
      </c>
      <c r="H443" t="s">
        <v>37</v>
      </c>
    </row>
    <row r="444" spans="1:8" x14ac:dyDescent="0.25">
      <c r="A444" t="s">
        <v>38</v>
      </c>
      <c r="B444" t="s">
        <v>22</v>
      </c>
      <c r="C444" s="10">
        <v>45577</v>
      </c>
      <c r="D444">
        <v>0.72368421052631582</v>
      </c>
      <c r="E444">
        <v>65</v>
      </c>
      <c r="F444">
        <v>17</v>
      </c>
      <c r="G444" t="s">
        <v>14</v>
      </c>
      <c r="H444" t="s">
        <v>37</v>
      </c>
    </row>
    <row r="445" spans="1:8" x14ac:dyDescent="0.25">
      <c r="A445" t="s">
        <v>36</v>
      </c>
      <c r="B445" t="s">
        <v>22</v>
      </c>
      <c r="C445" s="10">
        <v>45580</v>
      </c>
      <c r="D445">
        <v>1.021671826625387</v>
      </c>
      <c r="E445">
        <v>65</v>
      </c>
      <c r="F445">
        <v>25</v>
      </c>
      <c r="G445" t="s">
        <v>14</v>
      </c>
      <c r="H445" t="s">
        <v>37</v>
      </c>
    </row>
    <row r="446" spans="1:8" x14ac:dyDescent="0.25">
      <c r="A446" t="s">
        <v>38</v>
      </c>
      <c r="B446" t="s">
        <v>22</v>
      </c>
      <c r="C446" s="10">
        <v>45580</v>
      </c>
      <c r="D446">
        <v>3.0959752321981424E-2</v>
      </c>
      <c r="E446">
        <v>65</v>
      </c>
      <c r="F446">
        <v>26</v>
      </c>
      <c r="G446" t="s">
        <v>14</v>
      </c>
      <c r="H446" t="s">
        <v>37</v>
      </c>
    </row>
    <row r="447" spans="1:8" x14ac:dyDescent="0.25">
      <c r="A447" t="s">
        <v>36</v>
      </c>
      <c r="B447" t="s">
        <v>22</v>
      </c>
      <c r="C447" s="10">
        <v>45582</v>
      </c>
      <c r="D447">
        <v>1.021671826625387</v>
      </c>
      <c r="E447">
        <v>65</v>
      </c>
      <c r="F447">
        <v>31</v>
      </c>
      <c r="G447" t="s">
        <v>14</v>
      </c>
      <c r="H447" t="s">
        <v>37</v>
      </c>
    </row>
    <row r="448" spans="1:8" x14ac:dyDescent="0.25">
      <c r="A448" t="s">
        <v>38</v>
      </c>
      <c r="B448" t="s">
        <v>22</v>
      </c>
      <c r="C448" s="10">
        <v>45582</v>
      </c>
      <c r="D448">
        <v>3.0959752321981424E-2</v>
      </c>
      <c r="E448">
        <v>65</v>
      </c>
      <c r="F448">
        <v>32</v>
      </c>
      <c r="G448" t="s">
        <v>14</v>
      </c>
      <c r="H448" t="s">
        <v>37</v>
      </c>
    </row>
    <row r="449" spans="1:8" x14ac:dyDescent="0.25">
      <c r="A449" t="s">
        <v>38</v>
      </c>
      <c r="B449" t="s">
        <v>22</v>
      </c>
      <c r="C449" s="10">
        <v>45584</v>
      </c>
      <c r="D449">
        <v>0.72368421052631571</v>
      </c>
      <c r="E449">
        <v>65</v>
      </c>
      <c r="F449">
        <v>38</v>
      </c>
      <c r="G449" t="s">
        <v>14</v>
      </c>
      <c r="H449" t="s">
        <v>37</v>
      </c>
    </row>
    <row r="450" spans="1:8" x14ac:dyDescent="0.25">
      <c r="A450" t="s">
        <v>39</v>
      </c>
      <c r="B450" t="s">
        <v>22</v>
      </c>
      <c r="C450" s="10">
        <v>45572</v>
      </c>
      <c r="D450">
        <v>3.0701754385964914E-2</v>
      </c>
      <c r="E450">
        <v>67</v>
      </c>
      <c r="F450">
        <v>3</v>
      </c>
      <c r="G450" t="s">
        <v>14</v>
      </c>
      <c r="H450" t="s">
        <v>37</v>
      </c>
    </row>
    <row r="451" spans="1:8" x14ac:dyDescent="0.25">
      <c r="A451" t="s">
        <v>38</v>
      </c>
      <c r="B451" t="s">
        <v>22</v>
      </c>
      <c r="C451" s="10">
        <v>45572</v>
      </c>
      <c r="D451">
        <v>0.89035087719298234</v>
      </c>
      <c r="E451">
        <v>67</v>
      </c>
      <c r="F451">
        <v>2</v>
      </c>
      <c r="G451" t="s">
        <v>14</v>
      </c>
      <c r="H451" t="s">
        <v>37</v>
      </c>
    </row>
    <row r="452" spans="1:8" x14ac:dyDescent="0.25">
      <c r="A452" t="s">
        <v>39</v>
      </c>
      <c r="B452" t="s">
        <v>22</v>
      </c>
      <c r="C452" s="10">
        <v>45574</v>
      </c>
      <c r="D452">
        <v>3.0701754385964914E-2</v>
      </c>
      <c r="E452">
        <v>67</v>
      </c>
      <c r="F452">
        <v>9</v>
      </c>
      <c r="G452" t="s">
        <v>14</v>
      </c>
      <c r="H452" t="s">
        <v>37</v>
      </c>
    </row>
    <row r="453" spans="1:8" x14ac:dyDescent="0.25">
      <c r="A453" t="s">
        <v>38</v>
      </c>
      <c r="B453" t="s">
        <v>22</v>
      </c>
      <c r="C453" s="10">
        <v>45574</v>
      </c>
      <c r="D453">
        <v>0.89035087719298245</v>
      </c>
      <c r="E453">
        <v>67</v>
      </c>
      <c r="F453">
        <v>8</v>
      </c>
      <c r="G453" t="s">
        <v>14</v>
      </c>
      <c r="H453" t="s">
        <v>37</v>
      </c>
    </row>
    <row r="454" spans="1:8" x14ac:dyDescent="0.25">
      <c r="A454" t="s">
        <v>39</v>
      </c>
      <c r="B454" t="s">
        <v>22</v>
      </c>
      <c r="C454" s="10">
        <v>45579</v>
      </c>
      <c r="D454">
        <v>3.0701754385964914E-2</v>
      </c>
      <c r="E454">
        <v>67</v>
      </c>
      <c r="F454">
        <v>24</v>
      </c>
      <c r="G454" t="s">
        <v>14</v>
      </c>
      <c r="H454" t="s">
        <v>37</v>
      </c>
    </row>
    <row r="455" spans="1:8" x14ac:dyDescent="0.25">
      <c r="A455" t="s">
        <v>38</v>
      </c>
      <c r="B455" t="s">
        <v>22</v>
      </c>
      <c r="C455" s="10">
        <v>45579</v>
      </c>
      <c r="D455">
        <v>0.89035087719298234</v>
      </c>
      <c r="E455">
        <v>67</v>
      </c>
      <c r="F455">
        <v>23</v>
      </c>
      <c r="G455" t="s">
        <v>14</v>
      </c>
      <c r="H455" t="s">
        <v>37</v>
      </c>
    </row>
    <row r="456" spans="1:8" x14ac:dyDescent="0.25">
      <c r="A456" t="s">
        <v>39</v>
      </c>
      <c r="B456" t="s">
        <v>22</v>
      </c>
      <c r="C456" s="10">
        <v>45581</v>
      </c>
      <c r="D456">
        <v>3.0701754385964914E-2</v>
      </c>
      <c r="E456">
        <v>67</v>
      </c>
      <c r="F456">
        <v>30</v>
      </c>
      <c r="G456" t="s">
        <v>14</v>
      </c>
      <c r="H456" t="s">
        <v>37</v>
      </c>
    </row>
    <row r="457" spans="1:8" x14ac:dyDescent="0.25">
      <c r="A457" t="s">
        <v>38</v>
      </c>
      <c r="B457" t="s">
        <v>22</v>
      </c>
      <c r="C457" s="10">
        <v>45581</v>
      </c>
      <c r="D457">
        <v>0.89035087719298245</v>
      </c>
      <c r="E457">
        <v>67</v>
      </c>
      <c r="F457">
        <v>29</v>
      </c>
      <c r="G457" t="s">
        <v>14</v>
      </c>
      <c r="H457" t="s">
        <v>37</v>
      </c>
    </row>
    <row r="458" spans="1:8" x14ac:dyDescent="0.25">
      <c r="A458" t="s">
        <v>38</v>
      </c>
      <c r="B458" t="s">
        <v>22</v>
      </c>
      <c r="C458" s="10">
        <v>45585</v>
      </c>
      <c r="D458">
        <v>0.72368421052631571</v>
      </c>
      <c r="E458">
        <v>67</v>
      </c>
      <c r="F458">
        <v>41</v>
      </c>
      <c r="G458" t="s">
        <v>14</v>
      </c>
      <c r="H458" t="s">
        <v>37</v>
      </c>
    </row>
    <row r="459" spans="1:8" x14ac:dyDescent="0.25">
      <c r="A459" t="s">
        <v>36</v>
      </c>
      <c r="B459" t="s">
        <v>22</v>
      </c>
      <c r="C459" s="10">
        <v>45572</v>
      </c>
      <c r="D459">
        <v>1.021671826625387</v>
      </c>
      <c r="E459">
        <v>68</v>
      </c>
      <c r="F459">
        <v>1</v>
      </c>
      <c r="G459" t="s">
        <v>14</v>
      </c>
      <c r="H459" t="s">
        <v>37</v>
      </c>
    </row>
    <row r="460" spans="1:8" x14ac:dyDescent="0.25">
      <c r="A460" t="s">
        <v>38</v>
      </c>
      <c r="B460" t="s">
        <v>22</v>
      </c>
      <c r="C460" s="10">
        <v>45572</v>
      </c>
      <c r="D460">
        <v>3.0959752321981424E-2</v>
      </c>
      <c r="E460">
        <v>68</v>
      </c>
      <c r="F460">
        <v>2</v>
      </c>
      <c r="G460" t="s">
        <v>14</v>
      </c>
      <c r="H460" t="s">
        <v>37</v>
      </c>
    </row>
    <row r="461" spans="1:8" x14ac:dyDescent="0.25">
      <c r="A461" t="s">
        <v>39</v>
      </c>
      <c r="B461" t="s">
        <v>22</v>
      </c>
      <c r="C461" s="10">
        <v>45573</v>
      </c>
      <c r="D461">
        <v>3.0701754385964914E-2</v>
      </c>
      <c r="E461">
        <v>68</v>
      </c>
      <c r="F461">
        <v>6</v>
      </c>
      <c r="G461" t="s">
        <v>14</v>
      </c>
      <c r="H461" t="s">
        <v>37</v>
      </c>
    </row>
    <row r="462" spans="1:8" x14ac:dyDescent="0.25">
      <c r="A462" t="s">
        <v>38</v>
      </c>
      <c r="B462" t="s">
        <v>22</v>
      </c>
      <c r="C462" s="10">
        <v>45573</v>
      </c>
      <c r="D462">
        <v>0.89035087719298245</v>
      </c>
      <c r="E462">
        <v>68</v>
      </c>
      <c r="F462">
        <v>5</v>
      </c>
      <c r="G462" t="s">
        <v>14</v>
      </c>
      <c r="H462" t="s">
        <v>37</v>
      </c>
    </row>
    <row r="463" spans="1:8" x14ac:dyDescent="0.25">
      <c r="A463" t="s">
        <v>39</v>
      </c>
      <c r="B463" t="s">
        <v>22</v>
      </c>
      <c r="C463" s="10">
        <v>45575</v>
      </c>
      <c r="D463">
        <v>3.0701754385964914E-2</v>
      </c>
      <c r="E463">
        <v>68</v>
      </c>
      <c r="F463">
        <v>12</v>
      </c>
      <c r="G463" t="s">
        <v>14</v>
      </c>
      <c r="H463" t="s">
        <v>37</v>
      </c>
    </row>
    <row r="464" spans="1:8" x14ac:dyDescent="0.25">
      <c r="A464" t="s">
        <v>38</v>
      </c>
      <c r="B464" t="s">
        <v>22</v>
      </c>
      <c r="C464" s="10">
        <v>45575</v>
      </c>
      <c r="D464">
        <v>0.89035087719298234</v>
      </c>
      <c r="E464">
        <v>68</v>
      </c>
      <c r="F464">
        <v>11</v>
      </c>
      <c r="G464" t="s">
        <v>14</v>
      </c>
      <c r="H464" t="s">
        <v>37</v>
      </c>
    </row>
    <row r="465" spans="1:8" x14ac:dyDescent="0.25">
      <c r="A465" t="s">
        <v>36</v>
      </c>
      <c r="B465" t="s">
        <v>22</v>
      </c>
      <c r="C465" s="10">
        <v>45577</v>
      </c>
      <c r="D465">
        <v>1.0079887218045112</v>
      </c>
      <c r="E465">
        <v>68</v>
      </c>
      <c r="F465">
        <v>16</v>
      </c>
      <c r="G465" t="s">
        <v>14</v>
      </c>
      <c r="H465" t="s">
        <v>37</v>
      </c>
    </row>
    <row r="466" spans="1:8" x14ac:dyDescent="0.25">
      <c r="A466" t="s">
        <v>38</v>
      </c>
      <c r="B466" t="s">
        <v>22</v>
      </c>
      <c r="C466" s="10">
        <v>45577</v>
      </c>
      <c r="D466">
        <v>0.70253759398496241</v>
      </c>
      <c r="E466">
        <v>68</v>
      </c>
      <c r="F466">
        <v>17</v>
      </c>
      <c r="G466" t="s">
        <v>14</v>
      </c>
      <c r="H466" t="s">
        <v>37</v>
      </c>
    </row>
    <row r="467" spans="1:8" x14ac:dyDescent="0.25">
      <c r="A467" t="s">
        <v>36</v>
      </c>
      <c r="B467" t="s">
        <v>22</v>
      </c>
      <c r="C467" s="10">
        <v>45578</v>
      </c>
      <c r="D467">
        <v>1.0216718266253872</v>
      </c>
      <c r="E467">
        <v>68</v>
      </c>
      <c r="F467">
        <v>19</v>
      </c>
      <c r="G467" t="s">
        <v>14</v>
      </c>
      <c r="H467" t="s">
        <v>37</v>
      </c>
    </row>
    <row r="468" spans="1:8" x14ac:dyDescent="0.25">
      <c r="A468" t="s">
        <v>38</v>
      </c>
      <c r="B468" t="s">
        <v>22</v>
      </c>
      <c r="C468" s="10">
        <v>45578</v>
      </c>
      <c r="D468">
        <v>3.0959752321981424E-2</v>
      </c>
      <c r="E468">
        <v>68</v>
      </c>
      <c r="F468">
        <v>20</v>
      </c>
      <c r="G468" t="s">
        <v>14</v>
      </c>
      <c r="H468" t="s">
        <v>37</v>
      </c>
    </row>
    <row r="469" spans="1:8" x14ac:dyDescent="0.25">
      <c r="A469" t="s">
        <v>36</v>
      </c>
      <c r="B469" t="s">
        <v>22</v>
      </c>
      <c r="C469" s="10">
        <v>45579</v>
      </c>
      <c r="D469">
        <v>1.0216718266253872</v>
      </c>
      <c r="E469">
        <v>68</v>
      </c>
      <c r="F469">
        <v>22</v>
      </c>
      <c r="G469" t="s">
        <v>14</v>
      </c>
      <c r="H469" t="s">
        <v>37</v>
      </c>
    </row>
    <row r="470" spans="1:8" x14ac:dyDescent="0.25">
      <c r="A470" t="s">
        <v>38</v>
      </c>
      <c r="B470" t="s">
        <v>22</v>
      </c>
      <c r="C470" s="10">
        <v>45579</v>
      </c>
      <c r="D470">
        <v>3.0959752321981424E-2</v>
      </c>
      <c r="E470">
        <v>68</v>
      </c>
      <c r="F470">
        <v>23</v>
      </c>
      <c r="G470" t="s">
        <v>14</v>
      </c>
      <c r="H470" t="s">
        <v>37</v>
      </c>
    </row>
    <row r="471" spans="1:8" x14ac:dyDescent="0.25">
      <c r="A471" t="s">
        <v>39</v>
      </c>
      <c r="B471" t="s">
        <v>22</v>
      </c>
      <c r="C471" s="10">
        <v>45580</v>
      </c>
      <c r="D471">
        <v>3.0701754385964914E-2</v>
      </c>
      <c r="E471">
        <v>68</v>
      </c>
      <c r="F471">
        <v>27</v>
      </c>
      <c r="G471" t="s">
        <v>14</v>
      </c>
      <c r="H471" t="s">
        <v>37</v>
      </c>
    </row>
    <row r="472" spans="1:8" x14ac:dyDescent="0.25">
      <c r="A472" t="s">
        <v>38</v>
      </c>
      <c r="B472" t="s">
        <v>22</v>
      </c>
      <c r="C472" s="10">
        <v>45580</v>
      </c>
      <c r="D472">
        <v>0.89035087719298245</v>
      </c>
      <c r="E472">
        <v>68</v>
      </c>
      <c r="F472">
        <v>26</v>
      </c>
      <c r="G472" t="s">
        <v>14</v>
      </c>
      <c r="H472" t="s">
        <v>37</v>
      </c>
    </row>
    <row r="473" spans="1:8" x14ac:dyDescent="0.25">
      <c r="A473" t="s">
        <v>39</v>
      </c>
      <c r="B473" t="s">
        <v>22</v>
      </c>
      <c r="C473" s="10">
        <v>45582</v>
      </c>
      <c r="D473">
        <v>3.0701754385964914E-2</v>
      </c>
      <c r="E473">
        <v>68</v>
      </c>
      <c r="F473">
        <v>33</v>
      </c>
      <c r="G473" t="s">
        <v>14</v>
      </c>
      <c r="H473" t="s">
        <v>37</v>
      </c>
    </row>
    <row r="474" spans="1:8" x14ac:dyDescent="0.25">
      <c r="A474" t="s">
        <v>38</v>
      </c>
      <c r="B474" t="s">
        <v>22</v>
      </c>
      <c r="C474" s="10">
        <v>45582</v>
      </c>
      <c r="D474">
        <v>0.89035087719298234</v>
      </c>
      <c r="E474">
        <v>68</v>
      </c>
      <c r="F474">
        <v>32</v>
      </c>
      <c r="G474" t="s">
        <v>14</v>
      </c>
      <c r="H474" t="s">
        <v>37</v>
      </c>
    </row>
    <row r="475" spans="1:8" x14ac:dyDescent="0.25">
      <c r="A475" t="s">
        <v>36</v>
      </c>
      <c r="B475" t="s">
        <v>22</v>
      </c>
      <c r="C475" s="10">
        <v>45584</v>
      </c>
      <c r="D475">
        <v>1.0216718266253872</v>
      </c>
      <c r="E475">
        <v>68</v>
      </c>
      <c r="F475">
        <v>37</v>
      </c>
      <c r="G475" t="s">
        <v>14</v>
      </c>
      <c r="H475" t="s">
        <v>37</v>
      </c>
    </row>
    <row r="476" spans="1:8" x14ac:dyDescent="0.25">
      <c r="A476" t="s">
        <v>38</v>
      </c>
      <c r="B476" t="s">
        <v>22</v>
      </c>
      <c r="C476" s="10">
        <v>45584</v>
      </c>
      <c r="D476">
        <v>3.0959752321981424E-2</v>
      </c>
      <c r="E476">
        <v>68</v>
      </c>
      <c r="F476">
        <v>38</v>
      </c>
      <c r="G476" t="s">
        <v>14</v>
      </c>
      <c r="H476" t="s">
        <v>37</v>
      </c>
    </row>
    <row r="477" spans="1:8" x14ac:dyDescent="0.25">
      <c r="A477" t="s">
        <v>36</v>
      </c>
      <c r="B477" t="s">
        <v>22</v>
      </c>
      <c r="C477" s="10">
        <v>45585</v>
      </c>
      <c r="D477">
        <v>1.021671826625387</v>
      </c>
      <c r="E477">
        <v>68</v>
      </c>
      <c r="F477">
        <v>40</v>
      </c>
      <c r="G477" t="s">
        <v>14</v>
      </c>
      <c r="H477" t="s">
        <v>37</v>
      </c>
    </row>
    <row r="478" spans="1:8" x14ac:dyDescent="0.25">
      <c r="A478" t="s">
        <v>38</v>
      </c>
      <c r="B478" t="s">
        <v>22</v>
      </c>
      <c r="C478" s="10">
        <v>45585</v>
      </c>
      <c r="D478">
        <v>3.0959752321981424E-2</v>
      </c>
      <c r="E478">
        <v>68</v>
      </c>
      <c r="F478">
        <v>41</v>
      </c>
      <c r="G478" t="s">
        <v>14</v>
      </c>
      <c r="H478" t="s">
        <v>37</v>
      </c>
    </row>
    <row r="479" spans="1:8" x14ac:dyDescent="0.25">
      <c r="A479" t="s">
        <v>38</v>
      </c>
      <c r="B479" t="s">
        <v>22</v>
      </c>
      <c r="C479" s="10">
        <v>45574</v>
      </c>
      <c r="D479">
        <v>0.72368421052631571</v>
      </c>
      <c r="E479">
        <v>71</v>
      </c>
      <c r="F479">
        <v>8</v>
      </c>
      <c r="G479" t="s">
        <v>14</v>
      </c>
      <c r="H479" t="s">
        <v>37</v>
      </c>
    </row>
    <row r="480" spans="1:8" x14ac:dyDescent="0.25">
      <c r="A480" t="s">
        <v>38</v>
      </c>
      <c r="B480" t="s">
        <v>22</v>
      </c>
      <c r="C480" s="10">
        <v>45575</v>
      </c>
      <c r="D480">
        <v>0.7236842105263156</v>
      </c>
      <c r="E480">
        <v>71</v>
      </c>
      <c r="F480">
        <v>11</v>
      </c>
      <c r="G480" t="s">
        <v>14</v>
      </c>
      <c r="H480" t="s">
        <v>37</v>
      </c>
    </row>
    <row r="481" spans="1:8" x14ac:dyDescent="0.25">
      <c r="A481" t="s">
        <v>38</v>
      </c>
      <c r="B481" t="s">
        <v>22</v>
      </c>
      <c r="C481" s="10">
        <v>45576</v>
      </c>
      <c r="D481">
        <v>0.72368421052631571</v>
      </c>
      <c r="E481">
        <v>71</v>
      </c>
      <c r="F481">
        <v>14</v>
      </c>
      <c r="G481" t="s">
        <v>14</v>
      </c>
      <c r="H481" t="s">
        <v>37</v>
      </c>
    </row>
    <row r="482" spans="1:8" x14ac:dyDescent="0.25">
      <c r="A482" t="s">
        <v>39</v>
      </c>
      <c r="B482" t="s">
        <v>22</v>
      </c>
      <c r="C482" s="10">
        <v>45577</v>
      </c>
      <c r="D482">
        <v>3.0701754385964914E-2</v>
      </c>
      <c r="E482">
        <v>71</v>
      </c>
      <c r="F482">
        <v>18</v>
      </c>
      <c r="G482" t="s">
        <v>14</v>
      </c>
      <c r="H482" t="s">
        <v>37</v>
      </c>
    </row>
    <row r="483" spans="1:8" x14ac:dyDescent="0.25">
      <c r="A483" t="s">
        <v>38</v>
      </c>
      <c r="B483" t="s">
        <v>22</v>
      </c>
      <c r="C483" s="10">
        <v>45577</v>
      </c>
      <c r="D483">
        <v>0.89035087719298223</v>
      </c>
      <c r="E483">
        <v>71</v>
      </c>
      <c r="F483">
        <v>17</v>
      </c>
      <c r="G483" t="s">
        <v>14</v>
      </c>
      <c r="H483" t="s">
        <v>37</v>
      </c>
    </row>
    <row r="484" spans="1:8" x14ac:dyDescent="0.25">
      <c r="A484" t="s">
        <v>38</v>
      </c>
      <c r="B484" t="s">
        <v>22</v>
      </c>
      <c r="C484" s="10">
        <v>45581</v>
      </c>
      <c r="D484">
        <v>0.7236842105263156</v>
      </c>
      <c r="E484">
        <v>71</v>
      </c>
      <c r="F484">
        <v>29</v>
      </c>
      <c r="G484" t="s">
        <v>14</v>
      </c>
      <c r="H484" t="s">
        <v>37</v>
      </c>
    </row>
    <row r="485" spans="1:8" x14ac:dyDescent="0.25">
      <c r="A485" t="s">
        <v>38</v>
      </c>
      <c r="B485" t="s">
        <v>22</v>
      </c>
      <c r="C485" s="10">
        <v>45582</v>
      </c>
      <c r="D485">
        <v>0.7236842105263156</v>
      </c>
      <c r="E485">
        <v>71</v>
      </c>
      <c r="F485">
        <v>32</v>
      </c>
      <c r="G485" t="s">
        <v>14</v>
      </c>
      <c r="H485" t="s">
        <v>37</v>
      </c>
    </row>
    <row r="486" spans="1:8" x14ac:dyDescent="0.25">
      <c r="A486" t="s">
        <v>38</v>
      </c>
      <c r="B486" t="s">
        <v>22</v>
      </c>
      <c r="C486" s="10">
        <v>45583</v>
      </c>
      <c r="D486">
        <v>0.7236842105263156</v>
      </c>
      <c r="E486">
        <v>71</v>
      </c>
      <c r="F486">
        <v>35</v>
      </c>
      <c r="G486" t="s">
        <v>14</v>
      </c>
      <c r="H486" t="s">
        <v>37</v>
      </c>
    </row>
    <row r="487" spans="1:8" x14ac:dyDescent="0.25">
      <c r="A487" t="s">
        <v>39</v>
      </c>
      <c r="B487" t="s">
        <v>22</v>
      </c>
      <c r="C487" s="10">
        <v>45584</v>
      </c>
      <c r="D487">
        <v>3.0701754385964914E-2</v>
      </c>
      <c r="E487">
        <v>71</v>
      </c>
      <c r="F487">
        <v>39</v>
      </c>
      <c r="G487" t="s">
        <v>14</v>
      </c>
      <c r="H487" t="s">
        <v>37</v>
      </c>
    </row>
    <row r="488" spans="1:8" x14ac:dyDescent="0.25">
      <c r="A488" t="s">
        <v>38</v>
      </c>
      <c r="B488" t="s">
        <v>22</v>
      </c>
      <c r="C488" s="10">
        <v>45584</v>
      </c>
      <c r="D488">
        <v>0.89035087719298234</v>
      </c>
      <c r="E488">
        <v>71</v>
      </c>
      <c r="F488">
        <v>38</v>
      </c>
      <c r="G488" t="s">
        <v>14</v>
      </c>
      <c r="H488" t="s">
        <v>37</v>
      </c>
    </row>
    <row r="489" spans="1:8" x14ac:dyDescent="0.25">
      <c r="A489" t="s">
        <v>36</v>
      </c>
      <c r="B489" t="s">
        <v>22</v>
      </c>
      <c r="C489" s="10">
        <v>45572</v>
      </c>
      <c r="D489">
        <v>0.78947368421052622</v>
      </c>
      <c r="E489">
        <v>72</v>
      </c>
      <c r="F489">
        <v>1</v>
      </c>
      <c r="G489" t="s">
        <v>14</v>
      </c>
      <c r="H489" t="s">
        <v>37</v>
      </c>
    </row>
    <row r="490" spans="1:8" x14ac:dyDescent="0.25">
      <c r="A490" t="s">
        <v>36</v>
      </c>
      <c r="B490" t="s">
        <v>22</v>
      </c>
      <c r="C490" s="10">
        <v>45573</v>
      </c>
      <c r="D490">
        <v>0.78947368421052633</v>
      </c>
      <c r="E490">
        <v>72</v>
      </c>
      <c r="F490">
        <v>4</v>
      </c>
      <c r="G490" t="s">
        <v>14</v>
      </c>
      <c r="H490" t="s">
        <v>37</v>
      </c>
    </row>
    <row r="491" spans="1:8" x14ac:dyDescent="0.25">
      <c r="A491" t="s">
        <v>36</v>
      </c>
      <c r="B491" t="s">
        <v>22</v>
      </c>
      <c r="C491" s="10">
        <v>45577</v>
      </c>
      <c r="D491">
        <v>0.72368421052631571</v>
      </c>
      <c r="E491">
        <v>72</v>
      </c>
      <c r="F491">
        <v>16</v>
      </c>
      <c r="G491" t="s">
        <v>14</v>
      </c>
      <c r="H491" t="s">
        <v>37</v>
      </c>
    </row>
    <row r="492" spans="1:8" x14ac:dyDescent="0.25">
      <c r="A492" t="s">
        <v>36</v>
      </c>
      <c r="B492" t="s">
        <v>22</v>
      </c>
      <c r="C492" s="10">
        <v>45578</v>
      </c>
      <c r="D492">
        <v>0.78947368421052633</v>
      </c>
      <c r="E492">
        <v>72</v>
      </c>
      <c r="F492">
        <v>19</v>
      </c>
      <c r="G492" t="s">
        <v>14</v>
      </c>
      <c r="H492" t="s">
        <v>37</v>
      </c>
    </row>
    <row r="493" spans="1:8" x14ac:dyDescent="0.25">
      <c r="A493" t="s">
        <v>36</v>
      </c>
      <c r="B493" t="s">
        <v>22</v>
      </c>
      <c r="C493" s="10">
        <v>45579</v>
      </c>
      <c r="D493">
        <v>0.39473684210526316</v>
      </c>
      <c r="E493">
        <v>72</v>
      </c>
      <c r="F493">
        <v>22</v>
      </c>
      <c r="G493" t="s">
        <v>14</v>
      </c>
      <c r="H493" t="s">
        <v>37</v>
      </c>
    </row>
    <row r="494" spans="1:8" x14ac:dyDescent="0.25">
      <c r="A494" t="s">
        <v>36</v>
      </c>
      <c r="B494" t="s">
        <v>22</v>
      </c>
      <c r="C494" s="10">
        <v>45572</v>
      </c>
      <c r="D494">
        <v>0.78947368421052622</v>
      </c>
      <c r="E494">
        <v>73</v>
      </c>
      <c r="F494">
        <v>1</v>
      </c>
      <c r="G494" t="s">
        <v>14</v>
      </c>
      <c r="H494" t="s">
        <v>37</v>
      </c>
    </row>
    <row r="495" spans="1:8" x14ac:dyDescent="0.25">
      <c r="A495" t="s">
        <v>36</v>
      </c>
      <c r="B495" t="s">
        <v>22</v>
      </c>
      <c r="C495" s="10">
        <v>45573</v>
      </c>
      <c r="D495">
        <v>1.0216718266253872</v>
      </c>
      <c r="E495">
        <v>73</v>
      </c>
      <c r="F495">
        <v>4</v>
      </c>
      <c r="G495" t="s">
        <v>14</v>
      </c>
      <c r="H495" t="s">
        <v>37</v>
      </c>
    </row>
    <row r="496" spans="1:8" x14ac:dyDescent="0.25">
      <c r="A496" t="s">
        <v>38</v>
      </c>
      <c r="B496" t="s">
        <v>22</v>
      </c>
      <c r="C496" s="10">
        <v>45573</v>
      </c>
      <c r="D496">
        <v>3.0959752321981424E-2</v>
      </c>
      <c r="E496">
        <v>73</v>
      </c>
      <c r="F496">
        <v>5</v>
      </c>
      <c r="G496" t="s">
        <v>14</v>
      </c>
      <c r="H496" t="s">
        <v>37</v>
      </c>
    </row>
    <row r="497" spans="1:8" x14ac:dyDescent="0.25">
      <c r="A497" t="s">
        <v>36</v>
      </c>
      <c r="B497" t="s">
        <v>22</v>
      </c>
      <c r="C497" s="10">
        <v>45574</v>
      </c>
      <c r="D497">
        <v>1.0216718266253872</v>
      </c>
      <c r="E497">
        <v>73</v>
      </c>
      <c r="F497">
        <v>7</v>
      </c>
      <c r="G497" t="s">
        <v>14</v>
      </c>
      <c r="H497" t="s">
        <v>37</v>
      </c>
    </row>
    <row r="498" spans="1:8" x14ac:dyDescent="0.25">
      <c r="A498" t="s">
        <v>38</v>
      </c>
      <c r="B498" t="s">
        <v>22</v>
      </c>
      <c r="C498" s="10">
        <v>45574</v>
      </c>
      <c r="D498">
        <v>3.0959752321981424E-2</v>
      </c>
      <c r="E498">
        <v>73</v>
      </c>
      <c r="F498">
        <v>8</v>
      </c>
      <c r="G498" t="s">
        <v>14</v>
      </c>
      <c r="H498" t="s">
        <v>37</v>
      </c>
    </row>
    <row r="499" spans="1:8" x14ac:dyDescent="0.25">
      <c r="A499" t="s">
        <v>36</v>
      </c>
      <c r="B499" t="s">
        <v>22</v>
      </c>
      <c r="C499" s="10">
        <v>45575</v>
      </c>
      <c r="D499">
        <v>1.021671826625387</v>
      </c>
      <c r="E499">
        <v>73</v>
      </c>
      <c r="F499">
        <v>10</v>
      </c>
      <c r="G499" t="s">
        <v>14</v>
      </c>
      <c r="H499" t="s">
        <v>37</v>
      </c>
    </row>
    <row r="500" spans="1:8" x14ac:dyDescent="0.25">
      <c r="A500" t="s">
        <v>38</v>
      </c>
      <c r="B500" t="s">
        <v>22</v>
      </c>
      <c r="C500" s="10">
        <v>45575</v>
      </c>
      <c r="D500">
        <v>3.0959752321981424E-2</v>
      </c>
      <c r="E500">
        <v>73</v>
      </c>
      <c r="F500">
        <v>11</v>
      </c>
      <c r="G500" t="s">
        <v>14</v>
      </c>
      <c r="H500" t="s">
        <v>37</v>
      </c>
    </row>
    <row r="501" spans="1:8" x14ac:dyDescent="0.25">
      <c r="A501" t="s">
        <v>36</v>
      </c>
      <c r="B501" t="s">
        <v>22</v>
      </c>
      <c r="C501" s="10">
        <v>45576</v>
      </c>
      <c r="D501">
        <v>1.021671826625387</v>
      </c>
      <c r="E501">
        <v>73</v>
      </c>
      <c r="F501">
        <v>13</v>
      </c>
      <c r="G501" t="s">
        <v>14</v>
      </c>
      <c r="H501" t="s">
        <v>37</v>
      </c>
    </row>
    <row r="502" spans="1:8" x14ac:dyDescent="0.25">
      <c r="A502" t="s">
        <v>38</v>
      </c>
      <c r="B502" t="s">
        <v>22</v>
      </c>
      <c r="C502" s="10">
        <v>45576</v>
      </c>
      <c r="D502">
        <v>3.0959752321981424E-2</v>
      </c>
      <c r="E502">
        <v>73</v>
      </c>
      <c r="F502">
        <v>14</v>
      </c>
      <c r="G502" t="s">
        <v>14</v>
      </c>
      <c r="H502" t="s">
        <v>37</v>
      </c>
    </row>
    <row r="503" spans="1:8" x14ac:dyDescent="0.25">
      <c r="A503" t="s">
        <v>36</v>
      </c>
      <c r="B503" t="s">
        <v>22</v>
      </c>
      <c r="C503" s="10">
        <v>45579</v>
      </c>
      <c r="D503">
        <v>0.78947368421052622</v>
      </c>
      <c r="E503">
        <v>73</v>
      </c>
      <c r="F503">
        <v>22</v>
      </c>
      <c r="G503" t="s">
        <v>14</v>
      </c>
      <c r="H503" t="s">
        <v>37</v>
      </c>
    </row>
    <row r="504" spans="1:8" x14ac:dyDescent="0.25">
      <c r="A504" t="s">
        <v>36</v>
      </c>
      <c r="B504" t="s">
        <v>22</v>
      </c>
      <c r="C504" s="10">
        <v>45580</v>
      </c>
      <c r="D504">
        <v>1.021671826625387</v>
      </c>
      <c r="E504">
        <v>73</v>
      </c>
      <c r="F504">
        <v>25</v>
      </c>
      <c r="G504" t="s">
        <v>14</v>
      </c>
      <c r="H504" t="s">
        <v>37</v>
      </c>
    </row>
    <row r="505" spans="1:8" x14ac:dyDescent="0.25">
      <c r="A505" t="s">
        <v>38</v>
      </c>
      <c r="B505" t="s">
        <v>22</v>
      </c>
      <c r="C505" s="10">
        <v>45580</v>
      </c>
      <c r="D505">
        <v>3.0959752321981424E-2</v>
      </c>
      <c r="E505">
        <v>73</v>
      </c>
      <c r="F505">
        <v>26</v>
      </c>
      <c r="G505" t="s">
        <v>14</v>
      </c>
      <c r="H505" t="s">
        <v>37</v>
      </c>
    </row>
    <row r="506" spans="1:8" x14ac:dyDescent="0.25">
      <c r="A506" t="s">
        <v>36</v>
      </c>
      <c r="B506" t="s">
        <v>22</v>
      </c>
      <c r="C506" s="10">
        <v>45581</v>
      </c>
      <c r="D506">
        <v>1.021671826625387</v>
      </c>
      <c r="E506">
        <v>73</v>
      </c>
      <c r="F506">
        <v>28</v>
      </c>
      <c r="G506" t="s">
        <v>14</v>
      </c>
      <c r="H506" t="s">
        <v>37</v>
      </c>
    </row>
    <row r="507" spans="1:8" x14ac:dyDescent="0.25">
      <c r="A507" t="s">
        <v>38</v>
      </c>
      <c r="B507" t="s">
        <v>22</v>
      </c>
      <c r="C507" s="10">
        <v>45581</v>
      </c>
      <c r="D507">
        <v>3.0959752321981424E-2</v>
      </c>
      <c r="E507">
        <v>73</v>
      </c>
      <c r="F507">
        <v>29</v>
      </c>
      <c r="G507" t="s">
        <v>14</v>
      </c>
      <c r="H507" t="s">
        <v>37</v>
      </c>
    </row>
    <row r="508" spans="1:8" x14ac:dyDescent="0.25">
      <c r="A508" t="s">
        <v>36</v>
      </c>
      <c r="B508" t="s">
        <v>22</v>
      </c>
      <c r="C508" s="10">
        <v>45582</v>
      </c>
      <c r="D508">
        <v>1.021671826625387</v>
      </c>
      <c r="E508">
        <v>73</v>
      </c>
      <c r="F508">
        <v>31</v>
      </c>
      <c r="G508" t="s">
        <v>14</v>
      </c>
      <c r="H508" t="s">
        <v>37</v>
      </c>
    </row>
    <row r="509" spans="1:8" x14ac:dyDescent="0.25">
      <c r="A509" t="s">
        <v>38</v>
      </c>
      <c r="B509" t="s">
        <v>22</v>
      </c>
      <c r="C509" s="10">
        <v>45582</v>
      </c>
      <c r="D509">
        <v>3.0959752321981424E-2</v>
      </c>
      <c r="E509">
        <v>73</v>
      </c>
      <c r="F509">
        <v>32</v>
      </c>
      <c r="G509" t="s">
        <v>14</v>
      </c>
      <c r="H509" t="s">
        <v>37</v>
      </c>
    </row>
    <row r="510" spans="1:8" x14ac:dyDescent="0.25">
      <c r="A510" t="s">
        <v>36</v>
      </c>
      <c r="B510" t="s">
        <v>22</v>
      </c>
      <c r="C510" s="10">
        <v>45583</v>
      </c>
      <c r="D510">
        <v>1.0216718266253872</v>
      </c>
      <c r="E510">
        <v>73</v>
      </c>
      <c r="F510">
        <v>34</v>
      </c>
      <c r="G510" t="s">
        <v>14</v>
      </c>
      <c r="H510" t="s">
        <v>37</v>
      </c>
    </row>
    <row r="511" spans="1:8" x14ac:dyDescent="0.25">
      <c r="A511" t="s">
        <v>38</v>
      </c>
      <c r="B511" t="s">
        <v>22</v>
      </c>
      <c r="C511" s="10">
        <v>45583</v>
      </c>
      <c r="D511">
        <v>3.0959752321981424E-2</v>
      </c>
      <c r="E511">
        <v>73</v>
      </c>
      <c r="F511">
        <v>35</v>
      </c>
      <c r="G511" t="s">
        <v>14</v>
      </c>
      <c r="H511" t="s">
        <v>37</v>
      </c>
    </row>
    <row r="512" spans="1:8" x14ac:dyDescent="0.25">
      <c r="A512" t="s">
        <v>38</v>
      </c>
      <c r="B512" t="s">
        <v>22</v>
      </c>
      <c r="C512" s="10">
        <v>45581</v>
      </c>
      <c r="D512">
        <v>0.7236842105263156</v>
      </c>
      <c r="E512">
        <v>74</v>
      </c>
      <c r="F512">
        <v>29</v>
      </c>
      <c r="G512" t="s">
        <v>14</v>
      </c>
      <c r="H512" t="s">
        <v>37</v>
      </c>
    </row>
    <row r="513" spans="1:8" x14ac:dyDescent="0.25">
      <c r="A513" t="s">
        <v>36</v>
      </c>
      <c r="B513" t="s">
        <v>22</v>
      </c>
      <c r="C513" s="10">
        <v>45583</v>
      </c>
      <c r="D513">
        <v>1.0216718266253872</v>
      </c>
      <c r="E513">
        <v>74</v>
      </c>
      <c r="F513">
        <v>34</v>
      </c>
      <c r="G513" t="s">
        <v>14</v>
      </c>
      <c r="H513" t="s">
        <v>37</v>
      </c>
    </row>
    <row r="514" spans="1:8" x14ac:dyDescent="0.25">
      <c r="A514" t="s">
        <v>38</v>
      </c>
      <c r="B514" t="s">
        <v>22</v>
      </c>
      <c r="C514" s="10">
        <v>45583</v>
      </c>
      <c r="D514">
        <v>3.0959752321981424E-2</v>
      </c>
      <c r="E514">
        <v>74</v>
      </c>
      <c r="F514">
        <v>35</v>
      </c>
      <c r="G514" t="s">
        <v>14</v>
      </c>
      <c r="H514" t="s">
        <v>37</v>
      </c>
    </row>
    <row r="515" spans="1:8" x14ac:dyDescent="0.25">
      <c r="A515" t="s">
        <v>38</v>
      </c>
      <c r="B515" t="s">
        <v>22</v>
      </c>
      <c r="C515" s="10">
        <v>45584</v>
      </c>
      <c r="D515">
        <v>0.72368421052631571</v>
      </c>
      <c r="E515">
        <v>74</v>
      </c>
      <c r="F515">
        <v>38</v>
      </c>
      <c r="G515" t="s">
        <v>14</v>
      </c>
      <c r="H515" t="s">
        <v>37</v>
      </c>
    </row>
    <row r="516" spans="1:8" x14ac:dyDescent="0.25">
      <c r="A516" t="s">
        <v>39</v>
      </c>
      <c r="B516" t="s">
        <v>22</v>
      </c>
      <c r="C516" s="10">
        <v>45572</v>
      </c>
      <c r="D516">
        <v>1.0545112781954891</v>
      </c>
      <c r="E516">
        <v>75</v>
      </c>
      <c r="F516">
        <v>3</v>
      </c>
      <c r="G516" t="s">
        <v>14</v>
      </c>
      <c r="H516" t="s">
        <v>37</v>
      </c>
    </row>
    <row r="517" spans="1:8" x14ac:dyDescent="0.25">
      <c r="A517" t="s">
        <v>36</v>
      </c>
      <c r="B517" t="s">
        <v>22</v>
      </c>
      <c r="C517" s="10">
        <v>45573</v>
      </c>
      <c r="D517">
        <v>3.1015037593984971E-2</v>
      </c>
      <c r="E517">
        <v>75</v>
      </c>
      <c r="F517">
        <v>4</v>
      </c>
      <c r="G517" t="s">
        <v>14</v>
      </c>
      <c r="H517" t="s">
        <v>37</v>
      </c>
    </row>
    <row r="518" spans="1:8" x14ac:dyDescent="0.25">
      <c r="A518" t="s">
        <v>39</v>
      </c>
      <c r="B518" t="s">
        <v>22</v>
      </c>
      <c r="C518" s="10">
        <v>45573</v>
      </c>
      <c r="D518">
        <v>1.0545112781954891</v>
      </c>
      <c r="E518">
        <v>75</v>
      </c>
      <c r="F518">
        <v>6</v>
      </c>
      <c r="G518" t="s">
        <v>14</v>
      </c>
      <c r="H518" t="s">
        <v>37</v>
      </c>
    </row>
    <row r="519" spans="1:8" x14ac:dyDescent="0.25">
      <c r="A519" t="s">
        <v>36</v>
      </c>
      <c r="B519" t="s">
        <v>22</v>
      </c>
      <c r="C519" s="10">
        <v>45574</v>
      </c>
      <c r="D519">
        <v>3.1015037593984971E-2</v>
      </c>
      <c r="E519">
        <v>75</v>
      </c>
      <c r="F519">
        <v>7</v>
      </c>
      <c r="G519" t="s">
        <v>14</v>
      </c>
      <c r="H519" t="s">
        <v>37</v>
      </c>
    </row>
    <row r="520" spans="1:8" x14ac:dyDescent="0.25">
      <c r="A520" t="s">
        <v>39</v>
      </c>
      <c r="B520" t="s">
        <v>22</v>
      </c>
      <c r="C520" s="10">
        <v>45579</v>
      </c>
      <c r="D520">
        <v>1.0545112781954891</v>
      </c>
      <c r="E520">
        <v>75</v>
      </c>
      <c r="F520">
        <v>24</v>
      </c>
      <c r="G520" t="s">
        <v>14</v>
      </c>
      <c r="H520" t="s">
        <v>37</v>
      </c>
    </row>
    <row r="521" spans="1:8" x14ac:dyDescent="0.25">
      <c r="A521" t="s">
        <v>36</v>
      </c>
      <c r="B521" t="s">
        <v>22</v>
      </c>
      <c r="C521" s="10">
        <v>45580</v>
      </c>
      <c r="D521">
        <v>3.1015037593984971E-2</v>
      </c>
      <c r="E521">
        <v>75</v>
      </c>
      <c r="F521">
        <v>25</v>
      </c>
      <c r="G521" t="s">
        <v>14</v>
      </c>
      <c r="H521" t="s">
        <v>37</v>
      </c>
    </row>
    <row r="522" spans="1:8" x14ac:dyDescent="0.25">
      <c r="A522" t="s">
        <v>39</v>
      </c>
      <c r="B522" t="s">
        <v>22</v>
      </c>
      <c r="C522" s="10">
        <v>45580</v>
      </c>
      <c r="D522">
        <v>1.0545112781954891</v>
      </c>
      <c r="E522">
        <v>75</v>
      </c>
      <c r="F522">
        <v>27</v>
      </c>
      <c r="G522" t="s">
        <v>14</v>
      </c>
      <c r="H522" t="s">
        <v>37</v>
      </c>
    </row>
    <row r="523" spans="1:8" x14ac:dyDescent="0.25">
      <c r="A523" t="s">
        <v>36</v>
      </c>
      <c r="B523" t="s">
        <v>22</v>
      </c>
      <c r="C523" s="10">
        <v>45581</v>
      </c>
      <c r="D523">
        <v>3.1015037593984971E-2</v>
      </c>
      <c r="E523">
        <v>75</v>
      </c>
      <c r="F523">
        <v>28</v>
      </c>
      <c r="G523" t="s">
        <v>14</v>
      </c>
      <c r="H523" t="s">
        <v>37</v>
      </c>
    </row>
    <row r="524" spans="1:8" x14ac:dyDescent="0.25">
      <c r="A524" t="s">
        <v>38</v>
      </c>
      <c r="B524" t="s">
        <v>22</v>
      </c>
      <c r="C524" s="10">
        <v>45572</v>
      </c>
      <c r="D524">
        <v>0.7236842105263156</v>
      </c>
      <c r="E524">
        <v>76</v>
      </c>
      <c r="F524">
        <v>2</v>
      </c>
      <c r="G524" t="s">
        <v>14</v>
      </c>
      <c r="H524" t="s">
        <v>37</v>
      </c>
    </row>
    <row r="525" spans="1:8" x14ac:dyDescent="0.25">
      <c r="A525" t="s">
        <v>38</v>
      </c>
      <c r="B525" t="s">
        <v>22</v>
      </c>
      <c r="C525" s="10">
        <v>45583</v>
      </c>
      <c r="D525">
        <v>0.7236842105263156</v>
      </c>
      <c r="E525">
        <v>76</v>
      </c>
      <c r="F525">
        <v>35</v>
      </c>
      <c r="G525" t="s">
        <v>14</v>
      </c>
      <c r="H525" t="s">
        <v>37</v>
      </c>
    </row>
    <row r="526" spans="1:8" x14ac:dyDescent="0.25">
      <c r="A526" t="s">
        <v>39</v>
      </c>
      <c r="B526" t="s">
        <v>22</v>
      </c>
      <c r="C526" s="10">
        <v>45585</v>
      </c>
      <c r="D526">
        <v>1.0176809210526316</v>
      </c>
      <c r="E526">
        <v>76</v>
      </c>
      <c r="F526">
        <v>42</v>
      </c>
      <c r="G526" t="s">
        <v>14</v>
      </c>
      <c r="H526" t="s">
        <v>37</v>
      </c>
    </row>
    <row r="527" spans="1:8" x14ac:dyDescent="0.25">
      <c r="A527" t="s">
        <v>38</v>
      </c>
      <c r="B527" t="s">
        <v>22</v>
      </c>
      <c r="C527" s="10">
        <v>45585</v>
      </c>
      <c r="D527">
        <v>0.89432565789473673</v>
      </c>
      <c r="E527">
        <v>76</v>
      </c>
      <c r="F527">
        <v>41</v>
      </c>
      <c r="G527" t="s">
        <v>14</v>
      </c>
      <c r="H527" t="s">
        <v>37</v>
      </c>
    </row>
    <row r="528" spans="1:8" x14ac:dyDescent="0.25">
      <c r="A528" t="s">
        <v>36</v>
      </c>
      <c r="B528" t="s">
        <v>22</v>
      </c>
      <c r="C528" s="10">
        <v>45586</v>
      </c>
      <c r="D528">
        <v>3.0838815789473686E-2</v>
      </c>
      <c r="E528">
        <v>76</v>
      </c>
      <c r="G528" t="s">
        <v>14</v>
      </c>
      <c r="H528" t="s">
        <v>37</v>
      </c>
    </row>
    <row r="529" spans="1:8" x14ac:dyDescent="0.25">
      <c r="A529" t="s">
        <v>39</v>
      </c>
      <c r="B529" t="s">
        <v>22</v>
      </c>
      <c r="C529" s="10">
        <v>45586</v>
      </c>
      <c r="D529">
        <v>3.0838815789473686E-2</v>
      </c>
      <c r="E529">
        <v>76</v>
      </c>
      <c r="G529" t="s">
        <v>14</v>
      </c>
      <c r="H529" t="s">
        <v>37</v>
      </c>
    </row>
    <row r="530" spans="1:8" x14ac:dyDescent="0.25">
      <c r="A530" t="s">
        <v>39</v>
      </c>
      <c r="B530" t="s">
        <v>22</v>
      </c>
      <c r="C530" s="10">
        <v>45573</v>
      </c>
      <c r="D530">
        <v>3.0701754385964914E-2</v>
      </c>
      <c r="E530">
        <v>78</v>
      </c>
      <c r="F530">
        <v>6</v>
      </c>
      <c r="G530" t="s">
        <v>14</v>
      </c>
      <c r="H530" t="s">
        <v>37</v>
      </c>
    </row>
    <row r="531" spans="1:8" x14ac:dyDescent="0.25">
      <c r="A531" t="s">
        <v>38</v>
      </c>
      <c r="B531" t="s">
        <v>22</v>
      </c>
      <c r="C531" s="10">
        <v>45573</v>
      </c>
      <c r="D531">
        <v>0.89035087719298245</v>
      </c>
      <c r="E531">
        <v>78</v>
      </c>
      <c r="F531">
        <v>5</v>
      </c>
      <c r="G531" t="s">
        <v>14</v>
      </c>
      <c r="H531" t="s">
        <v>37</v>
      </c>
    </row>
    <row r="532" spans="1:8" x14ac:dyDescent="0.25">
      <c r="A532" t="s">
        <v>36</v>
      </c>
      <c r="B532" t="s">
        <v>22</v>
      </c>
      <c r="C532" s="10">
        <v>45574</v>
      </c>
      <c r="D532">
        <v>1.0216718266253872</v>
      </c>
      <c r="E532">
        <v>78</v>
      </c>
      <c r="F532">
        <v>7</v>
      </c>
      <c r="G532" t="s">
        <v>14</v>
      </c>
      <c r="H532" t="s">
        <v>37</v>
      </c>
    </row>
    <row r="533" spans="1:8" x14ac:dyDescent="0.25">
      <c r="A533" t="s">
        <v>38</v>
      </c>
      <c r="B533" t="s">
        <v>22</v>
      </c>
      <c r="C533" s="10">
        <v>45574</v>
      </c>
      <c r="D533">
        <v>3.0959752321981424E-2</v>
      </c>
      <c r="E533">
        <v>78</v>
      </c>
      <c r="F533">
        <v>8</v>
      </c>
      <c r="G533" t="s">
        <v>14</v>
      </c>
      <c r="H533" t="s">
        <v>37</v>
      </c>
    </row>
    <row r="534" spans="1:8" x14ac:dyDescent="0.25">
      <c r="A534" t="s">
        <v>38</v>
      </c>
      <c r="B534" t="s">
        <v>22</v>
      </c>
      <c r="C534" s="10">
        <v>45575</v>
      </c>
      <c r="D534">
        <v>0.7236842105263156</v>
      </c>
      <c r="E534">
        <v>78</v>
      </c>
      <c r="F534">
        <v>11</v>
      </c>
      <c r="G534" t="s">
        <v>14</v>
      </c>
      <c r="H534" t="s">
        <v>37</v>
      </c>
    </row>
    <row r="535" spans="1:8" x14ac:dyDescent="0.25">
      <c r="A535" t="s">
        <v>36</v>
      </c>
      <c r="B535" t="s">
        <v>22</v>
      </c>
      <c r="C535" s="10">
        <v>45577</v>
      </c>
      <c r="D535">
        <v>0.78947368421052633</v>
      </c>
      <c r="E535">
        <v>78</v>
      </c>
      <c r="F535">
        <v>16</v>
      </c>
      <c r="G535" t="s">
        <v>14</v>
      </c>
      <c r="H535" t="s">
        <v>37</v>
      </c>
    </row>
    <row r="536" spans="1:8" x14ac:dyDescent="0.25">
      <c r="A536" t="s">
        <v>39</v>
      </c>
      <c r="B536" t="s">
        <v>22</v>
      </c>
      <c r="C536" s="10">
        <v>45579</v>
      </c>
      <c r="D536">
        <v>3.0701754385964914E-2</v>
      </c>
      <c r="E536">
        <v>78</v>
      </c>
      <c r="F536">
        <v>24</v>
      </c>
      <c r="G536" t="s">
        <v>14</v>
      </c>
      <c r="H536" t="s">
        <v>37</v>
      </c>
    </row>
    <row r="537" spans="1:8" x14ac:dyDescent="0.25">
      <c r="A537" t="s">
        <v>38</v>
      </c>
      <c r="B537" t="s">
        <v>22</v>
      </c>
      <c r="C537" s="10">
        <v>45579</v>
      </c>
      <c r="D537">
        <v>0.89035087719298234</v>
      </c>
      <c r="E537">
        <v>78</v>
      </c>
      <c r="F537">
        <v>23</v>
      </c>
      <c r="G537" t="s">
        <v>14</v>
      </c>
      <c r="H537" t="s">
        <v>37</v>
      </c>
    </row>
    <row r="538" spans="1:8" x14ac:dyDescent="0.25">
      <c r="A538" t="s">
        <v>38</v>
      </c>
      <c r="B538" t="s">
        <v>22</v>
      </c>
      <c r="C538" s="10">
        <v>45580</v>
      </c>
      <c r="D538">
        <v>0.72368421052631571</v>
      </c>
      <c r="E538">
        <v>78</v>
      </c>
      <c r="F538">
        <v>26</v>
      </c>
      <c r="G538" t="s">
        <v>14</v>
      </c>
      <c r="H538" t="s">
        <v>37</v>
      </c>
    </row>
    <row r="539" spans="1:8" x14ac:dyDescent="0.25">
      <c r="A539" t="s">
        <v>36</v>
      </c>
      <c r="B539" t="s">
        <v>22</v>
      </c>
      <c r="C539" s="10">
        <v>45581</v>
      </c>
      <c r="D539">
        <v>1.021671826625387</v>
      </c>
      <c r="E539">
        <v>78</v>
      </c>
      <c r="F539">
        <v>28</v>
      </c>
      <c r="G539" t="s">
        <v>14</v>
      </c>
      <c r="H539" t="s">
        <v>37</v>
      </c>
    </row>
    <row r="540" spans="1:8" x14ac:dyDescent="0.25">
      <c r="A540" t="s">
        <v>38</v>
      </c>
      <c r="B540" t="s">
        <v>22</v>
      </c>
      <c r="C540" s="10">
        <v>45581</v>
      </c>
      <c r="D540">
        <v>3.0959752321981424E-2</v>
      </c>
      <c r="E540">
        <v>78</v>
      </c>
      <c r="F540">
        <v>29</v>
      </c>
      <c r="G540" t="s">
        <v>14</v>
      </c>
      <c r="H540" t="s">
        <v>37</v>
      </c>
    </row>
    <row r="541" spans="1:8" x14ac:dyDescent="0.25">
      <c r="A541" t="s">
        <v>36</v>
      </c>
      <c r="B541" t="s">
        <v>22</v>
      </c>
      <c r="C541" s="10">
        <v>45582</v>
      </c>
      <c r="D541">
        <v>0.78947368421052622</v>
      </c>
      <c r="E541">
        <v>78</v>
      </c>
      <c r="F541">
        <v>31</v>
      </c>
      <c r="G541" t="s">
        <v>14</v>
      </c>
      <c r="H541" t="s">
        <v>37</v>
      </c>
    </row>
    <row r="542" spans="1:8" x14ac:dyDescent="0.25">
      <c r="A542" t="s">
        <v>36</v>
      </c>
      <c r="B542" t="s">
        <v>22</v>
      </c>
      <c r="C542" s="10">
        <v>45583</v>
      </c>
      <c r="D542">
        <v>0.78947368421052633</v>
      </c>
      <c r="E542">
        <v>78</v>
      </c>
      <c r="F542">
        <v>34</v>
      </c>
      <c r="G542" t="s">
        <v>14</v>
      </c>
      <c r="H542" t="s">
        <v>37</v>
      </c>
    </row>
    <row r="543" spans="1:8" x14ac:dyDescent="0.25">
      <c r="A543" t="s">
        <v>36</v>
      </c>
      <c r="B543" t="s">
        <v>22</v>
      </c>
      <c r="C543" s="10">
        <v>45585</v>
      </c>
      <c r="D543">
        <v>0.78947368421052633</v>
      </c>
      <c r="E543">
        <v>78</v>
      </c>
      <c r="F543">
        <v>40</v>
      </c>
      <c r="G543" t="s">
        <v>14</v>
      </c>
      <c r="H543" t="s">
        <v>37</v>
      </c>
    </row>
    <row r="544" spans="1:8" x14ac:dyDescent="0.25">
      <c r="A544" t="s">
        <v>39</v>
      </c>
      <c r="B544" t="s">
        <v>22</v>
      </c>
      <c r="C544" s="10">
        <v>45572</v>
      </c>
      <c r="D544">
        <v>1.0545112781954891</v>
      </c>
      <c r="E544">
        <v>79</v>
      </c>
      <c r="F544">
        <v>3</v>
      </c>
      <c r="G544" t="s">
        <v>14</v>
      </c>
      <c r="H544" t="s">
        <v>37</v>
      </c>
    </row>
    <row r="545" spans="1:8" x14ac:dyDescent="0.25">
      <c r="A545" t="s">
        <v>36</v>
      </c>
      <c r="B545" t="s">
        <v>22</v>
      </c>
      <c r="C545" s="10">
        <v>45573</v>
      </c>
      <c r="D545">
        <v>3.1015037593984971E-2</v>
      </c>
      <c r="E545">
        <v>79</v>
      </c>
      <c r="F545">
        <v>4</v>
      </c>
      <c r="G545" t="s">
        <v>14</v>
      </c>
      <c r="H545" t="s">
        <v>37</v>
      </c>
    </row>
    <row r="546" spans="1:8" x14ac:dyDescent="0.25">
      <c r="A546" t="s">
        <v>39</v>
      </c>
      <c r="B546" t="s">
        <v>22</v>
      </c>
      <c r="C546" s="10">
        <v>45573</v>
      </c>
      <c r="D546">
        <v>1.0545112781954891</v>
      </c>
      <c r="E546">
        <v>79</v>
      </c>
      <c r="F546">
        <v>6</v>
      </c>
      <c r="G546" t="s">
        <v>14</v>
      </c>
      <c r="H546" t="s">
        <v>37</v>
      </c>
    </row>
    <row r="547" spans="1:8" x14ac:dyDescent="0.25">
      <c r="A547" t="s">
        <v>36</v>
      </c>
      <c r="B547" t="s">
        <v>22</v>
      </c>
      <c r="C547" s="10">
        <v>45574</v>
      </c>
      <c r="D547">
        <v>3.1015037593984971E-2</v>
      </c>
      <c r="E547">
        <v>79</v>
      </c>
      <c r="F547">
        <v>7</v>
      </c>
      <c r="G547" t="s">
        <v>14</v>
      </c>
      <c r="H547" t="s">
        <v>37</v>
      </c>
    </row>
    <row r="548" spans="1:8" x14ac:dyDescent="0.25">
      <c r="A548" t="s">
        <v>39</v>
      </c>
      <c r="B548" t="s">
        <v>22</v>
      </c>
      <c r="C548" s="10">
        <v>45574</v>
      </c>
      <c r="D548">
        <v>1.0545112781954891</v>
      </c>
      <c r="E548">
        <v>79</v>
      </c>
      <c r="F548">
        <v>9</v>
      </c>
      <c r="G548" t="s">
        <v>14</v>
      </c>
      <c r="H548" t="s">
        <v>37</v>
      </c>
    </row>
    <row r="549" spans="1:8" x14ac:dyDescent="0.25">
      <c r="A549" t="s">
        <v>36</v>
      </c>
      <c r="B549" t="s">
        <v>22</v>
      </c>
      <c r="C549" s="10">
        <v>45575</v>
      </c>
      <c r="D549">
        <v>3.1015037593984971E-2</v>
      </c>
      <c r="E549">
        <v>79</v>
      </c>
      <c r="F549">
        <v>10</v>
      </c>
      <c r="G549" t="s">
        <v>14</v>
      </c>
      <c r="H549" t="s">
        <v>37</v>
      </c>
    </row>
    <row r="550" spans="1:8" x14ac:dyDescent="0.25">
      <c r="A550" t="s">
        <v>39</v>
      </c>
      <c r="B550" t="s">
        <v>22</v>
      </c>
      <c r="C550" s="10">
        <v>45577</v>
      </c>
      <c r="D550">
        <v>1.0545112781954891</v>
      </c>
      <c r="E550">
        <v>79</v>
      </c>
      <c r="F550">
        <v>18</v>
      </c>
      <c r="G550" t="s">
        <v>14</v>
      </c>
      <c r="H550" t="s">
        <v>37</v>
      </c>
    </row>
    <row r="551" spans="1:8" x14ac:dyDescent="0.25">
      <c r="A551" t="s">
        <v>36</v>
      </c>
      <c r="B551" t="s">
        <v>22</v>
      </c>
      <c r="C551" s="10">
        <v>45578</v>
      </c>
      <c r="D551">
        <v>3.1015037593984971E-2</v>
      </c>
      <c r="E551">
        <v>79</v>
      </c>
      <c r="F551">
        <v>19</v>
      </c>
      <c r="G551" t="s">
        <v>14</v>
      </c>
      <c r="H551" t="s">
        <v>37</v>
      </c>
    </row>
    <row r="552" spans="1:8" x14ac:dyDescent="0.25">
      <c r="A552" t="s">
        <v>39</v>
      </c>
      <c r="B552" t="s">
        <v>22</v>
      </c>
      <c r="C552" s="10">
        <v>45579</v>
      </c>
      <c r="D552">
        <v>1.0545112781954891</v>
      </c>
      <c r="E552">
        <v>79</v>
      </c>
      <c r="F552">
        <v>24</v>
      </c>
      <c r="G552" t="s">
        <v>14</v>
      </c>
      <c r="H552" t="s">
        <v>37</v>
      </c>
    </row>
    <row r="553" spans="1:8" x14ac:dyDescent="0.25">
      <c r="A553" t="s">
        <v>36</v>
      </c>
      <c r="B553" t="s">
        <v>22</v>
      </c>
      <c r="C553" s="10">
        <v>45580</v>
      </c>
      <c r="D553">
        <v>3.1015037593984971E-2</v>
      </c>
      <c r="E553">
        <v>79</v>
      </c>
      <c r="F553">
        <v>25</v>
      </c>
      <c r="G553" t="s">
        <v>14</v>
      </c>
      <c r="H553" t="s">
        <v>37</v>
      </c>
    </row>
    <row r="554" spans="1:8" x14ac:dyDescent="0.25">
      <c r="A554" t="s">
        <v>39</v>
      </c>
      <c r="B554" t="s">
        <v>22</v>
      </c>
      <c r="C554" s="10">
        <v>45580</v>
      </c>
      <c r="D554">
        <v>1.0545112781954891</v>
      </c>
      <c r="E554">
        <v>79</v>
      </c>
      <c r="F554">
        <v>27</v>
      </c>
      <c r="G554" t="s">
        <v>14</v>
      </c>
      <c r="H554" t="s">
        <v>37</v>
      </c>
    </row>
    <row r="555" spans="1:8" x14ac:dyDescent="0.25">
      <c r="A555" t="s">
        <v>36</v>
      </c>
      <c r="B555" t="s">
        <v>22</v>
      </c>
      <c r="C555" s="10">
        <v>45581</v>
      </c>
      <c r="D555">
        <v>3.1015037593984971E-2</v>
      </c>
      <c r="E555">
        <v>79</v>
      </c>
      <c r="F555">
        <v>28</v>
      </c>
      <c r="G555" t="s">
        <v>14</v>
      </c>
      <c r="H555" t="s">
        <v>37</v>
      </c>
    </row>
    <row r="556" spans="1:8" x14ac:dyDescent="0.25">
      <c r="A556" t="s">
        <v>39</v>
      </c>
      <c r="B556" t="s">
        <v>22</v>
      </c>
      <c r="C556" s="10">
        <v>45581</v>
      </c>
      <c r="D556">
        <v>1.0545112781954891</v>
      </c>
      <c r="E556">
        <v>79</v>
      </c>
      <c r="F556">
        <v>30</v>
      </c>
      <c r="G556" t="s">
        <v>14</v>
      </c>
      <c r="H556" t="s">
        <v>37</v>
      </c>
    </row>
    <row r="557" spans="1:8" x14ac:dyDescent="0.25">
      <c r="A557" t="s">
        <v>36</v>
      </c>
      <c r="B557" t="s">
        <v>22</v>
      </c>
      <c r="C557" s="10">
        <v>45582</v>
      </c>
      <c r="D557">
        <v>3.1015037593984971E-2</v>
      </c>
      <c r="E557">
        <v>79</v>
      </c>
      <c r="F557">
        <v>31</v>
      </c>
      <c r="G557" t="s">
        <v>14</v>
      </c>
      <c r="H557" t="s">
        <v>37</v>
      </c>
    </row>
    <row r="558" spans="1:8" x14ac:dyDescent="0.25">
      <c r="A558" t="s">
        <v>36</v>
      </c>
      <c r="B558" t="s">
        <v>22</v>
      </c>
      <c r="C558" s="10">
        <v>45572</v>
      </c>
      <c r="D558">
        <v>0.78947368421052622</v>
      </c>
      <c r="E558">
        <v>80</v>
      </c>
      <c r="F558">
        <v>1</v>
      </c>
      <c r="G558" t="s">
        <v>14</v>
      </c>
      <c r="H558" t="s">
        <v>37</v>
      </c>
    </row>
    <row r="559" spans="1:8" x14ac:dyDescent="0.25">
      <c r="A559" t="s">
        <v>36</v>
      </c>
      <c r="B559" t="s">
        <v>22</v>
      </c>
      <c r="C559" s="10">
        <v>45577</v>
      </c>
      <c r="D559">
        <v>1.0216718266253872</v>
      </c>
      <c r="E559">
        <v>80</v>
      </c>
      <c r="F559">
        <v>16</v>
      </c>
      <c r="G559" t="s">
        <v>14</v>
      </c>
      <c r="H559" t="s">
        <v>37</v>
      </c>
    </row>
    <row r="560" spans="1:8" x14ac:dyDescent="0.25">
      <c r="A560" t="s">
        <v>38</v>
      </c>
      <c r="B560" t="s">
        <v>22</v>
      </c>
      <c r="C560" s="10">
        <v>45577</v>
      </c>
      <c r="D560">
        <v>3.0959752321981424E-2</v>
      </c>
      <c r="E560">
        <v>80</v>
      </c>
      <c r="F560">
        <v>17</v>
      </c>
      <c r="G560" t="s">
        <v>14</v>
      </c>
      <c r="H560" t="s">
        <v>37</v>
      </c>
    </row>
    <row r="561" spans="1:8" x14ac:dyDescent="0.25">
      <c r="A561" t="s">
        <v>39</v>
      </c>
      <c r="B561" t="s">
        <v>22</v>
      </c>
      <c r="C561" s="10">
        <v>45578</v>
      </c>
      <c r="D561">
        <v>3.0701754385964914E-2</v>
      </c>
      <c r="E561">
        <v>80</v>
      </c>
      <c r="F561">
        <v>21</v>
      </c>
      <c r="G561" t="s">
        <v>14</v>
      </c>
      <c r="H561" t="s">
        <v>37</v>
      </c>
    </row>
    <row r="562" spans="1:8" x14ac:dyDescent="0.25">
      <c r="A562" t="s">
        <v>38</v>
      </c>
      <c r="B562" t="s">
        <v>22</v>
      </c>
      <c r="C562" s="10">
        <v>45578</v>
      </c>
      <c r="D562">
        <v>0.89035087719298245</v>
      </c>
      <c r="E562">
        <v>80</v>
      </c>
      <c r="F562">
        <v>20</v>
      </c>
      <c r="G562" t="s">
        <v>14</v>
      </c>
      <c r="H562" t="s">
        <v>37</v>
      </c>
    </row>
    <row r="563" spans="1:8" x14ac:dyDescent="0.25">
      <c r="A563" t="s">
        <v>36</v>
      </c>
      <c r="B563" t="s">
        <v>22</v>
      </c>
      <c r="C563" s="10">
        <v>45584</v>
      </c>
      <c r="D563">
        <v>1.0216718266253872</v>
      </c>
      <c r="E563">
        <v>80</v>
      </c>
      <c r="F563">
        <v>37</v>
      </c>
      <c r="G563" t="s">
        <v>14</v>
      </c>
      <c r="H563" t="s">
        <v>37</v>
      </c>
    </row>
    <row r="564" spans="1:8" x14ac:dyDescent="0.25">
      <c r="A564" t="s">
        <v>38</v>
      </c>
      <c r="B564" t="s">
        <v>22</v>
      </c>
      <c r="C564" s="10">
        <v>45584</v>
      </c>
      <c r="D564">
        <v>3.0959752321981424E-2</v>
      </c>
      <c r="E564">
        <v>80</v>
      </c>
      <c r="F564">
        <v>38</v>
      </c>
      <c r="G564" t="s">
        <v>14</v>
      </c>
      <c r="H564" t="s">
        <v>37</v>
      </c>
    </row>
    <row r="565" spans="1:8" x14ac:dyDescent="0.25">
      <c r="A565" t="s">
        <v>39</v>
      </c>
      <c r="B565" t="s">
        <v>22</v>
      </c>
      <c r="C565" s="10">
        <v>45585</v>
      </c>
      <c r="D565">
        <v>3.0701754385964914E-2</v>
      </c>
      <c r="E565">
        <v>80</v>
      </c>
      <c r="F565">
        <v>42</v>
      </c>
      <c r="G565" t="s">
        <v>14</v>
      </c>
      <c r="H565" t="s">
        <v>37</v>
      </c>
    </row>
    <row r="566" spans="1:8" x14ac:dyDescent="0.25">
      <c r="A566" t="s">
        <v>38</v>
      </c>
      <c r="B566" t="s">
        <v>22</v>
      </c>
      <c r="C566" s="10">
        <v>45585</v>
      </c>
      <c r="D566">
        <v>0.89035087719298245</v>
      </c>
      <c r="E566">
        <v>80</v>
      </c>
      <c r="F566">
        <v>41</v>
      </c>
      <c r="G566" t="s">
        <v>14</v>
      </c>
      <c r="H566" t="s">
        <v>37</v>
      </c>
    </row>
    <row r="567" spans="1:8" x14ac:dyDescent="0.25">
      <c r="A567" t="s">
        <v>38</v>
      </c>
      <c r="B567" t="s">
        <v>22</v>
      </c>
      <c r="C567" s="10">
        <v>45572</v>
      </c>
      <c r="D567">
        <v>0.7236842105263156</v>
      </c>
      <c r="E567">
        <v>81</v>
      </c>
      <c r="F567">
        <v>2</v>
      </c>
      <c r="G567" t="s">
        <v>14</v>
      </c>
      <c r="H567" t="s">
        <v>37</v>
      </c>
    </row>
    <row r="568" spans="1:8" x14ac:dyDescent="0.25">
      <c r="A568" t="s">
        <v>36</v>
      </c>
      <c r="B568" t="s">
        <v>22</v>
      </c>
      <c r="C568" s="10">
        <v>45573</v>
      </c>
      <c r="D568">
        <v>1.0216718266253872</v>
      </c>
      <c r="E568">
        <v>81</v>
      </c>
      <c r="F568">
        <v>4</v>
      </c>
      <c r="G568" t="s">
        <v>14</v>
      </c>
      <c r="H568" t="s">
        <v>37</v>
      </c>
    </row>
    <row r="569" spans="1:8" x14ac:dyDescent="0.25">
      <c r="A569" t="s">
        <v>38</v>
      </c>
      <c r="B569" t="s">
        <v>22</v>
      </c>
      <c r="C569" s="10">
        <v>45573</v>
      </c>
      <c r="D569">
        <v>3.0959752321981424E-2</v>
      </c>
      <c r="E569">
        <v>81</v>
      </c>
      <c r="F569">
        <v>5</v>
      </c>
      <c r="G569" t="s">
        <v>14</v>
      </c>
      <c r="H569" t="s">
        <v>37</v>
      </c>
    </row>
    <row r="570" spans="1:8" x14ac:dyDescent="0.25">
      <c r="A570" t="s">
        <v>39</v>
      </c>
      <c r="B570" t="s">
        <v>22</v>
      </c>
      <c r="C570" s="10">
        <v>45574</v>
      </c>
      <c r="D570">
        <v>3.0701754385964914E-2</v>
      </c>
      <c r="E570">
        <v>81</v>
      </c>
      <c r="F570">
        <v>9</v>
      </c>
      <c r="G570" t="s">
        <v>14</v>
      </c>
      <c r="H570" t="s">
        <v>37</v>
      </c>
    </row>
    <row r="571" spans="1:8" x14ac:dyDescent="0.25">
      <c r="A571" t="s">
        <v>38</v>
      </c>
      <c r="B571" t="s">
        <v>22</v>
      </c>
      <c r="C571" s="10">
        <v>45574</v>
      </c>
      <c r="D571">
        <v>0.89035087719298245</v>
      </c>
      <c r="E571">
        <v>81</v>
      </c>
      <c r="F571">
        <v>8</v>
      </c>
      <c r="G571" t="s">
        <v>14</v>
      </c>
      <c r="H571" t="s">
        <v>37</v>
      </c>
    </row>
    <row r="572" spans="1:8" x14ac:dyDescent="0.25">
      <c r="A572" t="s">
        <v>36</v>
      </c>
      <c r="B572" t="s">
        <v>22</v>
      </c>
      <c r="C572" s="10">
        <v>45577</v>
      </c>
      <c r="D572">
        <v>1.0216718266253872</v>
      </c>
      <c r="E572">
        <v>81</v>
      </c>
      <c r="F572">
        <v>16</v>
      </c>
      <c r="G572" t="s">
        <v>14</v>
      </c>
      <c r="H572" t="s">
        <v>37</v>
      </c>
    </row>
    <row r="573" spans="1:8" x14ac:dyDescent="0.25">
      <c r="A573" t="s">
        <v>38</v>
      </c>
      <c r="B573" t="s">
        <v>22</v>
      </c>
      <c r="C573" s="10">
        <v>45577</v>
      </c>
      <c r="D573">
        <v>3.0959752321981424E-2</v>
      </c>
      <c r="E573">
        <v>81</v>
      </c>
      <c r="F573">
        <v>17</v>
      </c>
      <c r="G573" t="s">
        <v>14</v>
      </c>
      <c r="H573" t="s">
        <v>37</v>
      </c>
    </row>
    <row r="574" spans="1:8" x14ac:dyDescent="0.25">
      <c r="A574" t="s">
        <v>36</v>
      </c>
      <c r="B574" t="s">
        <v>22</v>
      </c>
      <c r="C574" s="10">
        <v>45578</v>
      </c>
      <c r="D574">
        <v>1.0216718266253872</v>
      </c>
      <c r="E574">
        <v>81</v>
      </c>
      <c r="F574">
        <v>19</v>
      </c>
      <c r="G574" t="s">
        <v>14</v>
      </c>
      <c r="H574" t="s">
        <v>37</v>
      </c>
    </row>
    <row r="575" spans="1:8" x14ac:dyDescent="0.25">
      <c r="A575" t="s">
        <v>38</v>
      </c>
      <c r="B575" t="s">
        <v>22</v>
      </c>
      <c r="C575" s="10">
        <v>45578</v>
      </c>
      <c r="D575">
        <v>3.0959752321981424E-2</v>
      </c>
      <c r="E575">
        <v>81</v>
      </c>
      <c r="F575">
        <v>20</v>
      </c>
      <c r="G575" t="s">
        <v>14</v>
      </c>
      <c r="H575" t="s">
        <v>37</v>
      </c>
    </row>
    <row r="576" spans="1:8" x14ac:dyDescent="0.25">
      <c r="A576" t="s">
        <v>38</v>
      </c>
      <c r="B576" t="s">
        <v>22</v>
      </c>
      <c r="C576" s="10">
        <v>45579</v>
      </c>
      <c r="D576">
        <v>0.7236842105263156</v>
      </c>
      <c r="E576">
        <v>81</v>
      </c>
      <c r="F576">
        <v>23</v>
      </c>
      <c r="G576" t="s">
        <v>14</v>
      </c>
      <c r="H576" t="s">
        <v>37</v>
      </c>
    </row>
    <row r="577" spans="1:8" x14ac:dyDescent="0.25">
      <c r="A577" t="s">
        <v>36</v>
      </c>
      <c r="B577" t="s">
        <v>22</v>
      </c>
      <c r="C577" s="10">
        <v>45580</v>
      </c>
      <c r="D577">
        <v>1.021671826625387</v>
      </c>
      <c r="E577">
        <v>81</v>
      </c>
      <c r="F577">
        <v>25</v>
      </c>
      <c r="G577" t="s">
        <v>14</v>
      </c>
      <c r="H577" t="s">
        <v>37</v>
      </c>
    </row>
    <row r="578" spans="1:8" x14ac:dyDescent="0.25">
      <c r="A578" t="s">
        <v>38</v>
      </c>
      <c r="B578" t="s">
        <v>22</v>
      </c>
      <c r="C578" s="10">
        <v>45580</v>
      </c>
      <c r="D578">
        <v>3.0959752321981424E-2</v>
      </c>
      <c r="E578">
        <v>81</v>
      </c>
      <c r="F578">
        <v>26</v>
      </c>
      <c r="G578" t="s">
        <v>14</v>
      </c>
      <c r="H578" t="s">
        <v>37</v>
      </c>
    </row>
    <row r="579" spans="1:8" x14ac:dyDescent="0.25">
      <c r="A579" t="s">
        <v>39</v>
      </c>
      <c r="B579" t="s">
        <v>22</v>
      </c>
      <c r="C579" s="10">
        <v>45581</v>
      </c>
      <c r="D579">
        <v>3.0701754385964914E-2</v>
      </c>
      <c r="E579">
        <v>81</v>
      </c>
      <c r="F579">
        <v>30</v>
      </c>
      <c r="G579" t="s">
        <v>14</v>
      </c>
      <c r="H579" t="s">
        <v>37</v>
      </c>
    </row>
    <row r="580" spans="1:8" x14ac:dyDescent="0.25">
      <c r="A580" t="s">
        <v>38</v>
      </c>
      <c r="B580" t="s">
        <v>22</v>
      </c>
      <c r="C580" s="10">
        <v>45581</v>
      </c>
      <c r="D580">
        <v>0.89035087719298245</v>
      </c>
      <c r="E580">
        <v>81</v>
      </c>
      <c r="F580">
        <v>29</v>
      </c>
      <c r="G580" t="s">
        <v>14</v>
      </c>
      <c r="H580" t="s">
        <v>37</v>
      </c>
    </row>
    <row r="581" spans="1:8" x14ac:dyDescent="0.25">
      <c r="A581" t="s">
        <v>36</v>
      </c>
      <c r="B581" t="s">
        <v>22</v>
      </c>
      <c r="C581" s="10">
        <v>45584</v>
      </c>
      <c r="D581">
        <v>1.0216718266253872</v>
      </c>
      <c r="E581">
        <v>81</v>
      </c>
      <c r="F581">
        <v>37</v>
      </c>
      <c r="G581" t="s">
        <v>14</v>
      </c>
      <c r="H581" t="s">
        <v>37</v>
      </c>
    </row>
    <row r="582" spans="1:8" x14ac:dyDescent="0.25">
      <c r="A582" t="s">
        <v>38</v>
      </c>
      <c r="B582" t="s">
        <v>22</v>
      </c>
      <c r="C582" s="10">
        <v>45584</v>
      </c>
      <c r="D582">
        <v>3.0959752321981424E-2</v>
      </c>
      <c r="E582">
        <v>81</v>
      </c>
      <c r="F582">
        <v>38</v>
      </c>
      <c r="G582" t="s">
        <v>14</v>
      </c>
      <c r="H582" t="s">
        <v>37</v>
      </c>
    </row>
    <row r="583" spans="1:8" x14ac:dyDescent="0.25">
      <c r="A583" t="s">
        <v>36</v>
      </c>
      <c r="B583" t="s">
        <v>22</v>
      </c>
      <c r="C583" s="10">
        <v>45585</v>
      </c>
      <c r="D583">
        <v>1.021671826625387</v>
      </c>
      <c r="E583">
        <v>81</v>
      </c>
      <c r="F583">
        <v>40</v>
      </c>
      <c r="G583" t="s">
        <v>14</v>
      </c>
      <c r="H583" t="s">
        <v>37</v>
      </c>
    </row>
    <row r="584" spans="1:8" x14ac:dyDescent="0.25">
      <c r="A584" t="s">
        <v>38</v>
      </c>
      <c r="B584" t="s">
        <v>22</v>
      </c>
      <c r="C584" s="10">
        <v>45585</v>
      </c>
      <c r="D584">
        <v>3.0959752321981424E-2</v>
      </c>
      <c r="E584">
        <v>81</v>
      </c>
      <c r="F584">
        <v>41</v>
      </c>
      <c r="G584" t="s">
        <v>14</v>
      </c>
      <c r="H584" t="s">
        <v>37</v>
      </c>
    </row>
    <row r="585" spans="1:8" x14ac:dyDescent="0.25">
      <c r="A585" t="s">
        <v>39</v>
      </c>
      <c r="B585" t="s">
        <v>22</v>
      </c>
      <c r="C585" s="10">
        <v>45573</v>
      </c>
      <c r="D585">
        <v>1.0545112781954891</v>
      </c>
      <c r="E585">
        <v>82</v>
      </c>
      <c r="F585">
        <v>6</v>
      </c>
      <c r="G585" t="s">
        <v>14</v>
      </c>
      <c r="H585" t="s">
        <v>37</v>
      </c>
    </row>
    <row r="586" spans="1:8" x14ac:dyDescent="0.25">
      <c r="A586" t="s">
        <v>36</v>
      </c>
      <c r="B586" t="s">
        <v>22</v>
      </c>
      <c r="C586" s="10">
        <v>45574</v>
      </c>
      <c r="D586">
        <v>3.1015037593984971E-2</v>
      </c>
      <c r="E586">
        <v>82</v>
      </c>
      <c r="F586">
        <v>7</v>
      </c>
      <c r="G586" t="s">
        <v>14</v>
      </c>
      <c r="H586" t="s">
        <v>37</v>
      </c>
    </row>
    <row r="587" spans="1:8" x14ac:dyDescent="0.25">
      <c r="A587" t="s">
        <v>39</v>
      </c>
      <c r="B587" t="s">
        <v>22</v>
      </c>
      <c r="C587" s="10">
        <v>45575</v>
      </c>
      <c r="D587">
        <v>1.0545112781954891</v>
      </c>
      <c r="E587">
        <v>82</v>
      </c>
      <c r="F587">
        <v>12</v>
      </c>
      <c r="G587" t="s">
        <v>14</v>
      </c>
      <c r="H587" t="s">
        <v>37</v>
      </c>
    </row>
    <row r="588" spans="1:8" x14ac:dyDescent="0.25">
      <c r="A588" t="s">
        <v>36</v>
      </c>
      <c r="B588" t="s">
        <v>22</v>
      </c>
      <c r="C588" s="10">
        <v>45576</v>
      </c>
      <c r="D588">
        <v>3.1015037593984971E-2</v>
      </c>
      <c r="E588">
        <v>82</v>
      </c>
      <c r="F588">
        <v>13</v>
      </c>
      <c r="G588" t="s">
        <v>14</v>
      </c>
      <c r="H588" t="s">
        <v>37</v>
      </c>
    </row>
    <row r="589" spans="1:8" x14ac:dyDescent="0.25">
      <c r="A589" t="s">
        <v>39</v>
      </c>
      <c r="B589" t="s">
        <v>22</v>
      </c>
      <c r="C589" s="10">
        <v>45576</v>
      </c>
      <c r="D589">
        <v>1.0545112781954891</v>
      </c>
      <c r="E589">
        <v>82</v>
      </c>
      <c r="F589">
        <v>15</v>
      </c>
      <c r="G589" t="s">
        <v>14</v>
      </c>
      <c r="H589" t="s">
        <v>37</v>
      </c>
    </row>
    <row r="590" spans="1:8" x14ac:dyDescent="0.25">
      <c r="A590" t="s">
        <v>36</v>
      </c>
      <c r="B590" t="s">
        <v>22</v>
      </c>
      <c r="C590" s="10">
        <v>45577</v>
      </c>
      <c r="D590">
        <v>3.1015037593984971E-2</v>
      </c>
      <c r="E590">
        <v>82</v>
      </c>
      <c r="F590">
        <v>16</v>
      </c>
      <c r="G590" t="s">
        <v>14</v>
      </c>
      <c r="H590" t="s">
        <v>37</v>
      </c>
    </row>
    <row r="591" spans="1:8" x14ac:dyDescent="0.25">
      <c r="A591" t="s">
        <v>39</v>
      </c>
      <c r="B591" t="s">
        <v>22</v>
      </c>
      <c r="C591" s="10">
        <v>45577</v>
      </c>
      <c r="D591">
        <v>1.0545112781954891</v>
      </c>
      <c r="E591">
        <v>82</v>
      </c>
      <c r="F591">
        <v>18</v>
      </c>
      <c r="G591" t="s">
        <v>14</v>
      </c>
      <c r="H591" t="s">
        <v>37</v>
      </c>
    </row>
    <row r="592" spans="1:8" x14ac:dyDescent="0.25">
      <c r="A592" t="s">
        <v>36</v>
      </c>
      <c r="B592" t="s">
        <v>22</v>
      </c>
      <c r="C592" s="10">
        <v>45578</v>
      </c>
      <c r="D592">
        <v>3.1015037593984971E-2</v>
      </c>
      <c r="E592">
        <v>82</v>
      </c>
      <c r="F592">
        <v>19</v>
      </c>
      <c r="G592" t="s">
        <v>14</v>
      </c>
      <c r="H592" t="s">
        <v>37</v>
      </c>
    </row>
    <row r="593" spans="1:8" x14ac:dyDescent="0.25">
      <c r="A593" t="s">
        <v>39</v>
      </c>
      <c r="B593" t="s">
        <v>22</v>
      </c>
      <c r="C593" s="10">
        <v>45578</v>
      </c>
      <c r="D593">
        <v>1.0545112781954891</v>
      </c>
      <c r="E593">
        <v>82</v>
      </c>
      <c r="F593">
        <v>21</v>
      </c>
      <c r="G593" t="s">
        <v>14</v>
      </c>
      <c r="H593" t="s">
        <v>37</v>
      </c>
    </row>
    <row r="594" spans="1:8" x14ac:dyDescent="0.25">
      <c r="A594" t="s">
        <v>36</v>
      </c>
      <c r="B594" t="s">
        <v>22</v>
      </c>
      <c r="C594" s="10">
        <v>45579</v>
      </c>
      <c r="D594">
        <v>3.1015037593984971E-2</v>
      </c>
      <c r="E594">
        <v>82</v>
      </c>
      <c r="F594">
        <v>22</v>
      </c>
      <c r="G594" t="s">
        <v>14</v>
      </c>
      <c r="H594" t="s">
        <v>37</v>
      </c>
    </row>
    <row r="595" spans="1:8" x14ac:dyDescent="0.25">
      <c r="A595" t="s">
        <v>39</v>
      </c>
      <c r="B595" t="s">
        <v>22</v>
      </c>
      <c r="C595" s="10">
        <v>45579</v>
      </c>
      <c r="D595">
        <v>1.0545112781954891</v>
      </c>
      <c r="E595">
        <v>82</v>
      </c>
      <c r="F595">
        <v>24</v>
      </c>
      <c r="G595" t="s">
        <v>14</v>
      </c>
      <c r="H595" t="s">
        <v>37</v>
      </c>
    </row>
    <row r="596" spans="1:8" x14ac:dyDescent="0.25">
      <c r="A596" t="s">
        <v>36</v>
      </c>
      <c r="B596" t="s">
        <v>22</v>
      </c>
      <c r="C596" s="10">
        <v>45580</v>
      </c>
      <c r="D596">
        <v>3.1015037593984971E-2</v>
      </c>
      <c r="E596">
        <v>82</v>
      </c>
      <c r="F596">
        <v>25</v>
      </c>
      <c r="G596" t="s">
        <v>14</v>
      </c>
      <c r="H596" t="s">
        <v>37</v>
      </c>
    </row>
    <row r="597" spans="1:8" x14ac:dyDescent="0.25">
      <c r="A597" t="s">
        <v>39</v>
      </c>
      <c r="B597" t="s">
        <v>22</v>
      </c>
      <c r="C597" s="10">
        <v>45580</v>
      </c>
      <c r="D597">
        <v>1.0545112781954891</v>
      </c>
      <c r="E597">
        <v>82</v>
      </c>
      <c r="F597">
        <v>27</v>
      </c>
      <c r="G597" t="s">
        <v>14</v>
      </c>
      <c r="H597" t="s">
        <v>37</v>
      </c>
    </row>
    <row r="598" spans="1:8" x14ac:dyDescent="0.25">
      <c r="A598" t="s">
        <v>36</v>
      </c>
      <c r="B598" t="s">
        <v>22</v>
      </c>
      <c r="C598" s="10">
        <v>45581</v>
      </c>
      <c r="D598">
        <v>3.1015037593984971E-2</v>
      </c>
      <c r="E598">
        <v>82</v>
      </c>
      <c r="F598">
        <v>28</v>
      </c>
      <c r="G598" t="s">
        <v>14</v>
      </c>
      <c r="H598" t="s">
        <v>37</v>
      </c>
    </row>
    <row r="599" spans="1:8" x14ac:dyDescent="0.25">
      <c r="A599" t="s">
        <v>39</v>
      </c>
      <c r="B599" t="s">
        <v>22</v>
      </c>
      <c r="C599" s="10">
        <v>45581</v>
      </c>
      <c r="D599">
        <v>1.0545112781954891</v>
      </c>
      <c r="E599">
        <v>82</v>
      </c>
      <c r="F599">
        <v>30</v>
      </c>
      <c r="G599" t="s">
        <v>14</v>
      </c>
      <c r="H599" t="s">
        <v>37</v>
      </c>
    </row>
    <row r="600" spans="1:8" x14ac:dyDescent="0.25">
      <c r="A600" t="s">
        <v>36</v>
      </c>
      <c r="B600" t="s">
        <v>22</v>
      </c>
      <c r="C600" s="10">
        <v>45582</v>
      </c>
      <c r="D600">
        <v>3.1015037593984971E-2</v>
      </c>
      <c r="E600">
        <v>82</v>
      </c>
      <c r="F600">
        <v>31</v>
      </c>
      <c r="G600" t="s">
        <v>14</v>
      </c>
      <c r="H600" t="s">
        <v>37</v>
      </c>
    </row>
    <row r="601" spans="1:8" x14ac:dyDescent="0.25">
      <c r="A601" t="s">
        <v>39</v>
      </c>
      <c r="B601" t="s">
        <v>22</v>
      </c>
      <c r="C601" s="10">
        <v>45585</v>
      </c>
      <c r="D601">
        <v>1.023496240601504</v>
      </c>
      <c r="E601">
        <v>82</v>
      </c>
      <c r="F601">
        <v>42</v>
      </c>
      <c r="G601" t="s">
        <v>14</v>
      </c>
      <c r="H601" t="s">
        <v>37</v>
      </c>
    </row>
    <row r="602" spans="1:8" x14ac:dyDescent="0.25">
      <c r="A602" t="s">
        <v>36</v>
      </c>
      <c r="B602" t="s">
        <v>22</v>
      </c>
      <c r="C602" s="10">
        <v>45586</v>
      </c>
      <c r="D602">
        <v>3.1015037593984971E-2</v>
      </c>
      <c r="E602">
        <v>82</v>
      </c>
      <c r="G602" t="s">
        <v>14</v>
      </c>
      <c r="H602" t="s">
        <v>37</v>
      </c>
    </row>
    <row r="603" spans="1:8" x14ac:dyDescent="0.25">
      <c r="A603" t="s">
        <v>39</v>
      </c>
      <c r="B603" t="s">
        <v>22</v>
      </c>
      <c r="C603" s="10">
        <v>45586</v>
      </c>
      <c r="D603">
        <v>3.1015037593984971E-2</v>
      </c>
      <c r="E603">
        <v>82</v>
      </c>
      <c r="G603" t="s">
        <v>14</v>
      </c>
      <c r="H603" t="s">
        <v>37</v>
      </c>
    </row>
    <row r="604" spans="1:8" x14ac:dyDescent="0.25">
      <c r="A604" t="s">
        <v>36</v>
      </c>
      <c r="B604" t="s">
        <v>22</v>
      </c>
      <c r="C604" s="10">
        <v>45577</v>
      </c>
      <c r="D604">
        <v>1.0079887218045112</v>
      </c>
      <c r="E604">
        <v>83</v>
      </c>
      <c r="F604">
        <v>16</v>
      </c>
      <c r="G604" t="s">
        <v>14</v>
      </c>
      <c r="H604" t="s">
        <v>37</v>
      </c>
    </row>
    <row r="605" spans="1:8" x14ac:dyDescent="0.25">
      <c r="A605" t="s">
        <v>38</v>
      </c>
      <c r="B605" t="s">
        <v>22</v>
      </c>
      <c r="C605" s="10">
        <v>45577</v>
      </c>
      <c r="D605">
        <v>0.70253759398496241</v>
      </c>
      <c r="E605">
        <v>83</v>
      </c>
      <c r="F605">
        <v>17</v>
      </c>
      <c r="G605" t="s">
        <v>14</v>
      </c>
      <c r="H605" t="s">
        <v>37</v>
      </c>
    </row>
    <row r="606" spans="1:8" x14ac:dyDescent="0.25">
      <c r="A606" t="s">
        <v>36</v>
      </c>
      <c r="B606" t="s">
        <v>22</v>
      </c>
      <c r="C606" s="10">
        <v>45578</v>
      </c>
      <c r="D606">
        <v>1.0216718266253872</v>
      </c>
      <c r="E606">
        <v>83</v>
      </c>
      <c r="F606">
        <v>19</v>
      </c>
      <c r="G606" t="s">
        <v>14</v>
      </c>
      <c r="H606" t="s">
        <v>37</v>
      </c>
    </row>
    <row r="607" spans="1:8" x14ac:dyDescent="0.25">
      <c r="A607" t="s">
        <v>38</v>
      </c>
      <c r="B607" t="s">
        <v>22</v>
      </c>
      <c r="C607" s="10">
        <v>45578</v>
      </c>
      <c r="D607">
        <v>3.0959752321981424E-2</v>
      </c>
      <c r="E607">
        <v>83</v>
      </c>
      <c r="F607">
        <v>20</v>
      </c>
      <c r="G607" t="s">
        <v>14</v>
      </c>
      <c r="H607" t="s">
        <v>37</v>
      </c>
    </row>
    <row r="608" spans="1:8" x14ac:dyDescent="0.25">
      <c r="A608" t="s">
        <v>36</v>
      </c>
      <c r="B608" t="s">
        <v>22</v>
      </c>
      <c r="C608" s="10">
        <v>45583</v>
      </c>
      <c r="D608">
        <v>1.0216718266253872</v>
      </c>
      <c r="E608">
        <v>83</v>
      </c>
      <c r="F608">
        <v>34</v>
      </c>
      <c r="G608" t="s">
        <v>14</v>
      </c>
      <c r="H608" t="s">
        <v>37</v>
      </c>
    </row>
    <row r="609" spans="1:8" x14ac:dyDescent="0.25">
      <c r="A609" t="s">
        <v>38</v>
      </c>
      <c r="B609" t="s">
        <v>22</v>
      </c>
      <c r="C609" s="10">
        <v>45583</v>
      </c>
      <c r="D609">
        <v>3.0959752321981424E-2</v>
      </c>
      <c r="E609">
        <v>83</v>
      </c>
      <c r="F609">
        <v>35</v>
      </c>
      <c r="G609" t="s">
        <v>14</v>
      </c>
      <c r="H609" t="s">
        <v>37</v>
      </c>
    </row>
    <row r="610" spans="1:8" x14ac:dyDescent="0.25">
      <c r="A610" t="s">
        <v>36</v>
      </c>
      <c r="B610" t="s">
        <v>22</v>
      </c>
      <c r="C610" s="10">
        <v>45584</v>
      </c>
      <c r="D610">
        <v>0.78947368421052633</v>
      </c>
      <c r="E610">
        <v>83</v>
      </c>
      <c r="F610">
        <v>37</v>
      </c>
      <c r="G610" t="s">
        <v>14</v>
      </c>
      <c r="H610" t="s">
        <v>37</v>
      </c>
    </row>
    <row r="611" spans="1:8" x14ac:dyDescent="0.25">
      <c r="A611" t="s">
        <v>36</v>
      </c>
      <c r="B611" t="s">
        <v>22</v>
      </c>
      <c r="C611" s="10">
        <v>45585</v>
      </c>
      <c r="D611">
        <v>1.021671826625387</v>
      </c>
      <c r="E611">
        <v>83</v>
      </c>
      <c r="F611">
        <v>40</v>
      </c>
      <c r="G611" t="s">
        <v>14</v>
      </c>
      <c r="H611" t="s">
        <v>37</v>
      </c>
    </row>
    <row r="612" spans="1:8" x14ac:dyDescent="0.25">
      <c r="A612" t="s">
        <v>38</v>
      </c>
      <c r="B612" t="s">
        <v>22</v>
      </c>
      <c r="C612" s="10">
        <v>45585</v>
      </c>
      <c r="D612">
        <v>3.0959752321981424E-2</v>
      </c>
      <c r="E612">
        <v>83</v>
      </c>
      <c r="F612">
        <v>41</v>
      </c>
      <c r="G612" t="s">
        <v>14</v>
      </c>
      <c r="H612" t="s">
        <v>37</v>
      </c>
    </row>
    <row r="613" spans="1:8" x14ac:dyDescent="0.25">
      <c r="A613" t="s">
        <v>39</v>
      </c>
      <c r="B613" t="s">
        <v>22</v>
      </c>
      <c r="C613" s="10">
        <v>45573</v>
      </c>
      <c r="D613">
        <v>3.0701754385964914E-2</v>
      </c>
      <c r="E613">
        <v>86</v>
      </c>
      <c r="F613">
        <v>6</v>
      </c>
      <c r="G613" t="s">
        <v>14</v>
      </c>
      <c r="H613" t="s">
        <v>37</v>
      </c>
    </row>
    <row r="614" spans="1:8" x14ac:dyDescent="0.25">
      <c r="A614" t="s">
        <v>38</v>
      </c>
      <c r="B614" t="s">
        <v>22</v>
      </c>
      <c r="C614" s="10">
        <v>45573</v>
      </c>
      <c r="D614">
        <v>0.89035087719298245</v>
      </c>
      <c r="E614">
        <v>86</v>
      </c>
      <c r="F614">
        <v>5</v>
      </c>
      <c r="G614" t="s">
        <v>14</v>
      </c>
      <c r="H614" t="s">
        <v>37</v>
      </c>
    </row>
    <row r="615" spans="1:8" x14ac:dyDescent="0.25">
      <c r="A615" t="s">
        <v>38</v>
      </c>
      <c r="B615" t="s">
        <v>22</v>
      </c>
      <c r="C615" s="10">
        <v>45574</v>
      </c>
      <c r="D615">
        <v>0.72368421052631571</v>
      </c>
      <c r="E615">
        <v>86</v>
      </c>
      <c r="F615">
        <v>8</v>
      </c>
      <c r="G615" t="s">
        <v>14</v>
      </c>
      <c r="H615" t="s">
        <v>37</v>
      </c>
    </row>
    <row r="616" spans="1:8" x14ac:dyDescent="0.25">
      <c r="A616" t="s">
        <v>36</v>
      </c>
      <c r="B616" t="s">
        <v>22</v>
      </c>
      <c r="C616" s="10">
        <v>45575</v>
      </c>
      <c r="D616">
        <v>1.021671826625387</v>
      </c>
      <c r="E616">
        <v>86</v>
      </c>
      <c r="F616">
        <v>10</v>
      </c>
      <c r="G616" t="s">
        <v>14</v>
      </c>
      <c r="H616" t="s">
        <v>37</v>
      </c>
    </row>
    <row r="617" spans="1:8" x14ac:dyDescent="0.25">
      <c r="A617" t="s">
        <v>38</v>
      </c>
      <c r="B617" t="s">
        <v>22</v>
      </c>
      <c r="C617" s="10">
        <v>45575</v>
      </c>
      <c r="D617">
        <v>3.0959752321981424E-2</v>
      </c>
      <c r="E617">
        <v>86</v>
      </c>
      <c r="F617">
        <v>11</v>
      </c>
      <c r="G617" t="s">
        <v>14</v>
      </c>
      <c r="H617" t="s">
        <v>37</v>
      </c>
    </row>
    <row r="618" spans="1:8" x14ac:dyDescent="0.25">
      <c r="A618" t="s">
        <v>36</v>
      </c>
      <c r="B618" t="s">
        <v>22</v>
      </c>
      <c r="C618" s="10">
        <v>45576</v>
      </c>
      <c r="D618">
        <v>0.78947368421052622</v>
      </c>
      <c r="E618">
        <v>86</v>
      </c>
      <c r="F618">
        <v>13</v>
      </c>
      <c r="G618" t="s">
        <v>14</v>
      </c>
      <c r="H618" t="s">
        <v>37</v>
      </c>
    </row>
    <row r="619" spans="1:8" x14ac:dyDescent="0.25">
      <c r="A619" t="s">
        <v>36</v>
      </c>
      <c r="B619" t="s">
        <v>22</v>
      </c>
      <c r="C619" s="10">
        <v>45577</v>
      </c>
      <c r="D619">
        <v>0.78947368421052633</v>
      </c>
      <c r="E619">
        <v>86</v>
      </c>
      <c r="F619">
        <v>16</v>
      </c>
      <c r="G619" t="s">
        <v>14</v>
      </c>
      <c r="H619" t="s">
        <v>37</v>
      </c>
    </row>
    <row r="620" spans="1:8" x14ac:dyDescent="0.25">
      <c r="A620" t="s">
        <v>38</v>
      </c>
      <c r="B620" t="s">
        <v>22</v>
      </c>
      <c r="C620" s="10">
        <v>45579</v>
      </c>
      <c r="D620">
        <v>0.7236842105263156</v>
      </c>
      <c r="E620">
        <v>86</v>
      </c>
      <c r="F620">
        <v>23</v>
      </c>
      <c r="G620" t="s">
        <v>14</v>
      </c>
      <c r="H620" t="s">
        <v>37</v>
      </c>
    </row>
    <row r="621" spans="1:8" x14ac:dyDescent="0.25">
      <c r="A621" t="s">
        <v>38</v>
      </c>
      <c r="B621" t="s">
        <v>22</v>
      </c>
      <c r="C621" s="10">
        <v>45581</v>
      </c>
      <c r="D621">
        <v>0.7236842105263156</v>
      </c>
      <c r="E621">
        <v>86</v>
      </c>
      <c r="F621">
        <v>29</v>
      </c>
      <c r="G621" t="s">
        <v>14</v>
      </c>
      <c r="H621" t="s">
        <v>37</v>
      </c>
    </row>
    <row r="622" spans="1:8" x14ac:dyDescent="0.25">
      <c r="A622" t="s">
        <v>36</v>
      </c>
      <c r="B622" t="s">
        <v>22</v>
      </c>
      <c r="C622" s="10">
        <v>45582</v>
      </c>
      <c r="D622">
        <v>0.78947368421052622</v>
      </c>
      <c r="E622">
        <v>86</v>
      </c>
      <c r="F622">
        <v>31</v>
      </c>
      <c r="G622" t="s">
        <v>14</v>
      </c>
      <c r="H622" t="s">
        <v>37</v>
      </c>
    </row>
    <row r="623" spans="1:8" x14ac:dyDescent="0.25">
      <c r="A623" t="s">
        <v>38</v>
      </c>
      <c r="B623" t="s">
        <v>22</v>
      </c>
      <c r="C623" s="10">
        <v>45578</v>
      </c>
      <c r="D623">
        <v>0.7236842105263156</v>
      </c>
      <c r="E623">
        <v>87</v>
      </c>
      <c r="F623">
        <v>20</v>
      </c>
      <c r="G623" t="s">
        <v>14</v>
      </c>
      <c r="H623" t="s">
        <v>37</v>
      </c>
    </row>
    <row r="624" spans="1:8" x14ac:dyDescent="0.25">
      <c r="A624" t="s">
        <v>38</v>
      </c>
      <c r="B624" t="s">
        <v>22</v>
      </c>
      <c r="C624" s="10">
        <v>45579</v>
      </c>
      <c r="D624">
        <v>0.7236842105263156</v>
      </c>
      <c r="E624">
        <v>87</v>
      </c>
      <c r="F624">
        <v>23</v>
      </c>
      <c r="G624" t="s">
        <v>14</v>
      </c>
      <c r="H624" t="s">
        <v>37</v>
      </c>
    </row>
    <row r="625" spans="1:8" x14ac:dyDescent="0.25">
      <c r="A625" t="s">
        <v>39</v>
      </c>
      <c r="B625" t="s">
        <v>22</v>
      </c>
      <c r="C625" s="10">
        <v>45585</v>
      </c>
      <c r="D625">
        <v>3.0701754385964914E-2</v>
      </c>
      <c r="E625">
        <v>87</v>
      </c>
      <c r="F625">
        <v>42</v>
      </c>
      <c r="G625" t="s">
        <v>14</v>
      </c>
      <c r="H625" t="s">
        <v>37</v>
      </c>
    </row>
    <row r="626" spans="1:8" x14ac:dyDescent="0.25">
      <c r="A626" t="s">
        <v>38</v>
      </c>
      <c r="B626" t="s">
        <v>22</v>
      </c>
      <c r="C626" s="10">
        <v>45585</v>
      </c>
      <c r="D626">
        <v>0.89035087719298245</v>
      </c>
      <c r="E626">
        <v>87</v>
      </c>
      <c r="F626">
        <v>41</v>
      </c>
      <c r="G626" t="s">
        <v>14</v>
      </c>
      <c r="H626" t="s">
        <v>37</v>
      </c>
    </row>
    <row r="627" spans="1:8" x14ac:dyDescent="0.25">
      <c r="A627" t="s">
        <v>36</v>
      </c>
      <c r="B627" t="s">
        <v>22</v>
      </c>
      <c r="C627" s="10">
        <v>45572</v>
      </c>
      <c r="D627">
        <v>1.021671826625387</v>
      </c>
      <c r="E627">
        <v>88</v>
      </c>
      <c r="F627">
        <v>1</v>
      </c>
      <c r="G627" t="s">
        <v>14</v>
      </c>
      <c r="H627" t="s">
        <v>37</v>
      </c>
    </row>
    <row r="628" spans="1:8" x14ac:dyDescent="0.25">
      <c r="A628" t="s">
        <v>38</v>
      </c>
      <c r="B628" t="s">
        <v>22</v>
      </c>
      <c r="C628" s="10">
        <v>45572</v>
      </c>
      <c r="D628">
        <v>3.0959752321981424E-2</v>
      </c>
      <c r="E628">
        <v>88</v>
      </c>
      <c r="F628">
        <v>2</v>
      </c>
      <c r="G628" t="s">
        <v>14</v>
      </c>
      <c r="H628" t="s">
        <v>37</v>
      </c>
    </row>
    <row r="629" spans="1:8" x14ac:dyDescent="0.25">
      <c r="A629" t="s">
        <v>36</v>
      </c>
      <c r="B629" t="s">
        <v>22</v>
      </c>
      <c r="C629" s="10">
        <v>45573</v>
      </c>
      <c r="D629">
        <v>1.0216718266253872</v>
      </c>
      <c r="E629">
        <v>88</v>
      </c>
      <c r="F629">
        <v>4</v>
      </c>
      <c r="G629" t="s">
        <v>14</v>
      </c>
      <c r="H629" t="s">
        <v>37</v>
      </c>
    </row>
    <row r="630" spans="1:8" x14ac:dyDescent="0.25">
      <c r="A630" t="s">
        <v>38</v>
      </c>
      <c r="B630" t="s">
        <v>22</v>
      </c>
      <c r="C630" s="10">
        <v>45573</v>
      </c>
      <c r="D630">
        <v>3.0959752321981424E-2</v>
      </c>
      <c r="E630">
        <v>88</v>
      </c>
      <c r="F630">
        <v>5</v>
      </c>
      <c r="G630" t="s">
        <v>14</v>
      </c>
      <c r="H630" t="s">
        <v>37</v>
      </c>
    </row>
    <row r="631" spans="1:8" x14ac:dyDescent="0.25">
      <c r="A631" t="s">
        <v>36</v>
      </c>
      <c r="B631" t="s">
        <v>22</v>
      </c>
      <c r="C631" s="10">
        <v>45574</v>
      </c>
      <c r="D631">
        <v>1.0216718266253872</v>
      </c>
      <c r="E631">
        <v>88</v>
      </c>
      <c r="F631">
        <v>7</v>
      </c>
      <c r="G631" t="s">
        <v>14</v>
      </c>
      <c r="H631" t="s">
        <v>37</v>
      </c>
    </row>
    <row r="632" spans="1:8" x14ac:dyDescent="0.25">
      <c r="A632" t="s">
        <v>38</v>
      </c>
      <c r="B632" t="s">
        <v>22</v>
      </c>
      <c r="C632" s="10">
        <v>45574</v>
      </c>
      <c r="D632">
        <v>3.0959752321981424E-2</v>
      </c>
      <c r="E632">
        <v>88</v>
      </c>
      <c r="F632">
        <v>8</v>
      </c>
      <c r="G632" t="s">
        <v>14</v>
      </c>
      <c r="H632" t="s">
        <v>37</v>
      </c>
    </row>
    <row r="633" spans="1:8" x14ac:dyDescent="0.25">
      <c r="A633" t="s">
        <v>36</v>
      </c>
      <c r="B633" t="s">
        <v>22</v>
      </c>
      <c r="C633" s="10">
        <v>45578</v>
      </c>
      <c r="D633">
        <v>1.0216718266253872</v>
      </c>
      <c r="E633">
        <v>88</v>
      </c>
      <c r="F633">
        <v>19</v>
      </c>
      <c r="G633" t="s">
        <v>14</v>
      </c>
      <c r="H633" t="s">
        <v>37</v>
      </c>
    </row>
    <row r="634" spans="1:8" x14ac:dyDescent="0.25">
      <c r="A634" t="s">
        <v>38</v>
      </c>
      <c r="B634" t="s">
        <v>22</v>
      </c>
      <c r="C634" s="10">
        <v>45578</v>
      </c>
      <c r="D634">
        <v>3.0959752321981424E-2</v>
      </c>
      <c r="E634">
        <v>88</v>
      </c>
      <c r="F634">
        <v>20</v>
      </c>
      <c r="G634" t="s">
        <v>14</v>
      </c>
      <c r="H634" t="s">
        <v>37</v>
      </c>
    </row>
    <row r="635" spans="1:8" x14ac:dyDescent="0.25">
      <c r="A635" t="s">
        <v>36</v>
      </c>
      <c r="B635" t="s">
        <v>22</v>
      </c>
      <c r="C635" s="10">
        <v>45579</v>
      </c>
      <c r="D635">
        <v>1.0216718266253872</v>
      </c>
      <c r="E635">
        <v>88</v>
      </c>
      <c r="F635">
        <v>22</v>
      </c>
      <c r="G635" t="s">
        <v>14</v>
      </c>
      <c r="H635" t="s">
        <v>37</v>
      </c>
    </row>
    <row r="636" spans="1:8" x14ac:dyDescent="0.25">
      <c r="A636" t="s">
        <v>38</v>
      </c>
      <c r="B636" t="s">
        <v>22</v>
      </c>
      <c r="C636" s="10">
        <v>45579</v>
      </c>
      <c r="D636">
        <v>3.0959752321981424E-2</v>
      </c>
      <c r="E636">
        <v>88</v>
      </c>
      <c r="F636">
        <v>23</v>
      </c>
      <c r="G636" t="s">
        <v>14</v>
      </c>
      <c r="H636" t="s">
        <v>37</v>
      </c>
    </row>
    <row r="637" spans="1:8" x14ac:dyDescent="0.25">
      <c r="A637" t="s">
        <v>36</v>
      </c>
      <c r="B637" t="s">
        <v>22</v>
      </c>
      <c r="C637" s="10">
        <v>45580</v>
      </c>
      <c r="D637">
        <v>1.021671826625387</v>
      </c>
      <c r="E637">
        <v>88</v>
      </c>
      <c r="F637">
        <v>25</v>
      </c>
      <c r="G637" t="s">
        <v>14</v>
      </c>
      <c r="H637" t="s">
        <v>37</v>
      </c>
    </row>
    <row r="638" spans="1:8" x14ac:dyDescent="0.25">
      <c r="A638" t="s">
        <v>38</v>
      </c>
      <c r="B638" t="s">
        <v>22</v>
      </c>
      <c r="C638" s="10">
        <v>45580</v>
      </c>
      <c r="D638">
        <v>3.0959752321981424E-2</v>
      </c>
      <c r="E638">
        <v>88</v>
      </c>
      <c r="F638">
        <v>26</v>
      </c>
      <c r="G638" t="s">
        <v>14</v>
      </c>
      <c r="H638" t="s">
        <v>37</v>
      </c>
    </row>
    <row r="639" spans="1:8" x14ac:dyDescent="0.25">
      <c r="A639" t="s">
        <v>36</v>
      </c>
      <c r="B639" t="s">
        <v>22</v>
      </c>
      <c r="C639" s="10">
        <v>45581</v>
      </c>
      <c r="D639">
        <v>1.021671826625387</v>
      </c>
      <c r="E639">
        <v>88</v>
      </c>
      <c r="F639">
        <v>28</v>
      </c>
      <c r="G639" t="s">
        <v>14</v>
      </c>
      <c r="H639" t="s">
        <v>37</v>
      </c>
    </row>
    <row r="640" spans="1:8" x14ac:dyDescent="0.25">
      <c r="A640" t="s">
        <v>38</v>
      </c>
      <c r="B640" t="s">
        <v>22</v>
      </c>
      <c r="C640" s="10">
        <v>45581</v>
      </c>
      <c r="D640">
        <v>3.0959752321981424E-2</v>
      </c>
      <c r="E640">
        <v>88</v>
      </c>
      <c r="F640">
        <v>29</v>
      </c>
      <c r="G640" t="s">
        <v>14</v>
      </c>
      <c r="H640" t="s">
        <v>37</v>
      </c>
    </row>
    <row r="641" spans="1:8" x14ac:dyDescent="0.25">
      <c r="A641" t="s">
        <v>36</v>
      </c>
      <c r="B641" t="s">
        <v>22</v>
      </c>
      <c r="C641" s="10">
        <v>45583</v>
      </c>
      <c r="D641">
        <v>0.78947368421052633</v>
      </c>
      <c r="E641">
        <v>88</v>
      </c>
      <c r="F641">
        <v>34</v>
      </c>
      <c r="G641" t="s">
        <v>14</v>
      </c>
      <c r="H641" t="s">
        <v>37</v>
      </c>
    </row>
    <row r="642" spans="1:8" x14ac:dyDescent="0.25">
      <c r="A642" t="s">
        <v>36</v>
      </c>
      <c r="B642" t="s">
        <v>22</v>
      </c>
      <c r="C642" s="10">
        <v>45585</v>
      </c>
      <c r="D642">
        <v>1.021671826625387</v>
      </c>
      <c r="E642">
        <v>88</v>
      </c>
      <c r="F642">
        <v>40</v>
      </c>
      <c r="G642" t="s">
        <v>14</v>
      </c>
      <c r="H642" t="s">
        <v>37</v>
      </c>
    </row>
    <row r="643" spans="1:8" x14ac:dyDescent="0.25">
      <c r="A643" t="s">
        <v>38</v>
      </c>
      <c r="B643" t="s">
        <v>22</v>
      </c>
      <c r="C643" s="10">
        <v>45585</v>
      </c>
      <c r="D643">
        <v>3.0959752321981424E-2</v>
      </c>
      <c r="E643">
        <v>88</v>
      </c>
      <c r="F643">
        <v>41</v>
      </c>
      <c r="G643" t="s">
        <v>14</v>
      </c>
      <c r="H643" t="s">
        <v>37</v>
      </c>
    </row>
    <row r="644" spans="1:8" x14ac:dyDescent="0.25">
      <c r="A644" t="s">
        <v>36</v>
      </c>
      <c r="B644" t="s">
        <v>22</v>
      </c>
      <c r="C644" s="10">
        <v>45572</v>
      </c>
      <c r="D644">
        <v>1.021671826625387</v>
      </c>
      <c r="E644">
        <v>89</v>
      </c>
      <c r="F644">
        <v>1</v>
      </c>
      <c r="G644" t="s">
        <v>14</v>
      </c>
      <c r="H644" t="s">
        <v>37</v>
      </c>
    </row>
    <row r="645" spans="1:8" x14ac:dyDescent="0.25">
      <c r="A645" t="s">
        <v>38</v>
      </c>
      <c r="B645" t="s">
        <v>22</v>
      </c>
      <c r="C645" s="10">
        <v>45572</v>
      </c>
      <c r="D645">
        <v>3.0959752321981424E-2</v>
      </c>
      <c r="E645">
        <v>89</v>
      </c>
      <c r="F645">
        <v>2</v>
      </c>
      <c r="G645" t="s">
        <v>14</v>
      </c>
      <c r="H645" t="s">
        <v>37</v>
      </c>
    </row>
    <row r="646" spans="1:8" x14ac:dyDescent="0.25">
      <c r="A646" t="s">
        <v>38</v>
      </c>
      <c r="B646" t="s">
        <v>22</v>
      </c>
      <c r="C646" s="10">
        <v>45573</v>
      </c>
      <c r="D646">
        <v>0.7236842105263156</v>
      </c>
      <c r="E646">
        <v>89</v>
      </c>
      <c r="F646">
        <v>5</v>
      </c>
      <c r="G646" t="s">
        <v>14</v>
      </c>
      <c r="H646" t="s">
        <v>37</v>
      </c>
    </row>
    <row r="647" spans="1:8" x14ac:dyDescent="0.25">
      <c r="A647" t="s">
        <v>38</v>
      </c>
      <c r="B647" t="s">
        <v>22</v>
      </c>
      <c r="C647" s="10">
        <v>45574</v>
      </c>
      <c r="D647">
        <v>0.72368421052631571</v>
      </c>
      <c r="E647">
        <v>89</v>
      </c>
      <c r="F647">
        <v>8</v>
      </c>
      <c r="G647" t="s">
        <v>14</v>
      </c>
      <c r="H647" t="s">
        <v>37</v>
      </c>
    </row>
    <row r="648" spans="1:8" x14ac:dyDescent="0.25">
      <c r="A648" t="s">
        <v>38</v>
      </c>
      <c r="B648" t="s">
        <v>22</v>
      </c>
      <c r="C648" s="10">
        <v>45575</v>
      </c>
      <c r="D648">
        <v>0.7236842105263156</v>
      </c>
      <c r="E648">
        <v>89</v>
      </c>
      <c r="F648">
        <v>11</v>
      </c>
      <c r="G648" t="s">
        <v>14</v>
      </c>
      <c r="H648" t="s">
        <v>37</v>
      </c>
    </row>
    <row r="649" spans="1:8" x14ac:dyDescent="0.25">
      <c r="A649" t="s">
        <v>36</v>
      </c>
      <c r="B649" t="s">
        <v>22</v>
      </c>
      <c r="C649" s="10">
        <v>45578</v>
      </c>
      <c r="D649">
        <v>1.0216718266253872</v>
      </c>
      <c r="E649">
        <v>89</v>
      </c>
      <c r="F649">
        <v>19</v>
      </c>
      <c r="G649" t="s">
        <v>14</v>
      </c>
      <c r="H649" t="s">
        <v>37</v>
      </c>
    </row>
    <row r="650" spans="1:8" x14ac:dyDescent="0.25">
      <c r="A650" t="s">
        <v>38</v>
      </c>
      <c r="B650" t="s">
        <v>22</v>
      </c>
      <c r="C650" s="10">
        <v>45578</v>
      </c>
      <c r="D650">
        <v>3.0959752321981424E-2</v>
      </c>
      <c r="E650">
        <v>89</v>
      </c>
      <c r="F650">
        <v>20</v>
      </c>
      <c r="G650" t="s">
        <v>14</v>
      </c>
      <c r="H650" t="s">
        <v>37</v>
      </c>
    </row>
    <row r="651" spans="1:8" x14ac:dyDescent="0.25">
      <c r="A651" t="s">
        <v>38</v>
      </c>
      <c r="B651" t="s">
        <v>22</v>
      </c>
      <c r="C651" s="10">
        <v>45579</v>
      </c>
      <c r="D651">
        <v>0.7236842105263156</v>
      </c>
      <c r="E651">
        <v>89</v>
      </c>
      <c r="F651">
        <v>23</v>
      </c>
      <c r="G651" t="s">
        <v>14</v>
      </c>
      <c r="H651" t="s">
        <v>37</v>
      </c>
    </row>
    <row r="652" spans="1:8" x14ac:dyDescent="0.25">
      <c r="A652" t="s">
        <v>38</v>
      </c>
      <c r="B652" t="s">
        <v>22</v>
      </c>
      <c r="C652" s="10">
        <v>45580</v>
      </c>
      <c r="D652">
        <v>0.72368421052631571</v>
      </c>
      <c r="E652">
        <v>89</v>
      </c>
      <c r="F652">
        <v>26</v>
      </c>
      <c r="G652" t="s">
        <v>14</v>
      </c>
      <c r="H652" t="s">
        <v>37</v>
      </c>
    </row>
    <row r="653" spans="1:8" x14ac:dyDescent="0.25">
      <c r="A653" t="s">
        <v>36</v>
      </c>
      <c r="B653" t="s">
        <v>22</v>
      </c>
      <c r="C653" s="10">
        <v>45582</v>
      </c>
      <c r="D653">
        <v>0.21540747028862481</v>
      </c>
      <c r="E653">
        <v>89</v>
      </c>
      <c r="F653">
        <v>31</v>
      </c>
      <c r="G653" t="s">
        <v>14</v>
      </c>
      <c r="H653" t="s">
        <v>37</v>
      </c>
    </row>
    <row r="654" spans="1:8" x14ac:dyDescent="0.25">
      <c r="A654" t="s">
        <v>38</v>
      </c>
      <c r="B654" t="s">
        <v>22</v>
      </c>
      <c r="C654" s="10">
        <v>45582</v>
      </c>
      <c r="D654">
        <v>0.73853989813242793</v>
      </c>
      <c r="E654">
        <v>89</v>
      </c>
      <c r="F654">
        <v>32</v>
      </c>
      <c r="G654" t="s">
        <v>14</v>
      </c>
      <c r="H654" t="s">
        <v>37</v>
      </c>
    </row>
    <row r="655" spans="1:8" x14ac:dyDescent="0.25">
      <c r="A655" t="s">
        <v>36</v>
      </c>
      <c r="B655" t="s">
        <v>22</v>
      </c>
      <c r="C655" s="10">
        <v>45584</v>
      </c>
      <c r="D655">
        <v>1.0216718266253872</v>
      </c>
      <c r="E655">
        <v>89</v>
      </c>
      <c r="F655">
        <v>37</v>
      </c>
      <c r="G655" t="s">
        <v>14</v>
      </c>
      <c r="H655" t="s">
        <v>37</v>
      </c>
    </row>
    <row r="656" spans="1:8" x14ac:dyDescent="0.25">
      <c r="A656" t="s">
        <v>38</v>
      </c>
      <c r="B656" t="s">
        <v>22</v>
      </c>
      <c r="C656" s="10">
        <v>45584</v>
      </c>
      <c r="D656">
        <v>3.0959752321981424E-2</v>
      </c>
      <c r="E656">
        <v>89</v>
      </c>
      <c r="F656">
        <v>38</v>
      </c>
      <c r="G656" t="s">
        <v>14</v>
      </c>
      <c r="H656" t="s">
        <v>37</v>
      </c>
    </row>
    <row r="657" spans="1:8" x14ac:dyDescent="0.25">
      <c r="A657" t="s">
        <v>36</v>
      </c>
      <c r="B657" t="s">
        <v>22</v>
      </c>
      <c r="C657" s="10">
        <v>45585</v>
      </c>
      <c r="D657">
        <v>1.021671826625387</v>
      </c>
      <c r="E657">
        <v>89</v>
      </c>
      <c r="F657">
        <v>40</v>
      </c>
      <c r="G657" t="s">
        <v>14</v>
      </c>
      <c r="H657" t="s">
        <v>37</v>
      </c>
    </row>
    <row r="658" spans="1:8" x14ac:dyDescent="0.25">
      <c r="A658" t="s">
        <v>38</v>
      </c>
      <c r="B658" t="s">
        <v>22</v>
      </c>
      <c r="C658" s="10">
        <v>45585</v>
      </c>
      <c r="D658">
        <v>3.0959752321981424E-2</v>
      </c>
      <c r="E658">
        <v>89</v>
      </c>
      <c r="F658">
        <v>41</v>
      </c>
      <c r="G658" t="s">
        <v>14</v>
      </c>
      <c r="H658" t="s">
        <v>37</v>
      </c>
    </row>
    <row r="659" spans="1:8" x14ac:dyDescent="0.25">
      <c r="A659" t="s">
        <v>39</v>
      </c>
      <c r="B659" t="s">
        <v>22</v>
      </c>
      <c r="C659" s="10">
        <v>45572</v>
      </c>
      <c r="D659">
        <v>1.0545112781954891</v>
      </c>
      <c r="E659">
        <v>90</v>
      </c>
      <c r="F659">
        <v>3</v>
      </c>
      <c r="G659" t="s">
        <v>14</v>
      </c>
      <c r="H659" t="s">
        <v>37</v>
      </c>
    </row>
    <row r="660" spans="1:8" x14ac:dyDescent="0.25">
      <c r="A660" t="s">
        <v>36</v>
      </c>
      <c r="B660" t="s">
        <v>22</v>
      </c>
      <c r="C660" s="10">
        <v>45573</v>
      </c>
      <c r="D660">
        <v>3.1015037593984971E-2</v>
      </c>
      <c r="E660">
        <v>90</v>
      </c>
      <c r="F660">
        <v>4</v>
      </c>
      <c r="G660" t="s">
        <v>14</v>
      </c>
      <c r="H660" t="s">
        <v>37</v>
      </c>
    </row>
    <row r="661" spans="1:8" x14ac:dyDescent="0.25">
      <c r="A661" t="s">
        <v>39</v>
      </c>
      <c r="B661" t="s">
        <v>22</v>
      </c>
      <c r="C661" s="10">
        <v>45574</v>
      </c>
      <c r="D661">
        <v>1.0545112781954891</v>
      </c>
      <c r="E661">
        <v>90</v>
      </c>
      <c r="F661">
        <v>9</v>
      </c>
      <c r="G661" t="s">
        <v>14</v>
      </c>
      <c r="H661" t="s">
        <v>37</v>
      </c>
    </row>
    <row r="662" spans="1:8" x14ac:dyDescent="0.25">
      <c r="A662" t="s">
        <v>36</v>
      </c>
      <c r="B662" t="s">
        <v>22</v>
      </c>
      <c r="C662" s="10">
        <v>45575</v>
      </c>
      <c r="D662">
        <v>3.1015037593984971E-2</v>
      </c>
      <c r="E662">
        <v>90</v>
      </c>
      <c r="F662">
        <v>10</v>
      </c>
      <c r="G662" t="s">
        <v>14</v>
      </c>
      <c r="H662" t="s">
        <v>37</v>
      </c>
    </row>
    <row r="663" spans="1:8" x14ac:dyDescent="0.25">
      <c r="A663" t="s">
        <v>39</v>
      </c>
      <c r="B663" t="s">
        <v>22</v>
      </c>
      <c r="C663" s="10">
        <v>45575</v>
      </c>
      <c r="D663">
        <v>1.0545112781954891</v>
      </c>
      <c r="E663">
        <v>90</v>
      </c>
      <c r="F663">
        <v>12</v>
      </c>
      <c r="G663" t="s">
        <v>14</v>
      </c>
      <c r="H663" t="s">
        <v>37</v>
      </c>
    </row>
    <row r="664" spans="1:8" x14ac:dyDescent="0.25">
      <c r="A664" t="s">
        <v>36</v>
      </c>
      <c r="B664" t="s">
        <v>22</v>
      </c>
      <c r="C664" s="10">
        <v>45576</v>
      </c>
      <c r="D664">
        <v>3.1015037593984971E-2</v>
      </c>
      <c r="E664">
        <v>90</v>
      </c>
      <c r="F664">
        <v>13</v>
      </c>
      <c r="G664" t="s">
        <v>14</v>
      </c>
      <c r="H664" t="s">
        <v>37</v>
      </c>
    </row>
    <row r="665" spans="1:8" x14ac:dyDescent="0.25">
      <c r="A665" t="s">
        <v>39</v>
      </c>
      <c r="B665" t="s">
        <v>22</v>
      </c>
      <c r="C665" s="10">
        <v>45580</v>
      </c>
      <c r="D665">
        <v>3.0701754385964914E-2</v>
      </c>
      <c r="E665">
        <v>90</v>
      </c>
      <c r="F665">
        <v>27</v>
      </c>
      <c r="G665" t="s">
        <v>14</v>
      </c>
      <c r="H665" t="s">
        <v>37</v>
      </c>
    </row>
    <row r="666" spans="1:8" x14ac:dyDescent="0.25">
      <c r="A666" t="s">
        <v>38</v>
      </c>
      <c r="B666" t="s">
        <v>22</v>
      </c>
      <c r="C666" s="10">
        <v>45580</v>
      </c>
      <c r="D666">
        <v>0.89035087719298245</v>
      </c>
      <c r="E666">
        <v>90</v>
      </c>
      <c r="F666">
        <v>26</v>
      </c>
      <c r="G666" t="s">
        <v>14</v>
      </c>
      <c r="H666" t="s">
        <v>37</v>
      </c>
    </row>
    <row r="667" spans="1:8" x14ac:dyDescent="0.25">
      <c r="A667" t="s">
        <v>39</v>
      </c>
      <c r="B667" t="s">
        <v>22</v>
      </c>
      <c r="C667" s="10">
        <v>45582</v>
      </c>
      <c r="D667">
        <v>1.0545112781954891</v>
      </c>
      <c r="E667">
        <v>90</v>
      </c>
      <c r="F667">
        <v>33</v>
      </c>
      <c r="G667" t="s">
        <v>14</v>
      </c>
      <c r="H667" t="s">
        <v>37</v>
      </c>
    </row>
    <row r="668" spans="1:8" x14ac:dyDescent="0.25">
      <c r="A668" t="s">
        <v>36</v>
      </c>
      <c r="B668" t="s">
        <v>22</v>
      </c>
      <c r="C668" s="10">
        <v>45583</v>
      </c>
      <c r="D668">
        <v>3.1015037593984971E-2</v>
      </c>
      <c r="E668">
        <v>90</v>
      </c>
      <c r="F668">
        <v>34</v>
      </c>
      <c r="G668" t="s">
        <v>14</v>
      </c>
      <c r="H668" t="s">
        <v>37</v>
      </c>
    </row>
    <row r="669" spans="1:8" x14ac:dyDescent="0.25">
      <c r="A669" t="s">
        <v>39</v>
      </c>
      <c r="B669" t="s">
        <v>22</v>
      </c>
      <c r="C669" s="10">
        <v>45584</v>
      </c>
      <c r="D669">
        <v>1.0545112781954891</v>
      </c>
      <c r="E669">
        <v>90</v>
      </c>
      <c r="F669">
        <v>39</v>
      </c>
      <c r="G669" t="s">
        <v>14</v>
      </c>
      <c r="H669" t="s">
        <v>37</v>
      </c>
    </row>
    <row r="670" spans="1:8" x14ac:dyDescent="0.25">
      <c r="A670" t="s">
        <v>36</v>
      </c>
      <c r="B670" t="s">
        <v>22</v>
      </c>
      <c r="C670" s="10">
        <v>45585</v>
      </c>
      <c r="D670">
        <v>3.1015037593984971E-2</v>
      </c>
      <c r="E670">
        <v>90</v>
      </c>
      <c r="F670">
        <v>40</v>
      </c>
      <c r="G670" t="s">
        <v>14</v>
      </c>
      <c r="H670" t="s">
        <v>37</v>
      </c>
    </row>
    <row r="671" spans="1:8" x14ac:dyDescent="0.25">
      <c r="A671" t="s">
        <v>39</v>
      </c>
      <c r="B671" t="s">
        <v>22</v>
      </c>
      <c r="C671" s="10">
        <v>45572</v>
      </c>
      <c r="D671">
        <v>3.0701754385964914E-2</v>
      </c>
      <c r="E671">
        <v>94</v>
      </c>
      <c r="F671">
        <v>3</v>
      </c>
      <c r="G671" t="s">
        <v>14</v>
      </c>
      <c r="H671" t="s">
        <v>37</v>
      </c>
    </row>
    <row r="672" spans="1:8" x14ac:dyDescent="0.25">
      <c r="A672" t="s">
        <v>38</v>
      </c>
      <c r="B672" t="s">
        <v>22</v>
      </c>
      <c r="C672" s="10">
        <v>45572</v>
      </c>
      <c r="D672">
        <v>0.89035087719298234</v>
      </c>
      <c r="E672">
        <v>94</v>
      </c>
      <c r="F672">
        <v>2</v>
      </c>
      <c r="G672" t="s">
        <v>14</v>
      </c>
      <c r="H672" t="s">
        <v>37</v>
      </c>
    </row>
    <row r="673" spans="1:8" x14ac:dyDescent="0.25">
      <c r="A673" t="s">
        <v>39</v>
      </c>
      <c r="B673" t="s">
        <v>22</v>
      </c>
      <c r="C673" s="10">
        <v>45578</v>
      </c>
      <c r="D673">
        <v>3.0701754385964914E-2</v>
      </c>
      <c r="E673">
        <v>94</v>
      </c>
      <c r="F673">
        <v>21</v>
      </c>
      <c r="G673" t="s">
        <v>14</v>
      </c>
      <c r="H673" t="s">
        <v>37</v>
      </c>
    </row>
    <row r="674" spans="1:8" x14ac:dyDescent="0.25">
      <c r="A674" t="s">
        <v>38</v>
      </c>
      <c r="B674" t="s">
        <v>22</v>
      </c>
      <c r="C674" s="10">
        <v>45578</v>
      </c>
      <c r="D674">
        <v>0.89035087719298245</v>
      </c>
      <c r="E674">
        <v>94</v>
      </c>
      <c r="F674">
        <v>20</v>
      </c>
      <c r="G674" t="s">
        <v>14</v>
      </c>
      <c r="H674" t="s">
        <v>37</v>
      </c>
    </row>
    <row r="675" spans="1:8" x14ac:dyDescent="0.25">
      <c r="A675" t="s">
        <v>38</v>
      </c>
      <c r="B675" t="s">
        <v>22</v>
      </c>
      <c r="C675" s="10">
        <v>45585</v>
      </c>
      <c r="D675">
        <v>0.72368421052631571</v>
      </c>
      <c r="E675">
        <v>94</v>
      </c>
      <c r="F675">
        <v>41</v>
      </c>
      <c r="G675" t="s">
        <v>14</v>
      </c>
      <c r="H675" t="s">
        <v>37</v>
      </c>
    </row>
    <row r="676" spans="1:8" x14ac:dyDescent="0.25">
      <c r="A676" t="s">
        <v>39</v>
      </c>
      <c r="B676" t="s">
        <v>22</v>
      </c>
      <c r="C676" s="10">
        <v>45576</v>
      </c>
      <c r="D676">
        <v>3.0701754385964914E-2</v>
      </c>
      <c r="E676">
        <v>96</v>
      </c>
      <c r="F676">
        <v>15</v>
      </c>
      <c r="G676" t="s">
        <v>14</v>
      </c>
      <c r="H676" t="s">
        <v>37</v>
      </c>
    </row>
    <row r="677" spans="1:8" x14ac:dyDescent="0.25">
      <c r="A677" t="s">
        <v>38</v>
      </c>
      <c r="B677" t="s">
        <v>22</v>
      </c>
      <c r="C677" s="10">
        <v>45576</v>
      </c>
      <c r="D677">
        <v>0.89035087719298223</v>
      </c>
      <c r="E677">
        <v>96</v>
      </c>
      <c r="F677">
        <v>14</v>
      </c>
      <c r="G677" t="s">
        <v>14</v>
      </c>
      <c r="H677" t="s">
        <v>37</v>
      </c>
    </row>
    <row r="678" spans="1:8" x14ac:dyDescent="0.25">
      <c r="A678" t="s">
        <v>38</v>
      </c>
      <c r="B678" t="s">
        <v>22</v>
      </c>
      <c r="C678" s="10">
        <v>45579</v>
      </c>
      <c r="D678">
        <v>0.7236842105263156</v>
      </c>
      <c r="E678">
        <v>96</v>
      </c>
      <c r="F678">
        <v>23</v>
      </c>
      <c r="G678" t="s">
        <v>14</v>
      </c>
      <c r="H678" t="s">
        <v>37</v>
      </c>
    </row>
    <row r="679" spans="1:8" x14ac:dyDescent="0.25">
      <c r="A679" t="s">
        <v>39</v>
      </c>
      <c r="B679" t="s">
        <v>22</v>
      </c>
      <c r="C679" s="10">
        <v>45583</v>
      </c>
      <c r="D679">
        <v>3.0701754385964914E-2</v>
      </c>
      <c r="E679">
        <v>96</v>
      </c>
      <c r="F679">
        <v>36</v>
      </c>
      <c r="G679" t="s">
        <v>14</v>
      </c>
      <c r="H679" t="s">
        <v>37</v>
      </c>
    </row>
    <row r="680" spans="1:8" x14ac:dyDescent="0.25">
      <c r="A680" t="s">
        <v>38</v>
      </c>
      <c r="B680" t="s">
        <v>22</v>
      </c>
      <c r="C680" s="10">
        <v>45583</v>
      </c>
      <c r="D680">
        <v>0.89035087719298245</v>
      </c>
      <c r="E680">
        <v>96</v>
      </c>
      <c r="F680">
        <v>35</v>
      </c>
      <c r="G680" t="s">
        <v>14</v>
      </c>
      <c r="H680" t="s">
        <v>37</v>
      </c>
    </row>
    <row r="681" spans="1:8" x14ac:dyDescent="0.25">
      <c r="A681" t="s">
        <v>36</v>
      </c>
      <c r="B681" t="s">
        <v>22</v>
      </c>
      <c r="C681" s="10">
        <v>45572</v>
      </c>
      <c r="D681">
        <v>1.021671826625387</v>
      </c>
      <c r="E681">
        <v>100</v>
      </c>
      <c r="F681">
        <v>1</v>
      </c>
      <c r="G681" t="s">
        <v>14</v>
      </c>
      <c r="H681" t="s">
        <v>37</v>
      </c>
    </row>
    <row r="682" spans="1:8" x14ac:dyDescent="0.25">
      <c r="A682" t="s">
        <v>38</v>
      </c>
      <c r="B682" t="s">
        <v>22</v>
      </c>
      <c r="C682" s="10">
        <v>45572</v>
      </c>
      <c r="D682">
        <v>3.0959752321981424E-2</v>
      </c>
      <c r="E682">
        <v>100</v>
      </c>
      <c r="F682">
        <v>2</v>
      </c>
      <c r="G682" t="s">
        <v>14</v>
      </c>
      <c r="H682" t="s">
        <v>37</v>
      </c>
    </row>
    <row r="683" spans="1:8" x14ac:dyDescent="0.25">
      <c r="A683" t="s">
        <v>36</v>
      </c>
      <c r="B683" t="s">
        <v>22</v>
      </c>
      <c r="C683" s="10">
        <v>45575</v>
      </c>
      <c r="D683">
        <v>0.78947368421052622</v>
      </c>
      <c r="E683">
        <v>100</v>
      </c>
      <c r="F683">
        <v>10</v>
      </c>
      <c r="G683" t="s">
        <v>14</v>
      </c>
      <c r="H683" t="s">
        <v>37</v>
      </c>
    </row>
    <row r="684" spans="1:8" x14ac:dyDescent="0.25">
      <c r="A684" t="s">
        <v>36</v>
      </c>
      <c r="B684" t="s">
        <v>22</v>
      </c>
      <c r="C684" s="10">
        <v>45578</v>
      </c>
      <c r="D684">
        <v>1.0079887218045114</v>
      </c>
      <c r="E684">
        <v>100</v>
      </c>
      <c r="F684">
        <v>19</v>
      </c>
      <c r="G684" t="s">
        <v>14</v>
      </c>
      <c r="H684" t="s">
        <v>37</v>
      </c>
    </row>
    <row r="685" spans="1:8" x14ac:dyDescent="0.25">
      <c r="A685" t="s">
        <v>38</v>
      </c>
      <c r="B685" t="s">
        <v>22</v>
      </c>
      <c r="C685" s="10">
        <v>45578</v>
      </c>
      <c r="D685">
        <v>0.70253759398496229</v>
      </c>
      <c r="E685">
        <v>100</v>
      </c>
      <c r="F685">
        <v>20</v>
      </c>
      <c r="G685" t="s">
        <v>14</v>
      </c>
      <c r="H685" t="s">
        <v>37</v>
      </c>
    </row>
    <row r="686" spans="1:8" x14ac:dyDescent="0.25">
      <c r="A686" t="s">
        <v>36</v>
      </c>
      <c r="B686" t="s">
        <v>22</v>
      </c>
      <c r="C686" s="10">
        <v>45579</v>
      </c>
      <c r="D686">
        <v>1.0216718266253872</v>
      </c>
      <c r="E686">
        <v>100</v>
      </c>
      <c r="F686">
        <v>22</v>
      </c>
      <c r="G686" t="s">
        <v>14</v>
      </c>
      <c r="H686" t="s">
        <v>37</v>
      </c>
    </row>
    <row r="687" spans="1:8" x14ac:dyDescent="0.25">
      <c r="A687" t="s">
        <v>38</v>
      </c>
      <c r="B687" t="s">
        <v>22</v>
      </c>
      <c r="C687" s="10">
        <v>45579</v>
      </c>
      <c r="D687">
        <v>3.0959752321981424E-2</v>
      </c>
      <c r="E687">
        <v>100</v>
      </c>
      <c r="F687">
        <v>23</v>
      </c>
      <c r="G687" t="s">
        <v>14</v>
      </c>
      <c r="H687" t="s">
        <v>37</v>
      </c>
    </row>
    <row r="688" spans="1:8" x14ac:dyDescent="0.25">
      <c r="A688" t="s">
        <v>36</v>
      </c>
      <c r="B688" t="s">
        <v>22</v>
      </c>
      <c r="C688" s="10">
        <v>45582</v>
      </c>
      <c r="D688">
        <v>0.78947368421052622</v>
      </c>
      <c r="E688">
        <v>100</v>
      </c>
      <c r="F688">
        <v>31</v>
      </c>
      <c r="G688" t="s">
        <v>14</v>
      </c>
      <c r="H688" t="s">
        <v>37</v>
      </c>
    </row>
    <row r="689" spans="1:8" x14ac:dyDescent="0.25">
      <c r="A689" t="s">
        <v>36</v>
      </c>
      <c r="B689" t="s">
        <v>22</v>
      </c>
      <c r="C689" s="10">
        <v>45584</v>
      </c>
      <c r="D689">
        <v>1.0216718266253872</v>
      </c>
      <c r="E689">
        <v>100</v>
      </c>
      <c r="F689">
        <v>37</v>
      </c>
      <c r="G689" t="s">
        <v>14</v>
      </c>
      <c r="H689" t="s">
        <v>37</v>
      </c>
    </row>
    <row r="690" spans="1:8" x14ac:dyDescent="0.25">
      <c r="A690" t="s">
        <v>38</v>
      </c>
      <c r="B690" t="s">
        <v>22</v>
      </c>
      <c r="C690" s="10">
        <v>45584</v>
      </c>
      <c r="D690">
        <v>3.0959752321981424E-2</v>
      </c>
      <c r="E690">
        <v>100</v>
      </c>
      <c r="F690">
        <v>38</v>
      </c>
      <c r="G690" t="s">
        <v>14</v>
      </c>
      <c r="H690" t="s">
        <v>37</v>
      </c>
    </row>
    <row r="691" spans="1:8" x14ac:dyDescent="0.25">
      <c r="A691" t="s">
        <v>36</v>
      </c>
      <c r="B691" t="s">
        <v>22</v>
      </c>
      <c r="C691" s="10">
        <v>45585</v>
      </c>
      <c r="D691">
        <v>0.78947368421052633</v>
      </c>
      <c r="E691">
        <v>100</v>
      </c>
      <c r="F691">
        <v>40</v>
      </c>
      <c r="G691" t="s">
        <v>14</v>
      </c>
      <c r="H691" t="s">
        <v>37</v>
      </c>
    </row>
    <row r="692" spans="1:8" x14ac:dyDescent="0.25">
      <c r="A692" t="s">
        <v>36</v>
      </c>
      <c r="B692" t="s">
        <v>22</v>
      </c>
      <c r="C692" s="10">
        <v>45572</v>
      </c>
      <c r="D692">
        <v>1.021671826625387</v>
      </c>
      <c r="E692">
        <v>102</v>
      </c>
      <c r="F692">
        <v>1</v>
      </c>
      <c r="G692" t="s">
        <v>14</v>
      </c>
      <c r="H692" t="s">
        <v>37</v>
      </c>
    </row>
    <row r="693" spans="1:8" x14ac:dyDescent="0.25">
      <c r="A693" t="s">
        <v>38</v>
      </c>
      <c r="B693" t="s">
        <v>22</v>
      </c>
      <c r="C693" s="10">
        <v>45572</v>
      </c>
      <c r="D693">
        <v>3.0959752321981424E-2</v>
      </c>
      <c r="E693">
        <v>102</v>
      </c>
      <c r="F693">
        <v>2</v>
      </c>
      <c r="G693" t="s">
        <v>14</v>
      </c>
      <c r="H693" t="s">
        <v>37</v>
      </c>
    </row>
    <row r="694" spans="1:8" x14ac:dyDescent="0.25">
      <c r="A694" t="s">
        <v>38</v>
      </c>
      <c r="B694" t="s">
        <v>22</v>
      </c>
      <c r="C694" s="10">
        <v>45576</v>
      </c>
      <c r="D694">
        <v>0.72368421052631571</v>
      </c>
      <c r="E694">
        <v>102</v>
      </c>
      <c r="F694">
        <v>14</v>
      </c>
      <c r="G694" t="s">
        <v>14</v>
      </c>
      <c r="H694" t="s">
        <v>37</v>
      </c>
    </row>
    <row r="695" spans="1:8" x14ac:dyDescent="0.25">
      <c r="A695" t="s">
        <v>39</v>
      </c>
      <c r="B695" t="s">
        <v>22</v>
      </c>
      <c r="C695" s="10">
        <v>45583</v>
      </c>
      <c r="D695">
        <v>3.0701754385964914E-2</v>
      </c>
      <c r="E695">
        <v>102</v>
      </c>
      <c r="F695">
        <v>36</v>
      </c>
      <c r="G695" t="s">
        <v>14</v>
      </c>
      <c r="H695" t="s">
        <v>37</v>
      </c>
    </row>
    <row r="696" spans="1:8" x14ac:dyDescent="0.25">
      <c r="A696" t="s">
        <v>38</v>
      </c>
      <c r="B696" t="s">
        <v>22</v>
      </c>
      <c r="C696" s="10">
        <v>45583</v>
      </c>
      <c r="D696">
        <v>0.89035087719298245</v>
      </c>
      <c r="E696">
        <v>102</v>
      </c>
      <c r="F696">
        <v>35</v>
      </c>
      <c r="G696" t="s">
        <v>14</v>
      </c>
      <c r="H696" t="s">
        <v>37</v>
      </c>
    </row>
    <row r="697" spans="1:8" x14ac:dyDescent="0.25">
      <c r="A697" t="s">
        <v>36</v>
      </c>
      <c r="B697" t="s">
        <v>22</v>
      </c>
      <c r="C697" s="10">
        <v>45573</v>
      </c>
      <c r="D697">
        <v>1.0216718266253872</v>
      </c>
      <c r="E697">
        <v>103</v>
      </c>
      <c r="F697">
        <v>4</v>
      </c>
      <c r="G697" t="s">
        <v>14</v>
      </c>
      <c r="H697" t="s">
        <v>37</v>
      </c>
    </row>
    <row r="698" spans="1:8" x14ac:dyDescent="0.25">
      <c r="A698" t="s">
        <v>38</v>
      </c>
      <c r="B698" t="s">
        <v>22</v>
      </c>
      <c r="C698" s="10">
        <v>45573</v>
      </c>
      <c r="D698">
        <v>3.0959752321981424E-2</v>
      </c>
      <c r="E698">
        <v>103</v>
      </c>
      <c r="F698">
        <v>5</v>
      </c>
      <c r="G698" t="s">
        <v>14</v>
      </c>
      <c r="H698" t="s">
        <v>37</v>
      </c>
    </row>
    <row r="699" spans="1:8" x14ac:dyDescent="0.25">
      <c r="A699" t="s">
        <v>39</v>
      </c>
      <c r="B699" t="s">
        <v>22</v>
      </c>
      <c r="C699" s="10">
        <v>45574</v>
      </c>
      <c r="D699">
        <v>1.0545112781954891</v>
      </c>
      <c r="E699">
        <v>103</v>
      </c>
      <c r="F699">
        <v>9</v>
      </c>
      <c r="G699" t="s">
        <v>14</v>
      </c>
      <c r="H699" t="s">
        <v>37</v>
      </c>
    </row>
    <row r="700" spans="1:8" x14ac:dyDescent="0.25">
      <c r="A700" t="s">
        <v>36</v>
      </c>
      <c r="B700" t="s">
        <v>22</v>
      </c>
      <c r="C700" s="10">
        <v>45575</v>
      </c>
      <c r="D700">
        <v>3.1015037593984971E-2</v>
      </c>
      <c r="E700">
        <v>103</v>
      </c>
      <c r="F700">
        <v>10</v>
      </c>
      <c r="G700" t="s">
        <v>14</v>
      </c>
      <c r="H700" t="s">
        <v>37</v>
      </c>
    </row>
    <row r="701" spans="1:8" x14ac:dyDescent="0.25">
      <c r="A701" t="s">
        <v>38</v>
      </c>
      <c r="B701" t="s">
        <v>22</v>
      </c>
      <c r="C701" s="10">
        <v>45575</v>
      </c>
      <c r="D701">
        <v>0.7236842105263156</v>
      </c>
      <c r="E701">
        <v>103</v>
      </c>
      <c r="F701">
        <v>11</v>
      </c>
      <c r="G701" t="s">
        <v>14</v>
      </c>
      <c r="H701" t="s">
        <v>37</v>
      </c>
    </row>
    <row r="702" spans="1:8" x14ac:dyDescent="0.25">
      <c r="A702" t="s">
        <v>38</v>
      </c>
      <c r="B702" t="s">
        <v>22</v>
      </c>
      <c r="C702" s="10">
        <v>45577</v>
      </c>
      <c r="D702">
        <v>0.625</v>
      </c>
      <c r="E702">
        <v>103</v>
      </c>
      <c r="F702">
        <v>17</v>
      </c>
      <c r="G702" t="s">
        <v>14</v>
      </c>
      <c r="H702" t="s">
        <v>37</v>
      </c>
    </row>
    <row r="703" spans="1:8" x14ac:dyDescent="0.25">
      <c r="A703" t="s">
        <v>36</v>
      </c>
      <c r="B703" t="s">
        <v>22</v>
      </c>
      <c r="C703" s="10">
        <v>45578</v>
      </c>
      <c r="D703">
        <v>1.0020242914979758</v>
      </c>
      <c r="E703">
        <v>103</v>
      </c>
      <c r="F703">
        <v>19</v>
      </c>
      <c r="G703" t="s">
        <v>14</v>
      </c>
      <c r="H703" t="s">
        <v>37</v>
      </c>
    </row>
    <row r="704" spans="1:8" x14ac:dyDescent="0.25">
      <c r="A704" t="s">
        <v>38</v>
      </c>
      <c r="B704" t="s">
        <v>22</v>
      </c>
      <c r="C704" s="10">
        <v>45578</v>
      </c>
      <c r="D704">
        <v>0.57692307692307687</v>
      </c>
      <c r="E704">
        <v>103</v>
      </c>
      <c r="F704">
        <v>20</v>
      </c>
      <c r="G704" t="s">
        <v>14</v>
      </c>
      <c r="H704" t="s">
        <v>37</v>
      </c>
    </row>
    <row r="705" spans="1:8" x14ac:dyDescent="0.25">
      <c r="A705" t="s">
        <v>36</v>
      </c>
      <c r="B705" t="s">
        <v>22</v>
      </c>
      <c r="C705" s="10">
        <v>45581</v>
      </c>
      <c r="D705">
        <v>0.78947368421052622</v>
      </c>
      <c r="E705">
        <v>103</v>
      </c>
      <c r="F705">
        <v>28</v>
      </c>
      <c r="G705" t="s">
        <v>14</v>
      </c>
      <c r="H705" t="s">
        <v>37</v>
      </c>
    </row>
    <row r="706" spans="1:8" x14ac:dyDescent="0.25">
      <c r="A706" t="s">
        <v>39</v>
      </c>
      <c r="B706" t="s">
        <v>22</v>
      </c>
      <c r="C706" s="10">
        <v>45574</v>
      </c>
      <c r="D706">
        <v>3.0701754385964914E-2</v>
      </c>
      <c r="E706">
        <v>105</v>
      </c>
      <c r="F706">
        <v>9</v>
      </c>
      <c r="G706" t="s">
        <v>14</v>
      </c>
      <c r="H706" t="s">
        <v>37</v>
      </c>
    </row>
    <row r="707" spans="1:8" x14ac:dyDescent="0.25">
      <c r="A707" t="s">
        <v>38</v>
      </c>
      <c r="B707" t="s">
        <v>22</v>
      </c>
      <c r="C707" s="10">
        <v>45574</v>
      </c>
      <c r="D707">
        <v>0.89035087719298245</v>
      </c>
      <c r="E707">
        <v>105</v>
      </c>
      <c r="F707">
        <v>8</v>
      </c>
      <c r="G707" t="s">
        <v>14</v>
      </c>
      <c r="H707" t="s">
        <v>37</v>
      </c>
    </row>
    <row r="708" spans="1:8" x14ac:dyDescent="0.25">
      <c r="A708" t="s">
        <v>36</v>
      </c>
      <c r="B708" t="s">
        <v>22</v>
      </c>
      <c r="C708" s="10">
        <v>45584</v>
      </c>
      <c r="D708">
        <v>0.78947368421052633</v>
      </c>
      <c r="E708">
        <v>106</v>
      </c>
      <c r="F708">
        <v>37</v>
      </c>
      <c r="G708" t="s">
        <v>14</v>
      </c>
      <c r="H708" t="s">
        <v>37</v>
      </c>
    </row>
    <row r="709" spans="1:8" x14ac:dyDescent="0.25">
      <c r="A709" t="s">
        <v>39</v>
      </c>
      <c r="B709" t="s">
        <v>22</v>
      </c>
      <c r="C709" s="10">
        <v>45574</v>
      </c>
      <c r="D709">
        <v>3.0701754385964914E-2</v>
      </c>
      <c r="E709">
        <v>107</v>
      </c>
      <c r="F709">
        <v>9</v>
      </c>
      <c r="G709" t="s">
        <v>14</v>
      </c>
      <c r="H709" t="s">
        <v>37</v>
      </c>
    </row>
    <row r="710" spans="1:8" x14ac:dyDescent="0.25">
      <c r="A710" t="s">
        <v>38</v>
      </c>
      <c r="B710" t="s">
        <v>22</v>
      </c>
      <c r="C710" s="10">
        <v>45574</v>
      </c>
      <c r="D710">
        <v>0.89035087719298245</v>
      </c>
      <c r="E710">
        <v>107</v>
      </c>
      <c r="F710">
        <v>8</v>
      </c>
      <c r="G710" t="s">
        <v>14</v>
      </c>
      <c r="H710" t="s">
        <v>37</v>
      </c>
    </row>
    <row r="711" spans="1:8" x14ac:dyDescent="0.25">
      <c r="A711" t="s">
        <v>38</v>
      </c>
      <c r="B711" t="s">
        <v>22</v>
      </c>
      <c r="C711" s="10">
        <v>45576</v>
      </c>
      <c r="D711">
        <v>0.72368421052631571</v>
      </c>
      <c r="E711">
        <v>107</v>
      </c>
      <c r="F711">
        <v>14</v>
      </c>
      <c r="G711" t="s">
        <v>14</v>
      </c>
      <c r="H711" t="s">
        <v>37</v>
      </c>
    </row>
    <row r="712" spans="1:8" x14ac:dyDescent="0.25">
      <c r="A712" t="s">
        <v>38</v>
      </c>
      <c r="B712" t="s">
        <v>22</v>
      </c>
      <c r="C712" s="10">
        <v>45579</v>
      </c>
      <c r="D712">
        <v>0.7236842105263156</v>
      </c>
      <c r="E712">
        <v>107</v>
      </c>
      <c r="F712">
        <v>23</v>
      </c>
      <c r="G712" t="s">
        <v>14</v>
      </c>
      <c r="H712" t="s">
        <v>37</v>
      </c>
    </row>
    <row r="713" spans="1:8" x14ac:dyDescent="0.25">
      <c r="A713" t="s">
        <v>39</v>
      </c>
      <c r="B713" t="s">
        <v>22</v>
      </c>
      <c r="C713" s="10">
        <v>45581</v>
      </c>
      <c r="D713">
        <v>3.0701754385964914E-2</v>
      </c>
      <c r="E713">
        <v>107</v>
      </c>
      <c r="F713">
        <v>30</v>
      </c>
      <c r="G713" t="s">
        <v>14</v>
      </c>
      <c r="H713" t="s">
        <v>37</v>
      </c>
    </row>
    <row r="714" spans="1:8" x14ac:dyDescent="0.25">
      <c r="A714" t="s">
        <v>38</v>
      </c>
      <c r="B714" t="s">
        <v>22</v>
      </c>
      <c r="C714" s="10">
        <v>45581</v>
      </c>
      <c r="D714">
        <v>0.89035087719298245</v>
      </c>
      <c r="E714">
        <v>107</v>
      </c>
      <c r="F714">
        <v>29</v>
      </c>
      <c r="G714" t="s">
        <v>14</v>
      </c>
      <c r="H714" t="s">
        <v>37</v>
      </c>
    </row>
    <row r="715" spans="1:8" x14ac:dyDescent="0.25">
      <c r="A715" t="s">
        <v>39</v>
      </c>
      <c r="B715" t="s">
        <v>22</v>
      </c>
      <c r="C715" s="10">
        <v>45582</v>
      </c>
      <c r="D715">
        <v>3.0701754385964914E-2</v>
      </c>
      <c r="E715">
        <v>107</v>
      </c>
      <c r="F715">
        <v>33</v>
      </c>
      <c r="G715" t="s">
        <v>14</v>
      </c>
      <c r="H715" t="s">
        <v>37</v>
      </c>
    </row>
    <row r="716" spans="1:8" x14ac:dyDescent="0.25">
      <c r="A716" t="s">
        <v>38</v>
      </c>
      <c r="B716" t="s">
        <v>22</v>
      </c>
      <c r="C716" s="10">
        <v>45582</v>
      </c>
      <c r="D716">
        <v>0.89035087719298234</v>
      </c>
      <c r="E716">
        <v>107</v>
      </c>
      <c r="F716">
        <v>32</v>
      </c>
      <c r="G716" t="s">
        <v>14</v>
      </c>
      <c r="H716" t="s">
        <v>37</v>
      </c>
    </row>
    <row r="717" spans="1:8" x14ac:dyDescent="0.25">
      <c r="A717" t="s">
        <v>36</v>
      </c>
      <c r="B717" t="s">
        <v>22</v>
      </c>
      <c r="C717" s="10">
        <v>45583</v>
      </c>
      <c r="D717">
        <v>1.0216718266253872</v>
      </c>
      <c r="E717">
        <v>107</v>
      </c>
      <c r="F717">
        <v>34</v>
      </c>
      <c r="G717" t="s">
        <v>14</v>
      </c>
      <c r="H717" t="s">
        <v>37</v>
      </c>
    </row>
    <row r="718" spans="1:8" x14ac:dyDescent="0.25">
      <c r="A718" t="s">
        <v>38</v>
      </c>
      <c r="B718" t="s">
        <v>22</v>
      </c>
      <c r="C718" s="10">
        <v>45583</v>
      </c>
      <c r="D718">
        <v>3.0959752321981424E-2</v>
      </c>
      <c r="E718">
        <v>107</v>
      </c>
      <c r="F718">
        <v>35</v>
      </c>
      <c r="G718" t="s">
        <v>14</v>
      </c>
      <c r="H718" t="s">
        <v>37</v>
      </c>
    </row>
    <row r="719" spans="1:8" x14ac:dyDescent="0.25">
      <c r="A719" t="s">
        <v>38</v>
      </c>
      <c r="B719" t="s">
        <v>22</v>
      </c>
      <c r="C719" s="10">
        <v>45584</v>
      </c>
      <c r="D719">
        <v>0.72368421052631571</v>
      </c>
      <c r="E719">
        <v>107</v>
      </c>
      <c r="F719">
        <v>38</v>
      </c>
      <c r="G719" t="s">
        <v>14</v>
      </c>
      <c r="H719" t="s">
        <v>37</v>
      </c>
    </row>
    <row r="720" spans="1:8" x14ac:dyDescent="0.25">
      <c r="A720" t="s">
        <v>38</v>
      </c>
      <c r="B720" t="s">
        <v>22</v>
      </c>
      <c r="C720" s="10">
        <v>45585</v>
      </c>
      <c r="D720">
        <v>0.72368421052631571</v>
      </c>
      <c r="E720">
        <v>107</v>
      </c>
      <c r="F720">
        <v>41</v>
      </c>
      <c r="G720" t="s">
        <v>14</v>
      </c>
      <c r="H720" t="s">
        <v>37</v>
      </c>
    </row>
    <row r="721" spans="1:8" x14ac:dyDescent="0.25">
      <c r="A721" t="s">
        <v>38</v>
      </c>
      <c r="B721" t="s">
        <v>30</v>
      </c>
      <c r="C721" s="10">
        <v>45572</v>
      </c>
      <c r="D721">
        <v>0.7236842105263156</v>
      </c>
      <c r="F721">
        <v>2</v>
      </c>
      <c r="G721" t="s">
        <v>14</v>
      </c>
      <c r="H721" t="s">
        <v>37</v>
      </c>
    </row>
    <row r="722" spans="1:8" x14ac:dyDescent="0.25">
      <c r="A722" t="s">
        <v>36</v>
      </c>
      <c r="B722" t="s">
        <v>30</v>
      </c>
      <c r="C722" s="10">
        <v>45576</v>
      </c>
      <c r="D722">
        <v>1.021671826625387</v>
      </c>
      <c r="E722">
        <v>2</v>
      </c>
      <c r="F722">
        <v>13</v>
      </c>
      <c r="G722" t="s">
        <v>14</v>
      </c>
      <c r="H722" t="s">
        <v>37</v>
      </c>
    </row>
    <row r="723" spans="1:8" x14ac:dyDescent="0.25">
      <c r="A723" t="s">
        <v>38</v>
      </c>
      <c r="B723" t="s">
        <v>30</v>
      </c>
      <c r="C723" s="10">
        <v>45576</v>
      </c>
      <c r="D723">
        <v>3.0959752321981424E-2</v>
      </c>
      <c r="E723">
        <v>2</v>
      </c>
      <c r="F723">
        <v>14</v>
      </c>
      <c r="G723" t="s">
        <v>14</v>
      </c>
      <c r="H723" t="s">
        <v>37</v>
      </c>
    </row>
    <row r="724" spans="1:8" x14ac:dyDescent="0.25">
      <c r="A724" t="s">
        <v>36</v>
      </c>
      <c r="B724" t="s">
        <v>30</v>
      </c>
      <c r="C724" s="10">
        <v>45577</v>
      </c>
      <c r="D724">
        <v>1.0216718266253872</v>
      </c>
      <c r="E724">
        <v>2</v>
      </c>
      <c r="F724">
        <v>16</v>
      </c>
      <c r="G724" t="s">
        <v>14</v>
      </c>
      <c r="H724" t="s">
        <v>37</v>
      </c>
    </row>
    <row r="725" spans="1:8" x14ac:dyDescent="0.25">
      <c r="A725" t="s">
        <v>38</v>
      </c>
      <c r="B725" t="s">
        <v>30</v>
      </c>
      <c r="C725" s="10">
        <v>45577</v>
      </c>
      <c r="D725">
        <v>3.0959752321981424E-2</v>
      </c>
      <c r="E725">
        <v>2</v>
      </c>
      <c r="F725">
        <v>17</v>
      </c>
      <c r="G725" t="s">
        <v>14</v>
      </c>
      <c r="H725" t="s">
        <v>37</v>
      </c>
    </row>
    <row r="726" spans="1:8" x14ac:dyDescent="0.25">
      <c r="A726" t="s">
        <v>36</v>
      </c>
      <c r="B726" t="s">
        <v>30</v>
      </c>
      <c r="C726" s="10">
        <v>45582</v>
      </c>
      <c r="D726">
        <v>1.021671826625387</v>
      </c>
      <c r="E726">
        <v>2</v>
      </c>
      <c r="F726">
        <v>31</v>
      </c>
      <c r="G726" t="s">
        <v>14</v>
      </c>
      <c r="H726" t="s">
        <v>37</v>
      </c>
    </row>
    <row r="727" spans="1:8" x14ac:dyDescent="0.25">
      <c r="A727" t="s">
        <v>38</v>
      </c>
      <c r="B727" t="s">
        <v>30</v>
      </c>
      <c r="C727" s="10">
        <v>45582</v>
      </c>
      <c r="D727">
        <v>3.0959752321981424E-2</v>
      </c>
      <c r="E727">
        <v>2</v>
      </c>
      <c r="F727">
        <v>32</v>
      </c>
      <c r="G727" t="s">
        <v>14</v>
      </c>
      <c r="H727" t="s">
        <v>37</v>
      </c>
    </row>
    <row r="728" spans="1:8" x14ac:dyDescent="0.25">
      <c r="A728" t="s">
        <v>36</v>
      </c>
      <c r="B728" t="s">
        <v>30</v>
      </c>
      <c r="C728" s="10">
        <v>45584</v>
      </c>
      <c r="D728">
        <v>1.0216718266253872</v>
      </c>
      <c r="E728">
        <v>2</v>
      </c>
      <c r="F728">
        <v>37</v>
      </c>
      <c r="G728" t="s">
        <v>14</v>
      </c>
      <c r="H728" t="s">
        <v>37</v>
      </c>
    </row>
    <row r="729" spans="1:8" x14ac:dyDescent="0.25">
      <c r="A729" t="s">
        <v>38</v>
      </c>
      <c r="B729" t="s">
        <v>30</v>
      </c>
      <c r="C729" s="10">
        <v>45584</v>
      </c>
      <c r="D729">
        <v>3.0959752321981424E-2</v>
      </c>
      <c r="E729">
        <v>2</v>
      </c>
      <c r="F729">
        <v>38</v>
      </c>
      <c r="G729" t="s">
        <v>14</v>
      </c>
      <c r="H729" t="s">
        <v>37</v>
      </c>
    </row>
    <row r="730" spans="1:8" x14ac:dyDescent="0.25">
      <c r="A730" t="s">
        <v>36</v>
      </c>
      <c r="B730" t="s">
        <v>30</v>
      </c>
      <c r="C730" s="10">
        <v>45572</v>
      </c>
      <c r="D730">
        <v>1.021671826625387</v>
      </c>
      <c r="E730">
        <v>10</v>
      </c>
      <c r="F730">
        <v>1</v>
      </c>
      <c r="G730" t="s">
        <v>14</v>
      </c>
      <c r="H730" t="s">
        <v>37</v>
      </c>
    </row>
    <row r="731" spans="1:8" x14ac:dyDescent="0.25">
      <c r="A731" t="s">
        <v>38</v>
      </c>
      <c r="B731" t="s">
        <v>30</v>
      </c>
      <c r="C731" s="10">
        <v>45572</v>
      </c>
      <c r="D731">
        <v>3.0959752321981424E-2</v>
      </c>
      <c r="E731">
        <v>10</v>
      </c>
      <c r="F731">
        <v>2</v>
      </c>
      <c r="G731" t="s">
        <v>14</v>
      </c>
      <c r="H731" t="s">
        <v>37</v>
      </c>
    </row>
    <row r="732" spans="1:8" x14ac:dyDescent="0.25">
      <c r="A732" t="s">
        <v>36</v>
      </c>
      <c r="B732" t="s">
        <v>30</v>
      </c>
      <c r="C732" s="10">
        <v>45578</v>
      </c>
      <c r="D732">
        <v>1.0216718266253872</v>
      </c>
      <c r="E732">
        <v>10</v>
      </c>
      <c r="F732">
        <v>19</v>
      </c>
      <c r="G732" t="s">
        <v>14</v>
      </c>
      <c r="H732" t="s">
        <v>37</v>
      </c>
    </row>
    <row r="733" spans="1:8" x14ac:dyDescent="0.25">
      <c r="A733" t="s">
        <v>38</v>
      </c>
      <c r="B733" t="s">
        <v>30</v>
      </c>
      <c r="C733" s="10">
        <v>45578</v>
      </c>
      <c r="D733">
        <v>3.0959752321981424E-2</v>
      </c>
      <c r="E733">
        <v>10</v>
      </c>
      <c r="F733">
        <v>20</v>
      </c>
      <c r="G733" t="s">
        <v>14</v>
      </c>
      <c r="H733" t="s">
        <v>37</v>
      </c>
    </row>
    <row r="734" spans="1:8" x14ac:dyDescent="0.25">
      <c r="A734" t="s">
        <v>36</v>
      </c>
      <c r="B734" t="s">
        <v>30</v>
      </c>
      <c r="C734" s="10">
        <v>45579</v>
      </c>
      <c r="D734">
        <v>1.0216718266253872</v>
      </c>
      <c r="E734">
        <v>10</v>
      </c>
      <c r="F734">
        <v>22</v>
      </c>
      <c r="G734" t="s">
        <v>14</v>
      </c>
      <c r="H734" t="s">
        <v>37</v>
      </c>
    </row>
    <row r="735" spans="1:8" x14ac:dyDescent="0.25">
      <c r="A735" t="s">
        <v>38</v>
      </c>
      <c r="B735" t="s">
        <v>30</v>
      </c>
      <c r="C735" s="10">
        <v>45579</v>
      </c>
      <c r="D735">
        <v>3.0959752321981424E-2</v>
      </c>
      <c r="E735">
        <v>10</v>
      </c>
      <c r="F735">
        <v>23</v>
      </c>
      <c r="G735" t="s">
        <v>14</v>
      </c>
      <c r="H735" t="s">
        <v>37</v>
      </c>
    </row>
    <row r="736" spans="1:8" x14ac:dyDescent="0.25">
      <c r="A736" t="s">
        <v>36</v>
      </c>
      <c r="B736" t="s">
        <v>30</v>
      </c>
      <c r="C736" s="10">
        <v>45582</v>
      </c>
      <c r="D736">
        <v>1.021671826625387</v>
      </c>
      <c r="E736">
        <v>10</v>
      </c>
      <c r="F736">
        <v>31</v>
      </c>
      <c r="G736" t="s">
        <v>14</v>
      </c>
      <c r="H736" t="s">
        <v>37</v>
      </c>
    </row>
    <row r="737" spans="1:8" x14ac:dyDescent="0.25">
      <c r="A737" t="s">
        <v>38</v>
      </c>
      <c r="B737" t="s">
        <v>30</v>
      </c>
      <c r="C737" s="10">
        <v>45582</v>
      </c>
      <c r="D737">
        <v>3.0959752321981424E-2</v>
      </c>
      <c r="E737">
        <v>10</v>
      </c>
      <c r="F737">
        <v>32</v>
      </c>
      <c r="G737" t="s">
        <v>14</v>
      </c>
      <c r="H737" t="s">
        <v>37</v>
      </c>
    </row>
    <row r="738" spans="1:8" x14ac:dyDescent="0.25">
      <c r="A738" t="s">
        <v>36</v>
      </c>
      <c r="B738" t="s">
        <v>30</v>
      </c>
      <c r="C738" s="10">
        <v>45584</v>
      </c>
      <c r="D738">
        <v>1.0216718266253872</v>
      </c>
      <c r="E738">
        <v>10</v>
      </c>
      <c r="F738">
        <v>37</v>
      </c>
      <c r="G738" t="s">
        <v>14</v>
      </c>
      <c r="H738" t="s">
        <v>37</v>
      </c>
    </row>
    <row r="739" spans="1:8" x14ac:dyDescent="0.25">
      <c r="A739" t="s">
        <v>38</v>
      </c>
      <c r="B739" t="s">
        <v>30</v>
      </c>
      <c r="C739" s="10">
        <v>45584</v>
      </c>
      <c r="D739">
        <v>3.0959752321981424E-2</v>
      </c>
      <c r="E739">
        <v>10</v>
      </c>
      <c r="F739">
        <v>38</v>
      </c>
      <c r="G739" t="s">
        <v>14</v>
      </c>
      <c r="H739" t="s">
        <v>37</v>
      </c>
    </row>
    <row r="740" spans="1:8" x14ac:dyDescent="0.25">
      <c r="A740" t="s">
        <v>36</v>
      </c>
      <c r="B740" t="s">
        <v>30</v>
      </c>
      <c r="C740" s="10">
        <v>45585</v>
      </c>
      <c r="D740">
        <v>1.021671826625387</v>
      </c>
      <c r="E740">
        <v>10</v>
      </c>
      <c r="F740">
        <v>40</v>
      </c>
      <c r="G740" t="s">
        <v>14</v>
      </c>
      <c r="H740" t="s">
        <v>37</v>
      </c>
    </row>
    <row r="741" spans="1:8" x14ac:dyDescent="0.25">
      <c r="A741" t="s">
        <v>38</v>
      </c>
      <c r="B741" t="s">
        <v>30</v>
      </c>
      <c r="C741" s="10">
        <v>45585</v>
      </c>
      <c r="D741">
        <v>3.0959752321981424E-2</v>
      </c>
      <c r="E741">
        <v>10</v>
      </c>
      <c r="F741">
        <v>41</v>
      </c>
      <c r="G741" t="s">
        <v>14</v>
      </c>
      <c r="H741" t="s">
        <v>37</v>
      </c>
    </row>
    <row r="742" spans="1:8" x14ac:dyDescent="0.25">
      <c r="A742" t="s">
        <v>39</v>
      </c>
      <c r="B742" t="s">
        <v>30</v>
      </c>
      <c r="C742" s="10">
        <v>45572</v>
      </c>
      <c r="D742">
        <v>3.0701754385964914E-2</v>
      </c>
      <c r="E742">
        <v>17</v>
      </c>
      <c r="F742">
        <v>3</v>
      </c>
      <c r="G742" t="s">
        <v>14</v>
      </c>
      <c r="H742" t="s">
        <v>37</v>
      </c>
    </row>
    <row r="743" spans="1:8" x14ac:dyDescent="0.25">
      <c r="A743" t="s">
        <v>38</v>
      </c>
      <c r="B743" t="s">
        <v>30</v>
      </c>
      <c r="C743" s="10">
        <v>45572</v>
      </c>
      <c r="D743">
        <v>0.89035087719298234</v>
      </c>
      <c r="E743">
        <v>17</v>
      </c>
      <c r="F743">
        <v>2</v>
      </c>
      <c r="G743" t="s">
        <v>14</v>
      </c>
      <c r="H743" t="s">
        <v>37</v>
      </c>
    </row>
    <row r="744" spans="1:8" x14ac:dyDescent="0.25">
      <c r="A744" t="s">
        <v>36</v>
      </c>
      <c r="B744" t="s">
        <v>30</v>
      </c>
      <c r="C744" s="10">
        <v>45576</v>
      </c>
      <c r="D744">
        <v>1.021671826625387</v>
      </c>
      <c r="E744">
        <v>17</v>
      </c>
      <c r="F744">
        <v>13</v>
      </c>
      <c r="G744" t="s">
        <v>14</v>
      </c>
      <c r="H744" t="s">
        <v>37</v>
      </c>
    </row>
    <row r="745" spans="1:8" x14ac:dyDescent="0.25">
      <c r="A745" t="s">
        <v>38</v>
      </c>
      <c r="B745" t="s">
        <v>30</v>
      </c>
      <c r="C745" s="10">
        <v>45576</v>
      </c>
      <c r="D745">
        <v>3.0959752321981424E-2</v>
      </c>
      <c r="E745">
        <v>17</v>
      </c>
      <c r="F745">
        <v>14</v>
      </c>
      <c r="G745" t="s">
        <v>14</v>
      </c>
      <c r="H745" t="s">
        <v>37</v>
      </c>
    </row>
    <row r="746" spans="1:8" x14ac:dyDescent="0.25">
      <c r="A746" t="s">
        <v>36</v>
      </c>
      <c r="B746" t="s">
        <v>30</v>
      </c>
      <c r="C746" s="10">
        <v>45578</v>
      </c>
      <c r="D746">
        <v>1.0216718266253872</v>
      </c>
      <c r="E746">
        <v>17</v>
      </c>
      <c r="F746">
        <v>19</v>
      </c>
      <c r="G746" t="s">
        <v>14</v>
      </c>
      <c r="H746" t="s">
        <v>37</v>
      </c>
    </row>
    <row r="747" spans="1:8" x14ac:dyDescent="0.25">
      <c r="A747" t="s">
        <v>38</v>
      </c>
      <c r="B747" t="s">
        <v>30</v>
      </c>
      <c r="C747" s="10">
        <v>45578</v>
      </c>
      <c r="D747">
        <v>3.0959752321981424E-2</v>
      </c>
      <c r="E747">
        <v>17</v>
      </c>
      <c r="F747">
        <v>20</v>
      </c>
      <c r="G747" t="s">
        <v>14</v>
      </c>
      <c r="H747" t="s">
        <v>37</v>
      </c>
    </row>
    <row r="748" spans="1:8" x14ac:dyDescent="0.25">
      <c r="A748" t="s">
        <v>39</v>
      </c>
      <c r="B748" t="s">
        <v>30</v>
      </c>
      <c r="C748" s="10">
        <v>45579</v>
      </c>
      <c r="D748">
        <v>3.0701754385964914E-2</v>
      </c>
      <c r="E748">
        <v>17</v>
      </c>
      <c r="F748">
        <v>24</v>
      </c>
      <c r="G748" t="s">
        <v>14</v>
      </c>
      <c r="H748" t="s">
        <v>37</v>
      </c>
    </row>
    <row r="749" spans="1:8" x14ac:dyDescent="0.25">
      <c r="A749" t="s">
        <v>38</v>
      </c>
      <c r="B749" t="s">
        <v>30</v>
      </c>
      <c r="C749" s="10">
        <v>45579</v>
      </c>
      <c r="D749">
        <v>0.89035087719298234</v>
      </c>
      <c r="E749">
        <v>17</v>
      </c>
      <c r="F749">
        <v>23</v>
      </c>
      <c r="G749" t="s">
        <v>14</v>
      </c>
      <c r="H749" t="s">
        <v>37</v>
      </c>
    </row>
    <row r="750" spans="1:8" x14ac:dyDescent="0.25">
      <c r="A750" t="s">
        <v>36</v>
      </c>
      <c r="B750" t="s">
        <v>30</v>
      </c>
      <c r="C750" s="10">
        <v>45583</v>
      </c>
      <c r="D750">
        <v>1.0216718266253872</v>
      </c>
      <c r="E750">
        <v>17</v>
      </c>
      <c r="F750">
        <v>34</v>
      </c>
      <c r="G750" t="s">
        <v>14</v>
      </c>
      <c r="H750" t="s">
        <v>37</v>
      </c>
    </row>
    <row r="751" spans="1:8" x14ac:dyDescent="0.25">
      <c r="A751" t="s">
        <v>38</v>
      </c>
      <c r="B751" t="s">
        <v>30</v>
      </c>
      <c r="C751" s="10">
        <v>45583</v>
      </c>
      <c r="D751">
        <v>3.0959752321981424E-2</v>
      </c>
      <c r="E751">
        <v>17</v>
      </c>
      <c r="F751">
        <v>35</v>
      </c>
      <c r="G751" t="s">
        <v>14</v>
      </c>
      <c r="H751" t="s">
        <v>37</v>
      </c>
    </row>
    <row r="752" spans="1:8" x14ac:dyDescent="0.25">
      <c r="A752" t="s">
        <v>36</v>
      </c>
      <c r="B752" t="s">
        <v>30</v>
      </c>
      <c r="C752" s="10">
        <v>45585</v>
      </c>
      <c r="D752">
        <v>1.021671826625387</v>
      </c>
      <c r="E752">
        <v>17</v>
      </c>
      <c r="F752">
        <v>40</v>
      </c>
      <c r="G752" t="s">
        <v>14</v>
      </c>
      <c r="H752" t="s">
        <v>37</v>
      </c>
    </row>
    <row r="753" spans="1:8" x14ac:dyDescent="0.25">
      <c r="A753" t="s">
        <v>38</v>
      </c>
      <c r="B753" t="s">
        <v>30</v>
      </c>
      <c r="C753" s="10">
        <v>45585</v>
      </c>
      <c r="D753">
        <v>3.0959752321981424E-2</v>
      </c>
      <c r="E753">
        <v>17</v>
      </c>
      <c r="F753">
        <v>41</v>
      </c>
      <c r="G753" t="s">
        <v>14</v>
      </c>
      <c r="H753" t="s">
        <v>37</v>
      </c>
    </row>
    <row r="754" spans="1:8" x14ac:dyDescent="0.25">
      <c r="A754" t="s">
        <v>36</v>
      </c>
      <c r="B754" t="s">
        <v>30</v>
      </c>
      <c r="C754" s="10">
        <v>45573</v>
      </c>
      <c r="D754">
        <v>0.85526315789473684</v>
      </c>
      <c r="E754">
        <v>22</v>
      </c>
      <c r="F754">
        <v>4</v>
      </c>
      <c r="G754" t="s">
        <v>14</v>
      </c>
      <c r="H754" t="s">
        <v>37</v>
      </c>
    </row>
    <row r="755" spans="1:8" x14ac:dyDescent="0.25">
      <c r="A755" t="s">
        <v>36</v>
      </c>
      <c r="B755" t="s">
        <v>30</v>
      </c>
      <c r="C755" s="10">
        <v>45574</v>
      </c>
      <c r="D755">
        <v>0.85526315789473684</v>
      </c>
      <c r="E755">
        <v>22</v>
      </c>
      <c r="F755">
        <v>7</v>
      </c>
      <c r="G755" t="s">
        <v>14</v>
      </c>
      <c r="H755" t="s">
        <v>37</v>
      </c>
    </row>
    <row r="756" spans="1:8" x14ac:dyDescent="0.25">
      <c r="A756" t="s">
        <v>36</v>
      </c>
      <c r="B756" t="s">
        <v>30</v>
      </c>
      <c r="C756" s="10">
        <v>45580</v>
      </c>
      <c r="D756">
        <v>0.85526315789473684</v>
      </c>
      <c r="E756">
        <v>22</v>
      </c>
      <c r="F756">
        <v>25</v>
      </c>
      <c r="G756" t="s">
        <v>14</v>
      </c>
      <c r="H756" t="s">
        <v>37</v>
      </c>
    </row>
    <row r="757" spans="1:8" x14ac:dyDescent="0.25">
      <c r="A757" t="s">
        <v>36</v>
      </c>
      <c r="B757" t="s">
        <v>30</v>
      </c>
      <c r="C757" s="10">
        <v>45581</v>
      </c>
      <c r="D757">
        <v>0.85526315789473684</v>
      </c>
      <c r="E757">
        <v>22</v>
      </c>
      <c r="F757">
        <v>28</v>
      </c>
      <c r="G757" t="s">
        <v>14</v>
      </c>
      <c r="H757" t="s">
        <v>37</v>
      </c>
    </row>
    <row r="758" spans="1:8" x14ac:dyDescent="0.25">
      <c r="A758" t="s">
        <v>38</v>
      </c>
      <c r="B758" t="s">
        <v>30</v>
      </c>
      <c r="C758" s="10">
        <v>45574</v>
      </c>
      <c r="D758">
        <v>0.72368421052631571</v>
      </c>
      <c r="E758">
        <v>32</v>
      </c>
      <c r="F758">
        <v>8</v>
      </c>
      <c r="G758" t="s">
        <v>14</v>
      </c>
      <c r="H758" t="s">
        <v>37</v>
      </c>
    </row>
    <row r="759" spans="1:8" x14ac:dyDescent="0.25">
      <c r="A759" t="s">
        <v>36</v>
      </c>
      <c r="B759" t="s">
        <v>30</v>
      </c>
      <c r="C759" s="10">
        <v>45575</v>
      </c>
      <c r="D759">
        <v>1.021671826625387</v>
      </c>
      <c r="E759">
        <v>32</v>
      </c>
      <c r="F759">
        <v>10</v>
      </c>
      <c r="G759" t="s">
        <v>14</v>
      </c>
      <c r="H759" t="s">
        <v>37</v>
      </c>
    </row>
    <row r="760" spans="1:8" x14ac:dyDescent="0.25">
      <c r="A760" t="s">
        <v>38</v>
      </c>
      <c r="B760" t="s">
        <v>30</v>
      </c>
      <c r="C760" s="10">
        <v>45575</v>
      </c>
      <c r="D760">
        <v>3.0959752321981424E-2</v>
      </c>
      <c r="E760">
        <v>32</v>
      </c>
      <c r="F760">
        <v>11</v>
      </c>
      <c r="G760" t="s">
        <v>14</v>
      </c>
      <c r="H760" t="s">
        <v>37</v>
      </c>
    </row>
    <row r="761" spans="1:8" x14ac:dyDescent="0.25">
      <c r="A761" t="s">
        <v>38</v>
      </c>
      <c r="B761" t="s">
        <v>30</v>
      </c>
      <c r="C761" s="10">
        <v>45581</v>
      </c>
      <c r="D761">
        <v>0.7236842105263156</v>
      </c>
      <c r="E761">
        <v>32</v>
      </c>
      <c r="F761">
        <v>29</v>
      </c>
      <c r="G761" t="s">
        <v>14</v>
      </c>
      <c r="H761" t="s">
        <v>37</v>
      </c>
    </row>
    <row r="762" spans="1:8" x14ac:dyDescent="0.25">
      <c r="A762" t="s">
        <v>36</v>
      </c>
      <c r="B762" t="s">
        <v>30</v>
      </c>
      <c r="C762" s="10">
        <v>45583</v>
      </c>
      <c r="D762">
        <v>1.0216718266253872</v>
      </c>
      <c r="E762">
        <v>32</v>
      </c>
      <c r="F762">
        <v>34</v>
      </c>
      <c r="G762" t="s">
        <v>14</v>
      </c>
      <c r="H762" t="s">
        <v>37</v>
      </c>
    </row>
    <row r="763" spans="1:8" x14ac:dyDescent="0.25">
      <c r="A763" t="s">
        <v>38</v>
      </c>
      <c r="B763" t="s">
        <v>30</v>
      </c>
      <c r="C763" s="10">
        <v>45583</v>
      </c>
      <c r="D763">
        <v>3.0959752321981424E-2</v>
      </c>
      <c r="E763">
        <v>32</v>
      </c>
      <c r="F763">
        <v>35</v>
      </c>
      <c r="G763" t="s">
        <v>14</v>
      </c>
      <c r="H763" t="s">
        <v>37</v>
      </c>
    </row>
    <row r="764" spans="1:8" x14ac:dyDescent="0.25">
      <c r="A764" t="s">
        <v>38</v>
      </c>
      <c r="B764" t="s">
        <v>30</v>
      </c>
      <c r="C764" s="10">
        <v>45573</v>
      </c>
      <c r="D764">
        <v>0.7236842105263156</v>
      </c>
      <c r="E764">
        <v>40</v>
      </c>
      <c r="F764">
        <v>5</v>
      </c>
      <c r="G764" t="s">
        <v>14</v>
      </c>
      <c r="H764" t="s">
        <v>37</v>
      </c>
    </row>
    <row r="765" spans="1:8" x14ac:dyDescent="0.25">
      <c r="A765" t="s">
        <v>38</v>
      </c>
      <c r="B765" t="s">
        <v>30</v>
      </c>
      <c r="C765" s="10">
        <v>45574</v>
      </c>
      <c r="D765">
        <v>0.72368421052631571</v>
      </c>
      <c r="E765">
        <v>40</v>
      </c>
      <c r="F765">
        <v>8</v>
      </c>
      <c r="G765" t="s">
        <v>14</v>
      </c>
      <c r="H765" t="s">
        <v>37</v>
      </c>
    </row>
    <row r="766" spans="1:8" x14ac:dyDescent="0.25">
      <c r="A766" t="s">
        <v>38</v>
      </c>
      <c r="B766" t="s">
        <v>30</v>
      </c>
      <c r="C766" s="10">
        <v>45577</v>
      </c>
      <c r="D766">
        <v>0.72368421052631582</v>
      </c>
      <c r="E766">
        <v>40</v>
      </c>
      <c r="F766">
        <v>17</v>
      </c>
      <c r="G766" t="s">
        <v>14</v>
      </c>
      <c r="H766" t="s">
        <v>37</v>
      </c>
    </row>
    <row r="767" spans="1:8" x14ac:dyDescent="0.25">
      <c r="A767" t="s">
        <v>38</v>
      </c>
      <c r="B767" t="s">
        <v>30</v>
      </c>
      <c r="C767" s="10">
        <v>45578</v>
      </c>
      <c r="D767">
        <v>0.7236842105263156</v>
      </c>
      <c r="E767">
        <v>40</v>
      </c>
      <c r="F767">
        <v>20</v>
      </c>
      <c r="G767" t="s">
        <v>14</v>
      </c>
      <c r="H767" t="s">
        <v>37</v>
      </c>
    </row>
    <row r="768" spans="1:8" x14ac:dyDescent="0.25">
      <c r="A768" t="s">
        <v>38</v>
      </c>
      <c r="B768" t="s">
        <v>30</v>
      </c>
      <c r="C768" s="10">
        <v>45580</v>
      </c>
      <c r="D768">
        <v>0.72368421052631571</v>
      </c>
      <c r="E768">
        <v>40</v>
      </c>
      <c r="F768">
        <v>26</v>
      </c>
      <c r="G768" t="s">
        <v>14</v>
      </c>
      <c r="H768" t="s">
        <v>37</v>
      </c>
    </row>
    <row r="769" spans="1:8" x14ac:dyDescent="0.25">
      <c r="A769" t="s">
        <v>38</v>
      </c>
      <c r="B769" t="s">
        <v>30</v>
      </c>
      <c r="C769" s="10">
        <v>45581</v>
      </c>
      <c r="D769">
        <v>0.7236842105263156</v>
      </c>
      <c r="E769">
        <v>40</v>
      </c>
      <c r="F769">
        <v>29</v>
      </c>
      <c r="G769" t="s">
        <v>14</v>
      </c>
      <c r="H769" t="s">
        <v>37</v>
      </c>
    </row>
    <row r="770" spans="1:8" x14ac:dyDescent="0.25">
      <c r="A770" t="s">
        <v>38</v>
      </c>
      <c r="B770" t="s">
        <v>30</v>
      </c>
      <c r="C770" s="10">
        <v>45584</v>
      </c>
      <c r="D770">
        <v>0.72368421052631571</v>
      </c>
      <c r="E770">
        <v>40</v>
      </c>
      <c r="F770">
        <v>38</v>
      </c>
      <c r="G770" t="s">
        <v>14</v>
      </c>
      <c r="H770" t="s">
        <v>37</v>
      </c>
    </row>
    <row r="771" spans="1:8" x14ac:dyDescent="0.25">
      <c r="A771" t="s">
        <v>38</v>
      </c>
      <c r="B771" t="s">
        <v>30</v>
      </c>
      <c r="C771" s="10">
        <v>45585</v>
      </c>
      <c r="D771">
        <v>0.72368421052631571</v>
      </c>
      <c r="E771">
        <v>40</v>
      </c>
      <c r="F771">
        <v>41</v>
      </c>
      <c r="G771" t="s">
        <v>14</v>
      </c>
      <c r="H771" t="s">
        <v>37</v>
      </c>
    </row>
    <row r="772" spans="1:8" x14ac:dyDescent="0.25">
      <c r="A772" t="s">
        <v>36</v>
      </c>
      <c r="B772" t="s">
        <v>30</v>
      </c>
      <c r="C772" s="10">
        <v>45572</v>
      </c>
      <c r="D772">
        <v>1.021671826625387</v>
      </c>
      <c r="E772">
        <v>42</v>
      </c>
      <c r="F772">
        <v>1</v>
      </c>
      <c r="G772" t="s">
        <v>14</v>
      </c>
      <c r="H772" t="s">
        <v>37</v>
      </c>
    </row>
    <row r="773" spans="1:8" x14ac:dyDescent="0.25">
      <c r="A773" t="s">
        <v>38</v>
      </c>
      <c r="B773" t="s">
        <v>30</v>
      </c>
      <c r="C773" s="10">
        <v>45572</v>
      </c>
      <c r="D773">
        <v>3.0959752321981424E-2</v>
      </c>
      <c r="E773">
        <v>42</v>
      </c>
      <c r="F773">
        <v>2</v>
      </c>
      <c r="G773" t="s">
        <v>14</v>
      </c>
      <c r="H773" t="s">
        <v>37</v>
      </c>
    </row>
    <row r="774" spans="1:8" x14ac:dyDescent="0.25">
      <c r="A774" t="s">
        <v>38</v>
      </c>
      <c r="B774" t="s">
        <v>30</v>
      </c>
      <c r="C774" s="10">
        <v>45584</v>
      </c>
      <c r="D774">
        <v>0.72368421052631571</v>
      </c>
      <c r="E774">
        <v>53</v>
      </c>
      <c r="F774">
        <v>38</v>
      </c>
      <c r="G774" t="s">
        <v>14</v>
      </c>
      <c r="H774" t="s">
        <v>37</v>
      </c>
    </row>
    <row r="775" spans="1:8" x14ac:dyDescent="0.25">
      <c r="A775" t="s">
        <v>36</v>
      </c>
      <c r="B775" t="s">
        <v>30</v>
      </c>
      <c r="C775" s="10">
        <v>45585</v>
      </c>
      <c r="D775">
        <v>1.0093490304709143</v>
      </c>
      <c r="E775">
        <v>53</v>
      </c>
      <c r="F775">
        <v>40</v>
      </c>
      <c r="G775" t="s">
        <v>14</v>
      </c>
      <c r="H775" t="s">
        <v>37</v>
      </c>
    </row>
    <row r="776" spans="1:8" x14ac:dyDescent="0.25">
      <c r="A776" t="s">
        <v>38</v>
      </c>
      <c r="B776" t="s">
        <v>30</v>
      </c>
      <c r="C776" s="10">
        <v>45585</v>
      </c>
      <c r="D776">
        <v>0.73407202216066492</v>
      </c>
      <c r="E776">
        <v>53</v>
      </c>
      <c r="F776">
        <v>41</v>
      </c>
      <c r="G776" t="s">
        <v>14</v>
      </c>
      <c r="H776" t="s">
        <v>37</v>
      </c>
    </row>
    <row r="777" spans="1:8" x14ac:dyDescent="0.25">
      <c r="A777" t="s">
        <v>36</v>
      </c>
      <c r="B777" t="s">
        <v>30</v>
      </c>
      <c r="C777" s="10">
        <v>45574</v>
      </c>
      <c r="D777">
        <v>1.0216718266253872</v>
      </c>
      <c r="E777">
        <v>66</v>
      </c>
      <c r="F777">
        <v>7</v>
      </c>
      <c r="G777" t="s">
        <v>14</v>
      </c>
      <c r="H777" t="s">
        <v>37</v>
      </c>
    </row>
    <row r="778" spans="1:8" x14ac:dyDescent="0.25">
      <c r="A778" t="s">
        <v>38</v>
      </c>
      <c r="B778" t="s">
        <v>30</v>
      </c>
      <c r="C778" s="10">
        <v>45574</v>
      </c>
      <c r="D778">
        <v>3.0959752321981424E-2</v>
      </c>
      <c r="E778">
        <v>66</v>
      </c>
      <c r="F778">
        <v>8</v>
      </c>
      <c r="G778" t="s">
        <v>14</v>
      </c>
      <c r="H778" t="s">
        <v>37</v>
      </c>
    </row>
    <row r="779" spans="1:8" x14ac:dyDescent="0.25">
      <c r="A779" t="s">
        <v>36</v>
      </c>
      <c r="B779" t="s">
        <v>30</v>
      </c>
      <c r="C779" s="10">
        <v>45575</v>
      </c>
      <c r="D779">
        <v>1.021671826625387</v>
      </c>
      <c r="E779">
        <v>66</v>
      </c>
      <c r="F779">
        <v>10</v>
      </c>
      <c r="G779" t="s">
        <v>14</v>
      </c>
      <c r="H779" t="s">
        <v>37</v>
      </c>
    </row>
    <row r="780" spans="1:8" x14ac:dyDescent="0.25">
      <c r="A780" t="s">
        <v>38</v>
      </c>
      <c r="B780" t="s">
        <v>30</v>
      </c>
      <c r="C780" s="10">
        <v>45575</v>
      </c>
      <c r="D780">
        <v>3.0959752321981424E-2</v>
      </c>
      <c r="E780">
        <v>66</v>
      </c>
      <c r="F780">
        <v>11</v>
      </c>
      <c r="G780" t="s">
        <v>14</v>
      </c>
      <c r="H780" t="s">
        <v>37</v>
      </c>
    </row>
    <row r="781" spans="1:8" x14ac:dyDescent="0.25">
      <c r="A781" t="s">
        <v>36</v>
      </c>
      <c r="B781" t="s">
        <v>30</v>
      </c>
      <c r="C781" s="10">
        <v>45579</v>
      </c>
      <c r="D781">
        <v>1.0216718266253872</v>
      </c>
      <c r="E781">
        <v>66</v>
      </c>
      <c r="F781">
        <v>22</v>
      </c>
      <c r="G781" t="s">
        <v>14</v>
      </c>
      <c r="H781" t="s">
        <v>37</v>
      </c>
    </row>
    <row r="782" spans="1:8" x14ac:dyDescent="0.25">
      <c r="A782" t="s">
        <v>38</v>
      </c>
      <c r="B782" t="s">
        <v>30</v>
      </c>
      <c r="C782" s="10">
        <v>45579</v>
      </c>
      <c r="D782">
        <v>3.0959752321981424E-2</v>
      </c>
      <c r="E782">
        <v>66</v>
      </c>
      <c r="F782">
        <v>23</v>
      </c>
      <c r="G782" t="s">
        <v>14</v>
      </c>
      <c r="H782" t="s">
        <v>37</v>
      </c>
    </row>
    <row r="783" spans="1:8" x14ac:dyDescent="0.25">
      <c r="A783" t="s">
        <v>36</v>
      </c>
      <c r="B783" t="s">
        <v>30</v>
      </c>
      <c r="C783" s="10">
        <v>45581</v>
      </c>
      <c r="D783">
        <v>1.021671826625387</v>
      </c>
      <c r="E783">
        <v>66</v>
      </c>
      <c r="F783">
        <v>28</v>
      </c>
      <c r="G783" t="s">
        <v>14</v>
      </c>
      <c r="H783" t="s">
        <v>37</v>
      </c>
    </row>
    <row r="784" spans="1:8" x14ac:dyDescent="0.25">
      <c r="A784" t="s">
        <v>38</v>
      </c>
      <c r="B784" t="s">
        <v>30</v>
      </c>
      <c r="C784" s="10">
        <v>45581</v>
      </c>
      <c r="D784">
        <v>3.0959752321981424E-2</v>
      </c>
      <c r="E784">
        <v>66</v>
      </c>
      <c r="F784">
        <v>29</v>
      </c>
      <c r="G784" t="s">
        <v>14</v>
      </c>
      <c r="H784" t="s">
        <v>37</v>
      </c>
    </row>
    <row r="785" spans="1:8" x14ac:dyDescent="0.25">
      <c r="A785" t="s">
        <v>38</v>
      </c>
      <c r="B785" t="s">
        <v>30</v>
      </c>
      <c r="C785" s="10">
        <v>45583</v>
      </c>
      <c r="D785">
        <v>0.7236842105263156</v>
      </c>
      <c r="E785">
        <v>66</v>
      </c>
      <c r="F785">
        <v>35</v>
      </c>
      <c r="G785" t="s">
        <v>14</v>
      </c>
      <c r="H785" t="s">
        <v>37</v>
      </c>
    </row>
    <row r="786" spans="1:8" x14ac:dyDescent="0.25">
      <c r="A786" t="s">
        <v>38</v>
      </c>
      <c r="B786" t="s">
        <v>30</v>
      </c>
      <c r="C786" s="10">
        <v>45573</v>
      </c>
      <c r="D786">
        <v>0.7236842105263156</v>
      </c>
      <c r="E786">
        <v>77</v>
      </c>
      <c r="F786">
        <v>5</v>
      </c>
      <c r="G786" t="s">
        <v>14</v>
      </c>
      <c r="H786" t="s">
        <v>37</v>
      </c>
    </row>
    <row r="787" spans="1:8" x14ac:dyDescent="0.25">
      <c r="A787" t="s">
        <v>39</v>
      </c>
      <c r="B787" t="s">
        <v>30</v>
      </c>
      <c r="C787" s="10">
        <v>45575</v>
      </c>
      <c r="D787">
        <v>3.0701754385964914E-2</v>
      </c>
      <c r="E787">
        <v>77</v>
      </c>
      <c r="F787">
        <v>12</v>
      </c>
      <c r="G787" t="s">
        <v>14</v>
      </c>
      <c r="H787" t="s">
        <v>37</v>
      </c>
    </row>
    <row r="788" spans="1:8" x14ac:dyDescent="0.25">
      <c r="A788" t="s">
        <v>38</v>
      </c>
      <c r="B788" t="s">
        <v>30</v>
      </c>
      <c r="C788" s="10">
        <v>45575</v>
      </c>
      <c r="D788">
        <v>0.89035087719298234</v>
      </c>
      <c r="E788">
        <v>77</v>
      </c>
      <c r="F788">
        <v>11</v>
      </c>
      <c r="G788" t="s">
        <v>14</v>
      </c>
      <c r="H788" t="s">
        <v>37</v>
      </c>
    </row>
    <row r="789" spans="1:8" x14ac:dyDescent="0.25">
      <c r="A789" t="s">
        <v>39</v>
      </c>
      <c r="B789" t="s">
        <v>30</v>
      </c>
      <c r="C789" s="10">
        <v>45576</v>
      </c>
      <c r="D789">
        <v>3.0701754385964914E-2</v>
      </c>
      <c r="E789">
        <v>77</v>
      </c>
      <c r="F789">
        <v>15</v>
      </c>
      <c r="G789" t="s">
        <v>14</v>
      </c>
      <c r="H789" t="s">
        <v>37</v>
      </c>
    </row>
    <row r="790" spans="1:8" x14ac:dyDescent="0.25">
      <c r="A790" t="s">
        <v>38</v>
      </c>
      <c r="B790" t="s">
        <v>30</v>
      </c>
      <c r="C790" s="10">
        <v>45576</v>
      </c>
      <c r="D790">
        <v>0.89035087719298223</v>
      </c>
      <c r="E790">
        <v>77</v>
      </c>
      <c r="F790">
        <v>14</v>
      </c>
      <c r="G790" t="s">
        <v>14</v>
      </c>
      <c r="H790" t="s">
        <v>37</v>
      </c>
    </row>
    <row r="791" spans="1:8" x14ac:dyDescent="0.25">
      <c r="A791" t="s">
        <v>39</v>
      </c>
      <c r="B791" t="s">
        <v>30</v>
      </c>
      <c r="C791" s="10">
        <v>45577</v>
      </c>
      <c r="D791">
        <v>3.0701754385964914E-2</v>
      </c>
      <c r="E791">
        <v>77</v>
      </c>
      <c r="F791">
        <v>18</v>
      </c>
      <c r="G791" t="s">
        <v>14</v>
      </c>
      <c r="H791" t="s">
        <v>37</v>
      </c>
    </row>
    <row r="792" spans="1:8" x14ac:dyDescent="0.25">
      <c r="A792" t="s">
        <v>38</v>
      </c>
      <c r="B792" t="s">
        <v>30</v>
      </c>
      <c r="C792" s="10">
        <v>45577</v>
      </c>
      <c r="D792">
        <v>0.89035087719298223</v>
      </c>
      <c r="E792">
        <v>77</v>
      </c>
      <c r="F792">
        <v>17</v>
      </c>
      <c r="G792" t="s">
        <v>14</v>
      </c>
      <c r="H792" t="s">
        <v>37</v>
      </c>
    </row>
    <row r="793" spans="1:8" x14ac:dyDescent="0.25">
      <c r="A793" t="s">
        <v>38</v>
      </c>
      <c r="B793" t="s">
        <v>30</v>
      </c>
      <c r="C793" s="10">
        <v>45578</v>
      </c>
      <c r="D793">
        <v>0.7236842105263156</v>
      </c>
      <c r="E793">
        <v>77</v>
      </c>
      <c r="F793">
        <v>20</v>
      </c>
      <c r="G793" t="s">
        <v>14</v>
      </c>
      <c r="H793" t="s">
        <v>37</v>
      </c>
    </row>
    <row r="794" spans="1:8" x14ac:dyDescent="0.25">
      <c r="A794" t="s">
        <v>38</v>
      </c>
      <c r="B794" t="s">
        <v>30</v>
      </c>
      <c r="C794" s="10">
        <v>45580</v>
      </c>
      <c r="D794">
        <v>0.72368421052631571</v>
      </c>
      <c r="E794">
        <v>77</v>
      </c>
      <c r="F794">
        <v>26</v>
      </c>
      <c r="G794" t="s">
        <v>14</v>
      </c>
      <c r="H794" t="s">
        <v>37</v>
      </c>
    </row>
    <row r="795" spans="1:8" x14ac:dyDescent="0.25">
      <c r="A795" t="s">
        <v>38</v>
      </c>
      <c r="B795" t="s">
        <v>30</v>
      </c>
      <c r="C795" s="10">
        <v>45581</v>
      </c>
      <c r="D795">
        <v>0.7236842105263156</v>
      </c>
      <c r="E795">
        <v>77</v>
      </c>
      <c r="F795">
        <v>29</v>
      </c>
      <c r="G795" t="s">
        <v>14</v>
      </c>
      <c r="H795" t="s">
        <v>37</v>
      </c>
    </row>
    <row r="796" spans="1:8" x14ac:dyDescent="0.25">
      <c r="A796" t="s">
        <v>39</v>
      </c>
      <c r="B796" t="s">
        <v>30</v>
      </c>
      <c r="C796" s="10">
        <v>45582</v>
      </c>
      <c r="D796">
        <v>3.0701754385964914E-2</v>
      </c>
      <c r="E796">
        <v>77</v>
      </c>
      <c r="F796">
        <v>33</v>
      </c>
      <c r="G796" t="s">
        <v>14</v>
      </c>
      <c r="H796" t="s">
        <v>37</v>
      </c>
    </row>
    <row r="797" spans="1:8" x14ac:dyDescent="0.25">
      <c r="A797" t="s">
        <v>38</v>
      </c>
      <c r="B797" t="s">
        <v>30</v>
      </c>
      <c r="C797" s="10">
        <v>45582</v>
      </c>
      <c r="D797">
        <v>0.89035087719298234</v>
      </c>
      <c r="E797">
        <v>77</v>
      </c>
      <c r="F797">
        <v>32</v>
      </c>
      <c r="G797" t="s">
        <v>14</v>
      </c>
      <c r="H797" t="s">
        <v>37</v>
      </c>
    </row>
    <row r="798" spans="1:8" x14ac:dyDescent="0.25">
      <c r="A798" t="s">
        <v>39</v>
      </c>
      <c r="B798" t="s">
        <v>30</v>
      </c>
      <c r="C798" s="10">
        <v>45583</v>
      </c>
      <c r="D798">
        <v>3.0701754385964914E-2</v>
      </c>
      <c r="E798">
        <v>77</v>
      </c>
      <c r="F798">
        <v>36</v>
      </c>
      <c r="G798" t="s">
        <v>14</v>
      </c>
      <c r="H798" t="s">
        <v>37</v>
      </c>
    </row>
    <row r="799" spans="1:8" x14ac:dyDescent="0.25">
      <c r="A799" t="s">
        <v>38</v>
      </c>
      <c r="B799" t="s">
        <v>30</v>
      </c>
      <c r="C799" s="10">
        <v>45583</v>
      </c>
      <c r="D799">
        <v>0.89035087719298245</v>
      </c>
      <c r="E799">
        <v>77</v>
      </c>
      <c r="F799">
        <v>35</v>
      </c>
      <c r="G799" t="s">
        <v>14</v>
      </c>
      <c r="H799" t="s">
        <v>37</v>
      </c>
    </row>
    <row r="800" spans="1:8" x14ac:dyDescent="0.25">
      <c r="A800" t="s">
        <v>36</v>
      </c>
      <c r="B800" t="s">
        <v>30</v>
      </c>
      <c r="C800" s="10">
        <v>45573</v>
      </c>
      <c r="D800">
        <v>1.0216718266253872</v>
      </c>
      <c r="E800">
        <v>91</v>
      </c>
      <c r="F800">
        <v>4</v>
      </c>
      <c r="G800" t="s">
        <v>14</v>
      </c>
      <c r="H800" t="s">
        <v>37</v>
      </c>
    </row>
    <row r="801" spans="1:8" x14ac:dyDescent="0.25">
      <c r="A801" t="s">
        <v>38</v>
      </c>
      <c r="B801" t="s">
        <v>30</v>
      </c>
      <c r="C801" s="10">
        <v>45573</v>
      </c>
      <c r="D801">
        <v>3.0959752321981424E-2</v>
      </c>
      <c r="E801">
        <v>91</v>
      </c>
      <c r="F801">
        <v>5</v>
      </c>
      <c r="G801" t="s">
        <v>14</v>
      </c>
      <c r="H801" t="s">
        <v>37</v>
      </c>
    </row>
    <row r="802" spans="1:8" x14ac:dyDescent="0.25">
      <c r="A802" t="s">
        <v>39</v>
      </c>
      <c r="B802" t="s">
        <v>30</v>
      </c>
      <c r="C802" s="10">
        <v>45575</v>
      </c>
      <c r="D802">
        <v>3.0701754385964914E-2</v>
      </c>
      <c r="E802">
        <v>95</v>
      </c>
      <c r="F802">
        <v>12</v>
      </c>
      <c r="G802" t="s">
        <v>14</v>
      </c>
      <c r="H802" t="s">
        <v>37</v>
      </c>
    </row>
    <row r="803" spans="1:8" x14ac:dyDescent="0.25">
      <c r="A803" t="s">
        <v>38</v>
      </c>
      <c r="B803" t="s">
        <v>30</v>
      </c>
      <c r="C803" s="10">
        <v>45575</v>
      </c>
      <c r="D803">
        <v>0.89035087719298234</v>
      </c>
      <c r="E803">
        <v>95</v>
      </c>
      <c r="F803">
        <v>11</v>
      </c>
      <c r="G803" t="s">
        <v>14</v>
      </c>
      <c r="H803" t="s">
        <v>37</v>
      </c>
    </row>
    <row r="804" spans="1:8" x14ac:dyDescent="0.25">
      <c r="A804" t="s">
        <v>38</v>
      </c>
      <c r="B804" t="s">
        <v>30</v>
      </c>
      <c r="C804" s="10">
        <v>45576</v>
      </c>
      <c r="D804">
        <v>0.72368421052631571</v>
      </c>
      <c r="E804">
        <v>95</v>
      </c>
      <c r="F804">
        <v>14</v>
      </c>
      <c r="G804" t="s">
        <v>14</v>
      </c>
      <c r="H804" t="s">
        <v>37</v>
      </c>
    </row>
    <row r="805" spans="1:8" x14ac:dyDescent="0.25">
      <c r="A805" t="s">
        <v>36</v>
      </c>
      <c r="B805" t="s">
        <v>30</v>
      </c>
      <c r="C805" s="10">
        <v>45577</v>
      </c>
      <c r="D805">
        <v>1.0216718266253872</v>
      </c>
      <c r="E805">
        <v>95</v>
      </c>
      <c r="F805">
        <v>16</v>
      </c>
      <c r="G805" t="s">
        <v>14</v>
      </c>
      <c r="H805" t="s">
        <v>37</v>
      </c>
    </row>
    <row r="806" spans="1:8" x14ac:dyDescent="0.25">
      <c r="A806" t="s">
        <v>38</v>
      </c>
      <c r="B806" t="s">
        <v>30</v>
      </c>
      <c r="C806" s="10">
        <v>45577</v>
      </c>
      <c r="D806">
        <v>3.0959752321981424E-2</v>
      </c>
      <c r="E806">
        <v>95</v>
      </c>
      <c r="F806">
        <v>17</v>
      </c>
      <c r="G806" t="s">
        <v>14</v>
      </c>
      <c r="H806" t="s">
        <v>37</v>
      </c>
    </row>
    <row r="807" spans="1:8" x14ac:dyDescent="0.25">
      <c r="A807" t="s">
        <v>39</v>
      </c>
      <c r="B807" t="s">
        <v>30</v>
      </c>
      <c r="C807" s="10">
        <v>45579</v>
      </c>
      <c r="D807">
        <v>3.0701754385964914E-2</v>
      </c>
      <c r="E807">
        <v>95</v>
      </c>
      <c r="F807">
        <v>24</v>
      </c>
      <c r="G807" t="s">
        <v>14</v>
      </c>
      <c r="H807" t="s">
        <v>37</v>
      </c>
    </row>
    <row r="808" spans="1:8" x14ac:dyDescent="0.25">
      <c r="A808" t="s">
        <v>38</v>
      </c>
      <c r="B808" t="s">
        <v>30</v>
      </c>
      <c r="C808" s="10">
        <v>45579</v>
      </c>
      <c r="D808">
        <v>0.89035087719298234</v>
      </c>
      <c r="E808">
        <v>95</v>
      </c>
      <c r="F808">
        <v>23</v>
      </c>
      <c r="G808" t="s">
        <v>14</v>
      </c>
      <c r="H808" t="s">
        <v>37</v>
      </c>
    </row>
    <row r="809" spans="1:8" x14ac:dyDescent="0.25">
      <c r="A809" t="s">
        <v>38</v>
      </c>
      <c r="B809" t="s">
        <v>30</v>
      </c>
      <c r="C809" s="10">
        <v>45582</v>
      </c>
      <c r="D809">
        <v>0.7236842105263156</v>
      </c>
      <c r="E809">
        <v>95</v>
      </c>
      <c r="F809">
        <v>32</v>
      </c>
      <c r="G809" t="s">
        <v>14</v>
      </c>
      <c r="H809" t="s">
        <v>37</v>
      </c>
    </row>
    <row r="810" spans="1:8" x14ac:dyDescent="0.25">
      <c r="A810" t="s">
        <v>36</v>
      </c>
      <c r="B810" t="s">
        <v>29</v>
      </c>
      <c r="C810" s="10">
        <v>45572</v>
      </c>
      <c r="D810">
        <v>0.86687306501547989</v>
      </c>
      <c r="E810">
        <v>14</v>
      </c>
      <c r="F810">
        <v>1</v>
      </c>
      <c r="G810" t="s">
        <v>14</v>
      </c>
      <c r="H810" t="s">
        <v>37</v>
      </c>
    </row>
    <row r="811" spans="1:8" x14ac:dyDescent="0.25">
      <c r="A811" t="s">
        <v>38</v>
      </c>
      <c r="B811" t="s">
        <v>29</v>
      </c>
      <c r="C811" s="10">
        <v>45572</v>
      </c>
      <c r="D811">
        <v>0.18575851393188855</v>
      </c>
      <c r="E811">
        <v>14</v>
      </c>
      <c r="F811">
        <v>2</v>
      </c>
      <c r="G811" t="s">
        <v>14</v>
      </c>
      <c r="H811" t="s">
        <v>37</v>
      </c>
    </row>
    <row r="812" spans="1:8" x14ac:dyDescent="0.25">
      <c r="A812" t="s">
        <v>39</v>
      </c>
      <c r="B812" t="s">
        <v>29</v>
      </c>
      <c r="C812" s="10">
        <v>45573</v>
      </c>
      <c r="D812">
        <v>0.15479876160990713</v>
      </c>
      <c r="E812">
        <v>14</v>
      </c>
      <c r="F812">
        <v>6</v>
      </c>
      <c r="G812" t="s">
        <v>14</v>
      </c>
      <c r="H812" t="s">
        <v>37</v>
      </c>
    </row>
    <row r="813" spans="1:8" x14ac:dyDescent="0.25">
      <c r="A813" t="s">
        <v>38</v>
      </c>
      <c r="B813" t="s">
        <v>29</v>
      </c>
      <c r="C813" s="10">
        <v>45573</v>
      </c>
      <c r="D813">
        <v>0.89783281733746145</v>
      </c>
      <c r="E813">
        <v>14</v>
      </c>
      <c r="F813">
        <v>5</v>
      </c>
      <c r="G813" t="s">
        <v>14</v>
      </c>
      <c r="H813" t="s">
        <v>37</v>
      </c>
    </row>
    <row r="814" spans="1:8" x14ac:dyDescent="0.25">
      <c r="A814" t="s">
        <v>36</v>
      </c>
      <c r="B814" t="s">
        <v>29</v>
      </c>
      <c r="C814" s="10">
        <v>45575</v>
      </c>
      <c r="D814">
        <v>0.86687306501547989</v>
      </c>
      <c r="E814">
        <v>14</v>
      </c>
      <c r="F814">
        <v>10</v>
      </c>
      <c r="G814" t="s">
        <v>14</v>
      </c>
      <c r="H814" t="s">
        <v>37</v>
      </c>
    </row>
    <row r="815" spans="1:8" x14ac:dyDescent="0.25">
      <c r="A815" t="s">
        <v>38</v>
      </c>
      <c r="B815" t="s">
        <v>29</v>
      </c>
      <c r="C815" s="10">
        <v>45575</v>
      </c>
      <c r="D815">
        <v>0.18575851393188855</v>
      </c>
      <c r="E815">
        <v>14</v>
      </c>
      <c r="F815">
        <v>11</v>
      </c>
      <c r="G815" t="s">
        <v>14</v>
      </c>
      <c r="H815" t="s">
        <v>37</v>
      </c>
    </row>
    <row r="816" spans="1:8" x14ac:dyDescent="0.25">
      <c r="A816" t="s">
        <v>36</v>
      </c>
      <c r="B816" t="s">
        <v>29</v>
      </c>
      <c r="C816" s="10">
        <v>45576</v>
      </c>
      <c r="D816">
        <v>0.86687306501547989</v>
      </c>
      <c r="E816">
        <v>14</v>
      </c>
      <c r="F816">
        <v>13</v>
      </c>
      <c r="G816" t="s">
        <v>14</v>
      </c>
      <c r="H816" t="s">
        <v>37</v>
      </c>
    </row>
    <row r="817" spans="1:8" x14ac:dyDescent="0.25">
      <c r="A817" t="s">
        <v>38</v>
      </c>
      <c r="B817" t="s">
        <v>29</v>
      </c>
      <c r="C817" s="10">
        <v>45576</v>
      </c>
      <c r="D817">
        <v>0.18575851393188855</v>
      </c>
      <c r="E817">
        <v>14</v>
      </c>
      <c r="F817">
        <v>14</v>
      </c>
      <c r="G817" t="s">
        <v>14</v>
      </c>
      <c r="H817" t="s">
        <v>37</v>
      </c>
    </row>
    <row r="818" spans="1:8" x14ac:dyDescent="0.25">
      <c r="A818" t="s">
        <v>36</v>
      </c>
      <c r="B818" t="s">
        <v>29</v>
      </c>
      <c r="C818" s="10">
        <v>45577</v>
      </c>
      <c r="D818">
        <v>0.86687306501548</v>
      </c>
      <c r="E818">
        <v>14</v>
      </c>
      <c r="F818">
        <v>16</v>
      </c>
      <c r="G818" t="s">
        <v>14</v>
      </c>
      <c r="H818" t="s">
        <v>37</v>
      </c>
    </row>
    <row r="819" spans="1:8" x14ac:dyDescent="0.25">
      <c r="A819" t="s">
        <v>38</v>
      </c>
      <c r="B819" t="s">
        <v>29</v>
      </c>
      <c r="C819" s="10">
        <v>45577</v>
      </c>
      <c r="D819">
        <v>0.18575851393188855</v>
      </c>
      <c r="E819">
        <v>14</v>
      </c>
      <c r="F819">
        <v>17</v>
      </c>
      <c r="G819" t="s">
        <v>14</v>
      </c>
      <c r="H819" t="s">
        <v>37</v>
      </c>
    </row>
    <row r="820" spans="1:8" x14ac:dyDescent="0.25">
      <c r="A820" t="s">
        <v>36</v>
      </c>
      <c r="B820" t="s">
        <v>29</v>
      </c>
      <c r="C820" s="10">
        <v>45579</v>
      </c>
      <c r="D820">
        <v>0.86687306501548</v>
      </c>
      <c r="E820">
        <v>14</v>
      </c>
      <c r="F820">
        <v>22</v>
      </c>
      <c r="G820" t="s">
        <v>14</v>
      </c>
      <c r="H820" t="s">
        <v>37</v>
      </c>
    </row>
    <row r="821" spans="1:8" x14ac:dyDescent="0.25">
      <c r="A821" t="s">
        <v>38</v>
      </c>
      <c r="B821" t="s">
        <v>29</v>
      </c>
      <c r="C821" s="10">
        <v>45579</v>
      </c>
      <c r="D821">
        <v>0.18575851393188855</v>
      </c>
      <c r="E821">
        <v>14</v>
      </c>
      <c r="F821">
        <v>23</v>
      </c>
      <c r="G821" t="s">
        <v>14</v>
      </c>
      <c r="H821" t="s">
        <v>37</v>
      </c>
    </row>
    <row r="822" spans="1:8" x14ac:dyDescent="0.25">
      <c r="A822" t="s">
        <v>39</v>
      </c>
      <c r="B822" t="s">
        <v>29</v>
      </c>
      <c r="C822" s="10">
        <v>45580</v>
      </c>
      <c r="D822">
        <v>0.15479876160990713</v>
      </c>
      <c r="E822">
        <v>14</v>
      </c>
      <c r="F822">
        <v>27</v>
      </c>
      <c r="G822" t="s">
        <v>14</v>
      </c>
      <c r="H822" t="s">
        <v>37</v>
      </c>
    </row>
    <row r="823" spans="1:8" x14ac:dyDescent="0.25">
      <c r="A823" t="s">
        <v>38</v>
      </c>
      <c r="B823" t="s">
        <v>29</v>
      </c>
      <c r="C823" s="10">
        <v>45580</v>
      </c>
      <c r="D823">
        <v>0.89783281733746145</v>
      </c>
      <c r="E823">
        <v>14</v>
      </c>
      <c r="F823">
        <v>26</v>
      </c>
      <c r="G823" t="s">
        <v>14</v>
      </c>
      <c r="H823" t="s">
        <v>37</v>
      </c>
    </row>
    <row r="824" spans="1:8" x14ac:dyDescent="0.25">
      <c r="A824" t="s">
        <v>36</v>
      </c>
      <c r="B824" t="s">
        <v>29</v>
      </c>
      <c r="C824" s="10">
        <v>45582</v>
      </c>
      <c r="D824">
        <v>0.86162988115449912</v>
      </c>
      <c r="E824">
        <v>14</v>
      </c>
      <c r="F824">
        <v>31</v>
      </c>
      <c r="G824" t="s">
        <v>14</v>
      </c>
      <c r="H824" t="s">
        <v>37</v>
      </c>
    </row>
    <row r="825" spans="1:8" x14ac:dyDescent="0.25">
      <c r="A825" t="s">
        <v>39</v>
      </c>
      <c r="B825" t="s">
        <v>29</v>
      </c>
      <c r="C825" s="10">
        <v>45582</v>
      </c>
      <c r="D825">
        <v>0.15386247877758916</v>
      </c>
      <c r="E825">
        <v>14</v>
      </c>
      <c r="F825">
        <v>33</v>
      </c>
      <c r="G825" t="s">
        <v>14</v>
      </c>
      <c r="H825" t="s">
        <v>37</v>
      </c>
    </row>
    <row r="826" spans="1:8" x14ac:dyDescent="0.25">
      <c r="A826" t="s">
        <v>38</v>
      </c>
      <c r="B826" t="s">
        <v>29</v>
      </c>
      <c r="C826" s="10">
        <v>45582</v>
      </c>
      <c r="D826">
        <v>0.892402376910017</v>
      </c>
      <c r="E826">
        <v>14</v>
      </c>
      <c r="F826">
        <v>32</v>
      </c>
      <c r="G826" t="s">
        <v>14</v>
      </c>
      <c r="H826" t="s">
        <v>37</v>
      </c>
    </row>
    <row r="827" spans="1:8" x14ac:dyDescent="0.25">
      <c r="A827" t="s">
        <v>36</v>
      </c>
      <c r="B827" t="s">
        <v>29</v>
      </c>
      <c r="C827" s="10">
        <v>45583</v>
      </c>
      <c r="D827">
        <v>0.67199248120300747</v>
      </c>
      <c r="E827">
        <v>14</v>
      </c>
      <c r="F827">
        <v>34</v>
      </c>
      <c r="G827" t="s">
        <v>14</v>
      </c>
      <c r="H827" t="s">
        <v>37</v>
      </c>
    </row>
    <row r="828" spans="1:8" x14ac:dyDescent="0.25">
      <c r="A828" t="s">
        <v>38</v>
      </c>
      <c r="B828" t="s">
        <v>29</v>
      </c>
      <c r="C828" s="10">
        <v>45583</v>
      </c>
      <c r="D828">
        <v>0.18327067669172931</v>
      </c>
      <c r="E828">
        <v>14</v>
      </c>
      <c r="F828">
        <v>35</v>
      </c>
      <c r="G828" t="s">
        <v>14</v>
      </c>
      <c r="H828" t="s">
        <v>37</v>
      </c>
    </row>
    <row r="829" spans="1:8" x14ac:dyDescent="0.25">
      <c r="A829" t="s">
        <v>39</v>
      </c>
      <c r="B829" t="s">
        <v>29</v>
      </c>
      <c r="C829" s="10">
        <v>45585</v>
      </c>
      <c r="D829">
        <v>0.15479876160990713</v>
      </c>
      <c r="E829">
        <v>14</v>
      </c>
      <c r="F829">
        <v>42</v>
      </c>
      <c r="G829" t="s">
        <v>14</v>
      </c>
      <c r="H829" t="s">
        <v>37</v>
      </c>
    </row>
    <row r="830" spans="1:8" x14ac:dyDescent="0.25">
      <c r="A830" t="s">
        <v>38</v>
      </c>
      <c r="B830" t="s">
        <v>29</v>
      </c>
      <c r="C830" s="10">
        <v>45585</v>
      </c>
      <c r="D830">
        <v>0.89783281733746134</v>
      </c>
      <c r="E830">
        <v>14</v>
      </c>
      <c r="F830">
        <v>41</v>
      </c>
      <c r="G830" t="s">
        <v>14</v>
      </c>
      <c r="H830" t="s">
        <v>37</v>
      </c>
    </row>
    <row r="831" spans="1:8" x14ac:dyDescent="0.25">
      <c r="A831" t="s">
        <v>36</v>
      </c>
      <c r="B831" t="s">
        <v>29</v>
      </c>
      <c r="C831" s="10">
        <v>45573</v>
      </c>
      <c r="D831">
        <v>0.73684210526315785</v>
      </c>
      <c r="E831">
        <v>26</v>
      </c>
      <c r="F831">
        <v>4</v>
      </c>
      <c r="G831" t="s">
        <v>14</v>
      </c>
      <c r="H831" t="s">
        <v>37</v>
      </c>
    </row>
    <row r="832" spans="1:8" x14ac:dyDescent="0.25">
      <c r="A832" t="s">
        <v>38</v>
      </c>
      <c r="B832" t="s">
        <v>29</v>
      </c>
      <c r="C832" s="10">
        <v>45573</v>
      </c>
      <c r="D832">
        <v>0.18421052631578946</v>
      </c>
      <c r="E832">
        <v>26</v>
      </c>
      <c r="F832">
        <v>5</v>
      </c>
      <c r="G832" t="s">
        <v>14</v>
      </c>
      <c r="H832" t="s">
        <v>37</v>
      </c>
    </row>
    <row r="833" spans="1:8" x14ac:dyDescent="0.25">
      <c r="A833" t="s">
        <v>36</v>
      </c>
      <c r="B833" t="s">
        <v>29</v>
      </c>
      <c r="C833" s="10">
        <v>45574</v>
      </c>
      <c r="D833">
        <v>0.72368421052631571</v>
      </c>
      <c r="E833">
        <v>26</v>
      </c>
      <c r="F833">
        <v>7</v>
      </c>
      <c r="G833" t="s">
        <v>14</v>
      </c>
      <c r="H833" t="s">
        <v>37</v>
      </c>
    </row>
    <row r="834" spans="1:8" x14ac:dyDescent="0.25">
      <c r="A834" t="s">
        <v>39</v>
      </c>
      <c r="B834" t="s">
        <v>29</v>
      </c>
      <c r="C834" s="10">
        <v>45575</v>
      </c>
      <c r="D834">
        <v>0.15479876160990713</v>
      </c>
      <c r="E834">
        <v>37</v>
      </c>
      <c r="F834">
        <v>12</v>
      </c>
      <c r="G834" t="s">
        <v>14</v>
      </c>
      <c r="H834" t="s">
        <v>37</v>
      </c>
    </row>
    <row r="835" spans="1:8" x14ac:dyDescent="0.25">
      <c r="A835" t="s">
        <v>38</v>
      </c>
      <c r="B835" t="s">
        <v>29</v>
      </c>
      <c r="C835" s="10">
        <v>45575</v>
      </c>
      <c r="D835">
        <v>0.89783281733746145</v>
      </c>
      <c r="E835">
        <v>37</v>
      </c>
      <c r="F835">
        <v>11</v>
      </c>
      <c r="G835" t="s">
        <v>14</v>
      </c>
      <c r="H835" t="s">
        <v>37</v>
      </c>
    </row>
    <row r="836" spans="1:8" x14ac:dyDescent="0.25">
      <c r="A836" t="s">
        <v>39</v>
      </c>
      <c r="B836" t="s">
        <v>29</v>
      </c>
      <c r="C836" s="10">
        <v>45576</v>
      </c>
      <c r="D836">
        <v>0.15479876160990713</v>
      </c>
      <c r="E836">
        <v>37</v>
      </c>
      <c r="F836">
        <v>15</v>
      </c>
      <c r="G836" t="s">
        <v>14</v>
      </c>
      <c r="H836" t="s">
        <v>37</v>
      </c>
    </row>
    <row r="837" spans="1:8" x14ac:dyDescent="0.25">
      <c r="A837" t="s">
        <v>38</v>
      </c>
      <c r="B837" t="s">
        <v>29</v>
      </c>
      <c r="C837" s="10">
        <v>45576</v>
      </c>
      <c r="D837">
        <v>0.89783281733746134</v>
      </c>
      <c r="E837">
        <v>37</v>
      </c>
      <c r="F837">
        <v>14</v>
      </c>
      <c r="G837" t="s">
        <v>14</v>
      </c>
      <c r="H837" t="s">
        <v>37</v>
      </c>
    </row>
    <row r="838" spans="1:8" x14ac:dyDescent="0.25">
      <c r="A838" t="s">
        <v>36</v>
      </c>
      <c r="B838" t="s">
        <v>29</v>
      </c>
      <c r="C838" s="10">
        <v>45578</v>
      </c>
      <c r="D838">
        <v>0.74303405572755432</v>
      </c>
      <c r="E838">
        <v>37</v>
      </c>
      <c r="F838">
        <v>19</v>
      </c>
      <c r="G838" t="s">
        <v>14</v>
      </c>
      <c r="H838" t="s">
        <v>37</v>
      </c>
    </row>
    <row r="839" spans="1:8" x14ac:dyDescent="0.25">
      <c r="A839" t="s">
        <v>38</v>
      </c>
      <c r="B839" t="s">
        <v>29</v>
      </c>
      <c r="C839" s="10">
        <v>45578</v>
      </c>
      <c r="D839">
        <v>0.30959752321981426</v>
      </c>
      <c r="E839">
        <v>37</v>
      </c>
      <c r="F839">
        <v>20</v>
      </c>
      <c r="G839" t="s">
        <v>14</v>
      </c>
      <c r="H839" t="s">
        <v>37</v>
      </c>
    </row>
    <row r="840" spans="1:8" x14ac:dyDescent="0.25">
      <c r="A840" t="s">
        <v>39</v>
      </c>
      <c r="B840" t="s">
        <v>29</v>
      </c>
      <c r="C840" s="10">
        <v>45582</v>
      </c>
      <c r="D840">
        <v>0.15479876160990713</v>
      </c>
      <c r="E840">
        <v>37</v>
      </c>
      <c r="F840">
        <v>33</v>
      </c>
      <c r="G840" t="s">
        <v>14</v>
      </c>
      <c r="H840" t="s">
        <v>37</v>
      </c>
    </row>
    <row r="841" spans="1:8" x14ac:dyDescent="0.25">
      <c r="A841" t="s">
        <v>38</v>
      </c>
      <c r="B841" t="s">
        <v>29</v>
      </c>
      <c r="C841" s="10">
        <v>45582</v>
      </c>
      <c r="D841">
        <v>0.89783281733746145</v>
      </c>
      <c r="E841">
        <v>37</v>
      </c>
      <c r="F841">
        <v>32</v>
      </c>
      <c r="G841" t="s">
        <v>14</v>
      </c>
      <c r="H841" t="s">
        <v>37</v>
      </c>
    </row>
    <row r="842" spans="1:8" x14ac:dyDescent="0.25">
      <c r="A842" t="s">
        <v>39</v>
      </c>
      <c r="B842" t="s">
        <v>29</v>
      </c>
      <c r="C842" s="10">
        <v>45583</v>
      </c>
      <c r="D842">
        <v>0.15479876160990713</v>
      </c>
      <c r="E842">
        <v>37</v>
      </c>
      <c r="F842">
        <v>36</v>
      </c>
      <c r="G842" t="s">
        <v>14</v>
      </c>
      <c r="H842" t="s">
        <v>37</v>
      </c>
    </row>
    <row r="843" spans="1:8" x14ac:dyDescent="0.25">
      <c r="A843" t="s">
        <v>38</v>
      </c>
      <c r="B843" t="s">
        <v>29</v>
      </c>
      <c r="C843" s="10">
        <v>45583</v>
      </c>
      <c r="D843">
        <v>0.89783281733746145</v>
      </c>
      <c r="E843">
        <v>37</v>
      </c>
      <c r="F843">
        <v>35</v>
      </c>
      <c r="G843" t="s">
        <v>14</v>
      </c>
      <c r="H843" t="s">
        <v>37</v>
      </c>
    </row>
    <row r="844" spans="1:8" x14ac:dyDescent="0.25">
      <c r="A844" t="s">
        <v>36</v>
      </c>
      <c r="B844" t="s">
        <v>29</v>
      </c>
      <c r="C844" s="10">
        <v>45585</v>
      </c>
      <c r="D844">
        <v>0.74303405572755432</v>
      </c>
      <c r="E844">
        <v>37</v>
      </c>
      <c r="F844">
        <v>40</v>
      </c>
      <c r="G844" t="s">
        <v>14</v>
      </c>
      <c r="H844" t="s">
        <v>37</v>
      </c>
    </row>
    <row r="845" spans="1:8" x14ac:dyDescent="0.25">
      <c r="A845" t="s">
        <v>38</v>
      </c>
      <c r="B845" t="s">
        <v>29</v>
      </c>
      <c r="C845" s="10">
        <v>45585</v>
      </c>
      <c r="D845">
        <v>0.30959752321981426</v>
      </c>
      <c r="E845">
        <v>37</v>
      </c>
      <c r="F845">
        <v>41</v>
      </c>
      <c r="G845" t="s">
        <v>14</v>
      </c>
      <c r="H845" t="s">
        <v>37</v>
      </c>
    </row>
    <row r="846" spans="1:8" x14ac:dyDescent="0.25">
      <c r="A846" t="s">
        <v>36</v>
      </c>
      <c r="B846" t="s">
        <v>29</v>
      </c>
      <c r="C846" s="10">
        <v>45572</v>
      </c>
      <c r="D846">
        <v>0.86687306501547989</v>
      </c>
      <c r="E846">
        <v>38</v>
      </c>
      <c r="F846">
        <v>1</v>
      </c>
      <c r="G846" t="s">
        <v>14</v>
      </c>
      <c r="H846" t="s">
        <v>37</v>
      </c>
    </row>
    <row r="847" spans="1:8" x14ac:dyDescent="0.25">
      <c r="A847" t="s">
        <v>38</v>
      </c>
      <c r="B847" t="s">
        <v>29</v>
      </c>
      <c r="C847" s="10">
        <v>45572</v>
      </c>
      <c r="D847">
        <v>0.18575851393188855</v>
      </c>
      <c r="E847">
        <v>38</v>
      </c>
      <c r="F847">
        <v>2</v>
      </c>
      <c r="G847" t="s">
        <v>14</v>
      </c>
      <c r="H847" t="s">
        <v>37</v>
      </c>
    </row>
    <row r="848" spans="1:8" x14ac:dyDescent="0.25">
      <c r="A848" t="s">
        <v>36</v>
      </c>
      <c r="B848" t="s">
        <v>29</v>
      </c>
      <c r="C848" s="10">
        <v>45574</v>
      </c>
      <c r="D848">
        <v>0.86687306501548</v>
      </c>
      <c r="E848">
        <v>38</v>
      </c>
      <c r="F848">
        <v>7</v>
      </c>
      <c r="G848" t="s">
        <v>14</v>
      </c>
      <c r="H848" t="s">
        <v>37</v>
      </c>
    </row>
    <row r="849" spans="1:8" x14ac:dyDescent="0.25">
      <c r="A849" t="s">
        <v>38</v>
      </c>
      <c r="B849" t="s">
        <v>29</v>
      </c>
      <c r="C849" s="10">
        <v>45574</v>
      </c>
      <c r="D849">
        <v>0.18575851393188855</v>
      </c>
      <c r="E849">
        <v>38</v>
      </c>
      <c r="F849">
        <v>8</v>
      </c>
      <c r="G849" t="s">
        <v>14</v>
      </c>
      <c r="H849" t="s">
        <v>37</v>
      </c>
    </row>
    <row r="850" spans="1:8" x14ac:dyDescent="0.25">
      <c r="A850" t="s">
        <v>36</v>
      </c>
      <c r="B850" t="s">
        <v>29</v>
      </c>
      <c r="C850" s="10">
        <v>45575</v>
      </c>
      <c r="D850">
        <v>0.86687306501547989</v>
      </c>
      <c r="E850">
        <v>38</v>
      </c>
      <c r="F850">
        <v>10</v>
      </c>
      <c r="G850" t="s">
        <v>14</v>
      </c>
      <c r="H850" t="s">
        <v>37</v>
      </c>
    </row>
    <row r="851" spans="1:8" x14ac:dyDescent="0.25">
      <c r="A851" t="s">
        <v>38</v>
      </c>
      <c r="B851" t="s">
        <v>29</v>
      </c>
      <c r="C851" s="10">
        <v>45575</v>
      </c>
      <c r="D851">
        <v>0.18575851393188855</v>
      </c>
      <c r="E851">
        <v>38</v>
      </c>
      <c r="F851">
        <v>11</v>
      </c>
      <c r="G851" t="s">
        <v>14</v>
      </c>
      <c r="H851" t="s">
        <v>37</v>
      </c>
    </row>
    <row r="852" spans="1:8" x14ac:dyDescent="0.25">
      <c r="A852" t="s">
        <v>36</v>
      </c>
      <c r="B852" t="s">
        <v>29</v>
      </c>
      <c r="C852" s="10">
        <v>45576</v>
      </c>
      <c r="D852">
        <v>0.78947368421052622</v>
      </c>
      <c r="E852">
        <v>38</v>
      </c>
      <c r="F852">
        <v>13</v>
      </c>
      <c r="G852" t="s">
        <v>14</v>
      </c>
      <c r="H852" t="s">
        <v>37</v>
      </c>
    </row>
    <row r="853" spans="1:8" x14ac:dyDescent="0.25">
      <c r="A853" t="s">
        <v>36</v>
      </c>
      <c r="B853" t="s">
        <v>29</v>
      </c>
      <c r="C853" s="10">
        <v>45577</v>
      </c>
      <c r="D853">
        <v>0.73502722323049008</v>
      </c>
      <c r="E853">
        <v>38</v>
      </c>
      <c r="F853">
        <v>16</v>
      </c>
      <c r="G853" t="s">
        <v>14</v>
      </c>
      <c r="H853" t="s">
        <v>37</v>
      </c>
    </row>
    <row r="854" spans="1:8" x14ac:dyDescent="0.25">
      <c r="A854" t="s">
        <v>39</v>
      </c>
      <c r="B854" t="s">
        <v>29</v>
      </c>
      <c r="C854" s="10">
        <v>45577</v>
      </c>
      <c r="D854">
        <v>0.1531306715063521</v>
      </c>
      <c r="E854">
        <v>38</v>
      </c>
      <c r="F854">
        <v>18</v>
      </c>
      <c r="G854" t="s">
        <v>14</v>
      </c>
      <c r="H854" t="s">
        <v>37</v>
      </c>
    </row>
    <row r="855" spans="1:8" x14ac:dyDescent="0.25">
      <c r="A855" t="s">
        <v>38</v>
      </c>
      <c r="B855" t="s">
        <v>29</v>
      </c>
      <c r="C855" s="10">
        <v>45577</v>
      </c>
      <c r="D855">
        <v>0.88815789473684215</v>
      </c>
      <c r="E855">
        <v>38</v>
      </c>
      <c r="F855">
        <v>17</v>
      </c>
      <c r="G855" t="s">
        <v>14</v>
      </c>
      <c r="H855" t="s">
        <v>37</v>
      </c>
    </row>
    <row r="856" spans="1:8" x14ac:dyDescent="0.25">
      <c r="A856" t="s">
        <v>36</v>
      </c>
      <c r="B856" t="s">
        <v>29</v>
      </c>
      <c r="C856" s="10">
        <v>45579</v>
      </c>
      <c r="D856">
        <v>0.86687306501548</v>
      </c>
      <c r="E856">
        <v>38</v>
      </c>
      <c r="F856">
        <v>22</v>
      </c>
      <c r="G856" t="s">
        <v>14</v>
      </c>
      <c r="H856" t="s">
        <v>37</v>
      </c>
    </row>
    <row r="857" spans="1:8" x14ac:dyDescent="0.25">
      <c r="A857" t="s">
        <v>38</v>
      </c>
      <c r="B857" t="s">
        <v>29</v>
      </c>
      <c r="C857" s="10">
        <v>45579</v>
      </c>
      <c r="D857">
        <v>0.18575851393188855</v>
      </c>
      <c r="E857">
        <v>38</v>
      </c>
      <c r="F857">
        <v>23</v>
      </c>
      <c r="G857" t="s">
        <v>14</v>
      </c>
      <c r="H857" t="s">
        <v>37</v>
      </c>
    </row>
    <row r="858" spans="1:8" x14ac:dyDescent="0.25">
      <c r="A858" t="s">
        <v>36</v>
      </c>
      <c r="B858" t="s">
        <v>29</v>
      </c>
      <c r="C858" s="10">
        <v>45580</v>
      </c>
      <c r="D858">
        <v>0.86687306501547989</v>
      </c>
      <c r="E858">
        <v>38</v>
      </c>
      <c r="F858">
        <v>25</v>
      </c>
      <c r="G858" t="s">
        <v>14</v>
      </c>
      <c r="H858" t="s">
        <v>37</v>
      </c>
    </row>
    <row r="859" spans="1:8" x14ac:dyDescent="0.25">
      <c r="A859" t="s">
        <v>38</v>
      </c>
      <c r="B859" t="s">
        <v>29</v>
      </c>
      <c r="C859" s="10">
        <v>45580</v>
      </c>
      <c r="D859">
        <v>0.18575851393188855</v>
      </c>
      <c r="E859">
        <v>38</v>
      </c>
      <c r="F859">
        <v>26</v>
      </c>
      <c r="G859" t="s">
        <v>14</v>
      </c>
      <c r="H859" t="s">
        <v>37</v>
      </c>
    </row>
    <row r="860" spans="1:8" x14ac:dyDescent="0.25">
      <c r="A860" t="s">
        <v>36</v>
      </c>
      <c r="B860" t="s">
        <v>29</v>
      </c>
      <c r="C860" s="10">
        <v>45582</v>
      </c>
      <c r="D860">
        <v>0.86687306501547989</v>
      </c>
      <c r="E860">
        <v>38</v>
      </c>
      <c r="F860">
        <v>31</v>
      </c>
      <c r="G860" t="s">
        <v>14</v>
      </c>
      <c r="H860" t="s">
        <v>37</v>
      </c>
    </row>
    <row r="861" spans="1:8" x14ac:dyDescent="0.25">
      <c r="A861" t="s">
        <v>38</v>
      </c>
      <c r="B861" t="s">
        <v>29</v>
      </c>
      <c r="C861" s="10">
        <v>45582</v>
      </c>
      <c r="D861">
        <v>0.18575851393188855</v>
      </c>
      <c r="E861">
        <v>38</v>
      </c>
      <c r="F861">
        <v>32</v>
      </c>
      <c r="G861" t="s">
        <v>14</v>
      </c>
      <c r="H861" t="s">
        <v>37</v>
      </c>
    </row>
    <row r="862" spans="1:8" x14ac:dyDescent="0.25">
      <c r="A862" t="s">
        <v>36</v>
      </c>
      <c r="B862" t="s">
        <v>29</v>
      </c>
      <c r="C862" s="10">
        <v>45583</v>
      </c>
      <c r="D862">
        <v>0.78947368421052633</v>
      </c>
      <c r="E862">
        <v>38</v>
      </c>
      <c r="F862">
        <v>34</v>
      </c>
      <c r="G862" t="s">
        <v>14</v>
      </c>
      <c r="H862" t="s">
        <v>37</v>
      </c>
    </row>
    <row r="863" spans="1:8" x14ac:dyDescent="0.25">
      <c r="A863" t="s">
        <v>36</v>
      </c>
      <c r="B863" t="s">
        <v>29</v>
      </c>
      <c r="C863" s="10">
        <v>45584</v>
      </c>
      <c r="D863">
        <v>0.74303405572755432</v>
      </c>
      <c r="E863">
        <v>38</v>
      </c>
      <c r="F863">
        <v>37</v>
      </c>
      <c r="G863" t="s">
        <v>14</v>
      </c>
      <c r="H863" t="s">
        <v>37</v>
      </c>
    </row>
    <row r="864" spans="1:8" x14ac:dyDescent="0.25">
      <c r="A864" t="s">
        <v>38</v>
      </c>
      <c r="B864" t="s">
        <v>29</v>
      </c>
      <c r="C864" s="10">
        <v>45584</v>
      </c>
      <c r="D864">
        <v>0.30959752321981426</v>
      </c>
      <c r="E864">
        <v>38</v>
      </c>
      <c r="F864">
        <v>38</v>
      </c>
      <c r="G864" t="s">
        <v>14</v>
      </c>
      <c r="H864" t="s">
        <v>37</v>
      </c>
    </row>
    <row r="865" spans="1:8" x14ac:dyDescent="0.25">
      <c r="A865" t="s">
        <v>39</v>
      </c>
      <c r="B865" t="s">
        <v>29</v>
      </c>
      <c r="C865" s="10">
        <v>45575</v>
      </c>
      <c r="D865">
        <v>0.15479876160990713</v>
      </c>
      <c r="E865">
        <v>39</v>
      </c>
      <c r="F865">
        <v>12</v>
      </c>
      <c r="G865" t="s">
        <v>14</v>
      </c>
      <c r="H865" t="s">
        <v>37</v>
      </c>
    </row>
    <row r="866" spans="1:8" x14ac:dyDescent="0.25">
      <c r="A866" t="s">
        <v>38</v>
      </c>
      <c r="B866" t="s">
        <v>29</v>
      </c>
      <c r="C866" s="10">
        <v>45575</v>
      </c>
      <c r="D866">
        <v>0.89783281733746145</v>
      </c>
      <c r="E866">
        <v>39</v>
      </c>
      <c r="F866">
        <v>11</v>
      </c>
      <c r="G866" t="s">
        <v>14</v>
      </c>
      <c r="H866" t="s">
        <v>37</v>
      </c>
    </row>
    <row r="867" spans="1:8" x14ac:dyDescent="0.25">
      <c r="A867" t="s">
        <v>36</v>
      </c>
      <c r="B867" t="s">
        <v>29</v>
      </c>
      <c r="C867" s="10">
        <v>45572</v>
      </c>
      <c r="D867">
        <v>0.78947368421052622</v>
      </c>
      <c r="E867">
        <v>49</v>
      </c>
      <c r="F867">
        <v>1</v>
      </c>
      <c r="G867" t="s">
        <v>14</v>
      </c>
      <c r="H867" t="s">
        <v>37</v>
      </c>
    </row>
    <row r="868" spans="1:8" x14ac:dyDescent="0.25">
      <c r="A868" t="s">
        <v>36</v>
      </c>
      <c r="B868" t="s">
        <v>29</v>
      </c>
      <c r="C868" s="10">
        <v>45573</v>
      </c>
      <c r="D868">
        <v>0.78947368421052633</v>
      </c>
      <c r="E868">
        <v>49</v>
      </c>
      <c r="F868">
        <v>4</v>
      </c>
      <c r="G868" t="s">
        <v>14</v>
      </c>
      <c r="H868" t="s">
        <v>37</v>
      </c>
    </row>
    <row r="869" spans="1:8" x14ac:dyDescent="0.25">
      <c r="A869" t="s">
        <v>36</v>
      </c>
      <c r="B869" t="s">
        <v>29</v>
      </c>
      <c r="C869" s="10">
        <v>45574</v>
      </c>
      <c r="D869">
        <v>0.86687306501548</v>
      </c>
      <c r="E869">
        <v>49</v>
      </c>
      <c r="F869">
        <v>7</v>
      </c>
      <c r="G869" t="s">
        <v>14</v>
      </c>
      <c r="H869" t="s">
        <v>37</v>
      </c>
    </row>
    <row r="870" spans="1:8" x14ac:dyDescent="0.25">
      <c r="A870" t="s">
        <v>38</v>
      </c>
      <c r="B870" t="s">
        <v>29</v>
      </c>
      <c r="C870" s="10">
        <v>45574</v>
      </c>
      <c r="D870">
        <v>0.18575851393188855</v>
      </c>
      <c r="E870">
        <v>49</v>
      </c>
      <c r="F870">
        <v>8</v>
      </c>
      <c r="G870" t="s">
        <v>14</v>
      </c>
      <c r="H870" t="s">
        <v>37</v>
      </c>
    </row>
    <row r="871" spans="1:8" x14ac:dyDescent="0.25">
      <c r="A871" t="s">
        <v>36</v>
      </c>
      <c r="B871" t="s">
        <v>29</v>
      </c>
      <c r="C871" s="10">
        <v>45578</v>
      </c>
      <c r="D871">
        <v>0.86687306501548</v>
      </c>
      <c r="E871">
        <v>49</v>
      </c>
      <c r="F871">
        <v>19</v>
      </c>
      <c r="G871" t="s">
        <v>14</v>
      </c>
      <c r="H871" t="s">
        <v>37</v>
      </c>
    </row>
    <row r="872" spans="1:8" x14ac:dyDescent="0.25">
      <c r="A872" t="s">
        <v>38</v>
      </c>
      <c r="B872" t="s">
        <v>29</v>
      </c>
      <c r="C872" s="10">
        <v>45578</v>
      </c>
      <c r="D872">
        <v>0.18575851393188855</v>
      </c>
      <c r="E872">
        <v>49</v>
      </c>
      <c r="F872">
        <v>20</v>
      </c>
      <c r="G872" t="s">
        <v>14</v>
      </c>
      <c r="H872" t="s">
        <v>37</v>
      </c>
    </row>
    <row r="873" spans="1:8" x14ac:dyDescent="0.25">
      <c r="A873" t="s">
        <v>36</v>
      </c>
      <c r="B873" t="s">
        <v>29</v>
      </c>
      <c r="C873" s="10">
        <v>45579</v>
      </c>
      <c r="D873">
        <v>0.78947368421052622</v>
      </c>
      <c r="E873">
        <v>49</v>
      </c>
      <c r="F873">
        <v>22</v>
      </c>
      <c r="G873" t="s">
        <v>14</v>
      </c>
      <c r="H873" t="s">
        <v>37</v>
      </c>
    </row>
    <row r="874" spans="1:8" x14ac:dyDescent="0.25">
      <c r="A874" t="s">
        <v>36</v>
      </c>
      <c r="B874" t="s">
        <v>29</v>
      </c>
      <c r="C874" s="10">
        <v>45581</v>
      </c>
      <c r="D874">
        <v>0.86687306501547989</v>
      </c>
      <c r="E874">
        <v>49</v>
      </c>
      <c r="F874">
        <v>28</v>
      </c>
      <c r="G874" t="s">
        <v>14</v>
      </c>
      <c r="H874" t="s">
        <v>37</v>
      </c>
    </row>
    <row r="875" spans="1:8" x14ac:dyDescent="0.25">
      <c r="A875" t="s">
        <v>38</v>
      </c>
      <c r="B875" t="s">
        <v>29</v>
      </c>
      <c r="C875" s="10">
        <v>45581</v>
      </c>
      <c r="D875">
        <v>0.18575851393188855</v>
      </c>
      <c r="E875">
        <v>49</v>
      </c>
      <c r="F875">
        <v>29</v>
      </c>
      <c r="G875" t="s">
        <v>14</v>
      </c>
      <c r="H875" t="s">
        <v>37</v>
      </c>
    </row>
    <row r="876" spans="1:8" x14ac:dyDescent="0.25">
      <c r="A876" t="s">
        <v>36</v>
      </c>
      <c r="B876" t="s">
        <v>29</v>
      </c>
      <c r="C876" s="10">
        <v>45585</v>
      </c>
      <c r="D876">
        <v>0.86348684210526327</v>
      </c>
      <c r="E876">
        <v>49</v>
      </c>
      <c r="F876">
        <v>40</v>
      </c>
      <c r="G876" t="s">
        <v>14</v>
      </c>
      <c r="H876" t="s">
        <v>37</v>
      </c>
    </row>
    <row r="877" spans="1:8" x14ac:dyDescent="0.25">
      <c r="A877" t="s">
        <v>38</v>
      </c>
      <c r="B877" t="s">
        <v>29</v>
      </c>
      <c r="C877" s="10">
        <v>45585</v>
      </c>
      <c r="D877">
        <v>0.12335526315789475</v>
      </c>
      <c r="E877">
        <v>49</v>
      </c>
      <c r="F877">
        <v>41</v>
      </c>
      <c r="G877" t="s">
        <v>14</v>
      </c>
      <c r="H877" t="s">
        <v>37</v>
      </c>
    </row>
    <row r="878" spans="1:8" x14ac:dyDescent="0.25">
      <c r="A878" t="s">
        <v>36</v>
      </c>
      <c r="B878" t="s">
        <v>29</v>
      </c>
      <c r="C878" s="10">
        <v>45572</v>
      </c>
      <c r="D878">
        <v>0.86687306501547989</v>
      </c>
      <c r="E878">
        <v>55</v>
      </c>
      <c r="F878">
        <v>1</v>
      </c>
      <c r="G878" t="s">
        <v>14</v>
      </c>
      <c r="H878" t="s">
        <v>37</v>
      </c>
    </row>
    <row r="879" spans="1:8" x14ac:dyDescent="0.25">
      <c r="A879" t="s">
        <v>38</v>
      </c>
      <c r="B879" t="s">
        <v>29</v>
      </c>
      <c r="C879" s="10">
        <v>45572</v>
      </c>
      <c r="D879">
        <v>0.18575851393188855</v>
      </c>
      <c r="E879">
        <v>55</v>
      </c>
      <c r="F879">
        <v>2</v>
      </c>
      <c r="G879" t="s">
        <v>14</v>
      </c>
      <c r="H879" t="s">
        <v>37</v>
      </c>
    </row>
    <row r="880" spans="1:8" x14ac:dyDescent="0.25">
      <c r="A880" t="s">
        <v>39</v>
      </c>
      <c r="B880" t="s">
        <v>29</v>
      </c>
      <c r="C880" s="10">
        <v>45574</v>
      </c>
      <c r="D880">
        <v>0.15479876160990713</v>
      </c>
      <c r="E880">
        <v>55</v>
      </c>
      <c r="F880">
        <v>9</v>
      </c>
      <c r="G880" t="s">
        <v>14</v>
      </c>
      <c r="H880" t="s">
        <v>37</v>
      </c>
    </row>
    <row r="881" spans="1:8" x14ac:dyDescent="0.25">
      <c r="A881" t="s">
        <v>38</v>
      </c>
      <c r="B881" t="s">
        <v>29</v>
      </c>
      <c r="C881" s="10">
        <v>45574</v>
      </c>
      <c r="D881">
        <v>0.89783281733746134</v>
      </c>
      <c r="E881">
        <v>55</v>
      </c>
      <c r="F881">
        <v>8</v>
      </c>
      <c r="G881" t="s">
        <v>14</v>
      </c>
      <c r="H881" t="s">
        <v>37</v>
      </c>
    </row>
    <row r="882" spans="1:8" x14ac:dyDescent="0.25">
      <c r="A882" t="s">
        <v>36</v>
      </c>
      <c r="B882" t="s">
        <v>29</v>
      </c>
      <c r="C882" s="10">
        <v>45578</v>
      </c>
      <c r="D882">
        <v>0.86687306501548</v>
      </c>
      <c r="E882">
        <v>55</v>
      </c>
      <c r="F882">
        <v>19</v>
      </c>
      <c r="G882" t="s">
        <v>14</v>
      </c>
      <c r="H882" t="s">
        <v>37</v>
      </c>
    </row>
    <row r="883" spans="1:8" x14ac:dyDescent="0.25">
      <c r="A883" t="s">
        <v>38</v>
      </c>
      <c r="B883" t="s">
        <v>29</v>
      </c>
      <c r="C883" s="10">
        <v>45578</v>
      </c>
      <c r="D883">
        <v>0.18575851393188855</v>
      </c>
      <c r="E883">
        <v>55</v>
      </c>
      <c r="F883">
        <v>20</v>
      </c>
      <c r="G883" t="s">
        <v>14</v>
      </c>
      <c r="H883" t="s">
        <v>37</v>
      </c>
    </row>
    <row r="884" spans="1:8" x14ac:dyDescent="0.25">
      <c r="A884" t="s">
        <v>36</v>
      </c>
      <c r="B884" t="s">
        <v>29</v>
      </c>
      <c r="C884" s="10">
        <v>45579</v>
      </c>
      <c r="D884">
        <v>0.86687306501548</v>
      </c>
      <c r="E884">
        <v>55</v>
      </c>
      <c r="F884">
        <v>22</v>
      </c>
      <c r="G884" t="s">
        <v>14</v>
      </c>
      <c r="H884" t="s">
        <v>37</v>
      </c>
    </row>
    <row r="885" spans="1:8" x14ac:dyDescent="0.25">
      <c r="A885" t="s">
        <v>38</v>
      </c>
      <c r="B885" t="s">
        <v>29</v>
      </c>
      <c r="C885" s="10">
        <v>45579</v>
      </c>
      <c r="D885">
        <v>0.18575851393188855</v>
      </c>
      <c r="E885">
        <v>55</v>
      </c>
      <c r="F885">
        <v>23</v>
      </c>
      <c r="G885" t="s">
        <v>14</v>
      </c>
      <c r="H885" t="s">
        <v>37</v>
      </c>
    </row>
    <row r="886" spans="1:8" x14ac:dyDescent="0.25">
      <c r="A886" t="s">
        <v>39</v>
      </c>
      <c r="B886" t="s">
        <v>29</v>
      </c>
      <c r="C886" s="10">
        <v>45581</v>
      </c>
      <c r="D886">
        <v>0.15479876160990713</v>
      </c>
      <c r="E886">
        <v>55</v>
      </c>
      <c r="F886">
        <v>30</v>
      </c>
      <c r="G886" t="s">
        <v>14</v>
      </c>
      <c r="H886" t="s">
        <v>37</v>
      </c>
    </row>
    <row r="887" spans="1:8" x14ac:dyDescent="0.25">
      <c r="A887" t="s">
        <v>38</v>
      </c>
      <c r="B887" t="s">
        <v>29</v>
      </c>
      <c r="C887" s="10">
        <v>45581</v>
      </c>
      <c r="D887">
        <v>0.89783281733746145</v>
      </c>
      <c r="E887">
        <v>55</v>
      </c>
      <c r="F887">
        <v>29</v>
      </c>
      <c r="G887" t="s">
        <v>14</v>
      </c>
      <c r="H887" t="s">
        <v>37</v>
      </c>
    </row>
    <row r="888" spans="1:8" x14ac:dyDescent="0.25">
      <c r="A888" t="s">
        <v>36</v>
      </c>
      <c r="B888" t="s">
        <v>29</v>
      </c>
      <c r="C888" s="10">
        <v>45584</v>
      </c>
      <c r="D888">
        <v>0.86687306501548</v>
      </c>
      <c r="E888">
        <v>55</v>
      </c>
      <c r="F888">
        <v>37</v>
      </c>
      <c r="G888" t="s">
        <v>14</v>
      </c>
      <c r="H888" t="s">
        <v>37</v>
      </c>
    </row>
    <row r="889" spans="1:8" x14ac:dyDescent="0.25">
      <c r="A889" t="s">
        <v>38</v>
      </c>
      <c r="B889" t="s">
        <v>29</v>
      </c>
      <c r="C889" s="10">
        <v>45584</v>
      </c>
      <c r="D889">
        <v>0.18575851393188855</v>
      </c>
      <c r="E889">
        <v>55</v>
      </c>
      <c r="F889">
        <v>38</v>
      </c>
      <c r="G889" t="s">
        <v>14</v>
      </c>
      <c r="H889" t="s">
        <v>37</v>
      </c>
    </row>
    <row r="890" spans="1:8" x14ac:dyDescent="0.25">
      <c r="A890" t="s">
        <v>36</v>
      </c>
      <c r="B890" t="s">
        <v>29</v>
      </c>
      <c r="C890" s="10">
        <v>45585</v>
      </c>
      <c r="D890">
        <v>0.86687306501548</v>
      </c>
      <c r="E890">
        <v>55</v>
      </c>
      <c r="F890">
        <v>40</v>
      </c>
      <c r="G890" t="s">
        <v>14</v>
      </c>
      <c r="H890" t="s">
        <v>37</v>
      </c>
    </row>
    <row r="891" spans="1:8" x14ac:dyDescent="0.25">
      <c r="A891" t="s">
        <v>38</v>
      </c>
      <c r="B891" t="s">
        <v>29</v>
      </c>
      <c r="C891" s="10">
        <v>45585</v>
      </c>
      <c r="D891">
        <v>0.18575851393188855</v>
      </c>
      <c r="E891">
        <v>55</v>
      </c>
      <c r="F891">
        <v>41</v>
      </c>
      <c r="G891" t="s">
        <v>14</v>
      </c>
      <c r="H891" t="s">
        <v>37</v>
      </c>
    </row>
    <row r="892" spans="1:8" x14ac:dyDescent="0.25">
      <c r="A892" t="s">
        <v>36</v>
      </c>
      <c r="B892" t="s">
        <v>29</v>
      </c>
      <c r="C892" s="10">
        <v>45574</v>
      </c>
      <c r="D892">
        <v>0.86687306501548</v>
      </c>
      <c r="E892">
        <v>92</v>
      </c>
      <c r="F892">
        <v>7</v>
      </c>
      <c r="G892" t="s">
        <v>14</v>
      </c>
      <c r="H892" t="s">
        <v>37</v>
      </c>
    </row>
    <row r="893" spans="1:8" x14ac:dyDescent="0.25">
      <c r="A893" t="s">
        <v>38</v>
      </c>
      <c r="B893" t="s">
        <v>29</v>
      </c>
      <c r="C893" s="10">
        <v>45574</v>
      </c>
      <c r="D893">
        <v>0.18575851393188855</v>
      </c>
      <c r="E893">
        <v>92</v>
      </c>
      <c r="F893">
        <v>8</v>
      </c>
      <c r="G893" t="s">
        <v>14</v>
      </c>
      <c r="H893" t="s">
        <v>37</v>
      </c>
    </row>
    <row r="894" spans="1:8" x14ac:dyDescent="0.25">
      <c r="A894" t="s">
        <v>36</v>
      </c>
      <c r="B894" t="s">
        <v>29</v>
      </c>
      <c r="C894" s="10">
        <v>45576</v>
      </c>
      <c r="D894">
        <v>0.86687306501547989</v>
      </c>
      <c r="E894">
        <v>92</v>
      </c>
      <c r="F894">
        <v>13</v>
      </c>
      <c r="G894" t="s">
        <v>14</v>
      </c>
      <c r="H894" t="s">
        <v>37</v>
      </c>
    </row>
    <row r="895" spans="1:8" x14ac:dyDescent="0.25">
      <c r="A895" t="s">
        <v>38</v>
      </c>
      <c r="B895" t="s">
        <v>29</v>
      </c>
      <c r="C895" s="10">
        <v>45576</v>
      </c>
      <c r="D895">
        <v>0.18575851393188855</v>
      </c>
      <c r="E895">
        <v>92</v>
      </c>
      <c r="F895">
        <v>14</v>
      </c>
      <c r="G895" t="s">
        <v>14</v>
      </c>
      <c r="H895" t="s">
        <v>37</v>
      </c>
    </row>
    <row r="896" spans="1:8" x14ac:dyDescent="0.25">
      <c r="A896" t="s">
        <v>36</v>
      </c>
      <c r="B896" t="s">
        <v>29</v>
      </c>
      <c r="C896" s="10">
        <v>45577</v>
      </c>
      <c r="D896">
        <v>0.78947368421052633</v>
      </c>
      <c r="E896">
        <v>92</v>
      </c>
      <c r="F896">
        <v>16</v>
      </c>
      <c r="G896" t="s">
        <v>14</v>
      </c>
      <c r="H896" t="s">
        <v>37</v>
      </c>
    </row>
    <row r="897" spans="1:8" x14ac:dyDescent="0.25">
      <c r="A897" t="s">
        <v>39</v>
      </c>
      <c r="B897" t="s">
        <v>29</v>
      </c>
      <c r="C897" s="10">
        <v>45578</v>
      </c>
      <c r="D897">
        <v>0.15479876160990713</v>
      </c>
      <c r="E897">
        <v>92</v>
      </c>
      <c r="F897">
        <v>21</v>
      </c>
      <c r="G897" t="s">
        <v>14</v>
      </c>
      <c r="H897" t="s">
        <v>37</v>
      </c>
    </row>
    <row r="898" spans="1:8" x14ac:dyDescent="0.25">
      <c r="A898" t="s">
        <v>38</v>
      </c>
      <c r="B898" t="s">
        <v>29</v>
      </c>
      <c r="C898" s="10">
        <v>45578</v>
      </c>
      <c r="D898">
        <v>0.89783281733746134</v>
      </c>
      <c r="E898">
        <v>92</v>
      </c>
      <c r="F898">
        <v>20</v>
      </c>
      <c r="G898" t="s">
        <v>14</v>
      </c>
      <c r="H898" t="s">
        <v>37</v>
      </c>
    </row>
    <row r="899" spans="1:8" x14ac:dyDescent="0.25">
      <c r="A899" t="s">
        <v>36</v>
      </c>
      <c r="B899" t="s">
        <v>29</v>
      </c>
      <c r="C899" s="10">
        <v>45581</v>
      </c>
      <c r="D899">
        <v>0.86687306501547989</v>
      </c>
      <c r="E899">
        <v>92</v>
      </c>
      <c r="F899">
        <v>28</v>
      </c>
      <c r="G899" t="s">
        <v>14</v>
      </c>
      <c r="H899" t="s">
        <v>37</v>
      </c>
    </row>
    <row r="900" spans="1:8" x14ac:dyDescent="0.25">
      <c r="A900" t="s">
        <v>38</v>
      </c>
      <c r="B900" t="s">
        <v>29</v>
      </c>
      <c r="C900" s="10">
        <v>45581</v>
      </c>
      <c r="D900">
        <v>0.18575851393188855</v>
      </c>
      <c r="E900">
        <v>92</v>
      </c>
      <c r="F900">
        <v>29</v>
      </c>
      <c r="G900" t="s">
        <v>14</v>
      </c>
      <c r="H900" t="s">
        <v>37</v>
      </c>
    </row>
    <row r="901" spans="1:8" x14ac:dyDescent="0.25">
      <c r="A901" t="s">
        <v>36</v>
      </c>
      <c r="B901" t="s">
        <v>29</v>
      </c>
      <c r="C901" s="10">
        <v>45582</v>
      </c>
      <c r="D901">
        <v>0.86687306501547989</v>
      </c>
      <c r="E901">
        <v>92</v>
      </c>
      <c r="F901">
        <v>31</v>
      </c>
      <c r="G901" t="s">
        <v>14</v>
      </c>
      <c r="H901" t="s">
        <v>37</v>
      </c>
    </row>
    <row r="902" spans="1:8" x14ac:dyDescent="0.25">
      <c r="A902" t="s">
        <v>38</v>
      </c>
      <c r="B902" t="s">
        <v>29</v>
      </c>
      <c r="C902" s="10">
        <v>45582</v>
      </c>
      <c r="D902">
        <v>0.18575851393188855</v>
      </c>
      <c r="E902">
        <v>92</v>
      </c>
      <c r="F902">
        <v>32</v>
      </c>
      <c r="G902" t="s">
        <v>14</v>
      </c>
      <c r="H902" t="s">
        <v>37</v>
      </c>
    </row>
    <row r="903" spans="1:8" x14ac:dyDescent="0.25">
      <c r="A903" t="s">
        <v>36</v>
      </c>
      <c r="B903" t="s">
        <v>29</v>
      </c>
      <c r="C903" s="10">
        <v>45583</v>
      </c>
      <c r="D903">
        <v>0.86687306501548</v>
      </c>
      <c r="E903">
        <v>92</v>
      </c>
      <c r="F903">
        <v>34</v>
      </c>
      <c r="G903" t="s">
        <v>14</v>
      </c>
      <c r="H903" t="s">
        <v>37</v>
      </c>
    </row>
    <row r="904" spans="1:8" x14ac:dyDescent="0.25">
      <c r="A904" t="s">
        <v>38</v>
      </c>
      <c r="B904" t="s">
        <v>29</v>
      </c>
      <c r="C904" s="10">
        <v>45583</v>
      </c>
      <c r="D904">
        <v>0.18575851393188855</v>
      </c>
      <c r="E904">
        <v>92</v>
      </c>
      <c r="F904">
        <v>35</v>
      </c>
      <c r="G904" t="s">
        <v>14</v>
      </c>
      <c r="H904" t="s">
        <v>37</v>
      </c>
    </row>
    <row r="905" spans="1:8" x14ac:dyDescent="0.25">
      <c r="A905" t="s">
        <v>39</v>
      </c>
      <c r="B905" t="s">
        <v>29</v>
      </c>
      <c r="C905" s="10">
        <v>45572</v>
      </c>
      <c r="D905">
        <v>0.15479876160990713</v>
      </c>
      <c r="E905">
        <v>93</v>
      </c>
      <c r="F905">
        <v>3</v>
      </c>
      <c r="G905" t="s">
        <v>14</v>
      </c>
      <c r="H905" t="s">
        <v>37</v>
      </c>
    </row>
    <row r="906" spans="1:8" x14ac:dyDescent="0.25">
      <c r="A906" t="s">
        <v>38</v>
      </c>
      <c r="B906" t="s">
        <v>29</v>
      </c>
      <c r="C906" s="10">
        <v>45572</v>
      </c>
      <c r="D906">
        <v>0.89783281733746145</v>
      </c>
      <c r="E906">
        <v>93</v>
      </c>
      <c r="F906">
        <v>2</v>
      </c>
      <c r="G906" t="s">
        <v>14</v>
      </c>
      <c r="H906" t="s">
        <v>37</v>
      </c>
    </row>
    <row r="907" spans="1:8" x14ac:dyDescent="0.25">
      <c r="A907" t="s">
        <v>36</v>
      </c>
      <c r="B907" t="s">
        <v>29</v>
      </c>
      <c r="C907" s="10">
        <v>45573</v>
      </c>
      <c r="D907">
        <v>0.86162988115449923</v>
      </c>
      <c r="E907">
        <v>93</v>
      </c>
      <c r="F907">
        <v>4</v>
      </c>
      <c r="G907" t="s">
        <v>14</v>
      </c>
      <c r="H907" t="s">
        <v>37</v>
      </c>
    </row>
    <row r="908" spans="1:8" x14ac:dyDescent="0.25">
      <c r="A908" t="s">
        <v>39</v>
      </c>
      <c r="B908" t="s">
        <v>29</v>
      </c>
      <c r="C908" s="10">
        <v>45573</v>
      </c>
      <c r="D908">
        <v>0.15386247877758916</v>
      </c>
      <c r="E908">
        <v>93</v>
      </c>
      <c r="F908">
        <v>6</v>
      </c>
      <c r="G908" t="s">
        <v>14</v>
      </c>
      <c r="H908" t="s">
        <v>37</v>
      </c>
    </row>
    <row r="909" spans="1:8" x14ac:dyDescent="0.25">
      <c r="A909" t="s">
        <v>38</v>
      </c>
      <c r="B909" t="s">
        <v>29</v>
      </c>
      <c r="C909" s="10">
        <v>45573</v>
      </c>
      <c r="D909">
        <v>0.892402376910017</v>
      </c>
      <c r="E909">
        <v>93</v>
      </c>
      <c r="F909">
        <v>5</v>
      </c>
      <c r="G909" t="s">
        <v>14</v>
      </c>
      <c r="H909" t="s">
        <v>37</v>
      </c>
    </row>
    <row r="910" spans="1:8" x14ac:dyDescent="0.25">
      <c r="A910" t="s">
        <v>39</v>
      </c>
      <c r="B910" t="s">
        <v>29</v>
      </c>
      <c r="C910" s="10">
        <v>45575</v>
      </c>
      <c r="D910">
        <v>0.15479876160990713</v>
      </c>
      <c r="E910">
        <v>93</v>
      </c>
      <c r="F910">
        <v>12</v>
      </c>
      <c r="G910" t="s">
        <v>14</v>
      </c>
      <c r="H910" t="s">
        <v>37</v>
      </c>
    </row>
    <row r="911" spans="1:8" x14ac:dyDescent="0.25">
      <c r="A911" t="s">
        <v>38</v>
      </c>
      <c r="B911" t="s">
        <v>29</v>
      </c>
      <c r="C911" s="10">
        <v>45575</v>
      </c>
      <c r="D911">
        <v>0.89783281733746145</v>
      </c>
      <c r="E911">
        <v>93</v>
      </c>
      <c r="F911">
        <v>11</v>
      </c>
      <c r="G911" t="s">
        <v>14</v>
      </c>
      <c r="H911" t="s">
        <v>37</v>
      </c>
    </row>
    <row r="912" spans="1:8" x14ac:dyDescent="0.25">
      <c r="A912" t="s">
        <v>39</v>
      </c>
      <c r="B912" t="s">
        <v>29</v>
      </c>
      <c r="C912" s="10">
        <v>45576</v>
      </c>
      <c r="D912">
        <v>0.15479876160990713</v>
      </c>
      <c r="E912">
        <v>93</v>
      </c>
      <c r="F912">
        <v>15</v>
      </c>
      <c r="G912" t="s">
        <v>14</v>
      </c>
      <c r="H912" t="s">
        <v>37</v>
      </c>
    </row>
    <row r="913" spans="1:8" x14ac:dyDescent="0.25">
      <c r="A913" t="s">
        <v>38</v>
      </c>
      <c r="B913" t="s">
        <v>29</v>
      </c>
      <c r="C913" s="10">
        <v>45576</v>
      </c>
      <c r="D913">
        <v>0.89783281733746134</v>
      </c>
      <c r="E913">
        <v>93</v>
      </c>
      <c r="F913">
        <v>14</v>
      </c>
      <c r="G913" t="s">
        <v>14</v>
      </c>
      <c r="H913" t="s">
        <v>37</v>
      </c>
    </row>
    <row r="914" spans="1:8" x14ac:dyDescent="0.25">
      <c r="A914" t="s">
        <v>39</v>
      </c>
      <c r="B914" t="s">
        <v>29</v>
      </c>
      <c r="C914" s="10">
        <v>45577</v>
      </c>
      <c r="D914">
        <v>0.15479876160990713</v>
      </c>
      <c r="E914">
        <v>93</v>
      </c>
      <c r="F914">
        <v>18</v>
      </c>
      <c r="G914" t="s">
        <v>14</v>
      </c>
      <c r="H914" t="s">
        <v>37</v>
      </c>
    </row>
    <row r="915" spans="1:8" x14ac:dyDescent="0.25">
      <c r="A915" t="s">
        <v>38</v>
      </c>
      <c r="B915" t="s">
        <v>29</v>
      </c>
      <c r="C915" s="10">
        <v>45577</v>
      </c>
      <c r="D915">
        <v>0.89783281733746134</v>
      </c>
      <c r="E915">
        <v>93</v>
      </c>
      <c r="F915">
        <v>17</v>
      </c>
      <c r="G915" t="s">
        <v>14</v>
      </c>
      <c r="H915" t="s">
        <v>37</v>
      </c>
    </row>
    <row r="916" spans="1:8" x14ac:dyDescent="0.25">
      <c r="A916" t="s">
        <v>39</v>
      </c>
      <c r="B916" t="s">
        <v>29</v>
      </c>
      <c r="C916" s="10">
        <v>45579</v>
      </c>
      <c r="D916">
        <v>0.15479876160990713</v>
      </c>
      <c r="E916">
        <v>93</v>
      </c>
      <c r="F916">
        <v>24</v>
      </c>
      <c r="G916" t="s">
        <v>14</v>
      </c>
      <c r="H916" t="s">
        <v>37</v>
      </c>
    </row>
    <row r="917" spans="1:8" x14ac:dyDescent="0.25">
      <c r="A917" t="s">
        <v>38</v>
      </c>
      <c r="B917" t="s">
        <v>29</v>
      </c>
      <c r="C917" s="10">
        <v>45579</v>
      </c>
      <c r="D917">
        <v>0.89783281733746145</v>
      </c>
      <c r="E917">
        <v>93</v>
      </c>
      <c r="F917">
        <v>23</v>
      </c>
      <c r="G917" t="s">
        <v>14</v>
      </c>
      <c r="H917" t="s">
        <v>37</v>
      </c>
    </row>
    <row r="918" spans="1:8" x14ac:dyDescent="0.25">
      <c r="A918" t="s">
        <v>36</v>
      </c>
      <c r="B918" t="s">
        <v>29</v>
      </c>
      <c r="C918" s="10">
        <v>45580</v>
      </c>
      <c r="D918">
        <v>0.85526315789473684</v>
      </c>
      <c r="E918">
        <v>93</v>
      </c>
      <c r="F918">
        <v>25</v>
      </c>
      <c r="G918" t="s">
        <v>14</v>
      </c>
      <c r="H918" t="s">
        <v>37</v>
      </c>
    </row>
    <row r="919" spans="1:8" x14ac:dyDescent="0.25">
      <c r="A919" t="s">
        <v>38</v>
      </c>
      <c r="B919" t="s">
        <v>29</v>
      </c>
      <c r="C919" s="10">
        <v>45580</v>
      </c>
      <c r="D919">
        <v>0.85526315789473673</v>
      </c>
      <c r="E919">
        <v>93</v>
      </c>
      <c r="F919">
        <v>26</v>
      </c>
      <c r="G919" t="s">
        <v>14</v>
      </c>
      <c r="H919" t="s">
        <v>37</v>
      </c>
    </row>
    <row r="920" spans="1:8" x14ac:dyDescent="0.25">
      <c r="A920" t="s">
        <v>36</v>
      </c>
      <c r="B920" t="s">
        <v>29</v>
      </c>
      <c r="C920" s="10">
        <v>45581</v>
      </c>
      <c r="D920">
        <v>0.78947368421052622</v>
      </c>
      <c r="E920">
        <v>93</v>
      </c>
      <c r="F920">
        <v>28</v>
      </c>
      <c r="G920" t="s">
        <v>14</v>
      </c>
      <c r="H920" t="s">
        <v>37</v>
      </c>
    </row>
    <row r="921" spans="1:8" x14ac:dyDescent="0.25">
      <c r="A921" t="s">
        <v>39</v>
      </c>
      <c r="B921" t="s">
        <v>29</v>
      </c>
      <c r="C921" s="10">
        <v>45582</v>
      </c>
      <c r="D921">
        <v>0.15479876160990713</v>
      </c>
      <c r="E921">
        <v>93</v>
      </c>
      <c r="F921">
        <v>33</v>
      </c>
      <c r="G921" t="s">
        <v>14</v>
      </c>
      <c r="H921" t="s">
        <v>37</v>
      </c>
    </row>
    <row r="922" spans="1:8" x14ac:dyDescent="0.25">
      <c r="A922" t="s">
        <v>38</v>
      </c>
      <c r="B922" t="s">
        <v>29</v>
      </c>
      <c r="C922" s="10">
        <v>45582</v>
      </c>
      <c r="D922">
        <v>0.89783281733746145</v>
      </c>
      <c r="E922">
        <v>93</v>
      </c>
      <c r="F922">
        <v>32</v>
      </c>
      <c r="G922" t="s">
        <v>14</v>
      </c>
      <c r="H922" t="s">
        <v>37</v>
      </c>
    </row>
    <row r="923" spans="1:8" x14ac:dyDescent="0.25">
      <c r="A923" t="s">
        <v>39</v>
      </c>
      <c r="B923" t="s">
        <v>29</v>
      </c>
      <c r="C923" s="10">
        <v>45583</v>
      </c>
      <c r="D923">
        <v>0.15479876160990713</v>
      </c>
      <c r="E923">
        <v>93</v>
      </c>
      <c r="F923">
        <v>36</v>
      </c>
      <c r="G923" t="s">
        <v>14</v>
      </c>
      <c r="H923" t="s">
        <v>37</v>
      </c>
    </row>
    <row r="924" spans="1:8" x14ac:dyDescent="0.25">
      <c r="A924" t="s">
        <v>38</v>
      </c>
      <c r="B924" t="s">
        <v>29</v>
      </c>
      <c r="C924" s="10">
        <v>45583</v>
      </c>
      <c r="D924">
        <v>0.89783281733746145</v>
      </c>
      <c r="E924">
        <v>93</v>
      </c>
      <c r="F924">
        <v>35</v>
      </c>
      <c r="G924" t="s">
        <v>14</v>
      </c>
      <c r="H924" t="s">
        <v>37</v>
      </c>
    </row>
    <row r="925" spans="1:8" x14ac:dyDescent="0.25">
      <c r="A925" t="s">
        <v>39</v>
      </c>
      <c r="B925" t="s">
        <v>29</v>
      </c>
      <c r="C925" s="10">
        <v>45584</v>
      </c>
      <c r="D925">
        <v>0.15479876160990713</v>
      </c>
      <c r="E925">
        <v>93</v>
      </c>
      <c r="F925">
        <v>39</v>
      </c>
      <c r="G925" t="s">
        <v>14</v>
      </c>
      <c r="H925" t="s">
        <v>37</v>
      </c>
    </row>
    <row r="926" spans="1:8" x14ac:dyDescent="0.25">
      <c r="A926" t="s">
        <v>38</v>
      </c>
      <c r="B926" t="s">
        <v>29</v>
      </c>
      <c r="C926" s="10">
        <v>45584</v>
      </c>
      <c r="D926">
        <v>0.89783281733746134</v>
      </c>
      <c r="E926">
        <v>93</v>
      </c>
      <c r="F926">
        <v>38</v>
      </c>
      <c r="G926" t="s">
        <v>14</v>
      </c>
      <c r="H926" t="s">
        <v>37</v>
      </c>
    </row>
    <row r="927" spans="1:8" x14ac:dyDescent="0.25">
      <c r="A927" t="s">
        <v>39</v>
      </c>
      <c r="B927" t="s">
        <v>29</v>
      </c>
      <c r="C927" s="10">
        <v>45572</v>
      </c>
      <c r="D927">
        <v>1.1530470914127426</v>
      </c>
      <c r="E927">
        <v>97</v>
      </c>
      <c r="F927">
        <v>3</v>
      </c>
      <c r="G927" t="s">
        <v>14</v>
      </c>
      <c r="H927" t="s">
        <v>37</v>
      </c>
    </row>
    <row r="928" spans="1:8" x14ac:dyDescent="0.25">
      <c r="A928" t="s">
        <v>36</v>
      </c>
      <c r="B928" t="s">
        <v>29</v>
      </c>
      <c r="C928" s="10">
        <v>45573</v>
      </c>
      <c r="D928">
        <v>3.1163434903047096E-2</v>
      </c>
      <c r="E928">
        <v>97</v>
      </c>
      <c r="F928">
        <v>4</v>
      </c>
      <c r="G928" t="s">
        <v>14</v>
      </c>
      <c r="H928" t="s">
        <v>37</v>
      </c>
    </row>
    <row r="929" spans="1:8" x14ac:dyDescent="0.25">
      <c r="A929" t="s">
        <v>39</v>
      </c>
      <c r="B929" t="s">
        <v>29</v>
      </c>
      <c r="C929" s="10">
        <v>45575</v>
      </c>
      <c r="D929">
        <v>1.1530470914127426</v>
      </c>
      <c r="E929">
        <v>97</v>
      </c>
      <c r="F929">
        <v>12</v>
      </c>
      <c r="G929" t="s">
        <v>14</v>
      </c>
      <c r="H929" t="s">
        <v>37</v>
      </c>
    </row>
    <row r="930" spans="1:8" x14ac:dyDescent="0.25">
      <c r="A930" t="s">
        <v>36</v>
      </c>
      <c r="B930" t="s">
        <v>29</v>
      </c>
      <c r="C930" s="10">
        <v>45576</v>
      </c>
      <c r="D930">
        <v>3.1163434903047096E-2</v>
      </c>
      <c r="E930">
        <v>97</v>
      </c>
      <c r="F930">
        <v>13</v>
      </c>
      <c r="G930" t="s">
        <v>14</v>
      </c>
      <c r="H930" t="s">
        <v>37</v>
      </c>
    </row>
    <row r="931" spans="1:8" x14ac:dyDescent="0.25">
      <c r="A931" t="s">
        <v>39</v>
      </c>
      <c r="B931" t="s">
        <v>29</v>
      </c>
      <c r="C931" s="10">
        <v>45577</v>
      </c>
      <c r="D931">
        <v>1.1201991465149361</v>
      </c>
      <c r="E931">
        <v>97</v>
      </c>
      <c r="F931">
        <v>18</v>
      </c>
      <c r="G931" t="s">
        <v>14</v>
      </c>
      <c r="H931" t="s">
        <v>37</v>
      </c>
    </row>
    <row r="932" spans="1:8" x14ac:dyDescent="0.25">
      <c r="A932" t="s">
        <v>36</v>
      </c>
      <c r="B932" t="s">
        <v>29</v>
      </c>
      <c r="C932" s="10">
        <v>45578</v>
      </c>
      <c r="D932">
        <v>3.1116642958748223E-2</v>
      </c>
      <c r="E932">
        <v>97</v>
      </c>
      <c r="F932">
        <v>19</v>
      </c>
      <c r="G932" t="s">
        <v>14</v>
      </c>
      <c r="H932" t="s">
        <v>37</v>
      </c>
    </row>
    <row r="933" spans="1:8" x14ac:dyDescent="0.25">
      <c r="A933" t="s">
        <v>39</v>
      </c>
      <c r="B933" t="s">
        <v>29</v>
      </c>
      <c r="C933" s="10">
        <v>45578</v>
      </c>
      <c r="D933">
        <v>1.1530470914127426</v>
      </c>
      <c r="E933">
        <v>97</v>
      </c>
      <c r="F933">
        <v>21</v>
      </c>
      <c r="G933" t="s">
        <v>14</v>
      </c>
      <c r="H933" t="s">
        <v>37</v>
      </c>
    </row>
    <row r="934" spans="1:8" x14ac:dyDescent="0.25">
      <c r="A934" t="s">
        <v>36</v>
      </c>
      <c r="B934" t="s">
        <v>29</v>
      </c>
      <c r="C934" s="10">
        <v>45579</v>
      </c>
      <c r="D934">
        <v>3.1163434903047096E-2</v>
      </c>
      <c r="E934">
        <v>97</v>
      </c>
      <c r="F934">
        <v>22</v>
      </c>
      <c r="G934" t="s">
        <v>14</v>
      </c>
      <c r="H934" t="s">
        <v>37</v>
      </c>
    </row>
    <row r="935" spans="1:8" x14ac:dyDescent="0.25">
      <c r="A935" t="s">
        <v>39</v>
      </c>
      <c r="B935" t="s">
        <v>29</v>
      </c>
      <c r="C935" s="10">
        <v>45579</v>
      </c>
      <c r="D935">
        <v>1.1530470914127426</v>
      </c>
      <c r="E935">
        <v>97</v>
      </c>
      <c r="F935">
        <v>24</v>
      </c>
      <c r="G935" t="s">
        <v>14</v>
      </c>
      <c r="H935" t="s">
        <v>37</v>
      </c>
    </row>
    <row r="936" spans="1:8" x14ac:dyDescent="0.25">
      <c r="A936" t="s">
        <v>36</v>
      </c>
      <c r="B936" t="s">
        <v>29</v>
      </c>
      <c r="C936" s="10">
        <v>45580</v>
      </c>
      <c r="D936">
        <v>3.1163434903047096E-2</v>
      </c>
      <c r="E936">
        <v>97</v>
      </c>
      <c r="F936">
        <v>25</v>
      </c>
      <c r="G936" t="s">
        <v>14</v>
      </c>
      <c r="H936" t="s">
        <v>37</v>
      </c>
    </row>
    <row r="937" spans="1:8" x14ac:dyDescent="0.25">
      <c r="A937" t="s">
        <v>39</v>
      </c>
      <c r="B937" t="s">
        <v>29</v>
      </c>
      <c r="C937" s="10">
        <v>45582</v>
      </c>
      <c r="D937">
        <v>1.1530470914127426</v>
      </c>
      <c r="E937">
        <v>97</v>
      </c>
      <c r="F937">
        <v>33</v>
      </c>
      <c r="G937" t="s">
        <v>14</v>
      </c>
      <c r="H937" t="s">
        <v>37</v>
      </c>
    </row>
    <row r="938" spans="1:8" x14ac:dyDescent="0.25">
      <c r="A938" t="s">
        <v>36</v>
      </c>
      <c r="B938" t="s">
        <v>29</v>
      </c>
      <c r="C938" s="10">
        <v>45583</v>
      </c>
      <c r="D938">
        <v>3.1163434903047096E-2</v>
      </c>
      <c r="E938">
        <v>97</v>
      </c>
      <c r="F938">
        <v>34</v>
      </c>
      <c r="G938" t="s">
        <v>14</v>
      </c>
      <c r="H938" t="s">
        <v>37</v>
      </c>
    </row>
    <row r="939" spans="1:8" x14ac:dyDescent="0.25">
      <c r="A939" t="s">
        <v>39</v>
      </c>
      <c r="B939" t="s">
        <v>29</v>
      </c>
      <c r="C939" s="10">
        <v>45584</v>
      </c>
      <c r="D939">
        <v>1.1530470914127426</v>
      </c>
      <c r="E939">
        <v>97</v>
      </c>
      <c r="F939">
        <v>39</v>
      </c>
      <c r="G939" t="s">
        <v>14</v>
      </c>
      <c r="H939" t="s">
        <v>37</v>
      </c>
    </row>
    <row r="940" spans="1:8" x14ac:dyDescent="0.25">
      <c r="A940" t="s">
        <v>36</v>
      </c>
      <c r="B940" t="s">
        <v>29</v>
      </c>
      <c r="C940" s="10">
        <v>45585</v>
      </c>
      <c r="D940">
        <v>3.1163434903047096E-2</v>
      </c>
      <c r="E940">
        <v>97</v>
      </c>
      <c r="F940">
        <v>40</v>
      </c>
      <c r="G940" t="s">
        <v>14</v>
      </c>
      <c r="H940" t="s">
        <v>37</v>
      </c>
    </row>
    <row r="941" spans="1:8" x14ac:dyDescent="0.25">
      <c r="A941" t="s">
        <v>39</v>
      </c>
      <c r="B941" t="s">
        <v>29</v>
      </c>
      <c r="C941" s="10">
        <v>45572</v>
      </c>
      <c r="D941">
        <v>0.15479876160990713</v>
      </c>
      <c r="E941">
        <v>98</v>
      </c>
      <c r="F941">
        <v>3</v>
      </c>
      <c r="G941" t="s">
        <v>14</v>
      </c>
      <c r="H941" t="s">
        <v>37</v>
      </c>
    </row>
    <row r="942" spans="1:8" x14ac:dyDescent="0.25">
      <c r="A942" t="s">
        <v>38</v>
      </c>
      <c r="B942" t="s">
        <v>29</v>
      </c>
      <c r="C942" s="10">
        <v>45572</v>
      </c>
      <c r="D942">
        <v>0.89783281733746145</v>
      </c>
      <c r="E942">
        <v>98</v>
      </c>
      <c r="F942">
        <v>2</v>
      </c>
      <c r="G942" t="s">
        <v>14</v>
      </c>
      <c r="H942" t="s">
        <v>37</v>
      </c>
    </row>
    <row r="943" spans="1:8" x14ac:dyDescent="0.25">
      <c r="A943" t="s">
        <v>39</v>
      </c>
      <c r="B943" t="s">
        <v>29</v>
      </c>
      <c r="C943" s="10">
        <v>45573</v>
      </c>
      <c r="D943">
        <v>0.15479876160990713</v>
      </c>
      <c r="E943">
        <v>98</v>
      </c>
      <c r="F943">
        <v>6</v>
      </c>
      <c r="G943" t="s">
        <v>14</v>
      </c>
      <c r="H943" t="s">
        <v>37</v>
      </c>
    </row>
    <row r="944" spans="1:8" x14ac:dyDescent="0.25">
      <c r="A944" t="s">
        <v>38</v>
      </c>
      <c r="B944" t="s">
        <v>29</v>
      </c>
      <c r="C944" s="10">
        <v>45573</v>
      </c>
      <c r="D944">
        <v>0.89783281733746145</v>
      </c>
      <c r="E944">
        <v>98</v>
      </c>
      <c r="F944">
        <v>5</v>
      </c>
      <c r="G944" t="s">
        <v>14</v>
      </c>
      <c r="H944" t="s">
        <v>37</v>
      </c>
    </row>
    <row r="945" spans="1:8" x14ac:dyDescent="0.25">
      <c r="A945" t="s">
        <v>39</v>
      </c>
      <c r="B945" t="s">
        <v>29</v>
      </c>
      <c r="C945" s="10">
        <v>45574</v>
      </c>
      <c r="D945">
        <v>0.15479876160990713</v>
      </c>
      <c r="E945">
        <v>98</v>
      </c>
      <c r="F945">
        <v>9</v>
      </c>
      <c r="G945" t="s">
        <v>14</v>
      </c>
      <c r="H945" t="s">
        <v>37</v>
      </c>
    </row>
    <row r="946" spans="1:8" x14ac:dyDescent="0.25">
      <c r="A946" t="s">
        <v>38</v>
      </c>
      <c r="B946" t="s">
        <v>29</v>
      </c>
      <c r="C946" s="10">
        <v>45574</v>
      </c>
      <c r="D946">
        <v>0.89783281733746134</v>
      </c>
      <c r="E946">
        <v>98</v>
      </c>
      <c r="F946">
        <v>8</v>
      </c>
      <c r="G946" t="s">
        <v>14</v>
      </c>
      <c r="H946" t="s">
        <v>37</v>
      </c>
    </row>
    <row r="947" spans="1:8" x14ac:dyDescent="0.25">
      <c r="A947" t="s">
        <v>39</v>
      </c>
      <c r="B947" t="s">
        <v>29</v>
      </c>
      <c r="C947" s="10">
        <v>45579</v>
      </c>
      <c r="D947">
        <v>0.15479876160990713</v>
      </c>
      <c r="E947">
        <v>98</v>
      </c>
      <c r="F947">
        <v>24</v>
      </c>
      <c r="G947" t="s">
        <v>14</v>
      </c>
      <c r="H947" t="s">
        <v>37</v>
      </c>
    </row>
    <row r="948" spans="1:8" x14ac:dyDescent="0.25">
      <c r="A948" t="s">
        <v>38</v>
      </c>
      <c r="B948" t="s">
        <v>29</v>
      </c>
      <c r="C948" s="10">
        <v>45579</v>
      </c>
      <c r="D948">
        <v>0.89783281733746145</v>
      </c>
      <c r="E948">
        <v>98</v>
      </c>
      <c r="F948">
        <v>23</v>
      </c>
      <c r="G948" t="s">
        <v>14</v>
      </c>
      <c r="H948" t="s">
        <v>37</v>
      </c>
    </row>
    <row r="949" spans="1:8" x14ac:dyDescent="0.25">
      <c r="A949" t="s">
        <v>39</v>
      </c>
      <c r="B949" t="s">
        <v>29</v>
      </c>
      <c r="C949" s="10">
        <v>45580</v>
      </c>
      <c r="D949">
        <v>0.15479876160990713</v>
      </c>
      <c r="E949">
        <v>98</v>
      </c>
      <c r="F949">
        <v>27</v>
      </c>
      <c r="G949" t="s">
        <v>14</v>
      </c>
      <c r="H949" t="s">
        <v>37</v>
      </c>
    </row>
    <row r="950" spans="1:8" x14ac:dyDescent="0.25">
      <c r="A950" t="s">
        <v>38</v>
      </c>
      <c r="B950" t="s">
        <v>29</v>
      </c>
      <c r="C950" s="10">
        <v>45580</v>
      </c>
      <c r="D950">
        <v>0.89783281733746145</v>
      </c>
      <c r="E950">
        <v>98</v>
      </c>
      <c r="F950">
        <v>26</v>
      </c>
      <c r="G950" t="s">
        <v>14</v>
      </c>
      <c r="H950" t="s">
        <v>37</v>
      </c>
    </row>
    <row r="951" spans="1:8" x14ac:dyDescent="0.25">
      <c r="A951" t="s">
        <v>39</v>
      </c>
      <c r="B951" t="s">
        <v>29</v>
      </c>
      <c r="C951" s="10">
        <v>45584</v>
      </c>
      <c r="D951">
        <v>0.15479876160990713</v>
      </c>
      <c r="E951">
        <v>98</v>
      </c>
      <c r="F951">
        <v>39</v>
      </c>
      <c r="G951" t="s">
        <v>14</v>
      </c>
      <c r="H951" t="s">
        <v>37</v>
      </c>
    </row>
    <row r="952" spans="1:8" x14ac:dyDescent="0.25">
      <c r="A952" t="s">
        <v>38</v>
      </c>
      <c r="B952" t="s">
        <v>29</v>
      </c>
      <c r="C952" s="10">
        <v>45584</v>
      </c>
      <c r="D952">
        <v>0.89783281733746134</v>
      </c>
      <c r="E952">
        <v>98</v>
      </c>
      <c r="F952">
        <v>38</v>
      </c>
      <c r="G952" t="s">
        <v>14</v>
      </c>
      <c r="H952" t="s">
        <v>37</v>
      </c>
    </row>
    <row r="953" spans="1:8" x14ac:dyDescent="0.25">
      <c r="A953" t="s">
        <v>39</v>
      </c>
      <c r="B953" t="s">
        <v>29</v>
      </c>
      <c r="C953" s="10">
        <v>45573</v>
      </c>
      <c r="D953">
        <v>1.21875</v>
      </c>
      <c r="E953">
        <v>99</v>
      </c>
      <c r="F953">
        <v>6</v>
      </c>
      <c r="G953" t="s">
        <v>14</v>
      </c>
      <c r="H953" t="s">
        <v>37</v>
      </c>
    </row>
    <row r="954" spans="1:8" x14ac:dyDescent="0.25">
      <c r="A954" t="s">
        <v>36</v>
      </c>
      <c r="B954" t="s">
        <v>29</v>
      </c>
      <c r="C954" s="10">
        <v>45574</v>
      </c>
      <c r="D954">
        <v>3.125E-2</v>
      </c>
      <c r="E954">
        <v>99</v>
      </c>
      <c r="F954">
        <v>7</v>
      </c>
      <c r="G954" t="s">
        <v>14</v>
      </c>
      <c r="H954" t="s">
        <v>37</v>
      </c>
    </row>
    <row r="955" spans="1:8" x14ac:dyDescent="0.25">
      <c r="A955" t="s">
        <v>39</v>
      </c>
      <c r="B955" t="s">
        <v>29</v>
      </c>
      <c r="C955" s="10">
        <v>45574</v>
      </c>
      <c r="D955">
        <v>1.21875</v>
      </c>
      <c r="E955">
        <v>99</v>
      </c>
      <c r="F955">
        <v>9</v>
      </c>
      <c r="G955" t="s">
        <v>14</v>
      </c>
      <c r="H955" t="s">
        <v>37</v>
      </c>
    </row>
    <row r="956" spans="1:8" x14ac:dyDescent="0.25">
      <c r="A956" t="s">
        <v>36</v>
      </c>
      <c r="B956" t="s">
        <v>29</v>
      </c>
      <c r="C956" s="10">
        <v>45575</v>
      </c>
      <c r="D956">
        <v>3.125E-2</v>
      </c>
      <c r="E956">
        <v>99</v>
      </c>
      <c r="F956">
        <v>10</v>
      </c>
      <c r="G956" t="s">
        <v>14</v>
      </c>
      <c r="H956" t="s">
        <v>37</v>
      </c>
    </row>
    <row r="957" spans="1:8" x14ac:dyDescent="0.25">
      <c r="A957" t="s">
        <v>39</v>
      </c>
      <c r="B957" t="s">
        <v>29</v>
      </c>
      <c r="C957" s="10">
        <v>45576</v>
      </c>
      <c r="D957">
        <v>1.1688596491228069</v>
      </c>
      <c r="E957">
        <v>99</v>
      </c>
      <c r="F957">
        <v>15</v>
      </c>
      <c r="G957" t="s">
        <v>14</v>
      </c>
      <c r="H957" t="s">
        <v>37</v>
      </c>
    </row>
    <row r="958" spans="1:8" x14ac:dyDescent="0.25">
      <c r="A958" t="s">
        <v>38</v>
      </c>
      <c r="B958" t="s">
        <v>29</v>
      </c>
      <c r="C958" s="10">
        <v>45576</v>
      </c>
      <c r="D958">
        <v>0.14985380116959066</v>
      </c>
      <c r="E958">
        <v>99</v>
      </c>
      <c r="F958">
        <v>14</v>
      </c>
      <c r="G958" t="s">
        <v>14</v>
      </c>
      <c r="H958" t="s">
        <v>37</v>
      </c>
    </row>
    <row r="959" spans="1:8" x14ac:dyDescent="0.25">
      <c r="A959" t="s">
        <v>36</v>
      </c>
      <c r="B959" t="s">
        <v>29</v>
      </c>
      <c r="C959" s="10">
        <v>45577</v>
      </c>
      <c r="D959">
        <v>2.997076023391813E-2</v>
      </c>
      <c r="E959">
        <v>99</v>
      </c>
      <c r="F959">
        <v>16</v>
      </c>
      <c r="G959" t="s">
        <v>14</v>
      </c>
      <c r="H959" t="s">
        <v>37</v>
      </c>
    </row>
    <row r="960" spans="1:8" x14ac:dyDescent="0.25">
      <c r="A960" t="s">
        <v>39</v>
      </c>
      <c r="B960" t="s">
        <v>29</v>
      </c>
      <c r="C960" s="10">
        <v>45578</v>
      </c>
      <c r="D960">
        <v>0.15479876160990713</v>
      </c>
      <c r="E960">
        <v>99</v>
      </c>
      <c r="F960">
        <v>21</v>
      </c>
      <c r="G960" t="s">
        <v>14</v>
      </c>
      <c r="H960" t="s">
        <v>37</v>
      </c>
    </row>
    <row r="961" spans="1:8" x14ac:dyDescent="0.25">
      <c r="A961" t="s">
        <v>38</v>
      </c>
      <c r="B961" t="s">
        <v>29</v>
      </c>
      <c r="C961" s="10">
        <v>45578</v>
      </c>
      <c r="D961">
        <v>0.89783281733746134</v>
      </c>
      <c r="E961">
        <v>99</v>
      </c>
      <c r="F961">
        <v>20</v>
      </c>
      <c r="G961" t="s">
        <v>14</v>
      </c>
      <c r="H961" t="s">
        <v>37</v>
      </c>
    </row>
    <row r="962" spans="1:8" x14ac:dyDescent="0.25">
      <c r="A962" t="s">
        <v>39</v>
      </c>
      <c r="B962" t="s">
        <v>29</v>
      </c>
      <c r="C962" s="10">
        <v>45583</v>
      </c>
      <c r="D962">
        <v>1.21875</v>
      </c>
      <c r="E962">
        <v>99</v>
      </c>
      <c r="F962">
        <v>36</v>
      </c>
      <c r="G962" t="s">
        <v>14</v>
      </c>
      <c r="H962" t="s">
        <v>37</v>
      </c>
    </row>
    <row r="963" spans="1:8" x14ac:dyDescent="0.25">
      <c r="A963" t="s">
        <v>36</v>
      </c>
      <c r="B963" t="s">
        <v>29</v>
      </c>
      <c r="C963" s="10">
        <v>45584</v>
      </c>
      <c r="D963">
        <v>3.125E-2</v>
      </c>
      <c r="E963">
        <v>99</v>
      </c>
      <c r="F963">
        <v>37</v>
      </c>
      <c r="G963" t="s">
        <v>14</v>
      </c>
      <c r="H963" t="s">
        <v>37</v>
      </c>
    </row>
    <row r="964" spans="1:8" x14ac:dyDescent="0.25">
      <c r="A964" t="s">
        <v>39</v>
      </c>
      <c r="B964" t="s">
        <v>29</v>
      </c>
      <c r="C964" s="10">
        <v>45585</v>
      </c>
      <c r="D964">
        <v>0.15479876160990713</v>
      </c>
      <c r="E964">
        <v>99</v>
      </c>
      <c r="F964">
        <v>42</v>
      </c>
      <c r="G964" t="s">
        <v>14</v>
      </c>
      <c r="H964" t="s">
        <v>37</v>
      </c>
    </row>
    <row r="965" spans="1:8" x14ac:dyDescent="0.25">
      <c r="A965" t="s">
        <v>38</v>
      </c>
      <c r="B965" t="s">
        <v>29</v>
      </c>
      <c r="C965" s="10">
        <v>45585</v>
      </c>
      <c r="D965">
        <v>0.89783281733746134</v>
      </c>
      <c r="E965">
        <v>99</v>
      </c>
      <c r="F965">
        <v>41</v>
      </c>
      <c r="G965" t="s">
        <v>14</v>
      </c>
      <c r="H965" t="s">
        <v>37</v>
      </c>
    </row>
    <row r="966" spans="1:8" x14ac:dyDescent="0.25">
      <c r="A966" t="s">
        <v>36</v>
      </c>
      <c r="B966" t="s">
        <v>29</v>
      </c>
      <c r="C966" s="10">
        <v>45575</v>
      </c>
      <c r="D966">
        <v>0.86687306501547989</v>
      </c>
      <c r="E966">
        <v>101</v>
      </c>
      <c r="F966">
        <v>10</v>
      </c>
      <c r="G966" t="s">
        <v>14</v>
      </c>
      <c r="H966" t="s">
        <v>37</v>
      </c>
    </row>
    <row r="967" spans="1:8" x14ac:dyDescent="0.25">
      <c r="A967" t="s">
        <v>38</v>
      </c>
      <c r="B967" t="s">
        <v>29</v>
      </c>
      <c r="C967" s="10">
        <v>45575</v>
      </c>
      <c r="D967">
        <v>0.18575851393188855</v>
      </c>
      <c r="E967">
        <v>101</v>
      </c>
      <c r="F967">
        <v>11</v>
      </c>
      <c r="G967" t="s">
        <v>14</v>
      </c>
      <c r="H967" t="s">
        <v>37</v>
      </c>
    </row>
    <row r="968" spans="1:8" x14ac:dyDescent="0.25">
      <c r="A968" t="s">
        <v>36</v>
      </c>
      <c r="B968" t="s">
        <v>29</v>
      </c>
      <c r="C968" s="10">
        <v>45576</v>
      </c>
      <c r="D968">
        <v>0.86687306501547989</v>
      </c>
      <c r="E968">
        <v>101</v>
      </c>
      <c r="F968">
        <v>13</v>
      </c>
      <c r="G968" t="s">
        <v>14</v>
      </c>
      <c r="H968" t="s">
        <v>37</v>
      </c>
    </row>
    <row r="969" spans="1:8" x14ac:dyDescent="0.25">
      <c r="A969" t="s">
        <v>38</v>
      </c>
      <c r="B969" t="s">
        <v>29</v>
      </c>
      <c r="C969" s="10">
        <v>45576</v>
      </c>
      <c r="D969">
        <v>0.18575851393188855</v>
      </c>
      <c r="E969">
        <v>101</v>
      </c>
      <c r="F969">
        <v>14</v>
      </c>
      <c r="G969" t="s">
        <v>14</v>
      </c>
      <c r="H969" t="s">
        <v>37</v>
      </c>
    </row>
    <row r="970" spans="1:8" x14ac:dyDescent="0.25">
      <c r="A970" t="s">
        <v>36</v>
      </c>
      <c r="B970" t="s">
        <v>29</v>
      </c>
      <c r="C970" s="10">
        <v>45581</v>
      </c>
      <c r="D970">
        <v>0.86687306501547989</v>
      </c>
      <c r="E970">
        <v>101</v>
      </c>
      <c r="F970">
        <v>28</v>
      </c>
      <c r="G970" t="s">
        <v>14</v>
      </c>
      <c r="H970" t="s">
        <v>37</v>
      </c>
    </row>
    <row r="971" spans="1:8" x14ac:dyDescent="0.25">
      <c r="A971" t="s">
        <v>38</v>
      </c>
      <c r="B971" t="s">
        <v>29</v>
      </c>
      <c r="C971" s="10">
        <v>45581</v>
      </c>
      <c r="D971">
        <v>0.18575851393188855</v>
      </c>
      <c r="E971">
        <v>101</v>
      </c>
      <c r="F971">
        <v>29</v>
      </c>
      <c r="G971" t="s">
        <v>14</v>
      </c>
      <c r="H971" t="s">
        <v>37</v>
      </c>
    </row>
    <row r="972" spans="1:8" x14ac:dyDescent="0.25">
      <c r="A972" t="s">
        <v>36</v>
      </c>
      <c r="B972" t="s">
        <v>29</v>
      </c>
      <c r="C972" s="10">
        <v>45582</v>
      </c>
      <c r="D972">
        <v>0.86687306501547989</v>
      </c>
      <c r="E972">
        <v>101</v>
      </c>
      <c r="F972">
        <v>31</v>
      </c>
      <c r="G972" t="s">
        <v>14</v>
      </c>
      <c r="H972" t="s">
        <v>37</v>
      </c>
    </row>
    <row r="973" spans="1:8" x14ac:dyDescent="0.25">
      <c r="A973" t="s">
        <v>38</v>
      </c>
      <c r="B973" t="s">
        <v>29</v>
      </c>
      <c r="C973" s="10">
        <v>45582</v>
      </c>
      <c r="D973">
        <v>0.18575851393188855</v>
      </c>
      <c r="E973">
        <v>101</v>
      </c>
      <c r="F973">
        <v>32</v>
      </c>
      <c r="G973" t="s">
        <v>14</v>
      </c>
      <c r="H973" t="s">
        <v>37</v>
      </c>
    </row>
    <row r="974" spans="1:8" x14ac:dyDescent="0.25">
      <c r="A974" t="s">
        <v>36</v>
      </c>
      <c r="B974" t="s">
        <v>29</v>
      </c>
      <c r="C974" s="10">
        <v>45583</v>
      </c>
      <c r="D974">
        <v>0.86687306501548</v>
      </c>
      <c r="E974">
        <v>101</v>
      </c>
      <c r="F974">
        <v>34</v>
      </c>
      <c r="G974" t="s">
        <v>14</v>
      </c>
      <c r="H974" t="s">
        <v>37</v>
      </c>
    </row>
    <row r="975" spans="1:8" x14ac:dyDescent="0.25">
      <c r="A975" t="s">
        <v>38</v>
      </c>
      <c r="B975" t="s">
        <v>29</v>
      </c>
      <c r="C975" s="10">
        <v>45583</v>
      </c>
      <c r="D975">
        <v>0.18575851393188855</v>
      </c>
      <c r="E975">
        <v>101</v>
      </c>
      <c r="F975">
        <v>35</v>
      </c>
      <c r="G975" t="s">
        <v>14</v>
      </c>
      <c r="H975" t="s">
        <v>37</v>
      </c>
    </row>
    <row r="976" spans="1:8" x14ac:dyDescent="0.25">
      <c r="A976" t="s">
        <v>36</v>
      </c>
      <c r="B976" t="s">
        <v>29</v>
      </c>
      <c r="C976" s="10">
        <v>45584</v>
      </c>
      <c r="D976">
        <v>0.86687306501548</v>
      </c>
      <c r="E976">
        <v>101</v>
      </c>
      <c r="F976">
        <v>37</v>
      </c>
      <c r="G976" t="s">
        <v>14</v>
      </c>
      <c r="H976" t="s">
        <v>37</v>
      </c>
    </row>
    <row r="977" spans="1:8" x14ac:dyDescent="0.25">
      <c r="A977" t="s">
        <v>38</v>
      </c>
      <c r="B977" t="s">
        <v>29</v>
      </c>
      <c r="C977" s="10">
        <v>45584</v>
      </c>
      <c r="D977">
        <v>0.18575851393188855</v>
      </c>
      <c r="E977">
        <v>101</v>
      </c>
      <c r="F977">
        <v>38</v>
      </c>
      <c r="G977" t="s">
        <v>14</v>
      </c>
      <c r="H977" t="s">
        <v>37</v>
      </c>
    </row>
    <row r="978" spans="1:8" x14ac:dyDescent="0.25">
      <c r="A978" t="s">
        <v>39</v>
      </c>
      <c r="B978" t="s">
        <v>29</v>
      </c>
      <c r="C978" s="10">
        <v>45572</v>
      </c>
      <c r="D978">
        <v>0.15479876160990713</v>
      </c>
      <c r="E978">
        <v>104</v>
      </c>
      <c r="F978">
        <v>3</v>
      </c>
      <c r="G978" t="s">
        <v>14</v>
      </c>
      <c r="H978" t="s">
        <v>37</v>
      </c>
    </row>
    <row r="979" spans="1:8" x14ac:dyDescent="0.25">
      <c r="A979" t="s">
        <v>38</v>
      </c>
      <c r="B979" t="s">
        <v>29</v>
      </c>
      <c r="C979" s="10">
        <v>45572</v>
      </c>
      <c r="D979">
        <v>0.89783281733746145</v>
      </c>
      <c r="E979">
        <v>104</v>
      </c>
      <c r="F979">
        <v>2</v>
      </c>
      <c r="G979" t="s">
        <v>14</v>
      </c>
      <c r="H979" t="s">
        <v>37</v>
      </c>
    </row>
    <row r="980" spans="1:8" x14ac:dyDescent="0.25">
      <c r="A980" t="s">
        <v>36</v>
      </c>
      <c r="B980" t="s">
        <v>29</v>
      </c>
      <c r="C980" s="10">
        <v>45573</v>
      </c>
      <c r="D980">
        <v>0.86687306501548</v>
      </c>
      <c r="E980">
        <v>104</v>
      </c>
      <c r="F980">
        <v>4</v>
      </c>
      <c r="G980" t="s">
        <v>14</v>
      </c>
      <c r="H980" t="s">
        <v>37</v>
      </c>
    </row>
    <row r="981" spans="1:8" x14ac:dyDescent="0.25">
      <c r="A981" t="s">
        <v>38</v>
      </c>
      <c r="B981" t="s">
        <v>29</v>
      </c>
      <c r="C981" s="10">
        <v>45573</v>
      </c>
      <c r="D981">
        <v>0.18575851393188855</v>
      </c>
      <c r="E981">
        <v>104</v>
      </c>
      <c r="F981">
        <v>5</v>
      </c>
      <c r="G981" t="s">
        <v>14</v>
      </c>
      <c r="H981" t="s">
        <v>37</v>
      </c>
    </row>
    <row r="982" spans="1:8" x14ac:dyDescent="0.25">
      <c r="A982" t="s">
        <v>36</v>
      </c>
      <c r="B982" t="s">
        <v>29</v>
      </c>
      <c r="C982" s="10">
        <v>45580</v>
      </c>
      <c r="D982">
        <v>0.86687306501547989</v>
      </c>
      <c r="E982">
        <v>104</v>
      </c>
      <c r="F982">
        <v>25</v>
      </c>
      <c r="G982" t="s">
        <v>14</v>
      </c>
      <c r="H982" t="s">
        <v>37</v>
      </c>
    </row>
    <row r="983" spans="1:8" x14ac:dyDescent="0.25">
      <c r="A983" t="s">
        <v>38</v>
      </c>
      <c r="B983" t="s">
        <v>29</v>
      </c>
      <c r="C983" s="10">
        <v>45580</v>
      </c>
      <c r="D983">
        <v>0.18575851393188855</v>
      </c>
      <c r="E983">
        <v>104</v>
      </c>
      <c r="F983">
        <v>26</v>
      </c>
      <c r="G983" t="s">
        <v>14</v>
      </c>
      <c r="H983" t="s">
        <v>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DE0E-68FE-4609-84DE-5DE53466C483}">
  <dimension ref="A1:Z52"/>
  <sheetViews>
    <sheetView workbookViewId="0"/>
  </sheetViews>
  <sheetFormatPr defaultRowHeight="15" x14ac:dyDescent="0.25"/>
  <cols>
    <col min="1" max="1" width="24.8554687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customWidth="1"/>
  </cols>
  <sheetData>
    <row r="1" spans="1:26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</row>
    <row r="2" spans="1:26" x14ac:dyDescent="0.25">
      <c r="A2" t="s">
        <v>75</v>
      </c>
      <c r="B2" t="s">
        <v>22</v>
      </c>
      <c r="C2">
        <v>1</v>
      </c>
      <c r="D2" t="s">
        <v>40</v>
      </c>
      <c r="E2" t="s">
        <v>76</v>
      </c>
      <c r="F2" t="s">
        <v>77</v>
      </c>
      <c r="G2" t="s">
        <v>346</v>
      </c>
      <c r="H2" t="s">
        <v>79</v>
      </c>
      <c r="I2" t="s">
        <v>22</v>
      </c>
      <c r="J2" t="b">
        <v>0</v>
      </c>
      <c r="K2" t="b">
        <v>1</v>
      </c>
      <c r="L2" t="s">
        <v>80</v>
      </c>
      <c r="M2" t="s">
        <v>81</v>
      </c>
      <c r="O2" t="s">
        <v>82</v>
      </c>
      <c r="P2">
        <v>72.5</v>
      </c>
      <c r="Q2">
        <v>46223</v>
      </c>
      <c r="R2">
        <v>46250</v>
      </c>
      <c r="S2">
        <v>2</v>
      </c>
      <c r="T2">
        <v>145</v>
      </c>
      <c r="U2">
        <v>19.078947368421055</v>
      </c>
      <c r="V2">
        <v>19</v>
      </c>
      <c r="W2">
        <v>20</v>
      </c>
      <c r="X2">
        <v>19</v>
      </c>
      <c r="Y2" t="s">
        <v>83</v>
      </c>
      <c r="Z2" t="s">
        <v>346</v>
      </c>
    </row>
    <row r="3" spans="1:26" x14ac:dyDescent="0.25">
      <c r="A3" t="s">
        <v>347</v>
      </c>
      <c r="B3" t="s">
        <v>22</v>
      </c>
      <c r="C3">
        <v>2</v>
      </c>
      <c r="D3" t="s">
        <v>40</v>
      </c>
      <c r="E3" t="s">
        <v>76</v>
      </c>
      <c r="F3" t="s">
        <v>348</v>
      </c>
      <c r="G3" t="s">
        <v>346</v>
      </c>
      <c r="H3" t="s">
        <v>88</v>
      </c>
      <c r="I3" t="s">
        <v>22</v>
      </c>
      <c r="J3" t="b">
        <v>0</v>
      </c>
      <c r="K3" t="b">
        <v>1</v>
      </c>
      <c r="L3" t="s">
        <v>80</v>
      </c>
      <c r="M3" t="s">
        <v>81</v>
      </c>
      <c r="O3" t="s">
        <v>89</v>
      </c>
      <c r="P3">
        <v>76</v>
      </c>
      <c r="Q3">
        <v>46223</v>
      </c>
      <c r="R3">
        <v>46250</v>
      </c>
      <c r="S3">
        <v>2</v>
      </c>
      <c r="T3">
        <v>152</v>
      </c>
      <c r="U3">
        <v>20</v>
      </c>
      <c r="V3">
        <v>20</v>
      </c>
      <c r="W3">
        <v>20</v>
      </c>
      <c r="X3">
        <v>20</v>
      </c>
      <c r="Y3" t="s">
        <v>89</v>
      </c>
      <c r="Z3" t="s">
        <v>346</v>
      </c>
    </row>
    <row r="4" spans="1:26" x14ac:dyDescent="0.25">
      <c r="A4" t="s">
        <v>86</v>
      </c>
      <c r="B4" t="s">
        <v>22</v>
      </c>
      <c r="C4">
        <v>3</v>
      </c>
      <c r="D4" t="s">
        <v>40</v>
      </c>
      <c r="E4" t="s">
        <v>76</v>
      </c>
      <c r="F4" t="s">
        <v>87</v>
      </c>
      <c r="G4" t="s">
        <v>346</v>
      </c>
      <c r="H4" t="s">
        <v>88</v>
      </c>
      <c r="I4" t="s">
        <v>22</v>
      </c>
      <c r="J4" t="b">
        <v>0</v>
      </c>
      <c r="K4" t="b">
        <v>1</v>
      </c>
      <c r="L4" t="s">
        <v>80</v>
      </c>
      <c r="M4" t="s">
        <v>81</v>
      </c>
      <c r="O4" t="s">
        <v>89</v>
      </c>
      <c r="P4">
        <v>76</v>
      </c>
      <c r="Q4">
        <v>46223</v>
      </c>
      <c r="R4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89</v>
      </c>
      <c r="Z4" t="s">
        <v>346</v>
      </c>
    </row>
    <row r="5" spans="1:26" x14ac:dyDescent="0.25">
      <c r="A5" t="s">
        <v>349</v>
      </c>
      <c r="B5" t="s">
        <v>22</v>
      </c>
      <c r="C5">
        <v>4</v>
      </c>
      <c r="E5" t="s">
        <v>76</v>
      </c>
      <c r="F5" t="s">
        <v>350</v>
      </c>
      <c r="G5" t="s">
        <v>346</v>
      </c>
      <c r="H5" t="s">
        <v>79</v>
      </c>
      <c r="I5" t="s">
        <v>22</v>
      </c>
      <c r="J5" t="b">
        <v>0</v>
      </c>
      <c r="K5" t="b">
        <v>1</v>
      </c>
      <c r="L5" t="s">
        <v>80</v>
      </c>
      <c r="M5" t="s">
        <v>81</v>
      </c>
      <c r="O5" t="s">
        <v>82</v>
      </c>
      <c r="P5">
        <v>30</v>
      </c>
      <c r="Q5">
        <v>46223</v>
      </c>
      <c r="R5">
        <v>46250</v>
      </c>
      <c r="S5">
        <v>2</v>
      </c>
      <c r="T5">
        <v>60</v>
      </c>
      <c r="U5">
        <v>7.8947368421052637</v>
      </c>
      <c r="V5">
        <v>7</v>
      </c>
      <c r="W5">
        <v>20</v>
      </c>
      <c r="X5">
        <v>7</v>
      </c>
      <c r="Y5" t="s">
        <v>83</v>
      </c>
      <c r="Z5" t="s">
        <v>346</v>
      </c>
    </row>
    <row r="6" spans="1:26" x14ac:dyDescent="0.25">
      <c r="A6" t="s">
        <v>351</v>
      </c>
      <c r="B6" t="s">
        <v>22</v>
      </c>
      <c r="C6">
        <v>5</v>
      </c>
      <c r="E6" t="s">
        <v>76</v>
      </c>
      <c r="F6" t="s">
        <v>352</v>
      </c>
      <c r="G6" t="s">
        <v>346</v>
      </c>
      <c r="H6" t="s">
        <v>88</v>
      </c>
      <c r="I6" t="s">
        <v>22</v>
      </c>
      <c r="J6" t="b">
        <v>1</v>
      </c>
      <c r="K6" t="b">
        <v>0</v>
      </c>
      <c r="L6" t="s">
        <v>92</v>
      </c>
      <c r="M6" t="s">
        <v>81</v>
      </c>
      <c r="O6" t="s">
        <v>89</v>
      </c>
      <c r="P6">
        <v>76</v>
      </c>
      <c r="Q6">
        <v>46223</v>
      </c>
      <c r="R6">
        <v>46250</v>
      </c>
      <c r="S6">
        <v>2</v>
      </c>
      <c r="T6">
        <v>152</v>
      </c>
      <c r="U6">
        <v>20</v>
      </c>
      <c r="V6">
        <v>20</v>
      </c>
      <c r="W6">
        <v>20</v>
      </c>
      <c r="X6">
        <v>20</v>
      </c>
      <c r="Y6" t="s">
        <v>89</v>
      </c>
      <c r="Z6" t="s">
        <v>346</v>
      </c>
    </row>
    <row r="7" spans="1:26" x14ac:dyDescent="0.25">
      <c r="A7" t="s">
        <v>353</v>
      </c>
      <c r="B7" t="s">
        <v>22</v>
      </c>
      <c r="C7">
        <v>6</v>
      </c>
      <c r="D7" t="s">
        <v>40</v>
      </c>
      <c r="E7" t="s">
        <v>76</v>
      </c>
      <c r="F7" t="s">
        <v>354</v>
      </c>
      <c r="G7" t="s">
        <v>346</v>
      </c>
      <c r="H7" t="s">
        <v>88</v>
      </c>
      <c r="I7" t="s">
        <v>22</v>
      </c>
      <c r="J7" t="b">
        <v>0</v>
      </c>
      <c r="K7" t="b">
        <v>1</v>
      </c>
      <c r="L7" t="s">
        <v>80</v>
      </c>
      <c r="M7" t="s">
        <v>81</v>
      </c>
      <c r="O7" t="s">
        <v>89</v>
      </c>
      <c r="P7">
        <v>76</v>
      </c>
      <c r="Q7">
        <v>46223</v>
      </c>
      <c r="R7">
        <v>46250</v>
      </c>
      <c r="S7">
        <v>2</v>
      </c>
      <c r="T7">
        <v>152</v>
      </c>
      <c r="U7">
        <v>20</v>
      </c>
      <c r="V7">
        <v>20</v>
      </c>
      <c r="W7">
        <v>20</v>
      </c>
      <c r="X7">
        <v>20</v>
      </c>
      <c r="Y7" t="s">
        <v>89</v>
      </c>
      <c r="Z7" t="s">
        <v>346</v>
      </c>
    </row>
    <row r="8" spans="1:26" x14ac:dyDescent="0.25">
      <c r="A8" t="s">
        <v>355</v>
      </c>
      <c r="B8" t="s">
        <v>29</v>
      </c>
      <c r="C8">
        <v>7</v>
      </c>
      <c r="E8" t="s">
        <v>76</v>
      </c>
      <c r="F8" t="s">
        <v>356</v>
      </c>
      <c r="G8" t="s">
        <v>346</v>
      </c>
      <c r="H8" t="s">
        <v>110</v>
      </c>
      <c r="I8" t="s">
        <v>29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76</v>
      </c>
      <c r="Q8">
        <v>46223</v>
      </c>
      <c r="R8">
        <v>46250</v>
      </c>
      <c r="S8">
        <v>2</v>
      </c>
      <c r="T8">
        <v>152</v>
      </c>
      <c r="U8">
        <v>20</v>
      </c>
      <c r="V8">
        <v>20</v>
      </c>
      <c r="W8">
        <v>20</v>
      </c>
      <c r="X8">
        <v>20</v>
      </c>
      <c r="Y8" t="s">
        <v>111</v>
      </c>
      <c r="Z8" t="s">
        <v>346</v>
      </c>
    </row>
    <row r="9" spans="1:26" x14ac:dyDescent="0.25">
      <c r="A9" t="s">
        <v>357</v>
      </c>
      <c r="B9" t="s">
        <v>22</v>
      </c>
      <c r="C9">
        <v>8</v>
      </c>
      <c r="D9" t="s">
        <v>40</v>
      </c>
      <c r="E9" t="s">
        <v>76</v>
      </c>
      <c r="F9" t="s">
        <v>358</v>
      </c>
      <c r="G9" t="s">
        <v>346</v>
      </c>
      <c r="H9" t="s">
        <v>79</v>
      </c>
      <c r="I9" t="s">
        <v>22</v>
      </c>
      <c r="J9" t="b">
        <v>0</v>
      </c>
      <c r="K9" t="b">
        <v>1</v>
      </c>
      <c r="L9" t="s">
        <v>80</v>
      </c>
      <c r="M9" t="s">
        <v>81</v>
      </c>
      <c r="O9" t="s">
        <v>82</v>
      </c>
      <c r="P9">
        <v>72.5</v>
      </c>
      <c r="Q9">
        <v>46223</v>
      </c>
      <c r="R9">
        <v>46250</v>
      </c>
      <c r="S9">
        <v>2</v>
      </c>
      <c r="T9">
        <v>145</v>
      </c>
      <c r="U9">
        <v>19.078947368421055</v>
      </c>
      <c r="V9">
        <v>19</v>
      </c>
      <c r="W9">
        <v>20</v>
      </c>
      <c r="X9">
        <v>19</v>
      </c>
      <c r="Y9" t="s">
        <v>83</v>
      </c>
      <c r="Z9" t="s">
        <v>346</v>
      </c>
    </row>
    <row r="10" spans="1:26" x14ac:dyDescent="0.25">
      <c r="A10" t="s">
        <v>359</v>
      </c>
      <c r="B10" t="s">
        <v>22</v>
      </c>
      <c r="C10">
        <v>9</v>
      </c>
      <c r="D10" t="s">
        <v>40</v>
      </c>
      <c r="E10" t="s">
        <v>76</v>
      </c>
      <c r="F10" t="s">
        <v>360</v>
      </c>
      <c r="G10" t="s">
        <v>346</v>
      </c>
      <c r="H10" t="s">
        <v>88</v>
      </c>
      <c r="I10" t="s">
        <v>22</v>
      </c>
      <c r="J10" t="b">
        <v>0</v>
      </c>
      <c r="K10" t="b">
        <v>1</v>
      </c>
      <c r="L10" t="s">
        <v>80</v>
      </c>
      <c r="M10" t="s">
        <v>81</v>
      </c>
      <c r="O10" t="s">
        <v>89</v>
      </c>
      <c r="P10">
        <v>76</v>
      </c>
      <c r="Q10">
        <v>46223</v>
      </c>
      <c r="R10">
        <v>46250</v>
      </c>
      <c r="S10">
        <v>2</v>
      </c>
      <c r="T10">
        <v>152</v>
      </c>
      <c r="U10">
        <v>20</v>
      </c>
      <c r="V10">
        <v>20</v>
      </c>
      <c r="W10">
        <v>20</v>
      </c>
      <c r="X10">
        <v>20</v>
      </c>
      <c r="Y10" t="s">
        <v>89</v>
      </c>
      <c r="Z10" t="s">
        <v>346</v>
      </c>
    </row>
    <row r="11" spans="1:26" x14ac:dyDescent="0.25">
      <c r="A11" t="s">
        <v>361</v>
      </c>
      <c r="B11" t="s">
        <v>22</v>
      </c>
      <c r="C11">
        <v>10</v>
      </c>
      <c r="D11" t="s">
        <v>40</v>
      </c>
      <c r="E11" t="s">
        <v>76</v>
      </c>
      <c r="F11" t="s">
        <v>362</v>
      </c>
      <c r="G11" t="s">
        <v>346</v>
      </c>
      <c r="H11" t="s">
        <v>88</v>
      </c>
      <c r="I11" t="s">
        <v>22</v>
      </c>
      <c r="J11" t="b">
        <v>0</v>
      </c>
      <c r="K11" t="b">
        <v>1</v>
      </c>
      <c r="L11" t="s">
        <v>80</v>
      </c>
      <c r="M11" t="s">
        <v>81</v>
      </c>
      <c r="O11" t="s">
        <v>89</v>
      </c>
      <c r="P11">
        <v>76</v>
      </c>
      <c r="Q11">
        <v>46223</v>
      </c>
      <c r="R11">
        <v>46250</v>
      </c>
      <c r="S11">
        <v>2</v>
      </c>
      <c r="T11">
        <v>152</v>
      </c>
      <c r="U11">
        <v>20</v>
      </c>
      <c r="V11">
        <v>20</v>
      </c>
      <c r="W11">
        <v>20</v>
      </c>
      <c r="X11">
        <v>20</v>
      </c>
      <c r="Y11" t="s">
        <v>89</v>
      </c>
      <c r="Z11" t="s">
        <v>346</v>
      </c>
    </row>
    <row r="12" spans="1:26" x14ac:dyDescent="0.25">
      <c r="A12" t="s">
        <v>363</v>
      </c>
      <c r="B12" t="s">
        <v>22</v>
      </c>
      <c r="C12">
        <v>11</v>
      </c>
      <c r="E12" t="s">
        <v>76</v>
      </c>
      <c r="F12" t="s">
        <v>364</v>
      </c>
      <c r="G12" t="s">
        <v>346</v>
      </c>
      <c r="H12" t="s">
        <v>110</v>
      </c>
      <c r="I12" t="s">
        <v>22</v>
      </c>
      <c r="J12" t="b">
        <v>1</v>
      </c>
      <c r="K12" t="b">
        <v>0</v>
      </c>
      <c r="L12" t="s">
        <v>92</v>
      </c>
      <c r="M12" t="s">
        <v>81</v>
      </c>
      <c r="O12" t="s">
        <v>82</v>
      </c>
      <c r="P12">
        <v>76</v>
      </c>
      <c r="Q12">
        <v>46223</v>
      </c>
      <c r="R12">
        <v>46250</v>
      </c>
      <c r="S12">
        <v>2</v>
      </c>
      <c r="T12">
        <v>152</v>
      </c>
      <c r="U12">
        <v>20</v>
      </c>
      <c r="V12">
        <v>20</v>
      </c>
      <c r="W12">
        <v>20</v>
      </c>
      <c r="X12">
        <v>20</v>
      </c>
      <c r="Y12" t="s">
        <v>111</v>
      </c>
      <c r="Z12" t="s">
        <v>346</v>
      </c>
    </row>
    <row r="13" spans="1:26" x14ac:dyDescent="0.25">
      <c r="A13" t="s">
        <v>365</v>
      </c>
      <c r="B13" t="s">
        <v>22</v>
      </c>
      <c r="C13">
        <v>12</v>
      </c>
      <c r="E13" t="s">
        <v>76</v>
      </c>
      <c r="F13" t="s">
        <v>366</v>
      </c>
      <c r="G13" t="s">
        <v>346</v>
      </c>
      <c r="H13" t="s">
        <v>79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64</v>
      </c>
      <c r="Q13">
        <v>46223</v>
      </c>
      <c r="R13">
        <v>46250</v>
      </c>
      <c r="S13">
        <v>2</v>
      </c>
      <c r="T13">
        <v>128</v>
      </c>
      <c r="U13">
        <v>16.842105263157894</v>
      </c>
      <c r="V13">
        <v>16</v>
      </c>
      <c r="W13">
        <v>20</v>
      </c>
      <c r="X13">
        <v>16</v>
      </c>
      <c r="Y13" t="s">
        <v>83</v>
      </c>
      <c r="Z13" t="s">
        <v>346</v>
      </c>
    </row>
    <row r="14" spans="1:26" x14ac:dyDescent="0.25">
      <c r="A14" t="s">
        <v>367</v>
      </c>
      <c r="B14" t="s">
        <v>22</v>
      </c>
      <c r="C14">
        <v>13</v>
      </c>
      <c r="E14" t="s">
        <v>76</v>
      </c>
      <c r="F14" t="s">
        <v>368</v>
      </c>
      <c r="G14" t="s">
        <v>346</v>
      </c>
      <c r="H14" t="s">
        <v>79</v>
      </c>
      <c r="I14" t="s">
        <v>22</v>
      </c>
      <c r="J14" t="b">
        <v>1</v>
      </c>
      <c r="K14" t="b">
        <v>0</v>
      </c>
      <c r="L14" t="s">
        <v>92</v>
      </c>
      <c r="M14" t="s">
        <v>81</v>
      </c>
      <c r="O14" t="s">
        <v>82</v>
      </c>
      <c r="P14">
        <v>64</v>
      </c>
      <c r="Q14">
        <v>46223</v>
      </c>
      <c r="R14">
        <v>46250</v>
      </c>
      <c r="S14">
        <v>2</v>
      </c>
      <c r="T14">
        <v>128</v>
      </c>
      <c r="U14">
        <v>16.842105263157894</v>
      </c>
      <c r="V14">
        <v>16</v>
      </c>
      <c r="W14">
        <v>20</v>
      </c>
      <c r="X14">
        <v>16</v>
      </c>
      <c r="Y14" t="s">
        <v>83</v>
      </c>
      <c r="Z14" t="s">
        <v>346</v>
      </c>
    </row>
    <row r="15" spans="1:26" x14ac:dyDescent="0.25">
      <c r="A15" t="s">
        <v>369</v>
      </c>
      <c r="B15" t="s">
        <v>22</v>
      </c>
      <c r="C15">
        <v>14</v>
      </c>
      <c r="E15" t="s">
        <v>76</v>
      </c>
      <c r="F15" t="s">
        <v>370</v>
      </c>
      <c r="G15" t="s">
        <v>346</v>
      </c>
      <c r="H15" t="s">
        <v>79</v>
      </c>
      <c r="I15" t="s">
        <v>22</v>
      </c>
      <c r="J15" t="b">
        <v>1</v>
      </c>
      <c r="K15" t="b">
        <v>1</v>
      </c>
      <c r="L15" t="s">
        <v>95</v>
      </c>
      <c r="M15" t="s">
        <v>81</v>
      </c>
      <c r="O15" t="s">
        <v>82</v>
      </c>
      <c r="P15">
        <v>40</v>
      </c>
      <c r="Q15">
        <v>46223</v>
      </c>
      <c r="R15">
        <v>46250</v>
      </c>
      <c r="S15">
        <v>2</v>
      </c>
      <c r="T15">
        <v>80</v>
      </c>
      <c r="U15">
        <v>10.526315789473683</v>
      </c>
      <c r="V15">
        <v>10</v>
      </c>
      <c r="W15">
        <v>20</v>
      </c>
      <c r="X15">
        <v>10</v>
      </c>
      <c r="Y15" t="s">
        <v>83</v>
      </c>
      <c r="Z15" t="s">
        <v>346</v>
      </c>
    </row>
    <row r="16" spans="1:26" x14ac:dyDescent="0.25">
      <c r="A16" t="s">
        <v>371</v>
      </c>
      <c r="B16" t="s">
        <v>22</v>
      </c>
      <c r="C16">
        <v>15</v>
      </c>
      <c r="E16" t="s">
        <v>76</v>
      </c>
      <c r="F16" t="s">
        <v>372</v>
      </c>
      <c r="G16" t="s">
        <v>346</v>
      </c>
      <c r="H16" t="s">
        <v>79</v>
      </c>
      <c r="I16" t="s">
        <v>22</v>
      </c>
      <c r="J16" t="b">
        <v>1</v>
      </c>
      <c r="K16" t="b">
        <v>1</v>
      </c>
      <c r="L16" t="s">
        <v>95</v>
      </c>
      <c r="M16" t="s">
        <v>81</v>
      </c>
      <c r="O16" t="s">
        <v>82</v>
      </c>
      <c r="P16">
        <v>64</v>
      </c>
      <c r="Q16">
        <v>46223</v>
      </c>
      <c r="R16">
        <v>46250</v>
      </c>
      <c r="S16">
        <v>2</v>
      </c>
      <c r="T16">
        <v>128</v>
      </c>
      <c r="U16">
        <v>16.842105263157894</v>
      </c>
      <c r="V16">
        <v>16</v>
      </c>
      <c r="W16">
        <v>20</v>
      </c>
      <c r="X16">
        <v>16</v>
      </c>
      <c r="Y16" t="s">
        <v>83</v>
      </c>
      <c r="Z16" t="s">
        <v>346</v>
      </c>
    </row>
    <row r="17" spans="1:26" x14ac:dyDescent="0.25">
      <c r="A17" t="s">
        <v>373</v>
      </c>
      <c r="B17" t="s">
        <v>22</v>
      </c>
      <c r="C17">
        <v>16</v>
      </c>
      <c r="D17" t="s">
        <v>40</v>
      </c>
      <c r="E17" t="s">
        <v>76</v>
      </c>
      <c r="F17" t="s">
        <v>374</v>
      </c>
      <c r="G17" t="s">
        <v>346</v>
      </c>
      <c r="H17" t="s">
        <v>88</v>
      </c>
      <c r="I17" t="s">
        <v>22</v>
      </c>
      <c r="J17" t="b">
        <v>0</v>
      </c>
      <c r="K17" t="b">
        <v>1</v>
      </c>
      <c r="L17" t="s">
        <v>80</v>
      </c>
      <c r="M17" t="s">
        <v>81</v>
      </c>
      <c r="O17" t="s">
        <v>89</v>
      </c>
      <c r="P17">
        <v>76</v>
      </c>
      <c r="Q17">
        <v>46223</v>
      </c>
      <c r="R17">
        <v>46250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89</v>
      </c>
      <c r="Z17" t="s">
        <v>346</v>
      </c>
    </row>
    <row r="18" spans="1:26" x14ac:dyDescent="0.25">
      <c r="A18" t="s">
        <v>375</v>
      </c>
      <c r="B18" t="s">
        <v>22</v>
      </c>
      <c r="C18">
        <v>17</v>
      </c>
      <c r="E18" t="s">
        <v>76</v>
      </c>
      <c r="F18" t="s">
        <v>161</v>
      </c>
      <c r="G18" t="s">
        <v>346</v>
      </c>
      <c r="H18" t="s">
        <v>79</v>
      </c>
      <c r="I18" t="s">
        <v>22</v>
      </c>
      <c r="J18" t="b">
        <v>1</v>
      </c>
      <c r="K18" t="b">
        <v>1</v>
      </c>
      <c r="L18" t="s">
        <v>95</v>
      </c>
      <c r="M18" t="s">
        <v>81</v>
      </c>
      <c r="O18" t="s">
        <v>82</v>
      </c>
      <c r="P18">
        <v>40</v>
      </c>
      <c r="Q18">
        <v>46223</v>
      </c>
      <c r="R18">
        <v>46250</v>
      </c>
      <c r="S18">
        <v>2</v>
      </c>
      <c r="T18">
        <v>80</v>
      </c>
      <c r="U18">
        <v>10.526315789473683</v>
      </c>
      <c r="V18">
        <v>10</v>
      </c>
      <c r="W18">
        <v>20</v>
      </c>
      <c r="X18">
        <v>10</v>
      </c>
      <c r="Y18" t="s">
        <v>83</v>
      </c>
      <c r="Z18" t="s">
        <v>346</v>
      </c>
    </row>
    <row r="19" spans="1:26" x14ac:dyDescent="0.25">
      <c r="A19" t="s">
        <v>376</v>
      </c>
      <c r="B19" t="s">
        <v>22</v>
      </c>
      <c r="C19">
        <v>18</v>
      </c>
      <c r="E19" t="s">
        <v>76</v>
      </c>
      <c r="F19" t="s">
        <v>377</v>
      </c>
      <c r="G19" t="s">
        <v>346</v>
      </c>
      <c r="H19" t="s">
        <v>88</v>
      </c>
      <c r="I19" t="s">
        <v>22</v>
      </c>
      <c r="J19" t="b">
        <v>1</v>
      </c>
      <c r="K19" t="b">
        <v>0</v>
      </c>
      <c r="L19" t="s">
        <v>92</v>
      </c>
      <c r="M19" t="s">
        <v>81</v>
      </c>
      <c r="O19" t="s">
        <v>89</v>
      </c>
      <c r="P19">
        <v>76</v>
      </c>
      <c r="Q19">
        <v>46223</v>
      </c>
      <c r="R19">
        <v>46250</v>
      </c>
      <c r="S19">
        <v>2</v>
      </c>
      <c r="T19">
        <v>152</v>
      </c>
      <c r="U19">
        <v>20</v>
      </c>
      <c r="V19">
        <v>20</v>
      </c>
      <c r="W19">
        <v>20</v>
      </c>
      <c r="X19">
        <v>20</v>
      </c>
      <c r="Y19" t="s">
        <v>89</v>
      </c>
      <c r="Z19" t="s">
        <v>346</v>
      </c>
    </row>
    <row r="20" spans="1:26" x14ac:dyDescent="0.25">
      <c r="A20" t="s">
        <v>378</v>
      </c>
      <c r="B20" t="s">
        <v>22</v>
      </c>
      <c r="C20">
        <v>19</v>
      </c>
      <c r="E20" t="s">
        <v>76</v>
      </c>
      <c r="F20" t="s">
        <v>379</v>
      </c>
      <c r="G20" t="s">
        <v>346</v>
      </c>
      <c r="H20" t="s">
        <v>110</v>
      </c>
      <c r="I20" t="s">
        <v>22</v>
      </c>
      <c r="J20" t="b">
        <v>1</v>
      </c>
      <c r="K20" t="b">
        <v>1</v>
      </c>
      <c r="L20" t="s">
        <v>95</v>
      </c>
      <c r="M20" t="s">
        <v>81</v>
      </c>
      <c r="O20" t="s">
        <v>82</v>
      </c>
      <c r="P20">
        <v>76</v>
      </c>
      <c r="Q20">
        <v>46223</v>
      </c>
      <c r="R20">
        <v>46250</v>
      </c>
      <c r="S20">
        <v>2</v>
      </c>
      <c r="T20">
        <v>152</v>
      </c>
      <c r="U20">
        <v>20</v>
      </c>
      <c r="V20">
        <v>20</v>
      </c>
      <c r="W20">
        <v>20</v>
      </c>
      <c r="X20">
        <v>20</v>
      </c>
      <c r="Y20" t="s">
        <v>111</v>
      </c>
      <c r="Z20" t="s">
        <v>346</v>
      </c>
    </row>
    <row r="21" spans="1:26" x14ac:dyDescent="0.25">
      <c r="A21" t="s">
        <v>380</v>
      </c>
      <c r="B21" t="s">
        <v>22</v>
      </c>
      <c r="C21">
        <v>20</v>
      </c>
      <c r="E21" t="s">
        <v>76</v>
      </c>
      <c r="F21" t="s">
        <v>381</v>
      </c>
      <c r="G21" t="s">
        <v>346</v>
      </c>
      <c r="H21" t="s">
        <v>110</v>
      </c>
      <c r="I21" t="s">
        <v>22</v>
      </c>
      <c r="J21" t="b">
        <v>1</v>
      </c>
      <c r="K21" t="b">
        <v>1</v>
      </c>
      <c r="L21" t="s">
        <v>95</v>
      </c>
      <c r="M21" t="s">
        <v>81</v>
      </c>
      <c r="O21" t="s">
        <v>82</v>
      </c>
      <c r="P21">
        <v>76</v>
      </c>
      <c r="Q21">
        <v>46223</v>
      </c>
      <c r="R21">
        <v>46250</v>
      </c>
      <c r="S21">
        <v>2</v>
      </c>
      <c r="T21">
        <v>152</v>
      </c>
      <c r="U21">
        <v>20</v>
      </c>
      <c r="V21">
        <v>20</v>
      </c>
      <c r="W21">
        <v>20</v>
      </c>
      <c r="X21">
        <v>20</v>
      </c>
      <c r="Y21" t="s">
        <v>111</v>
      </c>
      <c r="Z21" t="s">
        <v>346</v>
      </c>
    </row>
    <row r="22" spans="1:26" x14ac:dyDescent="0.25">
      <c r="A22" t="s">
        <v>382</v>
      </c>
      <c r="B22" t="s">
        <v>22</v>
      </c>
      <c r="C22">
        <v>21</v>
      </c>
      <c r="E22" t="s">
        <v>76</v>
      </c>
      <c r="F22" t="s">
        <v>383</v>
      </c>
      <c r="G22" t="s">
        <v>346</v>
      </c>
      <c r="H22" t="s">
        <v>110</v>
      </c>
      <c r="I22" t="s">
        <v>22</v>
      </c>
      <c r="J22" t="b">
        <v>1</v>
      </c>
      <c r="K22" t="b">
        <v>1</v>
      </c>
      <c r="L22" t="s">
        <v>95</v>
      </c>
      <c r="M22" t="s">
        <v>81</v>
      </c>
      <c r="O22" t="s">
        <v>82</v>
      </c>
      <c r="P22">
        <v>76</v>
      </c>
      <c r="Q22">
        <v>46223</v>
      </c>
      <c r="R22">
        <v>46250</v>
      </c>
      <c r="S22">
        <v>2</v>
      </c>
      <c r="T22">
        <v>152</v>
      </c>
      <c r="U22">
        <v>20</v>
      </c>
      <c r="V22">
        <v>20</v>
      </c>
      <c r="W22">
        <v>20</v>
      </c>
      <c r="X22">
        <v>20</v>
      </c>
      <c r="Y22" t="s">
        <v>111</v>
      </c>
      <c r="Z22" t="s">
        <v>346</v>
      </c>
    </row>
    <row r="23" spans="1:26" x14ac:dyDescent="0.25">
      <c r="A23" t="s">
        <v>384</v>
      </c>
      <c r="B23" t="s">
        <v>22</v>
      </c>
      <c r="C23">
        <v>22</v>
      </c>
      <c r="E23" t="s">
        <v>76</v>
      </c>
      <c r="F23" t="s">
        <v>385</v>
      </c>
      <c r="G23" t="s">
        <v>346</v>
      </c>
      <c r="H23" t="s">
        <v>88</v>
      </c>
      <c r="I23" t="s">
        <v>22</v>
      </c>
      <c r="J23" t="b">
        <v>1</v>
      </c>
      <c r="K23" t="b">
        <v>1</v>
      </c>
      <c r="L23" t="s">
        <v>95</v>
      </c>
      <c r="M23" t="s">
        <v>81</v>
      </c>
      <c r="O23" t="s">
        <v>89</v>
      </c>
      <c r="P23">
        <v>76</v>
      </c>
      <c r="Q23">
        <v>46223</v>
      </c>
      <c r="R23">
        <v>46250</v>
      </c>
      <c r="S23">
        <v>2</v>
      </c>
      <c r="T23">
        <v>152</v>
      </c>
      <c r="U23">
        <v>20</v>
      </c>
      <c r="V23">
        <v>20</v>
      </c>
      <c r="W23">
        <v>20</v>
      </c>
      <c r="X23">
        <v>20</v>
      </c>
      <c r="Y23" t="s">
        <v>89</v>
      </c>
      <c r="Z23" t="s">
        <v>346</v>
      </c>
    </row>
    <row r="24" spans="1:26" x14ac:dyDescent="0.25">
      <c r="A24" t="s">
        <v>386</v>
      </c>
      <c r="B24" t="s">
        <v>31</v>
      </c>
      <c r="C24">
        <v>23</v>
      </c>
      <c r="E24" t="s">
        <v>76</v>
      </c>
      <c r="F24" t="s">
        <v>387</v>
      </c>
      <c r="G24" t="s">
        <v>346</v>
      </c>
      <c r="H24" t="s">
        <v>79</v>
      </c>
      <c r="I24" t="s">
        <v>31</v>
      </c>
      <c r="J24" t="b">
        <v>1</v>
      </c>
      <c r="K24" t="b">
        <v>1</v>
      </c>
      <c r="L24" t="s">
        <v>95</v>
      </c>
      <c r="M24" t="s">
        <v>81</v>
      </c>
      <c r="O24" t="s">
        <v>82</v>
      </c>
      <c r="P24">
        <v>38</v>
      </c>
      <c r="Q24">
        <v>46223</v>
      </c>
      <c r="R24">
        <v>46250</v>
      </c>
      <c r="S24">
        <v>2</v>
      </c>
      <c r="T24">
        <v>76</v>
      </c>
      <c r="U24">
        <v>10</v>
      </c>
      <c r="V24">
        <v>10</v>
      </c>
      <c r="W24">
        <v>20</v>
      </c>
      <c r="X24">
        <v>10</v>
      </c>
      <c r="Y24" t="s">
        <v>83</v>
      </c>
      <c r="Z24" t="s">
        <v>346</v>
      </c>
    </row>
    <row r="25" spans="1:26" x14ac:dyDescent="0.25">
      <c r="A25" t="s">
        <v>388</v>
      </c>
      <c r="B25" t="s">
        <v>29</v>
      </c>
      <c r="C25">
        <v>24</v>
      </c>
      <c r="E25" t="s">
        <v>76</v>
      </c>
      <c r="F25" t="s">
        <v>389</v>
      </c>
      <c r="G25" t="s">
        <v>346</v>
      </c>
      <c r="H25" t="s">
        <v>110</v>
      </c>
      <c r="I25" t="s">
        <v>29</v>
      </c>
      <c r="J25" t="b">
        <v>1</v>
      </c>
      <c r="K25" t="b">
        <v>1</v>
      </c>
      <c r="L25" t="s">
        <v>95</v>
      </c>
      <c r="M25" t="s">
        <v>81</v>
      </c>
      <c r="O25" t="s">
        <v>82</v>
      </c>
      <c r="P25">
        <v>76</v>
      </c>
      <c r="Q25">
        <v>46223</v>
      </c>
      <c r="R25">
        <v>46250</v>
      </c>
      <c r="S25">
        <v>2</v>
      </c>
      <c r="T25">
        <v>152</v>
      </c>
      <c r="U25">
        <v>20</v>
      </c>
      <c r="V25">
        <v>20</v>
      </c>
      <c r="W25">
        <v>20</v>
      </c>
      <c r="X25">
        <v>20</v>
      </c>
      <c r="Y25" t="s">
        <v>111</v>
      </c>
      <c r="Z25" t="s">
        <v>346</v>
      </c>
    </row>
    <row r="26" spans="1:26" x14ac:dyDescent="0.25">
      <c r="A26" t="s">
        <v>390</v>
      </c>
      <c r="B26" t="s">
        <v>29</v>
      </c>
      <c r="C26">
        <v>25</v>
      </c>
      <c r="E26" t="s">
        <v>76</v>
      </c>
      <c r="F26" t="s">
        <v>391</v>
      </c>
      <c r="G26" t="s">
        <v>346</v>
      </c>
      <c r="H26" t="s">
        <v>79</v>
      </c>
      <c r="I26" t="s">
        <v>29</v>
      </c>
      <c r="J26" t="b">
        <v>1</v>
      </c>
      <c r="K26" t="b">
        <v>1</v>
      </c>
      <c r="L26" t="s">
        <v>95</v>
      </c>
      <c r="M26" t="s">
        <v>81</v>
      </c>
      <c r="O26" t="s">
        <v>82</v>
      </c>
      <c r="P26">
        <v>72</v>
      </c>
      <c r="Q26">
        <v>46223</v>
      </c>
      <c r="R26">
        <v>46250</v>
      </c>
      <c r="S26">
        <v>2</v>
      </c>
      <c r="T26">
        <v>144</v>
      </c>
      <c r="U26">
        <v>18.947368421052634</v>
      </c>
      <c r="V26">
        <v>18</v>
      </c>
      <c r="W26">
        <v>20</v>
      </c>
      <c r="X26">
        <v>18</v>
      </c>
      <c r="Y26" t="s">
        <v>83</v>
      </c>
      <c r="Z26" t="s">
        <v>346</v>
      </c>
    </row>
    <row r="27" spans="1:26" x14ac:dyDescent="0.25">
      <c r="A27" t="s">
        <v>392</v>
      </c>
      <c r="B27" t="s">
        <v>22</v>
      </c>
      <c r="C27">
        <v>26</v>
      </c>
      <c r="E27" t="s">
        <v>76</v>
      </c>
      <c r="F27" t="s">
        <v>393</v>
      </c>
      <c r="G27" t="s">
        <v>346</v>
      </c>
      <c r="H27" t="s">
        <v>79</v>
      </c>
      <c r="I27" t="s">
        <v>22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64</v>
      </c>
      <c r="Q27">
        <v>46223</v>
      </c>
      <c r="R27">
        <v>46250</v>
      </c>
      <c r="S27">
        <v>2</v>
      </c>
      <c r="T27">
        <v>128</v>
      </c>
      <c r="U27">
        <v>16.842105263157894</v>
      </c>
      <c r="V27">
        <v>16</v>
      </c>
      <c r="W27">
        <v>20</v>
      </c>
      <c r="X27">
        <v>16</v>
      </c>
      <c r="Y27" t="s">
        <v>83</v>
      </c>
      <c r="Z27" t="s">
        <v>346</v>
      </c>
    </row>
    <row r="28" spans="1:26" x14ac:dyDescent="0.25">
      <c r="A28" t="s">
        <v>394</v>
      </c>
      <c r="B28" t="s">
        <v>22</v>
      </c>
      <c r="C28">
        <v>27</v>
      </c>
      <c r="D28" t="s">
        <v>40</v>
      </c>
      <c r="E28" t="s">
        <v>76</v>
      </c>
      <c r="F28" t="s">
        <v>395</v>
      </c>
      <c r="G28" t="s">
        <v>346</v>
      </c>
      <c r="H28" t="s">
        <v>79</v>
      </c>
      <c r="I28" t="s">
        <v>22</v>
      </c>
      <c r="J28" t="b">
        <v>1</v>
      </c>
      <c r="K28" t="b">
        <v>1</v>
      </c>
      <c r="L28" t="s">
        <v>95</v>
      </c>
      <c r="M28" t="s">
        <v>81</v>
      </c>
      <c r="O28" t="s">
        <v>82</v>
      </c>
      <c r="P28">
        <v>40</v>
      </c>
      <c r="Q28">
        <v>46223</v>
      </c>
      <c r="R28">
        <v>46250</v>
      </c>
      <c r="S28">
        <v>2</v>
      </c>
      <c r="T28">
        <v>80</v>
      </c>
      <c r="U28">
        <v>10.526315789473683</v>
      </c>
      <c r="V28">
        <v>10</v>
      </c>
      <c r="W28">
        <v>20</v>
      </c>
      <c r="X28">
        <v>10</v>
      </c>
      <c r="Y28" t="s">
        <v>83</v>
      </c>
      <c r="Z28" t="s">
        <v>346</v>
      </c>
    </row>
    <row r="29" spans="1:26" x14ac:dyDescent="0.25">
      <c r="A29" t="s">
        <v>224</v>
      </c>
      <c r="B29" t="s">
        <v>22</v>
      </c>
      <c r="C29">
        <v>28</v>
      </c>
      <c r="D29" t="s">
        <v>40</v>
      </c>
      <c r="E29" t="s">
        <v>76</v>
      </c>
      <c r="F29" t="s">
        <v>225</v>
      </c>
      <c r="G29" t="s">
        <v>346</v>
      </c>
      <c r="H29" t="s">
        <v>88</v>
      </c>
      <c r="I29" t="s">
        <v>22</v>
      </c>
      <c r="J29" t="b">
        <v>0</v>
      </c>
      <c r="K29" t="b">
        <v>1</v>
      </c>
      <c r="L29" t="s">
        <v>80</v>
      </c>
      <c r="M29" t="s">
        <v>81</v>
      </c>
      <c r="O29" t="s">
        <v>89</v>
      </c>
      <c r="P29">
        <v>76</v>
      </c>
      <c r="Q29">
        <v>46223</v>
      </c>
      <c r="R29">
        <v>46250</v>
      </c>
      <c r="S29">
        <v>2</v>
      </c>
      <c r="T29">
        <v>152</v>
      </c>
      <c r="U29">
        <v>20</v>
      </c>
      <c r="V29">
        <v>20</v>
      </c>
      <c r="W29">
        <v>20</v>
      </c>
      <c r="X29">
        <v>20</v>
      </c>
      <c r="Y29" t="s">
        <v>89</v>
      </c>
      <c r="Z29" t="s">
        <v>346</v>
      </c>
    </row>
    <row r="30" spans="1:26" x14ac:dyDescent="0.25">
      <c r="A30" t="s">
        <v>396</v>
      </c>
      <c r="B30" t="s">
        <v>22</v>
      </c>
      <c r="C30">
        <v>29</v>
      </c>
      <c r="E30" t="s">
        <v>76</v>
      </c>
      <c r="F30" t="s">
        <v>397</v>
      </c>
      <c r="G30" t="s">
        <v>346</v>
      </c>
      <c r="H30" t="s">
        <v>79</v>
      </c>
      <c r="I30" t="s">
        <v>22</v>
      </c>
      <c r="J30" t="b">
        <v>1</v>
      </c>
      <c r="K30" t="b">
        <v>1</v>
      </c>
      <c r="L30" t="s">
        <v>95</v>
      </c>
      <c r="M30" t="s">
        <v>81</v>
      </c>
      <c r="O30" t="s">
        <v>82</v>
      </c>
      <c r="P30">
        <v>64</v>
      </c>
      <c r="Q30">
        <v>46223</v>
      </c>
      <c r="R30">
        <v>46250</v>
      </c>
      <c r="S30">
        <v>2</v>
      </c>
      <c r="T30">
        <v>128</v>
      </c>
      <c r="U30">
        <v>16.842105263157894</v>
      </c>
      <c r="V30">
        <v>16</v>
      </c>
      <c r="W30">
        <v>20</v>
      </c>
      <c r="X30">
        <v>16</v>
      </c>
      <c r="Y30" t="s">
        <v>83</v>
      </c>
      <c r="Z30" t="s">
        <v>346</v>
      </c>
    </row>
    <row r="31" spans="1:26" x14ac:dyDescent="0.25">
      <c r="A31" t="s">
        <v>398</v>
      </c>
      <c r="B31" t="s">
        <v>22</v>
      </c>
      <c r="C31">
        <v>30</v>
      </c>
      <c r="E31" t="s">
        <v>76</v>
      </c>
      <c r="F31" t="s">
        <v>399</v>
      </c>
      <c r="G31" t="s">
        <v>346</v>
      </c>
      <c r="H31" t="s">
        <v>79</v>
      </c>
      <c r="I31" t="s">
        <v>22</v>
      </c>
      <c r="J31" t="b">
        <v>1</v>
      </c>
      <c r="K31" t="b">
        <v>1</v>
      </c>
      <c r="L31" t="s">
        <v>95</v>
      </c>
      <c r="M31" t="s">
        <v>81</v>
      </c>
      <c r="O31" t="s">
        <v>82</v>
      </c>
      <c r="P31">
        <v>64</v>
      </c>
      <c r="Q31">
        <v>46223</v>
      </c>
      <c r="R31">
        <v>46250</v>
      </c>
      <c r="S31">
        <v>2</v>
      </c>
      <c r="T31">
        <v>128</v>
      </c>
      <c r="U31">
        <v>16.842105263157894</v>
      </c>
      <c r="V31">
        <v>16</v>
      </c>
      <c r="W31">
        <v>20</v>
      </c>
      <c r="X31">
        <v>16</v>
      </c>
      <c r="Y31" t="s">
        <v>83</v>
      </c>
      <c r="Z31" t="s">
        <v>346</v>
      </c>
    </row>
    <row r="32" spans="1:26" x14ac:dyDescent="0.25">
      <c r="A32" t="s">
        <v>238</v>
      </c>
      <c r="B32" t="s">
        <v>22</v>
      </c>
      <c r="C32">
        <v>31</v>
      </c>
      <c r="D32" t="s">
        <v>40</v>
      </c>
      <c r="E32" t="s">
        <v>76</v>
      </c>
      <c r="F32" t="s">
        <v>239</v>
      </c>
      <c r="G32" t="s">
        <v>346</v>
      </c>
      <c r="H32" t="s">
        <v>88</v>
      </c>
      <c r="I32" t="s">
        <v>22</v>
      </c>
      <c r="J32" t="b">
        <v>0</v>
      </c>
      <c r="K32" t="b">
        <v>1</v>
      </c>
      <c r="L32" t="s">
        <v>80</v>
      </c>
      <c r="M32" t="s">
        <v>81</v>
      </c>
      <c r="O32" t="s">
        <v>89</v>
      </c>
      <c r="P32">
        <v>76</v>
      </c>
      <c r="Q32">
        <v>46223</v>
      </c>
      <c r="R32">
        <v>46250</v>
      </c>
      <c r="S32">
        <v>2</v>
      </c>
      <c r="T32">
        <v>152</v>
      </c>
      <c r="U32">
        <v>20</v>
      </c>
      <c r="V32">
        <v>20</v>
      </c>
      <c r="W32">
        <v>20</v>
      </c>
      <c r="X32">
        <v>20</v>
      </c>
      <c r="Y32" t="s">
        <v>89</v>
      </c>
      <c r="Z32" t="s">
        <v>346</v>
      </c>
    </row>
    <row r="33" spans="1:26" x14ac:dyDescent="0.25">
      <c r="A33" t="s">
        <v>400</v>
      </c>
      <c r="B33" t="s">
        <v>22</v>
      </c>
      <c r="C33">
        <v>32</v>
      </c>
      <c r="E33" t="s">
        <v>76</v>
      </c>
      <c r="F33" t="s">
        <v>401</v>
      </c>
      <c r="G33" t="s">
        <v>346</v>
      </c>
      <c r="H33" t="s">
        <v>79</v>
      </c>
      <c r="I33" t="s">
        <v>22</v>
      </c>
      <c r="J33" t="b">
        <v>1</v>
      </c>
      <c r="K33" t="b">
        <v>1</v>
      </c>
      <c r="L33" t="s">
        <v>95</v>
      </c>
      <c r="M33" t="s">
        <v>81</v>
      </c>
      <c r="O33" t="s">
        <v>82</v>
      </c>
      <c r="P33">
        <v>30</v>
      </c>
      <c r="Q33">
        <v>46223</v>
      </c>
      <c r="R33">
        <v>46250</v>
      </c>
      <c r="S33">
        <v>2</v>
      </c>
      <c r="T33">
        <v>60</v>
      </c>
      <c r="U33">
        <v>7.8947368421052637</v>
      </c>
      <c r="V33">
        <v>7</v>
      </c>
      <c r="W33">
        <v>20</v>
      </c>
      <c r="X33">
        <v>7</v>
      </c>
      <c r="Y33" t="s">
        <v>83</v>
      </c>
      <c r="Z33" t="s">
        <v>346</v>
      </c>
    </row>
    <row r="34" spans="1:26" x14ac:dyDescent="0.25">
      <c r="A34" t="s">
        <v>258</v>
      </c>
      <c r="B34" t="s">
        <v>22</v>
      </c>
      <c r="C34">
        <v>33</v>
      </c>
      <c r="D34" t="s">
        <v>40</v>
      </c>
      <c r="E34" t="s">
        <v>76</v>
      </c>
      <c r="F34" t="s">
        <v>259</v>
      </c>
      <c r="G34" t="s">
        <v>346</v>
      </c>
      <c r="H34" t="s">
        <v>79</v>
      </c>
      <c r="I34" t="s">
        <v>22</v>
      </c>
      <c r="J34" t="b">
        <v>0</v>
      </c>
      <c r="K34" t="b">
        <v>1</v>
      </c>
      <c r="L34" t="s">
        <v>80</v>
      </c>
      <c r="M34" t="s">
        <v>81</v>
      </c>
      <c r="O34" t="s">
        <v>82</v>
      </c>
      <c r="P34">
        <v>32</v>
      </c>
      <c r="Q34">
        <v>46223</v>
      </c>
      <c r="R34">
        <v>46250</v>
      </c>
      <c r="S34">
        <v>2</v>
      </c>
      <c r="T34">
        <v>64</v>
      </c>
      <c r="U34">
        <v>8.4210526315789469</v>
      </c>
      <c r="V34">
        <v>8</v>
      </c>
      <c r="W34">
        <v>20</v>
      </c>
      <c r="X34">
        <v>8</v>
      </c>
      <c r="Y34" t="s">
        <v>83</v>
      </c>
      <c r="Z34" t="s">
        <v>346</v>
      </c>
    </row>
    <row r="35" spans="1:26" x14ac:dyDescent="0.25">
      <c r="A35" t="s">
        <v>402</v>
      </c>
      <c r="B35" t="s">
        <v>22</v>
      </c>
      <c r="C35">
        <v>34</v>
      </c>
      <c r="E35" t="s">
        <v>76</v>
      </c>
      <c r="F35" t="s">
        <v>403</v>
      </c>
      <c r="G35" t="s">
        <v>346</v>
      </c>
      <c r="H35" t="s">
        <v>110</v>
      </c>
      <c r="I35" t="s">
        <v>22</v>
      </c>
      <c r="J35" t="b">
        <v>1</v>
      </c>
      <c r="K35" t="b">
        <v>1</v>
      </c>
      <c r="L35" t="s">
        <v>95</v>
      </c>
      <c r="M35" t="s">
        <v>81</v>
      </c>
      <c r="O35" t="s">
        <v>82</v>
      </c>
      <c r="P35">
        <v>76</v>
      </c>
      <c r="Q35">
        <v>46223</v>
      </c>
      <c r="R35">
        <v>46250</v>
      </c>
      <c r="S35">
        <v>2</v>
      </c>
      <c r="T35">
        <v>152</v>
      </c>
      <c r="U35">
        <v>20</v>
      </c>
      <c r="V35">
        <v>20</v>
      </c>
      <c r="W35">
        <v>20</v>
      </c>
      <c r="X35">
        <v>20</v>
      </c>
      <c r="Y35" t="s">
        <v>111</v>
      </c>
      <c r="Z35" t="s">
        <v>346</v>
      </c>
    </row>
    <row r="36" spans="1:26" x14ac:dyDescent="0.25">
      <c r="A36" t="s">
        <v>404</v>
      </c>
      <c r="B36" t="s">
        <v>22</v>
      </c>
      <c r="C36">
        <v>35</v>
      </c>
      <c r="E36" t="s">
        <v>76</v>
      </c>
      <c r="F36" t="s">
        <v>405</v>
      </c>
      <c r="G36" t="s">
        <v>346</v>
      </c>
      <c r="H36" t="s">
        <v>79</v>
      </c>
      <c r="I36" t="s">
        <v>22</v>
      </c>
      <c r="J36" t="b">
        <v>1</v>
      </c>
      <c r="K36" t="b">
        <v>0</v>
      </c>
      <c r="L36" t="s">
        <v>92</v>
      </c>
      <c r="M36" t="s">
        <v>81</v>
      </c>
      <c r="O36" t="s">
        <v>82</v>
      </c>
      <c r="P36">
        <v>40</v>
      </c>
      <c r="Q36">
        <v>46223</v>
      </c>
      <c r="R36">
        <v>46250</v>
      </c>
      <c r="S36">
        <v>2</v>
      </c>
      <c r="T36">
        <v>80</v>
      </c>
      <c r="U36">
        <v>10.526315789473683</v>
      </c>
      <c r="V36">
        <v>10</v>
      </c>
      <c r="W36">
        <v>20</v>
      </c>
      <c r="X36">
        <v>10</v>
      </c>
      <c r="Y36" t="s">
        <v>83</v>
      </c>
      <c r="Z36" t="s">
        <v>346</v>
      </c>
    </row>
    <row r="37" spans="1:26" x14ac:dyDescent="0.25">
      <c r="A37" t="s">
        <v>406</v>
      </c>
      <c r="B37" t="s">
        <v>31</v>
      </c>
      <c r="C37">
        <v>36</v>
      </c>
      <c r="E37" t="s">
        <v>76</v>
      </c>
      <c r="F37" t="s">
        <v>407</v>
      </c>
      <c r="G37" t="s">
        <v>346</v>
      </c>
      <c r="H37" t="s">
        <v>79</v>
      </c>
      <c r="I37" t="s">
        <v>31</v>
      </c>
      <c r="J37" t="b">
        <v>1</v>
      </c>
      <c r="K37" t="b">
        <v>1</v>
      </c>
      <c r="L37" t="s">
        <v>95</v>
      </c>
      <c r="M37" t="s">
        <v>81</v>
      </c>
      <c r="O37" t="s">
        <v>82</v>
      </c>
      <c r="P37">
        <v>68</v>
      </c>
      <c r="Q37">
        <v>46223</v>
      </c>
      <c r="R37">
        <v>46250</v>
      </c>
      <c r="S37">
        <v>2</v>
      </c>
      <c r="T37">
        <v>136</v>
      </c>
      <c r="U37">
        <v>17.894736842105264</v>
      </c>
      <c r="V37">
        <v>17</v>
      </c>
      <c r="W37">
        <v>20</v>
      </c>
      <c r="X37">
        <v>17</v>
      </c>
      <c r="Y37" t="s">
        <v>83</v>
      </c>
      <c r="Z37" t="s">
        <v>346</v>
      </c>
    </row>
    <row r="38" spans="1:26" x14ac:dyDescent="0.25">
      <c r="A38" t="s">
        <v>408</v>
      </c>
      <c r="B38" t="s">
        <v>22</v>
      </c>
      <c r="C38">
        <v>37</v>
      </c>
      <c r="E38" t="s">
        <v>76</v>
      </c>
      <c r="F38" t="s">
        <v>409</v>
      </c>
      <c r="G38" t="s">
        <v>346</v>
      </c>
      <c r="H38" t="s">
        <v>79</v>
      </c>
      <c r="I38" t="s">
        <v>22</v>
      </c>
      <c r="J38" t="b">
        <v>1</v>
      </c>
      <c r="K38" t="b">
        <v>0</v>
      </c>
      <c r="L38" t="s">
        <v>92</v>
      </c>
      <c r="M38" t="s">
        <v>81</v>
      </c>
      <c r="O38" t="s">
        <v>82</v>
      </c>
      <c r="P38">
        <v>64</v>
      </c>
      <c r="Q38">
        <v>46223</v>
      </c>
      <c r="R38">
        <v>46250</v>
      </c>
      <c r="S38">
        <v>2</v>
      </c>
      <c r="T38">
        <v>128</v>
      </c>
      <c r="U38">
        <v>16.842105263157894</v>
      </c>
      <c r="V38">
        <v>16</v>
      </c>
      <c r="W38">
        <v>20</v>
      </c>
      <c r="X38">
        <v>16</v>
      </c>
      <c r="Y38" t="s">
        <v>83</v>
      </c>
      <c r="Z38" t="s">
        <v>346</v>
      </c>
    </row>
    <row r="39" spans="1:26" x14ac:dyDescent="0.25">
      <c r="A39" t="s">
        <v>410</v>
      </c>
      <c r="B39" t="s">
        <v>22</v>
      </c>
      <c r="C39">
        <v>38</v>
      </c>
      <c r="E39" t="s">
        <v>76</v>
      </c>
      <c r="F39" t="s">
        <v>411</v>
      </c>
      <c r="G39" t="s">
        <v>346</v>
      </c>
      <c r="H39" t="s">
        <v>88</v>
      </c>
      <c r="I39" t="s">
        <v>22</v>
      </c>
      <c r="J39" t="b">
        <v>1</v>
      </c>
      <c r="K39" t="b">
        <v>0</v>
      </c>
      <c r="L39" t="s">
        <v>92</v>
      </c>
      <c r="M39" t="s">
        <v>81</v>
      </c>
      <c r="O39" t="s">
        <v>89</v>
      </c>
      <c r="P39">
        <v>76</v>
      </c>
      <c r="Q39">
        <v>46223</v>
      </c>
      <c r="R39">
        <v>46250</v>
      </c>
      <c r="S39">
        <v>2</v>
      </c>
      <c r="T39">
        <v>152</v>
      </c>
      <c r="U39">
        <v>20</v>
      </c>
      <c r="V39">
        <v>20</v>
      </c>
      <c r="W39">
        <v>20</v>
      </c>
      <c r="X39">
        <v>20</v>
      </c>
      <c r="Y39" t="s">
        <v>89</v>
      </c>
      <c r="Z39" t="s">
        <v>346</v>
      </c>
    </row>
    <row r="40" spans="1:26" x14ac:dyDescent="0.25">
      <c r="A40" t="s">
        <v>412</v>
      </c>
      <c r="B40" t="s">
        <v>22</v>
      </c>
      <c r="C40">
        <v>39</v>
      </c>
      <c r="E40" t="s">
        <v>76</v>
      </c>
      <c r="F40" t="s">
        <v>413</v>
      </c>
      <c r="G40" t="s">
        <v>346</v>
      </c>
      <c r="H40" t="s">
        <v>79</v>
      </c>
      <c r="I40" t="s">
        <v>22</v>
      </c>
      <c r="J40" t="b">
        <v>1</v>
      </c>
      <c r="K40" t="b">
        <v>1</v>
      </c>
      <c r="L40" t="s">
        <v>95</v>
      </c>
      <c r="M40" t="s">
        <v>81</v>
      </c>
      <c r="O40" t="s">
        <v>82</v>
      </c>
      <c r="P40">
        <v>72</v>
      </c>
      <c r="Q40">
        <v>46223</v>
      </c>
      <c r="R40">
        <v>46250</v>
      </c>
      <c r="S40">
        <v>2</v>
      </c>
      <c r="T40">
        <v>144</v>
      </c>
      <c r="U40">
        <v>18.947368421052634</v>
      </c>
      <c r="V40">
        <v>18</v>
      </c>
      <c r="W40">
        <v>20</v>
      </c>
      <c r="X40">
        <v>18</v>
      </c>
      <c r="Y40" t="s">
        <v>83</v>
      </c>
      <c r="Z40" t="s">
        <v>346</v>
      </c>
    </row>
    <row r="41" spans="1:26" x14ac:dyDescent="0.25">
      <c r="A41" t="s">
        <v>414</v>
      </c>
      <c r="B41" t="s">
        <v>22</v>
      </c>
      <c r="C41">
        <v>40</v>
      </c>
      <c r="D41" t="s">
        <v>40</v>
      </c>
      <c r="E41" t="s">
        <v>76</v>
      </c>
      <c r="F41" t="s">
        <v>415</v>
      </c>
      <c r="G41" t="s">
        <v>346</v>
      </c>
      <c r="H41" t="s">
        <v>88</v>
      </c>
      <c r="I41" t="s">
        <v>22</v>
      </c>
      <c r="J41" t="b">
        <v>0</v>
      </c>
      <c r="K41" t="b">
        <v>1</v>
      </c>
      <c r="L41" t="s">
        <v>80</v>
      </c>
      <c r="M41" t="s">
        <v>81</v>
      </c>
      <c r="O41" t="s">
        <v>89</v>
      </c>
      <c r="P41">
        <v>76</v>
      </c>
      <c r="Q41">
        <v>46223</v>
      </c>
      <c r="R41">
        <v>46250</v>
      </c>
      <c r="S41">
        <v>2</v>
      </c>
      <c r="T41">
        <v>152</v>
      </c>
      <c r="U41">
        <v>20</v>
      </c>
      <c r="V41">
        <v>20</v>
      </c>
      <c r="W41">
        <v>20</v>
      </c>
      <c r="X41">
        <v>20</v>
      </c>
      <c r="Y41" t="s">
        <v>89</v>
      </c>
      <c r="Z41" t="s">
        <v>346</v>
      </c>
    </row>
    <row r="42" spans="1:26" x14ac:dyDescent="0.25">
      <c r="A42" t="s">
        <v>416</v>
      </c>
      <c r="B42" t="s">
        <v>29</v>
      </c>
      <c r="C42">
        <v>41</v>
      </c>
      <c r="E42" t="s">
        <v>76</v>
      </c>
      <c r="F42" t="s">
        <v>417</v>
      </c>
      <c r="G42" t="s">
        <v>346</v>
      </c>
      <c r="H42" t="s">
        <v>110</v>
      </c>
      <c r="I42" t="s">
        <v>29</v>
      </c>
      <c r="J42" t="b">
        <v>1</v>
      </c>
      <c r="K42" t="b">
        <v>0</v>
      </c>
      <c r="L42" t="s">
        <v>92</v>
      </c>
      <c r="M42" t="s">
        <v>81</v>
      </c>
      <c r="O42" t="s">
        <v>82</v>
      </c>
      <c r="P42">
        <v>76</v>
      </c>
      <c r="Q42">
        <v>46223</v>
      </c>
      <c r="R42">
        <v>46250</v>
      </c>
      <c r="S42">
        <v>2</v>
      </c>
      <c r="T42">
        <v>152</v>
      </c>
      <c r="U42">
        <v>20</v>
      </c>
      <c r="V42">
        <v>20</v>
      </c>
      <c r="W42">
        <v>20</v>
      </c>
      <c r="X42">
        <v>20</v>
      </c>
      <c r="Y42" t="s">
        <v>111</v>
      </c>
      <c r="Z42" t="s">
        <v>346</v>
      </c>
    </row>
    <row r="43" spans="1:26" x14ac:dyDescent="0.25">
      <c r="A43" t="s">
        <v>418</v>
      </c>
      <c r="B43" t="s">
        <v>29</v>
      </c>
      <c r="C43">
        <v>42</v>
      </c>
      <c r="E43" t="s">
        <v>76</v>
      </c>
      <c r="F43" t="s">
        <v>419</v>
      </c>
      <c r="G43" t="s">
        <v>346</v>
      </c>
      <c r="H43" t="s">
        <v>79</v>
      </c>
      <c r="I43" t="s">
        <v>29</v>
      </c>
      <c r="J43" t="b">
        <v>1</v>
      </c>
      <c r="K43" t="b">
        <v>1</v>
      </c>
      <c r="L43" t="s">
        <v>95</v>
      </c>
      <c r="M43" t="s">
        <v>81</v>
      </c>
      <c r="O43" t="s">
        <v>82</v>
      </c>
      <c r="P43">
        <v>72</v>
      </c>
      <c r="Q43">
        <v>46223</v>
      </c>
      <c r="R43">
        <v>46250</v>
      </c>
      <c r="S43">
        <v>2</v>
      </c>
      <c r="T43">
        <v>144</v>
      </c>
      <c r="U43">
        <v>18.947368421052634</v>
      </c>
      <c r="V43">
        <v>18</v>
      </c>
      <c r="W43">
        <v>20</v>
      </c>
      <c r="X43">
        <v>18</v>
      </c>
      <c r="Y43" t="s">
        <v>83</v>
      </c>
      <c r="Z43" t="s">
        <v>346</v>
      </c>
    </row>
    <row r="44" spans="1:26" x14ac:dyDescent="0.25">
      <c r="A44" t="s">
        <v>420</v>
      </c>
      <c r="B44" t="s">
        <v>29</v>
      </c>
      <c r="C44">
        <v>43</v>
      </c>
      <c r="E44" t="s">
        <v>76</v>
      </c>
      <c r="F44" t="s">
        <v>421</v>
      </c>
      <c r="G44" t="s">
        <v>346</v>
      </c>
      <c r="H44" t="s">
        <v>110</v>
      </c>
      <c r="I44" t="s">
        <v>29</v>
      </c>
      <c r="J44" t="b">
        <v>1</v>
      </c>
      <c r="K44" t="b">
        <v>1</v>
      </c>
      <c r="L44" t="s">
        <v>95</v>
      </c>
      <c r="M44" t="s">
        <v>81</v>
      </c>
      <c r="O44" t="s">
        <v>82</v>
      </c>
      <c r="P44">
        <v>76</v>
      </c>
      <c r="Q44">
        <v>46223</v>
      </c>
      <c r="R44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111</v>
      </c>
      <c r="Z44" t="s">
        <v>346</v>
      </c>
    </row>
    <row r="45" spans="1:26" x14ac:dyDescent="0.25">
      <c r="A45" t="s">
        <v>422</v>
      </c>
      <c r="B45" t="s">
        <v>22</v>
      </c>
      <c r="C45">
        <v>44</v>
      </c>
      <c r="D45" t="s">
        <v>40</v>
      </c>
      <c r="E45" t="s">
        <v>76</v>
      </c>
      <c r="F45" t="s">
        <v>423</v>
      </c>
      <c r="G45" t="s">
        <v>346</v>
      </c>
      <c r="H45" t="s">
        <v>88</v>
      </c>
      <c r="I45" t="s">
        <v>22</v>
      </c>
      <c r="J45" t="b">
        <v>0</v>
      </c>
      <c r="K45" t="b">
        <v>1</v>
      </c>
      <c r="L45" t="s">
        <v>80</v>
      </c>
      <c r="M45" t="s">
        <v>81</v>
      </c>
      <c r="O45" t="s">
        <v>89</v>
      </c>
      <c r="P45">
        <v>76</v>
      </c>
      <c r="Q45">
        <v>46223</v>
      </c>
      <c r="R45">
        <v>46250</v>
      </c>
      <c r="S45">
        <v>2</v>
      </c>
      <c r="T45">
        <v>152</v>
      </c>
      <c r="U45">
        <v>20</v>
      </c>
      <c r="V45">
        <v>20</v>
      </c>
      <c r="W45">
        <v>20</v>
      </c>
      <c r="X45">
        <v>20</v>
      </c>
      <c r="Y45" t="s">
        <v>89</v>
      </c>
      <c r="Z45" t="s">
        <v>346</v>
      </c>
    </row>
    <row r="46" spans="1:26" x14ac:dyDescent="0.25">
      <c r="A46" t="s">
        <v>424</v>
      </c>
      <c r="B46" t="s">
        <v>22</v>
      </c>
      <c r="C46">
        <v>45</v>
      </c>
      <c r="D46" t="s">
        <v>40</v>
      </c>
      <c r="E46" t="s">
        <v>76</v>
      </c>
      <c r="F46" t="s">
        <v>425</v>
      </c>
      <c r="G46" t="s">
        <v>346</v>
      </c>
      <c r="H46" t="s">
        <v>110</v>
      </c>
      <c r="I46" t="s">
        <v>22</v>
      </c>
      <c r="J46" t="b">
        <v>0</v>
      </c>
      <c r="K46" t="b">
        <v>1</v>
      </c>
      <c r="L46" t="s">
        <v>80</v>
      </c>
      <c r="M46" t="s">
        <v>81</v>
      </c>
      <c r="O46" t="s">
        <v>82</v>
      </c>
      <c r="P46">
        <v>76</v>
      </c>
      <c r="Q46">
        <v>46223</v>
      </c>
      <c r="R46">
        <v>46250</v>
      </c>
      <c r="S46">
        <v>2</v>
      </c>
      <c r="T46">
        <v>152</v>
      </c>
      <c r="U46">
        <v>20</v>
      </c>
      <c r="V46">
        <v>20</v>
      </c>
      <c r="W46">
        <v>20</v>
      </c>
      <c r="X46">
        <v>20</v>
      </c>
      <c r="Y46" t="s">
        <v>111</v>
      </c>
      <c r="Z46" t="s">
        <v>346</v>
      </c>
    </row>
    <row r="47" spans="1:26" x14ac:dyDescent="0.25">
      <c r="A47" t="s">
        <v>426</v>
      </c>
      <c r="B47" t="s">
        <v>22</v>
      </c>
      <c r="C47">
        <v>46</v>
      </c>
      <c r="E47" t="s">
        <v>76</v>
      </c>
      <c r="F47" t="s">
        <v>427</v>
      </c>
      <c r="G47" t="s">
        <v>346</v>
      </c>
      <c r="H47" t="s">
        <v>88</v>
      </c>
      <c r="I47" t="s">
        <v>22</v>
      </c>
      <c r="J47" t="b">
        <v>1</v>
      </c>
      <c r="K47" t="b">
        <v>0</v>
      </c>
      <c r="L47" t="s">
        <v>92</v>
      </c>
      <c r="M47" t="s">
        <v>81</v>
      </c>
      <c r="O47" t="s">
        <v>89</v>
      </c>
      <c r="P47">
        <v>76</v>
      </c>
      <c r="Q47">
        <v>46223</v>
      </c>
      <c r="R47">
        <v>46250</v>
      </c>
      <c r="S47">
        <v>2</v>
      </c>
      <c r="T47">
        <v>152</v>
      </c>
      <c r="U47">
        <v>20</v>
      </c>
      <c r="V47">
        <v>20</v>
      </c>
      <c r="W47">
        <v>20</v>
      </c>
      <c r="X47">
        <v>20</v>
      </c>
      <c r="Y47" t="s">
        <v>89</v>
      </c>
      <c r="Z47" t="s">
        <v>346</v>
      </c>
    </row>
    <row r="48" spans="1:26" x14ac:dyDescent="0.25">
      <c r="A48" t="s">
        <v>428</v>
      </c>
      <c r="B48" t="s">
        <v>22</v>
      </c>
      <c r="C48">
        <v>47</v>
      </c>
      <c r="E48" t="s">
        <v>76</v>
      </c>
      <c r="F48" t="s">
        <v>429</v>
      </c>
      <c r="G48" t="s">
        <v>346</v>
      </c>
      <c r="H48" t="s">
        <v>79</v>
      </c>
      <c r="I48" t="s">
        <v>22</v>
      </c>
      <c r="J48" t="b">
        <v>1</v>
      </c>
      <c r="K48" t="b">
        <v>0</v>
      </c>
      <c r="L48" t="s">
        <v>92</v>
      </c>
      <c r="M48" t="s">
        <v>81</v>
      </c>
      <c r="O48" t="s">
        <v>82</v>
      </c>
      <c r="P48">
        <v>60</v>
      </c>
      <c r="Q48">
        <v>46223</v>
      </c>
      <c r="R48">
        <v>46250</v>
      </c>
      <c r="S48">
        <v>2</v>
      </c>
      <c r="T48">
        <v>120</v>
      </c>
      <c r="U48">
        <v>15.789473684210527</v>
      </c>
      <c r="V48">
        <v>15</v>
      </c>
      <c r="W48">
        <v>20</v>
      </c>
      <c r="X48">
        <v>15</v>
      </c>
      <c r="Y48" t="s">
        <v>83</v>
      </c>
      <c r="Z48" t="s">
        <v>346</v>
      </c>
    </row>
    <row r="49" spans="1:26" x14ac:dyDescent="0.25">
      <c r="A49" t="s">
        <v>430</v>
      </c>
      <c r="B49" t="s">
        <v>22</v>
      </c>
      <c r="C49">
        <v>48</v>
      </c>
      <c r="E49" t="s">
        <v>76</v>
      </c>
      <c r="F49" t="s">
        <v>431</v>
      </c>
      <c r="G49" t="s">
        <v>346</v>
      </c>
      <c r="H49" t="s">
        <v>79</v>
      </c>
      <c r="I49" t="s">
        <v>22</v>
      </c>
      <c r="J49" t="b">
        <v>1</v>
      </c>
      <c r="K49" t="b">
        <v>1</v>
      </c>
      <c r="L49" t="s">
        <v>95</v>
      </c>
      <c r="M49" t="s">
        <v>81</v>
      </c>
      <c r="O49" t="s">
        <v>82</v>
      </c>
      <c r="P49">
        <v>64</v>
      </c>
      <c r="Q49">
        <v>46223</v>
      </c>
      <c r="R49">
        <v>46250</v>
      </c>
      <c r="S49">
        <v>2</v>
      </c>
      <c r="T49">
        <v>128</v>
      </c>
      <c r="U49">
        <v>16.842105263157894</v>
      </c>
      <c r="V49">
        <v>16</v>
      </c>
      <c r="W49">
        <v>20</v>
      </c>
      <c r="X49">
        <v>16</v>
      </c>
      <c r="Y49" t="s">
        <v>83</v>
      </c>
      <c r="Z49" t="s">
        <v>346</v>
      </c>
    </row>
    <row r="50" spans="1:26" x14ac:dyDescent="0.25">
      <c r="A50" t="s">
        <v>432</v>
      </c>
      <c r="B50" t="s">
        <v>22</v>
      </c>
      <c r="C50">
        <v>49</v>
      </c>
      <c r="E50" t="s">
        <v>76</v>
      </c>
      <c r="F50" t="s">
        <v>433</v>
      </c>
      <c r="G50" t="s">
        <v>346</v>
      </c>
      <c r="H50" t="s">
        <v>110</v>
      </c>
      <c r="I50" t="s">
        <v>22</v>
      </c>
      <c r="J50" t="b">
        <v>1</v>
      </c>
      <c r="K50" t="b">
        <v>1</v>
      </c>
      <c r="L50" t="s">
        <v>95</v>
      </c>
      <c r="M50" t="s">
        <v>81</v>
      </c>
      <c r="O50" t="s">
        <v>82</v>
      </c>
      <c r="P50">
        <v>76</v>
      </c>
      <c r="Q50">
        <v>46223</v>
      </c>
      <c r="R50">
        <v>46250</v>
      </c>
      <c r="S50">
        <v>2</v>
      </c>
      <c r="T50">
        <v>152</v>
      </c>
      <c r="U50">
        <v>20</v>
      </c>
      <c r="V50">
        <v>20</v>
      </c>
      <c r="W50">
        <v>20</v>
      </c>
      <c r="X50">
        <v>20</v>
      </c>
      <c r="Y50" t="s">
        <v>111</v>
      </c>
      <c r="Z50" t="s">
        <v>346</v>
      </c>
    </row>
    <row r="51" spans="1:26" x14ac:dyDescent="0.25">
      <c r="A51" t="s">
        <v>434</v>
      </c>
      <c r="B51" t="s">
        <v>22</v>
      </c>
      <c r="C51">
        <v>50</v>
      </c>
      <c r="E51" t="s">
        <v>76</v>
      </c>
      <c r="F51" t="s">
        <v>435</v>
      </c>
      <c r="G51" t="s">
        <v>346</v>
      </c>
      <c r="H51" t="s">
        <v>79</v>
      </c>
      <c r="I51" t="s">
        <v>22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40</v>
      </c>
      <c r="Q51">
        <v>46223</v>
      </c>
      <c r="R51">
        <v>46250</v>
      </c>
      <c r="S51">
        <v>2</v>
      </c>
      <c r="T51">
        <v>80</v>
      </c>
      <c r="U51">
        <v>10.526315789473683</v>
      </c>
      <c r="V51">
        <v>10</v>
      </c>
      <c r="W51">
        <v>20</v>
      </c>
      <c r="X51">
        <v>10</v>
      </c>
      <c r="Y51" t="s">
        <v>83</v>
      </c>
      <c r="Z51" t="s">
        <v>346</v>
      </c>
    </row>
    <row r="52" spans="1:26" x14ac:dyDescent="0.25">
      <c r="A52" t="s">
        <v>436</v>
      </c>
      <c r="B52" t="s">
        <v>22</v>
      </c>
      <c r="C52">
        <v>51</v>
      </c>
      <c r="E52" t="s">
        <v>76</v>
      </c>
      <c r="F52" t="s">
        <v>437</v>
      </c>
      <c r="G52" t="s">
        <v>346</v>
      </c>
      <c r="H52" t="s">
        <v>110</v>
      </c>
      <c r="I52" t="s">
        <v>22</v>
      </c>
      <c r="J52" t="b">
        <v>0</v>
      </c>
      <c r="K52" t="b">
        <v>1</v>
      </c>
      <c r="L52" t="s">
        <v>80</v>
      </c>
      <c r="M52" t="s">
        <v>81</v>
      </c>
      <c r="O52" t="s">
        <v>82</v>
      </c>
      <c r="P52">
        <v>76</v>
      </c>
      <c r="Q52">
        <v>46223</v>
      </c>
      <c r="R52">
        <v>46250</v>
      </c>
      <c r="S52">
        <v>2</v>
      </c>
      <c r="T52">
        <v>152</v>
      </c>
      <c r="U52">
        <v>20</v>
      </c>
      <c r="V52">
        <v>20</v>
      </c>
      <c r="W52">
        <v>20</v>
      </c>
      <c r="X52">
        <v>20</v>
      </c>
      <c r="Y52" t="s">
        <v>111</v>
      </c>
      <c r="Z52" t="s">
        <v>346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9808-D943-4166-8DD1-8C96221BDC4B}">
  <dimension ref="A1:Z130"/>
  <sheetViews>
    <sheetView workbookViewId="0"/>
  </sheetViews>
  <sheetFormatPr defaultRowHeight="15" x14ac:dyDescent="0.25"/>
  <cols>
    <col min="1" max="1" width="25.14062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customWidth="1"/>
  </cols>
  <sheetData>
    <row r="1" spans="1:26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</row>
    <row r="2" spans="1:26" x14ac:dyDescent="0.25">
      <c r="A2" t="s">
        <v>75</v>
      </c>
      <c r="B2" t="s">
        <v>22</v>
      </c>
      <c r="C2">
        <v>1</v>
      </c>
      <c r="D2" t="s">
        <v>40</v>
      </c>
      <c r="E2" t="s">
        <v>76</v>
      </c>
      <c r="F2" t="s">
        <v>77</v>
      </c>
      <c r="G2" t="s">
        <v>78</v>
      </c>
      <c r="H2" t="s">
        <v>79</v>
      </c>
      <c r="I2" t="s">
        <v>22</v>
      </c>
      <c r="J2" t="b">
        <v>0</v>
      </c>
      <c r="K2" t="b">
        <v>1</v>
      </c>
      <c r="L2" t="s">
        <v>80</v>
      </c>
      <c r="M2" t="s">
        <v>81</v>
      </c>
      <c r="O2" t="s">
        <v>82</v>
      </c>
      <c r="P2">
        <v>72.5</v>
      </c>
      <c r="Q2">
        <v>46223</v>
      </c>
      <c r="R2">
        <v>46250</v>
      </c>
      <c r="S2">
        <v>2</v>
      </c>
      <c r="T2">
        <v>145</v>
      </c>
      <c r="U2">
        <v>19.078947368421055</v>
      </c>
      <c r="V2">
        <v>19</v>
      </c>
      <c r="W2">
        <v>20</v>
      </c>
      <c r="X2">
        <v>19</v>
      </c>
      <c r="Y2" t="s">
        <v>83</v>
      </c>
      <c r="Z2" t="s">
        <v>78</v>
      </c>
    </row>
    <row r="3" spans="1:26" x14ac:dyDescent="0.25">
      <c r="A3" t="s">
        <v>84</v>
      </c>
      <c r="B3" t="s">
        <v>22</v>
      </c>
      <c r="C3">
        <v>2</v>
      </c>
      <c r="D3" t="s">
        <v>40</v>
      </c>
      <c r="E3" t="s">
        <v>76</v>
      </c>
      <c r="F3" t="s">
        <v>85</v>
      </c>
      <c r="G3" t="s">
        <v>78</v>
      </c>
      <c r="H3" t="s">
        <v>79</v>
      </c>
      <c r="I3" t="s">
        <v>22</v>
      </c>
      <c r="J3" t="b">
        <v>0</v>
      </c>
      <c r="K3" t="b">
        <v>1</v>
      </c>
      <c r="L3" t="s">
        <v>80</v>
      </c>
      <c r="M3" t="s">
        <v>81</v>
      </c>
      <c r="O3" t="s">
        <v>82</v>
      </c>
      <c r="P3">
        <v>60</v>
      </c>
      <c r="Q3">
        <v>46223</v>
      </c>
      <c r="R3">
        <v>46250</v>
      </c>
      <c r="S3">
        <v>2</v>
      </c>
      <c r="T3">
        <v>120</v>
      </c>
      <c r="U3">
        <v>15.789473684210527</v>
      </c>
      <c r="V3">
        <v>15</v>
      </c>
      <c r="W3">
        <v>20</v>
      </c>
      <c r="X3">
        <v>15</v>
      </c>
      <c r="Y3" t="s">
        <v>83</v>
      </c>
      <c r="Z3" t="s">
        <v>78</v>
      </c>
    </row>
    <row r="4" spans="1:26" x14ac:dyDescent="0.25">
      <c r="A4" t="s">
        <v>86</v>
      </c>
      <c r="B4" t="s">
        <v>22</v>
      </c>
      <c r="C4">
        <v>3</v>
      </c>
      <c r="D4" t="s">
        <v>40</v>
      </c>
      <c r="E4" t="s">
        <v>76</v>
      </c>
      <c r="F4" t="s">
        <v>87</v>
      </c>
      <c r="G4" t="s">
        <v>78</v>
      </c>
      <c r="H4" t="s">
        <v>88</v>
      </c>
      <c r="I4" t="s">
        <v>22</v>
      </c>
      <c r="J4" t="b">
        <v>0</v>
      </c>
      <c r="K4" t="b">
        <v>1</v>
      </c>
      <c r="L4" t="s">
        <v>80</v>
      </c>
      <c r="M4" t="s">
        <v>81</v>
      </c>
      <c r="O4" t="s">
        <v>89</v>
      </c>
      <c r="P4">
        <v>76</v>
      </c>
      <c r="Q4">
        <v>46223</v>
      </c>
      <c r="R4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89</v>
      </c>
      <c r="Z4" t="s">
        <v>78</v>
      </c>
    </row>
    <row r="5" spans="1:26" x14ac:dyDescent="0.25">
      <c r="A5" t="s">
        <v>90</v>
      </c>
      <c r="B5" t="s">
        <v>29</v>
      </c>
      <c r="C5">
        <v>4</v>
      </c>
      <c r="E5" t="s">
        <v>76</v>
      </c>
      <c r="F5" t="s">
        <v>91</v>
      </c>
      <c r="G5" t="s">
        <v>78</v>
      </c>
      <c r="H5" t="s">
        <v>88</v>
      </c>
      <c r="I5" t="s">
        <v>29</v>
      </c>
      <c r="J5" t="b">
        <v>1</v>
      </c>
      <c r="K5" t="b">
        <v>0</v>
      </c>
      <c r="L5" t="s">
        <v>92</v>
      </c>
      <c r="M5" t="s">
        <v>81</v>
      </c>
      <c r="O5" t="s">
        <v>89</v>
      </c>
      <c r="P5">
        <v>76</v>
      </c>
      <c r="Q5">
        <v>46223</v>
      </c>
      <c r="R5">
        <v>46250</v>
      </c>
      <c r="S5">
        <v>2</v>
      </c>
      <c r="T5">
        <v>152</v>
      </c>
      <c r="U5">
        <v>20</v>
      </c>
      <c r="V5">
        <v>20</v>
      </c>
      <c r="W5">
        <v>20</v>
      </c>
      <c r="X5">
        <v>20</v>
      </c>
      <c r="Y5" t="s">
        <v>89</v>
      </c>
      <c r="Z5" t="s">
        <v>78</v>
      </c>
    </row>
    <row r="6" spans="1:26" x14ac:dyDescent="0.25">
      <c r="A6" t="s">
        <v>93</v>
      </c>
      <c r="B6" t="s">
        <v>22</v>
      </c>
      <c r="C6">
        <v>5</v>
      </c>
      <c r="E6" t="s">
        <v>76</v>
      </c>
      <c r="F6" t="s">
        <v>94</v>
      </c>
      <c r="G6" t="s">
        <v>78</v>
      </c>
      <c r="H6" t="s">
        <v>88</v>
      </c>
      <c r="I6" t="s">
        <v>22</v>
      </c>
      <c r="J6" t="b">
        <v>1</v>
      </c>
      <c r="K6" t="b">
        <v>1</v>
      </c>
      <c r="L6" t="s">
        <v>95</v>
      </c>
      <c r="M6" t="s">
        <v>81</v>
      </c>
      <c r="O6" t="s">
        <v>89</v>
      </c>
      <c r="P6">
        <v>76</v>
      </c>
      <c r="Q6">
        <v>46223</v>
      </c>
      <c r="R6">
        <v>46250</v>
      </c>
      <c r="S6">
        <v>2</v>
      </c>
      <c r="T6">
        <v>152</v>
      </c>
      <c r="U6">
        <v>20</v>
      </c>
      <c r="V6">
        <v>20</v>
      </c>
      <c r="W6">
        <v>20</v>
      </c>
      <c r="X6">
        <v>20</v>
      </c>
      <c r="Y6" t="s">
        <v>89</v>
      </c>
      <c r="Z6" t="s">
        <v>78</v>
      </c>
    </row>
    <row r="7" spans="1:26" x14ac:dyDescent="0.25">
      <c r="A7" t="s">
        <v>96</v>
      </c>
      <c r="B7" t="s">
        <v>31</v>
      </c>
      <c r="C7">
        <v>6</v>
      </c>
      <c r="E7" t="s">
        <v>76</v>
      </c>
      <c r="F7" t="s">
        <v>97</v>
      </c>
      <c r="G7" t="s">
        <v>78</v>
      </c>
      <c r="H7" t="s">
        <v>79</v>
      </c>
      <c r="I7" t="s">
        <v>31</v>
      </c>
      <c r="J7" t="b">
        <v>1</v>
      </c>
      <c r="K7" t="b">
        <v>1</v>
      </c>
      <c r="L7" t="s">
        <v>95</v>
      </c>
      <c r="M7" t="s">
        <v>81</v>
      </c>
      <c r="O7" t="s">
        <v>82</v>
      </c>
      <c r="P7">
        <v>54</v>
      </c>
      <c r="Q7">
        <v>46223</v>
      </c>
      <c r="R7">
        <v>46250</v>
      </c>
      <c r="S7">
        <v>2</v>
      </c>
      <c r="T7">
        <v>108</v>
      </c>
      <c r="U7">
        <v>14.210526315789474</v>
      </c>
      <c r="V7">
        <v>14</v>
      </c>
      <c r="W7">
        <v>20</v>
      </c>
      <c r="X7">
        <v>14</v>
      </c>
      <c r="Y7" t="s">
        <v>83</v>
      </c>
      <c r="Z7" t="s">
        <v>78</v>
      </c>
    </row>
    <row r="8" spans="1:26" x14ac:dyDescent="0.25">
      <c r="A8" t="s">
        <v>98</v>
      </c>
      <c r="B8" t="s">
        <v>29</v>
      </c>
      <c r="C8">
        <v>7</v>
      </c>
      <c r="E8" t="s">
        <v>76</v>
      </c>
      <c r="F8" t="s">
        <v>99</v>
      </c>
      <c r="G8" t="s">
        <v>78</v>
      </c>
      <c r="H8" t="s">
        <v>79</v>
      </c>
      <c r="I8" t="s">
        <v>29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64</v>
      </c>
      <c r="Q8">
        <v>46223</v>
      </c>
      <c r="R8">
        <v>46250</v>
      </c>
      <c r="S8">
        <v>2</v>
      </c>
      <c r="T8">
        <v>128</v>
      </c>
      <c r="U8">
        <v>16.842105263157894</v>
      </c>
      <c r="V8">
        <v>16</v>
      </c>
      <c r="W8">
        <v>20</v>
      </c>
      <c r="X8">
        <v>16</v>
      </c>
      <c r="Y8" t="s">
        <v>83</v>
      </c>
      <c r="Z8" t="s">
        <v>78</v>
      </c>
    </row>
    <row r="9" spans="1:26" x14ac:dyDescent="0.25">
      <c r="A9" t="s">
        <v>100</v>
      </c>
      <c r="B9" t="s">
        <v>29</v>
      </c>
      <c r="C9">
        <v>8</v>
      </c>
      <c r="E9" t="s">
        <v>76</v>
      </c>
      <c r="F9" t="s">
        <v>101</v>
      </c>
      <c r="G9" t="s">
        <v>78</v>
      </c>
      <c r="H9" t="s">
        <v>88</v>
      </c>
      <c r="I9" t="s">
        <v>29</v>
      </c>
      <c r="J9" t="b">
        <v>1</v>
      </c>
      <c r="K9" t="b">
        <v>1</v>
      </c>
      <c r="L9" t="s">
        <v>95</v>
      </c>
      <c r="M9" t="s">
        <v>81</v>
      </c>
      <c r="O9" t="s">
        <v>89</v>
      </c>
      <c r="P9">
        <v>76</v>
      </c>
      <c r="Q9">
        <v>46223</v>
      </c>
      <c r="R9">
        <v>46250</v>
      </c>
      <c r="S9">
        <v>2</v>
      </c>
      <c r="T9">
        <v>152</v>
      </c>
      <c r="U9">
        <v>20</v>
      </c>
      <c r="V9">
        <v>20</v>
      </c>
      <c r="W9">
        <v>20</v>
      </c>
      <c r="X9">
        <v>20</v>
      </c>
      <c r="Y9" t="s">
        <v>89</v>
      </c>
      <c r="Z9" t="s">
        <v>78</v>
      </c>
    </row>
    <row r="10" spans="1:26" x14ac:dyDescent="0.25">
      <c r="A10" t="s">
        <v>102</v>
      </c>
      <c r="B10" t="s">
        <v>22</v>
      </c>
      <c r="C10">
        <v>9</v>
      </c>
      <c r="E10" t="s">
        <v>76</v>
      </c>
      <c r="F10" t="s">
        <v>103</v>
      </c>
      <c r="G10" t="s">
        <v>78</v>
      </c>
      <c r="H10" t="s">
        <v>79</v>
      </c>
      <c r="I10" t="s">
        <v>22</v>
      </c>
      <c r="J10" t="b">
        <v>1</v>
      </c>
      <c r="K10" t="b">
        <v>1</v>
      </c>
      <c r="L10" t="s">
        <v>95</v>
      </c>
      <c r="M10" t="s">
        <v>81</v>
      </c>
      <c r="O10" t="s">
        <v>82</v>
      </c>
      <c r="P10">
        <v>37.5</v>
      </c>
      <c r="Q10">
        <v>46223</v>
      </c>
      <c r="R10">
        <v>46250</v>
      </c>
      <c r="S10">
        <v>2</v>
      </c>
      <c r="T10">
        <v>75</v>
      </c>
      <c r="U10">
        <v>9.8684210526315788</v>
      </c>
      <c r="V10">
        <v>9</v>
      </c>
      <c r="W10">
        <v>20</v>
      </c>
      <c r="X10">
        <v>9</v>
      </c>
      <c r="Y10" t="s">
        <v>83</v>
      </c>
      <c r="Z10" t="s">
        <v>78</v>
      </c>
    </row>
    <row r="11" spans="1:26" x14ac:dyDescent="0.25">
      <c r="A11" t="s">
        <v>104</v>
      </c>
      <c r="B11" t="s">
        <v>31</v>
      </c>
      <c r="C11">
        <v>10</v>
      </c>
      <c r="D11" t="s">
        <v>40</v>
      </c>
      <c r="E11" t="s">
        <v>76</v>
      </c>
      <c r="F11" t="s">
        <v>105</v>
      </c>
      <c r="G11" t="s">
        <v>78</v>
      </c>
      <c r="H11" t="s">
        <v>79</v>
      </c>
      <c r="I11" t="s">
        <v>31</v>
      </c>
      <c r="J11" t="b">
        <v>0</v>
      </c>
      <c r="K11" t="b">
        <v>1</v>
      </c>
      <c r="L11" t="s">
        <v>80</v>
      </c>
      <c r="M11" t="s">
        <v>81</v>
      </c>
      <c r="O11" t="s">
        <v>82</v>
      </c>
      <c r="P11">
        <v>15</v>
      </c>
      <c r="Q11">
        <v>46223</v>
      </c>
      <c r="R11">
        <v>46250</v>
      </c>
      <c r="S11">
        <v>2</v>
      </c>
      <c r="T11">
        <v>30</v>
      </c>
      <c r="U11">
        <v>3.9473684210526319</v>
      </c>
      <c r="V11">
        <v>3</v>
      </c>
      <c r="W11">
        <v>20</v>
      </c>
      <c r="X11">
        <v>3</v>
      </c>
      <c r="Y11" t="s">
        <v>83</v>
      </c>
      <c r="Z11" t="s">
        <v>78</v>
      </c>
    </row>
    <row r="12" spans="1:26" x14ac:dyDescent="0.25">
      <c r="A12" t="s">
        <v>106</v>
      </c>
      <c r="B12" t="s">
        <v>22</v>
      </c>
      <c r="C12">
        <v>11</v>
      </c>
      <c r="E12" t="s">
        <v>76</v>
      </c>
      <c r="F12" t="s">
        <v>107</v>
      </c>
      <c r="G12" t="s">
        <v>78</v>
      </c>
      <c r="H12" t="s">
        <v>79</v>
      </c>
      <c r="I12" t="s">
        <v>22</v>
      </c>
      <c r="J12" t="b">
        <v>1</v>
      </c>
      <c r="K12" t="b">
        <v>1</v>
      </c>
      <c r="L12" t="s">
        <v>95</v>
      </c>
      <c r="M12" t="s">
        <v>81</v>
      </c>
      <c r="O12" t="s">
        <v>82</v>
      </c>
      <c r="P12">
        <v>60</v>
      </c>
      <c r="Q12">
        <v>46223</v>
      </c>
      <c r="R12">
        <v>46250</v>
      </c>
      <c r="S12">
        <v>2</v>
      </c>
      <c r="T12">
        <v>120</v>
      </c>
      <c r="U12">
        <v>15.789473684210527</v>
      </c>
      <c r="V12">
        <v>15</v>
      </c>
      <c r="W12">
        <v>20</v>
      </c>
      <c r="X12">
        <v>15</v>
      </c>
      <c r="Y12" t="s">
        <v>83</v>
      </c>
      <c r="Z12" t="s">
        <v>78</v>
      </c>
    </row>
    <row r="13" spans="1:26" x14ac:dyDescent="0.25">
      <c r="A13" t="s">
        <v>108</v>
      </c>
      <c r="B13" t="s">
        <v>22</v>
      </c>
      <c r="C13">
        <v>12</v>
      </c>
      <c r="E13" t="s">
        <v>76</v>
      </c>
      <c r="F13" t="s">
        <v>109</v>
      </c>
      <c r="G13" t="s">
        <v>78</v>
      </c>
      <c r="H13" t="s">
        <v>110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76</v>
      </c>
      <c r="Q13">
        <v>46223</v>
      </c>
      <c r="R13">
        <v>46250</v>
      </c>
      <c r="S13">
        <v>2</v>
      </c>
      <c r="T13">
        <v>152</v>
      </c>
      <c r="U13">
        <v>20</v>
      </c>
      <c r="V13">
        <v>20</v>
      </c>
      <c r="W13">
        <v>20</v>
      </c>
      <c r="X13">
        <v>20</v>
      </c>
      <c r="Y13" t="s">
        <v>111</v>
      </c>
      <c r="Z13" t="s">
        <v>78</v>
      </c>
    </row>
    <row r="14" spans="1:26" x14ac:dyDescent="0.25">
      <c r="A14" t="s">
        <v>112</v>
      </c>
      <c r="B14" t="s">
        <v>31</v>
      </c>
      <c r="C14">
        <v>13</v>
      </c>
      <c r="E14" t="s">
        <v>76</v>
      </c>
      <c r="F14" t="s">
        <v>113</v>
      </c>
      <c r="G14" t="s">
        <v>78</v>
      </c>
      <c r="H14" t="s">
        <v>79</v>
      </c>
      <c r="I14" t="s">
        <v>31</v>
      </c>
      <c r="J14" t="b">
        <v>1</v>
      </c>
      <c r="K14" t="b">
        <v>1</v>
      </c>
      <c r="L14" t="s">
        <v>95</v>
      </c>
      <c r="M14" t="s">
        <v>81</v>
      </c>
      <c r="O14" t="s">
        <v>82</v>
      </c>
      <c r="P14">
        <v>32</v>
      </c>
      <c r="Q14">
        <v>46223</v>
      </c>
      <c r="R14">
        <v>46250</v>
      </c>
      <c r="S14">
        <v>2</v>
      </c>
      <c r="T14">
        <v>64</v>
      </c>
      <c r="U14">
        <v>8.4210526315789469</v>
      </c>
      <c r="V14">
        <v>8</v>
      </c>
      <c r="W14">
        <v>20</v>
      </c>
      <c r="X14">
        <v>8</v>
      </c>
      <c r="Y14" t="s">
        <v>83</v>
      </c>
      <c r="Z14" t="s">
        <v>78</v>
      </c>
    </row>
    <row r="15" spans="1:26" x14ac:dyDescent="0.25">
      <c r="A15" t="s">
        <v>114</v>
      </c>
      <c r="B15" t="s">
        <v>31</v>
      </c>
      <c r="C15">
        <v>14</v>
      </c>
      <c r="E15" t="s">
        <v>76</v>
      </c>
      <c r="F15" t="s">
        <v>115</v>
      </c>
      <c r="G15" t="s">
        <v>78</v>
      </c>
      <c r="H15" t="s">
        <v>79</v>
      </c>
      <c r="I15" t="s">
        <v>31</v>
      </c>
      <c r="J15" t="b">
        <v>1</v>
      </c>
      <c r="K15" t="b">
        <v>1</v>
      </c>
      <c r="L15" t="s">
        <v>95</v>
      </c>
      <c r="M15" t="s">
        <v>81</v>
      </c>
      <c r="O15" t="s">
        <v>82</v>
      </c>
      <c r="P15">
        <v>39.5</v>
      </c>
      <c r="Q15">
        <v>46223</v>
      </c>
      <c r="R15">
        <v>46250</v>
      </c>
      <c r="S15">
        <v>2</v>
      </c>
      <c r="T15">
        <v>79</v>
      </c>
      <c r="U15">
        <v>10.394736842105264</v>
      </c>
      <c r="V15">
        <v>10</v>
      </c>
      <c r="W15">
        <v>20</v>
      </c>
      <c r="X15">
        <v>10</v>
      </c>
      <c r="Y15" t="s">
        <v>83</v>
      </c>
      <c r="Z15" t="s">
        <v>78</v>
      </c>
    </row>
    <row r="16" spans="1:26" x14ac:dyDescent="0.25">
      <c r="A16" t="s">
        <v>116</v>
      </c>
      <c r="B16" t="s">
        <v>22</v>
      </c>
      <c r="C16">
        <v>15</v>
      </c>
      <c r="E16" t="s">
        <v>76</v>
      </c>
      <c r="F16" t="s">
        <v>117</v>
      </c>
      <c r="G16" t="s">
        <v>78</v>
      </c>
      <c r="H16" t="s">
        <v>88</v>
      </c>
      <c r="I16" t="s">
        <v>22</v>
      </c>
      <c r="J16" t="b">
        <v>1</v>
      </c>
      <c r="K16" t="b">
        <v>1</v>
      </c>
      <c r="L16" t="s">
        <v>95</v>
      </c>
      <c r="M16" t="s">
        <v>81</v>
      </c>
      <c r="O16" t="s">
        <v>89</v>
      </c>
      <c r="P16">
        <v>76</v>
      </c>
      <c r="Q16">
        <v>46223</v>
      </c>
      <c r="R16">
        <v>46250</v>
      </c>
      <c r="S16">
        <v>2</v>
      </c>
      <c r="T16">
        <v>152</v>
      </c>
      <c r="U16">
        <v>20</v>
      </c>
      <c r="V16">
        <v>20</v>
      </c>
      <c r="W16">
        <v>20</v>
      </c>
      <c r="X16">
        <v>20</v>
      </c>
      <c r="Y16" t="s">
        <v>89</v>
      </c>
      <c r="Z16" t="s">
        <v>78</v>
      </c>
    </row>
    <row r="17" spans="1:26" x14ac:dyDescent="0.25">
      <c r="A17" t="s">
        <v>118</v>
      </c>
      <c r="B17" t="s">
        <v>22</v>
      </c>
      <c r="C17">
        <v>16</v>
      </c>
      <c r="E17" t="s">
        <v>76</v>
      </c>
      <c r="F17" t="s">
        <v>119</v>
      </c>
      <c r="G17" t="s">
        <v>78</v>
      </c>
      <c r="H17" t="s">
        <v>79</v>
      </c>
      <c r="I17" t="s">
        <v>22</v>
      </c>
      <c r="J17" t="b">
        <v>1</v>
      </c>
      <c r="K17" t="b">
        <v>1</v>
      </c>
      <c r="L17" t="s">
        <v>95</v>
      </c>
      <c r="M17" t="s">
        <v>81</v>
      </c>
      <c r="O17" t="s">
        <v>82</v>
      </c>
      <c r="P17">
        <v>75</v>
      </c>
      <c r="Q17">
        <v>46223</v>
      </c>
      <c r="R17">
        <v>46250</v>
      </c>
      <c r="S17">
        <v>2</v>
      </c>
      <c r="T17">
        <v>150</v>
      </c>
      <c r="U17">
        <v>19.736842105263161</v>
      </c>
      <c r="V17">
        <v>19</v>
      </c>
      <c r="W17">
        <v>20</v>
      </c>
      <c r="X17">
        <v>19</v>
      </c>
      <c r="Y17" t="s">
        <v>83</v>
      </c>
      <c r="Z17" t="s">
        <v>78</v>
      </c>
    </row>
    <row r="18" spans="1:26" x14ac:dyDescent="0.25">
      <c r="A18" t="s">
        <v>120</v>
      </c>
      <c r="B18" t="s">
        <v>22</v>
      </c>
      <c r="C18">
        <v>17</v>
      </c>
      <c r="E18" t="s">
        <v>76</v>
      </c>
      <c r="F18" t="s">
        <v>121</v>
      </c>
      <c r="G18" t="s">
        <v>78</v>
      </c>
      <c r="H18" t="s">
        <v>79</v>
      </c>
      <c r="I18" t="s">
        <v>22</v>
      </c>
      <c r="J18" t="b">
        <v>1</v>
      </c>
      <c r="K18" t="b">
        <v>1</v>
      </c>
      <c r="L18" t="s">
        <v>95</v>
      </c>
      <c r="M18" t="s">
        <v>81</v>
      </c>
      <c r="O18" t="s">
        <v>82</v>
      </c>
      <c r="P18">
        <v>52.5</v>
      </c>
      <c r="Q18">
        <v>46223</v>
      </c>
      <c r="R18">
        <v>46250</v>
      </c>
      <c r="S18">
        <v>2</v>
      </c>
      <c r="T18">
        <v>105</v>
      </c>
      <c r="U18">
        <v>13.815789473684212</v>
      </c>
      <c r="V18">
        <v>13</v>
      </c>
      <c r="W18">
        <v>20</v>
      </c>
      <c r="X18">
        <v>13</v>
      </c>
      <c r="Y18" t="s">
        <v>83</v>
      </c>
      <c r="Z18" t="s">
        <v>78</v>
      </c>
    </row>
    <row r="19" spans="1:26" x14ac:dyDescent="0.25">
      <c r="A19" t="s">
        <v>122</v>
      </c>
      <c r="B19" t="s">
        <v>22</v>
      </c>
      <c r="C19">
        <v>18</v>
      </c>
      <c r="E19" t="s">
        <v>76</v>
      </c>
      <c r="F19" t="s">
        <v>123</v>
      </c>
      <c r="G19" t="s">
        <v>78</v>
      </c>
      <c r="H19" t="s">
        <v>79</v>
      </c>
      <c r="I19" t="s">
        <v>22</v>
      </c>
      <c r="J19" t="b">
        <v>1</v>
      </c>
      <c r="K19" t="b">
        <v>1</v>
      </c>
      <c r="L19" t="s">
        <v>95</v>
      </c>
      <c r="M19" t="s">
        <v>81</v>
      </c>
      <c r="O19" t="s">
        <v>82</v>
      </c>
      <c r="P19">
        <v>66.5</v>
      </c>
      <c r="Q19">
        <v>46223</v>
      </c>
      <c r="R19">
        <v>46250</v>
      </c>
      <c r="S19">
        <v>2</v>
      </c>
      <c r="T19">
        <v>133</v>
      </c>
      <c r="U19">
        <v>17.5</v>
      </c>
      <c r="V19">
        <v>17</v>
      </c>
      <c r="W19">
        <v>20</v>
      </c>
      <c r="X19">
        <v>17</v>
      </c>
      <c r="Y19" t="s">
        <v>83</v>
      </c>
      <c r="Z19" t="s">
        <v>78</v>
      </c>
    </row>
    <row r="20" spans="1:26" x14ac:dyDescent="0.25">
      <c r="A20" t="s">
        <v>124</v>
      </c>
      <c r="B20" t="s">
        <v>22</v>
      </c>
      <c r="C20">
        <v>19</v>
      </c>
      <c r="E20" t="s">
        <v>76</v>
      </c>
      <c r="F20" t="s">
        <v>125</v>
      </c>
      <c r="G20" t="s">
        <v>78</v>
      </c>
      <c r="H20" t="s">
        <v>79</v>
      </c>
      <c r="I20" t="s">
        <v>22</v>
      </c>
      <c r="J20" t="b">
        <v>1</v>
      </c>
      <c r="K20" t="b">
        <v>1</v>
      </c>
      <c r="L20" t="s">
        <v>95</v>
      </c>
      <c r="M20" t="s">
        <v>81</v>
      </c>
      <c r="O20" t="s">
        <v>82</v>
      </c>
      <c r="P20">
        <v>52.5</v>
      </c>
      <c r="Q20">
        <v>46223</v>
      </c>
      <c r="R20">
        <v>46250</v>
      </c>
      <c r="S20">
        <v>2</v>
      </c>
      <c r="T20">
        <v>105</v>
      </c>
      <c r="U20">
        <v>13.815789473684212</v>
      </c>
      <c r="V20">
        <v>13</v>
      </c>
      <c r="W20">
        <v>20</v>
      </c>
      <c r="X20">
        <v>13</v>
      </c>
      <c r="Y20" t="s">
        <v>83</v>
      </c>
      <c r="Z20" t="s">
        <v>78</v>
      </c>
    </row>
    <row r="21" spans="1:26" x14ac:dyDescent="0.25">
      <c r="A21" t="s">
        <v>126</v>
      </c>
      <c r="B21" t="s">
        <v>22</v>
      </c>
      <c r="C21">
        <v>20</v>
      </c>
      <c r="E21" t="s">
        <v>76</v>
      </c>
      <c r="F21" t="s">
        <v>127</v>
      </c>
      <c r="G21" t="s">
        <v>78</v>
      </c>
      <c r="H21" t="s">
        <v>79</v>
      </c>
      <c r="I21" t="s">
        <v>22</v>
      </c>
      <c r="J21" t="b">
        <v>1</v>
      </c>
      <c r="K21" t="b">
        <v>1</v>
      </c>
      <c r="L21" t="s">
        <v>95</v>
      </c>
      <c r="M21" t="s">
        <v>81</v>
      </c>
      <c r="O21" t="s">
        <v>82</v>
      </c>
      <c r="P21">
        <v>52.5</v>
      </c>
      <c r="Q21">
        <v>46223</v>
      </c>
      <c r="R21">
        <v>46250</v>
      </c>
      <c r="S21">
        <v>2</v>
      </c>
      <c r="T21">
        <v>105</v>
      </c>
      <c r="U21">
        <v>13.815789473684212</v>
      </c>
      <c r="V21">
        <v>13</v>
      </c>
      <c r="W21">
        <v>20</v>
      </c>
      <c r="X21">
        <v>13</v>
      </c>
      <c r="Y21" t="s">
        <v>83</v>
      </c>
      <c r="Z21" t="s">
        <v>78</v>
      </c>
    </row>
    <row r="22" spans="1:26" x14ac:dyDescent="0.25">
      <c r="A22" t="s">
        <v>128</v>
      </c>
      <c r="B22" t="s">
        <v>31</v>
      </c>
      <c r="C22">
        <v>21</v>
      </c>
      <c r="E22" t="s">
        <v>76</v>
      </c>
      <c r="F22" t="s">
        <v>129</v>
      </c>
      <c r="G22" t="s">
        <v>78</v>
      </c>
      <c r="H22" t="s">
        <v>79</v>
      </c>
      <c r="I22" t="s">
        <v>31</v>
      </c>
      <c r="J22" t="b">
        <v>1</v>
      </c>
      <c r="K22" t="b">
        <v>1</v>
      </c>
      <c r="L22" t="s">
        <v>95</v>
      </c>
      <c r="M22" t="s">
        <v>81</v>
      </c>
      <c r="O22" t="s">
        <v>82</v>
      </c>
      <c r="P22">
        <v>48</v>
      </c>
      <c r="Q22">
        <v>46223</v>
      </c>
      <c r="R22">
        <v>46250</v>
      </c>
      <c r="S22">
        <v>2</v>
      </c>
      <c r="T22">
        <v>96</v>
      </c>
      <c r="U22">
        <v>12.631578947368419</v>
      </c>
      <c r="V22">
        <v>12</v>
      </c>
      <c r="W22">
        <v>20</v>
      </c>
      <c r="X22">
        <v>12</v>
      </c>
      <c r="Y22" t="s">
        <v>83</v>
      </c>
      <c r="Z22" t="s">
        <v>78</v>
      </c>
    </row>
    <row r="23" spans="1:26" x14ac:dyDescent="0.25">
      <c r="A23" t="s">
        <v>130</v>
      </c>
      <c r="B23" t="s">
        <v>29</v>
      </c>
      <c r="C23">
        <v>22</v>
      </c>
      <c r="E23" t="s">
        <v>76</v>
      </c>
      <c r="F23" t="s">
        <v>131</v>
      </c>
      <c r="G23" t="s">
        <v>78</v>
      </c>
      <c r="H23" t="s">
        <v>79</v>
      </c>
      <c r="I23" t="s">
        <v>29</v>
      </c>
      <c r="J23" t="b">
        <v>1</v>
      </c>
      <c r="K23" t="b">
        <v>1</v>
      </c>
      <c r="L23" t="s">
        <v>95</v>
      </c>
      <c r="M23" t="s">
        <v>81</v>
      </c>
      <c r="O23" t="s">
        <v>82</v>
      </c>
      <c r="P23">
        <v>45</v>
      </c>
      <c r="Q23">
        <v>46223</v>
      </c>
      <c r="R23">
        <v>46250</v>
      </c>
      <c r="S23">
        <v>2</v>
      </c>
      <c r="T23">
        <v>90</v>
      </c>
      <c r="U23">
        <v>11.842105263157896</v>
      </c>
      <c r="V23">
        <v>11</v>
      </c>
      <c r="W23">
        <v>20</v>
      </c>
      <c r="X23">
        <v>11</v>
      </c>
      <c r="Y23" t="s">
        <v>83</v>
      </c>
      <c r="Z23" t="s">
        <v>78</v>
      </c>
    </row>
    <row r="24" spans="1:26" x14ac:dyDescent="0.25">
      <c r="A24" t="s">
        <v>132</v>
      </c>
      <c r="B24" t="s">
        <v>22</v>
      </c>
      <c r="C24">
        <v>23</v>
      </c>
      <c r="D24" t="s">
        <v>40</v>
      </c>
      <c r="E24" t="s">
        <v>76</v>
      </c>
      <c r="F24" t="s">
        <v>133</v>
      </c>
      <c r="G24" t="s">
        <v>78</v>
      </c>
      <c r="H24" t="s">
        <v>88</v>
      </c>
      <c r="I24" t="s">
        <v>22</v>
      </c>
      <c r="J24" t="b">
        <v>0</v>
      </c>
      <c r="K24" t="b">
        <v>1</v>
      </c>
      <c r="L24" t="s">
        <v>80</v>
      </c>
      <c r="M24" t="s">
        <v>81</v>
      </c>
      <c r="O24" t="s">
        <v>89</v>
      </c>
      <c r="P24">
        <v>76</v>
      </c>
      <c r="Q24">
        <v>46223</v>
      </c>
      <c r="R24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89</v>
      </c>
      <c r="Z24" t="s">
        <v>78</v>
      </c>
    </row>
    <row r="25" spans="1:26" x14ac:dyDescent="0.25">
      <c r="A25" t="s">
        <v>134</v>
      </c>
      <c r="B25" t="s">
        <v>22</v>
      </c>
      <c r="C25">
        <v>24</v>
      </c>
      <c r="E25" t="s">
        <v>76</v>
      </c>
      <c r="F25" t="s">
        <v>135</v>
      </c>
      <c r="G25" t="s">
        <v>78</v>
      </c>
      <c r="H25" t="s">
        <v>79</v>
      </c>
      <c r="I25" t="s">
        <v>22</v>
      </c>
      <c r="J25" t="b">
        <v>1</v>
      </c>
      <c r="K25" t="b">
        <v>1</v>
      </c>
      <c r="L25" t="s">
        <v>95</v>
      </c>
      <c r="M25" t="s">
        <v>81</v>
      </c>
      <c r="O25" t="s">
        <v>82</v>
      </c>
      <c r="P25">
        <v>60</v>
      </c>
      <c r="Q25">
        <v>46223</v>
      </c>
      <c r="R25">
        <v>46250</v>
      </c>
      <c r="S25">
        <v>2</v>
      </c>
      <c r="T25">
        <v>120</v>
      </c>
      <c r="U25">
        <v>15.789473684210527</v>
      </c>
      <c r="V25">
        <v>15</v>
      </c>
      <c r="W25">
        <v>20</v>
      </c>
      <c r="X25">
        <v>15</v>
      </c>
      <c r="Y25" t="s">
        <v>83</v>
      </c>
      <c r="Z25" t="s">
        <v>78</v>
      </c>
    </row>
    <row r="26" spans="1:26" x14ac:dyDescent="0.25">
      <c r="A26" t="s">
        <v>136</v>
      </c>
      <c r="B26" t="s">
        <v>22</v>
      </c>
      <c r="C26">
        <v>25</v>
      </c>
      <c r="E26" t="s">
        <v>76</v>
      </c>
      <c r="F26" t="s">
        <v>137</v>
      </c>
      <c r="G26" t="s">
        <v>78</v>
      </c>
      <c r="H26" t="s">
        <v>88</v>
      </c>
      <c r="I26" t="s">
        <v>22</v>
      </c>
      <c r="J26" t="b">
        <v>1</v>
      </c>
      <c r="K26" t="b">
        <v>1</v>
      </c>
      <c r="L26" t="s">
        <v>95</v>
      </c>
      <c r="M26" t="s">
        <v>81</v>
      </c>
      <c r="O26" t="s">
        <v>89</v>
      </c>
      <c r="P26">
        <v>76</v>
      </c>
      <c r="Q26">
        <v>46223</v>
      </c>
      <c r="R26">
        <v>46250</v>
      </c>
      <c r="S26">
        <v>2</v>
      </c>
      <c r="T26">
        <v>152</v>
      </c>
      <c r="U26">
        <v>20</v>
      </c>
      <c r="V26">
        <v>20</v>
      </c>
      <c r="W26">
        <v>20</v>
      </c>
      <c r="X26">
        <v>20</v>
      </c>
      <c r="Y26" t="s">
        <v>89</v>
      </c>
      <c r="Z26" t="s">
        <v>78</v>
      </c>
    </row>
    <row r="27" spans="1:26" x14ac:dyDescent="0.25">
      <c r="A27" t="s">
        <v>138</v>
      </c>
      <c r="B27" t="s">
        <v>22</v>
      </c>
      <c r="C27">
        <v>26</v>
      </c>
      <c r="E27" t="s">
        <v>76</v>
      </c>
      <c r="F27" t="s">
        <v>139</v>
      </c>
      <c r="G27" t="s">
        <v>78</v>
      </c>
      <c r="H27" t="s">
        <v>79</v>
      </c>
      <c r="I27" t="s">
        <v>22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30</v>
      </c>
      <c r="Q27">
        <v>46223</v>
      </c>
      <c r="R27">
        <v>46250</v>
      </c>
      <c r="S27">
        <v>2</v>
      </c>
      <c r="T27">
        <v>60</v>
      </c>
      <c r="U27">
        <v>7.8947368421052637</v>
      </c>
      <c r="V27">
        <v>7</v>
      </c>
      <c r="W27">
        <v>20</v>
      </c>
      <c r="X27">
        <v>7</v>
      </c>
      <c r="Y27" t="s">
        <v>83</v>
      </c>
      <c r="Z27" t="s">
        <v>78</v>
      </c>
    </row>
    <row r="28" spans="1:26" x14ac:dyDescent="0.25">
      <c r="A28" t="s">
        <v>140</v>
      </c>
      <c r="B28" t="s">
        <v>31</v>
      </c>
      <c r="C28">
        <v>27</v>
      </c>
      <c r="E28" t="s">
        <v>76</v>
      </c>
      <c r="F28" t="s">
        <v>141</v>
      </c>
      <c r="G28" t="s">
        <v>78</v>
      </c>
      <c r="H28" t="s">
        <v>79</v>
      </c>
      <c r="I28" t="s">
        <v>31</v>
      </c>
      <c r="J28" t="b">
        <v>1</v>
      </c>
      <c r="K28" t="b">
        <v>0</v>
      </c>
      <c r="L28" t="s">
        <v>92</v>
      </c>
      <c r="M28" t="s">
        <v>81</v>
      </c>
      <c r="O28" t="s">
        <v>82</v>
      </c>
      <c r="P28">
        <v>52.5</v>
      </c>
      <c r="Q28">
        <v>46223</v>
      </c>
      <c r="R28">
        <v>46250</v>
      </c>
      <c r="S28">
        <v>2</v>
      </c>
      <c r="T28">
        <v>105</v>
      </c>
      <c r="U28">
        <v>13.815789473684212</v>
      </c>
      <c r="V28">
        <v>13</v>
      </c>
      <c r="W28">
        <v>20</v>
      </c>
      <c r="X28">
        <v>13</v>
      </c>
      <c r="Y28" t="s">
        <v>83</v>
      </c>
      <c r="Z28" t="s">
        <v>78</v>
      </c>
    </row>
    <row r="29" spans="1:26" x14ac:dyDescent="0.25">
      <c r="A29" t="s">
        <v>142</v>
      </c>
      <c r="B29" t="s">
        <v>22</v>
      </c>
      <c r="C29">
        <v>28</v>
      </c>
      <c r="D29" t="s">
        <v>40</v>
      </c>
      <c r="E29" t="s">
        <v>76</v>
      </c>
      <c r="F29" t="s">
        <v>143</v>
      </c>
      <c r="G29" t="s">
        <v>78</v>
      </c>
      <c r="H29" t="s">
        <v>88</v>
      </c>
      <c r="I29" t="s">
        <v>22</v>
      </c>
      <c r="J29" t="b">
        <v>0</v>
      </c>
      <c r="K29" t="b">
        <v>1</v>
      </c>
      <c r="L29" t="s">
        <v>80</v>
      </c>
      <c r="M29" t="s">
        <v>81</v>
      </c>
      <c r="O29" t="s">
        <v>89</v>
      </c>
      <c r="P29">
        <v>76</v>
      </c>
      <c r="Q29">
        <v>46223</v>
      </c>
      <c r="R29">
        <v>46250</v>
      </c>
      <c r="S29">
        <v>2</v>
      </c>
      <c r="T29">
        <v>152</v>
      </c>
      <c r="U29">
        <v>20</v>
      </c>
      <c r="V29">
        <v>20</v>
      </c>
      <c r="W29">
        <v>20</v>
      </c>
      <c r="X29">
        <v>20</v>
      </c>
      <c r="Y29" t="s">
        <v>89</v>
      </c>
      <c r="Z29" t="s">
        <v>78</v>
      </c>
    </row>
    <row r="30" spans="1:26" x14ac:dyDescent="0.25">
      <c r="A30" t="s">
        <v>144</v>
      </c>
      <c r="B30" t="s">
        <v>22</v>
      </c>
      <c r="C30">
        <v>29</v>
      </c>
      <c r="E30" t="s">
        <v>76</v>
      </c>
      <c r="F30" t="s">
        <v>145</v>
      </c>
      <c r="G30" t="s">
        <v>78</v>
      </c>
      <c r="H30" t="s">
        <v>79</v>
      </c>
      <c r="I30" t="s">
        <v>22</v>
      </c>
      <c r="J30" t="b">
        <v>1</v>
      </c>
      <c r="K30" t="b">
        <v>1</v>
      </c>
      <c r="L30" t="s">
        <v>95</v>
      </c>
      <c r="M30" t="s">
        <v>81</v>
      </c>
      <c r="O30" t="s">
        <v>82</v>
      </c>
      <c r="P30">
        <v>67.5</v>
      </c>
      <c r="Q30">
        <v>46223</v>
      </c>
      <c r="R30">
        <v>46250</v>
      </c>
      <c r="S30">
        <v>2</v>
      </c>
      <c r="T30">
        <v>135</v>
      </c>
      <c r="U30">
        <v>17.763157894736842</v>
      </c>
      <c r="V30">
        <v>17</v>
      </c>
      <c r="W30">
        <v>20</v>
      </c>
      <c r="X30">
        <v>17</v>
      </c>
      <c r="Y30" t="s">
        <v>83</v>
      </c>
      <c r="Z30" t="s">
        <v>78</v>
      </c>
    </row>
    <row r="31" spans="1:26" x14ac:dyDescent="0.25">
      <c r="A31" t="s">
        <v>146</v>
      </c>
      <c r="B31" t="s">
        <v>22</v>
      </c>
      <c r="C31">
        <v>30</v>
      </c>
      <c r="E31" t="s">
        <v>76</v>
      </c>
      <c r="F31" t="s">
        <v>147</v>
      </c>
      <c r="G31" t="s">
        <v>78</v>
      </c>
      <c r="H31" t="s">
        <v>79</v>
      </c>
      <c r="I31" t="s">
        <v>22</v>
      </c>
      <c r="J31" t="b">
        <v>1</v>
      </c>
      <c r="K31" t="b">
        <v>1</v>
      </c>
      <c r="L31" t="s">
        <v>95</v>
      </c>
      <c r="M31" t="s">
        <v>81</v>
      </c>
      <c r="O31" t="s">
        <v>82</v>
      </c>
      <c r="P31">
        <v>45</v>
      </c>
      <c r="Q31">
        <v>46223</v>
      </c>
      <c r="R31">
        <v>46250</v>
      </c>
      <c r="S31">
        <v>2</v>
      </c>
      <c r="T31">
        <v>90</v>
      </c>
      <c r="U31">
        <v>11.842105263157896</v>
      </c>
      <c r="V31">
        <v>11</v>
      </c>
      <c r="W31">
        <v>20</v>
      </c>
      <c r="X31">
        <v>11</v>
      </c>
      <c r="Y31" t="s">
        <v>83</v>
      </c>
      <c r="Z31" t="s">
        <v>78</v>
      </c>
    </row>
    <row r="32" spans="1:26" x14ac:dyDescent="0.25">
      <c r="A32" t="s">
        <v>148</v>
      </c>
      <c r="B32" t="s">
        <v>22</v>
      </c>
      <c r="C32">
        <v>31</v>
      </c>
      <c r="E32" t="s">
        <v>76</v>
      </c>
      <c r="F32" t="s">
        <v>149</v>
      </c>
      <c r="G32" t="s">
        <v>78</v>
      </c>
      <c r="H32" t="s">
        <v>79</v>
      </c>
      <c r="I32" t="s">
        <v>22</v>
      </c>
      <c r="J32" t="b">
        <v>1</v>
      </c>
      <c r="K32" t="b">
        <v>1</v>
      </c>
      <c r="L32" t="s">
        <v>95</v>
      </c>
      <c r="M32" t="s">
        <v>81</v>
      </c>
      <c r="O32" t="s">
        <v>82</v>
      </c>
      <c r="P32">
        <v>75</v>
      </c>
      <c r="Q32">
        <v>46223</v>
      </c>
      <c r="R32">
        <v>46250</v>
      </c>
      <c r="S32">
        <v>2</v>
      </c>
      <c r="T32">
        <v>150</v>
      </c>
      <c r="U32">
        <v>19.736842105263161</v>
      </c>
      <c r="V32">
        <v>19</v>
      </c>
      <c r="W32">
        <v>20</v>
      </c>
      <c r="X32">
        <v>19</v>
      </c>
      <c r="Y32" t="s">
        <v>83</v>
      </c>
      <c r="Z32" t="s">
        <v>78</v>
      </c>
    </row>
    <row r="33" spans="1:26" x14ac:dyDescent="0.25">
      <c r="A33" t="s">
        <v>150</v>
      </c>
      <c r="B33" t="s">
        <v>22</v>
      </c>
      <c r="C33">
        <v>32</v>
      </c>
      <c r="D33" t="s">
        <v>40</v>
      </c>
      <c r="E33" t="s">
        <v>76</v>
      </c>
      <c r="F33" t="s">
        <v>151</v>
      </c>
      <c r="G33" t="s">
        <v>78</v>
      </c>
      <c r="H33" t="s">
        <v>88</v>
      </c>
      <c r="I33" t="s">
        <v>22</v>
      </c>
      <c r="J33" t="b">
        <v>0</v>
      </c>
      <c r="K33" t="b">
        <v>1</v>
      </c>
      <c r="L33" t="s">
        <v>80</v>
      </c>
      <c r="M33" t="s">
        <v>81</v>
      </c>
      <c r="O33" t="s">
        <v>89</v>
      </c>
      <c r="P33">
        <v>76</v>
      </c>
      <c r="Q33">
        <v>46223</v>
      </c>
      <c r="R33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89</v>
      </c>
      <c r="Z33" t="s">
        <v>78</v>
      </c>
    </row>
    <row r="34" spans="1:26" x14ac:dyDescent="0.25">
      <c r="A34" t="s">
        <v>152</v>
      </c>
      <c r="B34" t="s">
        <v>22</v>
      </c>
      <c r="C34">
        <v>33</v>
      </c>
      <c r="D34" t="s">
        <v>40</v>
      </c>
      <c r="E34" t="s">
        <v>76</v>
      </c>
      <c r="F34" t="s">
        <v>153</v>
      </c>
      <c r="G34" t="s">
        <v>78</v>
      </c>
      <c r="H34" t="s">
        <v>79</v>
      </c>
      <c r="I34" t="s">
        <v>22</v>
      </c>
      <c r="J34" t="b">
        <v>0</v>
      </c>
      <c r="K34" t="b">
        <v>1</v>
      </c>
      <c r="L34" t="s">
        <v>80</v>
      </c>
      <c r="M34" t="s">
        <v>81</v>
      </c>
      <c r="O34" t="s">
        <v>82</v>
      </c>
      <c r="P34">
        <v>30</v>
      </c>
      <c r="Q34">
        <v>46223</v>
      </c>
      <c r="R34">
        <v>46250</v>
      </c>
      <c r="S34">
        <v>2</v>
      </c>
      <c r="T34">
        <v>60</v>
      </c>
      <c r="U34">
        <v>7.8947368421052637</v>
      </c>
      <c r="V34">
        <v>7</v>
      </c>
      <c r="W34">
        <v>20</v>
      </c>
      <c r="X34">
        <v>7</v>
      </c>
      <c r="Y34" t="s">
        <v>83</v>
      </c>
      <c r="Z34" t="s">
        <v>78</v>
      </c>
    </row>
    <row r="35" spans="1:26" x14ac:dyDescent="0.25">
      <c r="A35" t="s">
        <v>154</v>
      </c>
      <c r="B35" t="s">
        <v>22</v>
      </c>
      <c r="C35">
        <v>34</v>
      </c>
      <c r="E35" t="s">
        <v>76</v>
      </c>
      <c r="F35" t="s">
        <v>155</v>
      </c>
      <c r="G35" t="s">
        <v>78</v>
      </c>
      <c r="H35" t="s">
        <v>79</v>
      </c>
      <c r="I35" t="s">
        <v>22</v>
      </c>
      <c r="J35" t="b">
        <v>1</v>
      </c>
      <c r="K35" t="b">
        <v>1</v>
      </c>
      <c r="L35" t="s">
        <v>95</v>
      </c>
      <c r="M35" t="s">
        <v>81</v>
      </c>
      <c r="O35" t="s">
        <v>82</v>
      </c>
      <c r="P35">
        <v>52.5</v>
      </c>
      <c r="Q35">
        <v>46223</v>
      </c>
      <c r="R35">
        <v>46250</v>
      </c>
      <c r="S35">
        <v>2</v>
      </c>
      <c r="T35">
        <v>105</v>
      </c>
      <c r="U35">
        <v>13.815789473684212</v>
      </c>
      <c r="V35">
        <v>13</v>
      </c>
      <c r="W35">
        <v>20</v>
      </c>
      <c r="X35">
        <v>13</v>
      </c>
      <c r="Y35" t="s">
        <v>83</v>
      </c>
      <c r="Z35" t="s">
        <v>78</v>
      </c>
    </row>
    <row r="36" spans="1:26" x14ac:dyDescent="0.25">
      <c r="A36" t="s">
        <v>156</v>
      </c>
      <c r="B36" t="s">
        <v>31</v>
      </c>
      <c r="C36">
        <v>35</v>
      </c>
      <c r="E36" t="s">
        <v>76</v>
      </c>
      <c r="F36" t="s">
        <v>157</v>
      </c>
      <c r="G36" t="s">
        <v>78</v>
      </c>
      <c r="H36" t="s">
        <v>79</v>
      </c>
      <c r="I36" t="s">
        <v>31</v>
      </c>
      <c r="J36" t="b">
        <v>1</v>
      </c>
      <c r="K36" t="b">
        <v>1</v>
      </c>
      <c r="L36" t="s">
        <v>95</v>
      </c>
      <c r="M36" t="s">
        <v>81</v>
      </c>
      <c r="O36" t="s">
        <v>82</v>
      </c>
      <c r="P36">
        <v>72</v>
      </c>
      <c r="Q36">
        <v>46223</v>
      </c>
      <c r="R36">
        <v>46250</v>
      </c>
      <c r="S36">
        <v>2</v>
      </c>
      <c r="T36">
        <v>144</v>
      </c>
      <c r="U36">
        <v>18.947368421052634</v>
      </c>
      <c r="V36">
        <v>18</v>
      </c>
      <c r="W36">
        <v>20</v>
      </c>
      <c r="X36">
        <v>18</v>
      </c>
      <c r="Y36" t="s">
        <v>83</v>
      </c>
      <c r="Z36" t="s">
        <v>78</v>
      </c>
    </row>
    <row r="37" spans="1:26" x14ac:dyDescent="0.25">
      <c r="A37" t="s">
        <v>158</v>
      </c>
      <c r="B37" t="s">
        <v>22</v>
      </c>
      <c r="C37">
        <v>36</v>
      </c>
      <c r="E37" t="s">
        <v>76</v>
      </c>
      <c r="F37" t="s">
        <v>159</v>
      </c>
      <c r="G37" t="s">
        <v>78</v>
      </c>
      <c r="H37" t="s">
        <v>79</v>
      </c>
      <c r="I37" t="s">
        <v>22</v>
      </c>
      <c r="J37" t="b">
        <v>1</v>
      </c>
      <c r="K37" t="b">
        <v>1</v>
      </c>
      <c r="L37" t="s">
        <v>95</v>
      </c>
      <c r="M37" t="s">
        <v>81</v>
      </c>
      <c r="O37" t="s">
        <v>82</v>
      </c>
      <c r="P37">
        <v>60</v>
      </c>
      <c r="Q37">
        <v>46223</v>
      </c>
      <c r="R37">
        <v>46250</v>
      </c>
      <c r="S37">
        <v>2</v>
      </c>
      <c r="T37">
        <v>120</v>
      </c>
      <c r="U37">
        <v>15.789473684210527</v>
      </c>
      <c r="V37">
        <v>15</v>
      </c>
      <c r="W37">
        <v>20</v>
      </c>
      <c r="X37">
        <v>15</v>
      </c>
      <c r="Y37" t="s">
        <v>83</v>
      </c>
      <c r="Z37" t="s">
        <v>78</v>
      </c>
    </row>
    <row r="38" spans="1:26" x14ac:dyDescent="0.25">
      <c r="A38" t="s">
        <v>160</v>
      </c>
      <c r="B38" t="s">
        <v>22</v>
      </c>
      <c r="C38">
        <v>37</v>
      </c>
      <c r="D38" t="s">
        <v>40</v>
      </c>
      <c r="E38" t="s">
        <v>76</v>
      </c>
      <c r="F38" t="s">
        <v>161</v>
      </c>
      <c r="G38" t="s">
        <v>78</v>
      </c>
      <c r="H38" t="s">
        <v>79</v>
      </c>
      <c r="I38" t="s">
        <v>22</v>
      </c>
      <c r="J38" t="b">
        <v>0</v>
      </c>
      <c r="K38" t="b">
        <v>1</v>
      </c>
      <c r="L38" t="s">
        <v>80</v>
      </c>
      <c r="M38" t="s">
        <v>81</v>
      </c>
      <c r="O38" t="s">
        <v>82</v>
      </c>
      <c r="P38">
        <v>40</v>
      </c>
      <c r="Q38">
        <v>46223</v>
      </c>
      <c r="R38">
        <v>46250</v>
      </c>
      <c r="S38">
        <v>2</v>
      </c>
      <c r="T38">
        <v>80</v>
      </c>
      <c r="U38">
        <v>10.526315789473683</v>
      </c>
      <c r="V38">
        <v>10</v>
      </c>
      <c r="W38">
        <v>20</v>
      </c>
      <c r="X38">
        <v>10</v>
      </c>
      <c r="Y38" t="s">
        <v>83</v>
      </c>
      <c r="Z38" t="s">
        <v>78</v>
      </c>
    </row>
    <row r="39" spans="1:26" x14ac:dyDescent="0.25">
      <c r="A39" t="s">
        <v>162</v>
      </c>
      <c r="B39" t="s">
        <v>22</v>
      </c>
      <c r="C39">
        <v>38</v>
      </c>
      <c r="E39" t="s">
        <v>76</v>
      </c>
      <c r="F39" t="s">
        <v>163</v>
      </c>
      <c r="G39" t="s">
        <v>78</v>
      </c>
      <c r="H39" t="s">
        <v>79</v>
      </c>
      <c r="I39" t="s">
        <v>22</v>
      </c>
      <c r="J39" t="b">
        <v>1</v>
      </c>
      <c r="K39" t="b">
        <v>1</v>
      </c>
      <c r="L39" t="s">
        <v>95</v>
      </c>
      <c r="M39" t="s">
        <v>81</v>
      </c>
      <c r="O39" t="s">
        <v>82</v>
      </c>
      <c r="P39">
        <v>37.5</v>
      </c>
      <c r="Q39">
        <v>46223</v>
      </c>
      <c r="R39">
        <v>46250</v>
      </c>
      <c r="S39">
        <v>2</v>
      </c>
      <c r="T39">
        <v>75</v>
      </c>
      <c r="U39">
        <v>9.8684210526315788</v>
      </c>
      <c r="V39">
        <v>9</v>
      </c>
      <c r="W39">
        <v>20</v>
      </c>
      <c r="X39">
        <v>9</v>
      </c>
      <c r="Y39" t="s">
        <v>83</v>
      </c>
      <c r="Z39" t="s">
        <v>78</v>
      </c>
    </row>
    <row r="40" spans="1:26" x14ac:dyDescent="0.25">
      <c r="A40" t="s">
        <v>164</v>
      </c>
      <c r="B40" t="s">
        <v>22</v>
      </c>
      <c r="C40">
        <v>39</v>
      </c>
      <c r="E40" t="s">
        <v>76</v>
      </c>
      <c r="F40" t="s">
        <v>165</v>
      </c>
      <c r="G40" t="s">
        <v>78</v>
      </c>
      <c r="H40" t="s">
        <v>79</v>
      </c>
      <c r="I40" t="s">
        <v>22</v>
      </c>
      <c r="J40" t="b">
        <v>1</v>
      </c>
      <c r="K40" t="b">
        <v>1</v>
      </c>
      <c r="L40" t="s">
        <v>95</v>
      </c>
      <c r="M40" t="s">
        <v>81</v>
      </c>
      <c r="O40" t="s">
        <v>82</v>
      </c>
      <c r="P40">
        <v>67.5</v>
      </c>
      <c r="Q40">
        <v>46223</v>
      </c>
      <c r="R40">
        <v>46250</v>
      </c>
      <c r="S40">
        <v>2</v>
      </c>
      <c r="T40">
        <v>135</v>
      </c>
      <c r="U40">
        <v>17.763157894736842</v>
      </c>
      <c r="V40">
        <v>17</v>
      </c>
      <c r="W40">
        <v>20</v>
      </c>
      <c r="X40">
        <v>17</v>
      </c>
      <c r="Y40" t="s">
        <v>83</v>
      </c>
      <c r="Z40" t="s">
        <v>78</v>
      </c>
    </row>
    <row r="41" spans="1:26" x14ac:dyDescent="0.25">
      <c r="A41" t="s">
        <v>166</v>
      </c>
      <c r="B41" t="s">
        <v>22</v>
      </c>
      <c r="C41">
        <v>40</v>
      </c>
      <c r="E41" t="s">
        <v>76</v>
      </c>
      <c r="F41" t="s">
        <v>167</v>
      </c>
      <c r="G41" t="s">
        <v>78</v>
      </c>
      <c r="H41" t="s">
        <v>79</v>
      </c>
      <c r="I41" t="s">
        <v>22</v>
      </c>
      <c r="J41" t="b">
        <v>1</v>
      </c>
      <c r="K41" t="b">
        <v>1</v>
      </c>
      <c r="L41" t="s">
        <v>95</v>
      </c>
      <c r="M41" t="s">
        <v>81</v>
      </c>
      <c r="O41" t="s">
        <v>82</v>
      </c>
      <c r="P41">
        <v>60</v>
      </c>
      <c r="Q41">
        <v>46223</v>
      </c>
      <c r="R41">
        <v>46250</v>
      </c>
      <c r="S41">
        <v>2</v>
      </c>
      <c r="T41">
        <v>120</v>
      </c>
      <c r="U41">
        <v>15.789473684210527</v>
      </c>
      <c r="V41">
        <v>15</v>
      </c>
      <c r="W41">
        <v>20</v>
      </c>
      <c r="X41">
        <v>15</v>
      </c>
      <c r="Y41" t="s">
        <v>83</v>
      </c>
      <c r="Z41" t="s">
        <v>78</v>
      </c>
    </row>
    <row r="42" spans="1:26" x14ac:dyDescent="0.25">
      <c r="A42" t="s">
        <v>168</v>
      </c>
      <c r="B42" t="s">
        <v>22</v>
      </c>
      <c r="C42">
        <v>41</v>
      </c>
      <c r="E42" t="s">
        <v>76</v>
      </c>
      <c r="F42" t="s">
        <v>169</v>
      </c>
      <c r="G42" t="s">
        <v>78</v>
      </c>
      <c r="H42" t="s">
        <v>79</v>
      </c>
      <c r="I42" t="s">
        <v>22</v>
      </c>
      <c r="J42" t="b">
        <v>1</v>
      </c>
      <c r="K42" t="b">
        <v>1</v>
      </c>
      <c r="L42" t="s">
        <v>95</v>
      </c>
      <c r="M42" t="s">
        <v>81</v>
      </c>
      <c r="O42" t="s">
        <v>82</v>
      </c>
      <c r="P42">
        <v>30</v>
      </c>
      <c r="Q42">
        <v>46223</v>
      </c>
      <c r="R42">
        <v>46250</v>
      </c>
      <c r="S42">
        <v>2</v>
      </c>
      <c r="T42">
        <v>60</v>
      </c>
      <c r="U42">
        <v>7.8947368421052637</v>
      </c>
      <c r="V42">
        <v>7</v>
      </c>
      <c r="W42">
        <v>20</v>
      </c>
      <c r="X42">
        <v>7</v>
      </c>
      <c r="Y42" t="s">
        <v>83</v>
      </c>
      <c r="Z42" t="s">
        <v>78</v>
      </c>
    </row>
    <row r="43" spans="1:26" x14ac:dyDescent="0.25">
      <c r="A43" t="s">
        <v>170</v>
      </c>
      <c r="B43" t="s">
        <v>22</v>
      </c>
      <c r="C43">
        <v>42</v>
      </c>
      <c r="E43" t="s">
        <v>76</v>
      </c>
      <c r="F43" t="s">
        <v>171</v>
      </c>
      <c r="G43" t="s">
        <v>78</v>
      </c>
      <c r="H43" t="s">
        <v>79</v>
      </c>
      <c r="I43" t="s">
        <v>22</v>
      </c>
      <c r="J43" t="b">
        <v>1</v>
      </c>
      <c r="K43" t="b">
        <v>1</v>
      </c>
      <c r="L43" t="s">
        <v>95</v>
      </c>
      <c r="M43" t="s">
        <v>81</v>
      </c>
      <c r="O43" t="s">
        <v>82</v>
      </c>
      <c r="P43">
        <v>60</v>
      </c>
      <c r="Q43">
        <v>46223</v>
      </c>
      <c r="R43">
        <v>46250</v>
      </c>
      <c r="S43">
        <v>2</v>
      </c>
      <c r="T43">
        <v>120</v>
      </c>
      <c r="U43">
        <v>15.789473684210527</v>
      </c>
      <c r="V43">
        <v>15</v>
      </c>
      <c r="W43">
        <v>20</v>
      </c>
      <c r="X43">
        <v>15</v>
      </c>
      <c r="Y43" t="s">
        <v>83</v>
      </c>
      <c r="Z43" t="s">
        <v>78</v>
      </c>
    </row>
    <row r="44" spans="1:26" x14ac:dyDescent="0.25">
      <c r="A44" t="s">
        <v>172</v>
      </c>
      <c r="B44" t="s">
        <v>29</v>
      </c>
      <c r="C44">
        <v>43</v>
      </c>
      <c r="E44" t="s">
        <v>76</v>
      </c>
      <c r="F44" t="s">
        <v>173</v>
      </c>
      <c r="G44" t="s">
        <v>78</v>
      </c>
      <c r="H44" t="s">
        <v>88</v>
      </c>
      <c r="I44" t="s">
        <v>29</v>
      </c>
      <c r="J44" t="b">
        <v>1</v>
      </c>
      <c r="K44" t="b">
        <v>0</v>
      </c>
      <c r="L44" t="s">
        <v>92</v>
      </c>
      <c r="M44" t="s">
        <v>81</v>
      </c>
      <c r="O44" t="s">
        <v>89</v>
      </c>
      <c r="P44">
        <v>76</v>
      </c>
      <c r="Q44">
        <v>46223</v>
      </c>
      <c r="R44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89</v>
      </c>
      <c r="Z44" t="s">
        <v>78</v>
      </c>
    </row>
    <row r="45" spans="1:26" x14ac:dyDescent="0.25">
      <c r="A45" t="s">
        <v>174</v>
      </c>
      <c r="B45" t="s">
        <v>22</v>
      </c>
      <c r="C45">
        <v>44</v>
      </c>
      <c r="E45" t="s">
        <v>76</v>
      </c>
      <c r="F45" t="s">
        <v>175</v>
      </c>
      <c r="G45" t="s">
        <v>78</v>
      </c>
      <c r="H45" t="s">
        <v>79</v>
      </c>
      <c r="I45" t="s">
        <v>22</v>
      </c>
      <c r="J45" t="b">
        <v>1</v>
      </c>
      <c r="K45" t="b">
        <v>1</v>
      </c>
      <c r="L45" t="s">
        <v>95</v>
      </c>
      <c r="M45" t="s">
        <v>81</v>
      </c>
      <c r="O45" t="s">
        <v>82</v>
      </c>
      <c r="P45">
        <v>67.5</v>
      </c>
      <c r="Q45">
        <v>46223</v>
      </c>
      <c r="R45">
        <v>46250</v>
      </c>
      <c r="S45">
        <v>2</v>
      </c>
      <c r="T45">
        <v>135</v>
      </c>
      <c r="U45">
        <v>17.763157894736842</v>
      </c>
      <c r="V45">
        <v>17</v>
      </c>
      <c r="W45">
        <v>20</v>
      </c>
      <c r="X45">
        <v>17</v>
      </c>
      <c r="Y45" t="s">
        <v>83</v>
      </c>
      <c r="Z45" t="s">
        <v>78</v>
      </c>
    </row>
    <row r="46" spans="1:26" x14ac:dyDescent="0.25">
      <c r="A46" t="s">
        <v>176</v>
      </c>
      <c r="B46" t="s">
        <v>22</v>
      </c>
      <c r="C46">
        <v>45</v>
      </c>
      <c r="E46" t="s">
        <v>76</v>
      </c>
      <c r="F46" t="s">
        <v>177</v>
      </c>
      <c r="G46" t="s">
        <v>78</v>
      </c>
      <c r="H46" t="s">
        <v>79</v>
      </c>
      <c r="I46" t="s">
        <v>22</v>
      </c>
      <c r="J46" t="b">
        <v>1</v>
      </c>
      <c r="K46" t="b">
        <v>1</v>
      </c>
      <c r="L46" t="s">
        <v>95</v>
      </c>
      <c r="M46" t="s">
        <v>81</v>
      </c>
      <c r="O46" t="s">
        <v>82</v>
      </c>
      <c r="P46">
        <v>60</v>
      </c>
      <c r="Q46">
        <v>46223</v>
      </c>
      <c r="R46">
        <v>46250</v>
      </c>
      <c r="S46">
        <v>2</v>
      </c>
      <c r="T46">
        <v>120</v>
      </c>
      <c r="U46">
        <v>15.789473684210527</v>
      </c>
      <c r="V46">
        <v>15</v>
      </c>
      <c r="W46">
        <v>20</v>
      </c>
      <c r="X46">
        <v>15</v>
      </c>
      <c r="Y46" t="s">
        <v>83</v>
      </c>
      <c r="Z46" t="s">
        <v>78</v>
      </c>
    </row>
    <row r="47" spans="1:26" x14ac:dyDescent="0.25">
      <c r="A47" t="s">
        <v>178</v>
      </c>
      <c r="B47" t="s">
        <v>22</v>
      </c>
      <c r="C47">
        <v>46</v>
      </c>
      <c r="D47" t="s">
        <v>40</v>
      </c>
      <c r="E47" t="s">
        <v>76</v>
      </c>
      <c r="F47" t="s">
        <v>179</v>
      </c>
      <c r="G47" t="s">
        <v>78</v>
      </c>
      <c r="H47" t="s">
        <v>79</v>
      </c>
      <c r="I47" t="s">
        <v>22</v>
      </c>
      <c r="J47" t="b">
        <v>0</v>
      </c>
      <c r="K47" t="b">
        <v>1</v>
      </c>
      <c r="L47" t="s">
        <v>80</v>
      </c>
      <c r="M47" t="s">
        <v>81</v>
      </c>
      <c r="O47" t="s">
        <v>82</v>
      </c>
      <c r="P47">
        <v>30</v>
      </c>
      <c r="Q47">
        <v>46223</v>
      </c>
      <c r="R47">
        <v>46250</v>
      </c>
      <c r="S47">
        <v>2</v>
      </c>
      <c r="T47">
        <v>60</v>
      </c>
      <c r="U47">
        <v>7.8947368421052637</v>
      </c>
      <c r="V47">
        <v>7</v>
      </c>
      <c r="W47">
        <v>20</v>
      </c>
      <c r="X47">
        <v>7</v>
      </c>
      <c r="Y47" t="s">
        <v>83</v>
      </c>
      <c r="Z47" t="s">
        <v>78</v>
      </c>
    </row>
    <row r="48" spans="1:26" x14ac:dyDescent="0.25">
      <c r="A48" t="s">
        <v>180</v>
      </c>
      <c r="B48" t="s">
        <v>31</v>
      </c>
      <c r="C48">
        <v>47</v>
      </c>
      <c r="E48" t="s">
        <v>76</v>
      </c>
      <c r="F48" t="s">
        <v>181</v>
      </c>
      <c r="G48" t="s">
        <v>78</v>
      </c>
      <c r="H48" t="s">
        <v>79</v>
      </c>
      <c r="I48" t="s">
        <v>31</v>
      </c>
      <c r="J48" t="b">
        <v>1</v>
      </c>
      <c r="K48" t="b">
        <v>1</v>
      </c>
      <c r="L48" t="s">
        <v>95</v>
      </c>
      <c r="M48" t="s">
        <v>81</v>
      </c>
      <c r="O48" t="s">
        <v>82</v>
      </c>
      <c r="P48">
        <v>52.5</v>
      </c>
      <c r="Q48">
        <v>46223</v>
      </c>
      <c r="R48">
        <v>46250</v>
      </c>
      <c r="S48">
        <v>2</v>
      </c>
      <c r="T48">
        <v>105</v>
      </c>
      <c r="U48">
        <v>13.815789473684212</v>
      </c>
      <c r="V48">
        <v>13</v>
      </c>
      <c r="W48">
        <v>20</v>
      </c>
      <c r="X48">
        <v>13</v>
      </c>
      <c r="Y48" t="s">
        <v>83</v>
      </c>
      <c r="Z48" t="s">
        <v>78</v>
      </c>
    </row>
    <row r="49" spans="1:26" x14ac:dyDescent="0.25">
      <c r="A49" t="s">
        <v>182</v>
      </c>
      <c r="B49" t="s">
        <v>31</v>
      </c>
      <c r="C49">
        <v>48</v>
      </c>
      <c r="D49" t="s">
        <v>40</v>
      </c>
      <c r="E49" t="s">
        <v>76</v>
      </c>
      <c r="F49" t="s">
        <v>183</v>
      </c>
      <c r="G49" t="s">
        <v>78</v>
      </c>
      <c r="H49" t="s">
        <v>79</v>
      </c>
      <c r="I49" t="s">
        <v>31</v>
      </c>
      <c r="J49" t="b">
        <v>0</v>
      </c>
      <c r="K49" t="b">
        <v>1</v>
      </c>
      <c r="L49" t="s">
        <v>80</v>
      </c>
      <c r="M49" t="s">
        <v>81</v>
      </c>
      <c r="O49" t="s">
        <v>82</v>
      </c>
      <c r="P49">
        <v>60</v>
      </c>
      <c r="Q49">
        <v>46223</v>
      </c>
      <c r="R49">
        <v>46250</v>
      </c>
      <c r="S49">
        <v>2</v>
      </c>
      <c r="T49">
        <v>120</v>
      </c>
      <c r="U49">
        <v>15.789473684210527</v>
      </c>
      <c r="V49">
        <v>15</v>
      </c>
      <c r="W49">
        <v>20</v>
      </c>
      <c r="X49">
        <v>15</v>
      </c>
      <c r="Y49" t="s">
        <v>83</v>
      </c>
      <c r="Z49" t="s">
        <v>78</v>
      </c>
    </row>
    <row r="50" spans="1:26" x14ac:dyDescent="0.25">
      <c r="A50" t="s">
        <v>184</v>
      </c>
      <c r="B50" t="s">
        <v>31</v>
      </c>
      <c r="C50">
        <v>49</v>
      </c>
      <c r="E50" t="s">
        <v>76</v>
      </c>
      <c r="F50" t="s">
        <v>185</v>
      </c>
      <c r="G50" t="s">
        <v>78</v>
      </c>
      <c r="H50" t="s">
        <v>79</v>
      </c>
      <c r="I50" t="s">
        <v>31</v>
      </c>
      <c r="J50" t="b">
        <v>1</v>
      </c>
      <c r="K50" t="b">
        <v>1</v>
      </c>
      <c r="L50" t="s">
        <v>95</v>
      </c>
      <c r="M50" t="s">
        <v>81</v>
      </c>
      <c r="O50" t="s">
        <v>82</v>
      </c>
      <c r="P50">
        <v>16</v>
      </c>
      <c r="Q50">
        <v>46223</v>
      </c>
      <c r="R50">
        <v>46250</v>
      </c>
      <c r="S50">
        <v>2</v>
      </c>
      <c r="T50">
        <v>32</v>
      </c>
      <c r="U50">
        <v>4.2105263157894735</v>
      </c>
      <c r="V50">
        <v>4</v>
      </c>
      <c r="W50">
        <v>20</v>
      </c>
      <c r="X50">
        <v>4</v>
      </c>
      <c r="Y50" t="s">
        <v>83</v>
      </c>
      <c r="Z50" t="s">
        <v>78</v>
      </c>
    </row>
    <row r="51" spans="1:26" x14ac:dyDescent="0.25">
      <c r="A51" t="s">
        <v>186</v>
      </c>
      <c r="B51" t="s">
        <v>22</v>
      </c>
      <c r="C51">
        <v>50</v>
      </c>
      <c r="E51" t="s">
        <v>76</v>
      </c>
      <c r="F51" t="s">
        <v>187</v>
      </c>
      <c r="G51" t="s">
        <v>78</v>
      </c>
      <c r="H51" t="s">
        <v>79</v>
      </c>
      <c r="I51" t="s">
        <v>22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75</v>
      </c>
      <c r="Q51">
        <v>46223</v>
      </c>
      <c r="R51">
        <v>46250</v>
      </c>
      <c r="S51">
        <v>2</v>
      </c>
      <c r="T51">
        <v>150</v>
      </c>
      <c r="U51">
        <v>19.736842105263161</v>
      </c>
      <c r="V51">
        <v>19</v>
      </c>
      <c r="W51">
        <v>20</v>
      </c>
      <c r="X51">
        <v>19</v>
      </c>
      <c r="Y51" t="s">
        <v>83</v>
      </c>
      <c r="Z51" t="s">
        <v>78</v>
      </c>
    </row>
    <row r="52" spans="1:26" x14ac:dyDescent="0.25">
      <c r="A52" t="s">
        <v>188</v>
      </c>
      <c r="B52" t="s">
        <v>31</v>
      </c>
      <c r="C52">
        <v>51</v>
      </c>
      <c r="D52" t="s">
        <v>40</v>
      </c>
      <c r="E52" t="s">
        <v>76</v>
      </c>
      <c r="F52" t="s">
        <v>189</v>
      </c>
      <c r="G52" t="s">
        <v>78</v>
      </c>
      <c r="H52" t="s">
        <v>79</v>
      </c>
      <c r="I52" t="s">
        <v>31</v>
      </c>
      <c r="J52" t="b">
        <v>0</v>
      </c>
      <c r="K52" t="b">
        <v>1</v>
      </c>
      <c r="L52" t="s">
        <v>80</v>
      </c>
      <c r="M52" t="s">
        <v>81</v>
      </c>
      <c r="O52" t="s">
        <v>82</v>
      </c>
      <c r="P52">
        <v>72</v>
      </c>
      <c r="Q52">
        <v>46223</v>
      </c>
      <c r="R52">
        <v>46250</v>
      </c>
      <c r="S52">
        <v>2</v>
      </c>
      <c r="T52">
        <v>144</v>
      </c>
      <c r="U52">
        <v>18.947368421052634</v>
      </c>
      <c r="V52">
        <v>18</v>
      </c>
      <c r="W52">
        <v>20</v>
      </c>
      <c r="X52">
        <v>18</v>
      </c>
      <c r="Y52" t="s">
        <v>83</v>
      </c>
      <c r="Z52" t="s">
        <v>78</v>
      </c>
    </row>
    <row r="53" spans="1:26" x14ac:dyDescent="0.25">
      <c r="A53" t="s">
        <v>190</v>
      </c>
      <c r="B53" t="s">
        <v>22</v>
      </c>
      <c r="C53">
        <v>52</v>
      </c>
      <c r="E53" t="s">
        <v>76</v>
      </c>
      <c r="F53" t="s">
        <v>191</v>
      </c>
      <c r="G53" t="s">
        <v>78</v>
      </c>
      <c r="H53" t="s">
        <v>88</v>
      </c>
      <c r="I53" t="s">
        <v>22</v>
      </c>
      <c r="J53" t="b">
        <v>1</v>
      </c>
      <c r="K53" t="b">
        <v>1</v>
      </c>
      <c r="L53" t="s">
        <v>95</v>
      </c>
      <c r="M53" t="s">
        <v>81</v>
      </c>
      <c r="O53" t="s">
        <v>89</v>
      </c>
      <c r="P53">
        <v>76</v>
      </c>
      <c r="Q53">
        <v>46223</v>
      </c>
      <c r="R53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89</v>
      </c>
      <c r="Z53" t="s">
        <v>78</v>
      </c>
    </row>
    <row r="54" spans="1:26" x14ac:dyDescent="0.25">
      <c r="A54" t="s">
        <v>192</v>
      </c>
      <c r="B54" t="s">
        <v>22</v>
      </c>
      <c r="C54">
        <v>53</v>
      </c>
      <c r="E54" t="s">
        <v>76</v>
      </c>
      <c r="F54" t="s">
        <v>193</v>
      </c>
      <c r="G54" t="s">
        <v>78</v>
      </c>
      <c r="H54" t="s">
        <v>79</v>
      </c>
      <c r="I54" t="s">
        <v>22</v>
      </c>
      <c r="J54" t="b">
        <v>1</v>
      </c>
      <c r="K54" t="b">
        <v>1</v>
      </c>
      <c r="L54" t="s">
        <v>95</v>
      </c>
      <c r="M54" t="s">
        <v>81</v>
      </c>
      <c r="O54" t="s">
        <v>82</v>
      </c>
      <c r="P54">
        <v>60</v>
      </c>
      <c r="Q54">
        <v>46223</v>
      </c>
      <c r="R54">
        <v>46250</v>
      </c>
      <c r="S54">
        <v>2</v>
      </c>
      <c r="T54">
        <v>120</v>
      </c>
      <c r="U54">
        <v>15.789473684210527</v>
      </c>
      <c r="V54">
        <v>15</v>
      </c>
      <c r="W54">
        <v>20</v>
      </c>
      <c r="X54">
        <v>15</v>
      </c>
      <c r="Y54" t="s">
        <v>83</v>
      </c>
      <c r="Z54" t="s">
        <v>78</v>
      </c>
    </row>
    <row r="55" spans="1:26" x14ac:dyDescent="0.25">
      <c r="A55" t="s">
        <v>194</v>
      </c>
      <c r="B55" t="s">
        <v>31</v>
      </c>
      <c r="C55">
        <v>54</v>
      </c>
      <c r="E55" t="s">
        <v>76</v>
      </c>
      <c r="F55" t="s">
        <v>195</v>
      </c>
      <c r="G55" t="s">
        <v>78</v>
      </c>
      <c r="H55" t="s">
        <v>88</v>
      </c>
      <c r="I55" t="s">
        <v>31</v>
      </c>
      <c r="J55" t="b">
        <v>1</v>
      </c>
      <c r="K55" t="b">
        <v>1</v>
      </c>
      <c r="L55" t="s">
        <v>95</v>
      </c>
      <c r="M55" t="s">
        <v>81</v>
      </c>
      <c r="O55" t="s">
        <v>89</v>
      </c>
      <c r="P55">
        <v>76</v>
      </c>
      <c r="Q55">
        <v>46223</v>
      </c>
      <c r="R55">
        <v>46250</v>
      </c>
      <c r="S55">
        <v>2</v>
      </c>
      <c r="T55">
        <v>152</v>
      </c>
      <c r="U55">
        <v>20</v>
      </c>
      <c r="V55">
        <v>20</v>
      </c>
      <c r="W55">
        <v>20</v>
      </c>
      <c r="X55">
        <v>20</v>
      </c>
      <c r="Y55" t="s">
        <v>89</v>
      </c>
      <c r="Z55" t="s">
        <v>78</v>
      </c>
    </row>
    <row r="56" spans="1:26" x14ac:dyDescent="0.25">
      <c r="A56" t="s">
        <v>196</v>
      </c>
      <c r="B56" t="s">
        <v>22</v>
      </c>
      <c r="C56">
        <v>55</v>
      </c>
      <c r="E56" t="s">
        <v>76</v>
      </c>
      <c r="F56" t="s">
        <v>197</v>
      </c>
      <c r="G56" t="s">
        <v>78</v>
      </c>
      <c r="H56" t="s">
        <v>79</v>
      </c>
      <c r="I56" t="s">
        <v>22</v>
      </c>
      <c r="J56" t="b">
        <v>1</v>
      </c>
      <c r="K56" t="b">
        <v>1</v>
      </c>
      <c r="L56" t="s">
        <v>95</v>
      </c>
      <c r="M56" t="s">
        <v>81</v>
      </c>
      <c r="O56" t="s">
        <v>82</v>
      </c>
      <c r="P56">
        <v>22.5</v>
      </c>
      <c r="Q56">
        <v>46223</v>
      </c>
      <c r="R56">
        <v>46250</v>
      </c>
      <c r="S56">
        <v>2</v>
      </c>
      <c r="T56">
        <v>45</v>
      </c>
      <c r="U56">
        <v>5.9210526315789478</v>
      </c>
      <c r="V56">
        <v>5</v>
      </c>
      <c r="W56">
        <v>20</v>
      </c>
      <c r="X56">
        <v>5</v>
      </c>
      <c r="Y56" t="s">
        <v>83</v>
      </c>
      <c r="Z56" t="s">
        <v>78</v>
      </c>
    </row>
    <row r="57" spans="1:26" x14ac:dyDescent="0.25">
      <c r="A57" t="s">
        <v>198</v>
      </c>
      <c r="B57" t="s">
        <v>29</v>
      </c>
      <c r="C57">
        <v>56</v>
      </c>
      <c r="E57" t="s">
        <v>76</v>
      </c>
      <c r="F57" t="s">
        <v>199</v>
      </c>
      <c r="G57" t="s">
        <v>78</v>
      </c>
      <c r="H57" t="s">
        <v>79</v>
      </c>
      <c r="I57" t="s">
        <v>29</v>
      </c>
      <c r="J57" t="b">
        <v>1</v>
      </c>
      <c r="K57" t="b">
        <v>1</v>
      </c>
      <c r="L57" t="s">
        <v>95</v>
      </c>
      <c r="M57" t="s">
        <v>81</v>
      </c>
      <c r="O57" t="s">
        <v>82</v>
      </c>
      <c r="P57">
        <v>40</v>
      </c>
      <c r="Q57">
        <v>46223</v>
      </c>
      <c r="R57">
        <v>46250</v>
      </c>
      <c r="S57">
        <v>2</v>
      </c>
      <c r="T57">
        <v>80</v>
      </c>
      <c r="U57">
        <v>10.526315789473683</v>
      </c>
      <c r="V57">
        <v>10</v>
      </c>
      <c r="W57">
        <v>20</v>
      </c>
      <c r="X57">
        <v>10</v>
      </c>
      <c r="Y57" t="s">
        <v>83</v>
      </c>
      <c r="Z57" t="s">
        <v>78</v>
      </c>
    </row>
    <row r="58" spans="1:26" x14ac:dyDescent="0.25">
      <c r="A58" t="s">
        <v>200</v>
      </c>
      <c r="B58" t="s">
        <v>22</v>
      </c>
      <c r="C58">
        <v>57</v>
      </c>
      <c r="E58" t="s">
        <v>76</v>
      </c>
      <c r="F58" t="s">
        <v>201</v>
      </c>
      <c r="G58" t="s">
        <v>78</v>
      </c>
      <c r="H58" t="s">
        <v>79</v>
      </c>
      <c r="I58" t="s">
        <v>22</v>
      </c>
      <c r="J58" t="b">
        <v>1</v>
      </c>
      <c r="K58" t="b">
        <v>1</v>
      </c>
      <c r="L58" t="s">
        <v>95</v>
      </c>
      <c r="M58" t="s">
        <v>81</v>
      </c>
      <c r="O58" t="s">
        <v>82</v>
      </c>
      <c r="P58">
        <v>52.5</v>
      </c>
      <c r="Q58">
        <v>46223</v>
      </c>
      <c r="R58">
        <v>46250</v>
      </c>
      <c r="S58">
        <v>2</v>
      </c>
      <c r="T58">
        <v>105</v>
      </c>
      <c r="U58">
        <v>13.815789473684212</v>
      </c>
      <c r="V58">
        <v>13</v>
      </c>
      <c r="W58">
        <v>20</v>
      </c>
      <c r="X58">
        <v>13</v>
      </c>
      <c r="Y58" t="s">
        <v>83</v>
      </c>
      <c r="Z58" t="s">
        <v>78</v>
      </c>
    </row>
    <row r="59" spans="1:26" x14ac:dyDescent="0.25">
      <c r="A59" t="s">
        <v>202</v>
      </c>
      <c r="B59" t="s">
        <v>22</v>
      </c>
      <c r="C59">
        <v>58</v>
      </c>
      <c r="E59" t="s">
        <v>76</v>
      </c>
      <c r="F59" t="s">
        <v>203</v>
      </c>
      <c r="G59" t="s">
        <v>78</v>
      </c>
      <c r="H59" t="s">
        <v>79</v>
      </c>
      <c r="I59" t="s">
        <v>22</v>
      </c>
      <c r="J59" t="b">
        <v>1</v>
      </c>
      <c r="K59" t="b">
        <v>1</v>
      </c>
      <c r="L59" t="s">
        <v>95</v>
      </c>
      <c r="M59" t="s">
        <v>81</v>
      </c>
      <c r="O59" t="s">
        <v>82</v>
      </c>
      <c r="P59">
        <v>52.5</v>
      </c>
      <c r="Q59">
        <v>46223</v>
      </c>
      <c r="R59">
        <v>46250</v>
      </c>
      <c r="S59">
        <v>2</v>
      </c>
      <c r="T59">
        <v>105</v>
      </c>
      <c r="U59">
        <v>13.815789473684212</v>
      </c>
      <c r="V59">
        <v>13</v>
      </c>
      <c r="W59">
        <v>20</v>
      </c>
      <c r="X59">
        <v>13</v>
      </c>
      <c r="Y59" t="s">
        <v>83</v>
      </c>
      <c r="Z59" t="s">
        <v>78</v>
      </c>
    </row>
    <row r="60" spans="1:26" x14ac:dyDescent="0.25">
      <c r="A60" t="s">
        <v>204</v>
      </c>
      <c r="B60" t="s">
        <v>22</v>
      </c>
      <c r="C60">
        <v>59</v>
      </c>
      <c r="E60" t="s">
        <v>76</v>
      </c>
      <c r="F60" t="s">
        <v>205</v>
      </c>
      <c r="G60" t="s">
        <v>78</v>
      </c>
      <c r="H60" t="s">
        <v>88</v>
      </c>
      <c r="I60" t="s">
        <v>22</v>
      </c>
      <c r="J60" t="b">
        <v>1</v>
      </c>
      <c r="K60" t="b">
        <v>1</v>
      </c>
      <c r="L60" t="s">
        <v>95</v>
      </c>
      <c r="M60" t="s">
        <v>81</v>
      </c>
      <c r="O60" t="s">
        <v>89</v>
      </c>
      <c r="P60">
        <v>76</v>
      </c>
      <c r="Q60">
        <v>46223</v>
      </c>
      <c r="R6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89</v>
      </c>
      <c r="Z60" t="s">
        <v>78</v>
      </c>
    </row>
    <row r="61" spans="1:26" x14ac:dyDescent="0.25">
      <c r="A61" t="s">
        <v>206</v>
      </c>
      <c r="B61" t="s">
        <v>22</v>
      </c>
      <c r="C61">
        <v>60</v>
      </c>
      <c r="E61" t="s">
        <v>76</v>
      </c>
      <c r="F61" t="s">
        <v>207</v>
      </c>
      <c r="G61" t="s">
        <v>78</v>
      </c>
      <c r="H61" t="s">
        <v>79</v>
      </c>
      <c r="I61" t="s">
        <v>22</v>
      </c>
      <c r="J61" t="b">
        <v>1</v>
      </c>
      <c r="K61" t="b">
        <v>1</v>
      </c>
      <c r="L61" t="s">
        <v>95</v>
      </c>
      <c r="M61" t="s">
        <v>81</v>
      </c>
      <c r="O61" t="s">
        <v>82</v>
      </c>
      <c r="P61">
        <v>37.5</v>
      </c>
      <c r="Q61">
        <v>46223</v>
      </c>
      <c r="R61">
        <v>46250</v>
      </c>
      <c r="S61">
        <v>2</v>
      </c>
      <c r="T61">
        <v>75</v>
      </c>
      <c r="U61">
        <v>9.8684210526315788</v>
      </c>
      <c r="V61">
        <v>9</v>
      </c>
      <c r="W61">
        <v>20</v>
      </c>
      <c r="X61">
        <v>9</v>
      </c>
      <c r="Y61" t="s">
        <v>83</v>
      </c>
      <c r="Z61" t="s">
        <v>78</v>
      </c>
    </row>
    <row r="62" spans="1:26" x14ac:dyDescent="0.25">
      <c r="A62" t="s">
        <v>208</v>
      </c>
      <c r="B62" t="s">
        <v>22</v>
      </c>
      <c r="C62">
        <v>61</v>
      </c>
      <c r="E62" t="s">
        <v>76</v>
      </c>
      <c r="F62" t="s">
        <v>209</v>
      </c>
      <c r="G62" t="s">
        <v>78</v>
      </c>
      <c r="H62" t="s">
        <v>79</v>
      </c>
      <c r="I62" t="s">
        <v>22</v>
      </c>
      <c r="J62" t="b">
        <v>1</v>
      </c>
      <c r="K62" t="b">
        <v>1</v>
      </c>
      <c r="L62" t="s">
        <v>95</v>
      </c>
      <c r="M62" t="s">
        <v>81</v>
      </c>
      <c r="O62" t="s">
        <v>82</v>
      </c>
      <c r="P62">
        <v>60</v>
      </c>
      <c r="Q62">
        <v>46223</v>
      </c>
      <c r="R62">
        <v>46250</v>
      </c>
      <c r="S62">
        <v>2</v>
      </c>
      <c r="T62">
        <v>120</v>
      </c>
      <c r="U62">
        <v>15.789473684210527</v>
      </c>
      <c r="V62">
        <v>15</v>
      </c>
      <c r="W62">
        <v>20</v>
      </c>
      <c r="X62">
        <v>15</v>
      </c>
      <c r="Y62" t="s">
        <v>83</v>
      </c>
      <c r="Z62" t="s">
        <v>78</v>
      </c>
    </row>
    <row r="63" spans="1:26" x14ac:dyDescent="0.25">
      <c r="A63" t="s">
        <v>210</v>
      </c>
      <c r="B63" t="s">
        <v>31</v>
      </c>
      <c r="C63">
        <v>62</v>
      </c>
      <c r="E63" t="s">
        <v>76</v>
      </c>
      <c r="F63" t="s">
        <v>211</v>
      </c>
      <c r="G63" t="s">
        <v>78</v>
      </c>
      <c r="H63" t="s">
        <v>79</v>
      </c>
      <c r="I63" t="s">
        <v>31</v>
      </c>
      <c r="J63" t="b">
        <v>1</v>
      </c>
      <c r="K63" t="b">
        <v>1</v>
      </c>
      <c r="L63" t="s">
        <v>95</v>
      </c>
      <c r="M63" t="s">
        <v>81</v>
      </c>
      <c r="O63" t="s">
        <v>82</v>
      </c>
      <c r="P63">
        <v>70</v>
      </c>
      <c r="Q63">
        <v>46223</v>
      </c>
      <c r="R63">
        <v>46250</v>
      </c>
      <c r="S63">
        <v>2</v>
      </c>
      <c r="T63">
        <v>140</v>
      </c>
      <c r="U63">
        <v>18.421052631578949</v>
      </c>
      <c r="V63">
        <v>18</v>
      </c>
      <c r="W63">
        <v>20</v>
      </c>
      <c r="X63">
        <v>18</v>
      </c>
      <c r="Y63" t="s">
        <v>83</v>
      </c>
      <c r="Z63" t="s">
        <v>78</v>
      </c>
    </row>
    <row r="64" spans="1:26" x14ac:dyDescent="0.25">
      <c r="A64" t="s">
        <v>212</v>
      </c>
      <c r="B64" t="s">
        <v>22</v>
      </c>
      <c r="C64">
        <v>63</v>
      </c>
      <c r="E64" t="s">
        <v>76</v>
      </c>
      <c r="F64" t="s">
        <v>213</v>
      </c>
      <c r="G64" t="s">
        <v>78</v>
      </c>
      <c r="H64" t="s">
        <v>79</v>
      </c>
      <c r="I64" t="s">
        <v>22</v>
      </c>
      <c r="J64" t="b">
        <v>1</v>
      </c>
      <c r="K64" t="b">
        <v>1</v>
      </c>
      <c r="L64" t="s">
        <v>95</v>
      </c>
      <c r="M64" t="s">
        <v>81</v>
      </c>
      <c r="O64" t="s">
        <v>82</v>
      </c>
      <c r="P64">
        <v>67.5</v>
      </c>
      <c r="Q64">
        <v>46223</v>
      </c>
      <c r="R64">
        <v>46250</v>
      </c>
      <c r="S64">
        <v>2</v>
      </c>
      <c r="T64">
        <v>135</v>
      </c>
      <c r="U64">
        <v>17.763157894736842</v>
      </c>
      <c r="V64">
        <v>17</v>
      </c>
      <c r="W64">
        <v>20</v>
      </c>
      <c r="X64">
        <v>17</v>
      </c>
      <c r="Y64" t="s">
        <v>83</v>
      </c>
      <c r="Z64" t="s">
        <v>78</v>
      </c>
    </row>
    <row r="65" spans="1:26" x14ac:dyDescent="0.25">
      <c r="A65" t="s">
        <v>214</v>
      </c>
      <c r="B65" t="s">
        <v>31</v>
      </c>
      <c r="C65">
        <v>64</v>
      </c>
      <c r="E65" t="s">
        <v>76</v>
      </c>
      <c r="F65" t="s">
        <v>215</v>
      </c>
      <c r="G65" t="s">
        <v>78</v>
      </c>
      <c r="H65" t="s">
        <v>79</v>
      </c>
      <c r="I65" t="s">
        <v>31</v>
      </c>
      <c r="J65" t="b">
        <v>1</v>
      </c>
      <c r="K65" t="b">
        <v>1</v>
      </c>
      <c r="L65" t="s">
        <v>95</v>
      </c>
      <c r="M65" t="s">
        <v>81</v>
      </c>
      <c r="O65" t="s">
        <v>82</v>
      </c>
      <c r="P65">
        <v>70</v>
      </c>
      <c r="Q65">
        <v>46223</v>
      </c>
      <c r="R65">
        <v>46250</v>
      </c>
      <c r="S65">
        <v>2</v>
      </c>
      <c r="T65">
        <v>140</v>
      </c>
      <c r="U65">
        <v>18.421052631578949</v>
      </c>
      <c r="V65">
        <v>18</v>
      </c>
      <c r="W65">
        <v>20</v>
      </c>
      <c r="X65">
        <v>18</v>
      </c>
      <c r="Y65" t="s">
        <v>83</v>
      </c>
      <c r="Z65" t="s">
        <v>78</v>
      </c>
    </row>
    <row r="66" spans="1:26" x14ac:dyDescent="0.25">
      <c r="A66" t="s">
        <v>216</v>
      </c>
      <c r="B66" t="s">
        <v>22</v>
      </c>
      <c r="C66">
        <v>65</v>
      </c>
      <c r="E66" t="s">
        <v>76</v>
      </c>
      <c r="F66" t="s">
        <v>217</v>
      </c>
      <c r="G66" t="s">
        <v>78</v>
      </c>
      <c r="H66" t="s">
        <v>79</v>
      </c>
      <c r="I66" t="s">
        <v>22</v>
      </c>
      <c r="J66" t="b">
        <v>1</v>
      </c>
      <c r="K66" t="b">
        <v>1</v>
      </c>
      <c r="L66" t="s">
        <v>95</v>
      </c>
      <c r="M66" t="s">
        <v>81</v>
      </c>
      <c r="O66" t="s">
        <v>82</v>
      </c>
      <c r="P66">
        <v>30</v>
      </c>
      <c r="Q66">
        <v>46223</v>
      </c>
      <c r="R66">
        <v>46250</v>
      </c>
      <c r="S66">
        <v>2</v>
      </c>
      <c r="T66">
        <v>60</v>
      </c>
      <c r="U66">
        <v>7.8947368421052637</v>
      </c>
      <c r="V66">
        <v>7</v>
      </c>
      <c r="W66">
        <v>20</v>
      </c>
      <c r="X66">
        <v>7</v>
      </c>
      <c r="Y66" t="s">
        <v>83</v>
      </c>
      <c r="Z66" t="s">
        <v>78</v>
      </c>
    </row>
    <row r="67" spans="1:26" x14ac:dyDescent="0.25">
      <c r="A67" t="s">
        <v>218</v>
      </c>
      <c r="B67" t="s">
        <v>22</v>
      </c>
      <c r="C67">
        <v>66</v>
      </c>
      <c r="E67" t="s">
        <v>76</v>
      </c>
      <c r="F67" t="s">
        <v>219</v>
      </c>
      <c r="G67" t="s">
        <v>78</v>
      </c>
      <c r="H67" t="s">
        <v>79</v>
      </c>
      <c r="I67" t="s">
        <v>22</v>
      </c>
      <c r="J67" t="b">
        <v>1</v>
      </c>
      <c r="K67" t="b">
        <v>1</v>
      </c>
      <c r="L67" t="s">
        <v>95</v>
      </c>
      <c r="M67" t="s">
        <v>81</v>
      </c>
      <c r="O67" t="s">
        <v>82</v>
      </c>
      <c r="P67">
        <v>67.5</v>
      </c>
      <c r="Q67">
        <v>46223</v>
      </c>
      <c r="R67">
        <v>46250</v>
      </c>
      <c r="S67">
        <v>2</v>
      </c>
      <c r="T67">
        <v>135</v>
      </c>
      <c r="U67">
        <v>17.763157894736842</v>
      </c>
      <c r="V67">
        <v>17</v>
      </c>
      <c r="W67">
        <v>20</v>
      </c>
      <c r="X67">
        <v>17</v>
      </c>
      <c r="Y67" t="s">
        <v>83</v>
      </c>
      <c r="Z67" t="s">
        <v>78</v>
      </c>
    </row>
    <row r="68" spans="1:26" x14ac:dyDescent="0.25">
      <c r="A68" t="s">
        <v>220</v>
      </c>
      <c r="B68" t="s">
        <v>22</v>
      </c>
      <c r="C68">
        <v>67</v>
      </c>
      <c r="E68" t="s">
        <v>76</v>
      </c>
      <c r="F68" t="s">
        <v>221</v>
      </c>
      <c r="G68" t="s">
        <v>78</v>
      </c>
      <c r="H68" t="s">
        <v>79</v>
      </c>
      <c r="I68" t="s">
        <v>22</v>
      </c>
      <c r="J68" t="b">
        <v>1</v>
      </c>
      <c r="K68" t="b">
        <v>1</v>
      </c>
      <c r="L68" t="s">
        <v>95</v>
      </c>
      <c r="M68" t="s">
        <v>81</v>
      </c>
      <c r="O68" t="s">
        <v>82</v>
      </c>
      <c r="P68">
        <v>45</v>
      </c>
      <c r="Q68">
        <v>46223</v>
      </c>
      <c r="R68">
        <v>46250</v>
      </c>
      <c r="S68">
        <v>2</v>
      </c>
      <c r="T68">
        <v>90</v>
      </c>
      <c r="U68">
        <v>11.842105263157896</v>
      </c>
      <c r="V68">
        <v>11</v>
      </c>
      <c r="W68">
        <v>20</v>
      </c>
      <c r="X68">
        <v>11</v>
      </c>
      <c r="Y68" t="s">
        <v>83</v>
      </c>
      <c r="Z68" t="s">
        <v>78</v>
      </c>
    </row>
    <row r="69" spans="1:26" x14ac:dyDescent="0.25">
      <c r="A69" t="s">
        <v>222</v>
      </c>
      <c r="B69" t="s">
        <v>22</v>
      </c>
      <c r="C69">
        <v>68</v>
      </c>
      <c r="D69" t="s">
        <v>40</v>
      </c>
      <c r="E69" t="s">
        <v>76</v>
      </c>
      <c r="F69" t="s">
        <v>223</v>
      </c>
      <c r="G69" t="s">
        <v>78</v>
      </c>
      <c r="H69" t="s">
        <v>79</v>
      </c>
      <c r="I69" t="s">
        <v>22</v>
      </c>
      <c r="J69" t="b">
        <v>0</v>
      </c>
      <c r="K69" t="b">
        <v>1</v>
      </c>
      <c r="L69" t="s">
        <v>80</v>
      </c>
      <c r="M69" t="s">
        <v>81</v>
      </c>
      <c r="O69" t="s">
        <v>82</v>
      </c>
      <c r="P69">
        <v>22</v>
      </c>
      <c r="Q69">
        <v>46223</v>
      </c>
      <c r="R69">
        <v>46250</v>
      </c>
      <c r="S69">
        <v>2</v>
      </c>
      <c r="T69">
        <v>44</v>
      </c>
      <c r="U69">
        <v>5.7894736842105265</v>
      </c>
      <c r="V69">
        <v>5</v>
      </c>
      <c r="W69">
        <v>20</v>
      </c>
      <c r="X69">
        <v>5</v>
      </c>
      <c r="Y69" t="s">
        <v>83</v>
      </c>
      <c r="Z69" t="s">
        <v>78</v>
      </c>
    </row>
    <row r="70" spans="1:26" x14ac:dyDescent="0.25">
      <c r="A70" t="s">
        <v>224</v>
      </c>
      <c r="B70" t="s">
        <v>22</v>
      </c>
      <c r="C70">
        <v>69</v>
      </c>
      <c r="D70" t="s">
        <v>40</v>
      </c>
      <c r="E70" t="s">
        <v>76</v>
      </c>
      <c r="F70" t="s">
        <v>225</v>
      </c>
      <c r="G70" t="s">
        <v>78</v>
      </c>
      <c r="H70" t="s">
        <v>88</v>
      </c>
      <c r="I70" t="s">
        <v>22</v>
      </c>
      <c r="J70" t="b">
        <v>0</v>
      </c>
      <c r="K70" t="b">
        <v>1</v>
      </c>
      <c r="L70" t="s">
        <v>80</v>
      </c>
      <c r="M70" t="s">
        <v>81</v>
      </c>
      <c r="O70" t="s">
        <v>89</v>
      </c>
      <c r="P70">
        <v>76</v>
      </c>
      <c r="Q70">
        <v>46223</v>
      </c>
      <c r="R70">
        <v>46250</v>
      </c>
      <c r="S70">
        <v>2</v>
      </c>
      <c r="T70">
        <v>152</v>
      </c>
      <c r="U70">
        <v>20</v>
      </c>
      <c r="V70">
        <v>20</v>
      </c>
      <c r="W70">
        <v>20</v>
      </c>
      <c r="X70">
        <v>20</v>
      </c>
      <c r="Y70" t="s">
        <v>89</v>
      </c>
      <c r="Z70" t="s">
        <v>78</v>
      </c>
    </row>
    <row r="71" spans="1:26" x14ac:dyDescent="0.25">
      <c r="A71" t="s">
        <v>226</v>
      </c>
      <c r="B71" t="s">
        <v>22</v>
      </c>
      <c r="C71">
        <v>70</v>
      </c>
      <c r="E71" t="s">
        <v>76</v>
      </c>
      <c r="F71" t="s">
        <v>227</v>
      </c>
      <c r="G71" t="s">
        <v>78</v>
      </c>
      <c r="H71" t="s">
        <v>79</v>
      </c>
      <c r="I71" t="s">
        <v>22</v>
      </c>
      <c r="J71" t="b">
        <v>1</v>
      </c>
      <c r="K71" t="b">
        <v>1</v>
      </c>
      <c r="L71" t="s">
        <v>95</v>
      </c>
      <c r="M71" t="s">
        <v>81</v>
      </c>
      <c r="O71" t="s">
        <v>82</v>
      </c>
      <c r="P71">
        <v>67.5</v>
      </c>
      <c r="Q71">
        <v>46223</v>
      </c>
      <c r="R71">
        <v>46250</v>
      </c>
      <c r="S71">
        <v>2</v>
      </c>
      <c r="T71">
        <v>135</v>
      </c>
      <c r="U71">
        <v>17.763157894736842</v>
      </c>
      <c r="V71">
        <v>17</v>
      </c>
      <c r="W71">
        <v>20</v>
      </c>
      <c r="X71">
        <v>17</v>
      </c>
      <c r="Y71" t="s">
        <v>83</v>
      </c>
      <c r="Z71" t="s">
        <v>78</v>
      </c>
    </row>
    <row r="72" spans="1:26" x14ac:dyDescent="0.25">
      <c r="A72" t="s">
        <v>228</v>
      </c>
      <c r="B72" t="s">
        <v>22</v>
      </c>
      <c r="C72">
        <v>71</v>
      </c>
      <c r="E72" t="s">
        <v>76</v>
      </c>
      <c r="F72" t="s">
        <v>229</v>
      </c>
      <c r="G72" t="s">
        <v>78</v>
      </c>
      <c r="H72" t="s">
        <v>79</v>
      </c>
      <c r="I72" t="s">
        <v>22</v>
      </c>
      <c r="J72" t="b">
        <v>1</v>
      </c>
      <c r="K72" t="b">
        <v>1</v>
      </c>
      <c r="L72" t="s">
        <v>95</v>
      </c>
      <c r="M72" t="s">
        <v>81</v>
      </c>
      <c r="O72" t="s">
        <v>82</v>
      </c>
      <c r="P72">
        <v>67.5</v>
      </c>
      <c r="Q72">
        <v>46223</v>
      </c>
      <c r="R72">
        <v>46250</v>
      </c>
      <c r="S72">
        <v>2</v>
      </c>
      <c r="T72">
        <v>135</v>
      </c>
      <c r="U72">
        <v>17.763157894736842</v>
      </c>
      <c r="V72">
        <v>17</v>
      </c>
      <c r="W72">
        <v>20</v>
      </c>
      <c r="X72">
        <v>17</v>
      </c>
      <c r="Y72" t="s">
        <v>83</v>
      </c>
      <c r="Z72" t="s">
        <v>78</v>
      </c>
    </row>
    <row r="73" spans="1:26" x14ac:dyDescent="0.25">
      <c r="A73" t="s">
        <v>230</v>
      </c>
      <c r="B73" t="s">
        <v>22</v>
      </c>
      <c r="C73">
        <v>72</v>
      </c>
      <c r="E73" t="s">
        <v>76</v>
      </c>
      <c r="F73" t="s">
        <v>231</v>
      </c>
      <c r="G73" t="s">
        <v>78</v>
      </c>
      <c r="H73" t="s">
        <v>79</v>
      </c>
      <c r="I73" t="s">
        <v>22</v>
      </c>
      <c r="J73" t="b">
        <v>1</v>
      </c>
      <c r="K73" t="b">
        <v>1</v>
      </c>
      <c r="L73" t="s">
        <v>95</v>
      </c>
      <c r="M73" t="s">
        <v>81</v>
      </c>
      <c r="O73" t="s">
        <v>82</v>
      </c>
      <c r="P73">
        <v>52.5</v>
      </c>
      <c r="Q73">
        <v>46223</v>
      </c>
      <c r="R73">
        <v>46250</v>
      </c>
      <c r="S73">
        <v>2</v>
      </c>
      <c r="T73">
        <v>105</v>
      </c>
      <c r="U73">
        <v>13.815789473684212</v>
      </c>
      <c r="V73">
        <v>13</v>
      </c>
      <c r="W73">
        <v>20</v>
      </c>
      <c r="X73">
        <v>13</v>
      </c>
      <c r="Y73" t="s">
        <v>83</v>
      </c>
      <c r="Z73" t="s">
        <v>78</v>
      </c>
    </row>
    <row r="74" spans="1:26" x14ac:dyDescent="0.25">
      <c r="A74" t="s">
        <v>232</v>
      </c>
      <c r="B74" t="s">
        <v>31</v>
      </c>
      <c r="C74">
        <v>73</v>
      </c>
      <c r="E74" t="s">
        <v>76</v>
      </c>
      <c r="F74" t="s">
        <v>233</v>
      </c>
      <c r="G74" t="s">
        <v>78</v>
      </c>
      <c r="H74" t="s">
        <v>88</v>
      </c>
      <c r="I74" t="s">
        <v>31</v>
      </c>
      <c r="J74" t="b">
        <v>1</v>
      </c>
      <c r="K74" t="b">
        <v>0</v>
      </c>
      <c r="L74" t="s">
        <v>92</v>
      </c>
      <c r="M74" t="s">
        <v>81</v>
      </c>
      <c r="O74" t="s">
        <v>89</v>
      </c>
      <c r="P74">
        <v>76</v>
      </c>
      <c r="Q74">
        <v>46223</v>
      </c>
      <c r="R74">
        <v>46250</v>
      </c>
      <c r="S74">
        <v>2</v>
      </c>
      <c r="T74">
        <v>152</v>
      </c>
      <c r="U74">
        <v>20</v>
      </c>
      <c r="V74">
        <v>20</v>
      </c>
      <c r="W74">
        <v>20</v>
      </c>
      <c r="X74">
        <v>20</v>
      </c>
      <c r="Y74" t="s">
        <v>89</v>
      </c>
      <c r="Z74" t="s">
        <v>78</v>
      </c>
    </row>
    <row r="75" spans="1:26" x14ac:dyDescent="0.25">
      <c r="A75" t="s">
        <v>234</v>
      </c>
      <c r="B75" t="s">
        <v>29</v>
      </c>
      <c r="C75">
        <v>74</v>
      </c>
      <c r="E75" t="s">
        <v>76</v>
      </c>
      <c r="F75" t="s">
        <v>235</v>
      </c>
      <c r="G75" t="s">
        <v>78</v>
      </c>
      <c r="H75" t="s">
        <v>79</v>
      </c>
      <c r="I75" t="s">
        <v>29</v>
      </c>
      <c r="J75" t="b">
        <v>1</v>
      </c>
      <c r="K75" t="b">
        <v>1</v>
      </c>
      <c r="L75" t="s">
        <v>95</v>
      </c>
      <c r="M75" t="s">
        <v>81</v>
      </c>
      <c r="O75" t="s">
        <v>82</v>
      </c>
      <c r="P75">
        <v>48</v>
      </c>
      <c r="Q75">
        <v>46223</v>
      </c>
      <c r="R75">
        <v>46250</v>
      </c>
      <c r="S75">
        <v>2</v>
      </c>
      <c r="T75">
        <v>96</v>
      </c>
      <c r="U75">
        <v>12.631578947368419</v>
      </c>
      <c r="V75">
        <v>12</v>
      </c>
      <c r="W75">
        <v>20</v>
      </c>
      <c r="X75">
        <v>12</v>
      </c>
      <c r="Y75" t="s">
        <v>83</v>
      </c>
      <c r="Z75" t="s">
        <v>78</v>
      </c>
    </row>
    <row r="76" spans="1:26" x14ac:dyDescent="0.25">
      <c r="A76" t="s">
        <v>236</v>
      </c>
      <c r="B76" t="s">
        <v>29</v>
      </c>
      <c r="C76">
        <v>75</v>
      </c>
      <c r="E76" t="s">
        <v>76</v>
      </c>
      <c r="F76" t="s">
        <v>237</v>
      </c>
      <c r="G76" t="s">
        <v>78</v>
      </c>
      <c r="H76" t="s">
        <v>79</v>
      </c>
      <c r="I76" t="s">
        <v>29</v>
      </c>
      <c r="J76" t="b">
        <v>1</v>
      </c>
      <c r="K76" t="b">
        <v>1</v>
      </c>
      <c r="L76" t="s">
        <v>95</v>
      </c>
      <c r="M76" t="s">
        <v>81</v>
      </c>
      <c r="O76" t="s">
        <v>82</v>
      </c>
      <c r="P76">
        <v>48</v>
      </c>
      <c r="Q76">
        <v>46223</v>
      </c>
      <c r="R76">
        <v>46250</v>
      </c>
      <c r="S76">
        <v>2</v>
      </c>
      <c r="T76">
        <v>96</v>
      </c>
      <c r="U76">
        <v>12.631578947368419</v>
      </c>
      <c r="V76">
        <v>12</v>
      </c>
      <c r="W76">
        <v>20</v>
      </c>
      <c r="X76">
        <v>12</v>
      </c>
      <c r="Y76" t="s">
        <v>83</v>
      </c>
      <c r="Z76" t="s">
        <v>78</v>
      </c>
    </row>
    <row r="77" spans="1:26" x14ac:dyDescent="0.25">
      <c r="A77" t="s">
        <v>238</v>
      </c>
      <c r="B77" t="s">
        <v>22</v>
      </c>
      <c r="C77">
        <v>76</v>
      </c>
      <c r="D77" t="s">
        <v>40</v>
      </c>
      <c r="E77" t="s">
        <v>76</v>
      </c>
      <c r="F77" t="s">
        <v>239</v>
      </c>
      <c r="G77" t="s">
        <v>78</v>
      </c>
      <c r="H77" t="s">
        <v>88</v>
      </c>
      <c r="I77" t="s">
        <v>22</v>
      </c>
      <c r="J77" t="b">
        <v>0</v>
      </c>
      <c r="K77" t="b">
        <v>1</v>
      </c>
      <c r="L77" t="s">
        <v>80</v>
      </c>
      <c r="M77" t="s">
        <v>81</v>
      </c>
      <c r="O77" t="s">
        <v>89</v>
      </c>
      <c r="P77">
        <v>76</v>
      </c>
      <c r="Q77">
        <v>46223</v>
      </c>
      <c r="R77">
        <v>46250</v>
      </c>
      <c r="S77">
        <v>2</v>
      </c>
      <c r="T77">
        <v>152</v>
      </c>
      <c r="U77">
        <v>20</v>
      </c>
      <c r="V77">
        <v>20</v>
      </c>
      <c r="W77">
        <v>20</v>
      </c>
      <c r="X77">
        <v>20</v>
      </c>
      <c r="Y77" t="s">
        <v>89</v>
      </c>
      <c r="Z77" t="s">
        <v>78</v>
      </c>
    </row>
    <row r="78" spans="1:26" x14ac:dyDescent="0.25">
      <c r="A78" t="s">
        <v>240</v>
      </c>
      <c r="B78" t="s">
        <v>22</v>
      </c>
      <c r="C78">
        <v>77</v>
      </c>
      <c r="E78" t="s">
        <v>76</v>
      </c>
      <c r="F78" t="s">
        <v>241</v>
      </c>
      <c r="G78" t="s">
        <v>78</v>
      </c>
      <c r="H78" t="s">
        <v>79</v>
      </c>
      <c r="I78" t="s">
        <v>22</v>
      </c>
      <c r="J78" t="b">
        <v>1</v>
      </c>
      <c r="K78" t="b">
        <v>1</v>
      </c>
      <c r="L78" t="s">
        <v>95</v>
      </c>
      <c r="M78" t="s">
        <v>81</v>
      </c>
      <c r="O78" t="s">
        <v>82</v>
      </c>
      <c r="P78">
        <v>60</v>
      </c>
      <c r="Q78">
        <v>46223</v>
      </c>
      <c r="R78">
        <v>46250</v>
      </c>
      <c r="S78">
        <v>2</v>
      </c>
      <c r="T78">
        <v>120</v>
      </c>
      <c r="U78">
        <v>15.789473684210527</v>
      </c>
      <c r="V78">
        <v>15</v>
      </c>
      <c r="W78">
        <v>20</v>
      </c>
      <c r="X78">
        <v>15</v>
      </c>
      <c r="Y78" t="s">
        <v>83</v>
      </c>
      <c r="Z78" t="s">
        <v>78</v>
      </c>
    </row>
    <row r="79" spans="1:26" x14ac:dyDescent="0.25">
      <c r="A79" t="s">
        <v>242</v>
      </c>
      <c r="B79" t="s">
        <v>29</v>
      </c>
      <c r="C79">
        <v>78</v>
      </c>
      <c r="E79" t="s">
        <v>76</v>
      </c>
      <c r="F79" t="s">
        <v>243</v>
      </c>
      <c r="G79" t="s">
        <v>78</v>
      </c>
      <c r="H79" t="s">
        <v>110</v>
      </c>
      <c r="I79" t="s">
        <v>29</v>
      </c>
      <c r="J79" t="b">
        <v>1</v>
      </c>
      <c r="K79" t="b">
        <v>1</v>
      </c>
      <c r="L79" t="s">
        <v>95</v>
      </c>
      <c r="M79" t="s">
        <v>81</v>
      </c>
      <c r="O79" t="s">
        <v>82</v>
      </c>
      <c r="P79">
        <v>76</v>
      </c>
      <c r="Q79">
        <v>46223</v>
      </c>
      <c r="R79">
        <v>46250</v>
      </c>
      <c r="S79">
        <v>2</v>
      </c>
      <c r="T79">
        <v>152</v>
      </c>
      <c r="U79">
        <v>20</v>
      </c>
      <c r="V79">
        <v>20</v>
      </c>
      <c r="W79">
        <v>20</v>
      </c>
      <c r="X79">
        <v>20</v>
      </c>
      <c r="Y79" t="s">
        <v>111</v>
      </c>
      <c r="Z79" t="s">
        <v>78</v>
      </c>
    </row>
    <row r="80" spans="1:26" x14ac:dyDescent="0.25">
      <c r="A80" t="s">
        <v>244</v>
      </c>
      <c r="B80" t="s">
        <v>31</v>
      </c>
      <c r="C80">
        <v>79</v>
      </c>
      <c r="E80" t="s">
        <v>76</v>
      </c>
      <c r="F80" t="s">
        <v>245</v>
      </c>
      <c r="G80" t="s">
        <v>78</v>
      </c>
      <c r="H80" t="s">
        <v>79</v>
      </c>
      <c r="I80" t="s">
        <v>31</v>
      </c>
      <c r="J80" t="b">
        <v>1</v>
      </c>
      <c r="K80" t="b">
        <v>1</v>
      </c>
      <c r="L80" t="s">
        <v>95</v>
      </c>
      <c r="M80" t="s">
        <v>81</v>
      </c>
      <c r="O80" t="s">
        <v>82</v>
      </c>
      <c r="P80">
        <v>47.5</v>
      </c>
      <c r="Q80">
        <v>46223</v>
      </c>
      <c r="R80">
        <v>46250</v>
      </c>
      <c r="S80">
        <v>2</v>
      </c>
      <c r="T80">
        <v>95</v>
      </c>
      <c r="U80">
        <v>12.5</v>
      </c>
      <c r="V80">
        <v>12</v>
      </c>
      <c r="W80">
        <v>20</v>
      </c>
      <c r="X80">
        <v>12</v>
      </c>
      <c r="Y80" t="s">
        <v>83</v>
      </c>
      <c r="Z80" t="s">
        <v>78</v>
      </c>
    </row>
    <row r="81" spans="1:26" x14ac:dyDescent="0.25">
      <c r="A81" t="s">
        <v>246</v>
      </c>
      <c r="B81" t="s">
        <v>22</v>
      </c>
      <c r="C81">
        <v>80</v>
      </c>
      <c r="E81" t="s">
        <v>76</v>
      </c>
      <c r="F81" t="s">
        <v>247</v>
      </c>
      <c r="G81" t="s">
        <v>78</v>
      </c>
      <c r="H81" t="s">
        <v>79</v>
      </c>
      <c r="I81" t="s">
        <v>22</v>
      </c>
      <c r="J81" t="b">
        <v>1</v>
      </c>
      <c r="K81" t="b">
        <v>1</v>
      </c>
      <c r="L81" t="s">
        <v>95</v>
      </c>
      <c r="M81" t="s">
        <v>81</v>
      </c>
      <c r="O81" t="s">
        <v>82</v>
      </c>
      <c r="P81">
        <v>52.5</v>
      </c>
      <c r="Q81">
        <v>46223</v>
      </c>
      <c r="R81">
        <v>46250</v>
      </c>
      <c r="S81">
        <v>2</v>
      </c>
      <c r="T81">
        <v>105</v>
      </c>
      <c r="U81">
        <v>13.815789473684212</v>
      </c>
      <c r="V81">
        <v>13</v>
      </c>
      <c r="W81">
        <v>20</v>
      </c>
      <c r="X81">
        <v>13</v>
      </c>
      <c r="Y81" t="s">
        <v>83</v>
      </c>
      <c r="Z81" t="s">
        <v>78</v>
      </c>
    </row>
    <row r="82" spans="1:26" x14ac:dyDescent="0.25">
      <c r="A82" t="s">
        <v>248</v>
      </c>
      <c r="B82" t="s">
        <v>29</v>
      </c>
      <c r="C82">
        <v>81</v>
      </c>
      <c r="E82" t="s">
        <v>76</v>
      </c>
      <c r="F82" t="s">
        <v>249</v>
      </c>
      <c r="G82" t="s">
        <v>78</v>
      </c>
      <c r="H82" t="s">
        <v>79</v>
      </c>
      <c r="I82" t="s">
        <v>29</v>
      </c>
      <c r="J82" t="b">
        <v>1</v>
      </c>
      <c r="K82" t="b">
        <v>1</v>
      </c>
      <c r="L82" t="s">
        <v>95</v>
      </c>
      <c r="M82" t="s">
        <v>81</v>
      </c>
      <c r="O82" t="s">
        <v>82</v>
      </c>
      <c r="P82">
        <v>48</v>
      </c>
      <c r="Q82">
        <v>46223</v>
      </c>
      <c r="R82">
        <v>46250</v>
      </c>
      <c r="S82">
        <v>2</v>
      </c>
      <c r="T82">
        <v>96</v>
      </c>
      <c r="U82">
        <v>12.631578947368419</v>
      </c>
      <c r="V82">
        <v>12</v>
      </c>
      <c r="W82">
        <v>20</v>
      </c>
      <c r="X82">
        <v>12</v>
      </c>
      <c r="Y82" t="s">
        <v>83</v>
      </c>
      <c r="Z82" t="s">
        <v>78</v>
      </c>
    </row>
    <row r="83" spans="1:26" x14ac:dyDescent="0.25">
      <c r="A83" t="s">
        <v>250</v>
      </c>
      <c r="B83" t="s">
        <v>22</v>
      </c>
      <c r="C83">
        <v>82</v>
      </c>
      <c r="E83" t="s">
        <v>76</v>
      </c>
      <c r="F83" t="s">
        <v>251</v>
      </c>
      <c r="G83" t="s">
        <v>78</v>
      </c>
      <c r="H83" t="s">
        <v>79</v>
      </c>
      <c r="I83" t="s">
        <v>22</v>
      </c>
      <c r="J83" t="b">
        <v>1</v>
      </c>
      <c r="K83" t="b">
        <v>1</v>
      </c>
      <c r="L83" t="s">
        <v>95</v>
      </c>
      <c r="M83" t="s">
        <v>81</v>
      </c>
      <c r="O83" t="s">
        <v>82</v>
      </c>
      <c r="P83">
        <v>16</v>
      </c>
      <c r="Q83">
        <v>46223</v>
      </c>
      <c r="R83">
        <v>46250</v>
      </c>
      <c r="S83">
        <v>2</v>
      </c>
      <c r="T83">
        <v>32</v>
      </c>
      <c r="U83">
        <v>4.2105263157894735</v>
      </c>
      <c r="V83">
        <v>4</v>
      </c>
      <c r="W83">
        <v>20</v>
      </c>
      <c r="X83">
        <v>4</v>
      </c>
      <c r="Y83" t="s">
        <v>83</v>
      </c>
      <c r="Z83" t="s">
        <v>78</v>
      </c>
    </row>
    <row r="84" spans="1:26" x14ac:dyDescent="0.25">
      <c r="A84" t="s">
        <v>252</v>
      </c>
      <c r="B84" t="s">
        <v>22</v>
      </c>
      <c r="C84">
        <v>83</v>
      </c>
      <c r="E84" t="s">
        <v>76</v>
      </c>
      <c r="F84" t="s">
        <v>253</v>
      </c>
      <c r="G84" t="s">
        <v>78</v>
      </c>
      <c r="H84" t="s">
        <v>79</v>
      </c>
      <c r="I84" t="s">
        <v>22</v>
      </c>
      <c r="J84" t="b">
        <v>1</v>
      </c>
      <c r="K84" t="b">
        <v>1</v>
      </c>
      <c r="L84" t="s">
        <v>95</v>
      </c>
      <c r="M84" t="s">
        <v>81</v>
      </c>
      <c r="O84" t="s">
        <v>82</v>
      </c>
      <c r="P84">
        <v>75</v>
      </c>
      <c r="Q84">
        <v>46223</v>
      </c>
      <c r="R84">
        <v>46250</v>
      </c>
      <c r="S84">
        <v>2</v>
      </c>
      <c r="T84">
        <v>150</v>
      </c>
      <c r="U84">
        <v>19.736842105263161</v>
      </c>
      <c r="V84">
        <v>19</v>
      </c>
      <c r="W84">
        <v>20</v>
      </c>
      <c r="X84">
        <v>19</v>
      </c>
      <c r="Y84" t="s">
        <v>83</v>
      </c>
      <c r="Z84" t="s">
        <v>78</v>
      </c>
    </row>
    <row r="85" spans="1:26" x14ac:dyDescent="0.25">
      <c r="A85" t="s">
        <v>254</v>
      </c>
      <c r="B85" t="s">
        <v>22</v>
      </c>
      <c r="C85">
        <v>84</v>
      </c>
      <c r="E85" t="s">
        <v>76</v>
      </c>
      <c r="F85" t="s">
        <v>255</v>
      </c>
      <c r="G85" t="s">
        <v>78</v>
      </c>
      <c r="H85" t="s">
        <v>110</v>
      </c>
      <c r="I85" t="s">
        <v>22</v>
      </c>
      <c r="J85" t="b">
        <v>1</v>
      </c>
      <c r="K85" t="b">
        <v>1</v>
      </c>
      <c r="L85" t="s">
        <v>95</v>
      </c>
      <c r="M85" t="s">
        <v>81</v>
      </c>
      <c r="O85" t="s">
        <v>82</v>
      </c>
      <c r="P85">
        <v>76</v>
      </c>
      <c r="Q85">
        <v>46223</v>
      </c>
      <c r="R85">
        <v>46250</v>
      </c>
      <c r="S85">
        <v>2</v>
      </c>
      <c r="T85">
        <v>152</v>
      </c>
      <c r="U85">
        <v>20</v>
      </c>
      <c r="V85">
        <v>20</v>
      </c>
      <c r="W85">
        <v>20</v>
      </c>
      <c r="X85">
        <v>20</v>
      </c>
      <c r="Y85" t="s">
        <v>111</v>
      </c>
      <c r="Z85" t="s">
        <v>78</v>
      </c>
    </row>
    <row r="86" spans="1:26" x14ac:dyDescent="0.25">
      <c r="A86" t="s">
        <v>256</v>
      </c>
      <c r="B86" t="s">
        <v>22</v>
      </c>
      <c r="C86">
        <v>85</v>
      </c>
      <c r="D86" t="s">
        <v>40</v>
      </c>
      <c r="E86" t="s">
        <v>76</v>
      </c>
      <c r="F86" t="s">
        <v>257</v>
      </c>
      <c r="G86" t="s">
        <v>78</v>
      </c>
      <c r="H86" t="s">
        <v>79</v>
      </c>
      <c r="I86" t="s">
        <v>22</v>
      </c>
      <c r="J86" t="b">
        <v>0</v>
      </c>
      <c r="K86" t="b">
        <v>1</v>
      </c>
      <c r="L86" t="s">
        <v>80</v>
      </c>
      <c r="M86" t="s">
        <v>81</v>
      </c>
      <c r="O86" t="s">
        <v>82</v>
      </c>
      <c r="P86">
        <v>30</v>
      </c>
      <c r="Q86">
        <v>46223</v>
      </c>
      <c r="R86">
        <v>46250</v>
      </c>
      <c r="S86">
        <v>2</v>
      </c>
      <c r="T86">
        <v>60</v>
      </c>
      <c r="U86">
        <v>7.8947368421052637</v>
      </c>
      <c r="V86">
        <v>7</v>
      </c>
      <c r="W86">
        <v>20</v>
      </c>
      <c r="X86">
        <v>7</v>
      </c>
      <c r="Y86" t="s">
        <v>83</v>
      </c>
      <c r="Z86" t="s">
        <v>78</v>
      </c>
    </row>
    <row r="87" spans="1:26" x14ac:dyDescent="0.25">
      <c r="A87" t="s">
        <v>258</v>
      </c>
      <c r="B87" t="s">
        <v>22</v>
      </c>
      <c r="C87">
        <v>86</v>
      </c>
      <c r="D87" t="s">
        <v>40</v>
      </c>
      <c r="E87" t="s">
        <v>76</v>
      </c>
      <c r="F87" t="s">
        <v>259</v>
      </c>
      <c r="G87" t="s">
        <v>78</v>
      </c>
      <c r="H87" t="s">
        <v>79</v>
      </c>
      <c r="I87" t="s">
        <v>22</v>
      </c>
      <c r="J87" t="b">
        <v>0</v>
      </c>
      <c r="K87" t="b">
        <v>1</v>
      </c>
      <c r="L87" t="s">
        <v>80</v>
      </c>
      <c r="M87" t="s">
        <v>81</v>
      </c>
      <c r="O87" t="s">
        <v>82</v>
      </c>
      <c r="P87">
        <v>32</v>
      </c>
      <c r="Q87">
        <v>46223</v>
      </c>
      <c r="R87">
        <v>46250</v>
      </c>
      <c r="S87">
        <v>2</v>
      </c>
      <c r="T87">
        <v>64</v>
      </c>
      <c r="U87">
        <v>8.4210526315789469</v>
      </c>
      <c r="V87">
        <v>8</v>
      </c>
      <c r="W87">
        <v>20</v>
      </c>
      <c r="X87">
        <v>8</v>
      </c>
      <c r="Y87" t="s">
        <v>83</v>
      </c>
      <c r="Z87" t="s">
        <v>78</v>
      </c>
    </row>
    <row r="88" spans="1:26" x14ac:dyDescent="0.25">
      <c r="A88" t="s">
        <v>260</v>
      </c>
      <c r="B88" t="s">
        <v>31</v>
      </c>
      <c r="C88">
        <v>87</v>
      </c>
      <c r="E88" t="s">
        <v>76</v>
      </c>
      <c r="F88" t="s">
        <v>261</v>
      </c>
      <c r="G88" t="s">
        <v>78</v>
      </c>
      <c r="H88" t="s">
        <v>79</v>
      </c>
      <c r="I88" t="s">
        <v>31</v>
      </c>
      <c r="J88" t="b">
        <v>1</v>
      </c>
      <c r="K88" t="b">
        <v>1</v>
      </c>
      <c r="L88" t="s">
        <v>95</v>
      </c>
      <c r="M88" t="s">
        <v>81</v>
      </c>
      <c r="O88" t="s">
        <v>82</v>
      </c>
      <c r="P88">
        <v>46.5</v>
      </c>
      <c r="Q88">
        <v>46223</v>
      </c>
      <c r="R88">
        <v>46250</v>
      </c>
      <c r="S88">
        <v>2</v>
      </c>
      <c r="T88">
        <v>93</v>
      </c>
      <c r="U88">
        <v>12.236842105263159</v>
      </c>
      <c r="V88">
        <v>12</v>
      </c>
      <c r="W88">
        <v>20</v>
      </c>
      <c r="X88">
        <v>12</v>
      </c>
      <c r="Y88" t="s">
        <v>83</v>
      </c>
      <c r="Z88" t="s">
        <v>78</v>
      </c>
    </row>
    <row r="89" spans="1:26" x14ac:dyDescent="0.25">
      <c r="A89" t="s">
        <v>262</v>
      </c>
      <c r="B89" t="s">
        <v>31</v>
      </c>
      <c r="C89">
        <v>88</v>
      </c>
      <c r="E89" t="s">
        <v>76</v>
      </c>
      <c r="F89" t="s">
        <v>263</v>
      </c>
      <c r="G89" t="s">
        <v>78</v>
      </c>
      <c r="H89" t="s">
        <v>79</v>
      </c>
      <c r="I89" t="s">
        <v>31</v>
      </c>
      <c r="J89" t="b">
        <v>1</v>
      </c>
      <c r="K89" t="b">
        <v>1</v>
      </c>
      <c r="L89" t="s">
        <v>95</v>
      </c>
      <c r="M89" t="s">
        <v>81</v>
      </c>
      <c r="O89" t="s">
        <v>82</v>
      </c>
      <c r="P89">
        <v>31.5</v>
      </c>
      <c r="Q89">
        <v>46223</v>
      </c>
      <c r="R89">
        <v>46250</v>
      </c>
      <c r="S89">
        <v>2</v>
      </c>
      <c r="T89">
        <v>63</v>
      </c>
      <c r="U89">
        <v>8.2894736842105274</v>
      </c>
      <c r="V89">
        <v>8</v>
      </c>
      <c r="W89">
        <v>20</v>
      </c>
      <c r="X89">
        <v>8</v>
      </c>
      <c r="Y89" t="s">
        <v>83</v>
      </c>
      <c r="Z89" t="s">
        <v>78</v>
      </c>
    </row>
    <row r="90" spans="1:26" x14ac:dyDescent="0.25">
      <c r="A90" t="s">
        <v>264</v>
      </c>
      <c r="B90" t="s">
        <v>22</v>
      </c>
      <c r="C90">
        <v>89</v>
      </c>
      <c r="D90" t="s">
        <v>40</v>
      </c>
      <c r="E90" t="s">
        <v>76</v>
      </c>
      <c r="F90" t="s">
        <v>265</v>
      </c>
      <c r="G90" t="s">
        <v>78</v>
      </c>
      <c r="H90" t="s">
        <v>88</v>
      </c>
      <c r="I90" t="s">
        <v>22</v>
      </c>
      <c r="J90" t="b">
        <v>0</v>
      </c>
      <c r="K90" t="b">
        <v>1</v>
      </c>
      <c r="L90" t="s">
        <v>80</v>
      </c>
      <c r="M90" t="s">
        <v>81</v>
      </c>
      <c r="O90" t="s">
        <v>89</v>
      </c>
      <c r="P90">
        <v>76</v>
      </c>
      <c r="Q90">
        <v>46223</v>
      </c>
      <c r="R90">
        <v>46250</v>
      </c>
      <c r="S90">
        <v>2</v>
      </c>
      <c r="T90">
        <v>152</v>
      </c>
      <c r="U90">
        <v>20</v>
      </c>
      <c r="V90">
        <v>20</v>
      </c>
      <c r="W90">
        <v>20</v>
      </c>
      <c r="X90">
        <v>20</v>
      </c>
      <c r="Y90" t="s">
        <v>89</v>
      </c>
      <c r="Z90" t="s">
        <v>78</v>
      </c>
    </row>
    <row r="91" spans="1:26" x14ac:dyDescent="0.25">
      <c r="A91" t="s">
        <v>266</v>
      </c>
      <c r="B91" t="s">
        <v>22</v>
      </c>
      <c r="C91">
        <v>90</v>
      </c>
      <c r="D91" t="s">
        <v>40</v>
      </c>
      <c r="E91" t="s">
        <v>76</v>
      </c>
      <c r="F91" t="s">
        <v>267</v>
      </c>
      <c r="G91" t="s">
        <v>78</v>
      </c>
      <c r="H91" t="s">
        <v>88</v>
      </c>
      <c r="I91" t="s">
        <v>22</v>
      </c>
      <c r="J91" t="b">
        <v>0</v>
      </c>
      <c r="K91" t="b">
        <v>1</v>
      </c>
      <c r="L91" t="s">
        <v>80</v>
      </c>
      <c r="M91" t="s">
        <v>81</v>
      </c>
      <c r="O91" t="s">
        <v>89</v>
      </c>
      <c r="P91">
        <v>76</v>
      </c>
      <c r="Q91">
        <v>46223</v>
      </c>
      <c r="R91">
        <v>46250</v>
      </c>
      <c r="S91">
        <v>2</v>
      </c>
      <c r="T91">
        <v>152</v>
      </c>
      <c r="U91">
        <v>20</v>
      </c>
      <c r="V91">
        <v>20</v>
      </c>
      <c r="W91">
        <v>20</v>
      </c>
      <c r="X91">
        <v>20</v>
      </c>
      <c r="Y91" t="s">
        <v>89</v>
      </c>
      <c r="Z91" t="s">
        <v>78</v>
      </c>
    </row>
    <row r="92" spans="1:26" x14ac:dyDescent="0.25">
      <c r="A92" t="s">
        <v>268</v>
      </c>
      <c r="B92" t="s">
        <v>31</v>
      </c>
      <c r="C92">
        <v>91</v>
      </c>
      <c r="E92" t="s">
        <v>76</v>
      </c>
      <c r="F92" t="s">
        <v>269</v>
      </c>
      <c r="G92" t="s">
        <v>78</v>
      </c>
      <c r="H92" t="s">
        <v>79</v>
      </c>
      <c r="I92" t="s">
        <v>31</v>
      </c>
      <c r="J92" t="b">
        <v>1</v>
      </c>
      <c r="K92" t="b">
        <v>1</v>
      </c>
      <c r="L92" t="s">
        <v>95</v>
      </c>
      <c r="M92" t="s">
        <v>81</v>
      </c>
      <c r="O92" t="s">
        <v>82</v>
      </c>
      <c r="P92">
        <v>48</v>
      </c>
      <c r="Q92">
        <v>46223</v>
      </c>
      <c r="R92">
        <v>46250</v>
      </c>
      <c r="S92">
        <v>2</v>
      </c>
      <c r="T92">
        <v>96</v>
      </c>
      <c r="U92">
        <v>12.631578947368419</v>
      </c>
      <c r="V92">
        <v>12</v>
      </c>
      <c r="W92">
        <v>20</v>
      </c>
      <c r="X92">
        <v>12</v>
      </c>
      <c r="Y92" t="s">
        <v>83</v>
      </c>
      <c r="Z92" t="s">
        <v>78</v>
      </c>
    </row>
    <row r="93" spans="1:26" x14ac:dyDescent="0.25">
      <c r="A93" t="s">
        <v>270</v>
      </c>
      <c r="B93" t="s">
        <v>22</v>
      </c>
      <c r="C93">
        <v>92</v>
      </c>
      <c r="E93" t="s">
        <v>76</v>
      </c>
      <c r="F93" t="s">
        <v>271</v>
      </c>
      <c r="G93" t="s">
        <v>78</v>
      </c>
      <c r="H93" t="s">
        <v>79</v>
      </c>
      <c r="I93" t="s">
        <v>22</v>
      </c>
      <c r="J93" t="b">
        <v>1</v>
      </c>
      <c r="K93" t="b">
        <v>1</v>
      </c>
      <c r="L93" t="s">
        <v>95</v>
      </c>
      <c r="M93" t="s">
        <v>81</v>
      </c>
      <c r="O93" t="s">
        <v>82</v>
      </c>
      <c r="P93">
        <v>60</v>
      </c>
      <c r="Q93">
        <v>46223</v>
      </c>
      <c r="R93">
        <v>46250</v>
      </c>
      <c r="S93">
        <v>2</v>
      </c>
      <c r="T93">
        <v>120</v>
      </c>
      <c r="U93">
        <v>15.789473684210527</v>
      </c>
      <c r="V93">
        <v>15</v>
      </c>
      <c r="W93">
        <v>20</v>
      </c>
      <c r="X93">
        <v>15</v>
      </c>
      <c r="Y93" t="s">
        <v>83</v>
      </c>
      <c r="Z93" t="s">
        <v>78</v>
      </c>
    </row>
    <row r="94" spans="1:26" x14ac:dyDescent="0.25">
      <c r="A94" t="s">
        <v>272</v>
      </c>
      <c r="B94" t="s">
        <v>22</v>
      </c>
      <c r="C94">
        <v>93</v>
      </c>
      <c r="D94" t="s">
        <v>40</v>
      </c>
      <c r="E94" t="s">
        <v>76</v>
      </c>
      <c r="F94" t="s">
        <v>273</v>
      </c>
      <c r="G94" t="s">
        <v>78</v>
      </c>
      <c r="H94" t="s">
        <v>79</v>
      </c>
      <c r="I94" t="s">
        <v>22</v>
      </c>
      <c r="J94" t="b">
        <v>0</v>
      </c>
      <c r="K94" t="b">
        <v>1</v>
      </c>
      <c r="L94" t="s">
        <v>80</v>
      </c>
      <c r="M94" t="s">
        <v>81</v>
      </c>
      <c r="O94" t="s">
        <v>82</v>
      </c>
      <c r="P94">
        <v>45</v>
      </c>
      <c r="Q94">
        <v>46223</v>
      </c>
      <c r="R94">
        <v>46250</v>
      </c>
      <c r="S94">
        <v>2</v>
      </c>
      <c r="T94">
        <v>90</v>
      </c>
      <c r="U94">
        <v>11.842105263157896</v>
      </c>
      <c r="V94">
        <v>11</v>
      </c>
      <c r="W94">
        <v>20</v>
      </c>
      <c r="X94">
        <v>11</v>
      </c>
      <c r="Y94" t="s">
        <v>83</v>
      </c>
      <c r="Z94" t="s">
        <v>78</v>
      </c>
    </row>
    <row r="95" spans="1:26" x14ac:dyDescent="0.25">
      <c r="A95" t="s">
        <v>274</v>
      </c>
      <c r="B95" t="s">
        <v>22</v>
      </c>
      <c r="C95">
        <v>94</v>
      </c>
      <c r="E95" t="s">
        <v>76</v>
      </c>
      <c r="F95" t="s">
        <v>275</v>
      </c>
      <c r="G95" t="s">
        <v>78</v>
      </c>
      <c r="H95" t="s">
        <v>79</v>
      </c>
      <c r="I95" t="s">
        <v>22</v>
      </c>
      <c r="J95" t="b">
        <v>1</v>
      </c>
      <c r="K95" t="b">
        <v>1</v>
      </c>
      <c r="L95" t="s">
        <v>95</v>
      </c>
      <c r="M95" t="s">
        <v>81</v>
      </c>
      <c r="O95" t="s">
        <v>82</v>
      </c>
      <c r="P95">
        <v>45</v>
      </c>
      <c r="Q95">
        <v>46223</v>
      </c>
      <c r="R95">
        <v>46250</v>
      </c>
      <c r="S95">
        <v>2</v>
      </c>
      <c r="T95">
        <v>90</v>
      </c>
      <c r="U95">
        <v>11.842105263157896</v>
      </c>
      <c r="V95">
        <v>11</v>
      </c>
      <c r="W95">
        <v>20</v>
      </c>
      <c r="X95">
        <v>11</v>
      </c>
      <c r="Y95" t="s">
        <v>83</v>
      </c>
      <c r="Z95" t="s">
        <v>78</v>
      </c>
    </row>
    <row r="96" spans="1:26" x14ac:dyDescent="0.25">
      <c r="A96" t="s">
        <v>276</v>
      </c>
      <c r="B96" t="s">
        <v>22</v>
      </c>
      <c r="C96">
        <v>95</v>
      </c>
      <c r="D96" t="s">
        <v>40</v>
      </c>
      <c r="E96" t="s">
        <v>76</v>
      </c>
      <c r="F96" t="s">
        <v>277</v>
      </c>
      <c r="G96" t="s">
        <v>78</v>
      </c>
      <c r="H96" t="s">
        <v>79</v>
      </c>
      <c r="I96" t="s">
        <v>22</v>
      </c>
      <c r="J96" t="b">
        <v>0</v>
      </c>
      <c r="K96" t="b">
        <v>1</v>
      </c>
      <c r="L96" t="s">
        <v>80</v>
      </c>
      <c r="M96" t="s">
        <v>81</v>
      </c>
      <c r="O96" t="s">
        <v>82</v>
      </c>
      <c r="P96">
        <v>64</v>
      </c>
      <c r="Q96">
        <v>46223</v>
      </c>
      <c r="R96">
        <v>46250</v>
      </c>
      <c r="S96">
        <v>2</v>
      </c>
      <c r="T96">
        <v>128</v>
      </c>
      <c r="U96">
        <v>16.842105263157894</v>
      </c>
      <c r="V96">
        <v>16</v>
      </c>
      <c r="W96">
        <v>20</v>
      </c>
      <c r="X96">
        <v>16</v>
      </c>
      <c r="Y96" t="s">
        <v>83</v>
      </c>
      <c r="Z96" t="s">
        <v>78</v>
      </c>
    </row>
    <row r="97" spans="1:26" x14ac:dyDescent="0.25">
      <c r="A97" t="s">
        <v>278</v>
      </c>
      <c r="B97" t="s">
        <v>22</v>
      </c>
      <c r="C97">
        <v>96</v>
      </c>
      <c r="D97" t="s">
        <v>40</v>
      </c>
      <c r="E97" t="s">
        <v>76</v>
      </c>
      <c r="F97" t="s">
        <v>279</v>
      </c>
      <c r="G97" t="s">
        <v>78</v>
      </c>
      <c r="H97" t="s">
        <v>79</v>
      </c>
      <c r="I97" t="s">
        <v>22</v>
      </c>
      <c r="J97" t="b">
        <v>0</v>
      </c>
      <c r="K97" t="b">
        <v>1</v>
      </c>
      <c r="L97" t="s">
        <v>80</v>
      </c>
      <c r="M97" t="s">
        <v>81</v>
      </c>
      <c r="O97" t="s">
        <v>82</v>
      </c>
      <c r="P97">
        <v>52</v>
      </c>
      <c r="Q97">
        <v>46223</v>
      </c>
      <c r="R97">
        <v>46250</v>
      </c>
      <c r="S97">
        <v>2</v>
      </c>
      <c r="T97">
        <v>104</v>
      </c>
      <c r="U97">
        <v>13.684210526315788</v>
      </c>
      <c r="V97">
        <v>13</v>
      </c>
      <c r="W97">
        <v>20</v>
      </c>
      <c r="X97">
        <v>13</v>
      </c>
      <c r="Y97" t="s">
        <v>83</v>
      </c>
      <c r="Z97" t="s">
        <v>78</v>
      </c>
    </row>
    <row r="98" spans="1:26" x14ac:dyDescent="0.25">
      <c r="A98" t="s">
        <v>280</v>
      </c>
      <c r="B98" t="s">
        <v>22</v>
      </c>
      <c r="C98">
        <v>97</v>
      </c>
      <c r="E98" t="s">
        <v>76</v>
      </c>
      <c r="F98" t="s">
        <v>281</v>
      </c>
      <c r="G98" t="s">
        <v>78</v>
      </c>
      <c r="H98" t="s">
        <v>88</v>
      </c>
      <c r="I98" t="s">
        <v>22</v>
      </c>
      <c r="J98" t="b">
        <v>1</v>
      </c>
      <c r="K98" t="b">
        <v>1</v>
      </c>
      <c r="L98" t="s">
        <v>95</v>
      </c>
      <c r="M98" t="s">
        <v>81</v>
      </c>
      <c r="O98" t="s">
        <v>89</v>
      </c>
      <c r="P98">
        <v>76</v>
      </c>
      <c r="Q98">
        <v>46223</v>
      </c>
      <c r="R98">
        <v>46250</v>
      </c>
      <c r="S98">
        <v>2</v>
      </c>
      <c r="T98">
        <v>152</v>
      </c>
      <c r="U98">
        <v>20</v>
      </c>
      <c r="V98">
        <v>20</v>
      </c>
      <c r="W98">
        <v>20</v>
      </c>
      <c r="X98">
        <v>20</v>
      </c>
      <c r="Y98" t="s">
        <v>89</v>
      </c>
      <c r="Z98" t="s">
        <v>78</v>
      </c>
    </row>
    <row r="99" spans="1:26" x14ac:dyDescent="0.25">
      <c r="A99" t="s">
        <v>282</v>
      </c>
      <c r="B99" t="s">
        <v>29</v>
      </c>
      <c r="C99">
        <v>98</v>
      </c>
      <c r="E99" t="s">
        <v>76</v>
      </c>
      <c r="F99" t="s">
        <v>283</v>
      </c>
      <c r="G99" t="s">
        <v>78</v>
      </c>
      <c r="H99" t="s">
        <v>110</v>
      </c>
      <c r="I99" t="s">
        <v>29</v>
      </c>
      <c r="J99" t="b">
        <v>1</v>
      </c>
      <c r="K99" t="b">
        <v>1</v>
      </c>
      <c r="L99" t="s">
        <v>95</v>
      </c>
      <c r="M99" t="s">
        <v>81</v>
      </c>
      <c r="O99" t="s">
        <v>82</v>
      </c>
      <c r="P99">
        <v>76</v>
      </c>
      <c r="Q99">
        <v>46223</v>
      </c>
      <c r="R99">
        <v>46250</v>
      </c>
      <c r="S99">
        <v>2</v>
      </c>
      <c r="T99">
        <v>152</v>
      </c>
      <c r="U99">
        <v>20</v>
      </c>
      <c r="V99">
        <v>20</v>
      </c>
      <c r="W99">
        <v>20</v>
      </c>
      <c r="X99">
        <v>20</v>
      </c>
      <c r="Y99" t="s">
        <v>111</v>
      </c>
      <c r="Z99" t="s">
        <v>78</v>
      </c>
    </row>
    <row r="100" spans="1:26" x14ac:dyDescent="0.25">
      <c r="A100" t="s">
        <v>284</v>
      </c>
      <c r="B100" t="s">
        <v>22</v>
      </c>
      <c r="C100">
        <v>99</v>
      </c>
      <c r="E100" t="s">
        <v>76</v>
      </c>
      <c r="F100" t="s">
        <v>285</v>
      </c>
      <c r="G100" t="s">
        <v>78</v>
      </c>
      <c r="H100" t="s">
        <v>79</v>
      </c>
      <c r="I100" t="s">
        <v>22</v>
      </c>
      <c r="J100" t="b">
        <v>1</v>
      </c>
      <c r="K100" t="b">
        <v>1</v>
      </c>
      <c r="L100" t="s">
        <v>95</v>
      </c>
      <c r="M100" t="s">
        <v>81</v>
      </c>
      <c r="O100" t="s">
        <v>82</v>
      </c>
      <c r="P100">
        <v>22.5</v>
      </c>
      <c r="Q100">
        <v>46223</v>
      </c>
      <c r="R100">
        <v>46250</v>
      </c>
      <c r="S100">
        <v>2</v>
      </c>
      <c r="T100">
        <v>45</v>
      </c>
      <c r="U100">
        <v>5.9210526315789478</v>
      </c>
      <c r="V100">
        <v>5</v>
      </c>
      <c r="W100">
        <v>20</v>
      </c>
      <c r="X100">
        <v>5</v>
      </c>
      <c r="Y100" t="s">
        <v>83</v>
      </c>
      <c r="Z100" t="s">
        <v>78</v>
      </c>
    </row>
    <row r="101" spans="1:26" x14ac:dyDescent="0.25">
      <c r="A101" t="s">
        <v>286</v>
      </c>
      <c r="B101" t="s">
        <v>22</v>
      </c>
      <c r="C101">
        <v>100</v>
      </c>
      <c r="E101" t="s">
        <v>76</v>
      </c>
      <c r="F101" t="s">
        <v>287</v>
      </c>
      <c r="G101" t="s">
        <v>78</v>
      </c>
      <c r="H101" t="s">
        <v>79</v>
      </c>
      <c r="I101" t="s">
        <v>22</v>
      </c>
      <c r="J101" t="b">
        <v>1</v>
      </c>
      <c r="K101" t="b">
        <v>1</v>
      </c>
      <c r="L101" t="s">
        <v>95</v>
      </c>
      <c r="M101" t="s">
        <v>81</v>
      </c>
      <c r="O101" t="s">
        <v>82</v>
      </c>
      <c r="P101">
        <v>45</v>
      </c>
      <c r="Q101">
        <v>46223</v>
      </c>
      <c r="R101">
        <v>46250</v>
      </c>
      <c r="S101">
        <v>2</v>
      </c>
      <c r="T101">
        <v>90</v>
      </c>
      <c r="U101">
        <v>11.842105263157896</v>
      </c>
      <c r="V101">
        <v>11</v>
      </c>
      <c r="W101">
        <v>20</v>
      </c>
      <c r="X101">
        <v>11</v>
      </c>
      <c r="Y101" t="s">
        <v>83</v>
      </c>
      <c r="Z101" t="s">
        <v>78</v>
      </c>
    </row>
    <row r="102" spans="1:26" x14ac:dyDescent="0.25">
      <c r="A102" t="s">
        <v>288</v>
      </c>
      <c r="B102" t="s">
        <v>29</v>
      </c>
      <c r="C102">
        <v>101</v>
      </c>
      <c r="E102" t="s">
        <v>76</v>
      </c>
      <c r="F102" t="s">
        <v>289</v>
      </c>
      <c r="G102" t="s">
        <v>78</v>
      </c>
      <c r="H102" t="s">
        <v>110</v>
      </c>
      <c r="I102" t="s">
        <v>29</v>
      </c>
      <c r="J102" t="b">
        <v>1</v>
      </c>
      <c r="K102" t="b">
        <v>1</v>
      </c>
      <c r="L102" t="s">
        <v>95</v>
      </c>
      <c r="M102" t="s">
        <v>81</v>
      </c>
      <c r="O102" t="s">
        <v>82</v>
      </c>
      <c r="P102">
        <v>76</v>
      </c>
      <c r="Q102">
        <v>46223</v>
      </c>
      <c r="R102">
        <v>46250</v>
      </c>
      <c r="S102">
        <v>2</v>
      </c>
      <c r="T102">
        <v>152</v>
      </c>
      <c r="U102">
        <v>20</v>
      </c>
      <c r="V102">
        <v>20</v>
      </c>
      <c r="W102">
        <v>20</v>
      </c>
      <c r="X102">
        <v>20</v>
      </c>
      <c r="Y102" t="s">
        <v>111</v>
      </c>
      <c r="Z102" t="s">
        <v>78</v>
      </c>
    </row>
    <row r="103" spans="1:26" x14ac:dyDescent="0.25">
      <c r="A103" t="s">
        <v>290</v>
      </c>
      <c r="B103" t="s">
        <v>29</v>
      </c>
      <c r="C103">
        <v>102</v>
      </c>
      <c r="E103" t="s">
        <v>76</v>
      </c>
      <c r="F103" t="s">
        <v>291</v>
      </c>
      <c r="G103" t="s">
        <v>78</v>
      </c>
      <c r="H103" t="s">
        <v>110</v>
      </c>
      <c r="I103" t="s">
        <v>29</v>
      </c>
      <c r="J103" t="b">
        <v>1</v>
      </c>
      <c r="K103" t="b">
        <v>1</v>
      </c>
      <c r="L103" t="s">
        <v>95</v>
      </c>
      <c r="M103" t="s">
        <v>81</v>
      </c>
      <c r="O103" t="s">
        <v>82</v>
      </c>
      <c r="P103">
        <v>76</v>
      </c>
      <c r="Q103">
        <v>46223</v>
      </c>
      <c r="R103">
        <v>46250</v>
      </c>
      <c r="S103">
        <v>2</v>
      </c>
      <c r="T103">
        <v>152</v>
      </c>
      <c r="U103">
        <v>20</v>
      </c>
      <c r="V103">
        <v>20</v>
      </c>
      <c r="W103">
        <v>20</v>
      </c>
      <c r="X103">
        <v>20</v>
      </c>
      <c r="Y103" t="s">
        <v>111</v>
      </c>
      <c r="Z103" t="s">
        <v>78</v>
      </c>
    </row>
    <row r="104" spans="1:26" x14ac:dyDescent="0.25">
      <c r="A104" t="s">
        <v>292</v>
      </c>
      <c r="B104" t="s">
        <v>22</v>
      </c>
      <c r="C104">
        <v>103</v>
      </c>
      <c r="E104" t="s">
        <v>76</v>
      </c>
      <c r="F104" t="s">
        <v>293</v>
      </c>
      <c r="G104" t="s">
        <v>78</v>
      </c>
      <c r="H104" t="s">
        <v>79</v>
      </c>
      <c r="I104" t="s">
        <v>22</v>
      </c>
      <c r="J104" t="b">
        <v>1</v>
      </c>
      <c r="K104" t="b">
        <v>1</v>
      </c>
      <c r="L104" t="s">
        <v>95</v>
      </c>
      <c r="M104" t="s">
        <v>81</v>
      </c>
      <c r="O104" t="s">
        <v>82</v>
      </c>
      <c r="P104">
        <v>60</v>
      </c>
      <c r="Q104">
        <v>46223</v>
      </c>
      <c r="R104">
        <v>46250</v>
      </c>
      <c r="S104">
        <v>2</v>
      </c>
      <c r="T104">
        <v>120</v>
      </c>
      <c r="U104">
        <v>15.789473684210527</v>
      </c>
      <c r="V104">
        <v>15</v>
      </c>
      <c r="W104">
        <v>20</v>
      </c>
      <c r="X104">
        <v>15</v>
      </c>
      <c r="Y104" t="s">
        <v>83</v>
      </c>
      <c r="Z104" t="s">
        <v>78</v>
      </c>
    </row>
    <row r="105" spans="1:26" x14ac:dyDescent="0.25">
      <c r="A105" t="s">
        <v>294</v>
      </c>
      <c r="B105" t="s">
        <v>22</v>
      </c>
      <c r="C105">
        <v>104</v>
      </c>
      <c r="E105" t="s">
        <v>76</v>
      </c>
      <c r="F105" t="s">
        <v>295</v>
      </c>
      <c r="G105" t="s">
        <v>78</v>
      </c>
      <c r="H105" t="s">
        <v>79</v>
      </c>
      <c r="I105" t="s">
        <v>22</v>
      </c>
      <c r="J105" t="b">
        <v>1</v>
      </c>
      <c r="K105" t="b">
        <v>1</v>
      </c>
      <c r="L105" t="s">
        <v>95</v>
      </c>
      <c r="M105" t="s">
        <v>81</v>
      </c>
      <c r="O105" t="s">
        <v>82</v>
      </c>
      <c r="P105">
        <v>75</v>
      </c>
      <c r="Q105">
        <v>46223</v>
      </c>
      <c r="R105">
        <v>46250</v>
      </c>
      <c r="S105">
        <v>2</v>
      </c>
      <c r="T105">
        <v>150</v>
      </c>
      <c r="U105">
        <v>19.736842105263161</v>
      </c>
      <c r="V105">
        <v>19</v>
      </c>
      <c r="W105">
        <v>20</v>
      </c>
      <c r="X105">
        <v>19</v>
      </c>
      <c r="Y105" t="s">
        <v>83</v>
      </c>
      <c r="Z105" t="s">
        <v>78</v>
      </c>
    </row>
    <row r="106" spans="1:26" x14ac:dyDescent="0.25">
      <c r="A106" t="s">
        <v>296</v>
      </c>
      <c r="B106" t="s">
        <v>22</v>
      </c>
      <c r="C106">
        <v>105</v>
      </c>
      <c r="E106" t="s">
        <v>76</v>
      </c>
      <c r="F106" t="s">
        <v>297</v>
      </c>
      <c r="G106" t="s">
        <v>78</v>
      </c>
      <c r="H106" t="s">
        <v>79</v>
      </c>
      <c r="I106" t="s">
        <v>22</v>
      </c>
      <c r="J106" t="b">
        <v>1</v>
      </c>
      <c r="K106" t="b">
        <v>1</v>
      </c>
      <c r="L106" t="s">
        <v>95</v>
      </c>
      <c r="M106" t="s">
        <v>81</v>
      </c>
      <c r="O106" t="s">
        <v>82</v>
      </c>
      <c r="P106">
        <v>67.5</v>
      </c>
      <c r="Q106">
        <v>46223</v>
      </c>
      <c r="R106">
        <v>46250</v>
      </c>
      <c r="S106">
        <v>2</v>
      </c>
      <c r="T106">
        <v>135</v>
      </c>
      <c r="U106">
        <v>17.763157894736842</v>
      </c>
      <c r="V106">
        <v>17</v>
      </c>
      <c r="W106">
        <v>20</v>
      </c>
      <c r="X106">
        <v>17</v>
      </c>
      <c r="Y106" t="s">
        <v>83</v>
      </c>
      <c r="Z106" t="s">
        <v>78</v>
      </c>
    </row>
    <row r="107" spans="1:26" x14ac:dyDescent="0.25">
      <c r="A107" t="s">
        <v>298</v>
      </c>
      <c r="B107" t="s">
        <v>22</v>
      </c>
      <c r="C107">
        <v>106</v>
      </c>
      <c r="E107" t="s">
        <v>76</v>
      </c>
      <c r="F107" t="s">
        <v>299</v>
      </c>
      <c r="G107" t="s">
        <v>78</v>
      </c>
      <c r="H107" t="s">
        <v>88</v>
      </c>
      <c r="I107" t="s">
        <v>22</v>
      </c>
      <c r="J107" t="b">
        <v>1</v>
      </c>
      <c r="K107" t="b">
        <v>1</v>
      </c>
      <c r="L107" t="s">
        <v>95</v>
      </c>
      <c r="M107" t="s">
        <v>81</v>
      </c>
      <c r="O107" t="s">
        <v>89</v>
      </c>
      <c r="P107">
        <v>76</v>
      </c>
      <c r="Q107">
        <v>46223</v>
      </c>
      <c r="R107">
        <v>46250</v>
      </c>
      <c r="S107">
        <v>2</v>
      </c>
      <c r="T107">
        <v>152</v>
      </c>
      <c r="U107">
        <v>20</v>
      </c>
      <c r="V107">
        <v>20</v>
      </c>
      <c r="W107">
        <v>20</v>
      </c>
      <c r="X107">
        <v>20</v>
      </c>
      <c r="Y107" t="s">
        <v>89</v>
      </c>
      <c r="Z107" t="s">
        <v>78</v>
      </c>
    </row>
    <row r="108" spans="1:26" x14ac:dyDescent="0.25">
      <c r="A108" t="s">
        <v>300</v>
      </c>
      <c r="B108" t="s">
        <v>22</v>
      </c>
      <c r="C108">
        <v>107</v>
      </c>
      <c r="E108" t="s">
        <v>76</v>
      </c>
      <c r="F108" t="s">
        <v>301</v>
      </c>
      <c r="G108" t="s">
        <v>78</v>
      </c>
      <c r="H108" t="s">
        <v>79</v>
      </c>
      <c r="I108" t="s">
        <v>22</v>
      </c>
      <c r="J108" t="b">
        <v>1</v>
      </c>
      <c r="K108" t="b">
        <v>1</v>
      </c>
      <c r="L108" t="s">
        <v>95</v>
      </c>
      <c r="M108" t="s">
        <v>81</v>
      </c>
      <c r="O108" t="s">
        <v>82</v>
      </c>
      <c r="P108">
        <v>30</v>
      </c>
      <c r="Q108">
        <v>46223</v>
      </c>
      <c r="R108">
        <v>46250</v>
      </c>
      <c r="S108">
        <v>2</v>
      </c>
      <c r="T108">
        <v>60</v>
      </c>
      <c r="U108">
        <v>7.8947368421052637</v>
      </c>
      <c r="V108">
        <v>7</v>
      </c>
      <c r="W108">
        <v>20</v>
      </c>
      <c r="X108">
        <v>7</v>
      </c>
      <c r="Y108" t="s">
        <v>83</v>
      </c>
      <c r="Z108" t="s">
        <v>78</v>
      </c>
    </row>
    <row r="109" spans="1:26" x14ac:dyDescent="0.25">
      <c r="A109" t="s">
        <v>302</v>
      </c>
      <c r="B109" t="s">
        <v>29</v>
      </c>
      <c r="C109">
        <v>108</v>
      </c>
      <c r="E109" t="s">
        <v>76</v>
      </c>
      <c r="F109" t="s">
        <v>303</v>
      </c>
      <c r="G109" t="s">
        <v>78</v>
      </c>
      <c r="H109" t="s">
        <v>79</v>
      </c>
      <c r="I109" t="s">
        <v>29</v>
      </c>
      <c r="J109" t="b">
        <v>1</v>
      </c>
      <c r="K109" t="b">
        <v>1</v>
      </c>
      <c r="L109" t="s">
        <v>95</v>
      </c>
      <c r="M109" t="s">
        <v>81</v>
      </c>
      <c r="O109" t="s">
        <v>82</v>
      </c>
      <c r="P109">
        <v>72</v>
      </c>
      <c r="Q109">
        <v>46223</v>
      </c>
      <c r="R109">
        <v>46250</v>
      </c>
      <c r="S109">
        <v>2</v>
      </c>
      <c r="T109">
        <v>144</v>
      </c>
      <c r="U109">
        <v>18.947368421052634</v>
      </c>
      <c r="V109">
        <v>18</v>
      </c>
      <c r="W109">
        <v>20</v>
      </c>
      <c r="X109">
        <v>18</v>
      </c>
      <c r="Y109" t="s">
        <v>83</v>
      </c>
      <c r="Z109" t="s">
        <v>78</v>
      </c>
    </row>
    <row r="110" spans="1:26" x14ac:dyDescent="0.25">
      <c r="A110" t="s">
        <v>304</v>
      </c>
      <c r="B110" t="s">
        <v>22</v>
      </c>
      <c r="C110">
        <v>109</v>
      </c>
      <c r="E110" t="s">
        <v>76</v>
      </c>
      <c r="F110" t="s">
        <v>305</v>
      </c>
      <c r="G110" t="s">
        <v>78</v>
      </c>
      <c r="H110" t="s">
        <v>79</v>
      </c>
      <c r="I110" t="s">
        <v>22</v>
      </c>
      <c r="J110" t="b">
        <v>1</v>
      </c>
      <c r="K110" t="b">
        <v>1</v>
      </c>
      <c r="L110" t="s">
        <v>95</v>
      </c>
      <c r="M110" t="s">
        <v>81</v>
      </c>
      <c r="O110" t="s">
        <v>82</v>
      </c>
      <c r="P110">
        <v>20.5</v>
      </c>
      <c r="Q110">
        <v>46223</v>
      </c>
      <c r="R110">
        <v>46250</v>
      </c>
      <c r="S110">
        <v>2</v>
      </c>
      <c r="T110">
        <v>41</v>
      </c>
      <c r="U110">
        <v>5.3947368421052637</v>
      </c>
      <c r="V110">
        <v>5</v>
      </c>
      <c r="W110">
        <v>20</v>
      </c>
      <c r="X110">
        <v>5</v>
      </c>
      <c r="Y110" t="s">
        <v>83</v>
      </c>
      <c r="Z110" t="s">
        <v>78</v>
      </c>
    </row>
    <row r="111" spans="1:26" x14ac:dyDescent="0.25">
      <c r="A111" t="s">
        <v>306</v>
      </c>
      <c r="B111" t="s">
        <v>22</v>
      </c>
      <c r="C111">
        <v>110</v>
      </c>
      <c r="E111" t="s">
        <v>76</v>
      </c>
      <c r="F111" t="s">
        <v>307</v>
      </c>
      <c r="G111" t="s">
        <v>78</v>
      </c>
      <c r="H111" t="s">
        <v>79</v>
      </c>
      <c r="I111" t="s">
        <v>22</v>
      </c>
      <c r="J111" t="b">
        <v>1</v>
      </c>
      <c r="K111" t="b">
        <v>1</v>
      </c>
      <c r="L111" t="s">
        <v>95</v>
      </c>
      <c r="M111" t="s">
        <v>81</v>
      </c>
      <c r="O111" t="s">
        <v>82</v>
      </c>
      <c r="P111">
        <v>67.5</v>
      </c>
      <c r="Q111">
        <v>46223</v>
      </c>
      <c r="R111">
        <v>46250</v>
      </c>
      <c r="S111">
        <v>2</v>
      </c>
      <c r="T111">
        <v>135</v>
      </c>
      <c r="U111">
        <v>17.763157894736842</v>
      </c>
      <c r="V111">
        <v>17</v>
      </c>
      <c r="W111">
        <v>20</v>
      </c>
      <c r="X111">
        <v>17</v>
      </c>
      <c r="Y111" t="s">
        <v>83</v>
      </c>
      <c r="Z111" t="s">
        <v>78</v>
      </c>
    </row>
    <row r="112" spans="1:26" x14ac:dyDescent="0.25">
      <c r="A112" t="s">
        <v>308</v>
      </c>
      <c r="B112" t="s">
        <v>31</v>
      </c>
      <c r="C112">
        <v>111</v>
      </c>
      <c r="E112" t="s">
        <v>76</v>
      </c>
      <c r="F112" t="s">
        <v>309</v>
      </c>
      <c r="G112" t="s">
        <v>78</v>
      </c>
      <c r="H112" t="s">
        <v>79</v>
      </c>
      <c r="I112" t="s">
        <v>31</v>
      </c>
      <c r="J112" t="b">
        <v>1</v>
      </c>
      <c r="K112" t="b">
        <v>1</v>
      </c>
      <c r="L112" t="s">
        <v>95</v>
      </c>
      <c r="M112" t="s">
        <v>81</v>
      </c>
      <c r="O112" t="s">
        <v>82</v>
      </c>
      <c r="P112">
        <v>45</v>
      </c>
      <c r="Q112">
        <v>46223</v>
      </c>
      <c r="R112">
        <v>46250</v>
      </c>
      <c r="S112">
        <v>2</v>
      </c>
      <c r="T112">
        <v>90</v>
      </c>
      <c r="U112">
        <v>11.842105263157896</v>
      </c>
      <c r="V112">
        <v>11</v>
      </c>
      <c r="W112">
        <v>20</v>
      </c>
      <c r="X112">
        <v>11</v>
      </c>
      <c r="Y112" t="s">
        <v>83</v>
      </c>
      <c r="Z112" t="s">
        <v>78</v>
      </c>
    </row>
    <row r="113" spans="1:26" x14ac:dyDescent="0.25">
      <c r="A113" t="s">
        <v>310</v>
      </c>
      <c r="B113" t="s">
        <v>22</v>
      </c>
      <c r="C113">
        <v>112</v>
      </c>
      <c r="E113" t="s">
        <v>76</v>
      </c>
      <c r="F113" t="s">
        <v>311</v>
      </c>
      <c r="G113" t="s">
        <v>78</v>
      </c>
      <c r="H113" t="s">
        <v>79</v>
      </c>
      <c r="I113" t="s">
        <v>22</v>
      </c>
      <c r="J113" t="b">
        <v>1</v>
      </c>
      <c r="K113" t="b">
        <v>1</v>
      </c>
      <c r="L113" t="s">
        <v>95</v>
      </c>
      <c r="M113" t="s">
        <v>81</v>
      </c>
      <c r="O113" t="s">
        <v>82</v>
      </c>
      <c r="P113">
        <v>45</v>
      </c>
      <c r="Q113">
        <v>46223</v>
      </c>
      <c r="R113">
        <v>46250</v>
      </c>
      <c r="S113">
        <v>2</v>
      </c>
      <c r="T113">
        <v>90</v>
      </c>
      <c r="U113">
        <v>11.842105263157896</v>
      </c>
      <c r="V113">
        <v>11</v>
      </c>
      <c r="W113">
        <v>20</v>
      </c>
      <c r="X113">
        <v>11</v>
      </c>
      <c r="Y113" t="s">
        <v>83</v>
      </c>
      <c r="Z113" t="s">
        <v>78</v>
      </c>
    </row>
    <row r="114" spans="1:26" x14ac:dyDescent="0.25">
      <c r="A114" t="s">
        <v>312</v>
      </c>
      <c r="B114" t="s">
        <v>22</v>
      </c>
      <c r="C114">
        <v>113</v>
      </c>
      <c r="E114" t="s">
        <v>76</v>
      </c>
      <c r="F114" t="s">
        <v>313</v>
      </c>
      <c r="G114" t="s">
        <v>78</v>
      </c>
      <c r="H114" t="s">
        <v>79</v>
      </c>
      <c r="I114" t="s">
        <v>22</v>
      </c>
      <c r="J114" t="b">
        <v>1</v>
      </c>
      <c r="K114" t="b">
        <v>1</v>
      </c>
      <c r="L114" t="s">
        <v>95</v>
      </c>
      <c r="M114" t="s">
        <v>81</v>
      </c>
      <c r="O114" t="s">
        <v>82</v>
      </c>
      <c r="P114">
        <v>60</v>
      </c>
      <c r="Q114">
        <v>46223</v>
      </c>
      <c r="R114">
        <v>46250</v>
      </c>
      <c r="S114">
        <v>2</v>
      </c>
      <c r="T114">
        <v>120</v>
      </c>
      <c r="U114">
        <v>15.789473684210527</v>
      </c>
      <c r="V114">
        <v>15</v>
      </c>
      <c r="W114">
        <v>20</v>
      </c>
      <c r="X114">
        <v>15</v>
      </c>
      <c r="Y114" t="s">
        <v>83</v>
      </c>
      <c r="Z114" t="s">
        <v>78</v>
      </c>
    </row>
    <row r="115" spans="1:26" x14ac:dyDescent="0.25">
      <c r="A115" t="s">
        <v>314</v>
      </c>
      <c r="B115" t="s">
        <v>31</v>
      </c>
      <c r="C115">
        <v>114</v>
      </c>
      <c r="E115" t="s">
        <v>76</v>
      </c>
      <c r="F115" t="s">
        <v>315</v>
      </c>
      <c r="G115" t="s">
        <v>78</v>
      </c>
      <c r="H115" t="s">
        <v>88</v>
      </c>
      <c r="I115" t="s">
        <v>31</v>
      </c>
      <c r="J115" t="b">
        <v>1</v>
      </c>
      <c r="K115" t="b">
        <v>0</v>
      </c>
      <c r="L115" t="s">
        <v>92</v>
      </c>
      <c r="M115" t="s">
        <v>81</v>
      </c>
      <c r="O115" t="s">
        <v>89</v>
      </c>
      <c r="P115">
        <v>76</v>
      </c>
      <c r="Q115">
        <v>46223</v>
      </c>
      <c r="R115">
        <v>46250</v>
      </c>
      <c r="S115">
        <v>2</v>
      </c>
      <c r="T115">
        <v>152</v>
      </c>
      <c r="U115">
        <v>20</v>
      </c>
      <c r="V115">
        <v>20</v>
      </c>
      <c r="W115">
        <v>20</v>
      </c>
      <c r="X115">
        <v>20</v>
      </c>
      <c r="Y115" t="s">
        <v>89</v>
      </c>
      <c r="Z115" t="s">
        <v>78</v>
      </c>
    </row>
    <row r="116" spans="1:26" x14ac:dyDescent="0.25">
      <c r="A116" t="s">
        <v>316</v>
      </c>
      <c r="B116" t="s">
        <v>22</v>
      </c>
      <c r="C116">
        <v>115</v>
      </c>
      <c r="E116" t="s">
        <v>76</v>
      </c>
      <c r="F116" t="s">
        <v>317</v>
      </c>
      <c r="G116" t="s">
        <v>78</v>
      </c>
      <c r="H116" t="s">
        <v>110</v>
      </c>
      <c r="I116" t="s">
        <v>22</v>
      </c>
      <c r="J116" t="b">
        <v>1</v>
      </c>
      <c r="K116" t="b">
        <v>1</v>
      </c>
      <c r="L116" t="s">
        <v>95</v>
      </c>
      <c r="M116" t="s">
        <v>81</v>
      </c>
      <c r="O116" t="s">
        <v>82</v>
      </c>
      <c r="P116">
        <v>76</v>
      </c>
      <c r="Q116">
        <v>46223</v>
      </c>
      <c r="R116">
        <v>46250</v>
      </c>
      <c r="S116">
        <v>2</v>
      </c>
      <c r="T116">
        <v>152</v>
      </c>
      <c r="U116">
        <v>20</v>
      </c>
      <c r="V116">
        <v>20</v>
      </c>
      <c r="W116">
        <v>20</v>
      </c>
      <c r="X116">
        <v>20</v>
      </c>
      <c r="Y116" t="s">
        <v>111</v>
      </c>
      <c r="Z116" t="s">
        <v>78</v>
      </c>
    </row>
    <row r="117" spans="1:26" x14ac:dyDescent="0.25">
      <c r="A117" t="s">
        <v>318</v>
      </c>
      <c r="B117" t="s">
        <v>22</v>
      </c>
      <c r="C117">
        <v>116</v>
      </c>
      <c r="E117" t="s">
        <v>76</v>
      </c>
      <c r="F117" t="s">
        <v>319</v>
      </c>
      <c r="G117" t="s">
        <v>78</v>
      </c>
      <c r="H117" t="s">
        <v>88</v>
      </c>
      <c r="I117" t="s">
        <v>22</v>
      </c>
      <c r="J117" t="b">
        <v>1</v>
      </c>
      <c r="K117" t="b">
        <v>1</v>
      </c>
      <c r="L117" t="s">
        <v>95</v>
      </c>
      <c r="M117" t="s">
        <v>81</v>
      </c>
      <c r="O117" t="s">
        <v>89</v>
      </c>
      <c r="P117">
        <v>76</v>
      </c>
      <c r="Q117">
        <v>46223</v>
      </c>
      <c r="R117">
        <v>46250</v>
      </c>
      <c r="S117">
        <v>2</v>
      </c>
      <c r="T117">
        <v>152</v>
      </c>
      <c r="U117">
        <v>20</v>
      </c>
      <c r="V117">
        <v>20</v>
      </c>
      <c r="W117">
        <v>20</v>
      </c>
      <c r="X117">
        <v>20</v>
      </c>
      <c r="Y117" t="s">
        <v>89</v>
      </c>
      <c r="Z117" t="s">
        <v>78</v>
      </c>
    </row>
    <row r="118" spans="1:26" x14ac:dyDescent="0.25">
      <c r="A118" t="s">
        <v>320</v>
      </c>
      <c r="B118" t="s">
        <v>29</v>
      </c>
      <c r="C118">
        <v>117</v>
      </c>
      <c r="E118" t="s">
        <v>76</v>
      </c>
      <c r="F118" t="s">
        <v>321</v>
      </c>
      <c r="G118" t="s">
        <v>78</v>
      </c>
      <c r="H118" t="s">
        <v>79</v>
      </c>
      <c r="I118" t="s">
        <v>29</v>
      </c>
      <c r="J118" t="b">
        <v>1</v>
      </c>
      <c r="K118" t="b">
        <v>1</v>
      </c>
      <c r="L118" t="s">
        <v>95</v>
      </c>
      <c r="M118" t="s">
        <v>81</v>
      </c>
      <c r="O118" t="s">
        <v>82</v>
      </c>
      <c r="P118">
        <v>40</v>
      </c>
      <c r="Q118">
        <v>46223</v>
      </c>
      <c r="R118">
        <v>46250</v>
      </c>
      <c r="S118">
        <v>2</v>
      </c>
      <c r="T118">
        <v>80</v>
      </c>
      <c r="U118">
        <v>10.526315789473683</v>
      </c>
      <c r="V118">
        <v>10</v>
      </c>
      <c r="W118">
        <v>20</v>
      </c>
      <c r="X118">
        <v>10</v>
      </c>
      <c r="Y118" t="s">
        <v>83</v>
      </c>
      <c r="Z118" t="s">
        <v>78</v>
      </c>
    </row>
    <row r="119" spans="1:26" x14ac:dyDescent="0.25">
      <c r="A119" t="s">
        <v>322</v>
      </c>
      <c r="B119" t="s">
        <v>29</v>
      </c>
      <c r="C119">
        <v>118</v>
      </c>
      <c r="E119" t="s">
        <v>76</v>
      </c>
      <c r="F119" t="s">
        <v>323</v>
      </c>
      <c r="G119" t="s">
        <v>78</v>
      </c>
      <c r="H119" t="s">
        <v>79</v>
      </c>
      <c r="I119" t="s">
        <v>29</v>
      </c>
      <c r="J119" t="b">
        <v>1</v>
      </c>
      <c r="K119" t="b">
        <v>1</v>
      </c>
      <c r="L119" t="s">
        <v>95</v>
      </c>
      <c r="M119" t="s">
        <v>81</v>
      </c>
      <c r="O119" t="s">
        <v>82</v>
      </c>
      <c r="P119">
        <v>60</v>
      </c>
      <c r="Q119">
        <v>46223</v>
      </c>
      <c r="R119">
        <v>46250</v>
      </c>
      <c r="S119">
        <v>2</v>
      </c>
      <c r="T119">
        <v>120</v>
      </c>
      <c r="U119">
        <v>15.789473684210527</v>
      </c>
      <c r="V119">
        <v>15</v>
      </c>
      <c r="W119">
        <v>20</v>
      </c>
      <c r="X119">
        <v>15</v>
      </c>
      <c r="Y119" t="s">
        <v>83</v>
      </c>
      <c r="Z119" t="s">
        <v>78</v>
      </c>
    </row>
    <row r="120" spans="1:26" x14ac:dyDescent="0.25">
      <c r="A120" t="s">
        <v>324</v>
      </c>
      <c r="B120" t="s">
        <v>22</v>
      </c>
      <c r="C120">
        <v>119</v>
      </c>
      <c r="D120" t="s">
        <v>40</v>
      </c>
      <c r="E120" t="s">
        <v>76</v>
      </c>
      <c r="F120" t="s">
        <v>325</v>
      </c>
      <c r="G120" t="s">
        <v>78</v>
      </c>
      <c r="H120" t="s">
        <v>88</v>
      </c>
      <c r="I120" t="s">
        <v>22</v>
      </c>
      <c r="J120" t="b">
        <v>0</v>
      </c>
      <c r="K120" t="b">
        <v>1</v>
      </c>
      <c r="L120" t="s">
        <v>80</v>
      </c>
      <c r="M120" t="s">
        <v>81</v>
      </c>
      <c r="O120" t="s">
        <v>89</v>
      </c>
      <c r="P120">
        <v>76</v>
      </c>
      <c r="Q120">
        <v>46223</v>
      </c>
      <c r="R120">
        <v>46250</v>
      </c>
      <c r="S120">
        <v>2</v>
      </c>
      <c r="T120">
        <v>152</v>
      </c>
      <c r="U120">
        <v>20</v>
      </c>
      <c r="V120">
        <v>20</v>
      </c>
      <c r="W120">
        <v>20</v>
      </c>
      <c r="X120">
        <v>20</v>
      </c>
      <c r="Y120" t="s">
        <v>89</v>
      </c>
      <c r="Z120" t="s">
        <v>78</v>
      </c>
    </row>
    <row r="121" spans="1:26" x14ac:dyDescent="0.25">
      <c r="A121" t="s">
        <v>326</v>
      </c>
      <c r="B121" t="s">
        <v>22</v>
      </c>
      <c r="C121">
        <v>120</v>
      </c>
      <c r="E121" t="s">
        <v>76</v>
      </c>
      <c r="F121" t="s">
        <v>327</v>
      </c>
      <c r="G121" t="s">
        <v>78</v>
      </c>
      <c r="H121" t="s">
        <v>79</v>
      </c>
      <c r="I121" t="s">
        <v>22</v>
      </c>
      <c r="J121" t="b">
        <v>1</v>
      </c>
      <c r="K121" t="b">
        <v>1</v>
      </c>
      <c r="L121" t="s">
        <v>95</v>
      </c>
      <c r="M121" t="s">
        <v>81</v>
      </c>
      <c r="O121" t="s">
        <v>82</v>
      </c>
      <c r="P121">
        <v>60</v>
      </c>
      <c r="Q121">
        <v>46223</v>
      </c>
      <c r="R121">
        <v>46250</v>
      </c>
      <c r="S121">
        <v>2</v>
      </c>
      <c r="T121">
        <v>120</v>
      </c>
      <c r="U121">
        <v>15.789473684210527</v>
      </c>
      <c r="V121">
        <v>15</v>
      </c>
      <c r="W121">
        <v>20</v>
      </c>
      <c r="X121">
        <v>15</v>
      </c>
      <c r="Y121" t="s">
        <v>83</v>
      </c>
      <c r="Z121" t="s">
        <v>78</v>
      </c>
    </row>
    <row r="122" spans="1:26" x14ac:dyDescent="0.25">
      <c r="A122" t="s">
        <v>328</v>
      </c>
      <c r="B122" t="s">
        <v>22</v>
      </c>
      <c r="C122">
        <v>121</v>
      </c>
      <c r="E122" t="s">
        <v>76</v>
      </c>
      <c r="F122" t="s">
        <v>329</v>
      </c>
      <c r="G122" t="s">
        <v>78</v>
      </c>
      <c r="H122" t="s">
        <v>79</v>
      </c>
      <c r="I122" t="s">
        <v>22</v>
      </c>
      <c r="J122" t="b">
        <v>1</v>
      </c>
      <c r="K122" t="b">
        <v>1</v>
      </c>
      <c r="L122" t="s">
        <v>95</v>
      </c>
      <c r="M122" t="s">
        <v>81</v>
      </c>
      <c r="O122" t="s">
        <v>82</v>
      </c>
      <c r="P122">
        <v>67.5</v>
      </c>
      <c r="Q122">
        <v>46223</v>
      </c>
      <c r="R122">
        <v>46250</v>
      </c>
      <c r="S122">
        <v>2</v>
      </c>
      <c r="T122">
        <v>135</v>
      </c>
      <c r="U122">
        <v>17.763157894736842</v>
      </c>
      <c r="V122">
        <v>17</v>
      </c>
      <c r="W122">
        <v>20</v>
      </c>
      <c r="X122">
        <v>17</v>
      </c>
      <c r="Y122" t="s">
        <v>83</v>
      </c>
      <c r="Z122" t="s">
        <v>78</v>
      </c>
    </row>
    <row r="123" spans="1:26" x14ac:dyDescent="0.25">
      <c r="A123" t="s">
        <v>330</v>
      </c>
      <c r="B123" t="s">
        <v>31</v>
      </c>
      <c r="C123">
        <v>122</v>
      </c>
      <c r="E123" t="s">
        <v>76</v>
      </c>
      <c r="F123" t="s">
        <v>331</v>
      </c>
      <c r="G123" t="s">
        <v>78</v>
      </c>
      <c r="H123" t="s">
        <v>79</v>
      </c>
      <c r="I123" t="s">
        <v>31</v>
      </c>
      <c r="J123" t="b">
        <v>1</v>
      </c>
      <c r="K123" t="b">
        <v>1</v>
      </c>
      <c r="L123" t="s">
        <v>95</v>
      </c>
      <c r="M123" t="s">
        <v>81</v>
      </c>
      <c r="O123" t="s">
        <v>82</v>
      </c>
      <c r="P123">
        <v>60</v>
      </c>
      <c r="Q123">
        <v>46223</v>
      </c>
      <c r="R123">
        <v>46250</v>
      </c>
      <c r="S123">
        <v>2</v>
      </c>
      <c r="T123">
        <v>120</v>
      </c>
      <c r="U123">
        <v>15.789473684210527</v>
      </c>
      <c r="V123">
        <v>15</v>
      </c>
      <c r="W123">
        <v>20</v>
      </c>
      <c r="X123">
        <v>15</v>
      </c>
      <c r="Y123" t="s">
        <v>83</v>
      </c>
      <c r="Z123" t="s">
        <v>78</v>
      </c>
    </row>
    <row r="124" spans="1:26" x14ac:dyDescent="0.25">
      <c r="A124" t="s">
        <v>332</v>
      </c>
      <c r="B124" t="s">
        <v>22</v>
      </c>
      <c r="C124">
        <v>123</v>
      </c>
      <c r="E124" t="s">
        <v>76</v>
      </c>
      <c r="F124" t="s">
        <v>333</v>
      </c>
      <c r="G124" t="s">
        <v>78</v>
      </c>
      <c r="H124" t="s">
        <v>79</v>
      </c>
      <c r="I124" t="s">
        <v>22</v>
      </c>
      <c r="J124" t="b">
        <v>1</v>
      </c>
      <c r="K124" t="b">
        <v>1</v>
      </c>
      <c r="L124" t="s">
        <v>95</v>
      </c>
      <c r="M124" t="s">
        <v>81</v>
      </c>
      <c r="O124" t="s">
        <v>82</v>
      </c>
      <c r="P124">
        <v>45</v>
      </c>
      <c r="Q124">
        <v>46223</v>
      </c>
      <c r="R124">
        <v>46250</v>
      </c>
      <c r="S124">
        <v>2</v>
      </c>
      <c r="T124">
        <v>90</v>
      </c>
      <c r="U124">
        <v>11.842105263157896</v>
      </c>
      <c r="V124">
        <v>11</v>
      </c>
      <c r="W124">
        <v>20</v>
      </c>
      <c r="X124">
        <v>11</v>
      </c>
      <c r="Y124" t="s">
        <v>83</v>
      </c>
      <c r="Z124" t="s">
        <v>78</v>
      </c>
    </row>
    <row r="125" spans="1:26" x14ac:dyDescent="0.25">
      <c r="A125" t="s">
        <v>334</v>
      </c>
      <c r="B125" t="s">
        <v>29</v>
      </c>
      <c r="C125">
        <v>124</v>
      </c>
      <c r="E125" t="s">
        <v>76</v>
      </c>
      <c r="F125" t="s">
        <v>335</v>
      </c>
      <c r="G125" t="s">
        <v>78</v>
      </c>
      <c r="H125" t="s">
        <v>79</v>
      </c>
      <c r="I125" t="s">
        <v>29</v>
      </c>
      <c r="J125" t="b">
        <v>1</v>
      </c>
      <c r="K125" t="b">
        <v>1</v>
      </c>
      <c r="L125" t="s">
        <v>95</v>
      </c>
      <c r="M125" t="s">
        <v>81</v>
      </c>
      <c r="O125" t="s">
        <v>82</v>
      </c>
      <c r="P125">
        <v>32</v>
      </c>
      <c r="Q125">
        <v>46223</v>
      </c>
      <c r="R125">
        <v>46250</v>
      </c>
      <c r="S125">
        <v>2</v>
      </c>
      <c r="T125">
        <v>64</v>
      </c>
      <c r="U125">
        <v>8.4210526315789469</v>
      </c>
      <c r="V125">
        <v>8</v>
      </c>
      <c r="W125">
        <v>20</v>
      </c>
      <c r="X125">
        <v>8</v>
      </c>
      <c r="Y125" t="s">
        <v>83</v>
      </c>
      <c r="Z125" t="s">
        <v>78</v>
      </c>
    </row>
    <row r="126" spans="1:26" x14ac:dyDescent="0.25">
      <c r="A126" t="s">
        <v>336</v>
      </c>
      <c r="B126" t="s">
        <v>29</v>
      </c>
      <c r="C126">
        <v>125</v>
      </c>
      <c r="E126" t="s">
        <v>76</v>
      </c>
      <c r="F126" t="s">
        <v>337</v>
      </c>
      <c r="G126" t="s">
        <v>78</v>
      </c>
      <c r="H126" t="s">
        <v>79</v>
      </c>
      <c r="I126" t="s">
        <v>29</v>
      </c>
      <c r="J126" t="b">
        <v>1</v>
      </c>
      <c r="K126" t="b">
        <v>1</v>
      </c>
      <c r="L126" t="s">
        <v>95</v>
      </c>
      <c r="M126" t="s">
        <v>81</v>
      </c>
      <c r="O126" t="s">
        <v>82</v>
      </c>
      <c r="P126">
        <v>32</v>
      </c>
      <c r="Q126">
        <v>46223</v>
      </c>
      <c r="R126">
        <v>46250</v>
      </c>
      <c r="S126">
        <v>2</v>
      </c>
      <c r="T126">
        <v>64</v>
      </c>
      <c r="U126">
        <v>8.4210526315789469</v>
      </c>
      <c r="V126">
        <v>8</v>
      </c>
      <c r="W126">
        <v>20</v>
      </c>
      <c r="X126">
        <v>8</v>
      </c>
      <c r="Y126" t="s">
        <v>83</v>
      </c>
      <c r="Z126" t="s">
        <v>78</v>
      </c>
    </row>
    <row r="127" spans="1:26" x14ac:dyDescent="0.25">
      <c r="A127" t="s">
        <v>338</v>
      </c>
      <c r="B127" t="s">
        <v>22</v>
      </c>
      <c r="C127">
        <v>126</v>
      </c>
      <c r="E127" t="s">
        <v>76</v>
      </c>
      <c r="F127" t="s">
        <v>339</v>
      </c>
      <c r="G127" t="s">
        <v>78</v>
      </c>
      <c r="H127" t="s">
        <v>79</v>
      </c>
      <c r="I127" t="s">
        <v>22</v>
      </c>
      <c r="J127" t="b">
        <v>1</v>
      </c>
      <c r="K127" t="b">
        <v>1</v>
      </c>
      <c r="L127" t="s">
        <v>95</v>
      </c>
      <c r="M127" t="s">
        <v>81</v>
      </c>
      <c r="O127" t="s">
        <v>82</v>
      </c>
      <c r="P127">
        <v>45</v>
      </c>
      <c r="Q127">
        <v>46223</v>
      </c>
      <c r="R127">
        <v>46250</v>
      </c>
      <c r="S127">
        <v>2</v>
      </c>
      <c r="T127">
        <v>90</v>
      </c>
      <c r="U127">
        <v>11.842105263157896</v>
      </c>
      <c r="V127">
        <v>11</v>
      </c>
      <c r="W127">
        <v>20</v>
      </c>
      <c r="X127">
        <v>11</v>
      </c>
      <c r="Y127" t="s">
        <v>83</v>
      </c>
      <c r="Z127" t="s">
        <v>78</v>
      </c>
    </row>
    <row r="128" spans="1:26" x14ac:dyDescent="0.25">
      <c r="A128" t="s">
        <v>340</v>
      </c>
      <c r="B128" t="s">
        <v>29</v>
      </c>
      <c r="C128">
        <v>127</v>
      </c>
      <c r="E128" t="s">
        <v>76</v>
      </c>
      <c r="F128" t="s">
        <v>341</v>
      </c>
      <c r="G128" t="s">
        <v>78</v>
      </c>
      <c r="H128" t="s">
        <v>79</v>
      </c>
      <c r="I128" t="s">
        <v>29</v>
      </c>
      <c r="J128" t="b">
        <v>1</v>
      </c>
      <c r="K128" t="b">
        <v>0</v>
      </c>
      <c r="L128" t="s">
        <v>92</v>
      </c>
      <c r="M128" t="s">
        <v>81</v>
      </c>
      <c r="O128" t="s">
        <v>82</v>
      </c>
      <c r="P128">
        <v>32</v>
      </c>
      <c r="Q128">
        <v>46223</v>
      </c>
      <c r="R128">
        <v>46250</v>
      </c>
      <c r="S128">
        <v>2</v>
      </c>
      <c r="T128">
        <v>64</v>
      </c>
      <c r="U128">
        <v>8.4210526315789469</v>
      </c>
      <c r="V128">
        <v>8</v>
      </c>
      <c r="W128">
        <v>20</v>
      </c>
      <c r="X128">
        <v>8</v>
      </c>
      <c r="Y128" t="s">
        <v>83</v>
      </c>
      <c r="Z128" t="s">
        <v>78</v>
      </c>
    </row>
    <row r="129" spans="1:26" x14ac:dyDescent="0.25">
      <c r="A129" t="s">
        <v>342</v>
      </c>
      <c r="B129" t="s">
        <v>22</v>
      </c>
      <c r="C129">
        <v>128</v>
      </c>
      <c r="D129" t="s">
        <v>40</v>
      </c>
      <c r="E129" t="s">
        <v>76</v>
      </c>
      <c r="F129" t="s">
        <v>343</v>
      </c>
      <c r="G129" t="s">
        <v>78</v>
      </c>
      <c r="H129" t="s">
        <v>88</v>
      </c>
      <c r="I129" t="s">
        <v>22</v>
      </c>
      <c r="J129" t="b">
        <v>0</v>
      </c>
      <c r="K129" t="b">
        <v>1</v>
      </c>
      <c r="L129" t="s">
        <v>80</v>
      </c>
      <c r="M129" t="s">
        <v>81</v>
      </c>
      <c r="O129" t="s">
        <v>89</v>
      </c>
      <c r="P129">
        <v>76</v>
      </c>
      <c r="Q129">
        <v>46223</v>
      </c>
      <c r="R129">
        <v>46250</v>
      </c>
      <c r="S129">
        <v>2</v>
      </c>
      <c r="T129">
        <v>152</v>
      </c>
      <c r="U129">
        <v>20</v>
      </c>
      <c r="V129">
        <v>20</v>
      </c>
      <c r="W129">
        <v>20</v>
      </c>
      <c r="X129">
        <v>20</v>
      </c>
      <c r="Y129" t="s">
        <v>89</v>
      </c>
      <c r="Z129" t="s">
        <v>78</v>
      </c>
    </row>
    <row r="130" spans="1:26" x14ac:dyDescent="0.25">
      <c r="A130" t="s">
        <v>344</v>
      </c>
      <c r="B130" t="s">
        <v>22</v>
      </c>
      <c r="C130">
        <v>129</v>
      </c>
      <c r="E130" t="s">
        <v>76</v>
      </c>
      <c r="F130" t="s">
        <v>345</v>
      </c>
      <c r="G130" t="s">
        <v>78</v>
      </c>
      <c r="H130" t="s">
        <v>88</v>
      </c>
      <c r="I130" t="s">
        <v>22</v>
      </c>
      <c r="J130" t="b">
        <v>1</v>
      </c>
      <c r="K130" t="b">
        <v>1</v>
      </c>
      <c r="L130" t="s">
        <v>95</v>
      </c>
      <c r="M130" t="s">
        <v>81</v>
      </c>
      <c r="O130" t="s">
        <v>89</v>
      </c>
      <c r="P130">
        <v>76</v>
      </c>
      <c r="Q130">
        <v>46223</v>
      </c>
      <c r="R130">
        <v>46250</v>
      </c>
      <c r="S130">
        <v>2</v>
      </c>
      <c r="T130">
        <v>152</v>
      </c>
      <c r="U130">
        <v>20</v>
      </c>
      <c r="V130">
        <v>20</v>
      </c>
      <c r="W130">
        <v>20</v>
      </c>
      <c r="X130">
        <v>20</v>
      </c>
      <c r="Y130" t="s">
        <v>89</v>
      </c>
      <c r="Z130" t="s">
        <v>78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6856-1D98-4E1C-9FE6-017B0DA5C2C1}">
  <dimension ref="A1:Z252"/>
  <sheetViews>
    <sheetView tabSelected="1" workbookViewId="0">
      <selection activeCell="C40" sqref="C40"/>
    </sheetView>
  </sheetViews>
  <sheetFormatPr defaultRowHeight="15" x14ac:dyDescent="0.25"/>
  <cols>
    <col min="1" max="1" width="25.14062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customWidth="1"/>
  </cols>
  <sheetData>
    <row r="1" spans="1:26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</row>
    <row r="2" spans="1:26" hidden="1" x14ac:dyDescent="0.25">
      <c r="A2" t="s">
        <v>75</v>
      </c>
      <c r="B2" t="s">
        <v>22</v>
      </c>
      <c r="C2">
        <v>1</v>
      </c>
      <c r="D2" t="s">
        <v>40</v>
      </c>
      <c r="E2" t="s">
        <v>76</v>
      </c>
      <c r="F2" t="s">
        <v>77</v>
      </c>
      <c r="G2" t="s">
        <v>78</v>
      </c>
      <c r="H2" t="s">
        <v>79</v>
      </c>
      <c r="I2" t="s">
        <v>22</v>
      </c>
      <c r="J2" t="b">
        <v>0</v>
      </c>
      <c r="K2" t="b">
        <v>1</v>
      </c>
      <c r="L2" t="s">
        <v>80</v>
      </c>
      <c r="M2" t="s">
        <v>81</v>
      </c>
      <c r="O2" t="s">
        <v>82</v>
      </c>
      <c r="P2">
        <v>72.5</v>
      </c>
      <c r="Q2">
        <v>46223</v>
      </c>
      <c r="R2">
        <v>46250</v>
      </c>
      <c r="S2">
        <v>2</v>
      </c>
      <c r="T2">
        <v>145</v>
      </c>
      <c r="U2">
        <v>19.078947368421055</v>
      </c>
      <c r="V2">
        <v>19</v>
      </c>
      <c r="W2">
        <v>20</v>
      </c>
      <c r="X2">
        <v>19</v>
      </c>
      <c r="Y2" t="s">
        <v>83</v>
      </c>
      <c r="Z2" t="s">
        <v>78</v>
      </c>
    </row>
    <row r="3" spans="1:26" hidden="1" x14ac:dyDescent="0.25">
      <c r="A3" t="s">
        <v>84</v>
      </c>
      <c r="B3" t="s">
        <v>22</v>
      </c>
      <c r="C3">
        <v>2</v>
      </c>
      <c r="D3" t="s">
        <v>40</v>
      </c>
      <c r="E3" t="s">
        <v>76</v>
      </c>
      <c r="F3" t="s">
        <v>85</v>
      </c>
      <c r="G3" t="s">
        <v>78</v>
      </c>
      <c r="H3" t="s">
        <v>79</v>
      </c>
      <c r="I3" t="s">
        <v>22</v>
      </c>
      <c r="J3" t="b">
        <v>0</v>
      </c>
      <c r="K3" t="b">
        <v>1</v>
      </c>
      <c r="L3" t="s">
        <v>80</v>
      </c>
      <c r="M3" t="s">
        <v>81</v>
      </c>
      <c r="O3" t="s">
        <v>82</v>
      </c>
      <c r="P3">
        <v>60</v>
      </c>
      <c r="Q3">
        <v>46223</v>
      </c>
      <c r="R3">
        <v>46250</v>
      </c>
      <c r="S3">
        <v>2</v>
      </c>
      <c r="T3">
        <v>120</v>
      </c>
      <c r="U3">
        <v>15.789473684210527</v>
      </c>
      <c r="V3">
        <v>15</v>
      </c>
      <c r="W3">
        <v>20</v>
      </c>
      <c r="X3">
        <v>15</v>
      </c>
      <c r="Y3" t="s">
        <v>83</v>
      </c>
      <c r="Z3" t="s">
        <v>78</v>
      </c>
    </row>
    <row r="4" spans="1:26" hidden="1" x14ac:dyDescent="0.25">
      <c r="A4" t="s">
        <v>86</v>
      </c>
      <c r="B4" t="s">
        <v>22</v>
      </c>
      <c r="C4">
        <v>3</v>
      </c>
      <c r="D4" t="s">
        <v>40</v>
      </c>
      <c r="E4" t="s">
        <v>76</v>
      </c>
      <c r="F4" t="s">
        <v>87</v>
      </c>
      <c r="G4" t="s">
        <v>78</v>
      </c>
      <c r="H4" t="s">
        <v>88</v>
      </c>
      <c r="I4" t="s">
        <v>22</v>
      </c>
      <c r="J4" t="b">
        <v>0</v>
      </c>
      <c r="K4" t="b">
        <v>1</v>
      </c>
      <c r="L4" t="s">
        <v>80</v>
      </c>
      <c r="M4" t="s">
        <v>81</v>
      </c>
      <c r="O4" t="s">
        <v>89</v>
      </c>
      <c r="P4">
        <v>76</v>
      </c>
      <c r="Q4">
        <v>46223</v>
      </c>
      <c r="R4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89</v>
      </c>
      <c r="Z4" t="s">
        <v>78</v>
      </c>
    </row>
    <row r="5" spans="1:26" hidden="1" x14ac:dyDescent="0.25">
      <c r="A5" t="s">
        <v>90</v>
      </c>
      <c r="B5" t="s">
        <v>29</v>
      </c>
      <c r="C5">
        <v>4</v>
      </c>
      <c r="E5" t="s">
        <v>76</v>
      </c>
      <c r="F5" t="s">
        <v>91</v>
      </c>
      <c r="G5" t="s">
        <v>78</v>
      </c>
      <c r="H5" t="s">
        <v>88</v>
      </c>
      <c r="I5" t="s">
        <v>29</v>
      </c>
      <c r="J5" t="b">
        <v>1</v>
      </c>
      <c r="K5" t="b">
        <v>0</v>
      </c>
      <c r="L5" t="s">
        <v>92</v>
      </c>
      <c r="M5" t="s">
        <v>81</v>
      </c>
      <c r="O5" t="s">
        <v>89</v>
      </c>
      <c r="P5">
        <v>76</v>
      </c>
      <c r="Q5">
        <v>46223</v>
      </c>
      <c r="R5">
        <v>46250</v>
      </c>
      <c r="S5">
        <v>2</v>
      </c>
      <c r="T5">
        <v>152</v>
      </c>
      <c r="U5">
        <v>20</v>
      </c>
      <c r="V5">
        <v>20</v>
      </c>
      <c r="W5">
        <v>20</v>
      </c>
      <c r="X5">
        <v>20</v>
      </c>
      <c r="Y5" t="s">
        <v>89</v>
      </c>
      <c r="Z5" t="s">
        <v>78</v>
      </c>
    </row>
    <row r="6" spans="1:26" hidden="1" x14ac:dyDescent="0.25">
      <c r="A6" t="s">
        <v>93</v>
      </c>
      <c r="B6" t="s">
        <v>22</v>
      </c>
      <c r="C6">
        <v>5</v>
      </c>
      <c r="E6" t="s">
        <v>76</v>
      </c>
      <c r="F6" t="s">
        <v>94</v>
      </c>
      <c r="G6" t="s">
        <v>78</v>
      </c>
      <c r="H6" t="s">
        <v>88</v>
      </c>
      <c r="I6" t="s">
        <v>22</v>
      </c>
      <c r="J6" t="b">
        <v>1</v>
      </c>
      <c r="K6" t="b">
        <v>1</v>
      </c>
      <c r="L6" t="s">
        <v>95</v>
      </c>
      <c r="M6" t="s">
        <v>81</v>
      </c>
      <c r="O6" t="s">
        <v>89</v>
      </c>
      <c r="P6">
        <v>76</v>
      </c>
      <c r="Q6">
        <v>46223</v>
      </c>
      <c r="R6">
        <v>46250</v>
      </c>
      <c r="S6">
        <v>2</v>
      </c>
      <c r="T6">
        <v>152</v>
      </c>
      <c r="U6">
        <v>20</v>
      </c>
      <c r="V6">
        <v>20</v>
      </c>
      <c r="W6">
        <v>20</v>
      </c>
      <c r="X6">
        <v>20</v>
      </c>
      <c r="Y6" t="s">
        <v>89</v>
      </c>
      <c r="Z6" t="s">
        <v>78</v>
      </c>
    </row>
    <row r="7" spans="1:26" hidden="1" x14ac:dyDescent="0.25">
      <c r="A7" t="s">
        <v>96</v>
      </c>
      <c r="B7" t="s">
        <v>31</v>
      </c>
      <c r="C7">
        <v>6</v>
      </c>
      <c r="E7" t="s">
        <v>76</v>
      </c>
      <c r="F7" t="s">
        <v>97</v>
      </c>
      <c r="G7" t="s">
        <v>78</v>
      </c>
      <c r="H7" t="s">
        <v>79</v>
      </c>
      <c r="I7" t="s">
        <v>31</v>
      </c>
      <c r="J7" t="b">
        <v>1</v>
      </c>
      <c r="K7" t="b">
        <v>1</v>
      </c>
      <c r="L7" t="s">
        <v>95</v>
      </c>
      <c r="M7" t="s">
        <v>81</v>
      </c>
      <c r="O7" t="s">
        <v>82</v>
      </c>
      <c r="P7">
        <v>54</v>
      </c>
      <c r="Q7">
        <v>46223</v>
      </c>
      <c r="R7">
        <v>46250</v>
      </c>
      <c r="S7">
        <v>2</v>
      </c>
      <c r="T7">
        <v>108</v>
      </c>
      <c r="U7">
        <v>14.210526315789474</v>
      </c>
      <c r="V7">
        <v>14</v>
      </c>
      <c r="W7">
        <v>20</v>
      </c>
      <c r="X7">
        <v>14</v>
      </c>
      <c r="Y7" t="s">
        <v>83</v>
      </c>
      <c r="Z7" t="s">
        <v>78</v>
      </c>
    </row>
    <row r="8" spans="1:26" hidden="1" x14ac:dyDescent="0.25">
      <c r="A8" t="s">
        <v>98</v>
      </c>
      <c r="B8" t="s">
        <v>29</v>
      </c>
      <c r="C8">
        <v>7</v>
      </c>
      <c r="E8" t="s">
        <v>76</v>
      </c>
      <c r="F8" t="s">
        <v>99</v>
      </c>
      <c r="G8" t="s">
        <v>78</v>
      </c>
      <c r="H8" t="s">
        <v>79</v>
      </c>
      <c r="I8" t="s">
        <v>29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64</v>
      </c>
      <c r="Q8">
        <v>46223</v>
      </c>
      <c r="R8">
        <v>46250</v>
      </c>
      <c r="S8">
        <v>2</v>
      </c>
      <c r="T8">
        <v>128</v>
      </c>
      <c r="U8">
        <v>16.842105263157894</v>
      </c>
      <c r="V8">
        <v>16</v>
      </c>
      <c r="W8">
        <v>20</v>
      </c>
      <c r="X8">
        <v>16</v>
      </c>
      <c r="Y8" t="s">
        <v>83</v>
      </c>
      <c r="Z8" t="s">
        <v>78</v>
      </c>
    </row>
    <row r="9" spans="1:26" hidden="1" x14ac:dyDescent="0.25">
      <c r="A9" t="s">
        <v>100</v>
      </c>
      <c r="B9" t="s">
        <v>29</v>
      </c>
      <c r="C9">
        <v>8</v>
      </c>
      <c r="E9" t="s">
        <v>76</v>
      </c>
      <c r="F9" t="s">
        <v>101</v>
      </c>
      <c r="G9" t="s">
        <v>78</v>
      </c>
      <c r="H9" t="s">
        <v>88</v>
      </c>
      <c r="I9" t="s">
        <v>29</v>
      </c>
      <c r="J9" t="b">
        <v>1</v>
      </c>
      <c r="K9" t="b">
        <v>1</v>
      </c>
      <c r="L9" t="s">
        <v>95</v>
      </c>
      <c r="M9" t="s">
        <v>81</v>
      </c>
      <c r="O9" t="s">
        <v>89</v>
      </c>
      <c r="P9">
        <v>76</v>
      </c>
      <c r="Q9">
        <v>46223</v>
      </c>
      <c r="R9">
        <v>46250</v>
      </c>
      <c r="S9">
        <v>2</v>
      </c>
      <c r="T9">
        <v>152</v>
      </c>
      <c r="U9">
        <v>20</v>
      </c>
      <c r="V9">
        <v>20</v>
      </c>
      <c r="W9">
        <v>20</v>
      </c>
      <c r="X9">
        <v>20</v>
      </c>
      <c r="Y9" t="s">
        <v>89</v>
      </c>
      <c r="Z9" t="s">
        <v>78</v>
      </c>
    </row>
    <row r="10" spans="1:26" hidden="1" x14ac:dyDescent="0.25">
      <c r="A10" t="s">
        <v>102</v>
      </c>
      <c r="B10" t="s">
        <v>22</v>
      </c>
      <c r="C10">
        <v>9</v>
      </c>
      <c r="E10" t="s">
        <v>76</v>
      </c>
      <c r="F10" t="s">
        <v>103</v>
      </c>
      <c r="G10" t="s">
        <v>78</v>
      </c>
      <c r="H10" t="s">
        <v>79</v>
      </c>
      <c r="I10" t="s">
        <v>22</v>
      </c>
      <c r="J10" t="b">
        <v>1</v>
      </c>
      <c r="K10" t="b">
        <v>1</v>
      </c>
      <c r="L10" t="s">
        <v>95</v>
      </c>
      <c r="M10" t="s">
        <v>81</v>
      </c>
      <c r="O10" t="s">
        <v>82</v>
      </c>
      <c r="P10">
        <v>37.5</v>
      </c>
      <c r="Q10">
        <v>46223</v>
      </c>
      <c r="R10">
        <v>46250</v>
      </c>
      <c r="S10">
        <v>2</v>
      </c>
      <c r="T10">
        <v>75</v>
      </c>
      <c r="U10">
        <v>9.8684210526315788</v>
      </c>
      <c r="V10">
        <v>9</v>
      </c>
      <c r="W10">
        <v>20</v>
      </c>
      <c r="X10">
        <v>9</v>
      </c>
      <c r="Y10" t="s">
        <v>83</v>
      </c>
      <c r="Z10" t="s">
        <v>78</v>
      </c>
    </row>
    <row r="11" spans="1:26" hidden="1" x14ac:dyDescent="0.25">
      <c r="A11" t="s">
        <v>104</v>
      </c>
      <c r="B11" t="s">
        <v>31</v>
      </c>
      <c r="C11">
        <v>10</v>
      </c>
      <c r="D11" t="s">
        <v>40</v>
      </c>
      <c r="E11" t="s">
        <v>76</v>
      </c>
      <c r="F11" t="s">
        <v>105</v>
      </c>
      <c r="G11" t="s">
        <v>78</v>
      </c>
      <c r="H11" t="s">
        <v>79</v>
      </c>
      <c r="I11" t="s">
        <v>31</v>
      </c>
      <c r="J11" t="b">
        <v>0</v>
      </c>
      <c r="K11" t="b">
        <v>1</v>
      </c>
      <c r="L11" t="s">
        <v>80</v>
      </c>
      <c r="M11" t="s">
        <v>81</v>
      </c>
      <c r="O11" t="s">
        <v>82</v>
      </c>
      <c r="P11">
        <v>15</v>
      </c>
      <c r="Q11">
        <v>46223</v>
      </c>
      <c r="R11">
        <v>46250</v>
      </c>
      <c r="S11">
        <v>2</v>
      </c>
      <c r="T11">
        <v>30</v>
      </c>
      <c r="U11">
        <v>3.9473684210526319</v>
      </c>
      <c r="V11">
        <v>3</v>
      </c>
      <c r="W11">
        <v>20</v>
      </c>
      <c r="X11">
        <v>3</v>
      </c>
      <c r="Y11" t="s">
        <v>83</v>
      </c>
      <c r="Z11" t="s">
        <v>78</v>
      </c>
    </row>
    <row r="12" spans="1:26" hidden="1" x14ac:dyDescent="0.25">
      <c r="A12" t="s">
        <v>106</v>
      </c>
      <c r="B12" t="s">
        <v>22</v>
      </c>
      <c r="C12">
        <v>11</v>
      </c>
      <c r="E12" t="s">
        <v>76</v>
      </c>
      <c r="F12" t="s">
        <v>107</v>
      </c>
      <c r="G12" t="s">
        <v>78</v>
      </c>
      <c r="H12" t="s">
        <v>79</v>
      </c>
      <c r="I12" t="s">
        <v>22</v>
      </c>
      <c r="J12" t="b">
        <v>1</v>
      </c>
      <c r="K12" t="b">
        <v>1</v>
      </c>
      <c r="L12" t="s">
        <v>95</v>
      </c>
      <c r="M12" t="s">
        <v>81</v>
      </c>
      <c r="O12" t="s">
        <v>82</v>
      </c>
      <c r="P12">
        <v>60</v>
      </c>
      <c r="Q12">
        <v>46223</v>
      </c>
      <c r="R12">
        <v>46250</v>
      </c>
      <c r="S12">
        <v>2</v>
      </c>
      <c r="T12">
        <v>120</v>
      </c>
      <c r="U12">
        <v>15.789473684210527</v>
      </c>
      <c r="V12">
        <v>15</v>
      </c>
      <c r="W12">
        <v>20</v>
      </c>
      <c r="X12">
        <v>15</v>
      </c>
      <c r="Y12" t="s">
        <v>83</v>
      </c>
      <c r="Z12" t="s">
        <v>78</v>
      </c>
    </row>
    <row r="13" spans="1:26" hidden="1" x14ac:dyDescent="0.25">
      <c r="A13" t="s">
        <v>108</v>
      </c>
      <c r="B13" t="s">
        <v>22</v>
      </c>
      <c r="C13">
        <v>12</v>
      </c>
      <c r="E13" t="s">
        <v>76</v>
      </c>
      <c r="F13" t="s">
        <v>109</v>
      </c>
      <c r="G13" t="s">
        <v>78</v>
      </c>
      <c r="H13" t="s">
        <v>110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76</v>
      </c>
      <c r="Q13">
        <v>46223</v>
      </c>
      <c r="R13">
        <v>46250</v>
      </c>
      <c r="S13">
        <v>2</v>
      </c>
      <c r="T13">
        <v>152</v>
      </c>
      <c r="U13">
        <v>20</v>
      </c>
      <c r="V13">
        <v>20</v>
      </c>
      <c r="W13">
        <v>20</v>
      </c>
      <c r="X13">
        <v>20</v>
      </c>
      <c r="Y13" t="s">
        <v>111</v>
      </c>
      <c r="Z13" t="s">
        <v>78</v>
      </c>
    </row>
    <row r="14" spans="1:26" hidden="1" x14ac:dyDescent="0.25">
      <c r="A14" t="s">
        <v>112</v>
      </c>
      <c r="B14" t="s">
        <v>31</v>
      </c>
      <c r="C14">
        <v>13</v>
      </c>
      <c r="E14" t="s">
        <v>76</v>
      </c>
      <c r="F14" t="s">
        <v>113</v>
      </c>
      <c r="G14" t="s">
        <v>78</v>
      </c>
      <c r="H14" t="s">
        <v>79</v>
      </c>
      <c r="I14" t="s">
        <v>31</v>
      </c>
      <c r="J14" t="b">
        <v>1</v>
      </c>
      <c r="K14" t="b">
        <v>1</v>
      </c>
      <c r="L14" t="s">
        <v>95</v>
      </c>
      <c r="M14" t="s">
        <v>81</v>
      </c>
      <c r="O14" t="s">
        <v>82</v>
      </c>
      <c r="P14">
        <v>32</v>
      </c>
      <c r="Q14">
        <v>46223</v>
      </c>
      <c r="R14">
        <v>46250</v>
      </c>
      <c r="S14">
        <v>2</v>
      </c>
      <c r="T14">
        <v>64</v>
      </c>
      <c r="U14">
        <v>8.4210526315789469</v>
      </c>
      <c r="V14">
        <v>8</v>
      </c>
      <c r="W14">
        <v>20</v>
      </c>
      <c r="X14">
        <v>8</v>
      </c>
      <c r="Y14" t="s">
        <v>83</v>
      </c>
      <c r="Z14" t="s">
        <v>78</v>
      </c>
    </row>
    <row r="15" spans="1:26" hidden="1" x14ac:dyDescent="0.25">
      <c r="A15" t="s">
        <v>114</v>
      </c>
      <c r="B15" t="s">
        <v>31</v>
      </c>
      <c r="C15">
        <v>14</v>
      </c>
      <c r="E15" t="s">
        <v>76</v>
      </c>
      <c r="F15" t="s">
        <v>115</v>
      </c>
      <c r="G15" t="s">
        <v>78</v>
      </c>
      <c r="H15" t="s">
        <v>79</v>
      </c>
      <c r="I15" t="s">
        <v>31</v>
      </c>
      <c r="J15" t="b">
        <v>1</v>
      </c>
      <c r="K15" t="b">
        <v>1</v>
      </c>
      <c r="L15" t="s">
        <v>95</v>
      </c>
      <c r="M15" t="s">
        <v>81</v>
      </c>
      <c r="O15" t="s">
        <v>82</v>
      </c>
      <c r="P15">
        <v>39.5</v>
      </c>
      <c r="Q15">
        <v>46223</v>
      </c>
      <c r="R15">
        <v>46250</v>
      </c>
      <c r="S15">
        <v>2</v>
      </c>
      <c r="T15">
        <v>79</v>
      </c>
      <c r="U15">
        <v>10.394736842105264</v>
      </c>
      <c r="V15">
        <v>10</v>
      </c>
      <c r="W15">
        <v>20</v>
      </c>
      <c r="X15">
        <v>10</v>
      </c>
      <c r="Y15" t="s">
        <v>83</v>
      </c>
      <c r="Z15" t="s">
        <v>78</v>
      </c>
    </row>
    <row r="16" spans="1:26" hidden="1" x14ac:dyDescent="0.25">
      <c r="A16" t="s">
        <v>116</v>
      </c>
      <c r="B16" t="s">
        <v>22</v>
      </c>
      <c r="C16">
        <v>15</v>
      </c>
      <c r="E16" t="s">
        <v>76</v>
      </c>
      <c r="F16" t="s">
        <v>117</v>
      </c>
      <c r="G16" t="s">
        <v>78</v>
      </c>
      <c r="H16" t="s">
        <v>88</v>
      </c>
      <c r="I16" t="s">
        <v>22</v>
      </c>
      <c r="J16" t="b">
        <v>1</v>
      </c>
      <c r="K16" t="b">
        <v>1</v>
      </c>
      <c r="L16" t="s">
        <v>95</v>
      </c>
      <c r="M16" t="s">
        <v>81</v>
      </c>
      <c r="O16" t="s">
        <v>89</v>
      </c>
      <c r="P16">
        <v>76</v>
      </c>
      <c r="Q16">
        <v>46223</v>
      </c>
      <c r="R16">
        <v>46250</v>
      </c>
      <c r="S16">
        <v>2</v>
      </c>
      <c r="T16">
        <v>152</v>
      </c>
      <c r="U16">
        <v>20</v>
      </c>
      <c r="V16">
        <v>20</v>
      </c>
      <c r="W16">
        <v>20</v>
      </c>
      <c r="X16">
        <v>20</v>
      </c>
      <c r="Y16" t="s">
        <v>89</v>
      </c>
      <c r="Z16" t="s">
        <v>78</v>
      </c>
    </row>
    <row r="17" spans="1:26" hidden="1" x14ac:dyDescent="0.25">
      <c r="A17" t="s">
        <v>118</v>
      </c>
      <c r="B17" t="s">
        <v>22</v>
      </c>
      <c r="C17">
        <v>16</v>
      </c>
      <c r="E17" t="s">
        <v>76</v>
      </c>
      <c r="F17" t="s">
        <v>119</v>
      </c>
      <c r="G17" t="s">
        <v>78</v>
      </c>
      <c r="H17" t="s">
        <v>79</v>
      </c>
      <c r="I17" t="s">
        <v>22</v>
      </c>
      <c r="J17" t="b">
        <v>1</v>
      </c>
      <c r="K17" t="b">
        <v>1</v>
      </c>
      <c r="L17" t="s">
        <v>95</v>
      </c>
      <c r="M17" t="s">
        <v>81</v>
      </c>
      <c r="O17" t="s">
        <v>82</v>
      </c>
      <c r="P17">
        <v>75</v>
      </c>
      <c r="Q17">
        <v>46223</v>
      </c>
      <c r="R17">
        <v>46250</v>
      </c>
      <c r="S17">
        <v>2</v>
      </c>
      <c r="T17">
        <v>150</v>
      </c>
      <c r="U17">
        <v>19.736842105263161</v>
      </c>
      <c r="V17">
        <v>19</v>
      </c>
      <c r="W17">
        <v>20</v>
      </c>
      <c r="X17">
        <v>19</v>
      </c>
      <c r="Y17" t="s">
        <v>83</v>
      </c>
      <c r="Z17" t="s">
        <v>78</v>
      </c>
    </row>
    <row r="18" spans="1:26" hidden="1" x14ac:dyDescent="0.25">
      <c r="A18" t="s">
        <v>120</v>
      </c>
      <c r="B18" t="s">
        <v>22</v>
      </c>
      <c r="C18">
        <v>17</v>
      </c>
      <c r="E18" t="s">
        <v>76</v>
      </c>
      <c r="F18" t="s">
        <v>121</v>
      </c>
      <c r="G18" t="s">
        <v>78</v>
      </c>
      <c r="H18" t="s">
        <v>79</v>
      </c>
      <c r="I18" t="s">
        <v>22</v>
      </c>
      <c r="J18" t="b">
        <v>1</v>
      </c>
      <c r="K18" t="b">
        <v>1</v>
      </c>
      <c r="L18" t="s">
        <v>95</v>
      </c>
      <c r="M18" t="s">
        <v>81</v>
      </c>
      <c r="O18" t="s">
        <v>82</v>
      </c>
      <c r="P18">
        <v>52.5</v>
      </c>
      <c r="Q18">
        <v>46223</v>
      </c>
      <c r="R18">
        <v>46250</v>
      </c>
      <c r="S18">
        <v>2</v>
      </c>
      <c r="T18">
        <v>105</v>
      </c>
      <c r="U18">
        <v>13.815789473684212</v>
      </c>
      <c r="V18">
        <v>13</v>
      </c>
      <c r="W18">
        <v>20</v>
      </c>
      <c r="X18">
        <v>13</v>
      </c>
      <c r="Y18" t="s">
        <v>83</v>
      </c>
      <c r="Z18" t="s">
        <v>78</v>
      </c>
    </row>
    <row r="19" spans="1:26" hidden="1" x14ac:dyDescent="0.25">
      <c r="A19" t="s">
        <v>122</v>
      </c>
      <c r="B19" t="s">
        <v>22</v>
      </c>
      <c r="C19">
        <v>18</v>
      </c>
      <c r="E19" t="s">
        <v>76</v>
      </c>
      <c r="F19" t="s">
        <v>123</v>
      </c>
      <c r="G19" t="s">
        <v>78</v>
      </c>
      <c r="H19" t="s">
        <v>79</v>
      </c>
      <c r="I19" t="s">
        <v>22</v>
      </c>
      <c r="J19" t="b">
        <v>1</v>
      </c>
      <c r="K19" t="b">
        <v>1</v>
      </c>
      <c r="L19" t="s">
        <v>95</v>
      </c>
      <c r="M19" t="s">
        <v>81</v>
      </c>
      <c r="O19" t="s">
        <v>82</v>
      </c>
      <c r="P19">
        <v>66.5</v>
      </c>
      <c r="Q19">
        <v>46223</v>
      </c>
      <c r="R19">
        <v>46250</v>
      </c>
      <c r="S19">
        <v>2</v>
      </c>
      <c r="T19">
        <v>133</v>
      </c>
      <c r="U19">
        <v>17.5</v>
      </c>
      <c r="V19">
        <v>17</v>
      </c>
      <c r="W19">
        <v>20</v>
      </c>
      <c r="X19">
        <v>17</v>
      </c>
      <c r="Y19" t="s">
        <v>83</v>
      </c>
      <c r="Z19" t="s">
        <v>78</v>
      </c>
    </row>
    <row r="20" spans="1:26" hidden="1" x14ac:dyDescent="0.25">
      <c r="A20" t="s">
        <v>124</v>
      </c>
      <c r="B20" t="s">
        <v>22</v>
      </c>
      <c r="C20">
        <v>19</v>
      </c>
      <c r="E20" t="s">
        <v>76</v>
      </c>
      <c r="F20" t="s">
        <v>125</v>
      </c>
      <c r="G20" t="s">
        <v>78</v>
      </c>
      <c r="H20" t="s">
        <v>79</v>
      </c>
      <c r="I20" t="s">
        <v>22</v>
      </c>
      <c r="J20" t="b">
        <v>1</v>
      </c>
      <c r="K20" t="b">
        <v>1</v>
      </c>
      <c r="L20" t="s">
        <v>95</v>
      </c>
      <c r="M20" t="s">
        <v>81</v>
      </c>
      <c r="O20" t="s">
        <v>82</v>
      </c>
      <c r="P20">
        <v>52.5</v>
      </c>
      <c r="Q20">
        <v>46223</v>
      </c>
      <c r="R20">
        <v>46250</v>
      </c>
      <c r="S20">
        <v>2</v>
      </c>
      <c r="T20">
        <v>105</v>
      </c>
      <c r="U20">
        <v>13.815789473684212</v>
      </c>
      <c r="V20">
        <v>13</v>
      </c>
      <c r="W20">
        <v>20</v>
      </c>
      <c r="X20">
        <v>13</v>
      </c>
      <c r="Y20" t="s">
        <v>83</v>
      </c>
      <c r="Z20" t="s">
        <v>78</v>
      </c>
    </row>
    <row r="21" spans="1:26" hidden="1" x14ac:dyDescent="0.25">
      <c r="A21" t="s">
        <v>126</v>
      </c>
      <c r="B21" t="s">
        <v>22</v>
      </c>
      <c r="C21">
        <v>20</v>
      </c>
      <c r="E21" t="s">
        <v>76</v>
      </c>
      <c r="F21" t="s">
        <v>127</v>
      </c>
      <c r="G21" t="s">
        <v>78</v>
      </c>
      <c r="H21" t="s">
        <v>79</v>
      </c>
      <c r="I21" t="s">
        <v>22</v>
      </c>
      <c r="J21" t="b">
        <v>1</v>
      </c>
      <c r="K21" t="b">
        <v>1</v>
      </c>
      <c r="L21" t="s">
        <v>95</v>
      </c>
      <c r="M21" t="s">
        <v>81</v>
      </c>
      <c r="O21" t="s">
        <v>82</v>
      </c>
      <c r="P21">
        <v>52.5</v>
      </c>
      <c r="Q21">
        <v>46223</v>
      </c>
      <c r="R21">
        <v>46250</v>
      </c>
      <c r="S21">
        <v>2</v>
      </c>
      <c r="T21">
        <v>105</v>
      </c>
      <c r="U21">
        <v>13.815789473684212</v>
      </c>
      <c r="V21">
        <v>13</v>
      </c>
      <c r="W21">
        <v>20</v>
      </c>
      <c r="X21">
        <v>13</v>
      </c>
      <c r="Y21" t="s">
        <v>83</v>
      </c>
      <c r="Z21" t="s">
        <v>78</v>
      </c>
    </row>
    <row r="22" spans="1:26" hidden="1" x14ac:dyDescent="0.25">
      <c r="A22" t="s">
        <v>128</v>
      </c>
      <c r="B22" t="s">
        <v>31</v>
      </c>
      <c r="C22">
        <v>21</v>
      </c>
      <c r="E22" t="s">
        <v>76</v>
      </c>
      <c r="F22" t="s">
        <v>129</v>
      </c>
      <c r="G22" t="s">
        <v>78</v>
      </c>
      <c r="H22" t="s">
        <v>79</v>
      </c>
      <c r="I22" t="s">
        <v>31</v>
      </c>
      <c r="J22" t="b">
        <v>1</v>
      </c>
      <c r="K22" t="b">
        <v>1</v>
      </c>
      <c r="L22" t="s">
        <v>95</v>
      </c>
      <c r="M22" t="s">
        <v>81</v>
      </c>
      <c r="O22" t="s">
        <v>82</v>
      </c>
      <c r="P22">
        <v>48</v>
      </c>
      <c r="Q22">
        <v>46223</v>
      </c>
      <c r="R22">
        <v>46250</v>
      </c>
      <c r="S22">
        <v>2</v>
      </c>
      <c r="T22">
        <v>96</v>
      </c>
      <c r="U22">
        <v>12.631578947368419</v>
      </c>
      <c r="V22">
        <v>12</v>
      </c>
      <c r="W22">
        <v>20</v>
      </c>
      <c r="X22">
        <v>12</v>
      </c>
      <c r="Y22" t="s">
        <v>83</v>
      </c>
      <c r="Z22" t="s">
        <v>78</v>
      </c>
    </row>
    <row r="23" spans="1:26" hidden="1" x14ac:dyDescent="0.25">
      <c r="A23" t="s">
        <v>130</v>
      </c>
      <c r="B23" t="s">
        <v>29</v>
      </c>
      <c r="C23">
        <v>22</v>
      </c>
      <c r="E23" t="s">
        <v>76</v>
      </c>
      <c r="F23" t="s">
        <v>131</v>
      </c>
      <c r="G23" t="s">
        <v>78</v>
      </c>
      <c r="H23" t="s">
        <v>79</v>
      </c>
      <c r="I23" t="s">
        <v>29</v>
      </c>
      <c r="J23" t="b">
        <v>1</v>
      </c>
      <c r="K23" t="b">
        <v>1</v>
      </c>
      <c r="L23" t="s">
        <v>95</v>
      </c>
      <c r="M23" t="s">
        <v>81</v>
      </c>
      <c r="O23" t="s">
        <v>82</v>
      </c>
      <c r="P23">
        <v>45</v>
      </c>
      <c r="Q23">
        <v>46223</v>
      </c>
      <c r="R23">
        <v>46250</v>
      </c>
      <c r="S23">
        <v>2</v>
      </c>
      <c r="T23">
        <v>90</v>
      </c>
      <c r="U23">
        <v>11.842105263157896</v>
      </c>
      <c r="V23">
        <v>11</v>
      </c>
      <c r="W23">
        <v>20</v>
      </c>
      <c r="X23">
        <v>11</v>
      </c>
      <c r="Y23" t="s">
        <v>83</v>
      </c>
      <c r="Z23" t="s">
        <v>78</v>
      </c>
    </row>
    <row r="24" spans="1:26" hidden="1" x14ac:dyDescent="0.25">
      <c r="A24" t="s">
        <v>132</v>
      </c>
      <c r="B24" t="s">
        <v>22</v>
      </c>
      <c r="C24">
        <v>23</v>
      </c>
      <c r="D24" t="s">
        <v>40</v>
      </c>
      <c r="E24" t="s">
        <v>76</v>
      </c>
      <c r="F24" t="s">
        <v>133</v>
      </c>
      <c r="G24" t="s">
        <v>78</v>
      </c>
      <c r="H24" t="s">
        <v>88</v>
      </c>
      <c r="I24" t="s">
        <v>22</v>
      </c>
      <c r="J24" t="b">
        <v>0</v>
      </c>
      <c r="K24" t="b">
        <v>1</v>
      </c>
      <c r="L24" t="s">
        <v>80</v>
      </c>
      <c r="M24" t="s">
        <v>81</v>
      </c>
      <c r="O24" t="s">
        <v>89</v>
      </c>
      <c r="P24">
        <v>76</v>
      </c>
      <c r="Q24">
        <v>46223</v>
      </c>
      <c r="R24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89</v>
      </c>
      <c r="Z24" t="s">
        <v>78</v>
      </c>
    </row>
    <row r="25" spans="1:26" hidden="1" x14ac:dyDescent="0.25">
      <c r="A25" t="s">
        <v>134</v>
      </c>
      <c r="B25" t="s">
        <v>22</v>
      </c>
      <c r="C25">
        <v>24</v>
      </c>
      <c r="E25" t="s">
        <v>76</v>
      </c>
      <c r="F25" t="s">
        <v>135</v>
      </c>
      <c r="G25" t="s">
        <v>78</v>
      </c>
      <c r="H25" t="s">
        <v>79</v>
      </c>
      <c r="I25" t="s">
        <v>22</v>
      </c>
      <c r="J25" t="b">
        <v>1</v>
      </c>
      <c r="K25" t="b">
        <v>1</v>
      </c>
      <c r="L25" t="s">
        <v>95</v>
      </c>
      <c r="M25" t="s">
        <v>81</v>
      </c>
      <c r="O25" t="s">
        <v>82</v>
      </c>
      <c r="P25">
        <v>60</v>
      </c>
      <c r="Q25">
        <v>46223</v>
      </c>
      <c r="R25">
        <v>46250</v>
      </c>
      <c r="S25">
        <v>2</v>
      </c>
      <c r="T25">
        <v>120</v>
      </c>
      <c r="U25">
        <v>15.789473684210527</v>
      </c>
      <c r="V25">
        <v>15</v>
      </c>
      <c r="W25">
        <v>20</v>
      </c>
      <c r="X25">
        <v>15</v>
      </c>
      <c r="Y25" t="s">
        <v>83</v>
      </c>
      <c r="Z25" t="s">
        <v>78</v>
      </c>
    </row>
    <row r="26" spans="1:26" hidden="1" x14ac:dyDescent="0.25">
      <c r="A26" t="s">
        <v>136</v>
      </c>
      <c r="B26" t="s">
        <v>22</v>
      </c>
      <c r="C26">
        <v>25</v>
      </c>
      <c r="E26" t="s">
        <v>76</v>
      </c>
      <c r="F26" t="s">
        <v>137</v>
      </c>
      <c r="G26" t="s">
        <v>78</v>
      </c>
      <c r="H26" t="s">
        <v>88</v>
      </c>
      <c r="I26" t="s">
        <v>22</v>
      </c>
      <c r="J26" t="b">
        <v>1</v>
      </c>
      <c r="K26" t="b">
        <v>1</v>
      </c>
      <c r="L26" t="s">
        <v>95</v>
      </c>
      <c r="M26" t="s">
        <v>81</v>
      </c>
      <c r="O26" t="s">
        <v>89</v>
      </c>
      <c r="P26">
        <v>76</v>
      </c>
      <c r="Q26">
        <v>46223</v>
      </c>
      <c r="R26">
        <v>46250</v>
      </c>
      <c r="S26">
        <v>2</v>
      </c>
      <c r="T26">
        <v>152</v>
      </c>
      <c r="U26">
        <v>20</v>
      </c>
      <c r="V26">
        <v>20</v>
      </c>
      <c r="W26">
        <v>20</v>
      </c>
      <c r="X26">
        <v>20</v>
      </c>
      <c r="Y26" t="s">
        <v>89</v>
      </c>
      <c r="Z26" t="s">
        <v>78</v>
      </c>
    </row>
    <row r="27" spans="1:26" hidden="1" x14ac:dyDescent="0.25">
      <c r="A27" t="s">
        <v>138</v>
      </c>
      <c r="B27" t="s">
        <v>22</v>
      </c>
      <c r="C27">
        <v>26</v>
      </c>
      <c r="E27" t="s">
        <v>76</v>
      </c>
      <c r="F27" t="s">
        <v>139</v>
      </c>
      <c r="G27" t="s">
        <v>78</v>
      </c>
      <c r="H27" t="s">
        <v>79</v>
      </c>
      <c r="I27" t="s">
        <v>22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30</v>
      </c>
      <c r="Q27">
        <v>46223</v>
      </c>
      <c r="R27">
        <v>46250</v>
      </c>
      <c r="S27">
        <v>2</v>
      </c>
      <c r="T27">
        <v>60</v>
      </c>
      <c r="U27">
        <v>7.8947368421052637</v>
      </c>
      <c r="V27">
        <v>7</v>
      </c>
      <c r="W27">
        <v>20</v>
      </c>
      <c r="X27">
        <v>7</v>
      </c>
      <c r="Y27" t="s">
        <v>83</v>
      </c>
      <c r="Z27" t="s">
        <v>78</v>
      </c>
    </row>
    <row r="28" spans="1:26" hidden="1" x14ac:dyDescent="0.25">
      <c r="A28" t="s">
        <v>140</v>
      </c>
      <c r="B28" t="s">
        <v>31</v>
      </c>
      <c r="C28">
        <v>27</v>
      </c>
      <c r="E28" t="s">
        <v>76</v>
      </c>
      <c r="F28" t="s">
        <v>141</v>
      </c>
      <c r="G28" t="s">
        <v>78</v>
      </c>
      <c r="H28" t="s">
        <v>79</v>
      </c>
      <c r="I28" t="s">
        <v>31</v>
      </c>
      <c r="J28" t="b">
        <v>1</v>
      </c>
      <c r="K28" t="b">
        <v>0</v>
      </c>
      <c r="L28" t="s">
        <v>92</v>
      </c>
      <c r="M28" t="s">
        <v>81</v>
      </c>
      <c r="O28" t="s">
        <v>82</v>
      </c>
      <c r="P28">
        <v>52.5</v>
      </c>
      <c r="Q28">
        <v>46223</v>
      </c>
      <c r="R28">
        <v>46250</v>
      </c>
      <c r="S28">
        <v>2</v>
      </c>
      <c r="T28">
        <v>105</v>
      </c>
      <c r="U28">
        <v>13.815789473684212</v>
      </c>
      <c r="V28">
        <v>13</v>
      </c>
      <c r="W28">
        <v>20</v>
      </c>
      <c r="X28">
        <v>13</v>
      </c>
      <c r="Y28" t="s">
        <v>83</v>
      </c>
      <c r="Z28" t="s">
        <v>78</v>
      </c>
    </row>
    <row r="29" spans="1:26" hidden="1" x14ac:dyDescent="0.25">
      <c r="A29" t="s">
        <v>142</v>
      </c>
      <c r="B29" t="s">
        <v>22</v>
      </c>
      <c r="C29">
        <v>28</v>
      </c>
      <c r="D29" t="s">
        <v>40</v>
      </c>
      <c r="E29" t="s">
        <v>76</v>
      </c>
      <c r="F29" t="s">
        <v>143</v>
      </c>
      <c r="G29" t="s">
        <v>78</v>
      </c>
      <c r="H29" t="s">
        <v>88</v>
      </c>
      <c r="I29" t="s">
        <v>22</v>
      </c>
      <c r="J29" t="b">
        <v>0</v>
      </c>
      <c r="K29" t="b">
        <v>1</v>
      </c>
      <c r="L29" t="s">
        <v>80</v>
      </c>
      <c r="M29" t="s">
        <v>81</v>
      </c>
      <c r="O29" t="s">
        <v>89</v>
      </c>
      <c r="P29">
        <v>76</v>
      </c>
      <c r="Q29">
        <v>46223</v>
      </c>
      <c r="R29">
        <v>46250</v>
      </c>
      <c r="S29">
        <v>2</v>
      </c>
      <c r="T29">
        <v>152</v>
      </c>
      <c r="U29">
        <v>20</v>
      </c>
      <c r="V29">
        <v>20</v>
      </c>
      <c r="W29">
        <v>20</v>
      </c>
      <c r="X29">
        <v>20</v>
      </c>
      <c r="Y29" t="s">
        <v>89</v>
      </c>
      <c r="Z29" t="s">
        <v>78</v>
      </c>
    </row>
    <row r="30" spans="1:26" hidden="1" x14ac:dyDescent="0.25">
      <c r="A30" t="s">
        <v>144</v>
      </c>
      <c r="B30" t="s">
        <v>22</v>
      </c>
      <c r="C30">
        <v>29</v>
      </c>
      <c r="E30" t="s">
        <v>76</v>
      </c>
      <c r="F30" t="s">
        <v>145</v>
      </c>
      <c r="G30" t="s">
        <v>78</v>
      </c>
      <c r="H30" t="s">
        <v>79</v>
      </c>
      <c r="I30" t="s">
        <v>22</v>
      </c>
      <c r="J30" t="b">
        <v>1</v>
      </c>
      <c r="K30" t="b">
        <v>1</v>
      </c>
      <c r="L30" t="s">
        <v>95</v>
      </c>
      <c r="M30" t="s">
        <v>81</v>
      </c>
      <c r="O30" t="s">
        <v>82</v>
      </c>
      <c r="P30">
        <v>67.5</v>
      </c>
      <c r="Q30">
        <v>46223</v>
      </c>
      <c r="R30">
        <v>46250</v>
      </c>
      <c r="S30">
        <v>2</v>
      </c>
      <c r="T30">
        <v>135</v>
      </c>
      <c r="U30">
        <v>17.763157894736842</v>
      </c>
      <c r="V30">
        <v>17</v>
      </c>
      <c r="W30">
        <v>20</v>
      </c>
      <c r="X30">
        <v>17</v>
      </c>
      <c r="Y30" t="s">
        <v>83</v>
      </c>
      <c r="Z30" t="s">
        <v>78</v>
      </c>
    </row>
    <row r="31" spans="1:26" hidden="1" x14ac:dyDescent="0.25">
      <c r="A31" t="s">
        <v>146</v>
      </c>
      <c r="B31" t="s">
        <v>22</v>
      </c>
      <c r="C31">
        <v>30</v>
      </c>
      <c r="E31" t="s">
        <v>76</v>
      </c>
      <c r="F31" t="s">
        <v>147</v>
      </c>
      <c r="G31" t="s">
        <v>78</v>
      </c>
      <c r="H31" t="s">
        <v>79</v>
      </c>
      <c r="I31" t="s">
        <v>22</v>
      </c>
      <c r="J31" t="b">
        <v>1</v>
      </c>
      <c r="K31" t="b">
        <v>1</v>
      </c>
      <c r="L31" t="s">
        <v>95</v>
      </c>
      <c r="M31" t="s">
        <v>81</v>
      </c>
      <c r="O31" t="s">
        <v>82</v>
      </c>
      <c r="P31">
        <v>45</v>
      </c>
      <c r="Q31">
        <v>46223</v>
      </c>
      <c r="R31">
        <v>46250</v>
      </c>
      <c r="S31">
        <v>2</v>
      </c>
      <c r="T31">
        <v>90</v>
      </c>
      <c r="U31">
        <v>11.842105263157896</v>
      </c>
      <c r="V31">
        <v>11</v>
      </c>
      <c r="W31">
        <v>20</v>
      </c>
      <c r="X31">
        <v>11</v>
      </c>
      <c r="Y31" t="s">
        <v>83</v>
      </c>
      <c r="Z31" t="s">
        <v>78</v>
      </c>
    </row>
    <row r="32" spans="1:26" hidden="1" x14ac:dyDescent="0.25">
      <c r="A32" t="s">
        <v>148</v>
      </c>
      <c r="B32" t="s">
        <v>22</v>
      </c>
      <c r="C32">
        <v>31</v>
      </c>
      <c r="E32" t="s">
        <v>76</v>
      </c>
      <c r="F32" t="s">
        <v>149</v>
      </c>
      <c r="G32" t="s">
        <v>78</v>
      </c>
      <c r="H32" t="s">
        <v>79</v>
      </c>
      <c r="I32" t="s">
        <v>22</v>
      </c>
      <c r="J32" t="b">
        <v>1</v>
      </c>
      <c r="K32" t="b">
        <v>1</v>
      </c>
      <c r="L32" t="s">
        <v>95</v>
      </c>
      <c r="M32" t="s">
        <v>81</v>
      </c>
      <c r="O32" t="s">
        <v>82</v>
      </c>
      <c r="P32">
        <v>75</v>
      </c>
      <c r="Q32">
        <v>46223</v>
      </c>
      <c r="R32">
        <v>46250</v>
      </c>
      <c r="S32">
        <v>2</v>
      </c>
      <c r="T32">
        <v>150</v>
      </c>
      <c r="U32">
        <v>19.736842105263161</v>
      </c>
      <c r="V32">
        <v>19</v>
      </c>
      <c r="W32">
        <v>20</v>
      </c>
      <c r="X32">
        <v>19</v>
      </c>
      <c r="Y32" t="s">
        <v>83</v>
      </c>
      <c r="Z32" t="s">
        <v>78</v>
      </c>
    </row>
    <row r="33" spans="1:26" hidden="1" x14ac:dyDescent="0.25">
      <c r="A33" t="s">
        <v>150</v>
      </c>
      <c r="B33" t="s">
        <v>22</v>
      </c>
      <c r="C33">
        <v>32</v>
      </c>
      <c r="D33" t="s">
        <v>40</v>
      </c>
      <c r="E33" t="s">
        <v>76</v>
      </c>
      <c r="F33" t="s">
        <v>151</v>
      </c>
      <c r="G33" t="s">
        <v>78</v>
      </c>
      <c r="H33" t="s">
        <v>88</v>
      </c>
      <c r="I33" t="s">
        <v>22</v>
      </c>
      <c r="J33" t="b">
        <v>0</v>
      </c>
      <c r="K33" t="b">
        <v>1</v>
      </c>
      <c r="L33" t="s">
        <v>80</v>
      </c>
      <c r="M33" t="s">
        <v>81</v>
      </c>
      <c r="O33" t="s">
        <v>89</v>
      </c>
      <c r="P33">
        <v>76</v>
      </c>
      <c r="Q33">
        <v>46223</v>
      </c>
      <c r="R33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89</v>
      </c>
      <c r="Z33" t="s">
        <v>78</v>
      </c>
    </row>
    <row r="34" spans="1:26" hidden="1" x14ac:dyDescent="0.25">
      <c r="A34" t="s">
        <v>152</v>
      </c>
      <c r="B34" t="s">
        <v>22</v>
      </c>
      <c r="C34">
        <v>33</v>
      </c>
      <c r="D34" t="s">
        <v>40</v>
      </c>
      <c r="E34" t="s">
        <v>76</v>
      </c>
      <c r="F34" t="s">
        <v>153</v>
      </c>
      <c r="G34" t="s">
        <v>78</v>
      </c>
      <c r="H34" t="s">
        <v>79</v>
      </c>
      <c r="I34" t="s">
        <v>22</v>
      </c>
      <c r="J34" t="b">
        <v>0</v>
      </c>
      <c r="K34" t="b">
        <v>1</v>
      </c>
      <c r="L34" t="s">
        <v>80</v>
      </c>
      <c r="M34" t="s">
        <v>81</v>
      </c>
      <c r="O34" t="s">
        <v>82</v>
      </c>
      <c r="P34">
        <v>30</v>
      </c>
      <c r="Q34">
        <v>46223</v>
      </c>
      <c r="R34">
        <v>46250</v>
      </c>
      <c r="S34">
        <v>2</v>
      </c>
      <c r="T34">
        <v>60</v>
      </c>
      <c r="U34">
        <v>7.8947368421052637</v>
      </c>
      <c r="V34">
        <v>7</v>
      </c>
      <c r="W34">
        <v>20</v>
      </c>
      <c r="X34">
        <v>7</v>
      </c>
      <c r="Y34" t="s">
        <v>83</v>
      </c>
      <c r="Z34" t="s">
        <v>78</v>
      </c>
    </row>
    <row r="35" spans="1:26" hidden="1" x14ac:dyDescent="0.25">
      <c r="A35" t="s">
        <v>154</v>
      </c>
      <c r="B35" t="s">
        <v>22</v>
      </c>
      <c r="C35">
        <v>34</v>
      </c>
      <c r="E35" t="s">
        <v>76</v>
      </c>
      <c r="F35" t="s">
        <v>155</v>
      </c>
      <c r="G35" t="s">
        <v>78</v>
      </c>
      <c r="H35" t="s">
        <v>79</v>
      </c>
      <c r="I35" t="s">
        <v>22</v>
      </c>
      <c r="J35" t="b">
        <v>1</v>
      </c>
      <c r="K35" t="b">
        <v>1</v>
      </c>
      <c r="L35" t="s">
        <v>95</v>
      </c>
      <c r="M35" t="s">
        <v>81</v>
      </c>
      <c r="O35" t="s">
        <v>82</v>
      </c>
      <c r="P35">
        <v>52.5</v>
      </c>
      <c r="Q35">
        <v>46223</v>
      </c>
      <c r="R35">
        <v>46250</v>
      </c>
      <c r="S35">
        <v>2</v>
      </c>
      <c r="T35">
        <v>105</v>
      </c>
      <c r="U35">
        <v>13.815789473684212</v>
      </c>
      <c r="V35">
        <v>13</v>
      </c>
      <c r="W35">
        <v>20</v>
      </c>
      <c r="X35">
        <v>13</v>
      </c>
      <c r="Y35" t="s">
        <v>83</v>
      </c>
      <c r="Z35" t="s">
        <v>78</v>
      </c>
    </row>
    <row r="36" spans="1:26" hidden="1" x14ac:dyDescent="0.25">
      <c r="A36" t="s">
        <v>156</v>
      </c>
      <c r="B36" t="s">
        <v>31</v>
      </c>
      <c r="C36">
        <v>35</v>
      </c>
      <c r="E36" t="s">
        <v>76</v>
      </c>
      <c r="F36" t="s">
        <v>157</v>
      </c>
      <c r="G36" t="s">
        <v>78</v>
      </c>
      <c r="H36" t="s">
        <v>79</v>
      </c>
      <c r="I36" t="s">
        <v>31</v>
      </c>
      <c r="J36" t="b">
        <v>1</v>
      </c>
      <c r="K36" t="b">
        <v>1</v>
      </c>
      <c r="L36" t="s">
        <v>95</v>
      </c>
      <c r="M36" t="s">
        <v>81</v>
      </c>
      <c r="O36" t="s">
        <v>82</v>
      </c>
      <c r="P36">
        <v>72</v>
      </c>
      <c r="Q36">
        <v>46223</v>
      </c>
      <c r="R36">
        <v>46250</v>
      </c>
      <c r="S36">
        <v>2</v>
      </c>
      <c r="T36">
        <v>144</v>
      </c>
      <c r="U36">
        <v>18.947368421052634</v>
      </c>
      <c r="V36">
        <v>18</v>
      </c>
      <c r="W36">
        <v>20</v>
      </c>
      <c r="X36">
        <v>18</v>
      </c>
      <c r="Y36" t="s">
        <v>83</v>
      </c>
      <c r="Z36" t="s">
        <v>78</v>
      </c>
    </row>
    <row r="37" spans="1:26" hidden="1" x14ac:dyDescent="0.25">
      <c r="A37" t="s">
        <v>158</v>
      </c>
      <c r="B37" t="s">
        <v>22</v>
      </c>
      <c r="C37">
        <v>36</v>
      </c>
      <c r="E37" t="s">
        <v>76</v>
      </c>
      <c r="F37" t="s">
        <v>159</v>
      </c>
      <c r="G37" t="s">
        <v>78</v>
      </c>
      <c r="H37" t="s">
        <v>79</v>
      </c>
      <c r="I37" t="s">
        <v>22</v>
      </c>
      <c r="J37" t="b">
        <v>1</v>
      </c>
      <c r="K37" t="b">
        <v>1</v>
      </c>
      <c r="L37" t="s">
        <v>95</v>
      </c>
      <c r="M37" t="s">
        <v>81</v>
      </c>
      <c r="O37" t="s">
        <v>82</v>
      </c>
      <c r="P37">
        <v>60</v>
      </c>
      <c r="Q37">
        <v>46223</v>
      </c>
      <c r="R37">
        <v>46250</v>
      </c>
      <c r="S37">
        <v>2</v>
      </c>
      <c r="T37">
        <v>120</v>
      </c>
      <c r="U37">
        <v>15.789473684210527</v>
      </c>
      <c r="V37">
        <v>15</v>
      </c>
      <c r="W37">
        <v>20</v>
      </c>
      <c r="X37">
        <v>15</v>
      </c>
      <c r="Y37" t="s">
        <v>83</v>
      </c>
      <c r="Z37" t="s">
        <v>78</v>
      </c>
    </row>
    <row r="38" spans="1:26" hidden="1" x14ac:dyDescent="0.25">
      <c r="A38" t="s">
        <v>160</v>
      </c>
      <c r="B38" t="s">
        <v>22</v>
      </c>
      <c r="C38">
        <v>37</v>
      </c>
      <c r="D38" t="s">
        <v>40</v>
      </c>
      <c r="E38" t="s">
        <v>76</v>
      </c>
      <c r="F38" t="s">
        <v>161</v>
      </c>
      <c r="G38" t="s">
        <v>78</v>
      </c>
      <c r="H38" t="s">
        <v>79</v>
      </c>
      <c r="I38" t="s">
        <v>22</v>
      </c>
      <c r="J38" t="b">
        <v>0</v>
      </c>
      <c r="K38" t="b">
        <v>1</v>
      </c>
      <c r="L38" t="s">
        <v>80</v>
      </c>
      <c r="M38" t="s">
        <v>81</v>
      </c>
      <c r="O38" t="s">
        <v>82</v>
      </c>
      <c r="P38">
        <v>40</v>
      </c>
      <c r="Q38">
        <v>46223</v>
      </c>
      <c r="R38">
        <v>46250</v>
      </c>
      <c r="S38">
        <v>2</v>
      </c>
      <c r="T38">
        <v>80</v>
      </c>
      <c r="U38">
        <v>10.526315789473683</v>
      </c>
      <c r="V38">
        <v>10</v>
      </c>
      <c r="W38">
        <v>20</v>
      </c>
      <c r="X38">
        <v>10</v>
      </c>
      <c r="Y38" t="s">
        <v>83</v>
      </c>
      <c r="Z38" t="s">
        <v>78</v>
      </c>
    </row>
    <row r="39" spans="1:26" hidden="1" x14ac:dyDescent="0.25">
      <c r="A39" t="s">
        <v>162</v>
      </c>
      <c r="B39" t="s">
        <v>22</v>
      </c>
      <c r="C39">
        <v>38</v>
      </c>
      <c r="E39" t="s">
        <v>76</v>
      </c>
      <c r="F39" t="s">
        <v>163</v>
      </c>
      <c r="G39" t="s">
        <v>78</v>
      </c>
      <c r="H39" t="s">
        <v>79</v>
      </c>
      <c r="I39" t="s">
        <v>22</v>
      </c>
      <c r="J39" t="b">
        <v>1</v>
      </c>
      <c r="K39" t="b">
        <v>1</v>
      </c>
      <c r="L39" t="s">
        <v>95</v>
      </c>
      <c r="M39" t="s">
        <v>81</v>
      </c>
      <c r="O39" t="s">
        <v>82</v>
      </c>
      <c r="P39">
        <v>37.5</v>
      </c>
      <c r="Q39">
        <v>46223</v>
      </c>
      <c r="R39">
        <v>46250</v>
      </c>
      <c r="S39">
        <v>2</v>
      </c>
      <c r="T39">
        <v>75</v>
      </c>
      <c r="U39">
        <v>9.8684210526315788</v>
      </c>
      <c r="V39">
        <v>9</v>
      </c>
      <c r="W39">
        <v>20</v>
      </c>
      <c r="X39">
        <v>9</v>
      </c>
      <c r="Y39" t="s">
        <v>83</v>
      </c>
      <c r="Z39" t="s">
        <v>78</v>
      </c>
    </row>
    <row r="40" spans="1:26" x14ac:dyDescent="0.25">
      <c r="A40" t="s">
        <v>164</v>
      </c>
      <c r="B40" t="s">
        <v>22</v>
      </c>
      <c r="C40">
        <v>39</v>
      </c>
      <c r="E40" t="s">
        <v>76</v>
      </c>
      <c r="F40" t="s">
        <v>165</v>
      </c>
      <c r="G40" t="s">
        <v>78</v>
      </c>
      <c r="H40" t="s">
        <v>79</v>
      </c>
      <c r="I40" t="s">
        <v>22</v>
      </c>
      <c r="J40" t="b">
        <v>1</v>
      </c>
      <c r="K40" t="b">
        <v>1</v>
      </c>
      <c r="L40" t="s">
        <v>95</v>
      </c>
      <c r="M40" t="s">
        <v>81</v>
      </c>
      <c r="O40" t="s">
        <v>82</v>
      </c>
      <c r="P40">
        <v>67.5</v>
      </c>
      <c r="Q40">
        <v>46223</v>
      </c>
      <c r="R40">
        <v>46250</v>
      </c>
      <c r="S40">
        <v>2</v>
      </c>
      <c r="T40">
        <v>135</v>
      </c>
      <c r="U40">
        <v>17.763157894736842</v>
      </c>
      <c r="V40">
        <v>17</v>
      </c>
      <c r="W40">
        <v>20</v>
      </c>
      <c r="X40">
        <v>17</v>
      </c>
      <c r="Y40" t="s">
        <v>83</v>
      </c>
      <c r="Z40" t="s">
        <v>78</v>
      </c>
    </row>
    <row r="41" spans="1:26" hidden="1" x14ac:dyDescent="0.25">
      <c r="A41" t="s">
        <v>166</v>
      </c>
      <c r="B41" t="s">
        <v>22</v>
      </c>
      <c r="C41">
        <v>40</v>
      </c>
      <c r="E41" t="s">
        <v>76</v>
      </c>
      <c r="F41" t="s">
        <v>167</v>
      </c>
      <c r="G41" t="s">
        <v>78</v>
      </c>
      <c r="H41" t="s">
        <v>79</v>
      </c>
      <c r="I41" t="s">
        <v>22</v>
      </c>
      <c r="J41" t="b">
        <v>1</v>
      </c>
      <c r="K41" t="b">
        <v>1</v>
      </c>
      <c r="L41" t="s">
        <v>95</v>
      </c>
      <c r="M41" t="s">
        <v>81</v>
      </c>
      <c r="O41" t="s">
        <v>82</v>
      </c>
      <c r="P41">
        <v>60</v>
      </c>
      <c r="Q41">
        <v>46223</v>
      </c>
      <c r="R41">
        <v>46250</v>
      </c>
      <c r="S41">
        <v>2</v>
      </c>
      <c r="T41">
        <v>120</v>
      </c>
      <c r="U41">
        <v>15.789473684210527</v>
      </c>
      <c r="V41">
        <v>15</v>
      </c>
      <c r="W41">
        <v>20</v>
      </c>
      <c r="X41">
        <v>15</v>
      </c>
      <c r="Y41" t="s">
        <v>83</v>
      </c>
      <c r="Z41" t="s">
        <v>78</v>
      </c>
    </row>
    <row r="42" spans="1:26" hidden="1" x14ac:dyDescent="0.25">
      <c r="A42" t="s">
        <v>168</v>
      </c>
      <c r="B42" t="s">
        <v>22</v>
      </c>
      <c r="C42">
        <v>41</v>
      </c>
      <c r="E42" t="s">
        <v>76</v>
      </c>
      <c r="F42" t="s">
        <v>169</v>
      </c>
      <c r="G42" t="s">
        <v>78</v>
      </c>
      <c r="H42" t="s">
        <v>79</v>
      </c>
      <c r="I42" t="s">
        <v>22</v>
      </c>
      <c r="J42" t="b">
        <v>1</v>
      </c>
      <c r="K42" t="b">
        <v>1</v>
      </c>
      <c r="L42" t="s">
        <v>95</v>
      </c>
      <c r="M42" t="s">
        <v>81</v>
      </c>
      <c r="O42" t="s">
        <v>82</v>
      </c>
      <c r="P42">
        <v>30</v>
      </c>
      <c r="Q42">
        <v>46223</v>
      </c>
      <c r="R42">
        <v>46250</v>
      </c>
      <c r="S42">
        <v>2</v>
      </c>
      <c r="T42">
        <v>60</v>
      </c>
      <c r="U42">
        <v>7.8947368421052637</v>
      </c>
      <c r="V42">
        <v>7</v>
      </c>
      <c r="W42">
        <v>20</v>
      </c>
      <c r="X42">
        <v>7</v>
      </c>
      <c r="Y42" t="s">
        <v>83</v>
      </c>
      <c r="Z42" t="s">
        <v>78</v>
      </c>
    </row>
    <row r="43" spans="1:26" hidden="1" x14ac:dyDescent="0.25">
      <c r="A43" t="s">
        <v>170</v>
      </c>
      <c r="B43" t="s">
        <v>22</v>
      </c>
      <c r="C43">
        <v>42</v>
      </c>
      <c r="E43" t="s">
        <v>76</v>
      </c>
      <c r="F43" t="s">
        <v>171</v>
      </c>
      <c r="G43" t="s">
        <v>78</v>
      </c>
      <c r="H43" t="s">
        <v>79</v>
      </c>
      <c r="I43" t="s">
        <v>22</v>
      </c>
      <c r="J43" t="b">
        <v>1</v>
      </c>
      <c r="K43" t="b">
        <v>1</v>
      </c>
      <c r="L43" t="s">
        <v>95</v>
      </c>
      <c r="M43" t="s">
        <v>81</v>
      </c>
      <c r="O43" t="s">
        <v>82</v>
      </c>
      <c r="P43">
        <v>60</v>
      </c>
      <c r="Q43">
        <v>46223</v>
      </c>
      <c r="R43">
        <v>46250</v>
      </c>
      <c r="S43">
        <v>2</v>
      </c>
      <c r="T43">
        <v>120</v>
      </c>
      <c r="U43">
        <v>15.789473684210527</v>
      </c>
      <c r="V43">
        <v>15</v>
      </c>
      <c r="W43">
        <v>20</v>
      </c>
      <c r="X43">
        <v>15</v>
      </c>
      <c r="Y43" t="s">
        <v>83</v>
      </c>
      <c r="Z43" t="s">
        <v>78</v>
      </c>
    </row>
    <row r="44" spans="1:26" hidden="1" x14ac:dyDescent="0.25">
      <c r="A44" t="s">
        <v>172</v>
      </c>
      <c r="B44" t="s">
        <v>29</v>
      </c>
      <c r="C44">
        <v>43</v>
      </c>
      <c r="E44" t="s">
        <v>76</v>
      </c>
      <c r="F44" t="s">
        <v>173</v>
      </c>
      <c r="G44" t="s">
        <v>78</v>
      </c>
      <c r="H44" t="s">
        <v>88</v>
      </c>
      <c r="I44" t="s">
        <v>29</v>
      </c>
      <c r="J44" t="b">
        <v>1</v>
      </c>
      <c r="K44" t="b">
        <v>0</v>
      </c>
      <c r="L44" t="s">
        <v>92</v>
      </c>
      <c r="M44" t="s">
        <v>81</v>
      </c>
      <c r="O44" t="s">
        <v>89</v>
      </c>
      <c r="P44">
        <v>76</v>
      </c>
      <c r="Q44">
        <v>46223</v>
      </c>
      <c r="R44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89</v>
      </c>
      <c r="Z44" t="s">
        <v>78</v>
      </c>
    </row>
    <row r="45" spans="1:26" hidden="1" x14ac:dyDescent="0.25">
      <c r="A45" t="s">
        <v>174</v>
      </c>
      <c r="B45" t="s">
        <v>22</v>
      </c>
      <c r="C45">
        <v>44</v>
      </c>
      <c r="E45" t="s">
        <v>76</v>
      </c>
      <c r="F45" t="s">
        <v>175</v>
      </c>
      <c r="G45" t="s">
        <v>78</v>
      </c>
      <c r="H45" t="s">
        <v>79</v>
      </c>
      <c r="I45" t="s">
        <v>22</v>
      </c>
      <c r="J45" t="b">
        <v>1</v>
      </c>
      <c r="K45" t="b">
        <v>1</v>
      </c>
      <c r="L45" t="s">
        <v>95</v>
      </c>
      <c r="M45" t="s">
        <v>81</v>
      </c>
      <c r="O45" t="s">
        <v>82</v>
      </c>
      <c r="P45">
        <v>67.5</v>
      </c>
      <c r="Q45">
        <v>46223</v>
      </c>
      <c r="R45">
        <v>46250</v>
      </c>
      <c r="S45">
        <v>2</v>
      </c>
      <c r="T45">
        <v>135</v>
      </c>
      <c r="U45">
        <v>17.763157894736842</v>
      </c>
      <c r="V45">
        <v>17</v>
      </c>
      <c r="W45">
        <v>20</v>
      </c>
      <c r="X45">
        <v>17</v>
      </c>
      <c r="Y45" t="s">
        <v>83</v>
      </c>
      <c r="Z45" t="s">
        <v>78</v>
      </c>
    </row>
    <row r="46" spans="1:26" hidden="1" x14ac:dyDescent="0.25">
      <c r="A46" t="s">
        <v>176</v>
      </c>
      <c r="B46" t="s">
        <v>22</v>
      </c>
      <c r="C46">
        <v>45</v>
      </c>
      <c r="E46" t="s">
        <v>76</v>
      </c>
      <c r="F46" t="s">
        <v>177</v>
      </c>
      <c r="G46" t="s">
        <v>78</v>
      </c>
      <c r="H46" t="s">
        <v>79</v>
      </c>
      <c r="I46" t="s">
        <v>22</v>
      </c>
      <c r="J46" t="b">
        <v>1</v>
      </c>
      <c r="K46" t="b">
        <v>1</v>
      </c>
      <c r="L46" t="s">
        <v>95</v>
      </c>
      <c r="M46" t="s">
        <v>81</v>
      </c>
      <c r="O46" t="s">
        <v>82</v>
      </c>
      <c r="P46">
        <v>60</v>
      </c>
      <c r="Q46">
        <v>46223</v>
      </c>
      <c r="R46">
        <v>46250</v>
      </c>
      <c r="S46">
        <v>2</v>
      </c>
      <c r="T46">
        <v>120</v>
      </c>
      <c r="U46">
        <v>15.789473684210527</v>
      </c>
      <c r="V46">
        <v>15</v>
      </c>
      <c r="W46">
        <v>20</v>
      </c>
      <c r="X46">
        <v>15</v>
      </c>
      <c r="Y46" t="s">
        <v>83</v>
      </c>
      <c r="Z46" t="s">
        <v>78</v>
      </c>
    </row>
    <row r="47" spans="1:26" hidden="1" x14ac:dyDescent="0.25">
      <c r="A47" t="s">
        <v>178</v>
      </c>
      <c r="B47" t="s">
        <v>22</v>
      </c>
      <c r="C47">
        <v>46</v>
      </c>
      <c r="D47" t="s">
        <v>40</v>
      </c>
      <c r="E47" t="s">
        <v>76</v>
      </c>
      <c r="F47" t="s">
        <v>179</v>
      </c>
      <c r="G47" t="s">
        <v>78</v>
      </c>
      <c r="H47" t="s">
        <v>79</v>
      </c>
      <c r="I47" t="s">
        <v>22</v>
      </c>
      <c r="J47" t="b">
        <v>0</v>
      </c>
      <c r="K47" t="b">
        <v>1</v>
      </c>
      <c r="L47" t="s">
        <v>80</v>
      </c>
      <c r="M47" t="s">
        <v>81</v>
      </c>
      <c r="O47" t="s">
        <v>82</v>
      </c>
      <c r="P47">
        <v>30</v>
      </c>
      <c r="Q47">
        <v>46223</v>
      </c>
      <c r="R47">
        <v>46250</v>
      </c>
      <c r="S47">
        <v>2</v>
      </c>
      <c r="T47">
        <v>60</v>
      </c>
      <c r="U47">
        <v>7.8947368421052637</v>
      </c>
      <c r="V47">
        <v>7</v>
      </c>
      <c r="W47">
        <v>20</v>
      </c>
      <c r="X47">
        <v>7</v>
      </c>
      <c r="Y47" t="s">
        <v>83</v>
      </c>
      <c r="Z47" t="s">
        <v>78</v>
      </c>
    </row>
    <row r="48" spans="1:26" hidden="1" x14ac:dyDescent="0.25">
      <c r="A48" t="s">
        <v>180</v>
      </c>
      <c r="B48" t="s">
        <v>31</v>
      </c>
      <c r="C48">
        <v>47</v>
      </c>
      <c r="E48" t="s">
        <v>76</v>
      </c>
      <c r="F48" t="s">
        <v>181</v>
      </c>
      <c r="G48" t="s">
        <v>78</v>
      </c>
      <c r="H48" t="s">
        <v>79</v>
      </c>
      <c r="I48" t="s">
        <v>31</v>
      </c>
      <c r="J48" t="b">
        <v>1</v>
      </c>
      <c r="K48" t="b">
        <v>1</v>
      </c>
      <c r="L48" t="s">
        <v>95</v>
      </c>
      <c r="M48" t="s">
        <v>81</v>
      </c>
      <c r="O48" t="s">
        <v>82</v>
      </c>
      <c r="P48">
        <v>52.5</v>
      </c>
      <c r="Q48">
        <v>46223</v>
      </c>
      <c r="R48">
        <v>46250</v>
      </c>
      <c r="S48">
        <v>2</v>
      </c>
      <c r="T48">
        <v>105</v>
      </c>
      <c r="U48">
        <v>13.815789473684212</v>
      </c>
      <c r="V48">
        <v>13</v>
      </c>
      <c r="W48">
        <v>20</v>
      </c>
      <c r="X48">
        <v>13</v>
      </c>
      <c r="Y48" t="s">
        <v>83</v>
      </c>
      <c r="Z48" t="s">
        <v>78</v>
      </c>
    </row>
    <row r="49" spans="1:26" hidden="1" x14ac:dyDescent="0.25">
      <c r="A49" t="s">
        <v>182</v>
      </c>
      <c r="B49" t="s">
        <v>31</v>
      </c>
      <c r="C49">
        <v>48</v>
      </c>
      <c r="D49" t="s">
        <v>40</v>
      </c>
      <c r="E49" t="s">
        <v>76</v>
      </c>
      <c r="F49" t="s">
        <v>183</v>
      </c>
      <c r="G49" t="s">
        <v>78</v>
      </c>
      <c r="H49" t="s">
        <v>79</v>
      </c>
      <c r="I49" t="s">
        <v>31</v>
      </c>
      <c r="J49" t="b">
        <v>0</v>
      </c>
      <c r="K49" t="b">
        <v>1</v>
      </c>
      <c r="L49" t="s">
        <v>80</v>
      </c>
      <c r="M49" t="s">
        <v>81</v>
      </c>
      <c r="O49" t="s">
        <v>82</v>
      </c>
      <c r="P49">
        <v>60</v>
      </c>
      <c r="Q49">
        <v>46223</v>
      </c>
      <c r="R49">
        <v>46250</v>
      </c>
      <c r="S49">
        <v>2</v>
      </c>
      <c r="T49">
        <v>120</v>
      </c>
      <c r="U49">
        <v>15.789473684210527</v>
      </c>
      <c r="V49">
        <v>15</v>
      </c>
      <c r="W49">
        <v>20</v>
      </c>
      <c r="X49">
        <v>15</v>
      </c>
      <c r="Y49" t="s">
        <v>83</v>
      </c>
      <c r="Z49" t="s">
        <v>78</v>
      </c>
    </row>
    <row r="50" spans="1:26" hidden="1" x14ac:dyDescent="0.25">
      <c r="A50" t="s">
        <v>184</v>
      </c>
      <c r="B50" t="s">
        <v>31</v>
      </c>
      <c r="C50">
        <v>49</v>
      </c>
      <c r="E50" t="s">
        <v>76</v>
      </c>
      <c r="F50" t="s">
        <v>185</v>
      </c>
      <c r="G50" t="s">
        <v>78</v>
      </c>
      <c r="H50" t="s">
        <v>79</v>
      </c>
      <c r="I50" t="s">
        <v>31</v>
      </c>
      <c r="J50" t="b">
        <v>1</v>
      </c>
      <c r="K50" t="b">
        <v>1</v>
      </c>
      <c r="L50" t="s">
        <v>95</v>
      </c>
      <c r="M50" t="s">
        <v>81</v>
      </c>
      <c r="O50" t="s">
        <v>82</v>
      </c>
      <c r="P50">
        <v>16</v>
      </c>
      <c r="Q50">
        <v>46223</v>
      </c>
      <c r="R50">
        <v>46250</v>
      </c>
      <c r="S50">
        <v>2</v>
      </c>
      <c r="T50">
        <v>32</v>
      </c>
      <c r="U50">
        <v>4.2105263157894735</v>
      </c>
      <c r="V50">
        <v>4</v>
      </c>
      <c r="W50">
        <v>20</v>
      </c>
      <c r="X50">
        <v>4</v>
      </c>
      <c r="Y50" t="s">
        <v>83</v>
      </c>
      <c r="Z50" t="s">
        <v>78</v>
      </c>
    </row>
    <row r="51" spans="1:26" hidden="1" x14ac:dyDescent="0.25">
      <c r="A51" t="s">
        <v>186</v>
      </c>
      <c r="B51" t="s">
        <v>22</v>
      </c>
      <c r="C51">
        <v>50</v>
      </c>
      <c r="E51" t="s">
        <v>76</v>
      </c>
      <c r="F51" t="s">
        <v>187</v>
      </c>
      <c r="G51" t="s">
        <v>78</v>
      </c>
      <c r="H51" t="s">
        <v>79</v>
      </c>
      <c r="I51" t="s">
        <v>22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75</v>
      </c>
      <c r="Q51">
        <v>46223</v>
      </c>
      <c r="R51">
        <v>46250</v>
      </c>
      <c r="S51">
        <v>2</v>
      </c>
      <c r="T51">
        <v>150</v>
      </c>
      <c r="U51">
        <v>19.736842105263161</v>
      </c>
      <c r="V51">
        <v>19</v>
      </c>
      <c r="W51">
        <v>20</v>
      </c>
      <c r="X51">
        <v>19</v>
      </c>
      <c r="Y51" t="s">
        <v>83</v>
      </c>
      <c r="Z51" t="s">
        <v>78</v>
      </c>
    </row>
    <row r="52" spans="1:26" hidden="1" x14ac:dyDescent="0.25">
      <c r="A52" t="s">
        <v>188</v>
      </c>
      <c r="B52" t="s">
        <v>31</v>
      </c>
      <c r="C52">
        <v>51</v>
      </c>
      <c r="D52" t="s">
        <v>40</v>
      </c>
      <c r="E52" t="s">
        <v>76</v>
      </c>
      <c r="F52" t="s">
        <v>189</v>
      </c>
      <c r="G52" t="s">
        <v>78</v>
      </c>
      <c r="H52" t="s">
        <v>79</v>
      </c>
      <c r="I52" t="s">
        <v>31</v>
      </c>
      <c r="J52" t="b">
        <v>0</v>
      </c>
      <c r="K52" t="b">
        <v>1</v>
      </c>
      <c r="L52" t="s">
        <v>80</v>
      </c>
      <c r="M52" t="s">
        <v>81</v>
      </c>
      <c r="O52" t="s">
        <v>82</v>
      </c>
      <c r="P52">
        <v>72</v>
      </c>
      <c r="Q52">
        <v>46223</v>
      </c>
      <c r="R52">
        <v>46250</v>
      </c>
      <c r="S52">
        <v>2</v>
      </c>
      <c r="T52">
        <v>144</v>
      </c>
      <c r="U52">
        <v>18.947368421052634</v>
      </c>
      <c r="V52">
        <v>18</v>
      </c>
      <c r="W52">
        <v>20</v>
      </c>
      <c r="X52">
        <v>18</v>
      </c>
      <c r="Y52" t="s">
        <v>83</v>
      </c>
      <c r="Z52" t="s">
        <v>78</v>
      </c>
    </row>
    <row r="53" spans="1:26" hidden="1" x14ac:dyDescent="0.25">
      <c r="A53" t="s">
        <v>190</v>
      </c>
      <c r="B53" t="s">
        <v>22</v>
      </c>
      <c r="C53">
        <v>52</v>
      </c>
      <c r="E53" t="s">
        <v>76</v>
      </c>
      <c r="F53" t="s">
        <v>191</v>
      </c>
      <c r="G53" t="s">
        <v>78</v>
      </c>
      <c r="H53" t="s">
        <v>88</v>
      </c>
      <c r="I53" t="s">
        <v>22</v>
      </c>
      <c r="J53" t="b">
        <v>1</v>
      </c>
      <c r="K53" t="b">
        <v>1</v>
      </c>
      <c r="L53" t="s">
        <v>95</v>
      </c>
      <c r="M53" t="s">
        <v>81</v>
      </c>
      <c r="O53" t="s">
        <v>89</v>
      </c>
      <c r="P53">
        <v>76</v>
      </c>
      <c r="Q53">
        <v>46223</v>
      </c>
      <c r="R53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89</v>
      </c>
      <c r="Z53" t="s">
        <v>78</v>
      </c>
    </row>
    <row r="54" spans="1:26" hidden="1" x14ac:dyDescent="0.25">
      <c r="A54" t="s">
        <v>192</v>
      </c>
      <c r="B54" t="s">
        <v>22</v>
      </c>
      <c r="C54">
        <v>53</v>
      </c>
      <c r="E54" t="s">
        <v>76</v>
      </c>
      <c r="F54" t="s">
        <v>193</v>
      </c>
      <c r="G54" t="s">
        <v>78</v>
      </c>
      <c r="H54" t="s">
        <v>79</v>
      </c>
      <c r="I54" t="s">
        <v>22</v>
      </c>
      <c r="J54" t="b">
        <v>1</v>
      </c>
      <c r="K54" t="b">
        <v>1</v>
      </c>
      <c r="L54" t="s">
        <v>95</v>
      </c>
      <c r="M54" t="s">
        <v>81</v>
      </c>
      <c r="O54" t="s">
        <v>82</v>
      </c>
      <c r="P54">
        <v>60</v>
      </c>
      <c r="Q54">
        <v>46223</v>
      </c>
      <c r="R54">
        <v>46250</v>
      </c>
      <c r="S54">
        <v>2</v>
      </c>
      <c r="T54">
        <v>120</v>
      </c>
      <c r="U54">
        <v>15.789473684210527</v>
      </c>
      <c r="V54">
        <v>15</v>
      </c>
      <c r="W54">
        <v>20</v>
      </c>
      <c r="X54">
        <v>15</v>
      </c>
      <c r="Y54" t="s">
        <v>83</v>
      </c>
      <c r="Z54" t="s">
        <v>78</v>
      </c>
    </row>
    <row r="55" spans="1:26" hidden="1" x14ac:dyDescent="0.25">
      <c r="A55" t="s">
        <v>194</v>
      </c>
      <c r="B55" t="s">
        <v>31</v>
      </c>
      <c r="C55">
        <v>54</v>
      </c>
      <c r="E55" t="s">
        <v>76</v>
      </c>
      <c r="F55" t="s">
        <v>195</v>
      </c>
      <c r="G55" t="s">
        <v>78</v>
      </c>
      <c r="H55" t="s">
        <v>88</v>
      </c>
      <c r="I55" t="s">
        <v>31</v>
      </c>
      <c r="J55" t="b">
        <v>1</v>
      </c>
      <c r="K55" t="b">
        <v>1</v>
      </c>
      <c r="L55" t="s">
        <v>95</v>
      </c>
      <c r="M55" t="s">
        <v>81</v>
      </c>
      <c r="O55" t="s">
        <v>89</v>
      </c>
      <c r="P55">
        <v>76</v>
      </c>
      <c r="Q55">
        <v>46223</v>
      </c>
      <c r="R55">
        <v>46250</v>
      </c>
      <c r="S55">
        <v>2</v>
      </c>
      <c r="T55">
        <v>152</v>
      </c>
      <c r="U55">
        <v>20</v>
      </c>
      <c r="V55">
        <v>20</v>
      </c>
      <c r="W55">
        <v>20</v>
      </c>
      <c r="X55">
        <v>20</v>
      </c>
      <c r="Y55" t="s">
        <v>89</v>
      </c>
      <c r="Z55" t="s">
        <v>78</v>
      </c>
    </row>
    <row r="56" spans="1:26" hidden="1" x14ac:dyDescent="0.25">
      <c r="A56" t="s">
        <v>196</v>
      </c>
      <c r="B56" t="s">
        <v>22</v>
      </c>
      <c r="C56">
        <v>55</v>
      </c>
      <c r="E56" t="s">
        <v>76</v>
      </c>
      <c r="F56" t="s">
        <v>197</v>
      </c>
      <c r="G56" t="s">
        <v>78</v>
      </c>
      <c r="H56" t="s">
        <v>79</v>
      </c>
      <c r="I56" t="s">
        <v>22</v>
      </c>
      <c r="J56" t="b">
        <v>1</v>
      </c>
      <c r="K56" t="b">
        <v>1</v>
      </c>
      <c r="L56" t="s">
        <v>95</v>
      </c>
      <c r="M56" t="s">
        <v>81</v>
      </c>
      <c r="O56" t="s">
        <v>82</v>
      </c>
      <c r="P56">
        <v>22.5</v>
      </c>
      <c r="Q56">
        <v>46223</v>
      </c>
      <c r="R56">
        <v>46250</v>
      </c>
      <c r="S56">
        <v>2</v>
      </c>
      <c r="T56">
        <v>45</v>
      </c>
      <c r="U56">
        <v>5.9210526315789478</v>
      </c>
      <c r="V56">
        <v>5</v>
      </c>
      <c r="W56">
        <v>20</v>
      </c>
      <c r="X56">
        <v>5</v>
      </c>
      <c r="Y56" t="s">
        <v>83</v>
      </c>
      <c r="Z56" t="s">
        <v>78</v>
      </c>
    </row>
    <row r="57" spans="1:26" hidden="1" x14ac:dyDescent="0.25">
      <c r="A57" t="s">
        <v>198</v>
      </c>
      <c r="B57" t="s">
        <v>29</v>
      </c>
      <c r="C57">
        <v>56</v>
      </c>
      <c r="E57" t="s">
        <v>76</v>
      </c>
      <c r="F57" t="s">
        <v>199</v>
      </c>
      <c r="G57" t="s">
        <v>78</v>
      </c>
      <c r="H57" t="s">
        <v>79</v>
      </c>
      <c r="I57" t="s">
        <v>29</v>
      </c>
      <c r="J57" t="b">
        <v>1</v>
      </c>
      <c r="K57" t="b">
        <v>1</v>
      </c>
      <c r="L57" t="s">
        <v>95</v>
      </c>
      <c r="M57" t="s">
        <v>81</v>
      </c>
      <c r="O57" t="s">
        <v>82</v>
      </c>
      <c r="P57">
        <v>40</v>
      </c>
      <c r="Q57">
        <v>46223</v>
      </c>
      <c r="R57">
        <v>46250</v>
      </c>
      <c r="S57">
        <v>2</v>
      </c>
      <c r="T57">
        <v>80</v>
      </c>
      <c r="U57">
        <v>10.526315789473683</v>
      </c>
      <c r="V57">
        <v>10</v>
      </c>
      <c r="W57">
        <v>20</v>
      </c>
      <c r="X57">
        <v>10</v>
      </c>
      <c r="Y57" t="s">
        <v>83</v>
      </c>
      <c r="Z57" t="s">
        <v>78</v>
      </c>
    </row>
    <row r="58" spans="1:26" hidden="1" x14ac:dyDescent="0.25">
      <c r="A58" t="s">
        <v>200</v>
      </c>
      <c r="B58" t="s">
        <v>22</v>
      </c>
      <c r="C58">
        <v>57</v>
      </c>
      <c r="E58" t="s">
        <v>76</v>
      </c>
      <c r="F58" t="s">
        <v>201</v>
      </c>
      <c r="G58" t="s">
        <v>78</v>
      </c>
      <c r="H58" t="s">
        <v>79</v>
      </c>
      <c r="I58" t="s">
        <v>22</v>
      </c>
      <c r="J58" t="b">
        <v>1</v>
      </c>
      <c r="K58" t="b">
        <v>1</v>
      </c>
      <c r="L58" t="s">
        <v>95</v>
      </c>
      <c r="M58" t="s">
        <v>81</v>
      </c>
      <c r="O58" t="s">
        <v>82</v>
      </c>
      <c r="P58">
        <v>52.5</v>
      </c>
      <c r="Q58">
        <v>46223</v>
      </c>
      <c r="R58">
        <v>46250</v>
      </c>
      <c r="S58">
        <v>2</v>
      </c>
      <c r="T58">
        <v>105</v>
      </c>
      <c r="U58">
        <v>13.815789473684212</v>
      </c>
      <c r="V58">
        <v>13</v>
      </c>
      <c r="W58">
        <v>20</v>
      </c>
      <c r="X58">
        <v>13</v>
      </c>
      <c r="Y58" t="s">
        <v>83</v>
      </c>
      <c r="Z58" t="s">
        <v>78</v>
      </c>
    </row>
    <row r="59" spans="1:26" hidden="1" x14ac:dyDescent="0.25">
      <c r="A59" t="s">
        <v>202</v>
      </c>
      <c r="B59" t="s">
        <v>22</v>
      </c>
      <c r="C59">
        <v>58</v>
      </c>
      <c r="E59" t="s">
        <v>76</v>
      </c>
      <c r="F59" t="s">
        <v>203</v>
      </c>
      <c r="G59" t="s">
        <v>78</v>
      </c>
      <c r="H59" t="s">
        <v>79</v>
      </c>
      <c r="I59" t="s">
        <v>22</v>
      </c>
      <c r="J59" t="b">
        <v>1</v>
      </c>
      <c r="K59" t="b">
        <v>1</v>
      </c>
      <c r="L59" t="s">
        <v>95</v>
      </c>
      <c r="M59" t="s">
        <v>81</v>
      </c>
      <c r="O59" t="s">
        <v>82</v>
      </c>
      <c r="P59">
        <v>52.5</v>
      </c>
      <c r="Q59">
        <v>46223</v>
      </c>
      <c r="R59">
        <v>46250</v>
      </c>
      <c r="S59">
        <v>2</v>
      </c>
      <c r="T59">
        <v>105</v>
      </c>
      <c r="U59">
        <v>13.815789473684212</v>
      </c>
      <c r="V59">
        <v>13</v>
      </c>
      <c r="W59">
        <v>20</v>
      </c>
      <c r="X59">
        <v>13</v>
      </c>
      <c r="Y59" t="s">
        <v>83</v>
      </c>
      <c r="Z59" t="s">
        <v>78</v>
      </c>
    </row>
    <row r="60" spans="1:26" hidden="1" x14ac:dyDescent="0.25">
      <c r="A60" t="s">
        <v>204</v>
      </c>
      <c r="B60" t="s">
        <v>22</v>
      </c>
      <c r="C60">
        <v>59</v>
      </c>
      <c r="E60" t="s">
        <v>76</v>
      </c>
      <c r="F60" t="s">
        <v>205</v>
      </c>
      <c r="G60" t="s">
        <v>78</v>
      </c>
      <c r="H60" t="s">
        <v>88</v>
      </c>
      <c r="I60" t="s">
        <v>22</v>
      </c>
      <c r="J60" t="b">
        <v>1</v>
      </c>
      <c r="K60" t="b">
        <v>1</v>
      </c>
      <c r="L60" t="s">
        <v>95</v>
      </c>
      <c r="M60" t="s">
        <v>81</v>
      </c>
      <c r="O60" t="s">
        <v>89</v>
      </c>
      <c r="P60">
        <v>76</v>
      </c>
      <c r="Q60">
        <v>46223</v>
      </c>
      <c r="R6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89</v>
      </c>
      <c r="Z60" t="s">
        <v>78</v>
      </c>
    </row>
    <row r="61" spans="1:26" hidden="1" x14ac:dyDescent="0.25">
      <c r="A61" t="s">
        <v>206</v>
      </c>
      <c r="B61" t="s">
        <v>22</v>
      </c>
      <c r="C61">
        <v>60</v>
      </c>
      <c r="E61" t="s">
        <v>76</v>
      </c>
      <c r="F61" t="s">
        <v>207</v>
      </c>
      <c r="G61" t="s">
        <v>78</v>
      </c>
      <c r="H61" t="s">
        <v>79</v>
      </c>
      <c r="I61" t="s">
        <v>22</v>
      </c>
      <c r="J61" t="b">
        <v>1</v>
      </c>
      <c r="K61" t="b">
        <v>1</v>
      </c>
      <c r="L61" t="s">
        <v>95</v>
      </c>
      <c r="M61" t="s">
        <v>81</v>
      </c>
      <c r="O61" t="s">
        <v>82</v>
      </c>
      <c r="P61">
        <v>37.5</v>
      </c>
      <c r="Q61">
        <v>46223</v>
      </c>
      <c r="R61">
        <v>46250</v>
      </c>
      <c r="S61">
        <v>2</v>
      </c>
      <c r="T61">
        <v>75</v>
      </c>
      <c r="U61">
        <v>9.8684210526315788</v>
      </c>
      <c r="V61">
        <v>9</v>
      </c>
      <c r="W61">
        <v>20</v>
      </c>
      <c r="X61">
        <v>9</v>
      </c>
      <c r="Y61" t="s">
        <v>83</v>
      </c>
      <c r="Z61" t="s">
        <v>78</v>
      </c>
    </row>
    <row r="62" spans="1:26" hidden="1" x14ac:dyDescent="0.25">
      <c r="A62" t="s">
        <v>208</v>
      </c>
      <c r="B62" t="s">
        <v>22</v>
      </c>
      <c r="C62">
        <v>61</v>
      </c>
      <c r="E62" t="s">
        <v>76</v>
      </c>
      <c r="F62" t="s">
        <v>209</v>
      </c>
      <c r="G62" t="s">
        <v>78</v>
      </c>
      <c r="H62" t="s">
        <v>79</v>
      </c>
      <c r="I62" t="s">
        <v>22</v>
      </c>
      <c r="J62" t="b">
        <v>1</v>
      </c>
      <c r="K62" t="b">
        <v>1</v>
      </c>
      <c r="L62" t="s">
        <v>95</v>
      </c>
      <c r="M62" t="s">
        <v>81</v>
      </c>
      <c r="O62" t="s">
        <v>82</v>
      </c>
      <c r="P62">
        <v>60</v>
      </c>
      <c r="Q62">
        <v>46223</v>
      </c>
      <c r="R62">
        <v>46250</v>
      </c>
      <c r="S62">
        <v>2</v>
      </c>
      <c r="T62">
        <v>120</v>
      </c>
      <c r="U62">
        <v>15.789473684210527</v>
      </c>
      <c r="V62">
        <v>15</v>
      </c>
      <c r="W62">
        <v>20</v>
      </c>
      <c r="X62">
        <v>15</v>
      </c>
      <c r="Y62" t="s">
        <v>83</v>
      </c>
      <c r="Z62" t="s">
        <v>78</v>
      </c>
    </row>
    <row r="63" spans="1:26" hidden="1" x14ac:dyDescent="0.25">
      <c r="A63" t="s">
        <v>210</v>
      </c>
      <c r="B63" t="s">
        <v>31</v>
      </c>
      <c r="C63">
        <v>62</v>
      </c>
      <c r="E63" t="s">
        <v>76</v>
      </c>
      <c r="F63" t="s">
        <v>211</v>
      </c>
      <c r="G63" t="s">
        <v>78</v>
      </c>
      <c r="H63" t="s">
        <v>79</v>
      </c>
      <c r="I63" t="s">
        <v>31</v>
      </c>
      <c r="J63" t="b">
        <v>1</v>
      </c>
      <c r="K63" t="b">
        <v>1</v>
      </c>
      <c r="L63" t="s">
        <v>95</v>
      </c>
      <c r="M63" t="s">
        <v>81</v>
      </c>
      <c r="O63" t="s">
        <v>82</v>
      </c>
      <c r="P63">
        <v>70</v>
      </c>
      <c r="Q63">
        <v>46223</v>
      </c>
      <c r="R63">
        <v>46250</v>
      </c>
      <c r="S63">
        <v>2</v>
      </c>
      <c r="T63">
        <v>140</v>
      </c>
      <c r="U63">
        <v>18.421052631578949</v>
      </c>
      <c r="V63">
        <v>18</v>
      </c>
      <c r="W63">
        <v>20</v>
      </c>
      <c r="X63">
        <v>18</v>
      </c>
      <c r="Y63" t="s">
        <v>83</v>
      </c>
      <c r="Z63" t="s">
        <v>78</v>
      </c>
    </row>
    <row r="64" spans="1:26" hidden="1" x14ac:dyDescent="0.25">
      <c r="A64" t="s">
        <v>212</v>
      </c>
      <c r="B64" t="s">
        <v>22</v>
      </c>
      <c r="C64">
        <v>63</v>
      </c>
      <c r="E64" t="s">
        <v>76</v>
      </c>
      <c r="F64" t="s">
        <v>213</v>
      </c>
      <c r="G64" t="s">
        <v>78</v>
      </c>
      <c r="H64" t="s">
        <v>79</v>
      </c>
      <c r="I64" t="s">
        <v>22</v>
      </c>
      <c r="J64" t="b">
        <v>1</v>
      </c>
      <c r="K64" t="b">
        <v>1</v>
      </c>
      <c r="L64" t="s">
        <v>95</v>
      </c>
      <c r="M64" t="s">
        <v>81</v>
      </c>
      <c r="O64" t="s">
        <v>82</v>
      </c>
      <c r="P64">
        <v>67.5</v>
      </c>
      <c r="Q64">
        <v>46223</v>
      </c>
      <c r="R64">
        <v>46250</v>
      </c>
      <c r="S64">
        <v>2</v>
      </c>
      <c r="T64">
        <v>135</v>
      </c>
      <c r="U64">
        <v>17.763157894736842</v>
      </c>
      <c r="V64">
        <v>17</v>
      </c>
      <c r="W64">
        <v>20</v>
      </c>
      <c r="X64">
        <v>17</v>
      </c>
      <c r="Y64" t="s">
        <v>83</v>
      </c>
      <c r="Z64" t="s">
        <v>78</v>
      </c>
    </row>
    <row r="65" spans="1:26" hidden="1" x14ac:dyDescent="0.25">
      <c r="A65" t="s">
        <v>214</v>
      </c>
      <c r="B65" t="s">
        <v>31</v>
      </c>
      <c r="C65">
        <v>64</v>
      </c>
      <c r="E65" t="s">
        <v>76</v>
      </c>
      <c r="F65" t="s">
        <v>215</v>
      </c>
      <c r="G65" t="s">
        <v>78</v>
      </c>
      <c r="H65" t="s">
        <v>79</v>
      </c>
      <c r="I65" t="s">
        <v>31</v>
      </c>
      <c r="J65" t="b">
        <v>1</v>
      </c>
      <c r="K65" t="b">
        <v>1</v>
      </c>
      <c r="L65" t="s">
        <v>95</v>
      </c>
      <c r="M65" t="s">
        <v>81</v>
      </c>
      <c r="O65" t="s">
        <v>82</v>
      </c>
      <c r="P65">
        <v>70</v>
      </c>
      <c r="Q65">
        <v>46223</v>
      </c>
      <c r="R65">
        <v>46250</v>
      </c>
      <c r="S65">
        <v>2</v>
      </c>
      <c r="T65">
        <v>140</v>
      </c>
      <c r="U65">
        <v>18.421052631578949</v>
      </c>
      <c r="V65">
        <v>18</v>
      </c>
      <c r="W65">
        <v>20</v>
      </c>
      <c r="X65">
        <v>18</v>
      </c>
      <c r="Y65" t="s">
        <v>83</v>
      </c>
      <c r="Z65" t="s">
        <v>78</v>
      </c>
    </row>
    <row r="66" spans="1:26" hidden="1" x14ac:dyDescent="0.25">
      <c r="A66" t="s">
        <v>216</v>
      </c>
      <c r="B66" t="s">
        <v>22</v>
      </c>
      <c r="C66">
        <v>65</v>
      </c>
      <c r="E66" t="s">
        <v>76</v>
      </c>
      <c r="F66" t="s">
        <v>217</v>
      </c>
      <c r="G66" t="s">
        <v>78</v>
      </c>
      <c r="H66" t="s">
        <v>79</v>
      </c>
      <c r="I66" t="s">
        <v>22</v>
      </c>
      <c r="J66" t="b">
        <v>1</v>
      </c>
      <c r="K66" t="b">
        <v>1</v>
      </c>
      <c r="L66" t="s">
        <v>95</v>
      </c>
      <c r="M66" t="s">
        <v>81</v>
      </c>
      <c r="O66" t="s">
        <v>82</v>
      </c>
      <c r="P66">
        <v>30</v>
      </c>
      <c r="Q66">
        <v>46223</v>
      </c>
      <c r="R66">
        <v>46250</v>
      </c>
      <c r="S66">
        <v>2</v>
      </c>
      <c r="T66">
        <v>60</v>
      </c>
      <c r="U66">
        <v>7.8947368421052637</v>
      </c>
      <c r="V66">
        <v>7</v>
      </c>
      <c r="W66">
        <v>20</v>
      </c>
      <c r="X66">
        <v>7</v>
      </c>
      <c r="Y66" t="s">
        <v>83</v>
      </c>
      <c r="Z66" t="s">
        <v>78</v>
      </c>
    </row>
    <row r="67" spans="1:26" hidden="1" x14ac:dyDescent="0.25">
      <c r="A67" t="s">
        <v>218</v>
      </c>
      <c r="B67" t="s">
        <v>22</v>
      </c>
      <c r="C67">
        <v>66</v>
      </c>
      <c r="E67" t="s">
        <v>76</v>
      </c>
      <c r="F67" t="s">
        <v>219</v>
      </c>
      <c r="G67" t="s">
        <v>78</v>
      </c>
      <c r="H67" t="s">
        <v>79</v>
      </c>
      <c r="I67" t="s">
        <v>22</v>
      </c>
      <c r="J67" t="b">
        <v>1</v>
      </c>
      <c r="K67" t="b">
        <v>1</v>
      </c>
      <c r="L67" t="s">
        <v>95</v>
      </c>
      <c r="M67" t="s">
        <v>81</v>
      </c>
      <c r="O67" t="s">
        <v>82</v>
      </c>
      <c r="P67">
        <v>67.5</v>
      </c>
      <c r="Q67">
        <v>46223</v>
      </c>
      <c r="R67">
        <v>46250</v>
      </c>
      <c r="S67">
        <v>2</v>
      </c>
      <c r="T67">
        <v>135</v>
      </c>
      <c r="U67">
        <v>17.763157894736842</v>
      </c>
      <c r="V67">
        <v>17</v>
      </c>
      <c r="W67">
        <v>20</v>
      </c>
      <c r="X67">
        <v>17</v>
      </c>
      <c r="Y67" t="s">
        <v>83</v>
      </c>
      <c r="Z67" t="s">
        <v>78</v>
      </c>
    </row>
    <row r="68" spans="1:26" hidden="1" x14ac:dyDescent="0.25">
      <c r="A68" t="s">
        <v>220</v>
      </c>
      <c r="B68" t="s">
        <v>22</v>
      </c>
      <c r="C68">
        <v>67</v>
      </c>
      <c r="E68" t="s">
        <v>76</v>
      </c>
      <c r="F68" t="s">
        <v>221</v>
      </c>
      <c r="G68" t="s">
        <v>78</v>
      </c>
      <c r="H68" t="s">
        <v>79</v>
      </c>
      <c r="I68" t="s">
        <v>22</v>
      </c>
      <c r="J68" t="b">
        <v>1</v>
      </c>
      <c r="K68" t="b">
        <v>1</v>
      </c>
      <c r="L68" t="s">
        <v>95</v>
      </c>
      <c r="M68" t="s">
        <v>81</v>
      </c>
      <c r="O68" t="s">
        <v>82</v>
      </c>
      <c r="P68">
        <v>45</v>
      </c>
      <c r="Q68">
        <v>46223</v>
      </c>
      <c r="R68">
        <v>46250</v>
      </c>
      <c r="S68">
        <v>2</v>
      </c>
      <c r="T68">
        <v>90</v>
      </c>
      <c r="U68">
        <v>11.842105263157896</v>
      </c>
      <c r="V68">
        <v>11</v>
      </c>
      <c r="W68">
        <v>20</v>
      </c>
      <c r="X68">
        <v>11</v>
      </c>
      <c r="Y68" t="s">
        <v>83</v>
      </c>
      <c r="Z68" t="s">
        <v>78</v>
      </c>
    </row>
    <row r="69" spans="1:26" hidden="1" x14ac:dyDescent="0.25">
      <c r="A69" t="s">
        <v>222</v>
      </c>
      <c r="B69" t="s">
        <v>22</v>
      </c>
      <c r="C69">
        <v>68</v>
      </c>
      <c r="D69" t="s">
        <v>40</v>
      </c>
      <c r="E69" t="s">
        <v>76</v>
      </c>
      <c r="F69" t="s">
        <v>223</v>
      </c>
      <c r="G69" t="s">
        <v>78</v>
      </c>
      <c r="H69" t="s">
        <v>79</v>
      </c>
      <c r="I69" t="s">
        <v>22</v>
      </c>
      <c r="J69" t="b">
        <v>0</v>
      </c>
      <c r="K69" t="b">
        <v>1</v>
      </c>
      <c r="L69" t="s">
        <v>80</v>
      </c>
      <c r="M69" t="s">
        <v>81</v>
      </c>
      <c r="O69" t="s">
        <v>82</v>
      </c>
      <c r="P69">
        <v>22</v>
      </c>
      <c r="Q69">
        <v>46223</v>
      </c>
      <c r="R69">
        <v>46250</v>
      </c>
      <c r="S69">
        <v>2</v>
      </c>
      <c r="T69">
        <v>44</v>
      </c>
      <c r="U69">
        <v>5.7894736842105265</v>
      </c>
      <c r="V69">
        <v>5</v>
      </c>
      <c r="W69">
        <v>20</v>
      </c>
      <c r="X69">
        <v>5</v>
      </c>
      <c r="Y69" t="s">
        <v>83</v>
      </c>
      <c r="Z69" t="s">
        <v>78</v>
      </c>
    </row>
    <row r="70" spans="1:26" hidden="1" x14ac:dyDescent="0.25">
      <c r="A70" t="s">
        <v>224</v>
      </c>
      <c r="B70" t="s">
        <v>22</v>
      </c>
      <c r="C70">
        <v>69</v>
      </c>
      <c r="D70" t="s">
        <v>40</v>
      </c>
      <c r="E70" t="s">
        <v>76</v>
      </c>
      <c r="F70" t="s">
        <v>225</v>
      </c>
      <c r="G70" t="s">
        <v>78</v>
      </c>
      <c r="H70" t="s">
        <v>88</v>
      </c>
      <c r="I70" t="s">
        <v>22</v>
      </c>
      <c r="J70" t="b">
        <v>0</v>
      </c>
      <c r="K70" t="b">
        <v>1</v>
      </c>
      <c r="L70" t="s">
        <v>80</v>
      </c>
      <c r="M70" t="s">
        <v>81</v>
      </c>
      <c r="O70" t="s">
        <v>89</v>
      </c>
      <c r="P70">
        <v>76</v>
      </c>
      <c r="Q70">
        <v>46223</v>
      </c>
      <c r="R70">
        <v>46250</v>
      </c>
      <c r="S70">
        <v>2</v>
      </c>
      <c r="T70">
        <v>152</v>
      </c>
      <c r="U70">
        <v>20</v>
      </c>
      <c r="V70">
        <v>20</v>
      </c>
      <c r="W70">
        <v>20</v>
      </c>
      <c r="X70">
        <v>20</v>
      </c>
      <c r="Y70" t="s">
        <v>89</v>
      </c>
      <c r="Z70" t="s">
        <v>78</v>
      </c>
    </row>
    <row r="71" spans="1:26" hidden="1" x14ac:dyDescent="0.25">
      <c r="A71" t="s">
        <v>226</v>
      </c>
      <c r="B71" t="s">
        <v>22</v>
      </c>
      <c r="C71">
        <v>70</v>
      </c>
      <c r="E71" t="s">
        <v>76</v>
      </c>
      <c r="F71" t="s">
        <v>227</v>
      </c>
      <c r="G71" t="s">
        <v>78</v>
      </c>
      <c r="H71" t="s">
        <v>79</v>
      </c>
      <c r="I71" t="s">
        <v>22</v>
      </c>
      <c r="J71" t="b">
        <v>1</v>
      </c>
      <c r="K71" t="b">
        <v>1</v>
      </c>
      <c r="L71" t="s">
        <v>95</v>
      </c>
      <c r="M71" t="s">
        <v>81</v>
      </c>
      <c r="O71" t="s">
        <v>82</v>
      </c>
      <c r="P71">
        <v>67.5</v>
      </c>
      <c r="Q71">
        <v>46223</v>
      </c>
      <c r="R71">
        <v>46250</v>
      </c>
      <c r="S71">
        <v>2</v>
      </c>
      <c r="T71">
        <v>135</v>
      </c>
      <c r="U71">
        <v>17.763157894736842</v>
      </c>
      <c r="V71">
        <v>17</v>
      </c>
      <c r="W71">
        <v>20</v>
      </c>
      <c r="X71">
        <v>17</v>
      </c>
      <c r="Y71" t="s">
        <v>83</v>
      </c>
      <c r="Z71" t="s">
        <v>78</v>
      </c>
    </row>
    <row r="72" spans="1:26" hidden="1" x14ac:dyDescent="0.25">
      <c r="A72" t="s">
        <v>228</v>
      </c>
      <c r="B72" t="s">
        <v>22</v>
      </c>
      <c r="C72">
        <v>71</v>
      </c>
      <c r="E72" t="s">
        <v>76</v>
      </c>
      <c r="F72" t="s">
        <v>229</v>
      </c>
      <c r="G72" t="s">
        <v>78</v>
      </c>
      <c r="H72" t="s">
        <v>79</v>
      </c>
      <c r="I72" t="s">
        <v>22</v>
      </c>
      <c r="J72" t="b">
        <v>1</v>
      </c>
      <c r="K72" t="b">
        <v>1</v>
      </c>
      <c r="L72" t="s">
        <v>95</v>
      </c>
      <c r="M72" t="s">
        <v>81</v>
      </c>
      <c r="O72" t="s">
        <v>82</v>
      </c>
      <c r="P72">
        <v>67.5</v>
      </c>
      <c r="Q72">
        <v>46223</v>
      </c>
      <c r="R72">
        <v>46250</v>
      </c>
      <c r="S72">
        <v>2</v>
      </c>
      <c r="T72">
        <v>135</v>
      </c>
      <c r="U72">
        <v>17.763157894736842</v>
      </c>
      <c r="V72">
        <v>17</v>
      </c>
      <c r="W72">
        <v>20</v>
      </c>
      <c r="X72">
        <v>17</v>
      </c>
      <c r="Y72" t="s">
        <v>83</v>
      </c>
      <c r="Z72" t="s">
        <v>78</v>
      </c>
    </row>
    <row r="73" spans="1:26" hidden="1" x14ac:dyDescent="0.25">
      <c r="A73" t="s">
        <v>230</v>
      </c>
      <c r="B73" t="s">
        <v>22</v>
      </c>
      <c r="C73">
        <v>72</v>
      </c>
      <c r="E73" t="s">
        <v>76</v>
      </c>
      <c r="F73" t="s">
        <v>231</v>
      </c>
      <c r="G73" t="s">
        <v>78</v>
      </c>
      <c r="H73" t="s">
        <v>79</v>
      </c>
      <c r="I73" t="s">
        <v>22</v>
      </c>
      <c r="J73" t="b">
        <v>1</v>
      </c>
      <c r="K73" t="b">
        <v>1</v>
      </c>
      <c r="L73" t="s">
        <v>95</v>
      </c>
      <c r="M73" t="s">
        <v>81</v>
      </c>
      <c r="O73" t="s">
        <v>82</v>
      </c>
      <c r="P73">
        <v>52.5</v>
      </c>
      <c r="Q73">
        <v>46223</v>
      </c>
      <c r="R73">
        <v>46250</v>
      </c>
      <c r="S73">
        <v>2</v>
      </c>
      <c r="T73">
        <v>105</v>
      </c>
      <c r="U73">
        <v>13.815789473684212</v>
      </c>
      <c r="V73">
        <v>13</v>
      </c>
      <c r="W73">
        <v>20</v>
      </c>
      <c r="X73">
        <v>13</v>
      </c>
      <c r="Y73" t="s">
        <v>83</v>
      </c>
      <c r="Z73" t="s">
        <v>78</v>
      </c>
    </row>
    <row r="74" spans="1:26" hidden="1" x14ac:dyDescent="0.25">
      <c r="A74" t="s">
        <v>232</v>
      </c>
      <c r="B74" t="s">
        <v>31</v>
      </c>
      <c r="C74">
        <v>73</v>
      </c>
      <c r="E74" t="s">
        <v>76</v>
      </c>
      <c r="F74" t="s">
        <v>233</v>
      </c>
      <c r="G74" t="s">
        <v>78</v>
      </c>
      <c r="H74" t="s">
        <v>88</v>
      </c>
      <c r="I74" t="s">
        <v>31</v>
      </c>
      <c r="J74" t="b">
        <v>1</v>
      </c>
      <c r="K74" t="b">
        <v>0</v>
      </c>
      <c r="L74" t="s">
        <v>92</v>
      </c>
      <c r="M74" t="s">
        <v>81</v>
      </c>
      <c r="O74" t="s">
        <v>89</v>
      </c>
      <c r="P74">
        <v>76</v>
      </c>
      <c r="Q74">
        <v>46223</v>
      </c>
      <c r="R74">
        <v>46250</v>
      </c>
      <c r="S74">
        <v>2</v>
      </c>
      <c r="T74">
        <v>152</v>
      </c>
      <c r="U74">
        <v>20</v>
      </c>
      <c r="V74">
        <v>20</v>
      </c>
      <c r="W74">
        <v>20</v>
      </c>
      <c r="X74">
        <v>20</v>
      </c>
      <c r="Y74" t="s">
        <v>89</v>
      </c>
      <c r="Z74" t="s">
        <v>78</v>
      </c>
    </row>
    <row r="75" spans="1:26" hidden="1" x14ac:dyDescent="0.25">
      <c r="A75" t="s">
        <v>234</v>
      </c>
      <c r="B75" t="s">
        <v>29</v>
      </c>
      <c r="C75">
        <v>74</v>
      </c>
      <c r="E75" t="s">
        <v>76</v>
      </c>
      <c r="F75" t="s">
        <v>235</v>
      </c>
      <c r="G75" t="s">
        <v>78</v>
      </c>
      <c r="H75" t="s">
        <v>79</v>
      </c>
      <c r="I75" t="s">
        <v>29</v>
      </c>
      <c r="J75" t="b">
        <v>1</v>
      </c>
      <c r="K75" t="b">
        <v>1</v>
      </c>
      <c r="L75" t="s">
        <v>95</v>
      </c>
      <c r="M75" t="s">
        <v>81</v>
      </c>
      <c r="O75" t="s">
        <v>82</v>
      </c>
      <c r="P75">
        <v>48</v>
      </c>
      <c r="Q75">
        <v>46223</v>
      </c>
      <c r="R75">
        <v>46250</v>
      </c>
      <c r="S75">
        <v>2</v>
      </c>
      <c r="T75">
        <v>96</v>
      </c>
      <c r="U75">
        <v>12.631578947368419</v>
      </c>
      <c r="V75">
        <v>12</v>
      </c>
      <c r="W75">
        <v>20</v>
      </c>
      <c r="X75">
        <v>12</v>
      </c>
      <c r="Y75" t="s">
        <v>83</v>
      </c>
      <c r="Z75" t="s">
        <v>78</v>
      </c>
    </row>
    <row r="76" spans="1:26" hidden="1" x14ac:dyDescent="0.25">
      <c r="A76" t="s">
        <v>236</v>
      </c>
      <c r="B76" t="s">
        <v>29</v>
      </c>
      <c r="C76">
        <v>75</v>
      </c>
      <c r="E76" t="s">
        <v>76</v>
      </c>
      <c r="F76" t="s">
        <v>237</v>
      </c>
      <c r="G76" t="s">
        <v>78</v>
      </c>
      <c r="H76" t="s">
        <v>79</v>
      </c>
      <c r="I76" t="s">
        <v>29</v>
      </c>
      <c r="J76" t="b">
        <v>1</v>
      </c>
      <c r="K76" t="b">
        <v>1</v>
      </c>
      <c r="L76" t="s">
        <v>95</v>
      </c>
      <c r="M76" t="s">
        <v>81</v>
      </c>
      <c r="O76" t="s">
        <v>82</v>
      </c>
      <c r="P76">
        <v>48</v>
      </c>
      <c r="Q76">
        <v>46223</v>
      </c>
      <c r="R76">
        <v>46250</v>
      </c>
      <c r="S76">
        <v>2</v>
      </c>
      <c r="T76">
        <v>96</v>
      </c>
      <c r="U76">
        <v>12.631578947368419</v>
      </c>
      <c r="V76">
        <v>12</v>
      </c>
      <c r="W76">
        <v>20</v>
      </c>
      <c r="X76">
        <v>12</v>
      </c>
      <c r="Y76" t="s">
        <v>83</v>
      </c>
      <c r="Z76" t="s">
        <v>78</v>
      </c>
    </row>
    <row r="77" spans="1:26" hidden="1" x14ac:dyDescent="0.25">
      <c r="A77" t="s">
        <v>238</v>
      </c>
      <c r="B77" t="s">
        <v>22</v>
      </c>
      <c r="C77">
        <v>76</v>
      </c>
      <c r="D77" t="s">
        <v>40</v>
      </c>
      <c r="E77" t="s">
        <v>76</v>
      </c>
      <c r="F77" t="s">
        <v>239</v>
      </c>
      <c r="G77" t="s">
        <v>78</v>
      </c>
      <c r="H77" t="s">
        <v>88</v>
      </c>
      <c r="I77" t="s">
        <v>22</v>
      </c>
      <c r="J77" t="b">
        <v>0</v>
      </c>
      <c r="K77" t="b">
        <v>1</v>
      </c>
      <c r="L77" t="s">
        <v>80</v>
      </c>
      <c r="M77" t="s">
        <v>81</v>
      </c>
      <c r="O77" t="s">
        <v>89</v>
      </c>
      <c r="P77">
        <v>76</v>
      </c>
      <c r="Q77">
        <v>46223</v>
      </c>
      <c r="R77">
        <v>46250</v>
      </c>
      <c r="S77">
        <v>2</v>
      </c>
      <c r="T77">
        <v>152</v>
      </c>
      <c r="U77">
        <v>20</v>
      </c>
      <c r="V77">
        <v>20</v>
      </c>
      <c r="W77">
        <v>20</v>
      </c>
      <c r="X77">
        <v>20</v>
      </c>
      <c r="Y77" t="s">
        <v>89</v>
      </c>
      <c r="Z77" t="s">
        <v>78</v>
      </c>
    </row>
    <row r="78" spans="1:26" hidden="1" x14ac:dyDescent="0.25">
      <c r="A78" t="s">
        <v>240</v>
      </c>
      <c r="B78" t="s">
        <v>22</v>
      </c>
      <c r="C78">
        <v>77</v>
      </c>
      <c r="E78" t="s">
        <v>76</v>
      </c>
      <c r="F78" t="s">
        <v>241</v>
      </c>
      <c r="G78" t="s">
        <v>78</v>
      </c>
      <c r="H78" t="s">
        <v>79</v>
      </c>
      <c r="I78" t="s">
        <v>22</v>
      </c>
      <c r="J78" t="b">
        <v>1</v>
      </c>
      <c r="K78" t="b">
        <v>1</v>
      </c>
      <c r="L78" t="s">
        <v>95</v>
      </c>
      <c r="M78" t="s">
        <v>81</v>
      </c>
      <c r="O78" t="s">
        <v>82</v>
      </c>
      <c r="P78">
        <v>60</v>
      </c>
      <c r="Q78">
        <v>46223</v>
      </c>
      <c r="R78">
        <v>46250</v>
      </c>
      <c r="S78">
        <v>2</v>
      </c>
      <c r="T78">
        <v>120</v>
      </c>
      <c r="U78">
        <v>15.789473684210527</v>
      </c>
      <c r="V78">
        <v>15</v>
      </c>
      <c r="W78">
        <v>20</v>
      </c>
      <c r="X78">
        <v>15</v>
      </c>
      <c r="Y78" t="s">
        <v>83</v>
      </c>
      <c r="Z78" t="s">
        <v>78</v>
      </c>
    </row>
    <row r="79" spans="1:26" hidden="1" x14ac:dyDescent="0.25">
      <c r="A79" t="s">
        <v>242</v>
      </c>
      <c r="B79" t="s">
        <v>29</v>
      </c>
      <c r="C79">
        <v>78</v>
      </c>
      <c r="E79" t="s">
        <v>76</v>
      </c>
      <c r="F79" t="s">
        <v>243</v>
      </c>
      <c r="G79" t="s">
        <v>78</v>
      </c>
      <c r="H79" t="s">
        <v>110</v>
      </c>
      <c r="I79" t="s">
        <v>29</v>
      </c>
      <c r="J79" t="b">
        <v>1</v>
      </c>
      <c r="K79" t="b">
        <v>1</v>
      </c>
      <c r="L79" t="s">
        <v>95</v>
      </c>
      <c r="M79" t="s">
        <v>81</v>
      </c>
      <c r="O79" t="s">
        <v>82</v>
      </c>
      <c r="P79">
        <v>76</v>
      </c>
      <c r="Q79">
        <v>46223</v>
      </c>
      <c r="R79">
        <v>46250</v>
      </c>
      <c r="S79">
        <v>2</v>
      </c>
      <c r="T79">
        <v>152</v>
      </c>
      <c r="U79">
        <v>20</v>
      </c>
      <c r="V79">
        <v>20</v>
      </c>
      <c r="W79">
        <v>20</v>
      </c>
      <c r="X79">
        <v>20</v>
      </c>
      <c r="Y79" t="s">
        <v>111</v>
      </c>
      <c r="Z79" t="s">
        <v>78</v>
      </c>
    </row>
    <row r="80" spans="1:26" hidden="1" x14ac:dyDescent="0.25">
      <c r="A80" t="s">
        <v>244</v>
      </c>
      <c r="B80" t="s">
        <v>31</v>
      </c>
      <c r="C80">
        <v>79</v>
      </c>
      <c r="E80" t="s">
        <v>76</v>
      </c>
      <c r="F80" t="s">
        <v>245</v>
      </c>
      <c r="G80" t="s">
        <v>78</v>
      </c>
      <c r="H80" t="s">
        <v>79</v>
      </c>
      <c r="I80" t="s">
        <v>31</v>
      </c>
      <c r="J80" t="b">
        <v>1</v>
      </c>
      <c r="K80" t="b">
        <v>1</v>
      </c>
      <c r="L80" t="s">
        <v>95</v>
      </c>
      <c r="M80" t="s">
        <v>81</v>
      </c>
      <c r="O80" t="s">
        <v>82</v>
      </c>
      <c r="P80">
        <v>47.5</v>
      </c>
      <c r="Q80">
        <v>46223</v>
      </c>
      <c r="R80">
        <v>46250</v>
      </c>
      <c r="S80">
        <v>2</v>
      </c>
      <c r="T80">
        <v>95</v>
      </c>
      <c r="U80">
        <v>12.5</v>
      </c>
      <c r="V80">
        <v>12</v>
      </c>
      <c r="W80">
        <v>20</v>
      </c>
      <c r="X80">
        <v>12</v>
      </c>
      <c r="Y80" t="s">
        <v>83</v>
      </c>
      <c r="Z80" t="s">
        <v>78</v>
      </c>
    </row>
    <row r="81" spans="1:26" hidden="1" x14ac:dyDescent="0.25">
      <c r="A81" t="s">
        <v>246</v>
      </c>
      <c r="B81" t="s">
        <v>22</v>
      </c>
      <c r="C81">
        <v>80</v>
      </c>
      <c r="E81" t="s">
        <v>76</v>
      </c>
      <c r="F81" t="s">
        <v>247</v>
      </c>
      <c r="G81" t="s">
        <v>78</v>
      </c>
      <c r="H81" t="s">
        <v>79</v>
      </c>
      <c r="I81" t="s">
        <v>22</v>
      </c>
      <c r="J81" t="b">
        <v>1</v>
      </c>
      <c r="K81" t="b">
        <v>1</v>
      </c>
      <c r="L81" t="s">
        <v>95</v>
      </c>
      <c r="M81" t="s">
        <v>81</v>
      </c>
      <c r="O81" t="s">
        <v>82</v>
      </c>
      <c r="P81">
        <v>52.5</v>
      </c>
      <c r="Q81">
        <v>46223</v>
      </c>
      <c r="R81">
        <v>46250</v>
      </c>
      <c r="S81">
        <v>2</v>
      </c>
      <c r="T81">
        <v>105</v>
      </c>
      <c r="U81">
        <v>13.815789473684212</v>
      </c>
      <c r="V81">
        <v>13</v>
      </c>
      <c r="W81">
        <v>20</v>
      </c>
      <c r="X81">
        <v>13</v>
      </c>
      <c r="Y81" t="s">
        <v>83</v>
      </c>
      <c r="Z81" t="s">
        <v>78</v>
      </c>
    </row>
    <row r="82" spans="1:26" hidden="1" x14ac:dyDescent="0.25">
      <c r="A82" t="s">
        <v>248</v>
      </c>
      <c r="B82" t="s">
        <v>29</v>
      </c>
      <c r="C82">
        <v>81</v>
      </c>
      <c r="E82" t="s">
        <v>76</v>
      </c>
      <c r="F82" t="s">
        <v>249</v>
      </c>
      <c r="G82" t="s">
        <v>78</v>
      </c>
      <c r="H82" t="s">
        <v>79</v>
      </c>
      <c r="I82" t="s">
        <v>29</v>
      </c>
      <c r="J82" t="b">
        <v>1</v>
      </c>
      <c r="K82" t="b">
        <v>1</v>
      </c>
      <c r="L82" t="s">
        <v>95</v>
      </c>
      <c r="M82" t="s">
        <v>81</v>
      </c>
      <c r="O82" t="s">
        <v>82</v>
      </c>
      <c r="P82">
        <v>48</v>
      </c>
      <c r="Q82">
        <v>46223</v>
      </c>
      <c r="R82">
        <v>46250</v>
      </c>
      <c r="S82">
        <v>2</v>
      </c>
      <c r="T82">
        <v>96</v>
      </c>
      <c r="U82">
        <v>12.631578947368419</v>
      </c>
      <c r="V82">
        <v>12</v>
      </c>
      <c r="W82">
        <v>20</v>
      </c>
      <c r="X82">
        <v>12</v>
      </c>
      <c r="Y82" t="s">
        <v>83</v>
      </c>
      <c r="Z82" t="s">
        <v>78</v>
      </c>
    </row>
    <row r="83" spans="1:26" hidden="1" x14ac:dyDescent="0.25">
      <c r="A83" t="s">
        <v>250</v>
      </c>
      <c r="B83" t="s">
        <v>22</v>
      </c>
      <c r="C83">
        <v>82</v>
      </c>
      <c r="E83" t="s">
        <v>76</v>
      </c>
      <c r="F83" t="s">
        <v>251</v>
      </c>
      <c r="G83" t="s">
        <v>78</v>
      </c>
      <c r="H83" t="s">
        <v>79</v>
      </c>
      <c r="I83" t="s">
        <v>22</v>
      </c>
      <c r="J83" t="b">
        <v>1</v>
      </c>
      <c r="K83" t="b">
        <v>1</v>
      </c>
      <c r="L83" t="s">
        <v>95</v>
      </c>
      <c r="M83" t="s">
        <v>81</v>
      </c>
      <c r="O83" t="s">
        <v>82</v>
      </c>
      <c r="P83">
        <v>16</v>
      </c>
      <c r="Q83">
        <v>46223</v>
      </c>
      <c r="R83">
        <v>46250</v>
      </c>
      <c r="S83">
        <v>2</v>
      </c>
      <c r="T83">
        <v>32</v>
      </c>
      <c r="U83">
        <v>4.2105263157894735</v>
      </c>
      <c r="V83">
        <v>4</v>
      </c>
      <c r="W83">
        <v>20</v>
      </c>
      <c r="X83">
        <v>4</v>
      </c>
      <c r="Y83" t="s">
        <v>83</v>
      </c>
      <c r="Z83" t="s">
        <v>78</v>
      </c>
    </row>
    <row r="84" spans="1:26" hidden="1" x14ac:dyDescent="0.25">
      <c r="A84" t="s">
        <v>252</v>
      </c>
      <c r="B84" t="s">
        <v>22</v>
      </c>
      <c r="C84">
        <v>83</v>
      </c>
      <c r="E84" t="s">
        <v>76</v>
      </c>
      <c r="F84" t="s">
        <v>253</v>
      </c>
      <c r="G84" t="s">
        <v>78</v>
      </c>
      <c r="H84" t="s">
        <v>79</v>
      </c>
      <c r="I84" t="s">
        <v>22</v>
      </c>
      <c r="J84" t="b">
        <v>1</v>
      </c>
      <c r="K84" t="b">
        <v>1</v>
      </c>
      <c r="L84" t="s">
        <v>95</v>
      </c>
      <c r="M84" t="s">
        <v>81</v>
      </c>
      <c r="O84" t="s">
        <v>82</v>
      </c>
      <c r="P84">
        <v>75</v>
      </c>
      <c r="Q84">
        <v>46223</v>
      </c>
      <c r="R84">
        <v>46250</v>
      </c>
      <c r="S84">
        <v>2</v>
      </c>
      <c r="T84">
        <v>150</v>
      </c>
      <c r="U84">
        <v>19.736842105263161</v>
      </c>
      <c r="V84">
        <v>19</v>
      </c>
      <c r="W84">
        <v>20</v>
      </c>
      <c r="X84">
        <v>19</v>
      </c>
      <c r="Y84" t="s">
        <v>83</v>
      </c>
      <c r="Z84" t="s">
        <v>78</v>
      </c>
    </row>
    <row r="85" spans="1:26" hidden="1" x14ac:dyDescent="0.25">
      <c r="A85" t="s">
        <v>254</v>
      </c>
      <c r="B85" t="s">
        <v>22</v>
      </c>
      <c r="C85">
        <v>84</v>
      </c>
      <c r="E85" t="s">
        <v>76</v>
      </c>
      <c r="F85" t="s">
        <v>255</v>
      </c>
      <c r="G85" t="s">
        <v>78</v>
      </c>
      <c r="H85" t="s">
        <v>110</v>
      </c>
      <c r="I85" t="s">
        <v>22</v>
      </c>
      <c r="J85" t="b">
        <v>1</v>
      </c>
      <c r="K85" t="b">
        <v>1</v>
      </c>
      <c r="L85" t="s">
        <v>95</v>
      </c>
      <c r="M85" t="s">
        <v>81</v>
      </c>
      <c r="O85" t="s">
        <v>82</v>
      </c>
      <c r="P85">
        <v>76</v>
      </c>
      <c r="Q85">
        <v>46223</v>
      </c>
      <c r="R85">
        <v>46250</v>
      </c>
      <c r="S85">
        <v>2</v>
      </c>
      <c r="T85">
        <v>152</v>
      </c>
      <c r="U85">
        <v>20</v>
      </c>
      <c r="V85">
        <v>20</v>
      </c>
      <c r="W85">
        <v>20</v>
      </c>
      <c r="X85">
        <v>20</v>
      </c>
      <c r="Y85" t="s">
        <v>111</v>
      </c>
      <c r="Z85" t="s">
        <v>78</v>
      </c>
    </row>
    <row r="86" spans="1:26" hidden="1" x14ac:dyDescent="0.25">
      <c r="A86" t="s">
        <v>256</v>
      </c>
      <c r="B86" t="s">
        <v>22</v>
      </c>
      <c r="C86">
        <v>85</v>
      </c>
      <c r="D86" t="s">
        <v>40</v>
      </c>
      <c r="E86" t="s">
        <v>76</v>
      </c>
      <c r="F86" t="s">
        <v>257</v>
      </c>
      <c r="G86" t="s">
        <v>78</v>
      </c>
      <c r="H86" t="s">
        <v>79</v>
      </c>
      <c r="I86" t="s">
        <v>22</v>
      </c>
      <c r="J86" t="b">
        <v>0</v>
      </c>
      <c r="K86" t="b">
        <v>1</v>
      </c>
      <c r="L86" t="s">
        <v>80</v>
      </c>
      <c r="M86" t="s">
        <v>81</v>
      </c>
      <c r="O86" t="s">
        <v>82</v>
      </c>
      <c r="P86">
        <v>30</v>
      </c>
      <c r="Q86">
        <v>46223</v>
      </c>
      <c r="R86">
        <v>46250</v>
      </c>
      <c r="S86">
        <v>2</v>
      </c>
      <c r="T86">
        <v>60</v>
      </c>
      <c r="U86">
        <v>7.8947368421052637</v>
      </c>
      <c r="V86">
        <v>7</v>
      </c>
      <c r="W86">
        <v>20</v>
      </c>
      <c r="X86">
        <v>7</v>
      </c>
      <c r="Y86" t="s">
        <v>83</v>
      </c>
      <c r="Z86" t="s">
        <v>78</v>
      </c>
    </row>
    <row r="87" spans="1:26" hidden="1" x14ac:dyDescent="0.25">
      <c r="A87" t="s">
        <v>258</v>
      </c>
      <c r="B87" t="s">
        <v>22</v>
      </c>
      <c r="C87">
        <v>86</v>
      </c>
      <c r="D87" t="s">
        <v>40</v>
      </c>
      <c r="E87" t="s">
        <v>76</v>
      </c>
      <c r="F87" t="s">
        <v>259</v>
      </c>
      <c r="G87" t="s">
        <v>78</v>
      </c>
      <c r="H87" t="s">
        <v>79</v>
      </c>
      <c r="I87" t="s">
        <v>22</v>
      </c>
      <c r="J87" t="b">
        <v>0</v>
      </c>
      <c r="K87" t="b">
        <v>1</v>
      </c>
      <c r="L87" t="s">
        <v>80</v>
      </c>
      <c r="M87" t="s">
        <v>81</v>
      </c>
      <c r="O87" t="s">
        <v>82</v>
      </c>
      <c r="P87">
        <v>32</v>
      </c>
      <c r="Q87">
        <v>46223</v>
      </c>
      <c r="R87">
        <v>46250</v>
      </c>
      <c r="S87">
        <v>2</v>
      </c>
      <c r="T87">
        <v>64</v>
      </c>
      <c r="U87">
        <v>8.4210526315789469</v>
      </c>
      <c r="V87">
        <v>8</v>
      </c>
      <c r="W87">
        <v>20</v>
      </c>
      <c r="X87">
        <v>8</v>
      </c>
      <c r="Y87" t="s">
        <v>83</v>
      </c>
      <c r="Z87" t="s">
        <v>78</v>
      </c>
    </row>
    <row r="88" spans="1:26" hidden="1" x14ac:dyDescent="0.25">
      <c r="A88" t="s">
        <v>260</v>
      </c>
      <c r="B88" t="s">
        <v>31</v>
      </c>
      <c r="C88">
        <v>87</v>
      </c>
      <c r="E88" t="s">
        <v>76</v>
      </c>
      <c r="F88" t="s">
        <v>261</v>
      </c>
      <c r="G88" t="s">
        <v>78</v>
      </c>
      <c r="H88" t="s">
        <v>79</v>
      </c>
      <c r="I88" t="s">
        <v>31</v>
      </c>
      <c r="J88" t="b">
        <v>1</v>
      </c>
      <c r="K88" t="b">
        <v>1</v>
      </c>
      <c r="L88" t="s">
        <v>95</v>
      </c>
      <c r="M88" t="s">
        <v>81</v>
      </c>
      <c r="O88" t="s">
        <v>82</v>
      </c>
      <c r="P88">
        <v>46.5</v>
      </c>
      <c r="Q88">
        <v>46223</v>
      </c>
      <c r="R88">
        <v>46250</v>
      </c>
      <c r="S88">
        <v>2</v>
      </c>
      <c r="T88">
        <v>93</v>
      </c>
      <c r="U88">
        <v>12.236842105263159</v>
      </c>
      <c r="V88">
        <v>12</v>
      </c>
      <c r="W88">
        <v>20</v>
      </c>
      <c r="X88">
        <v>12</v>
      </c>
      <c r="Y88" t="s">
        <v>83</v>
      </c>
      <c r="Z88" t="s">
        <v>78</v>
      </c>
    </row>
    <row r="89" spans="1:26" hidden="1" x14ac:dyDescent="0.25">
      <c r="A89" t="s">
        <v>262</v>
      </c>
      <c r="B89" t="s">
        <v>31</v>
      </c>
      <c r="C89">
        <v>88</v>
      </c>
      <c r="E89" t="s">
        <v>76</v>
      </c>
      <c r="F89" t="s">
        <v>263</v>
      </c>
      <c r="G89" t="s">
        <v>78</v>
      </c>
      <c r="H89" t="s">
        <v>79</v>
      </c>
      <c r="I89" t="s">
        <v>31</v>
      </c>
      <c r="J89" t="b">
        <v>1</v>
      </c>
      <c r="K89" t="b">
        <v>1</v>
      </c>
      <c r="L89" t="s">
        <v>95</v>
      </c>
      <c r="M89" t="s">
        <v>81</v>
      </c>
      <c r="O89" t="s">
        <v>82</v>
      </c>
      <c r="P89">
        <v>31.5</v>
      </c>
      <c r="Q89">
        <v>46223</v>
      </c>
      <c r="R89">
        <v>46250</v>
      </c>
      <c r="S89">
        <v>2</v>
      </c>
      <c r="T89">
        <v>63</v>
      </c>
      <c r="U89">
        <v>8.2894736842105274</v>
      </c>
      <c r="V89">
        <v>8</v>
      </c>
      <c r="W89">
        <v>20</v>
      </c>
      <c r="X89">
        <v>8</v>
      </c>
      <c r="Y89" t="s">
        <v>83</v>
      </c>
      <c r="Z89" t="s">
        <v>78</v>
      </c>
    </row>
    <row r="90" spans="1:26" hidden="1" x14ac:dyDescent="0.25">
      <c r="A90" t="s">
        <v>264</v>
      </c>
      <c r="B90" t="s">
        <v>22</v>
      </c>
      <c r="C90">
        <v>89</v>
      </c>
      <c r="D90" t="s">
        <v>40</v>
      </c>
      <c r="E90" t="s">
        <v>76</v>
      </c>
      <c r="F90" t="s">
        <v>265</v>
      </c>
      <c r="G90" t="s">
        <v>78</v>
      </c>
      <c r="H90" t="s">
        <v>88</v>
      </c>
      <c r="I90" t="s">
        <v>22</v>
      </c>
      <c r="J90" t="b">
        <v>0</v>
      </c>
      <c r="K90" t="b">
        <v>1</v>
      </c>
      <c r="L90" t="s">
        <v>80</v>
      </c>
      <c r="M90" t="s">
        <v>81</v>
      </c>
      <c r="O90" t="s">
        <v>89</v>
      </c>
      <c r="P90">
        <v>76</v>
      </c>
      <c r="Q90">
        <v>46223</v>
      </c>
      <c r="R90">
        <v>46250</v>
      </c>
      <c r="S90">
        <v>2</v>
      </c>
      <c r="T90">
        <v>152</v>
      </c>
      <c r="U90">
        <v>20</v>
      </c>
      <c r="V90">
        <v>20</v>
      </c>
      <c r="W90">
        <v>20</v>
      </c>
      <c r="X90">
        <v>20</v>
      </c>
      <c r="Y90" t="s">
        <v>89</v>
      </c>
      <c r="Z90" t="s">
        <v>78</v>
      </c>
    </row>
    <row r="91" spans="1:26" hidden="1" x14ac:dyDescent="0.25">
      <c r="A91" t="s">
        <v>266</v>
      </c>
      <c r="B91" t="s">
        <v>22</v>
      </c>
      <c r="C91">
        <v>90</v>
      </c>
      <c r="D91" t="s">
        <v>40</v>
      </c>
      <c r="E91" t="s">
        <v>76</v>
      </c>
      <c r="F91" t="s">
        <v>267</v>
      </c>
      <c r="G91" t="s">
        <v>78</v>
      </c>
      <c r="H91" t="s">
        <v>88</v>
      </c>
      <c r="I91" t="s">
        <v>22</v>
      </c>
      <c r="J91" t="b">
        <v>0</v>
      </c>
      <c r="K91" t="b">
        <v>1</v>
      </c>
      <c r="L91" t="s">
        <v>80</v>
      </c>
      <c r="M91" t="s">
        <v>81</v>
      </c>
      <c r="O91" t="s">
        <v>89</v>
      </c>
      <c r="P91">
        <v>76</v>
      </c>
      <c r="Q91">
        <v>46223</v>
      </c>
      <c r="R91">
        <v>46250</v>
      </c>
      <c r="S91">
        <v>2</v>
      </c>
      <c r="T91">
        <v>152</v>
      </c>
      <c r="U91">
        <v>20</v>
      </c>
      <c r="V91">
        <v>20</v>
      </c>
      <c r="W91">
        <v>20</v>
      </c>
      <c r="X91">
        <v>20</v>
      </c>
      <c r="Y91" t="s">
        <v>89</v>
      </c>
      <c r="Z91" t="s">
        <v>78</v>
      </c>
    </row>
    <row r="92" spans="1:26" hidden="1" x14ac:dyDescent="0.25">
      <c r="A92" t="s">
        <v>268</v>
      </c>
      <c r="B92" t="s">
        <v>31</v>
      </c>
      <c r="C92">
        <v>91</v>
      </c>
      <c r="E92" t="s">
        <v>76</v>
      </c>
      <c r="F92" t="s">
        <v>269</v>
      </c>
      <c r="G92" t="s">
        <v>78</v>
      </c>
      <c r="H92" t="s">
        <v>79</v>
      </c>
      <c r="I92" t="s">
        <v>31</v>
      </c>
      <c r="J92" t="b">
        <v>1</v>
      </c>
      <c r="K92" t="b">
        <v>1</v>
      </c>
      <c r="L92" t="s">
        <v>95</v>
      </c>
      <c r="M92" t="s">
        <v>81</v>
      </c>
      <c r="O92" t="s">
        <v>82</v>
      </c>
      <c r="P92">
        <v>48</v>
      </c>
      <c r="Q92">
        <v>46223</v>
      </c>
      <c r="R92">
        <v>46250</v>
      </c>
      <c r="S92">
        <v>2</v>
      </c>
      <c r="T92">
        <v>96</v>
      </c>
      <c r="U92">
        <v>12.631578947368419</v>
      </c>
      <c r="V92">
        <v>12</v>
      </c>
      <c r="W92">
        <v>20</v>
      </c>
      <c r="X92">
        <v>12</v>
      </c>
      <c r="Y92" t="s">
        <v>83</v>
      </c>
      <c r="Z92" t="s">
        <v>78</v>
      </c>
    </row>
    <row r="93" spans="1:26" hidden="1" x14ac:dyDescent="0.25">
      <c r="A93" t="s">
        <v>270</v>
      </c>
      <c r="B93" t="s">
        <v>22</v>
      </c>
      <c r="C93">
        <v>92</v>
      </c>
      <c r="E93" t="s">
        <v>76</v>
      </c>
      <c r="F93" t="s">
        <v>271</v>
      </c>
      <c r="G93" t="s">
        <v>78</v>
      </c>
      <c r="H93" t="s">
        <v>79</v>
      </c>
      <c r="I93" t="s">
        <v>22</v>
      </c>
      <c r="J93" t="b">
        <v>1</v>
      </c>
      <c r="K93" t="b">
        <v>1</v>
      </c>
      <c r="L93" t="s">
        <v>95</v>
      </c>
      <c r="M93" t="s">
        <v>81</v>
      </c>
      <c r="O93" t="s">
        <v>82</v>
      </c>
      <c r="P93">
        <v>60</v>
      </c>
      <c r="Q93">
        <v>46223</v>
      </c>
      <c r="R93">
        <v>46250</v>
      </c>
      <c r="S93">
        <v>2</v>
      </c>
      <c r="T93">
        <v>120</v>
      </c>
      <c r="U93">
        <v>15.789473684210527</v>
      </c>
      <c r="V93">
        <v>15</v>
      </c>
      <c r="W93">
        <v>20</v>
      </c>
      <c r="X93">
        <v>15</v>
      </c>
      <c r="Y93" t="s">
        <v>83</v>
      </c>
      <c r="Z93" t="s">
        <v>78</v>
      </c>
    </row>
    <row r="94" spans="1:26" hidden="1" x14ac:dyDescent="0.25">
      <c r="A94" t="s">
        <v>272</v>
      </c>
      <c r="B94" t="s">
        <v>22</v>
      </c>
      <c r="C94">
        <v>93</v>
      </c>
      <c r="D94" t="s">
        <v>40</v>
      </c>
      <c r="E94" t="s">
        <v>76</v>
      </c>
      <c r="F94" t="s">
        <v>273</v>
      </c>
      <c r="G94" t="s">
        <v>78</v>
      </c>
      <c r="H94" t="s">
        <v>79</v>
      </c>
      <c r="I94" t="s">
        <v>22</v>
      </c>
      <c r="J94" t="b">
        <v>0</v>
      </c>
      <c r="K94" t="b">
        <v>1</v>
      </c>
      <c r="L94" t="s">
        <v>80</v>
      </c>
      <c r="M94" t="s">
        <v>81</v>
      </c>
      <c r="O94" t="s">
        <v>82</v>
      </c>
      <c r="P94">
        <v>45</v>
      </c>
      <c r="Q94">
        <v>46223</v>
      </c>
      <c r="R94">
        <v>46250</v>
      </c>
      <c r="S94">
        <v>2</v>
      </c>
      <c r="T94">
        <v>90</v>
      </c>
      <c r="U94">
        <v>11.842105263157896</v>
      </c>
      <c r="V94">
        <v>11</v>
      </c>
      <c r="W94">
        <v>20</v>
      </c>
      <c r="X94">
        <v>11</v>
      </c>
      <c r="Y94" t="s">
        <v>83</v>
      </c>
      <c r="Z94" t="s">
        <v>78</v>
      </c>
    </row>
    <row r="95" spans="1:26" hidden="1" x14ac:dyDescent="0.25">
      <c r="A95" t="s">
        <v>274</v>
      </c>
      <c r="B95" t="s">
        <v>22</v>
      </c>
      <c r="C95">
        <v>94</v>
      </c>
      <c r="E95" t="s">
        <v>76</v>
      </c>
      <c r="F95" t="s">
        <v>275</v>
      </c>
      <c r="G95" t="s">
        <v>78</v>
      </c>
      <c r="H95" t="s">
        <v>79</v>
      </c>
      <c r="I95" t="s">
        <v>22</v>
      </c>
      <c r="J95" t="b">
        <v>1</v>
      </c>
      <c r="K95" t="b">
        <v>1</v>
      </c>
      <c r="L95" t="s">
        <v>95</v>
      </c>
      <c r="M95" t="s">
        <v>81</v>
      </c>
      <c r="O95" t="s">
        <v>82</v>
      </c>
      <c r="P95">
        <v>45</v>
      </c>
      <c r="Q95">
        <v>46223</v>
      </c>
      <c r="R95">
        <v>46250</v>
      </c>
      <c r="S95">
        <v>2</v>
      </c>
      <c r="T95">
        <v>90</v>
      </c>
      <c r="U95">
        <v>11.842105263157896</v>
      </c>
      <c r="V95">
        <v>11</v>
      </c>
      <c r="W95">
        <v>20</v>
      </c>
      <c r="X95">
        <v>11</v>
      </c>
      <c r="Y95" t="s">
        <v>83</v>
      </c>
      <c r="Z95" t="s">
        <v>78</v>
      </c>
    </row>
    <row r="96" spans="1:26" hidden="1" x14ac:dyDescent="0.25">
      <c r="A96" t="s">
        <v>276</v>
      </c>
      <c r="B96" t="s">
        <v>22</v>
      </c>
      <c r="C96">
        <v>95</v>
      </c>
      <c r="D96" t="s">
        <v>40</v>
      </c>
      <c r="E96" t="s">
        <v>76</v>
      </c>
      <c r="F96" t="s">
        <v>277</v>
      </c>
      <c r="G96" t="s">
        <v>78</v>
      </c>
      <c r="H96" t="s">
        <v>79</v>
      </c>
      <c r="I96" t="s">
        <v>22</v>
      </c>
      <c r="J96" t="b">
        <v>0</v>
      </c>
      <c r="K96" t="b">
        <v>1</v>
      </c>
      <c r="L96" t="s">
        <v>80</v>
      </c>
      <c r="M96" t="s">
        <v>81</v>
      </c>
      <c r="O96" t="s">
        <v>82</v>
      </c>
      <c r="P96">
        <v>64</v>
      </c>
      <c r="Q96">
        <v>46223</v>
      </c>
      <c r="R96">
        <v>46250</v>
      </c>
      <c r="S96">
        <v>2</v>
      </c>
      <c r="T96">
        <v>128</v>
      </c>
      <c r="U96">
        <v>16.842105263157894</v>
      </c>
      <c r="V96">
        <v>16</v>
      </c>
      <c r="W96">
        <v>20</v>
      </c>
      <c r="X96">
        <v>16</v>
      </c>
      <c r="Y96" t="s">
        <v>83</v>
      </c>
      <c r="Z96" t="s">
        <v>78</v>
      </c>
    </row>
    <row r="97" spans="1:26" hidden="1" x14ac:dyDescent="0.25">
      <c r="A97" t="s">
        <v>278</v>
      </c>
      <c r="B97" t="s">
        <v>22</v>
      </c>
      <c r="C97">
        <v>96</v>
      </c>
      <c r="D97" t="s">
        <v>40</v>
      </c>
      <c r="E97" t="s">
        <v>76</v>
      </c>
      <c r="F97" t="s">
        <v>279</v>
      </c>
      <c r="G97" t="s">
        <v>78</v>
      </c>
      <c r="H97" t="s">
        <v>79</v>
      </c>
      <c r="I97" t="s">
        <v>22</v>
      </c>
      <c r="J97" t="b">
        <v>0</v>
      </c>
      <c r="K97" t="b">
        <v>1</v>
      </c>
      <c r="L97" t="s">
        <v>80</v>
      </c>
      <c r="M97" t="s">
        <v>81</v>
      </c>
      <c r="O97" t="s">
        <v>82</v>
      </c>
      <c r="P97">
        <v>52</v>
      </c>
      <c r="Q97">
        <v>46223</v>
      </c>
      <c r="R97">
        <v>46250</v>
      </c>
      <c r="S97">
        <v>2</v>
      </c>
      <c r="T97">
        <v>104</v>
      </c>
      <c r="U97">
        <v>13.684210526315788</v>
      </c>
      <c r="V97">
        <v>13</v>
      </c>
      <c r="W97">
        <v>20</v>
      </c>
      <c r="X97">
        <v>13</v>
      </c>
      <c r="Y97" t="s">
        <v>83</v>
      </c>
      <c r="Z97" t="s">
        <v>78</v>
      </c>
    </row>
    <row r="98" spans="1:26" hidden="1" x14ac:dyDescent="0.25">
      <c r="A98" t="s">
        <v>280</v>
      </c>
      <c r="B98" t="s">
        <v>22</v>
      </c>
      <c r="C98">
        <v>97</v>
      </c>
      <c r="E98" t="s">
        <v>76</v>
      </c>
      <c r="F98" t="s">
        <v>281</v>
      </c>
      <c r="G98" t="s">
        <v>78</v>
      </c>
      <c r="H98" t="s">
        <v>88</v>
      </c>
      <c r="I98" t="s">
        <v>22</v>
      </c>
      <c r="J98" t="b">
        <v>1</v>
      </c>
      <c r="K98" t="b">
        <v>1</v>
      </c>
      <c r="L98" t="s">
        <v>95</v>
      </c>
      <c r="M98" t="s">
        <v>81</v>
      </c>
      <c r="O98" t="s">
        <v>89</v>
      </c>
      <c r="P98">
        <v>76</v>
      </c>
      <c r="Q98">
        <v>46223</v>
      </c>
      <c r="R98">
        <v>46250</v>
      </c>
      <c r="S98">
        <v>2</v>
      </c>
      <c r="T98">
        <v>152</v>
      </c>
      <c r="U98">
        <v>20</v>
      </c>
      <c r="V98">
        <v>20</v>
      </c>
      <c r="W98">
        <v>20</v>
      </c>
      <c r="X98">
        <v>20</v>
      </c>
      <c r="Y98" t="s">
        <v>89</v>
      </c>
      <c r="Z98" t="s">
        <v>78</v>
      </c>
    </row>
    <row r="99" spans="1:26" hidden="1" x14ac:dyDescent="0.25">
      <c r="A99" t="s">
        <v>282</v>
      </c>
      <c r="B99" t="s">
        <v>29</v>
      </c>
      <c r="C99">
        <v>98</v>
      </c>
      <c r="E99" t="s">
        <v>76</v>
      </c>
      <c r="F99" t="s">
        <v>283</v>
      </c>
      <c r="G99" t="s">
        <v>78</v>
      </c>
      <c r="H99" t="s">
        <v>110</v>
      </c>
      <c r="I99" t="s">
        <v>29</v>
      </c>
      <c r="J99" t="b">
        <v>1</v>
      </c>
      <c r="K99" t="b">
        <v>1</v>
      </c>
      <c r="L99" t="s">
        <v>95</v>
      </c>
      <c r="M99" t="s">
        <v>81</v>
      </c>
      <c r="O99" t="s">
        <v>82</v>
      </c>
      <c r="P99">
        <v>76</v>
      </c>
      <c r="Q99">
        <v>46223</v>
      </c>
      <c r="R99">
        <v>46250</v>
      </c>
      <c r="S99">
        <v>2</v>
      </c>
      <c r="T99">
        <v>152</v>
      </c>
      <c r="U99">
        <v>20</v>
      </c>
      <c r="V99">
        <v>20</v>
      </c>
      <c r="W99">
        <v>20</v>
      </c>
      <c r="X99">
        <v>20</v>
      </c>
      <c r="Y99" t="s">
        <v>111</v>
      </c>
      <c r="Z99" t="s">
        <v>78</v>
      </c>
    </row>
    <row r="100" spans="1:26" hidden="1" x14ac:dyDescent="0.25">
      <c r="A100" t="s">
        <v>284</v>
      </c>
      <c r="B100" t="s">
        <v>22</v>
      </c>
      <c r="C100">
        <v>99</v>
      </c>
      <c r="E100" t="s">
        <v>76</v>
      </c>
      <c r="F100" t="s">
        <v>285</v>
      </c>
      <c r="G100" t="s">
        <v>78</v>
      </c>
      <c r="H100" t="s">
        <v>79</v>
      </c>
      <c r="I100" t="s">
        <v>22</v>
      </c>
      <c r="J100" t="b">
        <v>1</v>
      </c>
      <c r="K100" t="b">
        <v>1</v>
      </c>
      <c r="L100" t="s">
        <v>95</v>
      </c>
      <c r="M100" t="s">
        <v>81</v>
      </c>
      <c r="O100" t="s">
        <v>82</v>
      </c>
      <c r="P100">
        <v>22.5</v>
      </c>
      <c r="Q100">
        <v>46223</v>
      </c>
      <c r="R100">
        <v>46250</v>
      </c>
      <c r="S100">
        <v>2</v>
      </c>
      <c r="T100">
        <v>45</v>
      </c>
      <c r="U100">
        <v>5.9210526315789478</v>
      </c>
      <c r="V100">
        <v>5</v>
      </c>
      <c r="W100">
        <v>20</v>
      </c>
      <c r="X100">
        <v>5</v>
      </c>
      <c r="Y100" t="s">
        <v>83</v>
      </c>
      <c r="Z100" t="s">
        <v>78</v>
      </c>
    </row>
    <row r="101" spans="1:26" hidden="1" x14ac:dyDescent="0.25">
      <c r="A101" t="s">
        <v>286</v>
      </c>
      <c r="B101" t="s">
        <v>22</v>
      </c>
      <c r="C101">
        <v>100</v>
      </c>
      <c r="E101" t="s">
        <v>76</v>
      </c>
      <c r="F101" t="s">
        <v>287</v>
      </c>
      <c r="G101" t="s">
        <v>78</v>
      </c>
      <c r="H101" t="s">
        <v>79</v>
      </c>
      <c r="I101" t="s">
        <v>22</v>
      </c>
      <c r="J101" t="b">
        <v>1</v>
      </c>
      <c r="K101" t="b">
        <v>1</v>
      </c>
      <c r="L101" t="s">
        <v>95</v>
      </c>
      <c r="M101" t="s">
        <v>81</v>
      </c>
      <c r="O101" t="s">
        <v>82</v>
      </c>
      <c r="P101">
        <v>45</v>
      </c>
      <c r="Q101">
        <v>46223</v>
      </c>
      <c r="R101">
        <v>46250</v>
      </c>
      <c r="S101">
        <v>2</v>
      </c>
      <c r="T101">
        <v>90</v>
      </c>
      <c r="U101">
        <v>11.842105263157896</v>
      </c>
      <c r="V101">
        <v>11</v>
      </c>
      <c r="W101">
        <v>20</v>
      </c>
      <c r="X101">
        <v>11</v>
      </c>
      <c r="Y101" t="s">
        <v>83</v>
      </c>
      <c r="Z101" t="s">
        <v>78</v>
      </c>
    </row>
    <row r="102" spans="1:26" hidden="1" x14ac:dyDescent="0.25">
      <c r="A102" t="s">
        <v>288</v>
      </c>
      <c r="B102" t="s">
        <v>29</v>
      </c>
      <c r="C102">
        <v>101</v>
      </c>
      <c r="E102" t="s">
        <v>76</v>
      </c>
      <c r="F102" t="s">
        <v>289</v>
      </c>
      <c r="G102" t="s">
        <v>78</v>
      </c>
      <c r="H102" t="s">
        <v>110</v>
      </c>
      <c r="I102" t="s">
        <v>29</v>
      </c>
      <c r="J102" t="b">
        <v>1</v>
      </c>
      <c r="K102" t="b">
        <v>1</v>
      </c>
      <c r="L102" t="s">
        <v>95</v>
      </c>
      <c r="M102" t="s">
        <v>81</v>
      </c>
      <c r="O102" t="s">
        <v>82</v>
      </c>
      <c r="P102">
        <v>76</v>
      </c>
      <c r="Q102">
        <v>46223</v>
      </c>
      <c r="R102">
        <v>46250</v>
      </c>
      <c r="S102">
        <v>2</v>
      </c>
      <c r="T102">
        <v>152</v>
      </c>
      <c r="U102">
        <v>20</v>
      </c>
      <c r="V102">
        <v>20</v>
      </c>
      <c r="W102">
        <v>20</v>
      </c>
      <c r="X102">
        <v>20</v>
      </c>
      <c r="Y102" t="s">
        <v>111</v>
      </c>
      <c r="Z102" t="s">
        <v>78</v>
      </c>
    </row>
    <row r="103" spans="1:26" hidden="1" x14ac:dyDescent="0.25">
      <c r="A103" t="s">
        <v>290</v>
      </c>
      <c r="B103" t="s">
        <v>29</v>
      </c>
      <c r="C103">
        <v>102</v>
      </c>
      <c r="E103" t="s">
        <v>76</v>
      </c>
      <c r="F103" t="s">
        <v>291</v>
      </c>
      <c r="G103" t="s">
        <v>78</v>
      </c>
      <c r="H103" t="s">
        <v>110</v>
      </c>
      <c r="I103" t="s">
        <v>29</v>
      </c>
      <c r="J103" t="b">
        <v>1</v>
      </c>
      <c r="K103" t="b">
        <v>1</v>
      </c>
      <c r="L103" t="s">
        <v>95</v>
      </c>
      <c r="M103" t="s">
        <v>81</v>
      </c>
      <c r="O103" t="s">
        <v>82</v>
      </c>
      <c r="P103">
        <v>76</v>
      </c>
      <c r="Q103">
        <v>46223</v>
      </c>
      <c r="R103">
        <v>46250</v>
      </c>
      <c r="S103">
        <v>2</v>
      </c>
      <c r="T103">
        <v>152</v>
      </c>
      <c r="U103">
        <v>20</v>
      </c>
      <c r="V103">
        <v>20</v>
      </c>
      <c r="W103">
        <v>20</v>
      </c>
      <c r="X103">
        <v>20</v>
      </c>
      <c r="Y103" t="s">
        <v>111</v>
      </c>
      <c r="Z103" t="s">
        <v>78</v>
      </c>
    </row>
    <row r="104" spans="1:26" hidden="1" x14ac:dyDescent="0.25">
      <c r="A104" t="s">
        <v>292</v>
      </c>
      <c r="B104" t="s">
        <v>22</v>
      </c>
      <c r="C104">
        <v>103</v>
      </c>
      <c r="E104" t="s">
        <v>76</v>
      </c>
      <c r="F104" t="s">
        <v>293</v>
      </c>
      <c r="G104" t="s">
        <v>78</v>
      </c>
      <c r="H104" t="s">
        <v>79</v>
      </c>
      <c r="I104" t="s">
        <v>22</v>
      </c>
      <c r="J104" t="b">
        <v>1</v>
      </c>
      <c r="K104" t="b">
        <v>1</v>
      </c>
      <c r="L104" t="s">
        <v>95</v>
      </c>
      <c r="M104" t="s">
        <v>81</v>
      </c>
      <c r="O104" t="s">
        <v>82</v>
      </c>
      <c r="P104">
        <v>60</v>
      </c>
      <c r="Q104">
        <v>46223</v>
      </c>
      <c r="R104">
        <v>46250</v>
      </c>
      <c r="S104">
        <v>2</v>
      </c>
      <c r="T104">
        <v>120</v>
      </c>
      <c r="U104">
        <v>15.789473684210527</v>
      </c>
      <c r="V104">
        <v>15</v>
      </c>
      <c r="W104">
        <v>20</v>
      </c>
      <c r="X104">
        <v>15</v>
      </c>
      <c r="Y104" t="s">
        <v>83</v>
      </c>
      <c r="Z104" t="s">
        <v>78</v>
      </c>
    </row>
    <row r="105" spans="1:26" hidden="1" x14ac:dyDescent="0.25">
      <c r="A105" t="s">
        <v>294</v>
      </c>
      <c r="B105" t="s">
        <v>22</v>
      </c>
      <c r="C105">
        <v>104</v>
      </c>
      <c r="E105" t="s">
        <v>76</v>
      </c>
      <c r="F105" t="s">
        <v>295</v>
      </c>
      <c r="G105" t="s">
        <v>78</v>
      </c>
      <c r="H105" t="s">
        <v>79</v>
      </c>
      <c r="I105" t="s">
        <v>22</v>
      </c>
      <c r="J105" t="b">
        <v>1</v>
      </c>
      <c r="K105" t="b">
        <v>1</v>
      </c>
      <c r="L105" t="s">
        <v>95</v>
      </c>
      <c r="M105" t="s">
        <v>81</v>
      </c>
      <c r="O105" t="s">
        <v>82</v>
      </c>
      <c r="P105">
        <v>75</v>
      </c>
      <c r="Q105">
        <v>46223</v>
      </c>
      <c r="R105">
        <v>46250</v>
      </c>
      <c r="S105">
        <v>2</v>
      </c>
      <c r="T105">
        <v>150</v>
      </c>
      <c r="U105">
        <v>19.736842105263161</v>
      </c>
      <c r="V105">
        <v>19</v>
      </c>
      <c r="W105">
        <v>20</v>
      </c>
      <c r="X105">
        <v>19</v>
      </c>
      <c r="Y105" t="s">
        <v>83</v>
      </c>
      <c r="Z105" t="s">
        <v>78</v>
      </c>
    </row>
    <row r="106" spans="1:26" hidden="1" x14ac:dyDescent="0.25">
      <c r="A106" t="s">
        <v>296</v>
      </c>
      <c r="B106" t="s">
        <v>22</v>
      </c>
      <c r="C106">
        <v>105</v>
      </c>
      <c r="E106" t="s">
        <v>76</v>
      </c>
      <c r="F106" t="s">
        <v>297</v>
      </c>
      <c r="G106" t="s">
        <v>78</v>
      </c>
      <c r="H106" t="s">
        <v>79</v>
      </c>
      <c r="I106" t="s">
        <v>22</v>
      </c>
      <c r="J106" t="b">
        <v>1</v>
      </c>
      <c r="K106" t="b">
        <v>1</v>
      </c>
      <c r="L106" t="s">
        <v>95</v>
      </c>
      <c r="M106" t="s">
        <v>81</v>
      </c>
      <c r="O106" t="s">
        <v>82</v>
      </c>
      <c r="P106">
        <v>67.5</v>
      </c>
      <c r="Q106">
        <v>46223</v>
      </c>
      <c r="R106">
        <v>46250</v>
      </c>
      <c r="S106">
        <v>2</v>
      </c>
      <c r="T106">
        <v>135</v>
      </c>
      <c r="U106">
        <v>17.763157894736842</v>
      </c>
      <c r="V106">
        <v>17</v>
      </c>
      <c r="W106">
        <v>20</v>
      </c>
      <c r="X106">
        <v>17</v>
      </c>
      <c r="Y106" t="s">
        <v>83</v>
      </c>
      <c r="Z106" t="s">
        <v>78</v>
      </c>
    </row>
    <row r="107" spans="1:26" hidden="1" x14ac:dyDescent="0.25">
      <c r="A107" t="s">
        <v>298</v>
      </c>
      <c r="B107" t="s">
        <v>22</v>
      </c>
      <c r="C107">
        <v>106</v>
      </c>
      <c r="E107" t="s">
        <v>76</v>
      </c>
      <c r="F107" t="s">
        <v>299</v>
      </c>
      <c r="G107" t="s">
        <v>78</v>
      </c>
      <c r="H107" t="s">
        <v>88</v>
      </c>
      <c r="I107" t="s">
        <v>22</v>
      </c>
      <c r="J107" t="b">
        <v>1</v>
      </c>
      <c r="K107" t="b">
        <v>1</v>
      </c>
      <c r="L107" t="s">
        <v>95</v>
      </c>
      <c r="M107" t="s">
        <v>81</v>
      </c>
      <c r="O107" t="s">
        <v>89</v>
      </c>
      <c r="P107">
        <v>76</v>
      </c>
      <c r="Q107">
        <v>46223</v>
      </c>
      <c r="R107">
        <v>46250</v>
      </c>
      <c r="S107">
        <v>2</v>
      </c>
      <c r="T107">
        <v>152</v>
      </c>
      <c r="U107">
        <v>20</v>
      </c>
      <c r="V107">
        <v>20</v>
      </c>
      <c r="W107">
        <v>20</v>
      </c>
      <c r="X107">
        <v>20</v>
      </c>
      <c r="Y107" t="s">
        <v>89</v>
      </c>
      <c r="Z107" t="s">
        <v>78</v>
      </c>
    </row>
    <row r="108" spans="1:26" hidden="1" x14ac:dyDescent="0.25">
      <c r="A108" t="s">
        <v>300</v>
      </c>
      <c r="B108" t="s">
        <v>22</v>
      </c>
      <c r="C108">
        <v>107</v>
      </c>
      <c r="E108" t="s">
        <v>76</v>
      </c>
      <c r="F108" t="s">
        <v>301</v>
      </c>
      <c r="G108" t="s">
        <v>78</v>
      </c>
      <c r="H108" t="s">
        <v>79</v>
      </c>
      <c r="I108" t="s">
        <v>22</v>
      </c>
      <c r="J108" t="b">
        <v>1</v>
      </c>
      <c r="K108" t="b">
        <v>1</v>
      </c>
      <c r="L108" t="s">
        <v>95</v>
      </c>
      <c r="M108" t="s">
        <v>81</v>
      </c>
      <c r="O108" t="s">
        <v>82</v>
      </c>
      <c r="P108">
        <v>30</v>
      </c>
      <c r="Q108">
        <v>46223</v>
      </c>
      <c r="R108">
        <v>46250</v>
      </c>
      <c r="S108">
        <v>2</v>
      </c>
      <c r="T108">
        <v>60</v>
      </c>
      <c r="U108">
        <v>7.8947368421052637</v>
      </c>
      <c r="V108">
        <v>7</v>
      </c>
      <c r="W108">
        <v>20</v>
      </c>
      <c r="X108">
        <v>7</v>
      </c>
      <c r="Y108" t="s">
        <v>83</v>
      </c>
      <c r="Z108" t="s">
        <v>78</v>
      </c>
    </row>
    <row r="109" spans="1:26" hidden="1" x14ac:dyDescent="0.25">
      <c r="A109" t="s">
        <v>302</v>
      </c>
      <c r="B109" t="s">
        <v>29</v>
      </c>
      <c r="C109">
        <v>108</v>
      </c>
      <c r="E109" t="s">
        <v>76</v>
      </c>
      <c r="F109" t="s">
        <v>303</v>
      </c>
      <c r="G109" t="s">
        <v>78</v>
      </c>
      <c r="H109" t="s">
        <v>79</v>
      </c>
      <c r="I109" t="s">
        <v>29</v>
      </c>
      <c r="J109" t="b">
        <v>1</v>
      </c>
      <c r="K109" t="b">
        <v>1</v>
      </c>
      <c r="L109" t="s">
        <v>95</v>
      </c>
      <c r="M109" t="s">
        <v>81</v>
      </c>
      <c r="O109" t="s">
        <v>82</v>
      </c>
      <c r="P109">
        <v>72</v>
      </c>
      <c r="Q109">
        <v>46223</v>
      </c>
      <c r="R109">
        <v>46250</v>
      </c>
      <c r="S109">
        <v>2</v>
      </c>
      <c r="T109">
        <v>144</v>
      </c>
      <c r="U109">
        <v>18.947368421052634</v>
      </c>
      <c r="V109">
        <v>18</v>
      </c>
      <c r="W109">
        <v>20</v>
      </c>
      <c r="X109">
        <v>18</v>
      </c>
      <c r="Y109" t="s">
        <v>83</v>
      </c>
      <c r="Z109" t="s">
        <v>78</v>
      </c>
    </row>
    <row r="110" spans="1:26" hidden="1" x14ac:dyDescent="0.25">
      <c r="A110" t="s">
        <v>304</v>
      </c>
      <c r="B110" t="s">
        <v>22</v>
      </c>
      <c r="C110">
        <v>109</v>
      </c>
      <c r="E110" t="s">
        <v>76</v>
      </c>
      <c r="F110" t="s">
        <v>305</v>
      </c>
      <c r="G110" t="s">
        <v>78</v>
      </c>
      <c r="H110" t="s">
        <v>79</v>
      </c>
      <c r="I110" t="s">
        <v>22</v>
      </c>
      <c r="J110" t="b">
        <v>1</v>
      </c>
      <c r="K110" t="b">
        <v>1</v>
      </c>
      <c r="L110" t="s">
        <v>95</v>
      </c>
      <c r="M110" t="s">
        <v>81</v>
      </c>
      <c r="O110" t="s">
        <v>82</v>
      </c>
      <c r="P110">
        <v>20.5</v>
      </c>
      <c r="Q110">
        <v>46223</v>
      </c>
      <c r="R110">
        <v>46250</v>
      </c>
      <c r="S110">
        <v>2</v>
      </c>
      <c r="T110">
        <v>41</v>
      </c>
      <c r="U110">
        <v>5.3947368421052637</v>
      </c>
      <c r="V110">
        <v>5</v>
      </c>
      <c r="W110">
        <v>20</v>
      </c>
      <c r="X110">
        <v>5</v>
      </c>
      <c r="Y110" t="s">
        <v>83</v>
      </c>
      <c r="Z110" t="s">
        <v>78</v>
      </c>
    </row>
    <row r="111" spans="1:26" hidden="1" x14ac:dyDescent="0.25">
      <c r="A111" t="s">
        <v>306</v>
      </c>
      <c r="B111" t="s">
        <v>22</v>
      </c>
      <c r="C111">
        <v>110</v>
      </c>
      <c r="E111" t="s">
        <v>76</v>
      </c>
      <c r="F111" t="s">
        <v>307</v>
      </c>
      <c r="G111" t="s">
        <v>78</v>
      </c>
      <c r="H111" t="s">
        <v>79</v>
      </c>
      <c r="I111" t="s">
        <v>22</v>
      </c>
      <c r="J111" t="b">
        <v>1</v>
      </c>
      <c r="K111" t="b">
        <v>1</v>
      </c>
      <c r="L111" t="s">
        <v>95</v>
      </c>
      <c r="M111" t="s">
        <v>81</v>
      </c>
      <c r="O111" t="s">
        <v>82</v>
      </c>
      <c r="P111">
        <v>67.5</v>
      </c>
      <c r="Q111">
        <v>46223</v>
      </c>
      <c r="R111">
        <v>46250</v>
      </c>
      <c r="S111">
        <v>2</v>
      </c>
      <c r="T111">
        <v>135</v>
      </c>
      <c r="U111">
        <v>17.763157894736842</v>
      </c>
      <c r="V111">
        <v>17</v>
      </c>
      <c r="W111">
        <v>20</v>
      </c>
      <c r="X111">
        <v>17</v>
      </c>
      <c r="Y111" t="s">
        <v>83</v>
      </c>
      <c r="Z111" t="s">
        <v>78</v>
      </c>
    </row>
    <row r="112" spans="1:26" hidden="1" x14ac:dyDescent="0.25">
      <c r="A112" t="s">
        <v>308</v>
      </c>
      <c r="B112" t="s">
        <v>31</v>
      </c>
      <c r="C112">
        <v>111</v>
      </c>
      <c r="E112" t="s">
        <v>76</v>
      </c>
      <c r="F112" t="s">
        <v>309</v>
      </c>
      <c r="G112" t="s">
        <v>78</v>
      </c>
      <c r="H112" t="s">
        <v>79</v>
      </c>
      <c r="I112" t="s">
        <v>31</v>
      </c>
      <c r="J112" t="b">
        <v>1</v>
      </c>
      <c r="K112" t="b">
        <v>1</v>
      </c>
      <c r="L112" t="s">
        <v>95</v>
      </c>
      <c r="M112" t="s">
        <v>81</v>
      </c>
      <c r="O112" t="s">
        <v>82</v>
      </c>
      <c r="P112">
        <v>45</v>
      </c>
      <c r="Q112">
        <v>46223</v>
      </c>
      <c r="R112">
        <v>46250</v>
      </c>
      <c r="S112">
        <v>2</v>
      </c>
      <c r="T112">
        <v>90</v>
      </c>
      <c r="U112">
        <v>11.842105263157896</v>
      </c>
      <c r="V112">
        <v>11</v>
      </c>
      <c r="W112">
        <v>20</v>
      </c>
      <c r="X112">
        <v>11</v>
      </c>
      <c r="Y112" t="s">
        <v>83</v>
      </c>
      <c r="Z112" t="s">
        <v>78</v>
      </c>
    </row>
    <row r="113" spans="1:26" hidden="1" x14ac:dyDescent="0.25">
      <c r="A113" t="s">
        <v>310</v>
      </c>
      <c r="B113" t="s">
        <v>22</v>
      </c>
      <c r="C113">
        <v>112</v>
      </c>
      <c r="E113" t="s">
        <v>76</v>
      </c>
      <c r="F113" t="s">
        <v>311</v>
      </c>
      <c r="G113" t="s">
        <v>78</v>
      </c>
      <c r="H113" t="s">
        <v>79</v>
      </c>
      <c r="I113" t="s">
        <v>22</v>
      </c>
      <c r="J113" t="b">
        <v>1</v>
      </c>
      <c r="K113" t="b">
        <v>1</v>
      </c>
      <c r="L113" t="s">
        <v>95</v>
      </c>
      <c r="M113" t="s">
        <v>81</v>
      </c>
      <c r="O113" t="s">
        <v>82</v>
      </c>
      <c r="P113">
        <v>45</v>
      </c>
      <c r="Q113">
        <v>46223</v>
      </c>
      <c r="R113">
        <v>46250</v>
      </c>
      <c r="S113">
        <v>2</v>
      </c>
      <c r="T113">
        <v>90</v>
      </c>
      <c r="U113">
        <v>11.842105263157896</v>
      </c>
      <c r="V113">
        <v>11</v>
      </c>
      <c r="W113">
        <v>20</v>
      </c>
      <c r="X113">
        <v>11</v>
      </c>
      <c r="Y113" t="s">
        <v>83</v>
      </c>
      <c r="Z113" t="s">
        <v>78</v>
      </c>
    </row>
    <row r="114" spans="1:26" hidden="1" x14ac:dyDescent="0.25">
      <c r="A114" t="s">
        <v>312</v>
      </c>
      <c r="B114" t="s">
        <v>22</v>
      </c>
      <c r="C114">
        <v>113</v>
      </c>
      <c r="E114" t="s">
        <v>76</v>
      </c>
      <c r="F114" t="s">
        <v>313</v>
      </c>
      <c r="G114" t="s">
        <v>78</v>
      </c>
      <c r="H114" t="s">
        <v>79</v>
      </c>
      <c r="I114" t="s">
        <v>22</v>
      </c>
      <c r="J114" t="b">
        <v>1</v>
      </c>
      <c r="K114" t="b">
        <v>1</v>
      </c>
      <c r="L114" t="s">
        <v>95</v>
      </c>
      <c r="M114" t="s">
        <v>81</v>
      </c>
      <c r="O114" t="s">
        <v>82</v>
      </c>
      <c r="P114">
        <v>60</v>
      </c>
      <c r="Q114">
        <v>46223</v>
      </c>
      <c r="R114">
        <v>46250</v>
      </c>
      <c r="S114">
        <v>2</v>
      </c>
      <c r="T114">
        <v>120</v>
      </c>
      <c r="U114">
        <v>15.789473684210527</v>
      </c>
      <c r="V114">
        <v>15</v>
      </c>
      <c r="W114">
        <v>20</v>
      </c>
      <c r="X114">
        <v>15</v>
      </c>
      <c r="Y114" t="s">
        <v>83</v>
      </c>
      <c r="Z114" t="s">
        <v>78</v>
      </c>
    </row>
    <row r="115" spans="1:26" hidden="1" x14ac:dyDescent="0.25">
      <c r="A115" t="s">
        <v>314</v>
      </c>
      <c r="B115" t="s">
        <v>31</v>
      </c>
      <c r="C115">
        <v>114</v>
      </c>
      <c r="E115" t="s">
        <v>76</v>
      </c>
      <c r="F115" t="s">
        <v>315</v>
      </c>
      <c r="G115" t="s">
        <v>78</v>
      </c>
      <c r="H115" t="s">
        <v>88</v>
      </c>
      <c r="I115" t="s">
        <v>31</v>
      </c>
      <c r="J115" t="b">
        <v>1</v>
      </c>
      <c r="K115" t="b">
        <v>0</v>
      </c>
      <c r="L115" t="s">
        <v>92</v>
      </c>
      <c r="M115" t="s">
        <v>81</v>
      </c>
      <c r="O115" t="s">
        <v>89</v>
      </c>
      <c r="P115">
        <v>76</v>
      </c>
      <c r="Q115">
        <v>46223</v>
      </c>
      <c r="R115">
        <v>46250</v>
      </c>
      <c r="S115">
        <v>2</v>
      </c>
      <c r="T115">
        <v>152</v>
      </c>
      <c r="U115">
        <v>20</v>
      </c>
      <c r="V115">
        <v>20</v>
      </c>
      <c r="W115">
        <v>20</v>
      </c>
      <c r="X115">
        <v>20</v>
      </c>
      <c r="Y115" t="s">
        <v>89</v>
      </c>
      <c r="Z115" t="s">
        <v>78</v>
      </c>
    </row>
    <row r="116" spans="1:26" hidden="1" x14ac:dyDescent="0.25">
      <c r="A116" t="s">
        <v>316</v>
      </c>
      <c r="B116" t="s">
        <v>22</v>
      </c>
      <c r="C116">
        <v>115</v>
      </c>
      <c r="E116" t="s">
        <v>76</v>
      </c>
      <c r="F116" t="s">
        <v>317</v>
      </c>
      <c r="G116" t="s">
        <v>78</v>
      </c>
      <c r="H116" t="s">
        <v>110</v>
      </c>
      <c r="I116" t="s">
        <v>22</v>
      </c>
      <c r="J116" t="b">
        <v>1</v>
      </c>
      <c r="K116" t="b">
        <v>1</v>
      </c>
      <c r="L116" t="s">
        <v>95</v>
      </c>
      <c r="M116" t="s">
        <v>81</v>
      </c>
      <c r="O116" t="s">
        <v>82</v>
      </c>
      <c r="P116">
        <v>76</v>
      </c>
      <c r="Q116">
        <v>46223</v>
      </c>
      <c r="R116">
        <v>46250</v>
      </c>
      <c r="S116">
        <v>2</v>
      </c>
      <c r="T116">
        <v>152</v>
      </c>
      <c r="U116">
        <v>20</v>
      </c>
      <c r="V116">
        <v>20</v>
      </c>
      <c r="W116">
        <v>20</v>
      </c>
      <c r="X116">
        <v>20</v>
      </c>
      <c r="Y116" t="s">
        <v>111</v>
      </c>
      <c r="Z116" t="s">
        <v>78</v>
      </c>
    </row>
    <row r="117" spans="1:26" hidden="1" x14ac:dyDescent="0.25">
      <c r="A117" t="s">
        <v>318</v>
      </c>
      <c r="B117" t="s">
        <v>22</v>
      </c>
      <c r="C117">
        <v>116</v>
      </c>
      <c r="E117" t="s">
        <v>76</v>
      </c>
      <c r="F117" t="s">
        <v>319</v>
      </c>
      <c r="G117" t="s">
        <v>78</v>
      </c>
      <c r="H117" t="s">
        <v>88</v>
      </c>
      <c r="I117" t="s">
        <v>22</v>
      </c>
      <c r="J117" t="b">
        <v>1</v>
      </c>
      <c r="K117" t="b">
        <v>1</v>
      </c>
      <c r="L117" t="s">
        <v>95</v>
      </c>
      <c r="M117" t="s">
        <v>81</v>
      </c>
      <c r="O117" t="s">
        <v>89</v>
      </c>
      <c r="P117">
        <v>76</v>
      </c>
      <c r="Q117">
        <v>46223</v>
      </c>
      <c r="R117">
        <v>46250</v>
      </c>
      <c r="S117">
        <v>2</v>
      </c>
      <c r="T117">
        <v>152</v>
      </c>
      <c r="U117">
        <v>20</v>
      </c>
      <c r="V117">
        <v>20</v>
      </c>
      <c r="W117">
        <v>20</v>
      </c>
      <c r="X117">
        <v>20</v>
      </c>
      <c r="Y117" t="s">
        <v>89</v>
      </c>
      <c r="Z117" t="s">
        <v>78</v>
      </c>
    </row>
    <row r="118" spans="1:26" hidden="1" x14ac:dyDescent="0.25">
      <c r="A118" t="s">
        <v>320</v>
      </c>
      <c r="B118" t="s">
        <v>29</v>
      </c>
      <c r="C118">
        <v>117</v>
      </c>
      <c r="E118" t="s">
        <v>76</v>
      </c>
      <c r="F118" t="s">
        <v>321</v>
      </c>
      <c r="G118" t="s">
        <v>78</v>
      </c>
      <c r="H118" t="s">
        <v>79</v>
      </c>
      <c r="I118" t="s">
        <v>29</v>
      </c>
      <c r="J118" t="b">
        <v>1</v>
      </c>
      <c r="K118" t="b">
        <v>1</v>
      </c>
      <c r="L118" t="s">
        <v>95</v>
      </c>
      <c r="M118" t="s">
        <v>81</v>
      </c>
      <c r="O118" t="s">
        <v>82</v>
      </c>
      <c r="P118">
        <v>40</v>
      </c>
      <c r="Q118">
        <v>46223</v>
      </c>
      <c r="R118">
        <v>46250</v>
      </c>
      <c r="S118">
        <v>2</v>
      </c>
      <c r="T118">
        <v>80</v>
      </c>
      <c r="U118">
        <v>10.526315789473683</v>
      </c>
      <c r="V118">
        <v>10</v>
      </c>
      <c r="W118">
        <v>20</v>
      </c>
      <c r="X118">
        <v>10</v>
      </c>
      <c r="Y118" t="s">
        <v>83</v>
      </c>
      <c r="Z118" t="s">
        <v>78</v>
      </c>
    </row>
    <row r="119" spans="1:26" hidden="1" x14ac:dyDescent="0.25">
      <c r="A119" t="s">
        <v>322</v>
      </c>
      <c r="B119" t="s">
        <v>29</v>
      </c>
      <c r="C119">
        <v>118</v>
      </c>
      <c r="E119" t="s">
        <v>76</v>
      </c>
      <c r="F119" t="s">
        <v>323</v>
      </c>
      <c r="G119" t="s">
        <v>78</v>
      </c>
      <c r="H119" t="s">
        <v>79</v>
      </c>
      <c r="I119" t="s">
        <v>29</v>
      </c>
      <c r="J119" t="b">
        <v>1</v>
      </c>
      <c r="K119" t="b">
        <v>1</v>
      </c>
      <c r="L119" t="s">
        <v>95</v>
      </c>
      <c r="M119" t="s">
        <v>81</v>
      </c>
      <c r="O119" t="s">
        <v>82</v>
      </c>
      <c r="P119">
        <v>60</v>
      </c>
      <c r="Q119">
        <v>46223</v>
      </c>
      <c r="R119">
        <v>46250</v>
      </c>
      <c r="S119">
        <v>2</v>
      </c>
      <c r="T119">
        <v>120</v>
      </c>
      <c r="U119">
        <v>15.789473684210527</v>
      </c>
      <c r="V119">
        <v>15</v>
      </c>
      <c r="W119">
        <v>20</v>
      </c>
      <c r="X119">
        <v>15</v>
      </c>
      <c r="Y119" t="s">
        <v>83</v>
      </c>
      <c r="Z119" t="s">
        <v>78</v>
      </c>
    </row>
    <row r="120" spans="1:26" hidden="1" x14ac:dyDescent="0.25">
      <c r="A120" t="s">
        <v>324</v>
      </c>
      <c r="B120" t="s">
        <v>22</v>
      </c>
      <c r="C120">
        <v>119</v>
      </c>
      <c r="D120" t="s">
        <v>40</v>
      </c>
      <c r="E120" t="s">
        <v>76</v>
      </c>
      <c r="F120" t="s">
        <v>325</v>
      </c>
      <c r="G120" t="s">
        <v>78</v>
      </c>
      <c r="H120" t="s">
        <v>88</v>
      </c>
      <c r="I120" t="s">
        <v>22</v>
      </c>
      <c r="J120" t="b">
        <v>0</v>
      </c>
      <c r="K120" t="b">
        <v>1</v>
      </c>
      <c r="L120" t="s">
        <v>80</v>
      </c>
      <c r="M120" t="s">
        <v>81</v>
      </c>
      <c r="O120" t="s">
        <v>89</v>
      </c>
      <c r="P120">
        <v>76</v>
      </c>
      <c r="Q120">
        <v>46223</v>
      </c>
      <c r="R120">
        <v>46250</v>
      </c>
      <c r="S120">
        <v>2</v>
      </c>
      <c r="T120">
        <v>152</v>
      </c>
      <c r="U120">
        <v>20</v>
      </c>
      <c r="V120">
        <v>20</v>
      </c>
      <c r="W120">
        <v>20</v>
      </c>
      <c r="X120">
        <v>20</v>
      </c>
      <c r="Y120" t="s">
        <v>89</v>
      </c>
      <c r="Z120" t="s">
        <v>78</v>
      </c>
    </row>
    <row r="121" spans="1:26" hidden="1" x14ac:dyDescent="0.25">
      <c r="A121" t="s">
        <v>326</v>
      </c>
      <c r="B121" t="s">
        <v>22</v>
      </c>
      <c r="C121">
        <v>120</v>
      </c>
      <c r="E121" t="s">
        <v>76</v>
      </c>
      <c r="F121" t="s">
        <v>327</v>
      </c>
      <c r="G121" t="s">
        <v>78</v>
      </c>
      <c r="H121" t="s">
        <v>79</v>
      </c>
      <c r="I121" t="s">
        <v>22</v>
      </c>
      <c r="J121" t="b">
        <v>1</v>
      </c>
      <c r="K121" t="b">
        <v>1</v>
      </c>
      <c r="L121" t="s">
        <v>95</v>
      </c>
      <c r="M121" t="s">
        <v>81</v>
      </c>
      <c r="O121" t="s">
        <v>82</v>
      </c>
      <c r="P121">
        <v>60</v>
      </c>
      <c r="Q121">
        <v>46223</v>
      </c>
      <c r="R121">
        <v>46250</v>
      </c>
      <c r="S121">
        <v>2</v>
      </c>
      <c r="T121">
        <v>120</v>
      </c>
      <c r="U121">
        <v>15.789473684210527</v>
      </c>
      <c r="V121">
        <v>15</v>
      </c>
      <c r="W121">
        <v>20</v>
      </c>
      <c r="X121">
        <v>15</v>
      </c>
      <c r="Y121" t="s">
        <v>83</v>
      </c>
      <c r="Z121" t="s">
        <v>78</v>
      </c>
    </row>
    <row r="122" spans="1:26" hidden="1" x14ac:dyDescent="0.25">
      <c r="A122" t="s">
        <v>328</v>
      </c>
      <c r="B122" t="s">
        <v>22</v>
      </c>
      <c r="C122">
        <v>121</v>
      </c>
      <c r="E122" t="s">
        <v>76</v>
      </c>
      <c r="F122" t="s">
        <v>329</v>
      </c>
      <c r="G122" t="s">
        <v>78</v>
      </c>
      <c r="H122" t="s">
        <v>79</v>
      </c>
      <c r="I122" t="s">
        <v>22</v>
      </c>
      <c r="J122" t="b">
        <v>1</v>
      </c>
      <c r="K122" t="b">
        <v>1</v>
      </c>
      <c r="L122" t="s">
        <v>95</v>
      </c>
      <c r="M122" t="s">
        <v>81</v>
      </c>
      <c r="O122" t="s">
        <v>82</v>
      </c>
      <c r="P122">
        <v>67.5</v>
      </c>
      <c r="Q122">
        <v>46223</v>
      </c>
      <c r="R122">
        <v>46250</v>
      </c>
      <c r="S122">
        <v>2</v>
      </c>
      <c r="T122">
        <v>135</v>
      </c>
      <c r="U122">
        <v>17.763157894736842</v>
      </c>
      <c r="V122">
        <v>17</v>
      </c>
      <c r="W122">
        <v>20</v>
      </c>
      <c r="X122">
        <v>17</v>
      </c>
      <c r="Y122" t="s">
        <v>83</v>
      </c>
      <c r="Z122" t="s">
        <v>78</v>
      </c>
    </row>
    <row r="123" spans="1:26" hidden="1" x14ac:dyDescent="0.25">
      <c r="A123" t="s">
        <v>330</v>
      </c>
      <c r="B123" t="s">
        <v>31</v>
      </c>
      <c r="C123">
        <v>122</v>
      </c>
      <c r="E123" t="s">
        <v>76</v>
      </c>
      <c r="F123" t="s">
        <v>331</v>
      </c>
      <c r="G123" t="s">
        <v>78</v>
      </c>
      <c r="H123" t="s">
        <v>79</v>
      </c>
      <c r="I123" t="s">
        <v>31</v>
      </c>
      <c r="J123" t="b">
        <v>1</v>
      </c>
      <c r="K123" t="b">
        <v>1</v>
      </c>
      <c r="L123" t="s">
        <v>95</v>
      </c>
      <c r="M123" t="s">
        <v>81</v>
      </c>
      <c r="O123" t="s">
        <v>82</v>
      </c>
      <c r="P123">
        <v>60</v>
      </c>
      <c r="Q123">
        <v>46223</v>
      </c>
      <c r="R123">
        <v>46250</v>
      </c>
      <c r="S123">
        <v>2</v>
      </c>
      <c r="T123">
        <v>120</v>
      </c>
      <c r="U123">
        <v>15.789473684210527</v>
      </c>
      <c r="V123">
        <v>15</v>
      </c>
      <c r="W123">
        <v>20</v>
      </c>
      <c r="X123">
        <v>15</v>
      </c>
      <c r="Y123" t="s">
        <v>83</v>
      </c>
      <c r="Z123" t="s">
        <v>78</v>
      </c>
    </row>
    <row r="124" spans="1:26" hidden="1" x14ac:dyDescent="0.25">
      <c r="A124" t="s">
        <v>332</v>
      </c>
      <c r="B124" t="s">
        <v>22</v>
      </c>
      <c r="C124">
        <v>123</v>
      </c>
      <c r="E124" t="s">
        <v>76</v>
      </c>
      <c r="F124" t="s">
        <v>333</v>
      </c>
      <c r="G124" t="s">
        <v>78</v>
      </c>
      <c r="H124" t="s">
        <v>79</v>
      </c>
      <c r="I124" t="s">
        <v>22</v>
      </c>
      <c r="J124" t="b">
        <v>1</v>
      </c>
      <c r="K124" t="b">
        <v>1</v>
      </c>
      <c r="L124" t="s">
        <v>95</v>
      </c>
      <c r="M124" t="s">
        <v>81</v>
      </c>
      <c r="O124" t="s">
        <v>82</v>
      </c>
      <c r="P124">
        <v>45</v>
      </c>
      <c r="Q124">
        <v>46223</v>
      </c>
      <c r="R124">
        <v>46250</v>
      </c>
      <c r="S124">
        <v>2</v>
      </c>
      <c r="T124">
        <v>90</v>
      </c>
      <c r="U124">
        <v>11.842105263157896</v>
      </c>
      <c r="V124">
        <v>11</v>
      </c>
      <c r="W124">
        <v>20</v>
      </c>
      <c r="X124">
        <v>11</v>
      </c>
      <c r="Y124" t="s">
        <v>83</v>
      </c>
      <c r="Z124" t="s">
        <v>78</v>
      </c>
    </row>
    <row r="125" spans="1:26" hidden="1" x14ac:dyDescent="0.25">
      <c r="A125" t="s">
        <v>334</v>
      </c>
      <c r="B125" t="s">
        <v>29</v>
      </c>
      <c r="C125">
        <v>124</v>
      </c>
      <c r="E125" t="s">
        <v>76</v>
      </c>
      <c r="F125" t="s">
        <v>335</v>
      </c>
      <c r="G125" t="s">
        <v>78</v>
      </c>
      <c r="H125" t="s">
        <v>79</v>
      </c>
      <c r="I125" t="s">
        <v>29</v>
      </c>
      <c r="J125" t="b">
        <v>1</v>
      </c>
      <c r="K125" t="b">
        <v>1</v>
      </c>
      <c r="L125" t="s">
        <v>95</v>
      </c>
      <c r="M125" t="s">
        <v>81</v>
      </c>
      <c r="O125" t="s">
        <v>82</v>
      </c>
      <c r="P125">
        <v>32</v>
      </c>
      <c r="Q125">
        <v>46223</v>
      </c>
      <c r="R125">
        <v>46250</v>
      </c>
      <c r="S125">
        <v>2</v>
      </c>
      <c r="T125">
        <v>64</v>
      </c>
      <c r="U125">
        <v>8.4210526315789469</v>
      </c>
      <c r="V125">
        <v>8</v>
      </c>
      <c r="W125">
        <v>20</v>
      </c>
      <c r="X125">
        <v>8</v>
      </c>
      <c r="Y125" t="s">
        <v>83</v>
      </c>
      <c r="Z125" t="s">
        <v>78</v>
      </c>
    </row>
    <row r="126" spans="1:26" hidden="1" x14ac:dyDescent="0.25">
      <c r="A126" t="s">
        <v>336</v>
      </c>
      <c r="B126" t="s">
        <v>29</v>
      </c>
      <c r="C126">
        <v>125</v>
      </c>
      <c r="E126" t="s">
        <v>76</v>
      </c>
      <c r="F126" t="s">
        <v>337</v>
      </c>
      <c r="G126" t="s">
        <v>78</v>
      </c>
      <c r="H126" t="s">
        <v>79</v>
      </c>
      <c r="I126" t="s">
        <v>29</v>
      </c>
      <c r="J126" t="b">
        <v>1</v>
      </c>
      <c r="K126" t="b">
        <v>1</v>
      </c>
      <c r="L126" t="s">
        <v>95</v>
      </c>
      <c r="M126" t="s">
        <v>81</v>
      </c>
      <c r="O126" t="s">
        <v>82</v>
      </c>
      <c r="P126">
        <v>32</v>
      </c>
      <c r="Q126">
        <v>46223</v>
      </c>
      <c r="R126">
        <v>46250</v>
      </c>
      <c r="S126">
        <v>2</v>
      </c>
      <c r="T126">
        <v>64</v>
      </c>
      <c r="U126">
        <v>8.4210526315789469</v>
      </c>
      <c r="V126">
        <v>8</v>
      </c>
      <c r="W126">
        <v>20</v>
      </c>
      <c r="X126">
        <v>8</v>
      </c>
      <c r="Y126" t="s">
        <v>83</v>
      </c>
      <c r="Z126" t="s">
        <v>78</v>
      </c>
    </row>
    <row r="127" spans="1:26" hidden="1" x14ac:dyDescent="0.25">
      <c r="A127" t="s">
        <v>338</v>
      </c>
      <c r="B127" t="s">
        <v>22</v>
      </c>
      <c r="C127">
        <v>126</v>
      </c>
      <c r="E127" t="s">
        <v>76</v>
      </c>
      <c r="F127" t="s">
        <v>339</v>
      </c>
      <c r="G127" t="s">
        <v>78</v>
      </c>
      <c r="H127" t="s">
        <v>79</v>
      </c>
      <c r="I127" t="s">
        <v>22</v>
      </c>
      <c r="J127" t="b">
        <v>1</v>
      </c>
      <c r="K127" t="b">
        <v>1</v>
      </c>
      <c r="L127" t="s">
        <v>95</v>
      </c>
      <c r="M127" t="s">
        <v>81</v>
      </c>
      <c r="O127" t="s">
        <v>82</v>
      </c>
      <c r="P127">
        <v>45</v>
      </c>
      <c r="Q127">
        <v>46223</v>
      </c>
      <c r="R127">
        <v>46250</v>
      </c>
      <c r="S127">
        <v>2</v>
      </c>
      <c r="T127">
        <v>90</v>
      </c>
      <c r="U127">
        <v>11.842105263157896</v>
      </c>
      <c r="V127">
        <v>11</v>
      </c>
      <c r="W127">
        <v>20</v>
      </c>
      <c r="X127">
        <v>11</v>
      </c>
      <c r="Y127" t="s">
        <v>83</v>
      </c>
      <c r="Z127" t="s">
        <v>78</v>
      </c>
    </row>
    <row r="128" spans="1:26" hidden="1" x14ac:dyDescent="0.25">
      <c r="A128" t="s">
        <v>340</v>
      </c>
      <c r="B128" t="s">
        <v>29</v>
      </c>
      <c r="C128">
        <v>127</v>
      </c>
      <c r="E128" t="s">
        <v>76</v>
      </c>
      <c r="F128" t="s">
        <v>341</v>
      </c>
      <c r="G128" t="s">
        <v>78</v>
      </c>
      <c r="H128" t="s">
        <v>79</v>
      </c>
      <c r="I128" t="s">
        <v>29</v>
      </c>
      <c r="J128" t="b">
        <v>1</v>
      </c>
      <c r="K128" t="b">
        <v>0</v>
      </c>
      <c r="L128" t="s">
        <v>92</v>
      </c>
      <c r="M128" t="s">
        <v>81</v>
      </c>
      <c r="O128" t="s">
        <v>82</v>
      </c>
      <c r="P128">
        <v>32</v>
      </c>
      <c r="Q128">
        <v>46223</v>
      </c>
      <c r="R128">
        <v>46250</v>
      </c>
      <c r="S128">
        <v>2</v>
      </c>
      <c r="T128">
        <v>64</v>
      </c>
      <c r="U128">
        <v>8.4210526315789469</v>
      </c>
      <c r="V128">
        <v>8</v>
      </c>
      <c r="W128">
        <v>20</v>
      </c>
      <c r="X128">
        <v>8</v>
      </c>
      <c r="Y128" t="s">
        <v>83</v>
      </c>
      <c r="Z128" t="s">
        <v>78</v>
      </c>
    </row>
    <row r="129" spans="1:26" hidden="1" x14ac:dyDescent="0.25">
      <c r="A129" t="s">
        <v>342</v>
      </c>
      <c r="B129" t="s">
        <v>22</v>
      </c>
      <c r="C129">
        <v>128</v>
      </c>
      <c r="D129" t="s">
        <v>40</v>
      </c>
      <c r="E129" t="s">
        <v>76</v>
      </c>
      <c r="F129" t="s">
        <v>343</v>
      </c>
      <c r="G129" t="s">
        <v>78</v>
      </c>
      <c r="H129" t="s">
        <v>88</v>
      </c>
      <c r="I129" t="s">
        <v>22</v>
      </c>
      <c r="J129" t="b">
        <v>0</v>
      </c>
      <c r="K129" t="b">
        <v>1</v>
      </c>
      <c r="L129" t="s">
        <v>80</v>
      </c>
      <c r="M129" t="s">
        <v>81</v>
      </c>
      <c r="O129" t="s">
        <v>89</v>
      </c>
      <c r="P129">
        <v>76</v>
      </c>
      <c r="Q129">
        <v>46223</v>
      </c>
      <c r="R129">
        <v>46250</v>
      </c>
      <c r="S129">
        <v>2</v>
      </c>
      <c r="T129">
        <v>152</v>
      </c>
      <c r="U129">
        <v>20</v>
      </c>
      <c r="V129">
        <v>20</v>
      </c>
      <c r="W129">
        <v>20</v>
      </c>
      <c r="X129">
        <v>20</v>
      </c>
      <c r="Y129" t="s">
        <v>89</v>
      </c>
      <c r="Z129" t="s">
        <v>78</v>
      </c>
    </row>
    <row r="130" spans="1:26" hidden="1" x14ac:dyDescent="0.25">
      <c r="A130" t="s">
        <v>344</v>
      </c>
      <c r="B130" t="s">
        <v>22</v>
      </c>
      <c r="C130">
        <v>129</v>
      </c>
      <c r="E130" t="s">
        <v>76</v>
      </c>
      <c r="F130" t="s">
        <v>345</v>
      </c>
      <c r="G130" t="s">
        <v>78</v>
      </c>
      <c r="H130" t="s">
        <v>88</v>
      </c>
      <c r="I130" t="s">
        <v>22</v>
      </c>
      <c r="J130" t="b">
        <v>1</v>
      </c>
      <c r="K130" t="b">
        <v>1</v>
      </c>
      <c r="L130" t="s">
        <v>95</v>
      </c>
      <c r="M130" t="s">
        <v>81</v>
      </c>
      <c r="O130" t="s">
        <v>89</v>
      </c>
      <c r="P130">
        <v>76</v>
      </c>
      <c r="Q130">
        <v>46223</v>
      </c>
      <c r="R130">
        <v>46250</v>
      </c>
      <c r="S130">
        <v>2</v>
      </c>
      <c r="T130">
        <v>152</v>
      </c>
      <c r="U130">
        <v>20</v>
      </c>
      <c r="V130">
        <v>20</v>
      </c>
      <c r="W130">
        <v>20</v>
      </c>
      <c r="X130">
        <v>20</v>
      </c>
      <c r="Y130" t="s">
        <v>89</v>
      </c>
      <c r="Z130" t="s">
        <v>78</v>
      </c>
    </row>
    <row r="131" spans="1:26" hidden="1" x14ac:dyDescent="0.25">
      <c r="A131" t="s">
        <v>75</v>
      </c>
      <c r="B131" t="s">
        <v>22</v>
      </c>
      <c r="C131">
        <v>1</v>
      </c>
      <c r="D131" t="s">
        <v>40</v>
      </c>
      <c r="E131" t="s">
        <v>76</v>
      </c>
      <c r="F131" t="s">
        <v>77</v>
      </c>
      <c r="G131" t="s">
        <v>346</v>
      </c>
      <c r="H131" t="s">
        <v>79</v>
      </c>
      <c r="I131" t="s">
        <v>22</v>
      </c>
      <c r="J131" t="b">
        <v>0</v>
      </c>
      <c r="K131" t="b">
        <v>1</v>
      </c>
      <c r="L131" t="s">
        <v>80</v>
      </c>
      <c r="M131" t="s">
        <v>81</v>
      </c>
      <c r="O131" t="s">
        <v>82</v>
      </c>
      <c r="P131">
        <v>72.5</v>
      </c>
      <c r="Q131">
        <v>46223</v>
      </c>
      <c r="R131">
        <v>46250</v>
      </c>
      <c r="S131">
        <v>2</v>
      </c>
      <c r="T131">
        <v>145</v>
      </c>
      <c r="U131">
        <v>19.078947368421055</v>
      </c>
      <c r="V131">
        <v>19</v>
      </c>
      <c r="W131">
        <v>20</v>
      </c>
      <c r="X131">
        <v>19</v>
      </c>
      <c r="Y131" t="s">
        <v>83</v>
      </c>
      <c r="Z131" t="s">
        <v>346</v>
      </c>
    </row>
    <row r="132" spans="1:26" hidden="1" x14ac:dyDescent="0.25">
      <c r="A132" t="s">
        <v>347</v>
      </c>
      <c r="B132" t="s">
        <v>22</v>
      </c>
      <c r="C132">
        <v>2</v>
      </c>
      <c r="D132" t="s">
        <v>40</v>
      </c>
      <c r="E132" t="s">
        <v>76</v>
      </c>
      <c r="F132" t="s">
        <v>348</v>
      </c>
      <c r="G132" t="s">
        <v>346</v>
      </c>
      <c r="H132" t="s">
        <v>88</v>
      </c>
      <c r="I132" t="s">
        <v>22</v>
      </c>
      <c r="J132" t="b">
        <v>0</v>
      </c>
      <c r="K132" t="b">
        <v>1</v>
      </c>
      <c r="L132" t="s">
        <v>80</v>
      </c>
      <c r="M132" t="s">
        <v>81</v>
      </c>
      <c r="O132" t="s">
        <v>89</v>
      </c>
      <c r="P132">
        <v>76</v>
      </c>
      <c r="Q132">
        <v>46223</v>
      </c>
      <c r="R132">
        <v>46250</v>
      </c>
      <c r="S132">
        <v>2</v>
      </c>
      <c r="T132">
        <v>152</v>
      </c>
      <c r="U132">
        <v>20</v>
      </c>
      <c r="V132">
        <v>20</v>
      </c>
      <c r="W132">
        <v>20</v>
      </c>
      <c r="X132">
        <v>20</v>
      </c>
      <c r="Y132" t="s">
        <v>89</v>
      </c>
      <c r="Z132" t="s">
        <v>346</v>
      </c>
    </row>
    <row r="133" spans="1:26" hidden="1" x14ac:dyDescent="0.25">
      <c r="A133" t="s">
        <v>86</v>
      </c>
      <c r="B133" t="s">
        <v>22</v>
      </c>
      <c r="C133">
        <v>3</v>
      </c>
      <c r="D133" t="s">
        <v>40</v>
      </c>
      <c r="E133" t="s">
        <v>76</v>
      </c>
      <c r="F133" t="s">
        <v>87</v>
      </c>
      <c r="G133" t="s">
        <v>346</v>
      </c>
      <c r="H133" t="s">
        <v>88</v>
      </c>
      <c r="I133" t="s">
        <v>22</v>
      </c>
      <c r="J133" t="b">
        <v>0</v>
      </c>
      <c r="K133" t="b">
        <v>1</v>
      </c>
      <c r="L133" t="s">
        <v>80</v>
      </c>
      <c r="M133" t="s">
        <v>81</v>
      </c>
      <c r="O133" t="s">
        <v>89</v>
      </c>
      <c r="P133">
        <v>76</v>
      </c>
      <c r="Q133">
        <v>46223</v>
      </c>
      <c r="R133">
        <v>46250</v>
      </c>
      <c r="S133">
        <v>2</v>
      </c>
      <c r="T133">
        <v>152</v>
      </c>
      <c r="U133">
        <v>20</v>
      </c>
      <c r="V133">
        <v>20</v>
      </c>
      <c r="W133">
        <v>20</v>
      </c>
      <c r="X133">
        <v>20</v>
      </c>
      <c r="Y133" t="s">
        <v>89</v>
      </c>
      <c r="Z133" t="s">
        <v>346</v>
      </c>
    </row>
    <row r="134" spans="1:26" hidden="1" x14ac:dyDescent="0.25">
      <c r="A134" t="s">
        <v>349</v>
      </c>
      <c r="B134" t="s">
        <v>22</v>
      </c>
      <c r="C134">
        <v>4</v>
      </c>
      <c r="E134" t="s">
        <v>76</v>
      </c>
      <c r="F134" t="s">
        <v>350</v>
      </c>
      <c r="G134" t="s">
        <v>346</v>
      </c>
      <c r="H134" t="s">
        <v>79</v>
      </c>
      <c r="I134" t="s">
        <v>22</v>
      </c>
      <c r="J134" t="b">
        <v>0</v>
      </c>
      <c r="K134" t="b">
        <v>1</v>
      </c>
      <c r="L134" t="s">
        <v>80</v>
      </c>
      <c r="M134" t="s">
        <v>81</v>
      </c>
      <c r="O134" t="s">
        <v>82</v>
      </c>
      <c r="P134">
        <v>30</v>
      </c>
      <c r="Q134">
        <v>46223</v>
      </c>
      <c r="R134">
        <v>46250</v>
      </c>
      <c r="S134">
        <v>2</v>
      </c>
      <c r="T134">
        <v>60</v>
      </c>
      <c r="U134">
        <v>7.8947368421052637</v>
      </c>
      <c r="V134">
        <v>7</v>
      </c>
      <c r="W134">
        <v>20</v>
      </c>
      <c r="X134">
        <v>7</v>
      </c>
      <c r="Y134" t="s">
        <v>83</v>
      </c>
      <c r="Z134" t="s">
        <v>346</v>
      </c>
    </row>
    <row r="135" spans="1:26" hidden="1" x14ac:dyDescent="0.25">
      <c r="A135" t="s">
        <v>351</v>
      </c>
      <c r="B135" t="s">
        <v>22</v>
      </c>
      <c r="C135">
        <v>5</v>
      </c>
      <c r="E135" t="s">
        <v>76</v>
      </c>
      <c r="F135" t="s">
        <v>352</v>
      </c>
      <c r="G135" t="s">
        <v>346</v>
      </c>
      <c r="H135" t="s">
        <v>88</v>
      </c>
      <c r="I135" t="s">
        <v>22</v>
      </c>
      <c r="J135" t="b">
        <v>1</v>
      </c>
      <c r="K135" t="b">
        <v>0</v>
      </c>
      <c r="L135" t="s">
        <v>92</v>
      </c>
      <c r="M135" t="s">
        <v>81</v>
      </c>
      <c r="O135" t="s">
        <v>89</v>
      </c>
      <c r="P135">
        <v>76</v>
      </c>
      <c r="Q135">
        <v>46223</v>
      </c>
      <c r="R135">
        <v>46250</v>
      </c>
      <c r="S135">
        <v>2</v>
      </c>
      <c r="T135">
        <v>152</v>
      </c>
      <c r="U135">
        <v>20</v>
      </c>
      <c r="V135">
        <v>20</v>
      </c>
      <c r="W135">
        <v>20</v>
      </c>
      <c r="X135">
        <v>20</v>
      </c>
      <c r="Y135" t="s">
        <v>89</v>
      </c>
      <c r="Z135" t="s">
        <v>346</v>
      </c>
    </row>
    <row r="136" spans="1:26" hidden="1" x14ac:dyDescent="0.25">
      <c r="A136" t="s">
        <v>353</v>
      </c>
      <c r="B136" t="s">
        <v>22</v>
      </c>
      <c r="C136">
        <v>6</v>
      </c>
      <c r="D136" t="s">
        <v>40</v>
      </c>
      <c r="E136" t="s">
        <v>76</v>
      </c>
      <c r="F136" t="s">
        <v>354</v>
      </c>
      <c r="G136" t="s">
        <v>346</v>
      </c>
      <c r="H136" t="s">
        <v>88</v>
      </c>
      <c r="I136" t="s">
        <v>22</v>
      </c>
      <c r="J136" t="b">
        <v>0</v>
      </c>
      <c r="K136" t="b">
        <v>1</v>
      </c>
      <c r="L136" t="s">
        <v>80</v>
      </c>
      <c r="M136" t="s">
        <v>81</v>
      </c>
      <c r="O136" t="s">
        <v>89</v>
      </c>
      <c r="P136">
        <v>76</v>
      </c>
      <c r="Q136">
        <v>46223</v>
      </c>
      <c r="R136">
        <v>46250</v>
      </c>
      <c r="S136">
        <v>2</v>
      </c>
      <c r="T136">
        <v>152</v>
      </c>
      <c r="U136">
        <v>20</v>
      </c>
      <c r="V136">
        <v>20</v>
      </c>
      <c r="W136">
        <v>20</v>
      </c>
      <c r="X136">
        <v>20</v>
      </c>
      <c r="Y136" t="s">
        <v>89</v>
      </c>
      <c r="Z136" t="s">
        <v>346</v>
      </c>
    </row>
    <row r="137" spans="1:26" hidden="1" x14ac:dyDescent="0.25">
      <c r="A137" t="s">
        <v>355</v>
      </c>
      <c r="B137" t="s">
        <v>29</v>
      </c>
      <c r="C137">
        <v>7</v>
      </c>
      <c r="E137" t="s">
        <v>76</v>
      </c>
      <c r="F137" t="s">
        <v>356</v>
      </c>
      <c r="G137" t="s">
        <v>346</v>
      </c>
      <c r="H137" t="s">
        <v>110</v>
      </c>
      <c r="I137" t="s">
        <v>29</v>
      </c>
      <c r="J137" t="b">
        <v>1</v>
      </c>
      <c r="K137" t="b">
        <v>1</v>
      </c>
      <c r="L137" t="s">
        <v>95</v>
      </c>
      <c r="M137" t="s">
        <v>81</v>
      </c>
      <c r="O137" t="s">
        <v>82</v>
      </c>
      <c r="P137">
        <v>76</v>
      </c>
      <c r="Q137">
        <v>46223</v>
      </c>
      <c r="R137">
        <v>46250</v>
      </c>
      <c r="S137">
        <v>2</v>
      </c>
      <c r="T137">
        <v>152</v>
      </c>
      <c r="U137">
        <v>20</v>
      </c>
      <c r="V137">
        <v>20</v>
      </c>
      <c r="W137">
        <v>20</v>
      </c>
      <c r="X137">
        <v>20</v>
      </c>
      <c r="Y137" t="s">
        <v>111</v>
      </c>
      <c r="Z137" t="s">
        <v>346</v>
      </c>
    </row>
    <row r="138" spans="1:26" hidden="1" x14ac:dyDescent="0.25">
      <c r="A138" t="s">
        <v>357</v>
      </c>
      <c r="B138" t="s">
        <v>22</v>
      </c>
      <c r="C138">
        <v>8</v>
      </c>
      <c r="D138" t="s">
        <v>40</v>
      </c>
      <c r="E138" t="s">
        <v>76</v>
      </c>
      <c r="F138" t="s">
        <v>358</v>
      </c>
      <c r="G138" t="s">
        <v>346</v>
      </c>
      <c r="H138" t="s">
        <v>79</v>
      </c>
      <c r="I138" t="s">
        <v>22</v>
      </c>
      <c r="J138" t="b">
        <v>0</v>
      </c>
      <c r="K138" t="b">
        <v>1</v>
      </c>
      <c r="L138" t="s">
        <v>80</v>
      </c>
      <c r="M138" t="s">
        <v>81</v>
      </c>
      <c r="O138" t="s">
        <v>82</v>
      </c>
      <c r="P138">
        <v>72.5</v>
      </c>
      <c r="Q138">
        <v>46223</v>
      </c>
      <c r="R138">
        <v>46250</v>
      </c>
      <c r="S138">
        <v>2</v>
      </c>
      <c r="T138">
        <v>145</v>
      </c>
      <c r="U138">
        <v>19.078947368421055</v>
      </c>
      <c r="V138">
        <v>19</v>
      </c>
      <c r="W138">
        <v>20</v>
      </c>
      <c r="X138">
        <v>19</v>
      </c>
      <c r="Y138" t="s">
        <v>83</v>
      </c>
      <c r="Z138" t="s">
        <v>346</v>
      </c>
    </row>
    <row r="139" spans="1:26" hidden="1" x14ac:dyDescent="0.25">
      <c r="A139" t="s">
        <v>359</v>
      </c>
      <c r="B139" t="s">
        <v>22</v>
      </c>
      <c r="C139">
        <v>9</v>
      </c>
      <c r="D139" t="s">
        <v>40</v>
      </c>
      <c r="E139" t="s">
        <v>76</v>
      </c>
      <c r="F139" t="s">
        <v>360</v>
      </c>
      <c r="G139" t="s">
        <v>346</v>
      </c>
      <c r="H139" t="s">
        <v>88</v>
      </c>
      <c r="I139" t="s">
        <v>22</v>
      </c>
      <c r="J139" t="b">
        <v>0</v>
      </c>
      <c r="K139" t="b">
        <v>1</v>
      </c>
      <c r="L139" t="s">
        <v>80</v>
      </c>
      <c r="M139" t="s">
        <v>81</v>
      </c>
      <c r="O139" t="s">
        <v>89</v>
      </c>
      <c r="P139">
        <v>76</v>
      </c>
      <c r="Q139">
        <v>46223</v>
      </c>
      <c r="R139">
        <v>46250</v>
      </c>
      <c r="S139">
        <v>2</v>
      </c>
      <c r="T139">
        <v>152</v>
      </c>
      <c r="U139">
        <v>20</v>
      </c>
      <c r="V139">
        <v>20</v>
      </c>
      <c r="W139">
        <v>20</v>
      </c>
      <c r="X139">
        <v>20</v>
      </c>
      <c r="Y139" t="s">
        <v>89</v>
      </c>
      <c r="Z139" t="s">
        <v>346</v>
      </c>
    </row>
    <row r="140" spans="1:26" hidden="1" x14ac:dyDescent="0.25">
      <c r="A140" t="s">
        <v>361</v>
      </c>
      <c r="B140" t="s">
        <v>22</v>
      </c>
      <c r="C140">
        <v>10</v>
      </c>
      <c r="D140" t="s">
        <v>40</v>
      </c>
      <c r="E140" t="s">
        <v>76</v>
      </c>
      <c r="F140" t="s">
        <v>362</v>
      </c>
      <c r="G140" t="s">
        <v>346</v>
      </c>
      <c r="H140" t="s">
        <v>88</v>
      </c>
      <c r="I140" t="s">
        <v>22</v>
      </c>
      <c r="J140" t="b">
        <v>0</v>
      </c>
      <c r="K140" t="b">
        <v>1</v>
      </c>
      <c r="L140" t="s">
        <v>80</v>
      </c>
      <c r="M140" t="s">
        <v>81</v>
      </c>
      <c r="O140" t="s">
        <v>89</v>
      </c>
      <c r="P140">
        <v>76</v>
      </c>
      <c r="Q140">
        <v>46223</v>
      </c>
      <c r="R140">
        <v>46250</v>
      </c>
      <c r="S140">
        <v>2</v>
      </c>
      <c r="T140">
        <v>152</v>
      </c>
      <c r="U140">
        <v>20</v>
      </c>
      <c r="V140">
        <v>20</v>
      </c>
      <c r="W140">
        <v>20</v>
      </c>
      <c r="X140">
        <v>20</v>
      </c>
      <c r="Y140" t="s">
        <v>89</v>
      </c>
      <c r="Z140" t="s">
        <v>346</v>
      </c>
    </row>
    <row r="141" spans="1:26" hidden="1" x14ac:dyDescent="0.25">
      <c r="A141" t="s">
        <v>363</v>
      </c>
      <c r="B141" t="s">
        <v>22</v>
      </c>
      <c r="C141">
        <v>11</v>
      </c>
      <c r="E141" t="s">
        <v>76</v>
      </c>
      <c r="F141" t="s">
        <v>364</v>
      </c>
      <c r="G141" t="s">
        <v>346</v>
      </c>
      <c r="H141" t="s">
        <v>110</v>
      </c>
      <c r="I141" t="s">
        <v>22</v>
      </c>
      <c r="J141" t="b">
        <v>1</v>
      </c>
      <c r="K141" t="b">
        <v>0</v>
      </c>
      <c r="L141" t="s">
        <v>92</v>
      </c>
      <c r="M141" t="s">
        <v>81</v>
      </c>
      <c r="O141" t="s">
        <v>82</v>
      </c>
      <c r="P141">
        <v>76</v>
      </c>
      <c r="Q141">
        <v>46223</v>
      </c>
      <c r="R141">
        <v>46250</v>
      </c>
      <c r="S141">
        <v>2</v>
      </c>
      <c r="T141">
        <v>152</v>
      </c>
      <c r="U141">
        <v>20</v>
      </c>
      <c r="V141">
        <v>20</v>
      </c>
      <c r="W141">
        <v>20</v>
      </c>
      <c r="X141">
        <v>20</v>
      </c>
      <c r="Y141" t="s">
        <v>111</v>
      </c>
      <c r="Z141" t="s">
        <v>346</v>
      </c>
    </row>
    <row r="142" spans="1:26" hidden="1" x14ac:dyDescent="0.25">
      <c r="A142" t="s">
        <v>365</v>
      </c>
      <c r="B142" t="s">
        <v>22</v>
      </c>
      <c r="C142">
        <v>12</v>
      </c>
      <c r="E142" t="s">
        <v>76</v>
      </c>
      <c r="F142" t="s">
        <v>366</v>
      </c>
      <c r="G142" t="s">
        <v>346</v>
      </c>
      <c r="H142" t="s">
        <v>79</v>
      </c>
      <c r="I142" t="s">
        <v>22</v>
      </c>
      <c r="J142" t="b">
        <v>1</v>
      </c>
      <c r="K142" t="b">
        <v>1</v>
      </c>
      <c r="L142" t="s">
        <v>95</v>
      </c>
      <c r="M142" t="s">
        <v>81</v>
      </c>
      <c r="O142" t="s">
        <v>82</v>
      </c>
      <c r="P142">
        <v>64</v>
      </c>
      <c r="Q142">
        <v>46223</v>
      </c>
      <c r="R142">
        <v>46250</v>
      </c>
      <c r="S142">
        <v>2</v>
      </c>
      <c r="T142">
        <v>128</v>
      </c>
      <c r="U142">
        <v>16.842105263157894</v>
      </c>
      <c r="V142">
        <v>16</v>
      </c>
      <c r="W142">
        <v>20</v>
      </c>
      <c r="X142">
        <v>16</v>
      </c>
      <c r="Y142" t="s">
        <v>83</v>
      </c>
      <c r="Z142" t="s">
        <v>346</v>
      </c>
    </row>
    <row r="143" spans="1:26" hidden="1" x14ac:dyDescent="0.25">
      <c r="A143" t="s">
        <v>367</v>
      </c>
      <c r="B143" t="s">
        <v>22</v>
      </c>
      <c r="C143">
        <v>13</v>
      </c>
      <c r="E143" t="s">
        <v>76</v>
      </c>
      <c r="F143" t="s">
        <v>368</v>
      </c>
      <c r="G143" t="s">
        <v>346</v>
      </c>
      <c r="H143" t="s">
        <v>79</v>
      </c>
      <c r="I143" t="s">
        <v>22</v>
      </c>
      <c r="J143" t="b">
        <v>1</v>
      </c>
      <c r="K143" t="b">
        <v>0</v>
      </c>
      <c r="L143" t="s">
        <v>92</v>
      </c>
      <c r="M143" t="s">
        <v>81</v>
      </c>
      <c r="O143" t="s">
        <v>82</v>
      </c>
      <c r="P143">
        <v>64</v>
      </c>
      <c r="Q143">
        <v>46223</v>
      </c>
      <c r="R143">
        <v>46250</v>
      </c>
      <c r="S143">
        <v>2</v>
      </c>
      <c r="T143">
        <v>128</v>
      </c>
      <c r="U143">
        <v>16.842105263157894</v>
      </c>
      <c r="V143">
        <v>16</v>
      </c>
      <c r="W143">
        <v>20</v>
      </c>
      <c r="X143">
        <v>16</v>
      </c>
      <c r="Y143" t="s">
        <v>83</v>
      </c>
      <c r="Z143" t="s">
        <v>346</v>
      </c>
    </row>
    <row r="144" spans="1:26" hidden="1" x14ac:dyDescent="0.25">
      <c r="A144" t="s">
        <v>369</v>
      </c>
      <c r="B144" t="s">
        <v>22</v>
      </c>
      <c r="C144">
        <v>14</v>
      </c>
      <c r="E144" t="s">
        <v>76</v>
      </c>
      <c r="F144" t="s">
        <v>370</v>
      </c>
      <c r="G144" t="s">
        <v>346</v>
      </c>
      <c r="H144" t="s">
        <v>79</v>
      </c>
      <c r="I144" t="s">
        <v>22</v>
      </c>
      <c r="J144" t="b">
        <v>1</v>
      </c>
      <c r="K144" t="b">
        <v>1</v>
      </c>
      <c r="L144" t="s">
        <v>95</v>
      </c>
      <c r="M144" t="s">
        <v>81</v>
      </c>
      <c r="O144" t="s">
        <v>82</v>
      </c>
      <c r="P144">
        <v>40</v>
      </c>
      <c r="Q144">
        <v>46223</v>
      </c>
      <c r="R144">
        <v>46250</v>
      </c>
      <c r="S144">
        <v>2</v>
      </c>
      <c r="T144">
        <v>80</v>
      </c>
      <c r="U144">
        <v>10.526315789473683</v>
      </c>
      <c r="V144">
        <v>10</v>
      </c>
      <c r="W144">
        <v>20</v>
      </c>
      <c r="X144">
        <v>10</v>
      </c>
      <c r="Y144" t="s">
        <v>83</v>
      </c>
      <c r="Z144" t="s">
        <v>346</v>
      </c>
    </row>
    <row r="145" spans="1:26" hidden="1" x14ac:dyDescent="0.25">
      <c r="A145" t="s">
        <v>371</v>
      </c>
      <c r="B145" t="s">
        <v>22</v>
      </c>
      <c r="C145">
        <v>15</v>
      </c>
      <c r="E145" t="s">
        <v>76</v>
      </c>
      <c r="F145" t="s">
        <v>372</v>
      </c>
      <c r="G145" t="s">
        <v>346</v>
      </c>
      <c r="H145" t="s">
        <v>79</v>
      </c>
      <c r="I145" t="s">
        <v>22</v>
      </c>
      <c r="J145" t="b">
        <v>1</v>
      </c>
      <c r="K145" t="b">
        <v>1</v>
      </c>
      <c r="L145" t="s">
        <v>95</v>
      </c>
      <c r="M145" t="s">
        <v>81</v>
      </c>
      <c r="O145" t="s">
        <v>82</v>
      </c>
      <c r="P145">
        <v>64</v>
      </c>
      <c r="Q145">
        <v>46223</v>
      </c>
      <c r="R145">
        <v>46250</v>
      </c>
      <c r="S145">
        <v>2</v>
      </c>
      <c r="T145">
        <v>128</v>
      </c>
      <c r="U145">
        <v>16.842105263157894</v>
      </c>
      <c r="V145">
        <v>16</v>
      </c>
      <c r="W145">
        <v>20</v>
      </c>
      <c r="X145">
        <v>16</v>
      </c>
      <c r="Y145" t="s">
        <v>83</v>
      </c>
      <c r="Z145" t="s">
        <v>346</v>
      </c>
    </row>
    <row r="146" spans="1:26" hidden="1" x14ac:dyDescent="0.25">
      <c r="A146" t="s">
        <v>373</v>
      </c>
      <c r="B146" t="s">
        <v>22</v>
      </c>
      <c r="C146">
        <v>16</v>
      </c>
      <c r="D146" t="s">
        <v>40</v>
      </c>
      <c r="E146" t="s">
        <v>76</v>
      </c>
      <c r="F146" t="s">
        <v>374</v>
      </c>
      <c r="G146" t="s">
        <v>346</v>
      </c>
      <c r="H146" t="s">
        <v>88</v>
      </c>
      <c r="I146" t="s">
        <v>22</v>
      </c>
      <c r="J146" t="b">
        <v>0</v>
      </c>
      <c r="K146" t="b">
        <v>1</v>
      </c>
      <c r="L146" t="s">
        <v>80</v>
      </c>
      <c r="M146" t="s">
        <v>81</v>
      </c>
      <c r="O146" t="s">
        <v>89</v>
      </c>
      <c r="P146">
        <v>76</v>
      </c>
      <c r="Q146">
        <v>46223</v>
      </c>
      <c r="R146">
        <v>46250</v>
      </c>
      <c r="S146">
        <v>2</v>
      </c>
      <c r="T146">
        <v>152</v>
      </c>
      <c r="U146">
        <v>20</v>
      </c>
      <c r="V146">
        <v>20</v>
      </c>
      <c r="W146">
        <v>20</v>
      </c>
      <c r="X146">
        <v>20</v>
      </c>
      <c r="Y146" t="s">
        <v>89</v>
      </c>
      <c r="Z146" t="s">
        <v>346</v>
      </c>
    </row>
    <row r="147" spans="1:26" hidden="1" x14ac:dyDescent="0.25">
      <c r="A147" t="s">
        <v>375</v>
      </c>
      <c r="B147" t="s">
        <v>22</v>
      </c>
      <c r="C147">
        <v>17</v>
      </c>
      <c r="E147" t="s">
        <v>76</v>
      </c>
      <c r="F147" t="s">
        <v>161</v>
      </c>
      <c r="G147" t="s">
        <v>346</v>
      </c>
      <c r="H147" t="s">
        <v>79</v>
      </c>
      <c r="I147" t="s">
        <v>22</v>
      </c>
      <c r="J147" t="b">
        <v>1</v>
      </c>
      <c r="K147" t="b">
        <v>1</v>
      </c>
      <c r="L147" t="s">
        <v>95</v>
      </c>
      <c r="M147" t="s">
        <v>81</v>
      </c>
      <c r="O147" t="s">
        <v>82</v>
      </c>
      <c r="P147">
        <v>40</v>
      </c>
      <c r="Q147">
        <v>46223</v>
      </c>
      <c r="R147">
        <v>46250</v>
      </c>
      <c r="S147">
        <v>2</v>
      </c>
      <c r="T147">
        <v>80</v>
      </c>
      <c r="U147">
        <v>10.526315789473683</v>
      </c>
      <c r="V147">
        <v>10</v>
      </c>
      <c r="W147">
        <v>20</v>
      </c>
      <c r="X147">
        <v>10</v>
      </c>
      <c r="Y147" t="s">
        <v>83</v>
      </c>
      <c r="Z147" t="s">
        <v>346</v>
      </c>
    </row>
    <row r="148" spans="1:26" hidden="1" x14ac:dyDescent="0.25">
      <c r="A148" t="s">
        <v>376</v>
      </c>
      <c r="B148" t="s">
        <v>22</v>
      </c>
      <c r="C148">
        <v>18</v>
      </c>
      <c r="E148" t="s">
        <v>76</v>
      </c>
      <c r="F148" t="s">
        <v>377</v>
      </c>
      <c r="G148" t="s">
        <v>346</v>
      </c>
      <c r="H148" t="s">
        <v>88</v>
      </c>
      <c r="I148" t="s">
        <v>22</v>
      </c>
      <c r="J148" t="b">
        <v>1</v>
      </c>
      <c r="K148" t="b">
        <v>0</v>
      </c>
      <c r="L148" t="s">
        <v>92</v>
      </c>
      <c r="M148" t="s">
        <v>81</v>
      </c>
      <c r="O148" t="s">
        <v>89</v>
      </c>
      <c r="P148">
        <v>76</v>
      </c>
      <c r="Q148">
        <v>46223</v>
      </c>
      <c r="R148">
        <v>46250</v>
      </c>
      <c r="S148">
        <v>2</v>
      </c>
      <c r="T148">
        <v>152</v>
      </c>
      <c r="U148">
        <v>20</v>
      </c>
      <c r="V148">
        <v>20</v>
      </c>
      <c r="W148">
        <v>20</v>
      </c>
      <c r="X148">
        <v>20</v>
      </c>
      <c r="Y148" t="s">
        <v>89</v>
      </c>
      <c r="Z148" t="s">
        <v>346</v>
      </c>
    </row>
    <row r="149" spans="1:26" hidden="1" x14ac:dyDescent="0.25">
      <c r="A149" t="s">
        <v>378</v>
      </c>
      <c r="B149" t="s">
        <v>22</v>
      </c>
      <c r="C149">
        <v>19</v>
      </c>
      <c r="E149" t="s">
        <v>76</v>
      </c>
      <c r="F149" t="s">
        <v>379</v>
      </c>
      <c r="G149" t="s">
        <v>346</v>
      </c>
      <c r="H149" t="s">
        <v>110</v>
      </c>
      <c r="I149" t="s">
        <v>22</v>
      </c>
      <c r="J149" t="b">
        <v>1</v>
      </c>
      <c r="K149" t="b">
        <v>1</v>
      </c>
      <c r="L149" t="s">
        <v>95</v>
      </c>
      <c r="M149" t="s">
        <v>81</v>
      </c>
      <c r="O149" t="s">
        <v>82</v>
      </c>
      <c r="P149">
        <v>76</v>
      </c>
      <c r="Q149">
        <v>46223</v>
      </c>
      <c r="R149">
        <v>46250</v>
      </c>
      <c r="S149">
        <v>2</v>
      </c>
      <c r="T149">
        <v>152</v>
      </c>
      <c r="U149">
        <v>20</v>
      </c>
      <c r="V149">
        <v>20</v>
      </c>
      <c r="W149">
        <v>20</v>
      </c>
      <c r="X149">
        <v>20</v>
      </c>
      <c r="Y149" t="s">
        <v>111</v>
      </c>
      <c r="Z149" t="s">
        <v>346</v>
      </c>
    </row>
    <row r="150" spans="1:26" hidden="1" x14ac:dyDescent="0.25">
      <c r="A150" t="s">
        <v>380</v>
      </c>
      <c r="B150" t="s">
        <v>22</v>
      </c>
      <c r="C150">
        <v>20</v>
      </c>
      <c r="E150" t="s">
        <v>76</v>
      </c>
      <c r="F150" t="s">
        <v>381</v>
      </c>
      <c r="G150" t="s">
        <v>346</v>
      </c>
      <c r="H150" t="s">
        <v>110</v>
      </c>
      <c r="I150" t="s">
        <v>22</v>
      </c>
      <c r="J150" t="b">
        <v>1</v>
      </c>
      <c r="K150" t="b">
        <v>1</v>
      </c>
      <c r="L150" t="s">
        <v>95</v>
      </c>
      <c r="M150" t="s">
        <v>81</v>
      </c>
      <c r="O150" t="s">
        <v>82</v>
      </c>
      <c r="P150">
        <v>76</v>
      </c>
      <c r="Q150">
        <v>46223</v>
      </c>
      <c r="R150">
        <v>46250</v>
      </c>
      <c r="S150">
        <v>2</v>
      </c>
      <c r="T150">
        <v>152</v>
      </c>
      <c r="U150">
        <v>20</v>
      </c>
      <c r="V150">
        <v>20</v>
      </c>
      <c r="W150">
        <v>20</v>
      </c>
      <c r="X150">
        <v>20</v>
      </c>
      <c r="Y150" t="s">
        <v>111</v>
      </c>
      <c r="Z150" t="s">
        <v>346</v>
      </c>
    </row>
    <row r="151" spans="1:26" hidden="1" x14ac:dyDescent="0.25">
      <c r="A151" t="s">
        <v>382</v>
      </c>
      <c r="B151" t="s">
        <v>22</v>
      </c>
      <c r="C151">
        <v>21</v>
      </c>
      <c r="E151" t="s">
        <v>76</v>
      </c>
      <c r="F151" t="s">
        <v>383</v>
      </c>
      <c r="G151" t="s">
        <v>346</v>
      </c>
      <c r="H151" t="s">
        <v>110</v>
      </c>
      <c r="I151" t="s">
        <v>22</v>
      </c>
      <c r="J151" t="b">
        <v>1</v>
      </c>
      <c r="K151" t="b">
        <v>1</v>
      </c>
      <c r="L151" t="s">
        <v>95</v>
      </c>
      <c r="M151" t="s">
        <v>81</v>
      </c>
      <c r="O151" t="s">
        <v>82</v>
      </c>
      <c r="P151">
        <v>76</v>
      </c>
      <c r="Q151">
        <v>46223</v>
      </c>
      <c r="R151">
        <v>46250</v>
      </c>
      <c r="S151">
        <v>2</v>
      </c>
      <c r="T151">
        <v>152</v>
      </c>
      <c r="U151">
        <v>20</v>
      </c>
      <c r="V151">
        <v>20</v>
      </c>
      <c r="W151">
        <v>20</v>
      </c>
      <c r="X151">
        <v>20</v>
      </c>
      <c r="Y151" t="s">
        <v>111</v>
      </c>
      <c r="Z151" t="s">
        <v>346</v>
      </c>
    </row>
    <row r="152" spans="1:26" hidden="1" x14ac:dyDescent="0.25">
      <c r="A152" t="s">
        <v>384</v>
      </c>
      <c r="B152" t="s">
        <v>22</v>
      </c>
      <c r="C152">
        <v>22</v>
      </c>
      <c r="E152" t="s">
        <v>76</v>
      </c>
      <c r="F152" t="s">
        <v>385</v>
      </c>
      <c r="G152" t="s">
        <v>346</v>
      </c>
      <c r="H152" t="s">
        <v>88</v>
      </c>
      <c r="I152" t="s">
        <v>22</v>
      </c>
      <c r="J152" t="b">
        <v>1</v>
      </c>
      <c r="K152" t="b">
        <v>1</v>
      </c>
      <c r="L152" t="s">
        <v>95</v>
      </c>
      <c r="M152" t="s">
        <v>81</v>
      </c>
      <c r="O152" t="s">
        <v>89</v>
      </c>
      <c r="P152">
        <v>76</v>
      </c>
      <c r="Q152">
        <v>46223</v>
      </c>
      <c r="R152">
        <v>46250</v>
      </c>
      <c r="S152">
        <v>2</v>
      </c>
      <c r="T152">
        <v>152</v>
      </c>
      <c r="U152">
        <v>20</v>
      </c>
      <c r="V152">
        <v>20</v>
      </c>
      <c r="W152">
        <v>20</v>
      </c>
      <c r="X152">
        <v>20</v>
      </c>
      <c r="Y152" t="s">
        <v>89</v>
      </c>
      <c r="Z152" t="s">
        <v>346</v>
      </c>
    </row>
    <row r="153" spans="1:26" hidden="1" x14ac:dyDescent="0.25">
      <c r="A153" t="s">
        <v>386</v>
      </c>
      <c r="B153" t="s">
        <v>31</v>
      </c>
      <c r="C153">
        <v>23</v>
      </c>
      <c r="E153" t="s">
        <v>76</v>
      </c>
      <c r="F153" t="s">
        <v>387</v>
      </c>
      <c r="G153" t="s">
        <v>346</v>
      </c>
      <c r="H153" t="s">
        <v>79</v>
      </c>
      <c r="I153" t="s">
        <v>31</v>
      </c>
      <c r="J153" t="b">
        <v>1</v>
      </c>
      <c r="K153" t="b">
        <v>1</v>
      </c>
      <c r="L153" t="s">
        <v>95</v>
      </c>
      <c r="M153" t="s">
        <v>81</v>
      </c>
      <c r="O153" t="s">
        <v>82</v>
      </c>
      <c r="P153">
        <v>38</v>
      </c>
      <c r="Q153">
        <v>46223</v>
      </c>
      <c r="R153">
        <v>46250</v>
      </c>
      <c r="S153">
        <v>2</v>
      </c>
      <c r="T153">
        <v>76</v>
      </c>
      <c r="U153">
        <v>10</v>
      </c>
      <c r="V153">
        <v>10</v>
      </c>
      <c r="W153">
        <v>20</v>
      </c>
      <c r="X153">
        <v>10</v>
      </c>
      <c r="Y153" t="s">
        <v>83</v>
      </c>
      <c r="Z153" t="s">
        <v>346</v>
      </c>
    </row>
    <row r="154" spans="1:26" hidden="1" x14ac:dyDescent="0.25">
      <c r="A154" t="s">
        <v>388</v>
      </c>
      <c r="B154" t="s">
        <v>29</v>
      </c>
      <c r="C154">
        <v>24</v>
      </c>
      <c r="E154" t="s">
        <v>76</v>
      </c>
      <c r="F154" t="s">
        <v>389</v>
      </c>
      <c r="G154" t="s">
        <v>346</v>
      </c>
      <c r="H154" t="s">
        <v>110</v>
      </c>
      <c r="I154" t="s">
        <v>29</v>
      </c>
      <c r="J154" t="b">
        <v>1</v>
      </c>
      <c r="K154" t="b">
        <v>1</v>
      </c>
      <c r="L154" t="s">
        <v>95</v>
      </c>
      <c r="M154" t="s">
        <v>81</v>
      </c>
      <c r="O154" t="s">
        <v>82</v>
      </c>
      <c r="P154">
        <v>76</v>
      </c>
      <c r="Q154">
        <v>46223</v>
      </c>
      <c r="R154">
        <v>46250</v>
      </c>
      <c r="S154">
        <v>2</v>
      </c>
      <c r="T154">
        <v>152</v>
      </c>
      <c r="U154">
        <v>20</v>
      </c>
      <c r="V154">
        <v>20</v>
      </c>
      <c r="W154">
        <v>20</v>
      </c>
      <c r="X154">
        <v>20</v>
      </c>
      <c r="Y154" t="s">
        <v>111</v>
      </c>
      <c r="Z154" t="s">
        <v>346</v>
      </c>
    </row>
    <row r="155" spans="1:26" hidden="1" x14ac:dyDescent="0.25">
      <c r="A155" t="s">
        <v>390</v>
      </c>
      <c r="B155" t="s">
        <v>29</v>
      </c>
      <c r="C155">
        <v>25</v>
      </c>
      <c r="E155" t="s">
        <v>76</v>
      </c>
      <c r="F155" t="s">
        <v>391</v>
      </c>
      <c r="G155" t="s">
        <v>346</v>
      </c>
      <c r="H155" t="s">
        <v>79</v>
      </c>
      <c r="I155" t="s">
        <v>29</v>
      </c>
      <c r="J155" t="b">
        <v>1</v>
      </c>
      <c r="K155" t="b">
        <v>1</v>
      </c>
      <c r="L155" t="s">
        <v>95</v>
      </c>
      <c r="M155" t="s">
        <v>81</v>
      </c>
      <c r="O155" t="s">
        <v>82</v>
      </c>
      <c r="P155">
        <v>72</v>
      </c>
      <c r="Q155">
        <v>46223</v>
      </c>
      <c r="R155">
        <v>46250</v>
      </c>
      <c r="S155">
        <v>2</v>
      </c>
      <c r="T155">
        <v>144</v>
      </c>
      <c r="U155">
        <v>18.947368421052634</v>
      </c>
      <c r="V155">
        <v>18</v>
      </c>
      <c r="W155">
        <v>20</v>
      </c>
      <c r="X155">
        <v>18</v>
      </c>
      <c r="Y155" t="s">
        <v>83</v>
      </c>
      <c r="Z155" t="s">
        <v>346</v>
      </c>
    </row>
    <row r="156" spans="1:26" hidden="1" x14ac:dyDescent="0.25">
      <c r="A156" t="s">
        <v>392</v>
      </c>
      <c r="B156" t="s">
        <v>22</v>
      </c>
      <c r="C156">
        <v>26</v>
      </c>
      <c r="E156" t="s">
        <v>76</v>
      </c>
      <c r="F156" t="s">
        <v>393</v>
      </c>
      <c r="G156" t="s">
        <v>346</v>
      </c>
      <c r="H156" t="s">
        <v>79</v>
      </c>
      <c r="I156" t="s">
        <v>22</v>
      </c>
      <c r="J156" t="b">
        <v>1</v>
      </c>
      <c r="K156" t="b">
        <v>1</v>
      </c>
      <c r="L156" t="s">
        <v>95</v>
      </c>
      <c r="M156" t="s">
        <v>81</v>
      </c>
      <c r="O156" t="s">
        <v>82</v>
      </c>
      <c r="P156">
        <v>64</v>
      </c>
      <c r="Q156">
        <v>46223</v>
      </c>
      <c r="R156">
        <v>46250</v>
      </c>
      <c r="S156">
        <v>2</v>
      </c>
      <c r="T156">
        <v>128</v>
      </c>
      <c r="U156">
        <v>16.842105263157894</v>
      </c>
      <c r="V156">
        <v>16</v>
      </c>
      <c r="W156">
        <v>20</v>
      </c>
      <c r="X156">
        <v>16</v>
      </c>
      <c r="Y156" t="s">
        <v>83</v>
      </c>
      <c r="Z156" t="s">
        <v>346</v>
      </c>
    </row>
    <row r="157" spans="1:26" hidden="1" x14ac:dyDescent="0.25">
      <c r="A157" t="s">
        <v>394</v>
      </c>
      <c r="B157" t="s">
        <v>22</v>
      </c>
      <c r="C157">
        <v>27</v>
      </c>
      <c r="D157" t="s">
        <v>40</v>
      </c>
      <c r="E157" t="s">
        <v>76</v>
      </c>
      <c r="F157" t="s">
        <v>395</v>
      </c>
      <c r="G157" t="s">
        <v>346</v>
      </c>
      <c r="H157" t="s">
        <v>79</v>
      </c>
      <c r="I157" t="s">
        <v>22</v>
      </c>
      <c r="J157" t="b">
        <v>1</v>
      </c>
      <c r="K157" t="b">
        <v>1</v>
      </c>
      <c r="L157" t="s">
        <v>95</v>
      </c>
      <c r="M157" t="s">
        <v>81</v>
      </c>
      <c r="O157" t="s">
        <v>82</v>
      </c>
      <c r="P157">
        <v>40</v>
      </c>
      <c r="Q157">
        <v>46223</v>
      </c>
      <c r="R157">
        <v>46250</v>
      </c>
      <c r="S157">
        <v>2</v>
      </c>
      <c r="T157">
        <v>80</v>
      </c>
      <c r="U157">
        <v>10.526315789473683</v>
      </c>
      <c r="V157">
        <v>10</v>
      </c>
      <c r="W157">
        <v>20</v>
      </c>
      <c r="X157">
        <v>10</v>
      </c>
      <c r="Y157" t="s">
        <v>83</v>
      </c>
      <c r="Z157" t="s">
        <v>346</v>
      </c>
    </row>
    <row r="158" spans="1:26" hidden="1" x14ac:dyDescent="0.25">
      <c r="A158" t="s">
        <v>224</v>
      </c>
      <c r="B158" t="s">
        <v>22</v>
      </c>
      <c r="C158">
        <v>28</v>
      </c>
      <c r="D158" t="s">
        <v>40</v>
      </c>
      <c r="E158" t="s">
        <v>76</v>
      </c>
      <c r="F158" t="s">
        <v>225</v>
      </c>
      <c r="G158" t="s">
        <v>346</v>
      </c>
      <c r="H158" t="s">
        <v>88</v>
      </c>
      <c r="I158" t="s">
        <v>22</v>
      </c>
      <c r="J158" t="b">
        <v>0</v>
      </c>
      <c r="K158" t="b">
        <v>1</v>
      </c>
      <c r="L158" t="s">
        <v>80</v>
      </c>
      <c r="M158" t="s">
        <v>81</v>
      </c>
      <c r="O158" t="s">
        <v>89</v>
      </c>
      <c r="P158">
        <v>76</v>
      </c>
      <c r="Q158">
        <v>46223</v>
      </c>
      <c r="R158">
        <v>46250</v>
      </c>
      <c r="S158">
        <v>2</v>
      </c>
      <c r="T158">
        <v>152</v>
      </c>
      <c r="U158">
        <v>20</v>
      </c>
      <c r="V158">
        <v>20</v>
      </c>
      <c r="W158">
        <v>20</v>
      </c>
      <c r="X158">
        <v>20</v>
      </c>
      <c r="Y158" t="s">
        <v>89</v>
      </c>
      <c r="Z158" t="s">
        <v>346</v>
      </c>
    </row>
    <row r="159" spans="1:26" hidden="1" x14ac:dyDescent="0.25">
      <c r="A159" t="s">
        <v>396</v>
      </c>
      <c r="B159" t="s">
        <v>22</v>
      </c>
      <c r="C159">
        <v>29</v>
      </c>
      <c r="E159" t="s">
        <v>76</v>
      </c>
      <c r="F159" t="s">
        <v>397</v>
      </c>
      <c r="G159" t="s">
        <v>346</v>
      </c>
      <c r="H159" t="s">
        <v>79</v>
      </c>
      <c r="I159" t="s">
        <v>22</v>
      </c>
      <c r="J159" t="b">
        <v>1</v>
      </c>
      <c r="K159" t="b">
        <v>1</v>
      </c>
      <c r="L159" t="s">
        <v>95</v>
      </c>
      <c r="M159" t="s">
        <v>81</v>
      </c>
      <c r="O159" t="s">
        <v>82</v>
      </c>
      <c r="P159">
        <v>64</v>
      </c>
      <c r="Q159">
        <v>46223</v>
      </c>
      <c r="R159">
        <v>46250</v>
      </c>
      <c r="S159">
        <v>2</v>
      </c>
      <c r="T159">
        <v>128</v>
      </c>
      <c r="U159">
        <v>16.842105263157894</v>
      </c>
      <c r="V159">
        <v>16</v>
      </c>
      <c r="W159">
        <v>20</v>
      </c>
      <c r="X159">
        <v>16</v>
      </c>
      <c r="Y159" t="s">
        <v>83</v>
      </c>
      <c r="Z159" t="s">
        <v>346</v>
      </c>
    </row>
    <row r="160" spans="1:26" hidden="1" x14ac:dyDescent="0.25">
      <c r="A160" t="s">
        <v>398</v>
      </c>
      <c r="B160" t="s">
        <v>22</v>
      </c>
      <c r="C160">
        <v>30</v>
      </c>
      <c r="E160" t="s">
        <v>76</v>
      </c>
      <c r="F160" t="s">
        <v>399</v>
      </c>
      <c r="G160" t="s">
        <v>346</v>
      </c>
      <c r="H160" t="s">
        <v>79</v>
      </c>
      <c r="I160" t="s">
        <v>22</v>
      </c>
      <c r="J160" t="b">
        <v>1</v>
      </c>
      <c r="K160" t="b">
        <v>1</v>
      </c>
      <c r="L160" t="s">
        <v>95</v>
      </c>
      <c r="M160" t="s">
        <v>81</v>
      </c>
      <c r="O160" t="s">
        <v>82</v>
      </c>
      <c r="P160">
        <v>64</v>
      </c>
      <c r="Q160">
        <v>46223</v>
      </c>
      <c r="R160">
        <v>46250</v>
      </c>
      <c r="S160">
        <v>2</v>
      </c>
      <c r="T160">
        <v>128</v>
      </c>
      <c r="U160">
        <v>16.842105263157894</v>
      </c>
      <c r="V160">
        <v>16</v>
      </c>
      <c r="W160">
        <v>20</v>
      </c>
      <c r="X160">
        <v>16</v>
      </c>
      <c r="Y160" t="s">
        <v>83</v>
      </c>
      <c r="Z160" t="s">
        <v>346</v>
      </c>
    </row>
    <row r="161" spans="1:26" hidden="1" x14ac:dyDescent="0.25">
      <c r="A161" t="s">
        <v>238</v>
      </c>
      <c r="B161" t="s">
        <v>22</v>
      </c>
      <c r="C161">
        <v>31</v>
      </c>
      <c r="D161" t="s">
        <v>40</v>
      </c>
      <c r="E161" t="s">
        <v>76</v>
      </c>
      <c r="F161" t="s">
        <v>239</v>
      </c>
      <c r="G161" t="s">
        <v>346</v>
      </c>
      <c r="H161" t="s">
        <v>88</v>
      </c>
      <c r="I161" t="s">
        <v>22</v>
      </c>
      <c r="J161" t="b">
        <v>0</v>
      </c>
      <c r="K161" t="b">
        <v>1</v>
      </c>
      <c r="L161" t="s">
        <v>80</v>
      </c>
      <c r="M161" t="s">
        <v>81</v>
      </c>
      <c r="O161" t="s">
        <v>89</v>
      </c>
      <c r="P161">
        <v>76</v>
      </c>
      <c r="Q161">
        <v>46223</v>
      </c>
      <c r="R161">
        <v>46250</v>
      </c>
      <c r="S161">
        <v>2</v>
      </c>
      <c r="T161">
        <v>152</v>
      </c>
      <c r="U161">
        <v>20</v>
      </c>
      <c r="V161">
        <v>20</v>
      </c>
      <c r="W161">
        <v>20</v>
      </c>
      <c r="X161">
        <v>20</v>
      </c>
      <c r="Y161" t="s">
        <v>89</v>
      </c>
      <c r="Z161" t="s">
        <v>346</v>
      </c>
    </row>
    <row r="162" spans="1:26" hidden="1" x14ac:dyDescent="0.25">
      <c r="A162" t="s">
        <v>400</v>
      </c>
      <c r="B162" t="s">
        <v>22</v>
      </c>
      <c r="C162">
        <v>32</v>
      </c>
      <c r="E162" t="s">
        <v>76</v>
      </c>
      <c r="F162" t="s">
        <v>401</v>
      </c>
      <c r="G162" t="s">
        <v>346</v>
      </c>
      <c r="H162" t="s">
        <v>79</v>
      </c>
      <c r="I162" t="s">
        <v>22</v>
      </c>
      <c r="J162" t="b">
        <v>1</v>
      </c>
      <c r="K162" t="b">
        <v>1</v>
      </c>
      <c r="L162" t="s">
        <v>95</v>
      </c>
      <c r="M162" t="s">
        <v>81</v>
      </c>
      <c r="O162" t="s">
        <v>82</v>
      </c>
      <c r="P162">
        <v>30</v>
      </c>
      <c r="Q162">
        <v>46223</v>
      </c>
      <c r="R162">
        <v>46250</v>
      </c>
      <c r="S162">
        <v>2</v>
      </c>
      <c r="T162">
        <v>60</v>
      </c>
      <c r="U162">
        <v>7.8947368421052637</v>
      </c>
      <c r="V162">
        <v>7</v>
      </c>
      <c r="W162">
        <v>20</v>
      </c>
      <c r="X162">
        <v>7</v>
      </c>
      <c r="Y162" t="s">
        <v>83</v>
      </c>
      <c r="Z162" t="s">
        <v>346</v>
      </c>
    </row>
    <row r="163" spans="1:26" hidden="1" x14ac:dyDescent="0.25">
      <c r="A163" t="s">
        <v>258</v>
      </c>
      <c r="B163" t="s">
        <v>22</v>
      </c>
      <c r="C163">
        <v>33</v>
      </c>
      <c r="D163" t="s">
        <v>40</v>
      </c>
      <c r="E163" t="s">
        <v>76</v>
      </c>
      <c r="F163" t="s">
        <v>259</v>
      </c>
      <c r="G163" t="s">
        <v>346</v>
      </c>
      <c r="H163" t="s">
        <v>79</v>
      </c>
      <c r="I163" t="s">
        <v>22</v>
      </c>
      <c r="J163" t="b">
        <v>0</v>
      </c>
      <c r="K163" t="b">
        <v>1</v>
      </c>
      <c r="L163" t="s">
        <v>80</v>
      </c>
      <c r="M163" t="s">
        <v>81</v>
      </c>
      <c r="O163" t="s">
        <v>82</v>
      </c>
      <c r="P163">
        <v>32</v>
      </c>
      <c r="Q163">
        <v>46223</v>
      </c>
      <c r="R163">
        <v>46250</v>
      </c>
      <c r="S163">
        <v>2</v>
      </c>
      <c r="T163">
        <v>64</v>
      </c>
      <c r="U163">
        <v>8.4210526315789469</v>
      </c>
      <c r="V163">
        <v>8</v>
      </c>
      <c r="W163">
        <v>20</v>
      </c>
      <c r="X163">
        <v>8</v>
      </c>
      <c r="Y163" t="s">
        <v>83</v>
      </c>
      <c r="Z163" t="s">
        <v>346</v>
      </c>
    </row>
    <row r="164" spans="1:26" hidden="1" x14ac:dyDescent="0.25">
      <c r="A164" t="s">
        <v>402</v>
      </c>
      <c r="B164" t="s">
        <v>22</v>
      </c>
      <c r="C164">
        <v>34</v>
      </c>
      <c r="E164" t="s">
        <v>76</v>
      </c>
      <c r="F164" t="s">
        <v>403</v>
      </c>
      <c r="G164" t="s">
        <v>346</v>
      </c>
      <c r="H164" t="s">
        <v>110</v>
      </c>
      <c r="I164" t="s">
        <v>22</v>
      </c>
      <c r="J164" t="b">
        <v>1</v>
      </c>
      <c r="K164" t="b">
        <v>1</v>
      </c>
      <c r="L164" t="s">
        <v>95</v>
      </c>
      <c r="M164" t="s">
        <v>81</v>
      </c>
      <c r="O164" t="s">
        <v>82</v>
      </c>
      <c r="P164">
        <v>76</v>
      </c>
      <c r="Q164">
        <v>46223</v>
      </c>
      <c r="R164">
        <v>46250</v>
      </c>
      <c r="S164">
        <v>2</v>
      </c>
      <c r="T164">
        <v>152</v>
      </c>
      <c r="U164">
        <v>20</v>
      </c>
      <c r="V164">
        <v>20</v>
      </c>
      <c r="W164">
        <v>20</v>
      </c>
      <c r="X164">
        <v>20</v>
      </c>
      <c r="Y164" t="s">
        <v>111</v>
      </c>
      <c r="Z164" t="s">
        <v>346</v>
      </c>
    </row>
    <row r="165" spans="1:26" hidden="1" x14ac:dyDescent="0.25">
      <c r="A165" t="s">
        <v>404</v>
      </c>
      <c r="B165" t="s">
        <v>22</v>
      </c>
      <c r="C165">
        <v>35</v>
      </c>
      <c r="E165" t="s">
        <v>76</v>
      </c>
      <c r="F165" t="s">
        <v>405</v>
      </c>
      <c r="G165" t="s">
        <v>346</v>
      </c>
      <c r="H165" t="s">
        <v>79</v>
      </c>
      <c r="I165" t="s">
        <v>22</v>
      </c>
      <c r="J165" t="b">
        <v>1</v>
      </c>
      <c r="K165" t="b">
        <v>0</v>
      </c>
      <c r="L165" t="s">
        <v>92</v>
      </c>
      <c r="M165" t="s">
        <v>81</v>
      </c>
      <c r="O165" t="s">
        <v>82</v>
      </c>
      <c r="P165">
        <v>40</v>
      </c>
      <c r="Q165">
        <v>46223</v>
      </c>
      <c r="R165">
        <v>46250</v>
      </c>
      <c r="S165">
        <v>2</v>
      </c>
      <c r="T165">
        <v>80</v>
      </c>
      <c r="U165">
        <v>10.526315789473683</v>
      </c>
      <c r="V165">
        <v>10</v>
      </c>
      <c r="W165">
        <v>20</v>
      </c>
      <c r="X165">
        <v>10</v>
      </c>
      <c r="Y165" t="s">
        <v>83</v>
      </c>
      <c r="Z165" t="s">
        <v>346</v>
      </c>
    </row>
    <row r="166" spans="1:26" hidden="1" x14ac:dyDescent="0.25">
      <c r="A166" t="s">
        <v>406</v>
      </c>
      <c r="B166" t="s">
        <v>31</v>
      </c>
      <c r="C166">
        <v>36</v>
      </c>
      <c r="E166" t="s">
        <v>76</v>
      </c>
      <c r="F166" t="s">
        <v>407</v>
      </c>
      <c r="G166" t="s">
        <v>346</v>
      </c>
      <c r="H166" t="s">
        <v>79</v>
      </c>
      <c r="I166" t="s">
        <v>31</v>
      </c>
      <c r="J166" t="b">
        <v>1</v>
      </c>
      <c r="K166" t="b">
        <v>1</v>
      </c>
      <c r="L166" t="s">
        <v>95</v>
      </c>
      <c r="M166" t="s">
        <v>81</v>
      </c>
      <c r="O166" t="s">
        <v>82</v>
      </c>
      <c r="P166">
        <v>68</v>
      </c>
      <c r="Q166">
        <v>46223</v>
      </c>
      <c r="R166">
        <v>46250</v>
      </c>
      <c r="S166">
        <v>2</v>
      </c>
      <c r="T166">
        <v>136</v>
      </c>
      <c r="U166">
        <v>17.894736842105264</v>
      </c>
      <c r="V166">
        <v>17</v>
      </c>
      <c r="W166">
        <v>20</v>
      </c>
      <c r="X166">
        <v>17</v>
      </c>
      <c r="Y166" t="s">
        <v>83</v>
      </c>
      <c r="Z166" t="s">
        <v>346</v>
      </c>
    </row>
    <row r="167" spans="1:26" hidden="1" x14ac:dyDescent="0.25">
      <c r="A167" t="s">
        <v>408</v>
      </c>
      <c r="B167" t="s">
        <v>22</v>
      </c>
      <c r="C167">
        <v>37</v>
      </c>
      <c r="E167" t="s">
        <v>76</v>
      </c>
      <c r="F167" t="s">
        <v>409</v>
      </c>
      <c r="G167" t="s">
        <v>346</v>
      </c>
      <c r="H167" t="s">
        <v>79</v>
      </c>
      <c r="I167" t="s">
        <v>22</v>
      </c>
      <c r="J167" t="b">
        <v>1</v>
      </c>
      <c r="K167" t="b">
        <v>0</v>
      </c>
      <c r="L167" t="s">
        <v>92</v>
      </c>
      <c r="M167" t="s">
        <v>81</v>
      </c>
      <c r="O167" t="s">
        <v>82</v>
      </c>
      <c r="P167">
        <v>64</v>
      </c>
      <c r="Q167">
        <v>46223</v>
      </c>
      <c r="R167">
        <v>46250</v>
      </c>
      <c r="S167">
        <v>2</v>
      </c>
      <c r="T167">
        <v>128</v>
      </c>
      <c r="U167">
        <v>16.842105263157894</v>
      </c>
      <c r="V167">
        <v>16</v>
      </c>
      <c r="W167">
        <v>20</v>
      </c>
      <c r="X167">
        <v>16</v>
      </c>
      <c r="Y167" t="s">
        <v>83</v>
      </c>
      <c r="Z167" t="s">
        <v>346</v>
      </c>
    </row>
    <row r="168" spans="1:26" hidden="1" x14ac:dyDescent="0.25">
      <c r="A168" t="s">
        <v>410</v>
      </c>
      <c r="B168" t="s">
        <v>22</v>
      </c>
      <c r="C168">
        <v>38</v>
      </c>
      <c r="E168" t="s">
        <v>76</v>
      </c>
      <c r="F168" t="s">
        <v>411</v>
      </c>
      <c r="G168" t="s">
        <v>346</v>
      </c>
      <c r="H168" t="s">
        <v>88</v>
      </c>
      <c r="I168" t="s">
        <v>22</v>
      </c>
      <c r="J168" t="b">
        <v>1</v>
      </c>
      <c r="K168" t="b">
        <v>0</v>
      </c>
      <c r="L168" t="s">
        <v>92</v>
      </c>
      <c r="M168" t="s">
        <v>81</v>
      </c>
      <c r="O168" t="s">
        <v>89</v>
      </c>
      <c r="P168">
        <v>76</v>
      </c>
      <c r="Q168">
        <v>46223</v>
      </c>
      <c r="R168">
        <v>46250</v>
      </c>
      <c r="S168">
        <v>2</v>
      </c>
      <c r="T168">
        <v>152</v>
      </c>
      <c r="U168">
        <v>20</v>
      </c>
      <c r="V168">
        <v>20</v>
      </c>
      <c r="W168">
        <v>20</v>
      </c>
      <c r="X168">
        <v>20</v>
      </c>
      <c r="Y168" t="s">
        <v>89</v>
      </c>
      <c r="Z168" t="s">
        <v>346</v>
      </c>
    </row>
    <row r="169" spans="1:26" hidden="1" x14ac:dyDescent="0.25">
      <c r="A169" t="s">
        <v>412</v>
      </c>
      <c r="B169" t="s">
        <v>22</v>
      </c>
      <c r="C169">
        <v>39</v>
      </c>
      <c r="E169" t="s">
        <v>76</v>
      </c>
      <c r="F169" t="s">
        <v>413</v>
      </c>
      <c r="G169" t="s">
        <v>346</v>
      </c>
      <c r="H169" t="s">
        <v>79</v>
      </c>
      <c r="I169" t="s">
        <v>22</v>
      </c>
      <c r="J169" t="b">
        <v>1</v>
      </c>
      <c r="K169" t="b">
        <v>1</v>
      </c>
      <c r="L169" t="s">
        <v>95</v>
      </c>
      <c r="M169" t="s">
        <v>81</v>
      </c>
      <c r="O169" t="s">
        <v>82</v>
      </c>
      <c r="P169">
        <v>72</v>
      </c>
      <c r="Q169">
        <v>46223</v>
      </c>
      <c r="R169">
        <v>46250</v>
      </c>
      <c r="S169">
        <v>2</v>
      </c>
      <c r="T169">
        <v>144</v>
      </c>
      <c r="U169">
        <v>18.947368421052634</v>
      </c>
      <c r="V169">
        <v>18</v>
      </c>
      <c r="W169">
        <v>20</v>
      </c>
      <c r="X169">
        <v>18</v>
      </c>
      <c r="Y169" t="s">
        <v>83</v>
      </c>
      <c r="Z169" t="s">
        <v>346</v>
      </c>
    </row>
    <row r="170" spans="1:26" hidden="1" x14ac:dyDescent="0.25">
      <c r="A170" t="s">
        <v>414</v>
      </c>
      <c r="B170" t="s">
        <v>22</v>
      </c>
      <c r="C170">
        <v>40</v>
      </c>
      <c r="D170" t="s">
        <v>40</v>
      </c>
      <c r="E170" t="s">
        <v>76</v>
      </c>
      <c r="F170" t="s">
        <v>415</v>
      </c>
      <c r="G170" t="s">
        <v>346</v>
      </c>
      <c r="H170" t="s">
        <v>88</v>
      </c>
      <c r="I170" t="s">
        <v>22</v>
      </c>
      <c r="J170" t="b">
        <v>0</v>
      </c>
      <c r="K170" t="b">
        <v>1</v>
      </c>
      <c r="L170" t="s">
        <v>80</v>
      </c>
      <c r="M170" t="s">
        <v>81</v>
      </c>
      <c r="O170" t="s">
        <v>89</v>
      </c>
      <c r="P170">
        <v>76</v>
      </c>
      <c r="Q170">
        <v>46223</v>
      </c>
      <c r="R170">
        <v>46250</v>
      </c>
      <c r="S170">
        <v>2</v>
      </c>
      <c r="T170">
        <v>152</v>
      </c>
      <c r="U170">
        <v>20</v>
      </c>
      <c r="V170">
        <v>20</v>
      </c>
      <c r="W170">
        <v>20</v>
      </c>
      <c r="X170">
        <v>20</v>
      </c>
      <c r="Y170" t="s">
        <v>89</v>
      </c>
      <c r="Z170" t="s">
        <v>346</v>
      </c>
    </row>
    <row r="171" spans="1:26" hidden="1" x14ac:dyDescent="0.25">
      <c r="A171" t="s">
        <v>416</v>
      </c>
      <c r="B171" t="s">
        <v>29</v>
      </c>
      <c r="C171">
        <v>41</v>
      </c>
      <c r="E171" t="s">
        <v>76</v>
      </c>
      <c r="F171" t="s">
        <v>417</v>
      </c>
      <c r="G171" t="s">
        <v>346</v>
      </c>
      <c r="H171" t="s">
        <v>110</v>
      </c>
      <c r="I171" t="s">
        <v>29</v>
      </c>
      <c r="J171" t="b">
        <v>1</v>
      </c>
      <c r="K171" t="b">
        <v>0</v>
      </c>
      <c r="L171" t="s">
        <v>92</v>
      </c>
      <c r="M171" t="s">
        <v>81</v>
      </c>
      <c r="O171" t="s">
        <v>82</v>
      </c>
      <c r="P171">
        <v>76</v>
      </c>
      <c r="Q171">
        <v>46223</v>
      </c>
      <c r="R171">
        <v>46250</v>
      </c>
      <c r="S171">
        <v>2</v>
      </c>
      <c r="T171">
        <v>152</v>
      </c>
      <c r="U171">
        <v>20</v>
      </c>
      <c r="V171">
        <v>20</v>
      </c>
      <c r="W171">
        <v>20</v>
      </c>
      <c r="X171">
        <v>20</v>
      </c>
      <c r="Y171" t="s">
        <v>111</v>
      </c>
      <c r="Z171" t="s">
        <v>346</v>
      </c>
    </row>
    <row r="172" spans="1:26" hidden="1" x14ac:dyDescent="0.25">
      <c r="A172" t="s">
        <v>418</v>
      </c>
      <c r="B172" t="s">
        <v>29</v>
      </c>
      <c r="C172">
        <v>42</v>
      </c>
      <c r="E172" t="s">
        <v>76</v>
      </c>
      <c r="F172" t="s">
        <v>419</v>
      </c>
      <c r="G172" t="s">
        <v>346</v>
      </c>
      <c r="H172" t="s">
        <v>79</v>
      </c>
      <c r="I172" t="s">
        <v>29</v>
      </c>
      <c r="J172" t="b">
        <v>1</v>
      </c>
      <c r="K172" t="b">
        <v>1</v>
      </c>
      <c r="L172" t="s">
        <v>95</v>
      </c>
      <c r="M172" t="s">
        <v>81</v>
      </c>
      <c r="O172" t="s">
        <v>82</v>
      </c>
      <c r="P172">
        <v>72</v>
      </c>
      <c r="Q172">
        <v>46223</v>
      </c>
      <c r="R172">
        <v>46250</v>
      </c>
      <c r="S172">
        <v>2</v>
      </c>
      <c r="T172">
        <v>144</v>
      </c>
      <c r="U172">
        <v>18.947368421052634</v>
      </c>
      <c r="V172">
        <v>18</v>
      </c>
      <c r="W172">
        <v>20</v>
      </c>
      <c r="X172">
        <v>18</v>
      </c>
      <c r="Y172" t="s">
        <v>83</v>
      </c>
      <c r="Z172" t="s">
        <v>346</v>
      </c>
    </row>
    <row r="173" spans="1:26" hidden="1" x14ac:dyDescent="0.25">
      <c r="A173" t="s">
        <v>420</v>
      </c>
      <c r="B173" t="s">
        <v>29</v>
      </c>
      <c r="C173">
        <v>43</v>
      </c>
      <c r="E173" t="s">
        <v>76</v>
      </c>
      <c r="F173" t="s">
        <v>421</v>
      </c>
      <c r="G173" t="s">
        <v>346</v>
      </c>
      <c r="H173" t="s">
        <v>110</v>
      </c>
      <c r="I173" t="s">
        <v>29</v>
      </c>
      <c r="J173" t="b">
        <v>1</v>
      </c>
      <c r="K173" t="b">
        <v>1</v>
      </c>
      <c r="L173" t="s">
        <v>95</v>
      </c>
      <c r="M173" t="s">
        <v>81</v>
      </c>
      <c r="O173" t="s">
        <v>82</v>
      </c>
      <c r="P173">
        <v>76</v>
      </c>
      <c r="Q173">
        <v>46223</v>
      </c>
      <c r="R173">
        <v>46250</v>
      </c>
      <c r="S173">
        <v>2</v>
      </c>
      <c r="T173">
        <v>152</v>
      </c>
      <c r="U173">
        <v>20</v>
      </c>
      <c r="V173">
        <v>20</v>
      </c>
      <c r="W173">
        <v>20</v>
      </c>
      <c r="X173">
        <v>20</v>
      </c>
      <c r="Y173" t="s">
        <v>111</v>
      </c>
      <c r="Z173" t="s">
        <v>346</v>
      </c>
    </row>
    <row r="174" spans="1:26" hidden="1" x14ac:dyDescent="0.25">
      <c r="A174" t="s">
        <v>422</v>
      </c>
      <c r="B174" t="s">
        <v>22</v>
      </c>
      <c r="C174">
        <v>44</v>
      </c>
      <c r="D174" t="s">
        <v>40</v>
      </c>
      <c r="E174" t="s">
        <v>76</v>
      </c>
      <c r="F174" t="s">
        <v>423</v>
      </c>
      <c r="G174" t="s">
        <v>346</v>
      </c>
      <c r="H174" t="s">
        <v>88</v>
      </c>
      <c r="I174" t="s">
        <v>22</v>
      </c>
      <c r="J174" t="b">
        <v>0</v>
      </c>
      <c r="K174" t="b">
        <v>1</v>
      </c>
      <c r="L174" t="s">
        <v>80</v>
      </c>
      <c r="M174" t="s">
        <v>81</v>
      </c>
      <c r="O174" t="s">
        <v>89</v>
      </c>
      <c r="P174">
        <v>76</v>
      </c>
      <c r="Q174">
        <v>46223</v>
      </c>
      <c r="R174">
        <v>46250</v>
      </c>
      <c r="S174">
        <v>2</v>
      </c>
      <c r="T174">
        <v>152</v>
      </c>
      <c r="U174">
        <v>20</v>
      </c>
      <c r="V174">
        <v>20</v>
      </c>
      <c r="W174">
        <v>20</v>
      </c>
      <c r="X174">
        <v>20</v>
      </c>
      <c r="Y174" t="s">
        <v>89</v>
      </c>
      <c r="Z174" t="s">
        <v>346</v>
      </c>
    </row>
    <row r="175" spans="1:26" hidden="1" x14ac:dyDescent="0.25">
      <c r="A175" t="s">
        <v>424</v>
      </c>
      <c r="B175" t="s">
        <v>22</v>
      </c>
      <c r="C175">
        <v>45</v>
      </c>
      <c r="D175" t="s">
        <v>40</v>
      </c>
      <c r="E175" t="s">
        <v>76</v>
      </c>
      <c r="F175" t="s">
        <v>425</v>
      </c>
      <c r="G175" t="s">
        <v>346</v>
      </c>
      <c r="H175" t="s">
        <v>110</v>
      </c>
      <c r="I175" t="s">
        <v>22</v>
      </c>
      <c r="J175" t="b">
        <v>0</v>
      </c>
      <c r="K175" t="b">
        <v>1</v>
      </c>
      <c r="L175" t="s">
        <v>80</v>
      </c>
      <c r="M175" t="s">
        <v>81</v>
      </c>
      <c r="O175" t="s">
        <v>82</v>
      </c>
      <c r="P175">
        <v>76</v>
      </c>
      <c r="Q175">
        <v>46223</v>
      </c>
      <c r="R175">
        <v>46250</v>
      </c>
      <c r="S175">
        <v>2</v>
      </c>
      <c r="T175">
        <v>152</v>
      </c>
      <c r="U175">
        <v>20</v>
      </c>
      <c r="V175">
        <v>20</v>
      </c>
      <c r="W175">
        <v>20</v>
      </c>
      <c r="X175">
        <v>20</v>
      </c>
      <c r="Y175" t="s">
        <v>111</v>
      </c>
      <c r="Z175" t="s">
        <v>346</v>
      </c>
    </row>
    <row r="176" spans="1:26" hidden="1" x14ac:dyDescent="0.25">
      <c r="A176" t="s">
        <v>426</v>
      </c>
      <c r="B176" t="s">
        <v>22</v>
      </c>
      <c r="C176">
        <v>46</v>
      </c>
      <c r="E176" t="s">
        <v>76</v>
      </c>
      <c r="F176" t="s">
        <v>427</v>
      </c>
      <c r="G176" t="s">
        <v>346</v>
      </c>
      <c r="H176" t="s">
        <v>88</v>
      </c>
      <c r="I176" t="s">
        <v>22</v>
      </c>
      <c r="J176" t="b">
        <v>1</v>
      </c>
      <c r="K176" t="b">
        <v>0</v>
      </c>
      <c r="L176" t="s">
        <v>92</v>
      </c>
      <c r="M176" t="s">
        <v>81</v>
      </c>
      <c r="O176" t="s">
        <v>89</v>
      </c>
      <c r="P176">
        <v>76</v>
      </c>
      <c r="Q176">
        <v>46223</v>
      </c>
      <c r="R176">
        <v>46250</v>
      </c>
      <c r="S176">
        <v>2</v>
      </c>
      <c r="T176">
        <v>152</v>
      </c>
      <c r="U176">
        <v>20</v>
      </c>
      <c r="V176">
        <v>20</v>
      </c>
      <c r="W176">
        <v>20</v>
      </c>
      <c r="X176">
        <v>20</v>
      </c>
      <c r="Y176" t="s">
        <v>89</v>
      </c>
      <c r="Z176" t="s">
        <v>346</v>
      </c>
    </row>
    <row r="177" spans="1:26" hidden="1" x14ac:dyDescent="0.25">
      <c r="A177" t="s">
        <v>428</v>
      </c>
      <c r="B177" t="s">
        <v>22</v>
      </c>
      <c r="C177">
        <v>47</v>
      </c>
      <c r="E177" t="s">
        <v>76</v>
      </c>
      <c r="F177" t="s">
        <v>429</v>
      </c>
      <c r="G177" t="s">
        <v>346</v>
      </c>
      <c r="H177" t="s">
        <v>79</v>
      </c>
      <c r="I177" t="s">
        <v>22</v>
      </c>
      <c r="J177" t="b">
        <v>1</v>
      </c>
      <c r="K177" t="b">
        <v>0</v>
      </c>
      <c r="L177" t="s">
        <v>92</v>
      </c>
      <c r="M177" t="s">
        <v>81</v>
      </c>
      <c r="O177" t="s">
        <v>82</v>
      </c>
      <c r="P177">
        <v>60</v>
      </c>
      <c r="Q177">
        <v>46223</v>
      </c>
      <c r="R177">
        <v>46250</v>
      </c>
      <c r="S177">
        <v>2</v>
      </c>
      <c r="T177">
        <v>120</v>
      </c>
      <c r="U177">
        <v>15.789473684210527</v>
      </c>
      <c r="V177">
        <v>15</v>
      </c>
      <c r="W177">
        <v>20</v>
      </c>
      <c r="X177">
        <v>15</v>
      </c>
      <c r="Y177" t="s">
        <v>83</v>
      </c>
      <c r="Z177" t="s">
        <v>346</v>
      </c>
    </row>
    <row r="178" spans="1:26" hidden="1" x14ac:dyDescent="0.25">
      <c r="A178" t="s">
        <v>430</v>
      </c>
      <c r="B178" t="s">
        <v>22</v>
      </c>
      <c r="C178">
        <v>48</v>
      </c>
      <c r="E178" t="s">
        <v>76</v>
      </c>
      <c r="F178" t="s">
        <v>431</v>
      </c>
      <c r="G178" t="s">
        <v>346</v>
      </c>
      <c r="H178" t="s">
        <v>79</v>
      </c>
      <c r="I178" t="s">
        <v>22</v>
      </c>
      <c r="J178" t="b">
        <v>1</v>
      </c>
      <c r="K178" t="b">
        <v>1</v>
      </c>
      <c r="L178" t="s">
        <v>95</v>
      </c>
      <c r="M178" t="s">
        <v>81</v>
      </c>
      <c r="O178" t="s">
        <v>82</v>
      </c>
      <c r="P178">
        <v>64</v>
      </c>
      <c r="Q178">
        <v>46223</v>
      </c>
      <c r="R178">
        <v>46250</v>
      </c>
      <c r="S178">
        <v>2</v>
      </c>
      <c r="T178">
        <v>128</v>
      </c>
      <c r="U178">
        <v>16.842105263157894</v>
      </c>
      <c r="V178">
        <v>16</v>
      </c>
      <c r="W178">
        <v>20</v>
      </c>
      <c r="X178">
        <v>16</v>
      </c>
      <c r="Y178" t="s">
        <v>83</v>
      </c>
      <c r="Z178" t="s">
        <v>346</v>
      </c>
    </row>
    <row r="179" spans="1:26" hidden="1" x14ac:dyDescent="0.25">
      <c r="A179" t="s">
        <v>432</v>
      </c>
      <c r="B179" t="s">
        <v>22</v>
      </c>
      <c r="C179">
        <v>49</v>
      </c>
      <c r="E179" t="s">
        <v>76</v>
      </c>
      <c r="F179" t="s">
        <v>433</v>
      </c>
      <c r="G179" t="s">
        <v>346</v>
      </c>
      <c r="H179" t="s">
        <v>110</v>
      </c>
      <c r="I179" t="s">
        <v>22</v>
      </c>
      <c r="J179" t="b">
        <v>1</v>
      </c>
      <c r="K179" t="b">
        <v>1</v>
      </c>
      <c r="L179" t="s">
        <v>95</v>
      </c>
      <c r="M179" t="s">
        <v>81</v>
      </c>
      <c r="O179" t="s">
        <v>82</v>
      </c>
      <c r="P179">
        <v>76</v>
      </c>
      <c r="Q179">
        <v>46223</v>
      </c>
      <c r="R179">
        <v>46250</v>
      </c>
      <c r="S179">
        <v>2</v>
      </c>
      <c r="T179">
        <v>152</v>
      </c>
      <c r="U179">
        <v>20</v>
      </c>
      <c r="V179">
        <v>20</v>
      </c>
      <c r="W179">
        <v>20</v>
      </c>
      <c r="X179">
        <v>20</v>
      </c>
      <c r="Y179" t="s">
        <v>111</v>
      </c>
      <c r="Z179" t="s">
        <v>346</v>
      </c>
    </row>
    <row r="180" spans="1:26" hidden="1" x14ac:dyDescent="0.25">
      <c r="A180" t="s">
        <v>434</v>
      </c>
      <c r="B180" t="s">
        <v>22</v>
      </c>
      <c r="C180">
        <v>50</v>
      </c>
      <c r="E180" t="s">
        <v>76</v>
      </c>
      <c r="F180" t="s">
        <v>435</v>
      </c>
      <c r="G180" t="s">
        <v>346</v>
      </c>
      <c r="H180" t="s">
        <v>79</v>
      </c>
      <c r="I180" t="s">
        <v>22</v>
      </c>
      <c r="J180" t="b">
        <v>1</v>
      </c>
      <c r="K180" t="b">
        <v>1</v>
      </c>
      <c r="L180" t="s">
        <v>95</v>
      </c>
      <c r="M180" t="s">
        <v>81</v>
      </c>
      <c r="O180" t="s">
        <v>82</v>
      </c>
      <c r="P180">
        <v>40</v>
      </c>
      <c r="Q180">
        <v>46223</v>
      </c>
      <c r="R180">
        <v>46250</v>
      </c>
      <c r="S180">
        <v>2</v>
      </c>
      <c r="T180">
        <v>80</v>
      </c>
      <c r="U180">
        <v>10.526315789473683</v>
      </c>
      <c r="V180">
        <v>10</v>
      </c>
      <c r="W180">
        <v>20</v>
      </c>
      <c r="X180">
        <v>10</v>
      </c>
      <c r="Y180" t="s">
        <v>83</v>
      </c>
      <c r="Z180" t="s">
        <v>346</v>
      </c>
    </row>
    <row r="181" spans="1:26" hidden="1" x14ac:dyDescent="0.25">
      <c r="A181" t="s">
        <v>436</v>
      </c>
      <c r="B181" t="s">
        <v>22</v>
      </c>
      <c r="C181">
        <v>51</v>
      </c>
      <c r="E181" t="s">
        <v>76</v>
      </c>
      <c r="F181" t="s">
        <v>437</v>
      </c>
      <c r="G181" t="s">
        <v>346</v>
      </c>
      <c r="H181" t="s">
        <v>110</v>
      </c>
      <c r="I181" t="s">
        <v>22</v>
      </c>
      <c r="J181" t="b">
        <v>0</v>
      </c>
      <c r="K181" t="b">
        <v>1</v>
      </c>
      <c r="L181" t="s">
        <v>80</v>
      </c>
      <c r="M181" t="s">
        <v>81</v>
      </c>
      <c r="O181" t="s">
        <v>82</v>
      </c>
      <c r="P181">
        <v>76</v>
      </c>
      <c r="Q181">
        <v>46223</v>
      </c>
      <c r="R181">
        <v>46250</v>
      </c>
      <c r="S181">
        <v>2</v>
      </c>
      <c r="T181">
        <v>152</v>
      </c>
      <c r="U181">
        <v>20</v>
      </c>
      <c r="V181">
        <v>20</v>
      </c>
      <c r="W181">
        <v>20</v>
      </c>
      <c r="X181">
        <v>20</v>
      </c>
      <c r="Y181" t="s">
        <v>111</v>
      </c>
      <c r="Z181" t="s">
        <v>346</v>
      </c>
    </row>
    <row r="182" spans="1:26" hidden="1" x14ac:dyDescent="0.25">
      <c r="A182" t="s">
        <v>439</v>
      </c>
      <c r="B182" t="s">
        <v>22</v>
      </c>
      <c r="C182">
        <v>1</v>
      </c>
      <c r="E182" t="s">
        <v>76</v>
      </c>
      <c r="F182" t="s">
        <v>440</v>
      </c>
      <c r="G182" t="s">
        <v>438</v>
      </c>
      <c r="H182" t="s">
        <v>88</v>
      </c>
      <c r="I182" t="s">
        <v>22</v>
      </c>
      <c r="J182" t="b">
        <v>1</v>
      </c>
      <c r="K182" t="b">
        <v>0</v>
      </c>
      <c r="L182" t="s">
        <v>92</v>
      </c>
      <c r="M182" t="s">
        <v>81</v>
      </c>
      <c r="O182" t="s">
        <v>89</v>
      </c>
      <c r="P182">
        <v>76</v>
      </c>
      <c r="Q182">
        <v>46223</v>
      </c>
      <c r="R182">
        <v>46250</v>
      </c>
      <c r="S182">
        <v>2</v>
      </c>
      <c r="T182">
        <v>152</v>
      </c>
      <c r="U182">
        <v>20</v>
      </c>
      <c r="V182">
        <v>20</v>
      </c>
      <c r="W182">
        <v>20</v>
      </c>
      <c r="X182">
        <v>20</v>
      </c>
      <c r="Y182" t="s">
        <v>89</v>
      </c>
      <c r="Z182" t="s">
        <v>438</v>
      </c>
    </row>
    <row r="183" spans="1:26" hidden="1" x14ac:dyDescent="0.25">
      <c r="A183" t="s">
        <v>441</v>
      </c>
      <c r="B183" t="s">
        <v>29</v>
      </c>
      <c r="C183">
        <v>2</v>
      </c>
      <c r="E183" t="s">
        <v>76</v>
      </c>
      <c r="F183" t="s">
        <v>442</v>
      </c>
      <c r="G183" t="s">
        <v>438</v>
      </c>
      <c r="H183" t="s">
        <v>88</v>
      </c>
      <c r="I183" t="s">
        <v>29</v>
      </c>
      <c r="J183" t="b">
        <v>1</v>
      </c>
      <c r="K183" t="b">
        <v>0</v>
      </c>
      <c r="L183" t="s">
        <v>92</v>
      </c>
      <c r="M183" t="s">
        <v>81</v>
      </c>
      <c r="O183" t="s">
        <v>89</v>
      </c>
      <c r="P183">
        <v>76</v>
      </c>
      <c r="Q183">
        <v>46223</v>
      </c>
      <c r="R183">
        <v>46250</v>
      </c>
      <c r="S183">
        <v>2</v>
      </c>
      <c r="T183">
        <v>152</v>
      </c>
      <c r="U183">
        <v>20</v>
      </c>
      <c r="V183">
        <v>20</v>
      </c>
      <c r="W183">
        <v>20</v>
      </c>
      <c r="X183">
        <v>20</v>
      </c>
      <c r="Y183" t="s">
        <v>89</v>
      </c>
      <c r="Z183" t="s">
        <v>438</v>
      </c>
    </row>
    <row r="184" spans="1:26" hidden="1" x14ac:dyDescent="0.25">
      <c r="A184" t="s">
        <v>86</v>
      </c>
      <c r="B184" t="s">
        <v>22</v>
      </c>
      <c r="C184">
        <v>3</v>
      </c>
      <c r="D184" t="s">
        <v>40</v>
      </c>
      <c r="E184" t="s">
        <v>76</v>
      </c>
      <c r="F184" t="s">
        <v>87</v>
      </c>
      <c r="G184" t="s">
        <v>438</v>
      </c>
      <c r="H184" t="s">
        <v>88</v>
      </c>
      <c r="I184" t="s">
        <v>22</v>
      </c>
      <c r="J184" t="b">
        <v>0</v>
      </c>
      <c r="K184" t="b">
        <v>1</v>
      </c>
      <c r="L184" t="s">
        <v>80</v>
      </c>
      <c r="M184" t="s">
        <v>81</v>
      </c>
      <c r="O184" t="s">
        <v>89</v>
      </c>
      <c r="P184">
        <v>76</v>
      </c>
      <c r="Q184">
        <v>46223</v>
      </c>
      <c r="R184">
        <v>46250</v>
      </c>
      <c r="S184">
        <v>2</v>
      </c>
      <c r="T184">
        <v>152</v>
      </c>
      <c r="U184">
        <v>20</v>
      </c>
      <c r="V184">
        <v>20</v>
      </c>
      <c r="W184">
        <v>20</v>
      </c>
      <c r="X184">
        <v>20</v>
      </c>
      <c r="Y184" t="s">
        <v>89</v>
      </c>
      <c r="Z184" t="s">
        <v>438</v>
      </c>
    </row>
    <row r="185" spans="1:26" hidden="1" x14ac:dyDescent="0.25">
      <c r="A185" t="s">
        <v>443</v>
      </c>
      <c r="B185" t="s">
        <v>22</v>
      </c>
      <c r="C185">
        <v>4</v>
      </c>
      <c r="D185" t="s">
        <v>40</v>
      </c>
      <c r="E185" t="s">
        <v>76</v>
      </c>
      <c r="F185" t="s">
        <v>444</v>
      </c>
      <c r="G185" t="s">
        <v>438</v>
      </c>
      <c r="H185" t="s">
        <v>79</v>
      </c>
      <c r="I185" t="s">
        <v>22</v>
      </c>
      <c r="J185" t="b">
        <v>0</v>
      </c>
      <c r="K185" t="b">
        <v>1</v>
      </c>
      <c r="L185" t="s">
        <v>80</v>
      </c>
      <c r="M185" t="s">
        <v>81</v>
      </c>
      <c r="O185" t="s">
        <v>82</v>
      </c>
      <c r="P185">
        <v>26</v>
      </c>
      <c r="Q185">
        <v>46223</v>
      </c>
      <c r="R185">
        <v>46250</v>
      </c>
      <c r="S185">
        <v>2</v>
      </c>
      <c r="T185">
        <v>52</v>
      </c>
      <c r="U185">
        <v>6.8421052631578947</v>
      </c>
      <c r="V185">
        <v>6</v>
      </c>
      <c r="W185">
        <v>20</v>
      </c>
      <c r="X185">
        <v>6</v>
      </c>
      <c r="Y185" t="s">
        <v>83</v>
      </c>
      <c r="Z185" t="s">
        <v>438</v>
      </c>
    </row>
    <row r="186" spans="1:26" hidden="1" x14ac:dyDescent="0.25">
      <c r="A186" t="s">
        <v>445</v>
      </c>
      <c r="B186" t="s">
        <v>22</v>
      </c>
      <c r="C186">
        <v>5</v>
      </c>
      <c r="E186" t="s">
        <v>76</v>
      </c>
      <c r="F186" t="s">
        <v>446</v>
      </c>
      <c r="G186" t="s">
        <v>438</v>
      </c>
      <c r="H186" t="s">
        <v>79</v>
      </c>
      <c r="I186" t="s">
        <v>22</v>
      </c>
      <c r="J186" t="b">
        <v>1</v>
      </c>
      <c r="K186" t="b">
        <v>0</v>
      </c>
      <c r="L186" t="s">
        <v>92</v>
      </c>
      <c r="M186" t="s">
        <v>81</v>
      </c>
      <c r="O186" t="s">
        <v>82</v>
      </c>
      <c r="P186">
        <v>24</v>
      </c>
      <c r="Q186">
        <v>46223</v>
      </c>
      <c r="R186">
        <v>46250</v>
      </c>
      <c r="S186">
        <v>2</v>
      </c>
      <c r="T186">
        <v>48</v>
      </c>
      <c r="U186">
        <v>6.3157894736842106</v>
      </c>
      <c r="V186">
        <v>6</v>
      </c>
      <c r="W186">
        <v>20</v>
      </c>
      <c r="X186">
        <v>6</v>
      </c>
      <c r="Y186" t="s">
        <v>83</v>
      </c>
      <c r="Z186" t="s">
        <v>438</v>
      </c>
    </row>
    <row r="187" spans="1:26" hidden="1" x14ac:dyDescent="0.25">
      <c r="A187" t="s">
        <v>447</v>
      </c>
      <c r="B187" t="s">
        <v>29</v>
      </c>
      <c r="C187">
        <v>6</v>
      </c>
      <c r="E187" t="s">
        <v>76</v>
      </c>
      <c r="F187" t="s">
        <v>448</v>
      </c>
      <c r="G187" t="s">
        <v>438</v>
      </c>
      <c r="H187" t="s">
        <v>110</v>
      </c>
      <c r="I187" t="s">
        <v>29</v>
      </c>
      <c r="J187" t="b">
        <v>1</v>
      </c>
      <c r="K187" t="b">
        <v>1</v>
      </c>
      <c r="L187" t="s">
        <v>95</v>
      </c>
      <c r="M187" t="s">
        <v>81</v>
      </c>
      <c r="O187" t="s">
        <v>82</v>
      </c>
      <c r="P187">
        <v>76</v>
      </c>
      <c r="Q187">
        <v>46223</v>
      </c>
      <c r="R187">
        <v>46250</v>
      </c>
      <c r="S187">
        <v>2</v>
      </c>
      <c r="T187">
        <v>152</v>
      </c>
      <c r="U187">
        <v>20</v>
      </c>
      <c r="V187">
        <v>20</v>
      </c>
      <c r="W187">
        <v>20</v>
      </c>
      <c r="X187">
        <v>20</v>
      </c>
      <c r="Y187" t="s">
        <v>111</v>
      </c>
      <c r="Z187" t="s">
        <v>438</v>
      </c>
    </row>
    <row r="188" spans="1:26" hidden="1" x14ac:dyDescent="0.25">
      <c r="A188" t="s">
        <v>449</v>
      </c>
      <c r="B188" t="s">
        <v>31</v>
      </c>
      <c r="C188">
        <v>7</v>
      </c>
      <c r="E188" t="s">
        <v>76</v>
      </c>
      <c r="F188" t="s">
        <v>450</v>
      </c>
      <c r="G188" t="s">
        <v>438</v>
      </c>
      <c r="H188" t="s">
        <v>79</v>
      </c>
      <c r="I188" t="s">
        <v>31</v>
      </c>
      <c r="J188" t="b">
        <v>1</v>
      </c>
      <c r="K188" t="b">
        <v>1</v>
      </c>
      <c r="L188" t="s">
        <v>95</v>
      </c>
      <c r="M188" t="s">
        <v>81</v>
      </c>
      <c r="O188" t="s">
        <v>82</v>
      </c>
      <c r="P188">
        <v>56</v>
      </c>
      <c r="Q188">
        <v>46223</v>
      </c>
      <c r="R188">
        <v>46250</v>
      </c>
      <c r="S188">
        <v>2</v>
      </c>
      <c r="T188">
        <v>112</v>
      </c>
      <c r="U188">
        <v>14.736842105263159</v>
      </c>
      <c r="V188">
        <v>14</v>
      </c>
      <c r="W188">
        <v>20</v>
      </c>
      <c r="X188">
        <v>14</v>
      </c>
      <c r="Y188" t="s">
        <v>83</v>
      </c>
      <c r="Z188" t="s">
        <v>438</v>
      </c>
    </row>
    <row r="189" spans="1:26" hidden="1" x14ac:dyDescent="0.25">
      <c r="A189" t="s">
        <v>451</v>
      </c>
      <c r="B189" t="s">
        <v>22</v>
      </c>
      <c r="C189">
        <v>8</v>
      </c>
      <c r="E189" t="s">
        <v>76</v>
      </c>
      <c r="F189" t="s">
        <v>452</v>
      </c>
      <c r="G189" t="s">
        <v>438</v>
      </c>
      <c r="H189" t="s">
        <v>79</v>
      </c>
      <c r="I189" t="s">
        <v>22</v>
      </c>
      <c r="J189" t="b">
        <v>1</v>
      </c>
      <c r="K189" t="b">
        <v>1</v>
      </c>
      <c r="L189" t="s">
        <v>95</v>
      </c>
      <c r="M189" t="s">
        <v>81</v>
      </c>
      <c r="O189" t="s">
        <v>82</v>
      </c>
      <c r="P189">
        <v>64</v>
      </c>
      <c r="Q189">
        <v>46223</v>
      </c>
      <c r="R189">
        <v>46250</v>
      </c>
      <c r="S189">
        <v>2</v>
      </c>
      <c r="T189">
        <v>128</v>
      </c>
      <c r="U189">
        <v>16.842105263157894</v>
      </c>
      <c r="V189">
        <v>16</v>
      </c>
      <c r="W189">
        <v>20</v>
      </c>
      <c r="X189">
        <v>16</v>
      </c>
      <c r="Y189" t="s">
        <v>83</v>
      </c>
      <c r="Z189" t="s">
        <v>438</v>
      </c>
    </row>
    <row r="190" spans="1:26" hidden="1" x14ac:dyDescent="0.25">
      <c r="A190" t="s">
        <v>453</v>
      </c>
      <c r="B190" t="s">
        <v>22</v>
      </c>
      <c r="C190">
        <v>9</v>
      </c>
      <c r="E190" t="s">
        <v>76</v>
      </c>
      <c r="F190" t="s">
        <v>454</v>
      </c>
      <c r="G190" t="s">
        <v>438</v>
      </c>
      <c r="H190" t="s">
        <v>88</v>
      </c>
      <c r="I190" t="s">
        <v>22</v>
      </c>
      <c r="J190" t="b">
        <v>1</v>
      </c>
      <c r="K190" t="b">
        <v>0</v>
      </c>
      <c r="L190" t="s">
        <v>92</v>
      </c>
      <c r="M190" t="s">
        <v>81</v>
      </c>
      <c r="O190" t="s">
        <v>89</v>
      </c>
      <c r="P190">
        <v>76</v>
      </c>
      <c r="Q190">
        <v>46223</v>
      </c>
      <c r="R190">
        <v>46250</v>
      </c>
      <c r="S190">
        <v>2</v>
      </c>
      <c r="T190">
        <v>152</v>
      </c>
      <c r="U190">
        <v>20</v>
      </c>
      <c r="V190">
        <v>20</v>
      </c>
      <c r="W190">
        <v>20</v>
      </c>
      <c r="X190">
        <v>20</v>
      </c>
      <c r="Y190" t="s">
        <v>89</v>
      </c>
      <c r="Z190" t="s">
        <v>438</v>
      </c>
    </row>
    <row r="191" spans="1:26" hidden="1" x14ac:dyDescent="0.25">
      <c r="A191" t="s">
        <v>455</v>
      </c>
      <c r="B191" t="s">
        <v>29</v>
      </c>
      <c r="C191">
        <v>10</v>
      </c>
      <c r="E191" t="s">
        <v>76</v>
      </c>
      <c r="F191" t="s">
        <v>456</v>
      </c>
      <c r="G191" t="s">
        <v>438</v>
      </c>
      <c r="H191" t="s">
        <v>110</v>
      </c>
      <c r="I191" t="s">
        <v>29</v>
      </c>
      <c r="J191" t="b">
        <v>1</v>
      </c>
      <c r="K191" t="b">
        <v>1</v>
      </c>
      <c r="L191" t="s">
        <v>95</v>
      </c>
      <c r="M191" t="s">
        <v>81</v>
      </c>
      <c r="O191" t="s">
        <v>82</v>
      </c>
      <c r="P191">
        <v>76</v>
      </c>
      <c r="Q191">
        <v>46223</v>
      </c>
      <c r="R191">
        <v>46250</v>
      </c>
      <c r="S191">
        <v>2</v>
      </c>
      <c r="T191">
        <v>152</v>
      </c>
      <c r="U191">
        <v>20</v>
      </c>
      <c r="V191">
        <v>20</v>
      </c>
      <c r="W191">
        <v>20</v>
      </c>
      <c r="X191">
        <v>20</v>
      </c>
      <c r="Y191" t="s">
        <v>111</v>
      </c>
      <c r="Z191" t="s">
        <v>438</v>
      </c>
    </row>
    <row r="192" spans="1:26" hidden="1" x14ac:dyDescent="0.25">
      <c r="A192" t="s">
        <v>457</v>
      </c>
      <c r="B192" t="s">
        <v>22</v>
      </c>
      <c r="C192">
        <v>11</v>
      </c>
      <c r="E192" t="s">
        <v>76</v>
      </c>
      <c r="F192" t="s">
        <v>458</v>
      </c>
      <c r="G192" t="s">
        <v>438</v>
      </c>
      <c r="H192" t="s">
        <v>79</v>
      </c>
      <c r="I192" t="s">
        <v>22</v>
      </c>
      <c r="J192" t="b">
        <v>1</v>
      </c>
      <c r="K192" t="b">
        <v>1</v>
      </c>
      <c r="L192" t="s">
        <v>95</v>
      </c>
      <c r="M192" t="s">
        <v>81</v>
      </c>
      <c r="O192" t="s">
        <v>82</v>
      </c>
      <c r="P192">
        <v>40</v>
      </c>
      <c r="Q192">
        <v>46223</v>
      </c>
      <c r="R192">
        <v>46250</v>
      </c>
      <c r="S192">
        <v>2</v>
      </c>
      <c r="T192">
        <v>80</v>
      </c>
      <c r="U192">
        <v>10.526315789473683</v>
      </c>
      <c r="V192">
        <v>10</v>
      </c>
      <c r="W192">
        <v>20</v>
      </c>
      <c r="X192">
        <v>10</v>
      </c>
      <c r="Y192" t="s">
        <v>83</v>
      </c>
      <c r="Z192" t="s">
        <v>438</v>
      </c>
    </row>
    <row r="193" spans="1:26" hidden="1" x14ac:dyDescent="0.25">
      <c r="A193" t="s">
        <v>459</v>
      </c>
      <c r="B193" t="s">
        <v>22</v>
      </c>
      <c r="C193">
        <v>12</v>
      </c>
      <c r="E193" t="s">
        <v>76</v>
      </c>
      <c r="F193" t="s">
        <v>460</v>
      </c>
      <c r="G193" t="s">
        <v>438</v>
      </c>
      <c r="H193" t="s">
        <v>79</v>
      </c>
      <c r="I193" t="s">
        <v>22</v>
      </c>
      <c r="J193" t="b">
        <v>1</v>
      </c>
      <c r="K193" t="b">
        <v>1</v>
      </c>
      <c r="L193" t="s">
        <v>95</v>
      </c>
      <c r="M193" t="s">
        <v>81</v>
      </c>
      <c r="O193" t="s">
        <v>82</v>
      </c>
      <c r="P193">
        <v>72</v>
      </c>
      <c r="Q193">
        <v>46223</v>
      </c>
      <c r="R193">
        <v>46250</v>
      </c>
      <c r="S193">
        <v>2</v>
      </c>
      <c r="T193">
        <v>144</v>
      </c>
      <c r="U193">
        <v>18.947368421052634</v>
      </c>
      <c r="V193">
        <v>18</v>
      </c>
      <c r="W193">
        <v>20</v>
      </c>
      <c r="X193">
        <v>18</v>
      </c>
      <c r="Y193" t="s">
        <v>83</v>
      </c>
      <c r="Z193" t="s">
        <v>438</v>
      </c>
    </row>
    <row r="194" spans="1:26" hidden="1" x14ac:dyDescent="0.25">
      <c r="A194" t="s">
        <v>461</v>
      </c>
      <c r="B194" t="s">
        <v>22</v>
      </c>
      <c r="C194">
        <v>13</v>
      </c>
      <c r="D194" t="s">
        <v>40</v>
      </c>
      <c r="E194" t="s">
        <v>76</v>
      </c>
      <c r="F194" t="s">
        <v>462</v>
      </c>
      <c r="G194" t="s">
        <v>438</v>
      </c>
      <c r="H194" t="s">
        <v>88</v>
      </c>
      <c r="I194" t="s">
        <v>22</v>
      </c>
      <c r="J194" t="b">
        <v>0</v>
      </c>
      <c r="K194" t="b">
        <v>1</v>
      </c>
      <c r="L194" t="s">
        <v>80</v>
      </c>
      <c r="M194" t="s">
        <v>81</v>
      </c>
      <c r="O194" t="s">
        <v>89</v>
      </c>
      <c r="P194">
        <v>76</v>
      </c>
      <c r="Q194">
        <v>46223</v>
      </c>
      <c r="R194">
        <v>46250</v>
      </c>
      <c r="S194">
        <v>2</v>
      </c>
      <c r="T194">
        <v>152</v>
      </c>
      <c r="U194">
        <v>20</v>
      </c>
      <c r="V194">
        <v>20</v>
      </c>
      <c r="W194">
        <v>20</v>
      </c>
      <c r="X194">
        <v>20</v>
      </c>
      <c r="Y194" t="s">
        <v>89</v>
      </c>
      <c r="Z194" t="s">
        <v>438</v>
      </c>
    </row>
    <row r="195" spans="1:26" hidden="1" x14ac:dyDescent="0.25">
      <c r="A195" t="s">
        <v>463</v>
      </c>
      <c r="B195" t="s">
        <v>22</v>
      </c>
      <c r="C195">
        <v>14</v>
      </c>
      <c r="E195" t="s">
        <v>76</v>
      </c>
      <c r="F195" t="s">
        <v>464</v>
      </c>
      <c r="G195" t="s">
        <v>438</v>
      </c>
      <c r="H195" t="s">
        <v>88</v>
      </c>
      <c r="I195" t="s">
        <v>22</v>
      </c>
      <c r="J195" t="b">
        <v>1</v>
      </c>
      <c r="K195" t="b">
        <v>0</v>
      </c>
      <c r="L195" t="s">
        <v>92</v>
      </c>
      <c r="M195" t="s">
        <v>81</v>
      </c>
      <c r="O195" t="s">
        <v>89</v>
      </c>
      <c r="P195">
        <v>76</v>
      </c>
      <c r="Q195">
        <v>46223</v>
      </c>
      <c r="R195">
        <v>46250</v>
      </c>
      <c r="S195">
        <v>2</v>
      </c>
      <c r="T195">
        <v>152</v>
      </c>
      <c r="U195">
        <v>20</v>
      </c>
      <c r="V195">
        <v>20</v>
      </c>
      <c r="W195">
        <v>20</v>
      </c>
      <c r="X195">
        <v>20</v>
      </c>
      <c r="Y195" t="s">
        <v>89</v>
      </c>
      <c r="Z195" t="s">
        <v>438</v>
      </c>
    </row>
    <row r="196" spans="1:26" hidden="1" x14ac:dyDescent="0.25">
      <c r="A196" t="s">
        <v>465</v>
      </c>
      <c r="B196" t="s">
        <v>22</v>
      </c>
      <c r="C196">
        <v>15</v>
      </c>
      <c r="D196" t="s">
        <v>40</v>
      </c>
      <c r="E196" t="s">
        <v>76</v>
      </c>
      <c r="F196" t="s">
        <v>466</v>
      </c>
      <c r="G196" t="s">
        <v>438</v>
      </c>
      <c r="H196" t="s">
        <v>79</v>
      </c>
      <c r="I196" t="s">
        <v>22</v>
      </c>
      <c r="J196" t="b">
        <v>0</v>
      </c>
      <c r="K196" t="b">
        <v>1</v>
      </c>
      <c r="L196" t="s">
        <v>80</v>
      </c>
      <c r="M196" t="s">
        <v>81</v>
      </c>
      <c r="O196" t="s">
        <v>82</v>
      </c>
      <c r="P196">
        <v>46</v>
      </c>
      <c r="Q196">
        <v>46223</v>
      </c>
      <c r="R196">
        <v>46250</v>
      </c>
      <c r="S196">
        <v>2</v>
      </c>
      <c r="T196">
        <v>92</v>
      </c>
      <c r="U196">
        <v>12.105263157894738</v>
      </c>
      <c r="V196">
        <v>12</v>
      </c>
      <c r="W196">
        <v>20</v>
      </c>
      <c r="X196">
        <v>12</v>
      </c>
      <c r="Y196" t="s">
        <v>83</v>
      </c>
      <c r="Z196" t="s">
        <v>438</v>
      </c>
    </row>
    <row r="197" spans="1:26" hidden="1" x14ac:dyDescent="0.25">
      <c r="A197" t="s">
        <v>467</v>
      </c>
      <c r="B197" t="s">
        <v>29</v>
      </c>
      <c r="C197">
        <v>16</v>
      </c>
      <c r="E197" t="s">
        <v>76</v>
      </c>
      <c r="F197" t="s">
        <v>468</v>
      </c>
      <c r="G197" t="s">
        <v>438</v>
      </c>
      <c r="H197" t="s">
        <v>110</v>
      </c>
      <c r="I197" t="s">
        <v>29</v>
      </c>
      <c r="J197" t="b">
        <v>1</v>
      </c>
      <c r="K197" t="b">
        <v>1</v>
      </c>
      <c r="L197" t="s">
        <v>95</v>
      </c>
      <c r="M197" t="s">
        <v>81</v>
      </c>
      <c r="O197" t="s">
        <v>82</v>
      </c>
      <c r="P197">
        <v>76</v>
      </c>
      <c r="Q197">
        <v>46223</v>
      </c>
      <c r="R197">
        <v>46250</v>
      </c>
      <c r="S197">
        <v>2</v>
      </c>
      <c r="T197">
        <v>152</v>
      </c>
      <c r="U197">
        <v>20</v>
      </c>
      <c r="V197">
        <v>20</v>
      </c>
      <c r="W197">
        <v>20</v>
      </c>
      <c r="X197">
        <v>20</v>
      </c>
      <c r="Y197" t="s">
        <v>111</v>
      </c>
      <c r="Z197" t="s">
        <v>438</v>
      </c>
    </row>
    <row r="198" spans="1:26" hidden="1" x14ac:dyDescent="0.25">
      <c r="A198" t="s">
        <v>469</v>
      </c>
      <c r="B198" t="s">
        <v>22</v>
      </c>
      <c r="C198">
        <v>17</v>
      </c>
      <c r="E198" t="s">
        <v>76</v>
      </c>
      <c r="F198" t="s">
        <v>470</v>
      </c>
      <c r="G198" t="s">
        <v>438</v>
      </c>
      <c r="H198" t="s">
        <v>110</v>
      </c>
      <c r="I198" t="s">
        <v>22</v>
      </c>
      <c r="J198" t="b">
        <v>1</v>
      </c>
      <c r="K198" t="b">
        <v>0</v>
      </c>
      <c r="L198" t="s">
        <v>92</v>
      </c>
      <c r="M198" t="s">
        <v>81</v>
      </c>
      <c r="O198" t="s">
        <v>82</v>
      </c>
      <c r="P198">
        <v>76</v>
      </c>
      <c r="Q198">
        <v>46223</v>
      </c>
      <c r="R198">
        <v>46250</v>
      </c>
      <c r="S198">
        <v>2</v>
      </c>
      <c r="T198">
        <v>152</v>
      </c>
      <c r="U198">
        <v>20</v>
      </c>
      <c r="V198">
        <v>20</v>
      </c>
      <c r="W198">
        <v>20</v>
      </c>
      <c r="X198">
        <v>20</v>
      </c>
      <c r="Y198" t="s">
        <v>111</v>
      </c>
      <c r="Z198" t="s">
        <v>438</v>
      </c>
    </row>
    <row r="199" spans="1:26" hidden="1" x14ac:dyDescent="0.25">
      <c r="A199" t="s">
        <v>471</v>
      </c>
      <c r="B199" t="s">
        <v>22</v>
      </c>
      <c r="C199">
        <v>18</v>
      </c>
      <c r="E199" t="s">
        <v>76</v>
      </c>
      <c r="F199" t="s">
        <v>472</v>
      </c>
      <c r="G199" t="s">
        <v>438</v>
      </c>
      <c r="H199" t="s">
        <v>79</v>
      </c>
      <c r="I199" t="s">
        <v>22</v>
      </c>
      <c r="J199" t="b">
        <v>1</v>
      </c>
      <c r="K199" t="b">
        <v>1</v>
      </c>
      <c r="L199" t="s">
        <v>95</v>
      </c>
      <c r="M199" t="s">
        <v>81</v>
      </c>
      <c r="O199" t="s">
        <v>82</v>
      </c>
      <c r="P199">
        <v>40</v>
      </c>
      <c r="Q199">
        <v>46223</v>
      </c>
      <c r="R199">
        <v>46250</v>
      </c>
      <c r="S199">
        <v>2</v>
      </c>
      <c r="T199">
        <v>80</v>
      </c>
      <c r="U199">
        <v>10.526315789473683</v>
      </c>
      <c r="V199">
        <v>10</v>
      </c>
      <c r="W199">
        <v>20</v>
      </c>
      <c r="X199">
        <v>10</v>
      </c>
      <c r="Y199" t="s">
        <v>83</v>
      </c>
      <c r="Z199" t="s">
        <v>438</v>
      </c>
    </row>
    <row r="200" spans="1:26" hidden="1" x14ac:dyDescent="0.25">
      <c r="A200" t="s">
        <v>473</v>
      </c>
      <c r="B200" t="s">
        <v>22</v>
      </c>
      <c r="C200">
        <v>19</v>
      </c>
      <c r="E200" t="s">
        <v>76</v>
      </c>
      <c r="F200" t="s">
        <v>474</v>
      </c>
      <c r="G200" t="s">
        <v>438</v>
      </c>
      <c r="H200" t="s">
        <v>88</v>
      </c>
      <c r="I200" t="s">
        <v>22</v>
      </c>
      <c r="J200" t="b">
        <v>1</v>
      </c>
      <c r="K200" t="b">
        <v>0</v>
      </c>
      <c r="L200" t="s">
        <v>92</v>
      </c>
      <c r="M200" t="s">
        <v>81</v>
      </c>
      <c r="O200" t="s">
        <v>89</v>
      </c>
      <c r="P200">
        <v>76</v>
      </c>
      <c r="Q200">
        <v>46223</v>
      </c>
      <c r="R200">
        <v>46250</v>
      </c>
      <c r="S200">
        <v>2</v>
      </c>
      <c r="T200">
        <v>152</v>
      </c>
      <c r="U200">
        <v>20</v>
      </c>
      <c r="V200">
        <v>20</v>
      </c>
      <c r="W200">
        <v>20</v>
      </c>
      <c r="X200">
        <v>20</v>
      </c>
      <c r="Y200" t="s">
        <v>89</v>
      </c>
      <c r="Z200" t="s">
        <v>438</v>
      </c>
    </row>
    <row r="201" spans="1:26" hidden="1" x14ac:dyDescent="0.25">
      <c r="A201" t="s">
        <v>475</v>
      </c>
      <c r="B201" t="s">
        <v>22</v>
      </c>
      <c r="C201">
        <v>20</v>
      </c>
      <c r="E201" t="s">
        <v>76</v>
      </c>
      <c r="F201" t="s">
        <v>476</v>
      </c>
      <c r="G201" t="s">
        <v>438</v>
      </c>
      <c r="H201" t="s">
        <v>88</v>
      </c>
      <c r="I201" t="s">
        <v>22</v>
      </c>
      <c r="J201" t="b">
        <v>1</v>
      </c>
      <c r="K201" t="b">
        <v>0</v>
      </c>
      <c r="L201" t="s">
        <v>92</v>
      </c>
      <c r="M201" t="s">
        <v>81</v>
      </c>
      <c r="O201" t="s">
        <v>89</v>
      </c>
      <c r="P201">
        <v>76</v>
      </c>
      <c r="Q201">
        <v>46223</v>
      </c>
      <c r="R201">
        <v>46250</v>
      </c>
      <c r="S201">
        <v>2</v>
      </c>
      <c r="T201">
        <v>152</v>
      </c>
      <c r="U201">
        <v>20</v>
      </c>
      <c r="V201">
        <v>20</v>
      </c>
      <c r="W201">
        <v>20</v>
      </c>
      <c r="X201">
        <v>20</v>
      </c>
      <c r="Y201" t="s">
        <v>89</v>
      </c>
      <c r="Z201" t="s">
        <v>438</v>
      </c>
    </row>
    <row r="202" spans="1:26" hidden="1" x14ac:dyDescent="0.25">
      <c r="A202" t="s">
        <v>477</v>
      </c>
      <c r="B202" t="s">
        <v>22</v>
      </c>
      <c r="C202">
        <v>21</v>
      </c>
      <c r="D202" t="s">
        <v>40</v>
      </c>
      <c r="E202" t="s">
        <v>76</v>
      </c>
      <c r="F202" t="s">
        <v>478</v>
      </c>
      <c r="G202" t="s">
        <v>438</v>
      </c>
      <c r="H202" t="s">
        <v>79</v>
      </c>
      <c r="I202" t="s">
        <v>22</v>
      </c>
      <c r="J202" t="b">
        <v>0</v>
      </c>
      <c r="K202" t="b">
        <v>1</v>
      </c>
      <c r="L202" t="s">
        <v>80</v>
      </c>
      <c r="M202" t="s">
        <v>81</v>
      </c>
      <c r="O202" t="s">
        <v>82</v>
      </c>
      <c r="P202">
        <v>32</v>
      </c>
      <c r="Q202">
        <v>46223</v>
      </c>
      <c r="R202">
        <v>46250</v>
      </c>
      <c r="S202">
        <v>2</v>
      </c>
      <c r="T202">
        <v>64</v>
      </c>
      <c r="U202">
        <v>8.4210526315789469</v>
      </c>
      <c r="V202">
        <v>8</v>
      </c>
      <c r="W202">
        <v>20</v>
      </c>
      <c r="X202">
        <v>8</v>
      </c>
      <c r="Y202" t="s">
        <v>83</v>
      </c>
      <c r="Z202" t="s">
        <v>438</v>
      </c>
    </row>
    <row r="203" spans="1:26" hidden="1" x14ac:dyDescent="0.25">
      <c r="A203" t="s">
        <v>479</v>
      </c>
      <c r="B203" t="s">
        <v>22</v>
      </c>
      <c r="C203">
        <v>22</v>
      </c>
      <c r="E203" t="s">
        <v>76</v>
      </c>
      <c r="F203" t="s">
        <v>480</v>
      </c>
      <c r="G203" t="s">
        <v>438</v>
      </c>
      <c r="H203" t="s">
        <v>79</v>
      </c>
      <c r="I203" t="s">
        <v>22</v>
      </c>
      <c r="J203" t="b">
        <v>1</v>
      </c>
      <c r="K203" t="b">
        <v>0</v>
      </c>
      <c r="L203" t="s">
        <v>92</v>
      </c>
      <c r="M203" t="s">
        <v>81</v>
      </c>
      <c r="O203" t="s">
        <v>82</v>
      </c>
      <c r="P203">
        <v>24</v>
      </c>
      <c r="Q203">
        <v>46223</v>
      </c>
      <c r="R203">
        <v>46250</v>
      </c>
      <c r="S203">
        <v>2</v>
      </c>
      <c r="T203">
        <v>48</v>
      </c>
      <c r="U203">
        <v>6.3157894736842106</v>
      </c>
      <c r="V203">
        <v>6</v>
      </c>
      <c r="W203">
        <v>20</v>
      </c>
      <c r="X203">
        <v>6</v>
      </c>
      <c r="Y203" t="s">
        <v>83</v>
      </c>
      <c r="Z203" t="s">
        <v>438</v>
      </c>
    </row>
    <row r="204" spans="1:26" hidden="1" x14ac:dyDescent="0.25">
      <c r="A204" t="s">
        <v>481</v>
      </c>
      <c r="B204" t="s">
        <v>31</v>
      </c>
      <c r="C204">
        <v>23</v>
      </c>
      <c r="E204" t="s">
        <v>76</v>
      </c>
      <c r="F204" t="s">
        <v>482</v>
      </c>
      <c r="G204" t="s">
        <v>438</v>
      </c>
      <c r="H204" t="s">
        <v>110</v>
      </c>
      <c r="I204" t="s">
        <v>31</v>
      </c>
      <c r="J204" t="b">
        <v>1</v>
      </c>
      <c r="K204" t="b">
        <v>0</v>
      </c>
      <c r="L204" t="s">
        <v>92</v>
      </c>
      <c r="M204" t="s">
        <v>81</v>
      </c>
      <c r="O204" t="s">
        <v>82</v>
      </c>
      <c r="P204">
        <v>76</v>
      </c>
      <c r="Q204">
        <v>46223</v>
      </c>
      <c r="R204">
        <v>46250</v>
      </c>
      <c r="S204">
        <v>2</v>
      </c>
      <c r="T204">
        <v>152</v>
      </c>
      <c r="U204">
        <v>20</v>
      </c>
      <c r="V204">
        <v>20</v>
      </c>
      <c r="W204">
        <v>20</v>
      </c>
      <c r="X204">
        <v>20</v>
      </c>
      <c r="Y204" t="s">
        <v>111</v>
      </c>
      <c r="Z204" t="s">
        <v>438</v>
      </c>
    </row>
    <row r="205" spans="1:26" hidden="1" x14ac:dyDescent="0.25">
      <c r="A205" t="s">
        <v>483</v>
      </c>
      <c r="B205" t="s">
        <v>22</v>
      </c>
      <c r="C205">
        <v>24</v>
      </c>
      <c r="D205" t="s">
        <v>40</v>
      </c>
      <c r="E205" t="s">
        <v>76</v>
      </c>
      <c r="F205" t="s">
        <v>484</v>
      </c>
      <c r="G205" t="s">
        <v>438</v>
      </c>
      <c r="H205" t="s">
        <v>79</v>
      </c>
      <c r="I205" t="s">
        <v>22</v>
      </c>
      <c r="J205" t="b">
        <v>0</v>
      </c>
      <c r="K205" t="b">
        <v>1</v>
      </c>
      <c r="L205" t="s">
        <v>80</v>
      </c>
      <c r="M205" t="s">
        <v>81</v>
      </c>
      <c r="O205" t="s">
        <v>82</v>
      </c>
      <c r="P205">
        <v>64</v>
      </c>
      <c r="Q205">
        <v>46223</v>
      </c>
      <c r="R205">
        <v>46250</v>
      </c>
      <c r="S205">
        <v>2</v>
      </c>
      <c r="T205">
        <v>128</v>
      </c>
      <c r="U205">
        <v>16.842105263157894</v>
      </c>
      <c r="V205">
        <v>16</v>
      </c>
      <c r="W205">
        <v>20</v>
      </c>
      <c r="X205">
        <v>16</v>
      </c>
      <c r="Y205" t="s">
        <v>83</v>
      </c>
      <c r="Z205" t="s">
        <v>438</v>
      </c>
    </row>
    <row r="206" spans="1:26" hidden="1" x14ac:dyDescent="0.25">
      <c r="A206" t="s">
        <v>485</v>
      </c>
      <c r="B206" t="s">
        <v>22</v>
      </c>
      <c r="C206">
        <v>25</v>
      </c>
      <c r="D206" t="s">
        <v>40</v>
      </c>
      <c r="E206" t="s">
        <v>76</v>
      </c>
      <c r="F206" t="s">
        <v>486</v>
      </c>
      <c r="G206" t="s">
        <v>438</v>
      </c>
      <c r="H206" t="s">
        <v>88</v>
      </c>
      <c r="I206" t="s">
        <v>22</v>
      </c>
      <c r="J206" t="b">
        <v>0</v>
      </c>
      <c r="K206" t="b">
        <v>1</v>
      </c>
      <c r="L206" t="s">
        <v>80</v>
      </c>
      <c r="M206" t="s">
        <v>81</v>
      </c>
      <c r="O206" t="s">
        <v>89</v>
      </c>
      <c r="P206">
        <v>76</v>
      </c>
      <c r="Q206">
        <v>46223</v>
      </c>
      <c r="R206">
        <v>46250</v>
      </c>
      <c r="S206">
        <v>2</v>
      </c>
      <c r="T206">
        <v>152</v>
      </c>
      <c r="U206">
        <v>20</v>
      </c>
      <c r="V206">
        <v>20</v>
      </c>
      <c r="W206">
        <v>20</v>
      </c>
      <c r="X206">
        <v>20</v>
      </c>
      <c r="Y206" t="s">
        <v>89</v>
      </c>
      <c r="Z206" t="s">
        <v>438</v>
      </c>
    </row>
    <row r="207" spans="1:26" hidden="1" x14ac:dyDescent="0.25">
      <c r="A207" t="s">
        <v>487</v>
      </c>
      <c r="B207" t="s">
        <v>31</v>
      </c>
      <c r="C207">
        <v>26</v>
      </c>
      <c r="E207" t="s">
        <v>76</v>
      </c>
      <c r="F207" t="s">
        <v>189</v>
      </c>
      <c r="G207" t="s">
        <v>438</v>
      </c>
      <c r="H207" t="s">
        <v>79</v>
      </c>
      <c r="I207" t="s">
        <v>31</v>
      </c>
      <c r="J207" t="b">
        <v>1</v>
      </c>
      <c r="K207" t="b">
        <v>1</v>
      </c>
      <c r="L207" t="s">
        <v>95</v>
      </c>
      <c r="M207" t="s">
        <v>81</v>
      </c>
      <c r="O207" t="s">
        <v>82</v>
      </c>
      <c r="P207">
        <v>72</v>
      </c>
      <c r="Q207">
        <v>46223</v>
      </c>
      <c r="R207">
        <v>46250</v>
      </c>
      <c r="S207">
        <v>2</v>
      </c>
      <c r="T207">
        <v>144</v>
      </c>
      <c r="U207">
        <v>18.947368421052634</v>
      </c>
      <c r="V207">
        <v>18</v>
      </c>
      <c r="W207">
        <v>20</v>
      </c>
      <c r="X207">
        <v>18</v>
      </c>
      <c r="Y207" t="s">
        <v>83</v>
      </c>
      <c r="Z207" t="s">
        <v>438</v>
      </c>
    </row>
    <row r="208" spans="1:26" hidden="1" x14ac:dyDescent="0.25">
      <c r="A208" t="s">
        <v>488</v>
      </c>
      <c r="B208" t="s">
        <v>22</v>
      </c>
      <c r="C208">
        <v>27</v>
      </c>
      <c r="E208" t="s">
        <v>76</v>
      </c>
      <c r="F208" t="s">
        <v>489</v>
      </c>
      <c r="G208" t="s">
        <v>438</v>
      </c>
      <c r="H208" t="s">
        <v>110</v>
      </c>
      <c r="I208" t="s">
        <v>22</v>
      </c>
      <c r="J208" t="b">
        <v>1</v>
      </c>
      <c r="K208" t="b">
        <v>0</v>
      </c>
      <c r="L208" t="s">
        <v>92</v>
      </c>
      <c r="M208" t="s">
        <v>81</v>
      </c>
      <c r="O208" t="s">
        <v>82</v>
      </c>
      <c r="P208">
        <v>76</v>
      </c>
      <c r="Q208">
        <v>46223</v>
      </c>
      <c r="R208">
        <v>46250</v>
      </c>
      <c r="S208">
        <v>2</v>
      </c>
      <c r="T208">
        <v>152</v>
      </c>
      <c r="U208">
        <v>20</v>
      </c>
      <c r="V208">
        <v>20</v>
      </c>
      <c r="W208">
        <v>20</v>
      </c>
      <c r="X208">
        <v>20</v>
      </c>
      <c r="Y208" t="s">
        <v>111</v>
      </c>
      <c r="Z208" t="s">
        <v>438</v>
      </c>
    </row>
    <row r="209" spans="1:26" hidden="1" x14ac:dyDescent="0.25">
      <c r="A209" t="s">
        <v>490</v>
      </c>
      <c r="B209" t="s">
        <v>22</v>
      </c>
      <c r="C209">
        <v>28</v>
      </c>
      <c r="E209" t="s">
        <v>76</v>
      </c>
      <c r="F209" t="s">
        <v>491</v>
      </c>
      <c r="G209" t="s">
        <v>438</v>
      </c>
      <c r="H209" t="s">
        <v>79</v>
      </c>
      <c r="I209" t="s">
        <v>22</v>
      </c>
      <c r="J209" t="b">
        <v>1</v>
      </c>
      <c r="K209" t="b">
        <v>0</v>
      </c>
      <c r="L209" t="s">
        <v>92</v>
      </c>
      <c r="M209" t="s">
        <v>81</v>
      </c>
      <c r="O209" t="s">
        <v>82</v>
      </c>
      <c r="P209">
        <v>48</v>
      </c>
      <c r="Q209">
        <v>46223</v>
      </c>
      <c r="R209">
        <v>46250</v>
      </c>
      <c r="S209">
        <v>2</v>
      </c>
      <c r="T209">
        <v>96</v>
      </c>
      <c r="U209">
        <v>12.631578947368419</v>
      </c>
      <c r="V209">
        <v>12</v>
      </c>
      <c r="W209">
        <v>20</v>
      </c>
      <c r="X209">
        <v>12</v>
      </c>
      <c r="Y209" t="s">
        <v>83</v>
      </c>
      <c r="Z209" t="s">
        <v>438</v>
      </c>
    </row>
    <row r="210" spans="1:26" hidden="1" x14ac:dyDescent="0.25">
      <c r="A210" t="s">
        <v>492</v>
      </c>
      <c r="B210" t="s">
        <v>22</v>
      </c>
      <c r="C210">
        <v>29</v>
      </c>
      <c r="E210" t="s">
        <v>76</v>
      </c>
      <c r="F210" t="s">
        <v>493</v>
      </c>
      <c r="G210" t="s">
        <v>438</v>
      </c>
      <c r="H210" t="s">
        <v>79</v>
      </c>
      <c r="I210" t="s">
        <v>22</v>
      </c>
      <c r="J210" t="b">
        <v>1</v>
      </c>
      <c r="K210" t="b">
        <v>0</v>
      </c>
      <c r="L210" t="s">
        <v>92</v>
      </c>
      <c r="M210" t="s">
        <v>81</v>
      </c>
      <c r="O210" t="s">
        <v>82</v>
      </c>
      <c r="P210">
        <v>58</v>
      </c>
      <c r="Q210">
        <v>46223</v>
      </c>
      <c r="R210">
        <v>46250</v>
      </c>
      <c r="S210">
        <v>2</v>
      </c>
      <c r="T210">
        <v>116</v>
      </c>
      <c r="U210">
        <v>15.263157894736842</v>
      </c>
      <c r="V210">
        <v>15</v>
      </c>
      <c r="W210">
        <v>20</v>
      </c>
      <c r="X210">
        <v>15</v>
      </c>
      <c r="Y210" t="s">
        <v>83</v>
      </c>
      <c r="Z210" t="s">
        <v>438</v>
      </c>
    </row>
    <row r="211" spans="1:26" hidden="1" x14ac:dyDescent="0.25">
      <c r="A211" t="s">
        <v>494</v>
      </c>
      <c r="B211" t="s">
        <v>22</v>
      </c>
      <c r="C211">
        <v>30</v>
      </c>
      <c r="E211" t="s">
        <v>76</v>
      </c>
      <c r="F211" t="s">
        <v>495</v>
      </c>
      <c r="G211" t="s">
        <v>438</v>
      </c>
      <c r="H211" t="s">
        <v>79</v>
      </c>
      <c r="I211" t="s">
        <v>22</v>
      </c>
      <c r="J211" t="b">
        <v>1</v>
      </c>
      <c r="K211" t="b">
        <v>1</v>
      </c>
      <c r="L211" t="s">
        <v>95</v>
      </c>
      <c r="M211" t="s">
        <v>81</v>
      </c>
      <c r="O211" t="s">
        <v>82</v>
      </c>
      <c r="P211">
        <v>40</v>
      </c>
      <c r="Q211">
        <v>46223</v>
      </c>
      <c r="R211">
        <v>46250</v>
      </c>
      <c r="S211">
        <v>2</v>
      </c>
      <c r="T211">
        <v>80</v>
      </c>
      <c r="U211">
        <v>10.526315789473683</v>
      </c>
      <c r="V211">
        <v>10</v>
      </c>
      <c r="W211">
        <v>20</v>
      </c>
      <c r="X211">
        <v>10</v>
      </c>
      <c r="Y211" t="s">
        <v>83</v>
      </c>
      <c r="Z211" t="s">
        <v>438</v>
      </c>
    </row>
    <row r="212" spans="1:26" hidden="1" x14ac:dyDescent="0.25">
      <c r="A212" t="s">
        <v>496</v>
      </c>
      <c r="B212" t="s">
        <v>22</v>
      </c>
      <c r="C212">
        <v>31</v>
      </c>
      <c r="E212" t="s">
        <v>76</v>
      </c>
      <c r="F212" t="s">
        <v>497</v>
      </c>
      <c r="G212" t="s">
        <v>438</v>
      </c>
      <c r="H212" t="s">
        <v>110</v>
      </c>
      <c r="I212" t="s">
        <v>22</v>
      </c>
      <c r="J212" t="b">
        <v>1</v>
      </c>
      <c r="K212" t="b">
        <v>1</v>
      </c>
      <c r="L212" t="s">
        <v>95</v>
      </c>
      <c r="M212" t="s">
        <v>81</v>
      </c>
      <c r="O212" t="s">
        <v>82</v>
      </c>
      <c r="P212">
        <v>76</v>
      </c>
      <c r="Q212">
        <v>46223</v>
      </c>
      <c r="R212">
        <v>46250</v>
      </c>
      <c r="S212">
        <v>2</v>
      </c>
      <c r="T212">
        <v>152</v>
      </c>
      <c r="U212">
        <v>20</v>
      </c>
      <c r="V212">
        <v>20</v>
      </c>
      <c r="W212">
        <v>20</v>
      </c>
      <c r="X212">
        <v>20</v>
      </c>
      <c r="Y212" t="s">
        <v>111</v>
      </c>
      <c r="Z212" t="s">
        <v>438</v>
      </c>
    </row>
    <row r="213" spans="1:26" hidden="1" x14ac:dyDescent="0.25">
      <c r="A213" t="s">
        <v>498</v>
      </c>
      <c r="B213" t="s">
        <v>22</v>
      </c>
      <c r="C213">
        <v>32</v>
      </c>
      <c r="D213" t="s">
        <v>40</v>
      </c>
      <c r="E213" t="s">
        <v>76</v>
      </c>
      <c r="F213" t="s">
        <v>499</v>
      </c>
      <c r="G213" t="s">
        <v>438</v>
      </c>
      <c r="H213" t="s">
        <v>88</v>
      </c>
      <c r="I213" t="s">
        <v>22</v>
      </c>
      <c r="J213" t="b">
        <v>0</v>
      </c>
      <c r="K213" t="b">
        <v>1</v>
      </c>
      <c r="L213" t="s">
        <v>80</v>
      </c>
      <c r="M213" t="s">
        <v>81</v>
      </c>
      <c r="O213" t="s">
        <v>89</v>
      </c>
      <c r="P213">
        <v>76</v>
      </c>
      <c r="Q213">
        <v>46223</v>
      </c>
      <c r="R213">
        <v>46250</v>
      </c>
      <c r="S213">
        <v>2</v>
      </c>
      <c r="T213">
        <v>152</v>
      </c>
      <c r="U213">
        <v>20</v>
      </c>
      <c r="V213">
        <v>20</v>
      </c>
      <c r="W213">
        <v>20</v>
      </c>
      <c r="X213">
        <v>20</v>
      </c>
      <c r="Y213" t="s">
        <v>89</v>
      </c>
      <c r="Z213" t="s">
        <v>438</v>
      </c>
    </row>
    <row r="214" spans="1:26" hidden="1" x14ac:dyDescent="0.25">
      <c r="A214" t="s">
        <v>500</v>
      </c>
      <c r="B214" t="s">
        <v>22</v>
      </c>
      <c r="C214">
        <v>33</v>
      </c>
      <c r="E214" t="s">
        <v>76</v>
      </c>
      <c r="F214" t="s">
        <v>501</v>
      </c>
      <c r="G214" t="s">
        <v>438</v>
      </c>
      <c r="H214" t="s">
        <v>88</v>
      </c>
      <c r="I214" t="s">
        <v>22</v>
      </c>
      <c r="J214" t="b">
        <v>1</v>
      </c>
      <c r="K214" t="b">
        <v>0</v>
      </c>
      <c r="L214" t="s">
        <v>92</v>
      </c>
      <c r="M214" t="s">
        <v>81</v>
      </c>
      <c r="O214" t="s">
        <v>89</v>
      </c>
      <c r="P214">
        <v>76</v>
      </c>
      <c r="Q214">
        <v>46223</v>
      </c>
      <c r="R214">
        <v>46250</v>
      </c>
      <c r="S214">
        <v>2</v>
      </c>
      <c r="T214">
        <v>152</v>
      </c>
      <c r="U214">
        <v>20</v>
      </c>
      <c r="V214">
        <v>20</v>
      </c>
      <c r="W214">
        <v>20</v>
      </c>
      <c r="X214">
        <v>20</v>
      </c>
      <c r="Y214" t="s">
        <v>89</v>
      </c>
      <c r="Z214" t="s">
        <v>438</v>
      </c>
    </row>
    <row r="215" spans="1:26" hidden="1" x14ac:dyDescent="0.25">
      <c r="A215" t="s">
        <v>502</v>
      </c>
      <c r="B215" t="s">
        <v>22</v>
      </c>
      <c r="C215">
        <v>34</v>
      </c>
      <c r="E215" t="s">
        <v>76</v>
      </c>
      <c r="F215" t="s">
        <v>503</v>
      </c>
      <c r="G215" t="s">
        <v>438</v>
      </c>
      <c r="H215" t="s">
        <v>79</v>
      </c>
      <c r="I215" t="s">
        <v>22</v>
      </c>
      <c r="J215" t="b">
        <v>1</v>
      </c>
      <c r="K215" t="b">
        <v>1</v>
      </c>
      <c r="L215" t="s">
        <v>95</v>
      </c>
      <c r="M215" t="s">
        <v>81</v>
      </c>
      <c r="O215" t="s">
        <v>82</v>
      </c>
      <c r="P215">
        <v>40</v>
      </c>
      <c r="Q215">
        <v>46223</v>
      </c>
      <c r="R215">
        <v>46250</v>
      </c>
      <c r="S215">
        <v>2</v>
      </c>
      <c r="T215">
        <v>80</v>
      </c>
      <c r="U215">
        <v>10.526315789473683</v>
      </c>
      <c r="V215">
        <v>10</v>
      </c>
      <c r="W215">
        <v>20</v>
      </c>
      <c r="X215">
        <v>10</v>
      </c>
      <c r="Y215" t="s">
        <v>83</v>
      </c>
      <c r="Z215" t="s">
        <v>438</v>
      </c>
    </row>
    <row r="216" spans="1:26" hidden="1" x14ac:dyDescent="0.25">
      <c r="A216" t="s">
        <v>504</v>
      </c>
      <c r="B216" t="s">
        <v>22</v>
      </c>
      <c r="C216">
        <v>35</v>
      </c>
      <c r="E216" t="s">
        <v>76</v>
      </c>
      <c r="F216" t="s">
        <v>505</v>
      </c>
      <c r="G216" t="s">
        <v>438</v>
      </c>
      <c r="H216" t="s">
        <v>88</v>
      </c>
      <c r="I216" t="s">
        <v>22</v>
      </c>
      <c r="J216" t="b">
        <v>1</v>
      </c>
      <c r="K216" t="b">
        <v>0</v>
      </c>
      <c r="L216" t="s">
        <v>92</v>
      </c>
      <c r="M216" t="s">
        <v>81</v>
      </c>
      <c r="O216" t="s">
        <v>89</v>
      </c>
      <c r="P216">
        <v>76</v>
      </c>
      <c r="Q216">
        <v>46223</v>
      </c>
      <c r="R216">
        <v>46250</v>
      </c>
      <c r="S216">
        <v>2</v>
      </c>
      <c r="T216">
        <v>152</v>
      </c>
      <c r="U216">
        <v>20</v>
      </c>
      <c r="V216">
        <v>20</v>
      </c>
      <c r="W216">
        <v>20</v>
      </c>
      <c r="X216">
        <v>20</v>
      </c>
      <c r="Y216" t="s">
        <v>89</v>
      </c>
      <c r="Z216" t="s">
        <v>438</v>
      </c>
    </row>
    <row r="217" spans="1:26" hidden="1" x14ac:dyDescent="0.25">
      <c r="A217" t="s">
        <v>506</v>
      </c>
      <c r="B217" t="s">
        <v>22</v>
      </c>
      <c r="C217">
        <v>36</v>
      </c>
      <c r="E217" t="s">
        <v>76</v>
      </c>
      <c r="F217" t="s">
        <v>507</v>
      </c>
      <c r="G217" t="s">
        <v>438</v>
      </c>
      <c r="H217" t="s">
        <v>110</v>
      </c>
      <c r="I217" t="s">
        <v>22</v>
      </c>
      <c r="J217" t="b">
        <v>1</v>
      </c>
      <c r="K217" t="b">
        <v>0</v>
      </c>
      <c r="L217" t="s">
        <v>92</v>
      </c>
      <c r="M217" t="s">
        <v>81</v>
      </c>
      <c r="O217" t="s">
        <v>82</v>
      </c>
      <c r="P217">
        <v>76</v>
      </c>
      <c r="Q217">
        <v>46223</v>
      </c>
      <c r="R217">
        <v>46250</v>
      </c>
      <c r="S217">
        <v>2</v>
      </c>
      <c r="T217">
        <v>152</v>
      </c>
      <c r="U217">
        <v>20</v>
      </c>
      <c r="V217">
        <v>20</v>
      </c>
      <c r="W217">
        <v>20</v>
      </c>
      <c r="X217">
        <v>20</v>
      </c>
      <c r="Y217" t="s">
        <v>111</v>
      </c>
      <c r="Z217" t="s">
        <v>438</v>
      </c>
    </row>
    <row r="218" spans="1:26" hidden="1" x14ac:dyDescent="0.25">
      <c r="A218" t="s">
        <v>508</v>
      </c>
      <c r="B218" t="s">
        <v>29</v>
      </c>
      <c r="C218">
        <v>37</v>
      </c>
      <c r="E218" t="s">
        <v>76</v>
      </c>
      <c r="F218" t="s">
        <v>509</v>
      </c>
      <c r="G218" t="s">
        <v>438</v>
      </c>
      <c r="H218" t="s">
        <v>110</v>
      </c>
      <c r="I218" t="s">
        <v>29</v>
      </c>
      <c r="J218" t="b">
        <v>1</v>
      </c>
      <c r="K218" t="b">
        <v>0</v>
      </c>
      <c r="L218" t="s">
        <v>92</v>
      </c>
      <c r="M218" t="s">
        <v>81</v>
      </c>
      <c r="O218" t="s">
        <v>82</v>
      </c>
      <c r="P218">
        <v>76</v>
      </c>
      <c r="Q218">
        <v>46223</v>
      </c>
      <c r="R218">
        <v>46250</v>
      </c>
      <c r="S218">
        <v>2</v>
      </c>
      <c r="T218">
        <v>152</v>
      </c>
      <c r="U218">
        <v>20</v>
      </c>
      <c r="V218">
        <v>20</v>
      </c>
      <c r="W218">
        <v>20</v>
      </c>
      <c r="X218">
        <v>20</v>
      </c>
      <c r="Y218" t="s">
        <v>111</v>
      </c>
      <c r="Z218" t="s">
        <v>438</v>
      </c>
    </row>
    <row r="219" spans="1:26" hidden="1" x14ac:dyDescent="0.25">
      <c r="A219" t="s">
        <v>510</v>
      </c>
      <c r="B219" t="s">
        <v>22</v>
      </c>
      <c r="C219">
        <v>38</v>
      </c>
      <c r="E219" t="s">
        <v>76</v>
      </c>
      <c r="F219" t="s">
        <v>511</v>
      </c>
      <c r="G219" t="s">
        <v>438</v>
      </c>
      <c r="H219" t="s">
        <v>88</v>
      </c>
      <c r="I219" t="s">
        <v>22</v>
      </c>
      <c r="J219" t="b">
        <v>1</v>
      </c>
      <c r="K219" t="b">
        <v>0</v>
      </c>
      <c r="L219" t="s">
        <v>92</v>
      </c>
      <c r="M219" t="s">
        <v>81</v>
      </c>
      <c r="O219" t="s">
        <v>89</v>
      </c>
      <c r="P219">
        <v>76</v>
      </c>
      <c r="Q219">
        <v>46223</v>
      </c>
      <c r="R219">
        <v>46250</v>
      </c>
      <c r="S219">
        <v>2</v>
      </c>
      <c r="T219">
        <v>152</v>
      </c>
      <c r="U219">
        <v>20</v>
      </c>
      <c r="V219">
        <v>20</v>
      </c>
      <c r="W219">
        <v>20</v>
      </c>
      <c r="X219">
        <v>20</v>
      </c>
      <c r="Y219" t="s">
        <v>89</v>
      </c>
      <c r="Z219" t="s">
        <v>438</v>
      </c>
    </row>
    <row r="220" spans="1:26" hidden="1" x14ac:dyDescent="0.25">
      <c r="A220" t="s">
        <v>512</v>
      </c>
      <c r="B220" t="s">
        <v>22</v>
      </c>
      <c r="C220">
        <v>39</v>
      </c>
      <c r="E220" t="s">
        <v>76</v>
      </c>
      <c r="F220" t="s">
        <v>513</v>
      </c>
      <c r="G220" t="s">
        <v>438</v>
      </c>
      <c r="H220" t="s">
        <v>79</v>
      </c>
      <c r="I220" t="s">
        <v>22</v>
      </c>
      <c r="J220" t="b">
        <v>1</v>
      </c>
      <c r="K220" t="b">
        <v>0</v>
      </c>
      <c r="L220" t="s">
        <v>92</v>
      </c>
      <c r="M220" t="s">
        <v>81</v>
      </c>
      <c r="O220" t="s">
        <v>82</v>
      </c>
      <c r="P220">
        <v>16</v>
      </c>
      <c r="Q220">
        <v>46223</v>
      </c>
      <c r="R220">
        <v>46250</v>
      </c>
      <c r="S220">
        <v>2</v>
      </c>
      <c r="T220">
        <v>32</v>
      </c>
      <c r="U220">
        <v>4.2105263157894735</v>
      </c>
      <c r="V220">
        <v>4</v>
      </c>
      <c r="W220">
        <v>20</v>
      </c>
      <c r="X220">
        <v>4</v>
      </c>
      <c r="Y220" t="s">
        <v>83</v>
      </c>
      <c r="Z220" t="s">
        <v>438</v>
      </c>
    </row>
    <row r="221" spans="1:26" hidden="1" x14ac:dyDescent="0.25">
      <c r="A221" t="s">
        <v>514</v>
      </c>
      <c r="B221" t="s">
        <v>22</v>
      </c>
      <c r="C221">
        <v>40</v>
      </c>
      <c r="E221" t="s">
        <v>76</v>
      </c>
      <c r="F221" t="s">
        <v>515</v>
      </c>
      <c r="G221" t="s">
        <v>438</v>
      </c>
      <c r="H221" t="s">
        <v>110</v>
      </c>
      <c r="I221" t="s">
        <v>22</v>
      </c>
      <c r="J221" t="b">
        <v>1</v>
      </c>
      <c r="K221" t="b">
        <v>1</v>
      </c>
      <c r="L221" t="s">
        <v>95</v>
      </c>
      <c r="M221" t="s">
        <v>81</v>
      </c>
      <c r="O221" t="s">
        <v>82</v>
      </c>
      <c r="P221">
        <v>76</v>
      </c>
      <c r="Q221">
        <v>46223</v>
      </c>
      <c r="R221">
        <v>46250</v>
      </c>
      <c r="S221">
        <v>2</v>
      </c>
      <c r="T221">
        <v>152</v>
      </c>
      <c r="U221">
        <v>20</v>
      </c>
      <c r="V221">
        <v>20</v>
      </c>
      <c r="W221">
        <v>20</v>
      </c>
      <c r="X221">
        <v>20</v>
      </c>
      <c r="Y221" t="s">
        <v>111</v>
      </c>
      <c r="Z221" t="s">
        <v>438</v>
      </c>
    </row>
    <row r="222" spans="1:26" hidden="1" x14ac:dyDescent="0.25">
      <c r="A222" t="s">
        <v>516</v>
      </c>
      <c r="B222" t="s">
        <v>22</v>
      </c>
      <c r="C222">
        <v>41</v>
      </c>
      <c r="E222" t="s">
        <v>76</v>
      </c>
      <c r="F222" t="s">
        <v>517</v>
      </c>
      <c r="G222" t="s">
        <v>438</v>
      </c>
      <c r="H222" t="s">
        <v>110</v>
      </c>
      <c r="I222" t="s">
        <v>22</v>
      </c>
      <c r="J222" t="b">
        <v>1</v>
      </c>
      <c r="K222" t="b">
        <v>1</v>
      </c>
      <c r="L222" t="s">
        <v>95</v>
      </c>
      <c r="M222" t="s">
        <v>81</v>
      </c>
      <c r="O222" t="s">
        <v>82</v>
      </c>
      <c r="P222">
        <v>76</v>
      </c>
      <c r="Q222">
        <v>46223</v>
      </c>
      <c r="R222">
        <v>46250</v>
      </c>
      <c r="S222">
        <v>2</v>
      </c>
      <c r="T222">
        <v>152</v>
      </c>
      <c r="U222">
        <v>20</v>
      </c>
      <c r="V222">
        <v>20</v>
      </c>
      <c r="W222">
        <v>20</v>
      </c>
      <c r="X222">
        <v>20</v>
      </c>
      <c r="Y222" t="s">
        <v>111</v>
      </c>
      <c r="Z222" t="s">
        <v>438</v>
      </c>
    </row>
    <row r="223" spans="1:26" hidden="1" x14ac:dyDescent="0.25">
      <c r="A223" t="s">
        <v>518</v>
      </c>
      <c r="B223" t="s">
        <v>22</v>
      </c>
      <c r="C223">
        <v>42</v>
      </c>
      <c r="D223" t="s">
        <v>40</v>
      </c>
      <c r="E223" t="s">
        <v>76</v>
      </c>
      <c r="F223" t="s">
        <v>519</v>
      </c>
      <c r="G223" t="s">
        <v>438</v>
      </c>
      <c r="H223" t="s">
        <v>79</v>
      </c>
      <c r="I223" t="s">
        <v>22</v>
      </c>
      <c r="J223" t="b">
        <v>0</v>
      </c>
      <c r="K223" t="b">
        <v>1</v>
      </c>
      <c r="L223" t="s">
        <v>80</v>
      </c>
      <c r="M223" t="s">
        <v>81</v>
      </c>
      <c r="O223" t="s">
        <v>82</v>
      </c>
      <c r="P223">
        <v>32</v>
      </c>
      <c r="Q223">
        <v>46223</v>
      </c>
      <c r="R223">
        <v>46250</v>
      </c>
      <c r="S223">
        <v>2</v>
      </c>
      <c r="T223">
        <v>64</v>
      </c>
      <c r="U223">
        <v>8.4210526315789469</v>
      </c>
      <c r="V223">
        <v>8</v>
      </c>
      <c r="W223">
        <v>20</v>
      </c>
      <c r="X223">
        <v>8</v>
      </c>
      <c r="Y223" t="s">
        <v>83</v>
      </c>
      <c r="Z223" t="s">
        <v>438</v>
      </c>
    </row>
    <row r="224" spans="1:26" hidden="1" x14ac:dyDescent="0.25">
      <c r="A224" t="s">
        <v>520</v>
      </c>
      <c r="B224" t="s">
        <v>22</v>
      </c>
      <c r="C224">
        <v>43</v>
      </c>
      <c r="E224" t="s">
        <v>76</v>
      </c>
      <c r="F224" t="s">
        <v>521</v>
      </c>
      <c r="G224" t="s">
        <v>438</v>
      </c>
      <c r="H224" t="s">
        <v>110</v>
      </c>
      <c r="I224" t="s">
        <v>22</v>
      </c>
      <c r="J224" t="b">
        <v>1</v>
      </c>
      <c r="K224" t="b">
        <v>0</v>
      </c>
      <c r="L224" t="s">
        <v>92</v>
      </c>
      <c r="M224" t="s">
        <v>81</v>
      </c>
      <c r="O224" t="s">
        <v>82</v>
      </c>
      <c r="P224">
        <v>76</v>
      </c>
      <c r="Q224">
        <v>46223</v>
      </c>
      <c r="R224">
        <v>46250</v>
      </c>
      <c r="S224">
        <v>2</v>
      </c>
      <c r="T224">
        <v>152</v>
      </c>
      <c r="U224">
        <v>20</v>
      </c>
      <c r="V224">
        <v>20</v>
      </c>
      <c r="W224">
        <v>20</v>
      </c>
      <c r="X224">
        <v>20</v>
      </c>
      <c r="Y224" t="s">
        <v>111</v>
      </c>
      <c r="Z224" t="s">
        <v>438</v>
      </c>
    </row>
    <row r="225" spans="1:26" hidden="1" x14ac:dyDescent="0.25">
      <c r="A225" t="s">
        <v>522</v>
      </c>
      <c r="B225" t="s">
        <v>29</v>
      </c>
      <c r="C225">
        <v>44</v>
      </c>
      <c r="E225" t="s">
        <v>76</v>
      </c>
      <c r="F225" t="s">
        <v>523</v>
      </c>
      <c r="G225" t="s">
        <v>438</v>
      </c>
      <c r="H225" t="s">
        <v>79</v>
      </c>
      <c r="I225" t="s">
        <v>29</v>
      </c>
      <c r="J225" t="b">
        <v>1</v>
      </c>
      <c r="K225" t="b">
        <v>1</v>
      </c>
      <c r="L225" t="s">
        <v>95</v>
      </c>
      <c r="M225" t="s">
        <v>81</v>
      </c>
      <c r="O225" t="s">
        <v>82</v>
      </c>
      <c r="P225">
        <v>56</v>
      </c>
      <c r="Q225">
        <v>46223</v>
      </c>
      <c r="R225">
        <v>46250</v>
      </c>
      <c r="S225">
        <v>2</v>
      </c>
      <c r="T225">
        <v>112</v>
      </c>
      <c r="U225">
        <v>14.736842105263159</v>
      </c>
      <c r="V225">
        <v>14</v>
      </c>
      <c r="W225">
        <v>20</v>
      </c>
      <c r="X225">
        <v>14</v>
      </c>
      <c r="Y225" t="s">
        <v>83</v>
      </c>
      <c r="Z225" t="s">
        <v>438</v>
      </c>
    </row>
    <row r="226" spans="1:26" hidden="1" x14ac:dyDescent="0.25">
      <c r="A226" t="s">
        <v>524</v>
      </c>
      <c r="B226" t="s">
        <v>22</v>
      </c>
      <c r="C226">
        <v>45</v>
      </c>
      <c r="E226" t="s">
        <v>76</v>
      </c>
      <c r="F226" t="s">
        <v>525</v>
      </c>
      <c r="G226" t="s">
        <v>438</v>
      </c>
      <c r="H226" t="s">
        <v>79</v>
      </c>
      <c r="I226" t="s">
        <v>22</v>
      </c>
      <c r="J226" t="b">
        <v>1</v>
      </c>
      <c r="K226" t="b">
        <v>1</v>
      </c>
      <c r="L226" t="s">
        <v>95</v>
      </c>
      <c r="M226" t="s">
        <v>81</v>
      </c>
      <c r="O226" t="s">
        <v>82</v>
      </c>
      <c r="P226">
        <v>56</v>
      </c>
      <c r="Q226">
        <v>46223</v>
      </c>
      <c r="R226">
        <v>46250</v>
      </c>
      <c r="S226">
        <v>2</v>
      </c>
      <c r="T226">
        <v>112</v>
      </c>
      <c r="U226">
        <v>14.736842105263159</v>
      </c>
      <c r="V226">
        <v>14</v>
      </c>
      <c r="W226">
        <v>20</v>
      </c>
      <c r="X226">
        <v>14</v>
      </c>
      <c r="Y226" t="s">
        <v>83</v>
      </c>
      <c r="Z226" t="s">
        <v>438</v>
      </c>
    </row>
    <row r="227" spans="1:26" hidden="1" x14ac:dyDescent="0.25">
      <c r="A227" t="s">
        <v>526</v>
      </c>
      <c r="B227" t="s">
        <v>29</v>
      </c>
      <c r="C227">
        <v>46</v>
      </c>
      <c r="E227" t="s">
        <v>76</v>
      </c>
      <c r="F227" t="s">
        <v>527</v>
      </c>
      <c r="G227" t="s">
        <v>438</v>
      </c>
      <c r="H227" t="s">
        <v>79</v>
      </c>
      <c r="I227" t="s">
        <v>29</v>
      </c>
      <c r="J227" t="b">
        <v>1</v>
      </c>
      <c r="K227" t="b">
        <v>1</v>
      </c>
      <c r="L227" t="s">
        <v>95</v>
      </c>
      <c r="M227" t="s">
        <v>81</v>
      </c>
      <c r="O227" t="s">
        <v>82</v>
      </c>
      <c r="P227">
        <v>48</v>
      </c>
      <c r="Q227">
        <v>46223</v>
      </c>
      <c r="R227">
        <v>46250</v>
      </c>
      <c r="S227">
        <v>2</v>
      </c>
      <c r="T227">
        <v>96</v>
      </c>
      <c r="U227">
        <v>12.631578947368419</v>
      </c>
      <c r="V227">
        <v>12</v>
      </c>
      <c r="W227">
        <v>20</v>
      </c>
      <c r="X227">
        <v>12</v>
      </c>
      <c r="Y227" t="s">
        <v>83</v>
      </c>
      <c r="Z227" t="s">
        <v>438</v>
      </c>
    </row>
    <row r="228" spans="1:26" hidden="1" x14ac:dyDescent="0.25">
      <c r="A228" t="s">
        <v>528</v>
      </c>
      <c r="B228" t="s">
        <v>22</v>
      </c>
      <c r="C228">
        <v>47</v>
      </c>
      <c r="E228" t="s">
        <v>76</v>
      </c>
      <c r="F228" t="s">
        <v>529</v>
      </c>
      <c r="G228" t="s">
        <v>438</v>
      </c>
      <c r="H228" t="s">
        <v>79</v>
      </c>
      <c r="I228" t="s">
        <v>22</v>
      </c>
      <c r="J228" t="b">
        <v>1</v>
      </c>
      <c r="K228" t="b">
        <v>0</v>
      </c>
      <c r="L228" t="s">
        <v>92</v>
      </c>
      <c r="M228" t="s">
        <v>81</v>
      </c>
      <c r="O228" t="s">
        <v>82</v>
      </c>
      <c r="P228">
        <v>32</v>
      </c>
      <c r="Q228">
        <v>46223</v>
      </c>
      <c r="R228">
        <v>46250</v>
      </c>
      <c r="S228">
        <v>2</v>
      </c>
      <c r="T228">
        <v>64</v>
      </c>
      <c r="U228">
        <v>8.4210526315789469</v>
      </c>
      <c r="V228">
        <v>8</v>
      </c>
      <c r="W228">
        <v>20</v>
      </c>
      <c r="X228">
        <v>8</v>
      </c>
      <c r="Y228" t="s">
        <v>83</v>
      </c>
      <c r="Z228" t="s">
        <v>438</v>
      </c>
    </row>
    <row r="229" spans="1:26" hidden="1" x14ac:dyDescent="0.25">
      <c r="A229" t="s">
        <v>530</v>
      </c>
      <c r="B229" t="s">
        <v>22</v>
      </c>
      <c r="C229">
        <v>48</v>
      </c>
      <c r="E229" t="s">
        <v>76</v>
      </c>
      <c r="F229" t="s">
        <v>531</v>
      </c>
      <c r="G229" t="s">
        <v>438</v>
      </c>
      <c r="H229" t="s">
        <v>88</v>
      </c>
      <c r="I229" t="s">
        <v>22</v>
      </c>
      <c r="J229" t="b">
        <v>1</v>
      </c>
      <c r="K229" t="b">
        <v>0</v>
      </c>
      <c r="L229" t="s">
        <v>92</v>
      </c>
      <c r="M229" t="s">
        <v>81</v>
      </c>
      <c r="O229" t="s">
        <v>89</v>
      </c>
      <c r="P229">
        <v>76</v>
      </c>
      <c r="Q229">
        <v>46223</v>
      </c>
      <c r="R229">
        <v>46250</v>
      </c>
      <c r="S229">
        <v>2</v>
      </c>
      <c r="T229">
        <v>152</v>
      </c>
      <c r="U229">
        <v>20</v>
      </c>
      <c r="V229">
        <v>20</v>
      </c>
      <c r="W229">
        <v>20</v>
      </c>
      <c r="X229">
        <v>20</v>
      </c>
      <c r="Y229" t="s">
        <v>89</v>
      </c>
      <c r="Z229" t="s">
        <v>438</v>
      </c>
    </row>
    <row r="230" spans="1:26" hidden="1" x14ac:dyDescent="0.25">
      <c r="A230" t="s">
        <v>532</v>
      </c>
      <c r="B230" t="s">
        <v>22</v>
      </c>
      <c r="C230">
        <v>49</v>
      </c>
      <c r="E230" t="s">
        <v>76</v>
      </c>
      <c r="F230" t="s">
        <v>533</v>
      </c>
      <c r="G230" t="s">
        <v>438</v>
      </c>
      <c r="H230" t="s">
        <v>88</v>
      </c>
      <c r="I230" t="s">
        <v>22</v>
      </c>
      <c r="J230" t="b">
        <v>1</v>
      </c>
      <c r="K230" t="b">
        <v>0</v>
      </c>
      <c r="L230" t="s">
        <v>92</v>
      </c>
      <c r="M230" t="s">
        <v>81</v>
      </c>
      <c r="O230" t="s">
        <v>89</v>
      </c>
      <c r="P230">
        <v>76</v>
      </c>
      <c r="Q230">
        <v>46223</v>
      </c>
      <c r="R230">
        <v>46250</v>
      </c>
      <c r="S230">
        <v>2</v>
      </c>
      <c r="T230">
        <v>152</v>
      </c>
      <c r="U230">
        <v>20</v>
      </c>
      <c r="V230">
        <v>20</v>
      </c>
      <c r="W230">
        <v>20</v>
      </c>
      <c r="X230">
        <v>20</v>
      </c>
      <c r="Y230" t="s">
        <v>89</v>
      </c>
      <c r="Z230" t="s">
        <v>438</v>
      </c>
    </row>
    <row r="231" spans="1:26" hidden="1" x14ac:dyDescent="0.25">
      <c r="A231" t="s">
        <v>534</v>
      </c>
      <c r="B231" t="s">
        <v>29</v>
      </c>
      <c r="C231">
        <v>50</v>
      </c>
      <c r="E231" t="s">
        <v>76</v>
      </c>
      <c r="F231" t="s">
        <v>535</v>
      </c>
      <c r="G231" t="s">
        <v>438</v>
      </c>
      <c r="H231" t="s">
        <v>110</v>
      </c>
      <c r="I231" t="s">
        <v>29</v>
      </c>
      <c r="J231" t="b">
        <v>1</v>
      </c>
      <c r="K231" t="b">
        <v>1</v>
      </c>
      <c r="L231" t="s">
        <v>95</v>
      </c>
      <c r="M231" t="s">
        <v>81</v>
      </c>
      <c r="O231" t="s">
        <v>82</v>
      </c>
      <c r="P231">
        <v>76</v>
      </c>
      <c r="Q231">
        <v>46223</v>
      </c>
      <c r="R231">
        <v>46250</v>
      </c>
      <c r="S231">
        <v>2</v>
      </c>
      <c r="T231">
        <v>152</v>
      </c>
      <c r="U231">
        <v>20</v>
      </c>
      <c r="V231">
        <v>20</v>
      </c>
      <c r="W231">
        <v>20</v>
      </c>
      <c r="X231">
        <v>20</v>
      </c>
      <c r="Y231" t="s">
        <v>111</v>
      </c>
      <c r="Z231" t="s">
        <v>438</v>
      </c>
    </row>
    <row r="232" spans="1:26" hidden="1" x14ac:dyDescent="0.25">
      <c r="A232" t="s">
        <v>536</v>
      </c>
      <c r="B232" t="s">
        <v>22</v>
      </c>
      <c r="C232">
        <v>51</v>
      </c>
      <c r="E232" t="s">
        <v>76</v>
      </c>
      <c r="F232" t="s">
        <v>537</v>
      </c>
      <c r="G232" t="s">
        <v>438</v>
      </c>
      <c r="H232" t="s">
        <v>110</v>
      </c>
      <c r="I232" t="s">
        <v>22</v>
      </c>
      <c r="J232" t="b">
        <v>1</v>
      </c>
      <c r="K232" t="b">
        <v>1</v>
      </c>
      <c r="L232" t="s">
        <v>95</v>
      </c>
      <c r="M232" t="s">
        <v>81</v>
      </c>
      <c r="O232" t="s">
        <v>82</v>
      </c>
      <c r="P232">
        <v>76</v>
      </c>
      <c r="Q232">
        <v>46223</v>
      </c>
      <c r="R232">
        <v>46250</v>
      </c>
      <c r="S232">
        <v>2</v>
      </c>
      <c r="T232">
        <v>152</v>
      </c>
      <c r="U232">
        <v>20</v>
      </c>
      <c r="V232">
        <v>20</v>
      </c>
      <c r="W232">
        <v>20</v>
      </c>
      <c r="X232">
        <v>20</v>
      </c>
      <c r="Y232" t="s">
        <v>111</v>
      </c>
      <c r="Z232" t="s">
        <v>438</v>
      </c>
    </row>
    <row r="233" spans="1:26" hidden="1" x14ac:dyDescent="0.25">
      <c r="A233" t="s">
        <v>538</v>
      </c>
      <c r="B233" t="s">
        <v>22</v>
      </c>
      <c r="C233">
        <v>52</v>
      </c>
      <c r="D233" t="s">
        <v>40</v>
      </c>
      <c r="E233" t="s">
        <v>76</v>
      </c>
      <c r="F233" t="s">
        <v>539</v>
      </c>
      <c r="G233" t="s">
        <v>438</v>
      </c>
      <c r="H233" t="s">
        <v>88</v>
      </c>
      <c r="I233" t="s">
        <v>22</v>
      </c>
      <c r="J233" t="b">
        <v>0</v>
      </c>
      <c r="K233" t="b">
        <v>1</v>
      </c>
      <c r="L233" t="s">
        <v>80</v>
      </c>
      <c r="M233" t="s">
        <v>81</v>
      </c>
      <c r="O233" t="s">
        <v>89</v>
      </c>
      <c r="P233">
        <v>76</v>
      </c>
      <c r="Q233">
        <v>46223</v>
      </c>
      <c r="R233">
        <v>46250</v>
      </c>
      <c r="S233">
        <v>2</v>
      </c>
      <c r="T233">
        <v>152</v>
      </c>
      <c r="U233">
        <v>20</v>
      </c>
      <c r="V233">
        <v>20</v>
      </c>
      <c r="W233">
        <v>20</v>
      </c>
      <c r="X233">
        <v>20</v>
      </c>
      <c r="Y233" t="s">
        <v>89</v>
      </c>
      <c r="Z233" t="s">
        <v>438</v>
      </c>
    </row>
    <row r="234" spans="1:26" hidden="1" x14ac:dyDescent="0.25">
      <c r="A234" t="s">
        <v>540</v>
      </c>
      <c r="B234" t="s">
        <v>22</v>
      </c>
      <c r="C234">
        <v>53</v>
      </c>
      <c r="E234" t="s">
        <v>76</v>
      </c>
      <c r="F234" t="s">
        <v>541</v>
      </c>
      <c r="G234" t="s">
        <v>438</v>
      </c>
      <c r="H234" t="s">
        <v>110</v>
      </c>
      <c r="I234" t="s">
        <v>22</v>
      </c>
      <c r="J234" t="b">
        <v>1</v>
      </c>
      <c r="K234" t="b">
        <v>1</v>
      </c>
      <c r="L234" t="s">
        <v>95</v>
      </c>
      <c r="M234" t="s">
        <v>81</v>
      </c>
      <c r="O234" t="s">
        <v>82</v>
      </c>
      <c r="P234">
        <v>76</v>
      </c>
      <c r="Q234">
        <v>46223</v>
      </c>
      <c r="R234">
        <v>46250</v>
      </c>
      <c r="S234">
        <v>2</v>
      </c>
      <c r="T234">
        <v>152</v>
      </c>
      <c r="U234">
        <v>20</v>
      </c>
      <c r="V234">
        <v>20</v>
      </c>
      <c r="W234">
        <v>20</v>
      </c>
      <c r="X234">
        <v>20</v>
      </c>
      <c r="Y234" t="s">
        <v>111</v>
      </c>
      <c r="Z234" t="s">
        <v>438</v>
      </c>
    </row>
    <row r="235" spans="1:26" hidden="1" x14ac:dyDescent="0.25">
      <c r="A235" t="s">
        <v>542</v>
      </c>
      <c r="B235" t="s">
        <v>22</v>
      </c>
      <c r="C235">
        <v>54</v>
      </c>
      <c r="E235" t="s">
        <v>76</v>
      </c>
      <c r="F235" t="s">
        <v>543</v>
      </c>
      <c r="G235" t="s">
        <v>438</v>
      </c>
      <c r="H235" t="s">
        <v>79</v>
      </c>
      <c r="I235" t="s">
        <v>22</v>
      </c>
      <c r="J235" t="b">
        <v>1</v>
      </c>
      <c r="K235" t="b">
        <v>1</v>
      </c>
      <c r="L235" t="s">
        <v>95</v>
      </c>
      <c r="M235" t="s">
        <v>81</v>
      </c>
      <c r="O235" t="s">
        <v>82</v>
      </c>
      <c r="P235">
        <v>60</v>
      </c>
      <c r="Q235">
        <v>46223</v>
      </c>
      <c r="R235">
        <v>46250</v>
      </c>
      <c r="S235">
        <v>2</v>
      </c>
      <c r="T235">
        <v>120</v>
      </c>
      <c r="U235">
        <v>15.789473684210527</v>
      </c>
      <c r="V235">
        <v>15</v>
      </c>
      <c r="W235">
        <v>20</v>
      </c>
      <c r="X235">
        <v>15</v>
      </c>
      <c r="Y235" t="s">
        <v>83</v>
      </c>
      <c r="Z235" t="s">
        <v>438</v>
      </c>
    </row>
    <row r="236" spans="1:26" hidden="1" x14ac:dyDescent="0.25">
      <c r="A236" t="s">
        <v>414</v>
      </c>
      <c r="B236" t="s">
        <v>22</v>
      </c>
      <c r="C236">
        <v>55</v>
      </c>
      <c r="D236" t="s">
        <v>40</v>
      </c>
      <c r="E236" t="s">
        <v>76</v>
      </c>
      <c r="F236" t="s">
        <v>415</v>
      </c>
      <c r="G236" t="s">
        <v>438</v>
      </c>
      <c r="H236" t="s">
        <v>88</v>
      </c>
      <c r="I236" t="s">
        <v>22</v>
      </c>
      <c r="J236" t="b">
        <v>0</v>
      </c>
      <c r="K236" t="b">
        <v>1</v>
      </c>
      <c r="L236" t="s">
        <v>80</v>
      </c>
      <c r="M236" t="s">
        <v>81</v>
      </c>
      <c r="O236" t="s">
        <v>89</v>
      </c>
      <c r="P236">
        <v>76</v>
      </c>
      <c r="Q236">
        <v>46223</v>
      </c>
      <c r="R236">
        <v>46250</v>
      </c>
      <c r="S236">
        <v>2</v>
      </c>
      <c r="T236">
        <v>152</v>
      </c>
      <c r="U236">
        <v>20</v>
      </c>
      <c r="V236">
        <v>20</v>
      </c>
      <c r="W236">
        <v>20</v>
      </c>
      <c r="X236">
        <v>20</v>
      </c>
      <c r="Y236" t="s">
        <v>89</v>
      </c>
      <c r="Z236" t="s">
        <v>438</v>
      </c>
    </row>
    <row r="237" spans="1:26" hidden="1" x14ac:dyDescent="0.25">
      <c r="A237" t="s">
        <v>544</v>
      </c>
      <c r="B237" t="s">
        <v>22</v>
      </c>
      <c r="C237">
        <v>56</v>
      </c>
      <c r="E237" t="s">
        <v>76</v>
      </c>
      <c r="F237" t="s">
        <v>545</v>
      </c>
      <c r="G237" t="s">
        <v>438</v>
      </c>
      <c r="H237" t="s">
        <v>88</v>
      </c>
      <c r="I237" t="s">
        <v>22</v>
      </c>
      <c r="J237" t="b">
        <v>1</v>
      </c>
      <c r="K237" t="b">
        <v>0</v>
      </c>
      <c r="L237" t="s">
        <v>92</v>
      </c>
      <c r="M237" t="s">
        <v>81</v>
      </c>
      <c r="O237" t="s">
        <v>89</v>
      </c>
      <c r="P237">
        <v>76</v>
      </c>
      <c r="Q237">
        <v>46223</v>
      </c>
      <c r="R237">
        <v>46250</v>
      </c>
      <c r="S237">
        <v>2</v>
      </c>
      <c r="T237">
        <v>152</v>
      </c>
      <c r="U237">
        <v>20</v>
      </c>
      <c r="V237">
        <v>20</v>
      </c>
      <c r="W237">
        <v>20</v>
      </c>
      <c r="X237">
        <v>20</v>
      </c>
      <c r="Y237" t="s">
        <v>89</v>
      </c>
      <c r="Z237" t="s">
        <v>438</v>
      </c>
    </row>
    <row r="238" spans="1:26" hidden="1" x14ac:dyDescent="0.25">
      <c r="A238" t="s">
        <v>546</v>
      </c>
      <c r="B238" t="s">
        <v>22</v>
      </c>
      <c r="C238">
        <v>57</v>
      </c>
      <c r="E238" t="s">
        <v>76</v>
      </c>
      <c r="F238" t="s">
        <v>547</v>
      </c>
      <c r="G238" t="s">
        <v>438</v>
      </c>
      <c r="H238" t="s">
        <v>79</v>
      </c>
      <c r="I238" t="s">
        <v>22</v>
      </c>
      <c r="J238" t="b">
        <v>1</v>
      </c>
      <c r="K238" t="b">
        <v>0</v>
      </c>
      <c r="L238" t="s">
        <v>92</v>
      </c>
      <c r="M238" t="s">
        <v>81</v>
      </c>
      <c r="O238" t="s">
        <v>82</v>
      </c>
      <c r="P238">
        <v>32</v>
      </c>
      <c r="Q238">
        <v>46223</v>
      </c>
      <c r="R238">
        <v>46250</v>
      </c>
      <c r="S238">
        <v>2</v>
      </c>
      <c r="T238">
        <v>64</v>
      </c>
      <c r="U238">
        <v>8.4210526315789469</v>
      </c>
      <c r="V238">
        <v>8</v>
      </c>
      <c r="W238">
        <v>20</v>
      </c>
      <c r="X238">
        <v>8</v>
      </c>
      <c r="Y238" t="s">
        <v>83</v>
      </c>
      <c r="Z238" t="s">
        <v>438</v>
      </c>
    </row>
    <row r="239" spans="1:26" hidden="1" x14ac:dyDescent="0.25">
      <c r="A239" t="s">
        <v>548</v>
      </c>
      <c r="B239" t="s">
        <v>22</v>
      </c>
      <c r="C239">
        <v>58</v>
      </c>
      <c r="E239" t="s">
        <v>76</v>
      </c>
      <c r="F239" t="s">
        <v>549</v>
      </c>
      <c r="G239" t="s">
        <v>438</v>
      </c>
      <c r="H239" t="s">
        <v>88</v>
      </c>
      <c r="I239" t="s">
        <v>22</v>
      </c>
      <c r="J239" t="b">
        <v>1</v>
      </c>
      <c r="K239" t="b">
        <v>0</v>
      </c>
      <c r="L239" t="s">
        <v>92</v>
      </c>
      <c r="M239" t="s">
        <v>81</v>
      </c>
      <c r="O239" t="s">
        <v>89</v>
      </c>
      <c r="P239">
        <v>76</v>
      </c>
      <c r="Q239">
        <v>46223</v>
      </c>
      <c r="R239">
        <v>46250</v>
      </c>
      <c r="S239">
        <v>2</v>
      </c>
      <c r="T239">
        <v>152</v>
      </c>
      <c r="U239">
        <v>20</v>
      </c>
      <c r="V239">
        <v>20</v>
      </c>
      <c r="W239">
        <v>20</v>
      </c>
      <c r="X239">
        <v>20</v>
      </c>
      <c r="Y239" t="s">
        <v>89</v>
      </c>
      <c r="Z239" t="s">
        <v>438</v>
      </c>
    </row>
    <row r="240" spans="1:26" hidden="1" x14ac:dyDescent="0.25">
      <c r="A240" t="s">
        <v>550</v>
      </c>
      <c r="B240" t="s">
        <v>22</v>
      </c>
      <c r="C240">
        <v>59</v>
      </c>
      <c r="E240" t="s">
        <v>76</v>
      </c>
      <c r="F240" t="s">
        <v>551</v>
      </c>
      <c r="G240" t="s">
        <v>438</v>
      </c>
      <c r="H240" t="s">
        <v>88</v>
      </c>
      <c r="I240" t="s">
        <v>22</v>
      </c>
      <c r="J240" t="b">
        <v>1</v>
      </c>
      <c r="K240" t="b">
        <v>0</v>
      </c>
      <c r="L240" t="s">
        <v>92</v>
      </c>
      <c r="M240" t="s">
        <v>81</v>
      </c>
      <c r="O240" t="s">
        <v>89</v>
      </c>
      <c r="P240">
        <v>76</v>
      </c>
      <c r="Q240">
        <v>46223</v>
      </c>
      <c r="R240">
        <v>46250</v>
      </c>
      <c r="S240">
        <v>2</v>
      </c>
      <c r="T240">
        <v>152</v>
      </c>
      <c r="U240">
        <v>20</v>
      </c>
      <c r="V240">
        <v>20</v>
      </c>
      <c r="W240">
        <v>20</v>
      </c>
      <c r="X240">
        <v>20</v>
      </c>
      <c r="Y240" t="s">
        <v>89</v>
      </c>
      <c r="Z240" t="s">
        <v>438</v>
      </c>
    </row>
    <row r="241" spans="1:26" hidden="1" x14ac:dyDescent="0.25">
      <c r="A241" t="s">
        <v>552</v>
      </c>
      <c r="B241" t="s">
        <v>22</v>
      </c>
      <c r="C241">
        <v>60</v>
      </c>
      <c r="E241" t="s">
        <v>76</v>
      </c>
      <c r="F241" t="s">
        <v>553</v>
      </c>
      <c r="G241" t="s">
        <v>438</v>
      </c>
      <c r="H241" t="s">
        <v>79</v>
      </c>
      <c r="I241" t="s">
        <v>22</v>
      </c>
      <c r="J241" t="b">
        <v>1</v>
      </c>
      <c r="K241" t="b">
        <v>1</v>
      </c>
      <c r="L241" t="s">
        <v>95</v>
      </c>
      <c r="M241" t="s">
        <v>81</v>
      </c>
      <c r="O241" t="s">
        <v>82</v>
      </c>
      <c r="P241">
        <v>64</v>
      </c>
      <c r="Q241">
        <v>46223</v>
      </c>
      <c r="R241">
        <v>46250</v>
      </c>
      <c r="S241">
        <v>2</v>
      </c>
      <c r="T241">
        <v>128</v>
      </c>
      <c r="U241">
        <v>16.842105263157894</v>
      </c>
      <c r="V241">
        <v>16</v>
      </c>
      <c r="W241">
        <v>20</v>
      </c>
      <c r="X241">
        <v>16</v>
      </c>
      <c r="Y241" t="s">
        <v>83</v>
      </c>
      <c r="Z241" t="s">
        <v>438</v>
      </c>
    </row>
    <row r="242" spans="1:26" hidden="1" x14ac:dyDescent="0.25">
      <c r="A242" t="s">
        <v>554</v>
      </c>
      <c r="B242" t="s">
        <v>22</v>
      </c>
      <c r="C242">
        <v>61</v>
      </c>
      <c r="E242" t="s">
        <v>76</v>
      </c>
      <c r="F242" t="s">
        <v>555</v>
      </c>
      <c r="G242" t="s">
        <v>438</v>
      </c>
      <c r="H242" t="s">
        <v>79</v>
      </c>
      <c r="I242" t="s">
        <v>22</v>
      </c>
      <c r="J242" t="b">
        <v>1</v>
      </c>
      <c r="K242" t="b">
        <v>1</v>
      </c>
      <c r="L242" t="s">
        <v>95</v>
      </c>
      <c r="M242" t="s">
        <v>81</v>
      </c>
      <c r="O242" t="s">
        <v>82</v>
      </c>
      <c r="P242">
        <v>64</v>
      </c>
      <c r="Q242">
        <v>46223</v>
      </c>
      <c r="R242">
        <v>46250</v>
      </c>
      <c r="S242">
        <v>2</v>
      </c>
      <c r="T242">
        <v>128</v>
      </c>
      <c r="U242">
        <v>16.842105263157894</v>
      </c>
      <c r="V242">
        <v>16</v>
      </c>
      <c r="W242">
        <v>20</v>
      </c>
      <c r="X242">
        <v>16</v>
      </c>
      <c r="Y242" t="s">
        <v>83</v>
      </c>
      <c r="Z242" t="s">
        <v>438</v>
      </c>
    </row>
    <row r="243" spans="1:26" hidden="1" x14ac:dyDescent="0.25">
      <c r="A243" t="s">
        <v>556</v>
      </c>
      <c r="B243" t="s">
        <v>22</v>
      </c>
      <c r="C243">
        <v>62</v>
      </c>
      <c r="D243" t="s">
        <v>40</v>
      </c>
      <c r="E243" t="s">
        <v>76</v>
      </c>
      <c r="F243" t="s">
        <v>557</v>
      </c>
      <c r="G243" t="s">
        <v>438</v>
      </c>
      <c r="H243" t="s">
        <v>110</v>
      </c>
      <c r="I243" t="s">
        <v>22</v>
      </c>
      <c r="J243" t="b">
        <v>0</v>
      </c>
      <c r="K243" t="b">
        <v>1</v>
      </c>
      <c r="L243" t="s">
        <v>80</v>
      </c>
      <c r="M243" t="s">
        <v>81</v>
      </c>
      <c r="O243" t="s">
        <v>82</v>
      </c>
      <c r="P243">
        <v>76</v>
      </c>
      <c r="Q243">
        <v>46223</v>
      </c>
      <c r="R243">
        <v>46250</v>
      </c>
      <c r="S243">
        <v>2</v>
      </c>
      <c r="T243">
        <v>152</v>
      </c>
      <c r="U243">
        <v>20</v>
      </c>
      <c r="V243">
        <v>20</v>
      </c>
      <c r="W243">
        <v>20</v>
      </c>
      <c r="X243">
        <v>20</v>
      </c>
      <c r="Y243" t="s">
        <v>111</v>
      </c>
      <c r="Z243" t="s">
        <v>438</v>
      </c>
    </row>
    <row r="244" spans="1:26" hidden="1" x14ac:dyDescent="0.25">
      <c r="A244" t="s">
        <v>558</v>
      </c>
      <c r="B244" t="s">
        <v>22</v>
      </c>
      <c r="C244">
        <v>63</v>
      </c>
      <c r="D244" t="s">
        <v>40</v>
      </c>
      <c r="E244" t="s">
        <v>76</v>
      </c>
      <c r="F244" t="s">
        <v>559</v>
      </c>
      <c r="G244" t="s">
        <v>438</v>
      </c>
      <c r="H244" t="s">
        <v>79</v>
      </c>
      <c r="I244" t="s">
        <v>22</v>
      </c>
      <c r="J244" t="b">
        <v>1</v>
      </c>
      <c r="K244" t="b">
        <v>0</v>
      </c>
      <c r="L244" t="s">
        <v>92</v>
      </c>
      <c r="M244" t="s">
        <v>81</v>
      </c>
      <c r="O244" t="s">
        <v>82</v>
      </c>
      <c r="P244">
        <v>60</v>
      </c>
      <c r="Q244">
        <v>46223</v>
      </c>
      <c r="R244">
        <v>46250</v>
      </c>
      <c r="S244">
        <v>2</v>
      </c>
      <c r="T244">
        <v>120</v>
      </c>
      <c r="U244">
        <v>15.789473684210527</v>
      </c>
      <c r="V244">
        <v>15</v>
      </c>
      <c r="W244">
        <v>20</v>
      </c>
      <c r="X244">
        <v>15</v>
      </c>
      <c r="Y244" t="s">
        <v>83</v>
      </c>
      <c r="Z244" t="s">
        <v>438</v>
      </c>
    </row>
    <row r="245" spans="1:26" hidden="1" x14ac:dyDescent="0.25">
      <c r="A245" t="s">
        <v>560</v>
      </c>
      <c r="B245" t="s">
        <v>31</v>
      </c>
      <c r="C245">
        <v>64</v>
      </c>
      <c r="E245" t="s">
        <v>76</v>
      </c>
      <c r="F245" t="s">
        <v>561</v>
      </c>
      <c r="G245" t="s">
        <v>438</v>
      </c>
      <c r="H245" t="s">
        <v>88</v>
      </c>
      <c r="I245" t="s">
        <v>31</v>
      </c>
      <c r="J245" t="b">
        <v>1</v>
      </c>
      <c r="K245" t="b">
        <v>0</v>
      </c>
      <c r="L245" t="s">
        <v>92</v>
      </c>
      <c r="M245" t="s">
        <v>81</v>
      </c>
      <c r="O245" t="s">
        <v>89</v>
      </c>
      <c r="P245">
        <v>76</v>
      </c>
      <c r="Q245">
        <v>46223</v>
      </c>
      <c r="R245">
        <v>46250</v>
      </c>
      <c r="S245">
        <v>2</v>
      </c>
      <c r="T245">
        <v>152</v>
      </c>
      <c r="U245">
        <v>20</v>
      </c>
      <c r="V245">
        <v>20</v>
      </c>
      <c r="W245">
        <v>20</v>
      </c>
      <c r="X245">
        <v>20</v>
      </c>
      <c r="Y245" t="s">
        <v>89</v>
      </c>
      <c r="Z245" t="s">
        <v>438</v>
      </c>
    </row>
    <row r="246" spans="1:26" hidden="1" x14ac:dyDescent="0.25">
      <c r="A246" t="s">
        <v>562</v>
      </c>
      <c r="B246" t="s">
        <v>22</v>
      </c>
      <c r="C246">
        <v>65</v>
      </c>
      <c r="D246" t="s">
        <v>40</v>
      </c>
      <c r="E246" t="s">
        <v>76</v>
      </c>
      <c r="F246" t="s">
        <v>563</v>
      </c>
      <c r="G246" t="s">
        <v>438</v>
      </c>
      <c r="H246" t="s">
        <v>88</v>
      </c>
      <c r="I246" t="s">
        <v>22</v>
      </c>
      <c r="J246" t="b">
        <v>0</v>
      </c>
      <c r="K246" t="b">
        <v>1</v>
      </c>
      <c r="L246" t="s">
        <v>80</v>
      </c>
      <c r="M246" t="s">
        <v>81</v>
      </c>
      <c r="O246" t="s">
        <v>89</v>
      </c>
      <c r="P246">
        <v>76</v>
      </c>
      <c r="Q246">
        <v>46223</v>
      </c>
      <c r="R246">
        <v>46250</v>
      </c>
      <c r="S246">
        <v>2</v>
      </c>
      <c r="T246">
        <v>152</v>
      </c>
      <c r="U246">
        <v>20</v>
      </c>
      <c r="V246">
        <v>20</v>
      </c>
      <c r="W246">
        <v>20</v>
      </c>
      <c r="X246">
        <v>20</v>
      </c>
      <c r="Y246" t="s">
        <v>89</v>
      </c>
      <c r="Z246" t="s">
        <v>438</v>
      </c>
    </row>
    <row r="247" spans="1:26" hidden="1" x14ac:dyDescent="0.25">
      <c r="A247" t="s">
        <v>564</v>
      </c>
      <c r="B247" t="s">
        <v>22</v>
      </c>
      <c r="C247">
        <v>66</v>
      </c>
      <c r="D247" t="s">
        <v>40</v>
      </c>
      <c r="E247" t="s">
        <v>76</v>
      </c>
      <c r="F247" t="s">
        <v>565</v>
      </c>
      <c r="G247" t="s">
        <v>438</v>
      </c>
      <c r="H247" t="s">
        <v>88</v>
      </c>
      <c r="I247" t="s">
        <v>22</v>
      </c>
      <c r="J247" t="b">
        <v>0</v>
      </c>
      <c r="K247" t="b">
        <v>1</v>
      </c>
      <c r="L247" t="s">
        <v>80</v>
      </c>
      <c r="M247" t="s">
        <v>81</v>
      </c>
      <c r="O247" t="s">
        <v>89</v>
      </c>
      <c r="P247">
        <v>76</v>
      </c>
      <c r="Q247">
        <v>46223</v>
      </c>
      <c r="R247">
        <v>46250</v>
      </c>
      <c r="S247">
        <v>2</v>
      </c>
      <c r="T247">
        <v>152</v>
      </c>
      <c r="U247">
        <v>20</v>
      </c>
      <c r="V247">
        <v>20</v>
      </c>
      <c r="W247">
        <v>20</v>
      </c>
      <c r="X247">
        <v>20</v>
      </c>
      <c r="Y247" t="s">
        <v>89</v>
      </c>
      <c r="Z247" t="s">
        <v>438</v>
      </c>
    </row>
    <row r="248" spans="1:26" hidden="1" x14ac:dyDescent="0.25">
      <c r="A248" t="s">
        <v>566</v>
      </c>
      <c r="B248" t="s">
        <v>22</v>
      </c>
      <c r="C248">
        <v>67</v>
      </c>
      <c r="D248" t="s">
        <v>40</v>
      </c>
      <c r="E248" t="s">
        <v>76</v>
      </c>
      <c r="F248" t="s">
        <v>567</v>
      </c>
      <c r="G248" t="s">
        <v>438</v>
      </c>
      <c r="H248" t="s">
        <v>88</v>
      </c>
      <c r="I248" t="s">
        <v>22</v>
      </c>
      <c r="J248" t="b">
        <v>0</v>
      </c>
      <c r="K248" t="b">
        <v>1</v>
      </c>
      <c r="L248" t="s">
        <v>80</v>
      </c>
      <c r="M248" t="s">
        <v>81</v>
      </c>
      <c r="O248" t="s">
        <v>89</v>
      </c>
      <c r="P248">
        <v>76</v>
      </c>
      <c r="Q248">
        <v>46223</v>
      </c>
      <c r="R248">
        <v>46250</v>
      </c>
      <c r="S248">
        <v>2</v>
      </c>
      <c r="T248">
        <v>152</v>
      </c>
      <c r="U248">
        <v>20</v>
      </c>
      <c r="V248">
        <v>20</v>
      </c>
      <c r="W248">
        <v>20</v>
      </c>
      <c r="X248">
        <v>20</v>
      </c>
      <c r="Y248" t="s">
        <v>89</v>
      </c>
      <c r="Z248" t="s">
        <v>438</v>
      </c>
    </row>
    <row r="249" spans="1:26" hidden="1" x14ac:dyDescent="0.25">
      <c r="A249" t="s">
        <v>568</v>
      </c>
      <c r="B249" t="s">
        <v>22</v>
      </c>
      <c r="C249">
        <v>68</v>
      </c>
      <c r="E249" t="s">
        <v>76</v>
      </c>
      <c r="F249" t="s">
        <v>569</v>
      </c>
      <c r="G249" t="s">
        <v>438</v>
      </c>
      <c r="H249" t="s">
        <v>110</v>
      </c>
      <c r="I249" t="s">
        <v>22</v>
      </c>
      <c r="J249" t="b">
        <v>1</v>
      </c>
      <c r="K249" t="b">
        <v>1</v>
      </c>
      <c r="L249" t="s">
        <v>95</v>
      </c>
      <c r="M249" t="s">
        <v>81</v>
      </c>
      <c r="O249" t="s">
        <v>82</v>
      </c>
      <c r="P249">
        <v>76</v>
      </c>
      <c r="Q249">
        <v>46223</v>
      </c>
      <c r="R249">
        <v>46250</v>
      </c>
      <c r="S249">
        <v>2</v>
      </c>
      <c r="T249">
        <v>152</v>
      </c>
      <c r="U249">
        <v>20</v>
      </c>
      <c r="V249">
        <v>20</v>
      </c>
      <c r="W249">
        <v>20</v>
      </c>
      <c r="X249">
        <v>20</v>
      </c>
      <c r="Y249" t="s">
        <v>111</v>
      </c>
      <c r="Z249" t="s">
        <v>438</v>
      </c>
    </row>
    <row r="250" spans="1:26" hidden="1" x14ac:dyDescent="0.25">
      <c r="A250" t="s">
        <v>570</v>
      </c>
      <c r="B250" t="s">
        <v>22</v>
      </c>
      <c r="C250">
        <v>69</v>
      </c>
      <c r="E250" t="s">
        <v>76</v>
      </c>
      <c r="F250" t="s">
        <v>571</v>
      </c>
      <c r="G250" t="s">
        <v>438</v>
      </c>
      <c r="H250" t="s">
        <v>110</v>
      </c>
      <c r="I250" t="s">
        <v>22</v>
      </c>
      <c r="J250" t="b">
        <v>1</v>
      </c>
      <c r="K250" t="b">
        <v>0</v>
      </c>
      <c r="L250" t="s">
        <v>92</v>
      </c>
      <c r="M250" t="s">
        <v>81</v>
      </c>
      <c r="O250" t="s">
        <v>82</v>
      </c>
      <c r="P250">
        <v>76</v>
      </c>
      <c r="Q250">
        <v>46223</v>
      </c>
      <c r="R250">
        <v>46250</v>
      </c>
      <c r="S250">
        <v>2</v>
      </c>
      <c r="T250">
        <v>152</v>
      </c>
      <c r="U250">
        <v>20</v>
      </c>
      <c r="V250">
        <v>20</v>
      </c>
      <c r="W250">
        <v>20</v>
      </c>
      <c r="X250">
        <v>20</v>
      </c>
      <c r="Y250" t="s">
        <v>111</v>
      </c>
      <c r="Z250" t="s">
        <v>438</v>
      </c>
    </row>
    <row r="251" spans="1:26" hidden="1" x14ac:dyDescent="0.25">
      <c r="A251" t="s">
        <v>572</v>
      </c>
      <c r="B251" t="s">
        <v>29</v>
      </c>
      <c r="C251">
        <v>70</v>
      </c>
      <c r="E251" t="s">
        <v>76</v>
      </c>
      <c r="F251" t="s">
        <v>573</v>
      </c>
      <c r="G251" t="s">
        <v>438</v>
      </c>
      <c r="H251" t="s">
        <v>110</v>
      </c>
      <c r="I251" t="s">
        <v>29</v>
      </c>
      <c r="J251" t="b">
        <v>1</v>
      </c>
      <c r="K251" t="b">
        <v>0</v>
      </c>
      <c r="L251" t="s">
        <v>92</v>
      </c>
      <c r="M251" t="s">
        <v>81</v>
      </c>
      <c r="O251" t="s">
        <v>82</v>
      </c>
      <c r="P251">
        <v>76</v>
      </c>
      <c r="Q251">
        <v>46223</v>
      </c>
      <c r="R251">
        <v>46250</v>
      </c>
      <c r="S251">
        <v>2</v>
      </c>
      <c r="T251">
        <v>152</v>
      </c>
      <c r="U251">
        <v>20</v>
      </c>
      <c r="V251">
        <v>20</v>
      </c>
      <c r="W251">
        <v>20</v>
      </c>
      <c r="X251">
        <v>20</v>
      </c>
      <c r="Y251" t="s">
        <v>111</v>
      </c>
      <c r="Z251" t="s">
        <v>438</v>
      </c>
    </row>
    <row r="252" spans="1:26" hidden="1" x14ac:dyDescent="0.25">
      <c r="A252" t="s">
        <v>574</v>
      </c>
      <c r="B252" t="s">
        <v>22</v>
      </c>
      <c r="C252">
        <v>71</v>
      </c>
      <c r="E252" t="s">
        <v>76</v>
      </c>
      <c r="F252" t="s">
        <v>575</v>
      </c>
      <c r="G252" t="s">
        <v>438</v>
      </c>
      <c r="H252" t="s">
        <v>88</v>
      </c>
      <c r="I252" t="s">
        <v>22</v>
      </c>
      <c r="J252" t="b">
        <v>1</v>
      </c>
      <c r="K252" t="b">
        <v>0</v>
      </c>
      <c r="L252" t="s">
        <v>92</v>
      </c>
      <c r="M252" t="s">
        <v>81</v>
      </c>
      <c r="O252" t="s">
        <v>89</v>
      </c>
      <c r="P252">
        <v>76</v>
      </c>
      <c r="Q252">
        <v>46223</v>
      </c>
      <c r="R252">
        <v>46250</v>
      </c>
      <c r="S252">
        <v>2</v>
      </c>
      <c r="T252">
        <v>152</v>
      </c>
      <c r="U252">
        <v>20</v>
      </c>
      <c r="V252">
        <v>20</v>
      </c>
      <c r="W252">
        <v>20</v>
      </c>
      <c r="X252">
        <v>20</v>
      </c>
      <c r="Y252" t="s">
        <v>89</v>
      </c>
      <c r="Z252" t="s">
        <v>438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4764-B177-44E0-8C44-A277C65920A9}">
  <dimension ref="A1:D26"/>
  <sheetViews>
    <sheetView workbookViewId="0">
      <selection sqref="A1:B8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x14ac:dyDescent="0.25">
      <c r="A1" s="2" t="s">
        <v>16</v>
      </c>
      <c r="B1" s="2" t="s">
        <v>17</v>
      </c>
    </row>
    <row r="2" spans="1:4" ht="15" x14ac:dyDescent="0.25">
      <c r="A2" t="s">
        <v>18</v>
      </c>
      <c r="B2" t="s">
        <v>51</v>
      </c>
    </row>
    <row r="3" spans="1:4" ht="15" x14ac:dyDescent="0.25">
      <c r="A3" t="s">
        <v>19</v>
      </c>
      <c r="B3" t="s">
        <v>47</v>
      </c>
    </row>
    <row r="4" spans="1:4" ht="15" x14ac:dyDescent="0.25">
      <c r="A4" t="s">
        <v>1</v>
      </c>
      <c r="B4" t="s">
        <v>48</v>
      </c>
    </row>
    <row r="5" spans="1:4" ht="15" x14ac:dyDescent="0.25">
      <c r="A5" t="s">
        <v>8</v>
      </c>
      <c r="B5" t="s">
        <v>49</v>
      </c>
    </row>
    <row r="6" spans="1:4" ht="15" x14ac:dyDescent="0.25">
      <c r="A6" t="s">
        <v>20</v>
      </c>
      <c r="B6"/>
    </row>
    <row r="7" spans="1:4" ht="15" x14ac:dyDescent="0.25">
      <c r="A7" t="s">
        <v>21</v>
      </c>
      <c r="B7"/>
      <c r="C7" s="1"/>
      <c r="D7" s="1"/>
    </row>
    <row r="8" spans="1:4" ht="15" x14ac:dyDescent="0.25">
      <c r="A8" t="s">
        <v>23</v>
      </c>
      <c r="B8" t="s">
        <v>44</v>
      </c>
    </row>
    <row r="10" spans="1:4" x14ac:dyDescent="0.25">
      <c r="A10" s="3"/>
      <c r="B10" s="3"/>
    </row>
    <row r="11" spans="1:4" x14ac:dyDescent="0.25">
      <c r="A11" s="4"/>
      <c r="B11" s="3"/>
    </row>
    <row r="12" spans="1:4" x14ac:dyDescent="0.25">
      <c r="A12" s="3"/>
      <c r="B12" s="3"/>
    </row>
    <row r="13" spans="1:4" x14ac:dyDescent="0.25">
      <c r="A13" s="3"/>
      <c r="B13" s="3"/>
    </row>
    <row r="14" spans="1:4" x14ac:dyDescent="0.25">
      <c r="A14" s="5"/>
      <c r="B14" s="5"/>
    </row>
    <row r="15" spans="1:4" x14ac:dyDescent="0.25">
      <c r="A15" s="3"/>
      <c r="B15" s="3"/>
      <c r="C15" s="6"/>
    </row>
    <row r="16" spans="1:4" x14ac:dyDescent="0.25">
      <c r="C16" s="6"/>
    </row>
    <row r="17" spans="1:3" x14ac:dyDescent="0.25">
      <c r="B17" s="2" t="s">
        <v>24</v>
      </c>
      <c r="C17" s="6"/>
    </row>
    <row r="18" spans="1:3" x14ac:dyDescent="0.25">
      <c r="A18" s="3" t="s">
        <v>0</v>
      </c>
      <c r="B18" s="3" t="str" cm="1">
        <f t="array" aca="1" ref="B18" ca="1">CELL("filename",E16)</f>
        <v>C:\Users\Alex\CentriNOTSYNC\ResidentialCare\CLIENT\DATExx-Whiddon\2. Calculations\E-O-I\[StafMasterList-All.xlsx]FILEPATH-Role</v>
      </c>
      <c r="C18" s="6"/>
    </row>
    <row r="19" spans="1:3" x14ac:dyDescent="0.25">
      <c r="A19" s="1"/>
      <c r="B19" s="1"/>
      <c r="C19" s="7"/>
    </row>
    <row r="20" spans="1:3" x14ac:dyDescent="0.25">
      <c r="C20" s="6"/>
    </row>
    <row r="21" spans="1:3" x14ac:dyDescent="0.25">
      <c r="C21" s="6"/>
    </row>
    <row r="22" spans="1:3" x14ac:dyDescent="0.25">
      <c r="B22" s="8" t="s">
        <v>25</v>
      </c>
      <c r="C22" s="6"/>
    </row>
    <row r="26" spans="1:3" x14ac:dyDescent="0.25">
      <c r="B26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7AFC-9B73-460B-A4F4-14C1848F66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654BD82-9298-4B90-933D-40BF7B7F99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F718B6-4EBE-4874-84D1-712E34CDA233}">
  <ds:schemaRefs>
    <ds:schemaRef ds:uri="41037423-f34d-4885-b519-34d0d8f36d61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03a0f2cd-c96b-45e9-bb06-0d2c9243d29b"/>
    <ds:schemaRef ds:uri="http://schemas.microsoft.com/office/2006/metadata/properties"/>
    <ds:schemaRef ds:uri="http://www.w3.org/XML/1998/namespace"/>
    <ds:schemaRef ds:uri="a6ef9c2c-1ad1-4c09-9d1c-8c71a768c11f"/>
    <ds:schemaRef ds:uri="f574b478-68e4-495d-9b17-0f93d51a8ef7"/>
    <ds:schemaRef ds:uri="3be0b85a-8471-4f10-b038-505fde09e598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C5F56ADB-1DC3-4F56-925E-1F0FD92694E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A40AA43-DA81-4507-A1AE-148031E93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Facility3 - StaffList (2)</vt:lpstr>
      <vt:lpstr>Facility3 - StaffList</vt:lpstr>
      <vt:lpstr>Unit1Path</vt:lpstr>
      <vt:lpstr>MasterStaffList-All</vt:lpstr>
      <vt:lpstr>FILEPATH-EffortALL</vt:lpstr>
      <vt:lpstr>ResShiftAllocation1</vt:lpstr>
      <vt:lpstr>Facility2 - ResAllocation</vt:lpstr>
      <vt:lpstr>Facility1 - ResAllocation</vt:lpstr>
      <vt:lpstr>Table_Masterlist</vt:lpstr>
      <vt:lpstr>FILEPATH-Role</vt:lpstr>
      <vt:lpstr>Sheet1</vt:lpstr>
      <vt:lpstr>'FILEPATH-EffortALL'!Client</vt:lpstr>
      <vt:lpstr>'FILEPATH-Role'!Client</vt:lpstr>
      <vt:lpstr>Unit1Path!Client</vt:lpstr>
      <vt:lpstr>Unit1Path!FilePathUrl</vt:lpstr>
      <vt:lpstr>FilePathUrl</vt:lpstr>
      <vt:lpstr>'FILEPATH-EffortALL'!Location</vt:lpstr>
      <vt:lpstr>'FILEPATH-Role'!Role</vt:lpstr>
      <vt:lpstr>Unit1Path!Role</vt:lpstr>
      <vt:lpstr>xxxxRange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2024-12-14T22:12:43Z</dcterms:created>
  <dcterms:modified xsi:type="dcterms:W3CDTF">2026-10-20T12:19:59Z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