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35D9A1EF-9871-4537-9DEF-6DAA1B32F741}" xr6:coauthVersionLast="47" xr6:coauthVersionMax="47" xr10:uidLastSave="{00000000-0000-0000-0000-000000000000}"/>
  <bookViews>
    <workbookView xWindow="-120" yWindow="-120" windowWidth="38640" windowHeight="21120" firstSheet="8" activeTab="8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'MasterStaffList-All'!$A$1:$Z$252</definedName>
    <definedName name="ExternalData_1" localSheetId="2" hidden="1">Unit1Path!$A$3:$B$12</definedName>
    <definedName name="ExternalData_2" localSheetId="1" hidden="1">'Facility3 - StaffList'!$A$1:$Z$72</definedName>
    <definedName name="ExternalData_2" localSheetId="8" hidden="1">Table_Masterlist!$A$1:$Z$252</definedName>
    <definedName name="ExternalData_3" localSheetId="7" hidden="1">'Facility1 - ResAllocation'!$A$1:$Z$130</definedName>
    <definedName name="ExternalData_3" localSheetId="0" hidden="1">'Facility3 - StaffList (2)'!$A$1:$Z$72</definedName>
    <definedName name="ExternalData_4" localSheetId="6" hidden="1">'Facility2 - ResAllocation'!$A$1:$Z$52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8" l="1"/>
  <c r="AA29" i="8"/>
  <c r="AA37" i="8"/>
  <c r="AA121" i="8"/>
  <c r="AA53" i="8"/>
  <c r="AA104" i="8"/>
  <c r="AA124" i="8"/>
  <c r="AA128" i="8"/>
  <c r="AA81" i="8"/>
  <c r="AA90" i="8"/>
  <c r="AA10" i="8"/>
  <c r="AA17" i="8"/>
  <c r="AA94" i="8"/>
  <c r="AA95" i="8"/>
  <c r="AA24" i="8"/>
  <c r="AA25" i="8"/>
  <c r="AA26" i="8"/>
  <c r="AA27" i="8"/>
  <c r="AA28" i="8"/>
  <c r="AA30" i="8"/>
  <c r="AA96" i="8"/>
  <c r="AA120" i="8"/>
  <c r="AA31" i="8"/>
  <c r="AA32" i="8"/>
  <c r="AA33" i="8"/>
  <c r="AA34" i="8"/>
  <c r="AA97" i="8"/>
  <c r="AA35" i="8"/>
  <c r="AA36" i="8"/>
  <c r="AA38" i="8"/>
  <c r="AA39" i="8"/>
  <c r="AA40" i="8"/>
  <c r="AA41" i="8"/>
  <c r="AA42" i="8"/>
  <c r="AA98" i="8"/>
  <c r="AA43" i="8"/>
  <c r="AA44" i="8"/>
  <c r="AA45" i="8"/>
  <c r="AA46" i="8"/>
  <c r="AA47" i="8"/>
  <c r="AA48" i="8"/>
  <c r="AA49" i="8"/>
  <c r="AA122" i="8"/>
  <c r="AA50" i="8"/>
  <c r="AA51" i="8"/>
  <c r="AA52" i="8"/>
  <c r="AA99" i="8"/>
  <c r="AA100" i="8"/>
  <c r="AA101" i="8"/>
  <c r="AA54" i="8"/>
  <c r="AA102" i="8"/>
  <c r="AA55" i="8"/>
  <c r="AA56" i="8"/>
  <c r="AA103" i="8"/>
  <c r="AA57" i="8"/>
  <c r="AA123" i="8"/>
  <c r="AA58" i="8"/>
  <c r="AA59" i="8"/>
  <c r="AA60" i="8"/>
  <c r="AA61" i="8"/>
  <c r="AA62" i="8"/>
  <c r="AA105" i="8"/>
  <c r="AA63" i="8"/>
  <c r="AA106" i="8"/>
  <c r="AA64" i="8"/>
  <c r="AA65" i="8"/>
  <c r="AA66" i="8"/>
  <c r="AA67" i="8"/>
  <c r="AA68" i="8"/>
  <c r="AA69" i="8"/>
  <c r="AA70" i="8"/>
  <c r="AA71" i="8"/>
  <c r="AA107" i="8"/>
  <c r="AA125" i="8"/>
  <c r="AA126" i="8"/>
  <c r="AA72" i="8"/>
  <c r="AA73" i="8"/>
  <c r="AA127" i="8"/>
  <c r="AA108" i="8"/>
  <c r="AA74" i="8"/>
  <c r="AA129" i="8"/>
  <c r="AA75" i="8"/>
  <c r="AA76" i="8"/>
  <c r="AA77" i="8"/>
  <c r="AA78" i="8"/>
  <c r="AA79" i="8"/>
  <c r="AA109" i="8"/>
  <c r="AA110" i="8"/>
  <c r="AA80" i="8"/>
  <c r="AA82" i="8"/>
  <c r="AA111" i="8"/>
  <c r="AA83" i="8"/>
  <c r="AA84" i="8"/>
  <c r="AA85" i="8"/>
  <c r="AA86" i="8"/>
  <c r="AA87" i="8"/>
  <c r="AA88" i="8"/>
  <c r="AA130" i="8"/>
  <c r="AA89" i="8"/>
  <c r="AA3" i="8"/>
  <c r="AA112" i="8"/>
  <c r="AA113" i="8"/>
  <c r="AA4" i="8"/>
  <c r="AA5" i="8"/>
  <c r="AA6" i="8"/>
  <c r="AA7" i="8"/>
  <c r="AA8" i="8"/>
  <c r="AA114" i="8"/>
  <c r="AA9" i="8"/>
  <c r="AA11" i="8"/>
  <c r="AA91" i="8"/>
  <c r="AA12" i="8"/>
  <c r="AA13" i="8"/>
  <c r="AA92" i="8"/>
  <c r="AA14" i="8"/>
  <c r="AA15" i="8"/>
  <c r="AA115" i="8"/>
  <c r="AA116" i="8"/>
  <c r="AA16" i="8"/>
  <c r="AA18" i="8"/>
  <c r="AA19" i="8"/>
  <c r="AA93" i="8"/>
  <c r="AA20" i="8"/>
  <c r="AA117" i="8"/>
  <c r="AA118" i="8"/>
  <c r="AA21" i="8"/>
  <c r="AA119" i="8"/>
  <c r="AA22" i="8"/>
  <c r="AA23" i="8"/>
  <c r="AA131" i="8"/>
  <c r="AA142" i="8"/>
  <c r="AA150" i="8"/>
  <c r="AA160" i="8"/>
  <c r="AA168" i="8"/>
  <c r="AA171" i="8"/>
  <c r="AA181" i="8"/>
  <c r="AA172" i="8"/>
  <c r="AA173" i="8"/>
  <c r="AA132" i="8"/>
  <c r="AA133" i="8"/>
  <c r="AA134" i="8"/>
  <c r="AA135" i="8"/>
  <c r="AA136" i="8"/>
  <c r="AA137" i="8"/>
  <c r="AA138" i="8"/>
  <c r="AA139" i="8"/>
  <c r="AA140" i="8"/>
  <c r="AA141" i="8"/>
  <c r="AA143" i="8"/>
  <c r="AA144" i="8"/>
  <c r="AA145" i="8"/>
  <c r="AA174" i="8"/>
  <c r="AA176" i="8"/>
  <c r="AA177" i="8"/>
  <c r="AA146" i="8"/>
  <c r="AA147" i="8"/>
  <c r="AA148" i="8"/>
  <c r="AA149" i="8"/>
  <c r="AA151" i="8"/>
  <c r="AA152" i="8"/>
  <c r="AA153" i="8"/>
  <c r="AA154" i="8"/>
  <c r="AA155" i="8"/>
  <c r="AA156" i="8"/>
  <c r="AA175" i="8"/>
  <c r="AA157" i="8"/>
  <c r="AA158" i="8"/>
  <c r="AA159" i="8"/>
  <c r="AA161" i="8"/>
  <c r="AA178" i="8"/>
  <c r="AA179" i="8"/>
  <c r="AA180" i="8"/>
  <c r="AA162" i="8"/>
  <c r="AA163" i="8"/>
  <c r="AA164" i="8"/>
  <c r="AA165" i="8"/>
  <c r="AA166" i="8"/>
  <c r="AA167" i="8"/>
  <c r="AA169" i="8"/>
  <c r="AA170" i="8"/>
  <c r="AA182" i="8"/>
  <c r="AA246" i="8"/>
  <c r="AA199" i="8"/>
  <c r="AA209" i="8"/>
  <c r="AA218" i="8"/>
  <c r="AA251" i="8"/>
  <c r="AA243" i="8"/>
  <c r="AA238" i="8"/>
  <c r="AA239" i="8"/>
  <c r="AA244" i="8"/>
  <c r="AA183" i="8"/>
  <c r="AA184" i="8"/>
  <c r="AA185" i="8"/>
  <c r="AA186" i="8"/>
  <c r="AA187" i="8"/>
  <c r="AA245" i="8"/>
  <c r="AA188" i="8"/>
  <c r="AA189" i="8"/>
  <c r="AA190" i="8"/>
  <c r="AA191" i="8"/>
  <c r="AA192" i="8"/>
  <c r="AA193" i="8"/>
  <c r="AA240" i="8"/>
  <c r="AA194" i="8"/>
  <c r="AA195" i="8"/>
  <c r="AA241" i="8"/>
  <c r="AA196" i="8"/>
  <c r="AA197" i="8"/>
  <c r="AA198" i="8"/>
  <c r="AA200" i="8"/>
  <c r="AA201" i="8"/>
  <c r="AA202" i="8"/>
  <c r="AA203" i="8"/>
  <c r="AA204" i="8"/>
  <c r="AA205" i="8"/>
  <c r="AA206" i="8"/>
  <c r="AA247" i="8"/>
  <c r="AA207" i="8"/>
  <c r="AA208" i="8"/>
  <c r="AA210" i="8"/>
  <c r="AA211" i="8"/>
  <c r="AA212" i="8"/>
  <c r="AA213" i="8"/>
  <c r="AA248" i="8"/>
  <c r="AA214" i="8"/>
  <c r="AA249" i="8"/>
  <c r="AA215" i="8"/>
  <c r="AA216" i="8"/>
  <c r="AA217" i="8"/>
  <c r="AA250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42" i="8"/>
  <c r="AA232" i="8"/>
  <c r="AA233" i="8"/>
  <c r="AA234" i="8"/>
  <c r="AA235" i="8"/>
  <c r="AA236" i="8"/>
  <c r="AA252" i="8"/>
  <c r="AA237" i="8"/>
  <c r="B1" i="9" l="1" a="1"/>
  <c r="B18" i="3" a="1"/>
  <c r="C19" i="2"/>
  <c r="B14" i="2" a="1"/>
  <c r="B9" i="2" a="1"/>
  <c r="B15" i="2" l="1" a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<sst xmlns="http://schemas.openxmlformats.org/spreadsheetml/2006/main" count="14216" uniqueCount="577">
  <si>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</si>
  <si>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</si>
  <si>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</si>
  <si>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</si>
  <si>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</si>
  <si>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</si>
  <si>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</si>
  <si>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</si>
  <si>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</si>
  <si>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</si>
  <si>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</si>
  <si>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</si>
  <si>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</si>
  <si>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</si>
  <si>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</si>
  <si>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</si>
  <si>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</si>
  <si>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</si>
  <si>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</si>
  <si>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</si>
  <si>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</si>
  <si>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</si>
  <si>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</si>
  <si>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</si>
  <si>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</si>
  <si>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</si>
  <si>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</si>
  <si>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</si>
  <si>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</si>
  <si>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</si>
  <si>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</si>
  <si>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</si>
  <si>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</si>
  <si>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</si>
  <si>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</si>
  <si>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</si>
  <si>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</si>
  <si>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</si>
  <si>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</si>
  <si>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</si>
  <si>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</si>
  <si>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</si>
  <si>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</si>
  <si>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</si>
  <si>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</si>
  <si>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</si>
  <si>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</si>
  <si>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</si>
  <si>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</si>
  <si>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</si>
  <si>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</si>
  <si>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</si>
  <si>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</si>
  <si>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</si>
  <si>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</si>
  <si>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</si>
  <si>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</si>
  <si>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</si>
  <si>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</si>
  <si>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</si>
  <si>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</si>
  <si>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</si>
  <si>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</si>
  <si>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</si>
  <si>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</si>
  <si>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</si>
  <si>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</si>
  <si>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</si>
  <si>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</si>
  <si>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</si>
  <si>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</si>
  <si>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</si>
  <si>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</si>
  <si>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</si>
  <si>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</si>
  <si>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Aida Jones</t>
  </si>
  <si>
    <t>Availability</t>
  </si>
  <si>
    <t>21639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</si>
  <si>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</si>
  <si>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</si>
  <si>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</si>
  <si>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</si>
  <si>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</si>
  <si>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</si>
  <si>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</si>
  <si>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</si>
  <si>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Alina Shrestha</t>
  </si>
  <si>
    <t>23933</t>
  </si>
  <si>
    <t>Casual</t>
  </si>
  <si>
    <t>Settings maximum fallback</t>
  </si>
  <si>
    <t>Alla Illarionov</t>
  </si>
  <si>
    <t>21100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</si>
  <si>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</si>
  <si>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</si>
  <si>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</si>
  <si>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</si>
  <si>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</si>
  <si>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</si>
  <si>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</si>
  <si>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</si>
  <si>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</si>
  <si>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</si>
  <si>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</si>
  <si>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</si>
  <si>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Ammy Marree Foster</t>
  </si>
  <si>
    <t>23730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</si>
  <si>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</si>
  <si>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</si>
  <si>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</si>
  <si>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</si>
  <si>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</si>
  <si>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</si>
  <si>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</si>
  <si>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</si>
  <si>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</si>
  <si>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</si>
  <si>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</si>
  <si>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</si>
  <si>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</si>
  <si>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</si>
  <si>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</si>
  <si>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</si>
  <si>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</si>
  <si>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</si>
  <si>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</si>
  <si>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</si>
  <si>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Cait Philp</t>
  </si>
  <si>
    <t>23964</t>
  </si>
  <si>
    <t>Caitlyn Dreier</t>
  </si>
  <si>
    <t>26319</t>
  </si>
  <si>
    <t>Cara Anne Balme</t>
  </si>
  <si>
    <t>20321</t>
  </si>
  <si>
    <t>Cassandra Anne Dowd</t>
  </si>
  <si>
    <t>25113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</si>
  <si>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</si>
  <si>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</si>
  <si>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</si>
  <si>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</si>
  <si>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</si>
  <si>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</si>
  <si>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</si>
  <si>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</si>
  <si>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Courtney Louise Lewis</t>
  </si>
  <si>
    <t>26524</t>
  </si>
  <si>
    <t>Dale Armytage</t>
  </si>
  <si>
    <t>23520</t>
  </si>
  <si>
    <t>Damien Stewart</t>
  </si>
  <si>
    <t>20088</t>
  </si>
  <si>
    <t>David Reid</t>
  </si>
  <si>
    <t>23204</t>
  </si>
  <si>
    <t>Debra Narelle King</t>
  </si>
  <si>
    <t>22345</t>
  </si>
  <si>
    <t>Deeanne Donna Tracey</t>
  </si>
  <si>
    <t>25161</t>
  </si>
  <si>
    <t>Desiree Mamet</t>
  </si>
  <si>
    <t>22263</t>
  </si>
  <si>
    <t>Diane Bewick</t>
  </si>
  <si>
    <t>22769</t>
  </si>
  <si>
    <t>Donna Bestmann</t>
  </si>
  <si>
    <t>19440</t>
  </si>
  <si>
    <t>Emma Claire Redfern</t>
  </si>
  <si>
    <t>24668</t>
  </si>
  <si>
    <t>Gentille Nambon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</si>
  <si>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</si>
  <si>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</si>
  <si>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</si>
  <si>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</si>
  <si>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</si>
  <si>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</si>
  <si>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</si>
  <si>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</si>
  <si>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</si>
  <si>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</si>
  <si>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</si>
  <si>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</si>
  <si>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</si>
  <si>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</si>
  <si>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</si>
  <si>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Jackie Jowa</t>
  </si>
  <si>
    <t>24830</t>
  </si>
  <si>
    <t>Jacob Barnes</t>
  </si>
  <si>
    <t>23973</t>
  </si>
  <si>
    <t>Jacqueline Koelmeyer</t>
  </si>
  <si>
    <t>21327</t>
  </si>
  <si>
    <t>Jaidan Dennewal</t>
  </si>
  <si>
    <t>20784</t>
  </si>
  <si>
    <t>Janelle  Sander</t>
  </si>
  <si>
    <t>20863</t>
  </si>
  <si>
    <t>Janelle Gaye Ford</t>
  </si>
  <si>
    <t>10953</t>
  </si>
  <si>
    <t>Jayakumar Vanda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</si>
  <si>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</si>
  <si>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</si>
  <si>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</si>
  <si>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</si>
  <si>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</si>
  <si>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</si>
  <si>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</si>
  <si>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</si>
  <si>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</si>
  <si>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Joanne Bromley</t>
  </si>
  <si>
    <t>19458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</si>
  <si>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</si>
  <si>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</si>
  <si>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</si>
  <si>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</si>
  <si>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</si>
  <si>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</si>
  <si>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</si>
  <si>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</si>
  <si>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</si>
  <si>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</si>
  <si>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</si>
  <si>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</si>
  <si>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</si>
  <si>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</si>
  <si>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</si>
  <si>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</si>
  <si>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</si>
  <si>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</si>
  <si>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</si>
  <si>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</si>
  <si>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Kulvinder Kaur</t>
  </si>
  <si>
    <t>24416</t>
  </si>
  <si>
    <t>Kusum Thapa</t>
  </si>
  <si>
    <t>25545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</si>
  <si>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</si>
  <si>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</si>
  <si>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</si>
  <si>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</si>
  <si>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</si>
  <si>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</si>
  <si>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</si>
  <si>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</si>
  <si>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</si>
  <si>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</si>
  <si>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</si>
  <si>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</si>
  <si>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Lowanna Bloomfield</t>
  </si>
  <si>
    <t>26462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</si>
  <si>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</si>
  <si>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</si>
  <si>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</si>
  <si>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</si>
  <si>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</si>
  <si>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</si>
  <si>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</si>
  <si>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</si>
  <si>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</si>
  <si>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</si>
  <si>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Mana Tuikilakil</t>
  </si>
  <si>
    <t>24336</t>
  </si>
  <si>
    <t>Mandy Manpreet</t>
  </si>
  <si>
    <t>25175</t>
  </si>
  <si>
    <t>Mani Kaur</t>
  </si>
  <si>
    <t>24192</t>
  </si>
  <si>
    <t>Manpreet Kaur</t>
  </si>
  <si>
    <t>24105</t>
  </si>
  <si>
    <t>Maria Starr</t>
  </si>
  <si>
    <t>25774</t>
  </si>
  <si>
    <t>Mariah Swan</t>
  </si>
  <si>
    <t>24136</t>
  </si>
  <si>
    <t>Mel Greenway</t>
  </si>
  <si>
    <t>23091</t>
  </si>
  <si>
    <t>Mellania Ruvimbo Munyuki</t>
  </si>
  <si>
    <t>15957</t>
  </si>
  <si>
    <t>Merin Biju John</t>
  </si>
  <si>
    <t>24521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</si>
  <si>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</si>
  <si>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</si>
  <si>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</si>
  <si>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</si>
  <si>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</si>
  <si>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</si>
  <si>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</si>
  <si>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</si>
  <si>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Nirmala Sapkota</t>
  </si>
  <si>
    <t>19894</t>
  </si>
  <si>
    <t>Nitesh Pantha</t>
  </si>
  <si>
    <t>23776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</si>
  <si>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</si>
  <si>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</si>
  <si>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</si>
  <si>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</si>
  <si>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</si>
  <si>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</si>
  <si>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</si>
  <si>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</si>
  <si>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</si>
  <si>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</si>
  <si>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</si>
  <si>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</si>
  <si>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</si>
  <si>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</si>
  <si>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</si>
  <si>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</si>
  <si>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</si>
  <si>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</si>
  <si>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</si>
  <si>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</si>
  <si>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</si>
  <si>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</si>
  <si>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</si>
  <si>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</si>
  <si>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</si>
  <si>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</si>
  <si>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</si>
  <si>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</si>
  <si>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</si>
  <si>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</si>
  <si>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</si>
  <si>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</si>
  <si>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</si>
  <si>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</si>
  <si>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</si>
  <si>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</si>
  <si>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</si>
  <si>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</si>
  <si>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</si>
  <si>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</si>
  <si>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</si>
  <si>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</si>
  <si>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Sue Jones</t>
  </si>
  <si>
    <t>19423</t>
  </si>
  <si>
    <t>Swostika Shrestha</t>
  </si>
  <si>
    <t>23602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</si>
  <si>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</si>
  <si>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</si>
  <si>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</si>
  <si>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</si>
  <si>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</si>
  <si>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</si>
  <si>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</si>
  <si>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</si>
  <si>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</si>
  <si>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</si>
  <si>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</si>
  <si>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</si>
  <si>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</si>
  <si>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</si>
  <si>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</si>
  <si>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</si>
  <si>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</si>
  <si>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</si>
  <si>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</si>
  <si>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</si>
  <si>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</si>
  <si>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Alice Dzung Kieu Pham</t>
  </si>
  <si>
    <t>23200</t>
  </si>
  <si>
    <t>Angela Ruth Anderson</t>
  </si>
  <si>
    <t>15701</t>
  </si>
  <si>
    <t>Anjali Kunwar</t>
  </si>
  <si>
    <t>26054</t>
  </si>
  <si>
    <t>Apurbo Kumar Paul</t>
  </si>
  <si>
    <t>25682</t>
  </si>
  <si>
    <t>Ashna Maria Mat</t>
  </si>
  <si>
    <t>24893</t>
  </si>
  <si>
    <t>Aurelia Aribado</t>
  </si>
  <si>
    <t>19709</t>
  </si>
  <si>
    <t>Baljit Kaur</t>
  </si>
  <si>
    <t>18970</t>
  </si>
  <si>
    <t>Cassidy Leanne Warner</t>
  </si>
  <si>
    <t>25869</t>
  </si>
  <si>
    <t>Chathuri Arumap</t>
  </si>
  <si>
    <t>24821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</si>
  <si>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</si>
  <si>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</si>
  <si>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</si>
  <si>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</si>
  <si>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</si>
  <si>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</si>
  <si>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</si>
  <si>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</si>
  <si>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Eloise Samala Purnell</t>
  </si>
  <si>
    <t>24186</t>
  </si>
  <si>
    <t>Emma Redfern</t>
  </si>
  <si>
    <t>Fielpeljane Alc</t>
  </si>
  <si>
    <t>25367</t>
  </si>
  <si>
    <t>Funchu Thing</t>
  </si>
  <si>
    <t>23134</t>
  </si>
  <si>
    <t>Guriqbal Singh</t>
  </si>
  <si>
    <t>24648</t>
  </si>
  <si>
    <t>Gurjit Kaur</t>
  </si>
  <si>
    <t>21749</t>
  </si>
  <si>
    <t>Jacquelyn Richa</t>
  </si>
  <si>
    <t>22298</t>
  </si>
  <si>
    <t>Jill Baguley</t>
  </si>
  <si>
    <t>15719</t>
  </si>
  <si>
    <t>Joy Alamezie</t>
  </si>
  <si>
    <t>25645</t>
  </si>
  <si>
    <t>Joy Dee Alvarez</t>
  </si>
  <si>
    <t>18158</t>
  </si>
  <si>
    <t>Kira Lorraine O</t>
  </si>
  <si>
    <t>21876</t>
  </si>
  <si>
    <t>Krisitna Nichol</t>
  </si>
  <si>
    <t>20834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</si>
  <si>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</si>
  <si>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</si>
  <si>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</si>
  <si>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</si>
  <si>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</si>
  <si>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</si>
  <si>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</si>
  <si>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</si>
  <si>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</si>
  <si>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</si>
  <si>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Patricia Bruce</t>
  </si>
  <si>
    <t>15697</t>
  </si>
  <si>
    <t>Prabina Khatri</t>
  </si>
  <si>
    <t>26386</t>
  </si>
  <si>
    <t>Rajani Parajuli</t>
  </si>
  <si>
    <t>26068</t>
  </si>
  <si>
    <t>Ramesh Bhattara</t>
  </si>
  <si>
    <t>25437</t>
  </si>
  <si>
    <t>Rebecca Louise Cross</t>
  </si>
  <si>
    <t>24693</t>
  </si>
  <si>
    <t>Rehanamol Eetta</t>
  </si>
  <si>
    <t>24475</t>
  </si>
  <si>
    <t>Rhea Quimada</t>
  </si>
  <si>
    <t>17219</t>
  </si>
  <si>
    <t>Riefy Saji</t>
  </si>
  <si>
    <t>24694</t>
  </si>
  <si>
    <t>Rojin Robert</t>
  </si>
  <si>
    <t>26397</t>
  </si>
  <si>
    <t>Ruth Rock Tambol Daluyen</t>
  </si>
  <si>
    <t>23571</t>
  </si>
  <si>
    <t>Sally Whan</t>
  </si>
  <si>
    <t>26532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</si>
  <si>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</si>
  <si>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</si>
  <si>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</si>
  <si>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</si>
  <si>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</si>
  <si>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</si>
  <si>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</si>
  <si>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</si>
  <si>
    <t>Sushma Ghimire</t>
  </si>
  <si>
    <t>24897</t>
  </si>
  <si>
    <t>TE</t>
  </si>
  <si>
    <t>Ajo James</t>
  </si>
  <si>
    <t>26411</t>
  </si>
  <si>
    <t>Alicia Carey</t>
  </si>
  <si>
    <t>23015</t>
  </si>
  <si>
    <t>Alisha Mahat</t>
  </si>
  <si>
    <t>26330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</si>
  <si>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</si>
  <si>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</si>
  <si>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</si>
  <si>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</si>
  <si>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</si>
  <si>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</si>
  <si>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</si>
  <si>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</si>
  <si>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Annelise Golder</t>
  </si>
  <si>
    <t>25414</t>
  </si>
  <si>
    <t>Ashamol Sarojin</t>
  </si>
  <si>
    <t>24873</t>
  </si>
  <si>
    <t>Barbara Coates</t>
  </si>
  <si>
    <t>25293</t>
  </si>
  <si>
    <t>Belinda Joy Min</t>
  </si>
  <si>
    <t>18610</t>
  </si>
  <si>
    <t>Brinda Pangeni</t>
  </si>
  <si>
    <t>23594</t>
  </si>
  <si>
    <t>Callie Gregory</t>
  </si>
  <si>
    <t>25936</t>
  </si>
  <si>
    <t>Darcie Ray McClenaghan</t>
  </si>
  <si>
    <t>19672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</si>
  <si>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</si>
  <si>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</si>
  <si>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</si>
  <si>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</si>
  <si>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</si>
  <si>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</si>
  <si>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</si>
  <si>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</si>
  <si>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</si>
  <si>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</si>
  <si>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</si>
  <si>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</si>
  <si>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</si>
  <si>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</si>
  <si>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</si>
  <si>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</si>
  <si>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</si>
  <si>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</si>
  <si>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Jaise Panichiyil Joy</t>
  </si>
  <si>
    <t>25980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</si>
  <si>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</si>
  <si>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</si>
  <si>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</si>
  <si>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</si>
  <si>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</si>
  <si>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</si>
  <si>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</si>
  <si>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</si>
  <si>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</si>
  <si>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</si>
  <si>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</si>
  <si>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Kaitlyn Lee Bayliss</t>
  </si>
  <si>
    <t>25544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</si>
  <si>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</si>
  <si>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</si>
  <si>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</si>
  <si>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</si>
  <si>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</si>
  <si>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</si>
  <si>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</si>
  <si>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</si>
  <si>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</si>
  <si>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</si>
  <si>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</si>
  <si>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</si>
  <si>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</si>
  <si>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</si>
  <si>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</si>
  <si>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</si>
  <si>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</si>
  <si>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</si>
  <si>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Lynette Kaye Kelly</t>
  </si>
  <si>
    <t>10968</t>
  </si>
  <si>
    <t>Manisha BK</t>
  </si>
  <si>
    <t>25204</t>
  </si>
  <si>
    <t>Marieta Munar L</t>
  </si>
  <si>
    <t>20725</t>
  </si>
  <si>
    <t>Marsden Ross</t>
  </si>
  <si>
    <t>22436</t>
  </si>
  <si>
    <t>Melissa Rickett</t>
  </si>
  <si>
    <t>12705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</si>
  <si>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</si>
  <si>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</si>
  <si>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</si>
  <si>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</si>
  <si>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</si>
  <si>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</si>
  <si>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</si>
  <si>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</si>
  <si>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</si>
  <si>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</si>
  <si>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Namuna Regmi</t>
  </si>
  <si>
    <t>23310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</si>
  <si>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</si>
  <si>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</si>
  <si>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</si>
  <si>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</si>
  <si>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</si>
  <si>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</si>
  <si>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</si>
  <si>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</si>
  <si>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</si>
  <si>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</si>
  <si>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</si>
  <si>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</si>
  <si>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</si>
  <si>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</si>
  <si>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</si>
  <si>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</si>
  <si>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Shalimar Electona Sabdani</t>
  </si>
  <si>
    <t>23422</t>
  </si>
  <si>
    <t>Shauna Lee Wall</t>
  </si>
  <si>
    <t>13637</t>
  </si>
  <si>
    <t>Shaz Gordon</t>
  </si>
  <si>
    <t>13580</t>
  </si>
  <si>
    <t>Shrijana Adhikari Wagle</t>
  </si>
  <si>
    <t>22541</t>
  </si>
  <si>
    <t>Simran Tamang</t>
  </si>
  <si>
    <t>25366</t>
  </si>
  <si>
    <t>Taylor Rose Newman</t>
  </si>
  <si>
    <t>26229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</si>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</sst>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50" unboundColumnsRight="1">
    <queryTableFields count="27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  <queryTableField id="49" dataBound="0" tableColumnId="2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72" tableType="queryTable" totalsRowShown="0">
  <autoFilter ref="A1:Z72" xr:uid="{AB54498C-A3A6-4961-9C54-EBDC0DE6E439}"/>
  <tableColumns count="26">
    <tableColumn id="1" xr3:uid="{F9B97C36-5141-4173-A9D7-23BF492A36AF}" uniqueName="1" name="Name" queryTableFieldId="1" dataDxfId="28"/>
    <tableColumn id="2" xr3:uid="{63AB7BF5-B728-4F08-B6E0-14913CBD5BEE}" uniqueName="2" name="Role" queryTableFieldId="2" dataDxfId="27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72" tableType="queryTable" totalsRowShown="0">
  <autoFilter ref="A1:Z72" xr:uid="{A181B1D3-DA91-4489-A96E-E3EF8C8BDAD7}"/>
  <tableColumns count="26">
    <tableColumn id="1" xr3:uid="{B2536F9E-143D-4ADA-BD18-BF0FC904E34E}" uniqueName="1" name="Name" queryTableFieldId="1" dataDxfId="26"/>
    <tableColumn id="2" xr3:uid="{3EAB5C22-4309-4966-A869-827D1EEAFB36}" uniqueName="2" name="Role" queryTableFieldId="2" dataDxfId="25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4" dataDxfId="23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2" dataCellStyle="Normal 2"/>
    <tableColumn id="2" xr3:uid="{87BC1F2D-3EA3-4D99-A8D9-E0F05D9DA991}" uniqueName="2" name="Value" queryTableFieldId="2" dataDxfId="21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AA252" tableType="queryTable" totalsRowShown="0">
  <autoFilter ref="A1:AA252" xr:uid="{6DB2E35A-9302-41CA-B5A5-0AE115318435}">
    <filterColumn colId="26">
      <filters>
        <filter val="BDAIN1"/>
        <filter val="BDAIN119"/>
        <filter val="BDAIN23"/>
        <filter val="BDAIN28"/>
        <filter val="BDAIN32"/>
        <filter val="BDAIN68"/>
        <filter val="BDAIN69"/>
        <filter val="BDAIN76"/>
        <filter val="BDAIN86"/>
        <filter val="BDAIN90"/>
        <filter val="BDAIN95"/>
        <filter val="BDAIN96"/>
        <filter val="BDEN10"/>
        <filter val="BDRN8"/>
        <filter val="JH-RYAIN10"/>
        <filter val="JH-RYAIN16"/>
        <filter val="JH-RYAIN2"/>
      </filters>
    </filterColumn>
  </autoFilter>
  <sortState xmlns:xlrd2="http://schemas.microsoft.com/office/spreadsheetml/2017/richdata2" ref="A2:AA252">
    <sortCondition ref="AA1:AA252"/>
  </sortState>
  <tableColumns count="27">
    <tableColumn id="2" xr3:uid="{7E3A1737-8310-4DF7-8788-F265D3A67790}" uniqueName="2" name="Name" queryTableFieldId="2" dataDxfId="20"/>
    <tableColumn id="1" xr3:uid="{72E662E1-2F27-4238-87A7-550D2119D10D}" uniqueName="1" name="Role" queryTableFieldId="1" dataDxfId="19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  <tableColumn id="27" xr3:uid="{8C6AA184-FC12-4285-AD7C-B7FBD5DF07AF}" uniqueName="27" name="Column1" queryTableFieldId="49" dataDxfId="18">
      <calculatedColumnFormula>MasterStaffList_All[[#This Row],[Facility]]&amp;MasterStaffList_All[[#This Row],[Role]]&amp;MasterStaffList_All[[#This Row],[Resource]]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17">
  <autoFilter ref="B26:B27" xr:uid="{336E7093-3530-42C5-AF8A-E29B36BB2C09}"/>
  <tableColumns count="1">
    <tableColumn id="1" xr3:uid="{20FF5B14-B2CA-4E40-98E4-77BB955E1926}" name="Folder" dataDxfId="16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5" dataDxfId="14" headerRowCellStyle="Normal 2" dataCellStyle="Normal 2">
  <autoFilter ref="B33:C34" xr:uid="{0255D31D-F9FA-4374-B7C7-436518B79140}"/>
  <tableColumns count="2">
    <tableColumn id="1" xr3:uid="{28240261-F5F0-4FAA-BF82-67584AFDDD8D}" name="Facility1" dataDxfId="13" dataCellStyle="Normal 2"/>
    <tableColumn id="2" xr3:uid="{1C660DD4-147F-4F9A-89D9-D72222074A4F}" name="Facility2" dataDxfId="12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1" dataDxfId="10" headerRowCellStyle="Normal 2" dataCellStyle="Normal 2">
  <autoFilter ref="B38:B39" xr:uid="{12E4D58C-491D-408F-AF2D-91CA83457DA4}"/>
  <tableColumns count="1">
    <tableColumn id="1" xr3:uid="{B311AE3A-ED2A-404C-A362-BA3CB76D37CE}" name="DateAlignment" dataDxfId="9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8"/>
    <tableColumn id="2" xr3:uid="{1B8E87D3-1764-403E-B1FA-D75EFD0FDEBE}" name="Role" dataDxfId="7"/>
    <tableColumn id="3" xr3:uid="{83528A3F-2690-4CCE-8B74-52275618E187}" name="TimeDate" dataDxfId="6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5"/>
    <tableColumn id="8" xr3:uid="{FC96DEC7-CA7B-41C1-9888-9A79751F9BA6}" name="Type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52" tableType="queryTable" totalsRowShown="0">
  <autoFilter ref="A1:Z52" xr:uid="{B1F517F1-0D23-44BF-B2CB-DE90334BD62A}"/>
  <tableColumns count="26">
    <tableColumn id="2" xr3:uid="{AE8B8573-1B9B-4A56-BB21-F6DBD24F553A}" uniqueName="2" name="Name" queryTableFieldId="2" dataDxfId="3"/>
    <tableColumn id="1" xr3:uid="{ECC68B3E-B14C-4C23-B7C6-B3437B3F01AF}" uniqueName="1" name="Role" queryTableFieldId="1" dataDxfId="2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30" tableType="queryTable" totalsRowShown="0">
  <autoFilter ref="A1:Z130" xr:uid="{3F700788-A27B-4080-BBAC-4E4C32185658}"/>
  <tableColumns count="26">
    <tableColumn id="2" xr3:uid="{3B1482B3-AE6F-4BE7-AA5E-0D3A32A2B498}" uniqueName="2" name="Name" queryTableFieldId="2" dataDxfId="1"/>
    <tableColumn id="1" xr3:uid="{6933352F-E22B-4BB8-A0EF-1E68D0201485}" uniqueName="1" name="Role" queryTableFieldId="1" dataDxfId="0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252" tableType="queryTable" totalsRowShown="0">
  <autoFilter ref="A1:Z252" xr:uid="{A195FF85-6F48-4D47-85B3-2697687D6300}">
    <filterColumn colId="5">
      <filters>
        <filter val="19822"/>
      </filters>
    </filterColumn>
  </autoFilter>
  <tableColumns count="26">
    <tableColumn id="2" xr3:uid="{992731B2-B483-4281-98FD-864D37CD4B3B}" uniqueName="2" name="Name" queryTableFieldId="2" dataDxfId="31"/>
    <tableColumn id="1" xr3:uid="{5CC3D8B5-BF46-425D-B0AE-8E366071D21F}" uniqueName="1" name="Role" queryTableFieldId="1" dataDxfId="30"/>
    <tableColumn id="3" xr3:uid="{4A3C8990-1BF1-4ACB-A679-A77C45B08D8F}" uniqueName="3" name="Resource" queryTableFieldId="3"/>
    <tableColumn id="4" xr3:uid="{210A611E-06A8-4C62-A41C-675DCBD21502}" uniqueName="4" name="Misalignment" queryTableFieldId="4" dataDxfId="29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72"/>
  <sheetViews>
    <sheetView workbookViewId="0">
      <selection activeCell="I45" sqref="I45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439</v>
      </c>
      <c r="B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t="s">
        <v>441</v>
      </c>
      <c r="B3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443</v>
      </c>
      <c r="B5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t="s">
        <v>445</v>
      </c>
      <c r="B6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t="s">
        <v>447</v>
      </c>
      <c r="B7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t="s">
        <v>449</v>
      </c>
      <c r="B8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t="s">
        <v>451</v>
      </c>
      <c r="B9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t="s">
        <v>453</v>
      </c>
      <c r="B10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455</v>
      </c>
      <c r="B11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t="s">
        <v>457</v>
      </c>
      <c r="B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t="s">
        <v>459</v>
      </c>
      <c r="B13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t="s">
        <v>461</v>
      </c>
      <c r="B14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t="s">
        <v>463</v>
      </c>
      <c r="B15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t="s">
        <v>465</v>
      </c>
      <c r="B16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t="s">
        <v>467</v>
      </c>
      <c r="B17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t="s">
        <v>469</v>
      </c>
      <c r="B18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t="s">
        <v>471</v>
      </c>
      <c r="B19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t="s">
        <v>473</v>
      </c>
      <c r="B20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t="s">
        <v>475</v>
      </c>
      <c r="B21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t="s">
        <v>477</v>
      </c>
      <c r="B2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t="s">
        <v>479</v>
      </c>
      <c r="B23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t="s">
        <v>481</v>
      </c>
      <c r="B24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t="s">
        <v>483</v>
      </c>
      <c r="B25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t="s">
        <v>485</v>
      </c>
      <c r="B26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t="s">
        <v>487</v>
      </c>
      <c r="B27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t="s">
        <v>488</v>
      </c>
      <c r="B28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t="s">
        <v>490</v>
      </c>
      <c r="B29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t="s">
        <v>492</v>
      </c>
      <c r="B30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t="s">
        <v>494</v>
      </c>
      <c r="B31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t="s">
        <v>496</v>
      </c>
      <c r="B3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t="s">
        <v>498</v>
      </c>
      <c r="B33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t="s">
        <v>500</v>
      </c>
      <c r="B34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t="s">
        <v>502</v>
      </c>
      <c r="B35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t="s">
        <v>504</v>
      </c>
      <c r="B36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t="s">
        <v>506</v>
      </c>
      <c r="B37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t="s">
        <v>508</v>
      </c>
      <c r="B38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t="s">
        <v>510</v>
      </c>
      <c r="B39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512</v>
      </c>
      <c r="B40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t="s">
        <v>514</v>
      </c>
      <c r="B41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t="s">
        <v>516</v>
      </c>
      <c r="B4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518</v>
      </c>
      <c r="B43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t="s">
        <v>520</v>
      </c>
      <c r="B44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522</v>
      </c>
      <c r="B45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t="s">
        <v>524</v>
      </c>
      <c r="B46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t="s">
        <v>526</v>
      </c>
      <c r="B47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t="s">
        <v>528</v>
      </c>
      <c r="B48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t="s">
        <v>530</v>
      </c>
      <c r="B49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t="s">
        <v>532</v>
      </c>
      <c r="B50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t="s">
        <v>534</v>
      </c>
      <c r="B51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t="s">
        <v>536</v>
      </c>
      <c r="B5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t="s">
        <v>538</v>
      </c>
      <c r="B53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t="s">
        <v>540</v>
      </c>
      <c r="B54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t="s">
        <v>542</v>
      </c>
      <c r="B55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t="s">
        <v>414</v>
      </c>
      <c r="B56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t="s">
        <v>544</v>
      </c>
      <c r="B57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t="s">
        <v>546</v>
      </c>
      <c r="B58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t="s">
        <v>548</v>
      </c>
      <c r="B59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t="s">
        <v>550</v>
      </c>
      <c r="B60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t="s">
        <v>552</v>
      </c>
      <c r="B61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t="s">
        <v>554</v>
      </c>
      <c r="B6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t="s">
        <v>556</v>
      </c>
      <c r="B63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t="s">
        <v>558</v>
      </c>
      <c r="B64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t="s">
        <v>560</v>
      </c>
      <c r="B65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t="s">
        <v>562</v>
      </c>
      <c r="B66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t="s">
        <v>564</v>
      </c>
      <c r="B67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t="s">
        <v>566</v>
      </c>
      <c r="B68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t="s">
        <v>568</v>
      </c>
      <c r="B69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t="s">
        <v>570</v>
      </c>
      <c r="B70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t="s">
        <v>572</v>
      </c>
      <c r="B71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t="s">
        <v>574</v>
      </c>
      <c r="B7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72"/>
  <sheetViews>
    <sheetView workbookViewId="0">
      <selection sqref="A1:Z52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439</v>
      </c>
      <c r="B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t="s">
        <v>441</v>
      </c>
      <c r="B3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443</v>
      </c>
      <c r="B5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t="s">
        <v>445</v>
      </c>
      <c r="B6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t="s">
        <v>447</v>
      </c>
      <c r="B7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t="s">
        <v>449</v>
      </c>
      <c r="B8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t="s">
        <v>451</v>
      </c>
      <c r="B9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t="s">
        <v>453</v>
      </c>
      <c r="B10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455</v>
      </c>
      <c r="B11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t="s">
        <v>457</v>
      </c>
      <c r="B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t="s">
        <v>459</v>
      </c>
      <c r="B13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t="s">
        <v>461</v>
      </c>
      <c r="B14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t="s">
        <v>463</v>
      </c>
      <c r="B15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t="s">
        <v>465</v>
      </c>
      <c r="B16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t="s">
        <v>467</v>
      </c>
      <c r="B17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t="s">
        <v>469</v>
      </c>
      <c r="B18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t="s">
        <v>471</v>
      </c>
      <c r="B19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t="s">
        <v>473</v>
      </c>
      <c r="B20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t="s">
        <v>475</v>
      </c>
      <c r="B21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t="s">
        <v>477</v>
      </c>
      <c r="B2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t="s">
        <v>479</v>
      </c>
      <c r="B23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t="s">
        <v>481</v>
      </c>
      <c r="B24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t="s">
        <v>483</v>
      </c>
      <c r="B25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t="s">
        <v>485</v>
      </c>
      <c r="B26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t="s">
        <v>487</v>
      </c>
      <c r="B27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t="s">
        <v>488</v>
      </c>
      <c r="B28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t="s">
        <v>490</v>
      </c>
      <c r="B29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t="s">
        <v>492</v>
      </c>
      <c r="B30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t="s">
        <v>494</v>
      </c>
      <c r="B31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t="s">
        <v>496</v>
      </c>
      <c r="B3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t="s">
        <v>498</v>
      </c>
      <c r="B33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t="s">
        <v>500</v>
      </c>
      <c r="B34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t="s">
        <v>502</v>
      </c>
      <c r="B35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t="s">
        <v>504</v>
      </c>
      <c r="B36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t="s">
        <v>506</v>
      </c>
      <c r="B37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t="s">
        <v>508</v>
      </c>
      <c r="B38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t="s">
        <v>510</v>
      </c>
      <c r="B39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512</v>
      </c>
      <c r="B40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t="s">
        <v>514</v>
      </c>
      <c r="B41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t="s">
        <v>516</v>
      </c>
      <c r="B4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518</v>
      </c>
      <c r="B43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t="s">
        <v>520</v>
      </c>
      <c r="B44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522</v>
      </c>
      <c r="B45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t="s">
        <v>524</v>
      </c>
      <c r="B46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t="s">
        <v>526</v>
      </c>
      <c r="B47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t="s">
        <v>528</v>
      </c>
      <c r="B48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t="s">
        <v>530</v>
      </c>
      <c r="B49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t="s">
        <v>532</v>
      </c>
      <c r="B50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t="s">
        <v>534</v>
      </c>
      <c r="B51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t="s">
        <v>536</v>
      </c>
      <c r="B5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t="s">
        <v>538</v>
      </c>
      <c r="B53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t="s">
        <v>540</v>
      </c>
      <c r="B54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t="s">
        <v>542</v>
      </c>
      <c r="B55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t="s">
        <v>414</v>
      </c>
      <c r="B56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t="s">
        <v>544</v>
      </c>
      <c r="B57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t="s">
        <v>546</v>
      </c>
      <c r="B58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t="s">
        <v>548</v>
      </c>
      <c r="B59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t="s">
        <v>550</v>
      </c>
      <c r="B60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t="s">
        <v>552</v>
      </c>
      <c r="B61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t="s">
        <v>554</v>
      </c>
      <c r="B6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t="s">
        <v>556</v>
      </c>
      <c r="B63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t="s">
        <v>558</v>
      </c>
      <c r="B64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t="s">
        <v>560</v>
      </c>
      <c r="B65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t="s">
        <v>562</v>
      </c>
      <c r="B66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t="s">
        <v>564</v>
      </c>
      <c r="B67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t="s">
        <v>566</v>
      </c>
      <c r="B68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t="s">
        <v>568</v>
      </c>
      <c r="B69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t="s">
        <v>570</v>
      </c>
      <c r="B70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t="s">
        <v>572</v>
      </c>
      <c r="B71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t="s">
        <v>574</v>
      </c>
      <c r="B7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Calculations\E-O-I\[StafMasterList-All.xlsx]Table_Masterlist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AA252"/>
  <sheetViews>
    <sheetView topLeftCell="J1" workbookViewId="0">
      <selection activeCell="T282" sqref="T282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  <col min="27" max="27" width="11.42578125" bestFit="1" customWidth="1"/>
  </cols>
  <sheetData>
    <row r="1" spans="1:27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  <c r="AA1" t="s">
        <v>576</v>
      </c>
    </row>
    <row r="2" spans="1:27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  <c r="AA2" t="str">
        <f>MasterStaffList_All[[#This Row],[Facility]]&amp;MasterStaffList_All[[#This Row],[Role]]&amp;MasterStaffList_All[[#This Row],[Resource]]</f>
        <v>BDAIN1</v>
      </c>
    </row>
    <row r="3" spans="1:27" hidden="1" x14ac:dyDescent="0.25">
      <c r="A3" t="s">
        <v>286</v>
      </c>
      <c r="B3" t="s">
        <v>22</v>
      </c>
      <c r="C3">
        <v>100</v>
      </c>
      <c r="E3" t="s">
        <v>76</v>
      </c>
      <c r="F3" t="s">
        <v>287</v>
      </c>
      <c r="G3" t="s">
        <v>78</v>
      </c>
      <c r="H3" t="s">
        <v>79</v>
      </c>
      <c r="I3" t="s">
        <v>22</v>
      </c>
      <c r="J3" t="b">
        <v>1</v>
      </c>
      <c r="K3" t="b">
        <v>1</v>
      </c>
      <c r="L3" t="s">
        <v>95</v>
      </c>
      <c r="M3" t="s">
        <v>81</v>
      </c>
      <c r="O3" t="s">
        <v>82</v>
      </c>
      <c r="P3">
        <v>45</v>
      </c>
      <c r="Q3">
        <v>46223</v>
      </c>
      <c r="R3">
        <v>46250</v>
      </c>
      <c r="S3">
        <v>2</v>
      </c>
      <c r="T3">
        <v>90</v>
      </c>
      <c r="U3">
        <v>11.842105263157896</v>
      </c>
      <c r="V3">
        <v>11</v>
      </c>
      <c r="W3">
        <v>20</v>
      </c>
      <c r="X3">
        <v>11</v>
      </c>
      <c r="Y3" t="s">
        <v>83</v>
      </c>
      <c r="Z3" t="s">
        <v>78</v>
      </c>
      <c r="AA3" t="str">
        <f>MasterStaffList_All[[#This Row],[Facility]]&amp;MasterStaffList_All[[#This Row],[Role]]&amp;MasterStaffList_All[[#This Row],[Resource]]</f>
        <v>BDAIN100</v>
      </c>
    </row>
    <row r="4" spans="1:27" hidden="1" x14ac:dyDescent="0.25">
      <c r="A4" t="s">
        <v>292</v>
      </c>
      <c r="B4" t="s">
        <v>22</v>
      </c>
      <c r="C4">
        <v>103</v>
      </c>
      <c r="E4" t="s">
        <v>76</v>
      </c>
      <c r="F4" t="s">
        <v>293</v>
      </c>
      <c r="G4" t="s">
        <v>78</v>
      </c>
      <c r="H4" t="s">
        <v>79</v>
      </c>
      <c r="I4" t="s">
        <v>22</v>
      </c>
      <c r="J4" t="b">
        <v>1</v>
      </c>
      <c r="K4" t="b">
        <v>1</v>
      </c>
      <c r="L4" t="s">
        <v>95</v>
      </c>
      <c r="M4" t="s">
        <v>81</v>
      </c>
      <c r="O4" t="s">
        <v>82</v>
      </c>
      <c r="P4">
        <v>60</v>
      </c>
      <c r="Q4">
        <v>46223</v>
      </c>
      <c r="R4">
        <v>46250</v>
      </c>
      <c r="S4">
        <v>2</v>
      </c>
      <c r="T4">
        <v>120</v>
      </c>
      <c r="U4">
        <v>15.789473684210527</v>
      </c>
      <c r="V4">
        <v>15</v>
      </c>
      <c r="W4">
        <v>20</v>
      </c>
      <c r="X4">
        <v>15</v>
      </c>
      <c r="Y4" t="s">
        <v>83</v>
      </c>
      <c r="Z4" t="s">
        <v>78</v>
      </c>
      <c r="AA4" t="str">
        <f>MasterStaffList_All[[#This Row],[Facility]]&amp;MasterStaffList_All[[#This Row],[Role]]&amp;MasterStaffList_All[[#This Row],[Resource]]</f>
        <v>BDAIN103</v>
      </c>
    </row>
    <row r="5" spans="1:27" hidden="1" x14ac:dyDescent="0.25">
      <c r="A5" t="s">
        <v>294</v>
      </c>
      <c r="B5" t="s">
        <v>22</v>
      </c>
      <c r="C5">
        <v>104</v>
      </c>
      <c r="E5" t="s">
        <v>76</v>
      </c>
      <c r="F5" t="s">
        <v>295</v>
      </c>
      <c r="G5" t="s">
        <v>78</v>
      </c>
      <c r="H5" t="s">
        <v>79</v>
      </c>
      <c r="I5" t="s">
        <v>22</v>
      </c>
      <c r="J5" t="b">
        <v>1</v>
      </c>
      <c r="K5" t="b">
        <v>1</v>
      </c>
      <c r="L5" t="s">
        <v>95</v>
      </c>
      <c r="M5" t="s">
        <v>81</v>
      </c>
      <c r="O5" t="s">
        <v>82</v>
      </c>
      <c r="P5">
        <v>75</v>
      </c>
      <c r="Q5">
        <v>46223</v>
      </c>
      <c r="R5">
        <v>46250</v>
      </c>
      <c r="S5">
        <v>2</v>
      </c>
      <c r="T5">
        <v>150</v>
      </c>
      <c r="U5">
        <v>19.736842105263161</v>
      </c>
      <c r="V5">
        <v>19</v>
      </c>
      <c r="W5">
        <v>20</v>
      </c>
      <c r="X5">
        <v>19</v>
      </c>
      <c r="Y5" t="s">
        <v>83</v>
      </c>
      <c r="Z5" t="s">
        <v>78</v>
      </c>
      <c r="AA5" t="str">
        <f>MasterStaffList_All[[#This Row],[Facility]]&amp;MasterStaffList_All[[#This Row],[Role]]&amp;MasterStaffList_All[[#This Row],[Resource]]</f>
        <v>BDAIN104</v>
      </c>
    </row>
    <row r="6" spans="1:27" hidden="1" x14ac:dyDescent="0.25">
      <c r="A6" t="s">
        <v>296</v>
      </c>
      <c r="B6" t="s">
        <v>22</v>
      </c>
      <c r="C6">
        <v>105</v>
      </c>
      <c r="E6" t="s">
        <v>76</v>
      </c>
      <c r="F6" t="s">
        <v>297</v>
      </c>
      <c r="G6" t="s">
        <v>78</v>
      </c>
      <c r="H6" t="s">
        <v>79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82</v>
      </c>
      <c r="P6">
        <v>67.5</v>
      </c>
      <c r="Q6">
        <v>46223</v>
      </c>
      <c r="R6">
        <v>46250</v>
      </c>
      <c r="S6">
        <v>2</v>
      </c>
      <c r="T6">
        <v>135</v>
      </c>
      <c r="U6">
        <v>17.763157894736842</v>
      </c>
      <c r="V6">
        <v>17</v>
      </c>
      <c r="W6">
        <v>20</v>
      </c>
      <c r="X6">
        <v>17</v>
      </c>
      <c r="Y6" t="s">
        <v>83</v>
      </c>
      <c r="Z6" t="s">
        <v>78</v>
      </c>
      <c r="AA6" t="str">
        <f>MasterStaffList_All[[#This Row],[Facility]]&amp;MasterStaffList_All[[#This Row],[Role]]&amp;MasterStaffList_All[[#This Row],[Resource]]</f>
        <v>BDAIN105</v>
      </c>
    </row>
    <row r="7" spans="1:27" hidden="1" x14ac:dyDescent="0.25">
      <c r="A7" t="s">
        <v>298</v>
      </c>
      <c r="B7" t="s">
        <v>22</v>
      </c>
      <c r="C7">
        <v>106</v>
      </c>
      <c r="E7" t="s">
        <v>76</v>
      </c>
      <c r="F7" t="s">
        <v>299</v>
      </c>
      <c r="G7" t="s">
        <v>78</v>
      </c>
      <c r="H7" t="s">
        <v>88</v>
      </c>
      <c r="I7" t="s">
        <v>22</v>
      </c>
      <c r="J7" t="b">
        <v>1</v>
      </c>
      <c r="K7" t="b">
        <v>1</v>
      </c>
      <c r="L7" t="s">
        <v>95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78</v>
      </c>
      <c r="AA7" t="str">
        <f>MasterStaffList_All[[#This Row],[Facility]]&amp;MasterStaffList_All[[#This Row],[Role]]&amp;MasterStaffList_All[[#This Row],[Resource]]</f>
        <v>BDAIN106</v>
      </c>
    </row>
    <row r="8" spans="1:27" hidden="1" x14ac:dyDescent="0.25">
      <c r="A8" t="s">
        <v>300</v>
      </c>
      <c r="B8" t="s">
        <v>22</v>
      </c>
      <c r="C8">
        <v>107</v>
      </c>
      <c r="E8" t="s">
        <v>76</v>
      </c>
      <c r="F8" t="s">
        <v>301</v>
      </c>
      <c r="G8" t="s">
        <v>78</v>
      </c>
      <c r="H8" t="s">
        <v>79</v>
      </c>
      <c r="I8" t="s">
        <v>22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30</v>
      </c>
      <c r="Q8">
        <v>46223</v>
      </c>
      <c r="R8">
        <v>46250</v>
      </c>
      <c r="S8">
        <v>2</v>
      </c>
      <c r="T8">
        <v>60</v>
      </c>
      <c r="U8">
        <v>7.8947368421052637</v>
      </c>
      <c r="V8">
        <v>7</v>
      </c>
      <c r="W8">
        <v>20</v>
      </c>
      <c r="X8">
        <v>7</v>
      </c>
      <c r="Y8" t="s">
        <v>83</v>
      </c>
      <c r="Z8" t="s">
        <v>78</v>
      </c>
      <c r="AA8" t="str">
        <f>MasterStaffList_All[[#This Row],[Facility]]&amp;MasterStaffList_All[[#This Row],[Role]]&amp;MasterStaffList_All[[#This Row],[Resource]]</f>
        <v>BDAIN107</v>
      </c>
    </row>
    <row r="9" spans="1:27" hidden="1" x14ac:dyDescent="0.25">
      <c r="A9" t="s">
        <v>304</v>
      </c>
      <c r="B9" t="s">
        <v>22</v>
      </c>
      <c r="C9">
        <v>109</v>
      </c>
      <c r="E9" t="s">
        <v>76</v>
      </c>
      <c r="F9" t="s">
        <v>305</v>
      </c>
      <c r="G9" t="s">
        <v>78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20.5</v>
      </c>
      <c r="Q9">
        <v>46223</v>
      </c>
      <c r="R9">
        <v>46250</v>
      </c>
      <c r="S9">
        <v>2</v>
      </c>
      <c r="T9">
        <v>41</v>
      </c>
      <c r="U9">
        <v>5.3947368421052637</v>
      </c>
      <c r="V9">
        <v>5</v>
      </c>
      <c r="W9">
        <v>20</v>
      </c>
      <c r="X9">
        <v>5</v>
      </c>
      <c r="Y9" t="s">
        <v>83</v>
      </c>
      <c r="Z9" t="s">
        <v>78</v>
      </c>
      <c r="AA9" t="str">
        <f>MasterStaffList_All[[#This Row],[Facility]]&amp;MasterStaffList_All[[#This Row],[Role]]&amp;MasterStaffList_All[[#This Row],[Resource]]</f>
        <v>BDAIN109</v>
      </c>
    </row>
    <row r="10" spans="1:27" hidden="1" x14ac:dyDescent="0.25">
      <c r="A10" t="s">
        <v>106</v>
      </c>
      <c r="B10" t="s">
        <v>22</v>
      </c>
      <c r="C10">
        <v>11</v>
      </c>
      <c r="E10" t="s">
        <v>76</v>
      </c>
      <c r="F10" t="s">
        <v>107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60</v>
      </c>
      <c r="Q10">
        <v>46223</v>
      </c>
      <c r="R10">
        <v>46250</v>
      </c>
      <c r="S10">
        <v>2</v>
      </c>
      <c r="T10">
        <v>120</v>
      </c>
      <c r="U10">
        <v>15.789473684210527</v>
      </c>
      <c r="V10">
        <v>15</v>
      </c>
      <c r="W10">
        <v>20</v>
      </c>
      <c r="X10">
        <v>15</v>
      </c>
      <c r="Y10" t="s">
        <v>83</v>
      </c>
      <c r="Z10" t="s">
        <v>78</v>
      </c>
      <c r="AA10" t="str">
        <f>MasterStaffList_All[[#This Row],[Facility]]&amp;MasterStaffList_All[[#This Row],[Role]]&amp;MasterStaffList_All[[#This Row],[Resource]]</f>
        <v>BDAIN11</v>
      </c>
    </row>
    <row r="11" spans="1:27" hidden="1" x14ac:dyDescent="0.25">
      <c r="A11" t="s">
        <v>306</v>
      </c>
      <c r="B11" t="s">
        <v>22</v>
      </c>
      <c r="C11">
        <v>110</v>
      </c>
      <c r="E11" t="s">
        <v>76</v>
      </c>
      <c r="F11" t="s">
        <v>307</v>
      </c>
      <c r="G11" t="s">
        <v>78</v>
      </c>
      <c r="H11" t="s">
        <v>79</v>
      </c>
      <c r="I11" t="s">
        <v>22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67.5</v>
      </c>
      <c r="Q11">
        <v>46223</v>
      </c>
      <c r="R11">
        <v>46250</v>
      </c>
      <c r="S11">
        <v>2</v>
      </c>
      <c r="T11">
        <v>135</v>
      </c>
      <c r="U11">
        <v>17.763157894736842</v>
      </c>
      <c r="V11">
        <v>17</v>
      </c>
      <c r="W11">
        <v>20</v>
      </c>
      <c r="X11">
        <v>17</v>
      </c>
      <c r="Y11" t="s">
        <v>83</v>
      </c>
      <c r="Z11" t="s">
        <v>78</v>
      </c>
      <c r="AA11" t="str">
        <f>MasterStaffList_All[[#This Row],[Facility]]&amp;MasterStaffList_All[[#This Row],[Role]]&amp;MasterStaffList_All[[#This Row],[Resource]]</f>
        <v>BDAIN110</v>
      </c>
    </row>
    <row r="12" spans="1:27" hidden="1" x14ac:dyDescent="0.25">
      <c r="A12" t="s">
        <v>310</v>
      </c>
      <c r="B12" t="s">
        <v>22</v>
      </c>
      <c r="C12">
        <v>112</v>
      </c>
      <c r="E12" t="s">
        <v>76</v>
      </c>
      <c r="F12" t="s">
        <v>311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45</v>
      </c>
      <c r="Q12">
        <v>46223</v>
      </c>
      <c r="R12">
        <v>46250</v>
      </c>
      <c r="S12">
        <v>2</v>
      </c>
      <c r="T12">
        <v>90</v>
      </c>
      <c r="U12">
        <v>11.842105263157896</v>
      </c>
      <c r="V12">
        <v>11</v>
      </c>
      <c r="W12">
        <v>20</v>
      </c>
      <c r="X12">
        <v>11</v>
      </c>
      <c r="Y12" t="s">
        <v>83</v>
      </c>
      <c r="Z12" t="s">
        <v>78</v>
      </c>
      <c r="AA12" t="str">
        <f>MasterStaffList_All[[#This Row],[Facility]]&amp;MasterStaffList_All[[#This Row],[Role]]&amp;MasterStaffList_All[[#This Row],[Resource]]</f>
        <v>BDAIN112</v>
      </c>
    </row>
    <row r="13" spans="1:27" hidden="1" x14ac:dyDescent="0.25">
      <c r="A13" t="s">
        <v>312</v>
      </c>
      <c r="B13" t="s">
        <v>22</v>
      </c>
      <c r="C13">
        <v>113</v>
      </c>
      <c r="E13" t="s">
        <v>76</v>
      </c>
      <c r="F13" t="s">
        <v>313</v>
      </c>
      <c r="G13" t="s">
        <v>78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60</v>
      </c>
      <c r="Q13">
        <v>46223</v>
      </c>
      <c r="R13">
        <v>46250</v>
      </c>
      <c r="S13">
        <v>2</v>
      </c>
      <c r="T13">
        <v>120</v>
      </c>
      <c r="U13">
        <v>15.789473684210527</v>
      </c>
      <c r="V13">
        <v>15</v>
      </c>
      <c r="W13">
        <v>20</v>
      </c>
      <c r="X13">
        <v>15</v>
      </c>
      <c r="Y13" t="s">
        <v>83</v>
      </c>
      <c r="Z13" t="s">
        <v>78</v>
      </c>
      <c r="AA13" t="str">
        <f>MasterStaffList_All[[#This Row],[Facility]]&amp;MasterStaffList_All[[#This Row],[Role]]&amp;MasterStaffList_All[[#This Row],[Resource]]</f>
        <v>BDAIN113</v>
      </c>
    </row>
    <row r="14" spans="1:27" hidden="1" x14ac:dyDescent="0.25">
      <c r="A14" t="s">
        <v>316</v>
      </c>
      <c r="B14" t="s">
        <v>22</v>
      </c>
      <c r="C14">
        <v>115</v>
      </c>
      <c r="E14" t="s">
        <v>76</v>
      </c>
      <c r="F14" t="s">
        <v>317</v>
      </c>
      <c r="G14" t="s">
        <v>78</v>
      </c>
      <c r="H14" t="s">
        <v>110</v>
      </c>
      <c r="I14" t="s">
        <v>22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111</v>
      </c>
      <c r="Z14" t="s">
        <v>78</v>
      </c>
      <c r="AA14" t="str">
        <f>MasterStaffList_All[[#This Row],[Facility]]&amp;MasterStaffList_All[[#This Row],[Role]]&amp;MasterStaffList_All[[#This Row],[Resource]]</f>
        <v>BDAIN115</v>
      </c>
    </row>
    <row r="15" spans="1:27" hidden="1" x14ac:dyDescent="0.25">
      <c r="A15" t="s">
        <v>318</v>
      </c>
      <c r="B15" t="s">
        <v>22</v>
      </c>
      <c r="C15">
        <v>116</v>
      </c>
      <c r="E15" t="s">
        <v>76</v>
      </c>
      <c r="F15" t="s">
        <v>319</v>
      </c>
      <c r="G15" t="s">
        <v>78</v>
      </c>
      <c r="H15" t="s">
        <v>88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78</v>
      </c>
      <c r="AA15" t="str">
        <f>MasterStaffList_All[[#This Row],[Facility]]&amp;MasterStaffList_All[[#This Row],[Role]]&amp;MasterStaffList_All[[#This Row],[Resource]]</f>
        <v>BDAIN116</v>
      </c>
    </row>
    <row r="16" spans="1:27" x14ac:dyDescent="0.25">
      <c r="A16" t="s">
        <v>324</v>
      </c>
      <c r="B16" t="s">
        <v>22</v>
      </c>
      <c r="C16">
        <v>119</v>
      </c>
      <c r="D16" t="s">
        <v>40</v>
      </c>
      <c r="E16" t="s">
        <v>76</v>
      </c>
      <c r="F16" t="s">
        <v>325</v>
      </c>
      <c r="G16" t="s">
        <v>78</v>
      </c>
      <c r="H16" t="s">
        <v>88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  <c r="AA16" t="str">
        <f>MasterStaffList_All[[#This Row],[Facility]]&amp;MasterStaffList_All[[#This Row],[Role]]&amp;MasterStaffList_All[[#This Row],[Resource]]</f>
        <v>BDAIN119</v>
      </c>
    </row>
    <row r="17" spans="1:27" hidden="1" x14ac:dyDescent="0.25">
      <c r="A17" t="s">
        <v>108</v>
      </c>
      <c r="B17" t="s">
        <v>22</v>
      </c>
      <c r="C17">
        <v>12</v>
      </c>
      <c r="E17" t="s">
        <v>76</v>
      </c>
      <c r="F17" t="s">
        <v>109</v>
      </c>
      <c r="G17" t="s">
        <v>78</v>
      </c>
      <c r="H17" t="s">
        <v>110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78</v>
      </c>
      <c r="AA17" t="str">
        <f>MasterStaffList_All[[#This Row],[Facility]]&amp;MasterStaffList_All[[#This Row],[Role]]&amp;MasterStaffList_All[[#This Row],[Resource]]</f>
        <v>BDAIN12</v>
      </c>
    </row>
    <row r="18" spans="1:27" hidden="1" x14ac:dyDescent="0.25">
      <c r="A18" t="s">
        <v>326</v>
      </c>
      <c r="B18" t="s">
        <v>22</v>
      </c>
      <c r="C18">
        <v>120</v>
      </c>
      <c r="E18" t="s">
        <v>76</v>
      </c>
      <c r="F18" t="s">
        <v>327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60</v>
      </c>
      <c r="Q18">
        <v>46223</v>
      </c>
      <c r="R18">
        <v>46250</v>
      </c>
      <c r="S18">
        <v>2</v>
      </c>
      <c r="T18">
        <v>120</v>
      </c>
      <c r="U18">
        <v>15.789473684210527</v>
      </c>
      <c r="V18">
        <v>15</v>
      </c>
      <c r="W18">
        <v>20</v>
      </c>
      <c r="X18">
        <v>15</v>
      </c>
      <c r="Y18" t="s">
        <v>83</v>
      </c>
      <c r="Z18" t="s">
        <v>78</v>
      </c>
      <c r="AA18" t="str">
        <f>MasterStaffList_All[[#This Row],[Facility]]&amp;MasterStaffList_All[[#This Row],[Role]]&amp;MasterStaffList_All[[#This Row],[Resource]]</f>
        <v>BDAIN120</v>
      </c>
    </row>
    <row r="19" spans="1:27" hidden="1" x14ac:dyDescent="0.25">
      <c r="A19" t="s">
        <v>328</v>
      </c>
      <c r="B19" t="s">
        <v>22</v>
      </c>
      <c r="C19">
        <v>121</v>
      </c>
      <c r="E19" t="s">
        <v>76</v>
      </c>
      <c r="F19" t="s">
        <v>329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67.5</v>
      </c>
      <c r="Q19">
        <v>46223</v>
      </c>
      <c r="R19">
        <v>46250</v>
      </c>
      <c r="S19">
        <v>2</v>
      </c>
      <c r="T19">
        <v>135</v>
      </c>
      <c r="U19">
        <v>17.763157894736842</v>
      </c>
      <c r="V19">
        <v>17</v>
      </c>
      <c r="W19">
        <v>20</v>
      </c>
      <c r="X19">
        <v>17</v>
      </c>
      <c r="Y19" t="s">
        <v>83</v>
      </c>
      <c r="Z19" t="s">
        <v>78</v>
      </c>
      <c r="AA19" t="str">
        <f>MasterStaffList_All[[#This Row],[Facility]]&amp;MasterStaffList_All[[#This Row],[Role]]&amp;MasterStaffList_All[[#This Row],[Resource]]</f>
        <v>BDAIN121</v>
      </c>
    </row>
    <row r="20" spans="1:27" hidden="1" x14ac:dyDescent="0.25">
      <c r="A20" t="s">
        <v>332</v>
      </c>
      <c r="B20" t="s">
        <v>22</v>
      </c>
      <c r="C20">
        <v>123</v>
      </c>
      <c r="E20" t="s">
        <v>76</v>
      </c>
      <c r="F20" t="s">
        <v>333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45</v>
      </c>
      <c r="Q20">
        <v>46223</v>
      </c>
      <c r="R20">
        <v>46250</v>
      </c>
      <c r="S20">
        <v>2</v>
      </c>
      <c r="T20">
        <v>90</v>
      </c>
      <c r="U20">
        <v>11.842105263157896</v>
      </c>
      <c r="V20">
        <v>11</v>
      </c>
      <c r="W20">
        <v>20</v>
      </c>
      <c r="X20">
        <v>11</v>
      </c>
      <c r="Y20" t="s">
        <v>83</v>
      </c>
      <c r="Z20" t="s">
        <v>78</v>
      </c>
      <c r="AA20" t="str">
        <f>MasterStaffList_All[[#This Row],[Facility]]&amp;MasterStaffList_All[[#This Row],[Role]]&amp;MasterStaffList_All[[#This Row],[Resource]]</f>
        <v>BDAIN123</v>
      </c>
    </row>
    <row r="21" spans="1:27" hidden="1" x14ac:dyDescent="0.25">
      <c r="A21" t="s">
        <v>338</v>
      </c>
      <c r="B21" t="s">
        <v>22</v>
      </c>
      <c r="C21">
        <v>126</v>
      </c>
      <c r="E21" t="s">
        <v>76</v>
      </c>
      <c r="F21" t="s">
        <v>339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45</v>
      </c>
      <c r="Q21">
        <v>46223</v>
      </c>
      <c r="R21">
        <v>46250</v>
      </c>
      <c r="S21">
        <v>2</v>
      </c>
      <c r="T21">
        <v>90</v>
      </c>
      <c r="U21">
        <v>11.842105263157896</v>
      </c>
      <c r="V21">
        <v>11</v>
      </c>
      <c r="W21">
        <v>20</v>
      </c>
      <c r="X21">
        <v>11</v>
      </c>
      <c r="Y21" t="s">
        <v>83</v>
      </c>
      <c r="Z21" t="s">
        <v>78</v>
      </c>
      <c r="AA21" t="str">
        <f>MasterStaffList_All[[#This Row],[Facility]]&amp;MasterStaffList_All[[#This Row],[Role]]&amp;MasterStaffList_All[[#This Row],[Resource]]</f>
        <v>BDAIN126</v>
      </c>
    </row>
    <row r="22" spans="1:27" hidden="1" x14ac:dyDescent="0.25">
      <c r="A22" t="s">
        <v>342</v>
      </c>
      <c r="B22" t="s">
        <v>22</v>
      </c>
      <c r="C22">
        <v>128</v>
      </c>
      <c r="D22" t="s">
        <v>40</v>
      </c>
      <c r="E22" t="s">
        <v>76</v>
      </c>
      <c r="F22" t="s">
        <v>343</v>
      </c>
      <c r="G22" t="s">
        <v>78</v>
      </c>
      <c r="H22" t="s">
        <v>88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89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89</v>
      </c>
      <c r="Z22" t="s">
        <v>78</v>
      </c>
      <c r="AA22" t="str">
        <f>MasterStaffList_All[[#This Row],[Facility]]&amp;MasterStaffList_All[[#This Row],[Role]]&amp;MasterStaffList_All[[#This Row],[Resource]]</f>
        <v>BDAIN128</v>
      </c>
    </row>
    <row r="23" spans="1:27" hidden="1" x14ac:dyDescent="0.25">
      <c r="A23" t="s">
        <v>344</v>
      </c>
      <c r="B23" t="s">
        <v>22</v>
      </c>
      <c r="C23">
        <v>129</v>
      </c>
      <c r="E23" t="s">
        <v>76</v>
      </c>
      <c r="F23" t="s">
        <v>345</v>
      </c>
      <c r="G23" t="s">
        <v>78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78</v>
      </c>
      <c r="AA23" t="str">
        <f>MasterStaffList_All[[#This Row],[Facility]]&amp;MasterStaffList_All[[#This Row],[Role]]&amp;MasterStaffList_All[[#This Row],[Resource]]</f>
        <v>BDAIN129</v>
      </c>
    </row>
    <row r="24" spans="1:27" hidden="1" x14ac:dyDescent="0.25">
      <c r="A24" t="s">
        <v>116</v>
      </c>
      <c r="B24" t="s">
        <v>22</v>
      </c>
      <c r="C24">
        <v>15</v>
      </c>
      <c r="E24" t="s">
        <v>76</v>
      </c>
      <c r="F24" t="s">
        <v>117</v>
      </c>
      <c r="G24" t="s">
        <v>78</v>
      </c>
      <c r="H24" t="s">
        <v>88</v>
      </c>
      <c r="I24" t="s">
        <v>22</v>
      </c>
      <c r="J24" t="b">
        <v>1</v>
      </c>
      <c r="K24" t="b">
        <v>1</v>
      </c>
      <c r="L24" t="s">
        <v>95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  <c r="AA24" t="str">
        <f>MasterStaffList_All[[#This Row],[Facility]]&amp;MasterStaffList_All[[#This Row],[Role]]&amp;MasterStaffList_All[[#This Row],[Resource]]</f>
        <v>BDAIN15</v>
      </c>
    </row>
    <row r="25" spans="1:27" hidden="1" x14ac:dyDescent="0.25">
      <c r="A25" t="s">
        <v>118</v>
      </c>
      <c r="B25" t="s">
        <v>22</v>
      </c>
      <c r="C25">
        <v>16</v>
      </c>
      <c r="E25" t="s">
        <v>76</v>
      </c>
      <c r="F25" t="s">
        <v>119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75</v>
      </c>
      <c r="Q25">
        <v>46223</v>
      </c>
      <c r="R25">
        <v>46250</v>
      </c>
      <c r="S25">
        <v>2</v>
      </c>
      <c r="T25">
        <v>150</v>
      </c>
      <c r="U25">
        <v>19.736842105263161</v>
      </c>
      <c r="V25">
        <v>19</v>
      </c>
      <c r="W25">
        <v>20</v>
      </c>
      <c r="X25">
        <v>19</v>
      </c>
      <c r="Y25" t="s">
        <v>83</v>
      </c>
      <c r="Z25" t="s">
        <v>78</v>
      </c>
      <c r="AA25" t="str">
        <f>MasterStaffList_All[[#This Row],[Facility]]&amp;MasterStaffList_All[[#This Row],[Role]]&amp;MasterStaffList_All[[#This Row],[Resource]]</f>
        <v>BDAIN16</v>
      </c>
    </row>
    <row r="26" spans="1:27" hidden="1" x14ac:dyDescent="0.25">
      <c r="A26" t="s">
        <v>120</v>
      </c>
      <c r="B26" t="s">
        <v>22</v>
      </c>
      <c r="C26">
        <v>17</v>
      </c>
      <c r="E26" t="s">
        <v>76</v>
      </c>
      <c r="F26" t="s">
        <v>121</v>
      </c>
      <c r="G26" t="s">
        <v>78</v>
      </c>
      <c r="H26" t="s">
        <v>79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52.5</v>
      </c>
      <c r="Q26">
        <v>46223</v>
      </c>
      <c r="R26">
        <v>46250</v>
      </c>
      <c r="S26">
        <v>2</v>
      </c>
      <c r="T26">
        <v>105</v>
      </c>
      <c r="U26">
        <v>13.815789473684212</v>
      </c>
      <c r="V26">
        <v>13</v>
      </c>
      <c r="W26">
        <v>20</v>
      </c>
      <c r="X26">
        <v>13</v>
      </c>
      <c r="Y26" t="s">
        <v>83</v>
      </c>
      <c r="Z26" t="s">
        <v>78</v>
      </c>
      <c r="AA26" t="str">
        <f>MasterStaffList_All[[#This Row],[Facility]]&amp;MasterStaffList_All[[#This Row],[Role]]&amp;MasterStaffList_All[[#This Row],[Resource]]</f>
        <v>BDAIN17</v>
      </c>
    </row>
    <row r="27" spans="1:27" hidden="1" x14ac:dyDescent="0.25">
      <c r="A27" t="s">
        <v>122</v>
      </c>
      <c r="B27" t="s">
        <v>22</v>
      </c>
      <c r="C27">
        <v>18</v>
      </c>
      <c r="E27" t="s">
        <v>76</v>
      </c>
      <c r="F27" t="s">
        <v>123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66.5</v>
      </c>
      <c r="Q27">
        <v>46223</v>
      </c>
      <c r="R27">
        <v>46250</v>
      </c>
      <c r="S27">
        <v>2</v>
      </c>
      <c r="T27">
        <v>133</v>
      </c>
      <c r="U27">
        <v>17.5</v>
      </c>
      <c r="V27">
        <v>17</v>
      </c>
      <c r="W27">
        <v>20</v>
      </c>
      <c r="X27">
        <v>17</v>
      </c>
      <c r="Y27" t="s">
        <v>83</v>
      </c>
      <c r="Z27" t="s">
        <v>78</v>
      </c>
      <c r="AA27" t="str">
        <f>MasterStaffList_All[[#This Row],[Facility]]&amp;MasterStaffList_All[[#This Row],[Role]]&amp;MasterStaffList_All[[#This Row],[Resource]]</f>
        <v>BDAIN18</v>
      </c>
    </row>
    <row r="28" spans="1:27" hidden="1" x14ac:dyDescent="0.25">
      <c r="A28" t="s">
        <v>124</v>
      </c>
      <c r="B28" t="s">
        <v>22</v>
      </c>
      <c r="C28">
        <v>19</v>
      </c>
      <c r="E28" t="s">
        <v>76</v>
      </c>
      <c r="F28" t="s">
        <v>125</v>
      </c>
      <c r="G28" t="s">
        <v>78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  <c r="AA28" t="str">
        <f>MasterStaffList_All[[#This Row],[Facility]]&amp;MasterStaffList_All[[#This Row],[Role]]&amp;MasterStaffList_All[[#This Row],[Resource]]</f>
        <v>BDAIN19</v>
      </c>
    </row>
    <row r="29" spans="1:27" hidden="1" x14ac:dyDescent="0.25">
      <c r="A29" t="s">
        <v>84</v>
      </c>
      <c r="B29" t="s">
        <v>22</v>
      </c>
      <c r="C29">
        <v>2</v>
      </c>
      <c r="D29" t="s">
        <v>40</v>
      </c>
      <c r="E29" t="s">
        <v>76</v>
      </c>
      <c r="F29" t="s">
        <v>85</v>
      </c>
      <c r="G29" t="s">
        <v>78</v>
      </c>
      <c r="H29" t="s">
        <v>79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82</v>
      </c>
      <c r="P29">
        <v>60</v>
      </c>
      <c r="Q29">
        <v>46223</v>
      </c>
      <c r="R29">
        <v>46250</v>
      </c>
      <c r="S29">
        <v>2</v>
      </c>
      <c r="T29">
        <v>120</v>
      </c>
      <c r="U29">
        <v>15.789473684210527</v>
      </c>
      <c r="V29">
        <v>15</v>
      </c>
      <c r="W29">
        <v>20</v>
      </c>
      <c r="X29">
        <v>15</v>
      </c>
      <c r="Y29" t="s">
        <v>83</v>
      </c>
      <c r="Z29" t="s">
        <v>78</v>
      </c>
      <c r="AA29" t="str">
        <f>MasterStaffList_All[[#This Row],[Facility]]&amp;MasterStaffList_All[[#This Row],[Role]]&amp;MasterStaffList_All[[#This Row],[Resource]]</f>
        <v>BDAIN2</v>
      </c>
    </row>
    <row r="30" spans="1:27" hidden="1" x14ac:dyDescent="0.25">
      <c r="A30" t="s">
        <v>126</v>
      </c>
      <c r="B30" t="s">
        <v>22</v>
      </c>
      <c r="C30">
        <v>20</v>
      </c>
      <c r="E30" t="s">
        <v>76</v>
      </c>
      <c r="F30" t="s">
        <v>127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52.5</v>
      </c>
      <c r="Q30">
        <v>46223</v>
      </c>
      <c r="R30">
        <v>46250</v>
      </c>
      <c r="S30">
        <v>2</v>
      </c>
      <c r="T30">
        <v>105</v>
      </c>
      <c r="U30">
        <v>13.815789473684212</v>
      </c>
      <c r="V30">
        <v>13</v>
      </c>
      <c r="W30">
        <v>20</v>
      </c>
      <c r="X30">
        <v>13</v>
      </c>
      <c r="Y30" t="s">
        <v>83</v>
      </c>
      <c r="Z30" t="s">
        <v>78</v>
      </c>
      <c r="AA30" t="str">
        <f>MasterStaffList_All[[#This Row],[Facility]]&amp;MasterStaffList_All[[#This Row],[Role]]&amp;MasterStaffList_All[[#This Row],[Resource]]</f>
        <v>BDAIN20</v>
      </c>
    </row>
    <row r="31" spans="1:27" x14ac:dyDescent="0.25">
      <c r="A31" t="s">
        <v>132</v>
      </c>
      <c r="B31" t="s">
        <v>22</v>
      </c>
      <c r="C31">
        <v>23</v>
      </c>
      <c r="D31" t="s">
        <v>40</v>
      </c>
      <c r="E31" t="s">
        <v>76</v>
      </c>
      <c r="F31" t="s">
        <v>133</v>
      </c>
      <c r="G31" t="s">
        <v>78</v>
      </c>
      <c r="H31" t="s">
        <v>88</v>
      </c>
      <c r="I31" t="s">
        <v>22</v>
      </c>
      <c r="J31" t="b">
        <v>0</v>
      </c>
      <c r="K31" t="b">
        <v>1</v>
      </c>
      <c r="L31" t="s">
        <v>80</v>
      </c>
      <c r="M31" t="s">
        <v>81</v>
      </c>
      <c r="O31" t="s">
        <v>89</v>
      </c>
      <c r="P31">
        <v>76</v>
      </c>
      <c r="Q31">
        <v>46223</v>
      </c>
      <c r="R31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89</v>
      </c>
      <c r="Z31" t="s">
        <v>78</v>
      </c>
      <c r="AA31" t="str">
        <f>MasterStaffList_All[[#This Row],[Facility]]&amp;MasterStaffList_All[[#This Row],[Role]]&amp;MasterStaffList_All[[#This Row],[Resource]]</f>
        <v>BDAIN23</v>
      </c>
    </row>
    <row r="32" spans="1:27" hidden="1" x14ac:dyDescent="0.25">
      <c r="A32" t="s">
        <v>134</v>
      </c>
      <c r="B32" t="s">
        <v>22</v>
      </c>
      <c r="C32">
        <v>24</v>
      </c>
      <c r="E32" t="s">
        <v>76</v>
      </c>
      <c r="F32" t="s">
        <v>135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60</v>
      </c>
      <c r="Q32">
        <v>46223</v>
      </c>
      <c r="R32">
        <v>46250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83</v>
      </c>
      <c r="Z32" t="s">
        <v>78</v>
      </c>
      <c r="AA32" t="str">
        <f>MasterStaffList_All[[#This Row],[Facility]]&amp;MasterStaffList_All[[#This Row],[Role]]&amp;MasterStaffList_All[[#This Row],[Resource]]</f>
        <v>BDAIN24</v>
      </c>
    </row>
    <row r="33" spans="1:27" hidden="1" x14ac:dyDescent="0.25">
      <c r="A33" t="s">
        <v>136</v>
      </c>
      <c r="B33" t="s">
        <v>22</v>
      </c>
      <c r="C33">
        <v>25</v>
      </c>
      <c r="E33" t="s">
        <v>76</v>
      </c>
      <c r="F33" t="s">
        <v>137</v>
      </c>
      <c r="G33" t="s">
        <v>78</v>
      </c>
      <c r="H33" t="s">
        <v>88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  <c r="AA33" t="str">
        <f>MasterStaffList_All[[#This Row],[Facility]]&amp;MasterStaffList_All[[#This Row],[Role]]&amp;MasterStaffList_All[[#This Row],[Resource]]</f>
        <v>BDAIN25</v>
      </c>
    </row>
    <row r="34" spans="1:27" hidden="1" x14ac:dyDescent="0.25">
      <c r="A34" t="s">
        <v>138</v>
      </c>
      <c r="B34" t="s">
        <v>22</v>
      </c>
      <c r="C34">
        <v>26</v>
      </c>
      <c r="E34" t="s">
        <v>76</v>
      </c>
      <c r="F34" t="s">
        <v>139</v>
      </c>
      <c r="G34" t="s">
        <v>78</v>
      </c>
      <c r="H34" t="s">
        <v>79</v>
      </c>
      <c r="I34" t="s">
        <v>22</v>
      </c>
      <c r="J34" t="b">
        <v>1</v>
      </c>
      <c r="K34" t="b">
        <v>1</v>
      </c>
      <c r="L34" t="s">
        <v>95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  <c r="AA34" t="str">
        <f>MasterStaffList_All[[#This Row],[Facility]]&amp;MasterStaffList_All[[#This Row],[Role]]&amp;MasterStaffList_All[[#This Row],[Resource]]</f>
        <v>BDAIN26</v>
      </c>
    </row>
    <row r="35" spans="1:27" x14ac:dyDescent="0.25">
      <c r="A35" t="s">
        <v>142</v>
      </c>
      <c r="B35" t="s">
        <v>22</v>
      </c>
      <c r="C35">
        <v>28</v>
      </c>
      <c r="D35" t="s">
        <v>40</v>
      </c>
      <c r="E35" t="s">
        <v>76</v>
      </c>
      <c r="F35" t="s">
        <v>143</v>
      </c>
      <c r="G35" t="s">
        <v>78</v>
      </c>
      <c r="H35" t="s">
        <v>88</v>
      </c>
      <c r="I35" t="s">
        <v>22</v>
      </c>
      <c r="J35" t="b">
        <v>0</v>
      </c>
      <c r="K35" t="b">
        <v>1</v>
      </c>
      <c r="L35" t="s">
        <v>80</v>
      </c>
      <c r="M35" t="s">
        <v>81</v>
      </c>
      <c r="O35" t="s">
        <v>89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89</v>
      </c>
      <c r="Z35" t="s">
        <v>78</v>
      </c>
      <c r="AA35" t="str">
        <f>MasterStaffList_All[[#This Row],[Facility]]&amp;MasterStaffList_All[[#This Row],[Role]]&amp;MasterStaffList_All[[#This Row],[Resource]]</f>
        <v>BDAIN28</v>
      </c>
    </row>
    <row r="36" spans="1:27" hidden="1" x14ac:dyDescent="0.25">
      <c r="A36" t="s">
        <v>144</v>
      </c>
      <c r="B36" t="s">
        <v>22</v>
      </c>
      <c r="C36">
        <v>29</v>
      </c>
      <c r="E36" t="s">
        <v>76</v>
      </c>
      <c r="F36" t="s">
        <v>145</v>
      </c>
      <c r="G36" t="s">
        <v>78</v>
      </c>
      <c r="H36" t="s">
        <v>79</v>
      </c>
      <c r="I36" t="s">
        <v>22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67.5</v>
      </c>
      <c r="Q36">
        <v>46223</v>
      </c>
      <c r="R36">
        <v>46250</v>
      </c>
      <c r="S36">
        <v>2</v>
      </c>
      <c r="T36">
        <v>135</v>
      </c>
      <c r="U36">
        <v>17.763157894736842</v>
      </c>
      <c r="V36">
        <v>17</v>
      </c>
      <c r="W36">
        <v>20</v>
      </c>
      <c r="X36">
        <v>17</v>
      </c>
      <c r="Y36" t="s">
        <v>83</v>
      </c>
      <c r="Z36" t="s">
        <v>78</v>
      </c>
      <c r="AA36" t="str">
        <f>MasterStaffList_All[[#This Row],[Facility]]&amp;MasterStaffList_All[[#This Row],[Role]]&amp;MasterStaffList_All[[#This Row],[Resource]]</f>
        <v>BDAIN29</v>
      </c>
    </row>
    <row r="37" spans="1:27" hidden="1" x14ac:dyDescent="0.25">
      <c r="A37" t="s">
        <v>86</v>
      </c>
      <c r="B37" t="s">
        <v>22</v>
      </c>
      <c r="C37">
        <v>3</v>
      </c>
      <c r="D37" t="s">
        <v>40</v>
      </c>
      <c r="E37" t="s">
        <v>76</v>
      </c>
      <c r="F37" t="s">
        <v>87</v>
      </c>
      <c r="G37" t="s">
        <v>78</v>
      </c>
      <c r="H37" t="s">
        <v>88</v>
      </c>
      <c r="I37" t="s">
        <v>22</v>
      </c>
      <c r="J37" t="b">
        <v>0</v>
      </c>
      <c r="K37" t="b">
        <v>1</v>
      </c>
      <c r="L37" t="s">
        <v>80</v>
      </c>
      <c r="M37" t="s">
        <v>81</v>
      </c>
      <c r="O37" t="s">
        <v>89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89</v>
      </c>
      <c r="Z37" t="s">
        <v>78</v>
      </c>
      <c r="AA37" t="str">
        <f>MasterStaffList_All[[#This Row],[Facility]]&amp;MasterStaffList_All[[#This Row],[Role]]&amp;MasterStaffList_All[[#This Row],[Resource]]</f>
        <v>BDAIN3</v>
      </c>
    </row>
    <row r="38" spans="1:27" hidden="1" x14ac:dyDescent="0.25">
      <c r="A38" t="s">
        <v>146</v>
      </c>
      <c r="B38" t="s">
        <v>22</v>
      </c>
      <c r="C38">
        <v>30</v>
      </c>
      <c r="E38" t="s">
        <v>76</v>
      </c>
      <c r="F38" t="s">
        <v>147</v>
      </c>
      <c r="G38" t="s">
        <v>78</v>
      </c>
      <c r="H38" t="s">
        <v>79</v>
      </c>
      <c r="I38" t="s">
        <v>22</v>
      </c>
      <c r="J38" t="b">
        <v>1</v>
      </c>
      <c r="K38" t="b">
        <v>1</v>
      </c>
      <c r="L38" t="s">
        <v>95</v>
      </c>
      <c r="M38" t="s">
        <v>81</v>
      </c>
      <c r="O38" t="s">
        <v>82</v>
      </c>
      <c r="P38">
        <v>45</v>
      </c>
      <c r="Q38">
        <v>46223</v>
      </c>
      <c r="R38">
        <v>46250</v>
      </c>
      <c r="S38">
        <v>2</v>
      </c>
      <c r="T38">
        <v>90</v>
      </c>
      <c r="U38">
        <v>11.842105263157896</v>
      </c>
      <c r="V38">
        <v>11</v>
      </c>
      <c r="W38">
        <v>20</v>
      </c>
      <c r="X38">
        <v>11</v>
      </c>
      <c r="Y38" t="s">
        <v>83</v>
      </c>
      <c r="Z38" t="s">
        <v>78</v>
      </c>
      <c r="AA38" t="str">
        <f>MasterStaffList_All[[#This Row],[Facility]]&amp;MasterStaffList_All[[#This Row],[Role]]&amp;MasterStaffList_All[[#This Row],[Resource]]</f>
        <v>BDAIN30</v>
      </c>
    </row>
    <row r="39" spans="1:27" hidden="1" x14ac:dyDescent="0.25">
      <c r="A39" t="s">
        <v>148</v>
      </c>
      <c r="B39" t="s">
        <v>22</v>
      </c>
      <c r="C39">
        <v>31</v>
      </c>
      <c r="E39" t="s">
        <v>76</v>
      </c>
      <c r="F39" t="s">
        <v>149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75</v>
      </c>
      <c r="Q39">
        <v>46223</v>
      </c>
      <c r="R39">
        <v>46250</v>
      </c>
      <c r="S39">
        <v>2</v>
      </c>
      <c r="T39">
        <v>150</v>
      </c>
      <c r="U39">
        <v>19.736842105263161</v>
      </c>
      <c r="V39">
        <v>19</v>
      </c>
      <c r="W39">
        <v>20</v>
      </c>
      <c r="X39">
        <v>19</v>
      </c>
      <c r="Y39" t="s">
        <v>83</v>
      </c>
      <c r="Z39" t="s">
        <v>78</v>
      </c>
      <c r="AA39" t="str">
        <f>MasterStaffList_All[[#This Row],[Facility]]&amp;MasterStaffList_All[[#This Row],[Role]]&amp;MasterStaffList_All[[#This Row],[Resource]]</f>
        <v>BDAIN31</v>
      </c>
    </row>
    <row r="40" spans="1:27" x14ac:dyDescent="0.25">
      <c r="A40" t="s">
        <v>150</v>
      </c>
      <c r="B40" t="s">
        <v>22</v>
      </c>
      <c r="C40">
        <v>32</v>
      </c>
      <c r="D40" t="s">
        <v>40</v>
      </c>
      <c r="E40" t="s">
        <v>76</v>
      </c>
      <c r="F40" t="s">
        <v>151</v>
      </c>
      <c r="G40" t="s">
        <v>78</v>
      </c>
      <c r="H40" t="s">
        <v>88</v>
      </c>
      <c r="I40" t="s">
        <v>22</v>
      </c>
      <c r="J40" t="b">
        <v>0</v>
      </c>
      <c r="K40" t="b">
        <v>1</v>
      </c>
      <c r="L40" t="s">
        <v>80</v>
      </c>
      <c r="M40" t="s">
        <v>81</v>
      </c>
      <c r="O40" t="s">
        <v>89</v>
      </c>
      <c r="P40">
        <v>76</v>
      </c>
      <c r="Q40">
        <v>46223</v>
      </c>
      <c r="R4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89</v>
      </c>
      <c r="Z40" t="s">
        <v>78</v>
      </c>
      <c r="AA40" t="str">
        <f>MasterStaffList_All[[#This Row],[Facility]]&amp;MasterStaffList_All[[#This Row],[Role]]&amp;MasterStaffList_All[[#This Row],[Resource]]</f>
        <v>BDAIN32</v>
      </c>
    </row>
    <row r="41" spans="1:27" hidden="1" x14ac:dyDescent="0.25">
      <c r="A41" t="s">
        <v>152</v>
      </c>
      <c r="B41" t="s">
        <v>22</v>
      </c>
      <c r="C41">
        <v>33</v>
      </c>
      <c r="D41" t="s">
        <v>40</v>
      </c>
      <c r="E41" t="s">
        <v>76</v>
      </c>
      <c r="F41" t="s">
        <v>153</v>
      </c>
      <c r="G41" t="s">
        <v>78</v>
      </c>
      <c r="H41" t="s">
        <v>79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82</v>
      </c>
      <c r="P41">
        <v>30</v>
      </c>
      <c r="Q41">
        <v>46223</v>
      </c>
      <c r="R41">
        <v>46250</v>
      </c>
      <c r="S41">
        <v>2</v>
      </c>
      <c r="T41">
        <v>60</v>
      </c>
      <c r="U41">
        <v>7.8947368421052637</v>
      </c>
      <c r="V41">
        <v>7</v>
      </c>
      <c r="W41">
        <v>20</v>
      </c>
      <c r="X41">
        <v>7</v>
      </c>
      <c r="Y41" t="s">
        <v>83</v>
      </c>
      <c r="Z41" t="s">
        <v>78</v>
      </c>
      <c r="AA41" t="str">
        <f>MasterStaffList_All[[#This Row],[Facility]]&amp;MasterStaffList_All[[#This Row],[Role]]&amp;MasterStaffList_All[[#This Row],[Resource]]</f>
        <v>BDAIN33</v>
      </c>
    </row>
    <row r="42" spans="1:27" hidden="1" x14ac:dyDescent="0.25">
      <c r="A42" t="s">
        <v>154</v>
      </c>
      <c r="B42" t="s">
        <v>22</v>
      </c>
      <c r="C42">
        <v>34</v>
      </c>
      <c r="E42" t="s">
        <v>76</v>
      </c>
      <c r="F42" t="s">
        <v>155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52.5</v>
      </c>
      <c r="Q42">
        <v>46223</v>
      </c>
      <c r="R42">
        <v>46250</v>
      </c>
      <c r="S42">
        <v>2</v>
      </c>
      <c r="T42">
        <v>105</v>
      </c>
      <c r="U42">
        <v>13.815789473684212</v>
      </c>
      <c r="V42">
        <v>13</v>
      </c>
      <c r="W42">
        <v>20</v>
      </c>
      <c r="X42">
        <v>13</v>
      </c>
      <c r="Y42" t="s">
        <v>83</v>
      </c>
      <c r="Z42" t="s">
        <v>78</v>
      </c>
      <c r="AA42" t="str">
        <f>MasterStaffList_All[[#This Row],[Facility]]&amp;MasterStaffList_All[[#This Row],[Role]]&amp;MasterStaffList_All[[#This Row],[Resource]]</f>
        <v>BDAIN34</v>
      </c>
    </row>
    <row r="43" spans="1:27" hidden="1" x14ac:dyDescent="0.25">
      <c r="A43" t="s">
        <v>158</v>
      </c>
      <c r="B43" t="s">
        <v>22</v>
      </c>
      <c r="C43">
        <v>36</v>
      </c>
      <c r="E43" t="s">
        <v>76</v>
      </c>
      <c r="F43" t="s">
        <v>159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  <c r="AA43" t="str">
        <f>MasterStaffList_All[[#This Row],[Facility]]&amp;MasterStaffList_All[[#This Row],[Role]]&amp;MasterStaffList_All[[#This Row],[Resource]]</f>
        <v>BDAIN36</v>
      </c>
    </row>
    <row r="44" spans="1:27" hidden="1" x14ac:dyDescent="0.25">
      <c r="A44" t="s">
        <v>160</v>
      </c>
      <c r="B44" t="s">
        <v>22</v>
      </c>
      <c r="C44">
        <v>37</v>
      </c>
      <c r="D44" t="s">
        <v>40</v>
      </c>
      <c r="E44" t="s">
        <v>76</v>
      </c>
      <c r="F44" t="s">
        <v>161</v>
      </c>
      <c r="G44" t="s">
        <v>78</v>
      </c>
      <c r="H44" t="s">
        <v>79</v>
      </c>
      <c r="I44" t="s">
        <v>22</v>
      </c>
      <c r="J44" t="b">
        <v>0</v>
      </c>
      <c r="K44" t="b">
        <v>1</v>
      </c>
      <c r="L44" t="s">
        <v>80</v>
      </c>
      <c r="M44" t="s">
        <v>81</v>
      </c>
      <c r="O44" t="s">
        <v>82</v>
      </c>
      <c r="P44">
        <v>40</v>
      </c>
      <c r="Q44">
        <v>46223</v>
      </c>
      <c r="R44">
        <v>46250</v>
      </c>
      <c r="S44">
        <v>2</v>
      </c>
      <c r="T44">
        <v>80</v>
      </c>
      <c r="U44">
        <v>10.526315789473683</v>
      </c>
      <c r="V44">
        <v>10</v>
      </c>
      <c r="W44">
        <v>20</v>
      </c>
      <c r="X44">
        <v>10</v>
      </c>
      <c r="Y44" t="s">
        <v>83</v>
      </c>
      <c r="Z44" t="s">
        <v>78</v>
      </c>
      <c r="AA44" t="str">
        <f>MasterStaffList_All[[#This Row],[Facility]]&amp;MasterStaffList_All[[#This Row],[Role]]&amp;MasterStaffList_All[[#This Row],[Resource]]</f>
        <v>BDAIN37</v>
      </c>
    </row>
    <row r="45" spans="1:27" hidden="1" x14ac:dyDescent="0.25">
      <c r="A45" t="s">
        <v>162</v>
      </c>
      <c r="B45" t="s">
        <v>22</v>
      </c>
      <c r="C45">
        <v>38</v>
      </c>
      <c r="E45" t="s">
        <v>76</v>
      </c>
      <c r="F45" t="s">
        <v>163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37.5</v>
      </c>
      <c r="Q45">
        <v>46223</v>
      </c>
      <c r="R45">
        <v>46250</v>
      </c>
      <c r="S45">
        <v>2</v>
      </c>
      <c r="T45">
        <v>75</v>
      </c>
      <c r="U45">
        <v>9.8684210526315788</v>
      </c>
      <c r="V45">
        <v>9</v>
      </c>
      <c r="W45">
        <v>20</v>
      </c>
      <c r="X45">
        <v>9</v>
      </c>
      <c r="Y45" t="s">
        <v>83</v>
      </c>
      <c r="Z45" t="s">
        <v>78</v>
      </c>
      <c r="AA45" t="str">
        <f>MasterStaffList_All[[#This Row],[Facility]]&amp;MasterStaffList_All[[#This Row],[Role]]&amp;MasterStaffList_All[[#This Row],[Resource]]</f>
        <v>BDAIN38</v>
      </c>
    </row>
    <row r="46" spans="1:27" hidden="1" x14ac:dyDescent="0.25">
      <c r="A46" t="s">
        <v>164</v>
      </c>
      <c r="B46" t="s">
        <v>22</v>
      </c>
      <c r="C46">
        <v>39</v>
      </c>
      <c r="E46" t="s">
        <v>76</v>
      </c>
      <c r="F46" t="s">
        <v>165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67.5</v>
      </c>
      <c r="Q46">
        <v>46223</v>
      </c>
      <c r="R46">
        <v>46250</v>
      </c>
      <c r="S46">
        <v>2</v>
      </c>
      <c r="T46">
        <v>135</v>
      </c>
      <c r="U46">
        <v>17.763157894736842</v>
      </c>
      <c r="V46">
        <v>17</v>
      </c>
      <c r="W46">
        <v>20</v>
      </c>
      <c r="X46">
        <v>17</v>
      </c>
      <c r="Y46" t="s">
        <v>83</v>
      </c>
      <c r="Z46" t="s">
        <v>78</v>
      </c>
      <c r="AA46" t="str">
        <f>MasterStaffList_All[[#This Row],[Facility]]&amp;MasterStaffList_All[[#This Row],[Role]]&amp;MasterStaffList_All[[#This Row],[Resource]]</f>
        <v>BDAIN39</v>
      </c>
    </row>
    <row r="47" spans="1:27" hidden="1" x14ac:dyDescent="0.25">
      <c r="A47" t="s">
        <v>166</v>
      </c>
      <c r="B47" t="s">
        <v>22</v>
      </c>
      <c r="C47">
        <v>40</v>
      </c>
      <c r="E47" t="s">
        <v>76</v>
      </c>
      <c r="F47" t="s">
        <v>167</v>
      </c>
      <c r="G47" t="s">
        <v>78</v>
      </c>
      <c r="H47" t="s">
        <v>79</v>
      </c>
      <c r="I47" t="s">
        <v>22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60</v>
      </c>
      <c r="Q47">
        <v>46223</v>
      </c>
      <c r="R47">
        <v>46250</v>
      </c>
      <c r="S47">
        <v>2</v>
      </c>
      <c r="T47">
        <v>120</v>
      </c>
      <c r="U47">
        <v>15.789473684210527</v>
      </c>
      <c r="V47">
        <v>15</v>
      </c>
      <c r="W47">
        <v>20</v>
      </c>
      <c r="X47">
        <v>15</v>
      </c>
      <c r="Y47" t="s">
        <v>83</v>
      </c>
      <c r="Z47" t="s">
        <v>78</v>
      </c>
      <c r="AA47" t="str">
        <f>MasterStaffList_All[[#This Row],[Facility]]&amp;MasterStaffList_All[[#This Row],[Role]]&amp;MasterStaffList_All[[#This Row],[Resource]]</f>
        <v>BDAIN40</v>
      </c>
    </row>
    <row r="48" spans="1:27" hidden="1" x14ac:dyDescent="0.25">
      <c r="A48" t="s">
        <v>168</v>
      </c>
      <c r="B48" t="s">
        <v>22</v>
      </c>
      <c r="C48">
        <v>41</v>
      </c>
      <c r="E48" t="s">
        <v>76</v>
      </c>
      <c r="F48" t="s">
        <v>169</v>
      </c>
      <c r="G48" t="s">
        <v>78</v>
      </c>
      <c r="H48" t="s">
        <v>79</v>
      </c>
      <c r="I48" t="s">
        <v>22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30</v>
      </c>
      <c r="Q48">
        <v>46223</v>
      </c>
      <c r="R48">
        <v>46250</v>
      </c>
      <c r="S48">
        <v>2</v>
      </c>
      <c r="T48">
        <v>60</v>
      </c>
      <c r="U48">
        <v>7.8947368421052637</v>
      </c>
      <c r="V48">
        <v>7</v>
      </c>
      <c r="W48">
        <v>20</v>
      </c>
      <c r="X48">
        <v>7</v>
      </c>
      <c r="Y48" t="s">
        <v>83</v>
      </c>
      <c r="Z48" t="s">
        <v>78</v>
      </c>
      <c r="AA48" t="str">
        <f>MasterStaffList_All[[#This Row],[Facility]]&amp;MasterStaffList_All[[#This Row],[Role]]&amp;MasterStaffList_All[[#This Row],[Resource]]</f>
        <v>BDAIN41</v>
      </c>
    </row>
    <row r="49" spans="1:27" hidden="1" x14ac:dyDescent="0.25">
      <c r="A49" t="s">
        <v>170</v>
      </c>
      <c r="B49" t="s">
        <v>22</v>
      </c>
      <c r="C49">
        <v>42</v>
      </c>
      <c r="E49" t="s">
        <v>76</v>
      </c>
      <c r="F49" t="s">
        <v>171</v>
      </c>
      <c r="G49" t="s">
        <v>78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  <c r="AA49" t="str">
        <f>MasterStaffList_All[[#This Row],[Facility]]&amp;MasterStaffList_All[[#This Row],[Role]]&amp;MasterStaffList_All[[#This Row],[Resource]]</f>
        <v>BDAIN42</v>
      </c>
    </row>
    <row r="50" spans="1:27" hidden="1" x14ac:dyDescent="0.25">
      <c r="A50" t="s">
        <v>174</v>
      </c>
      <c r="B50" t="s">
        <v>22</v>
      </c>
      <c r="C50">
        <v>44</v>
      </c>
      <c r="E50" t="s">
        <v>76</v>
      </c>
      <c r="F50" t="s">
        <v>175</v>
      </c>
      <c r="G50" t="s">
        <v>78</v>
      </c>
      <c r="H50" t="s">
        <v>79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67.5</v>
      </c>
      <c r="Q50">
        <v>46223</v>
      </c>
      <c r="R50">
        <v>46250</v>
      </c>
      <c r="S50">
        <v>2</v>
      </c>
      <c r="T50">
        <v>135</v>
      </c>
      <c r="U50">
        <v>17.763157894736842</v>
      </c>
      <c r="V50">
        <v>17</v>
      </c>
      <c r="W50">
        <v>20</v>
      </c>
      <c r="X50">
        <v>17</v>
      </c>
      <c r="Y50" t="s">
        <v>83</v>
      </c>
      <c r="Z50" t="s">
        <v>78</v>
      </c>
      <c r="AA50" t="str">
        <f>MasterStaffList_All[[#This Row],[Facility]]&amp;MasterStaffList_All[[#This Row],[Role]]&amp;MasterStaffList_All[[#This Row],[Resource]]</f>
        <v>BDAIN44</v>
      </c>
    </row>
    <row r="51" spans="1:27" hidden="1" x14ac:dyDescent="0.25">
      <c r="A51" t="s">
        <v>176</v>
      </c>
      <c r="B51" t="s">
        <v>22</v>
      </c>
      <c r="C51">
        <v>45</v>
      </c>
      <c r="E51" t="s">
        <v>76</v>
      </c>
      <c r="F51" t="s">
        <v>177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60</v>
      </c>
      <c r="Q51">
        <v>46223</v>
      </c>
      <c r="R51">
        <v>46250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83</v>
      </c>
      <c r="Z51" t="s">
        <v>78</v>
      </c>
      <c r="AA51" t="str">
        <f>MasterStaffList_All[[#This Row],[Facility]]&amp;MasterStaffList_All[[#This Row],[Role]]&amp;MasterStaffList_All[[#This Row],[Resource]]</f>
        <v>BDAIN45</v>
      </c>
    </row>
    <row r="52" spans="1:27" hidden="1" x14ac:dyDescent="0.25">
      <c r="A52" t="s">
        <v>178</v>
      </c>
      <c r="B52" t="s">
        <v>22</v>
      </c>
      <c r="C52">
        <v>46</v>
      </c>
      <c r="D52" t="s">
        <v>40</v>
      </c>
      <c r="E52" t="s">
        <v>76</v>
      </c>
      <c r="F52" t="s">
        <v>179</v>
      </c>
      <c r="G52" t="s">
        <v>78</v>
      </c>
      <c r="H52" t="s">
        <v>79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30</v>
      </c>
      <c r="Q52">
        <v>46223</v>
      </c>
      <c r="R52">
        <v>46250</v>
      </c>
      <c r="S52">
        <v>2</v>
      </c>
      <c r="T52">
        <v>60</v>
      </c>
      <c r="U52">
        <v>7.8947368421052637</v>
      </c>
      <c r="V52">
        <v>7</v>
      </c>
      <c r="W52">
        <v>20</v>
      </c>
      <c r="X52">
        <v>7</v>
      </c>
      <c r="Y52" t="s">
        <v>83</v>
      </c>
      <c r="Z52" t="s">
        <v>78</v>
      </c>
      <c r="AA52" t="str">
        <f>MasterStaffList_All[[#This Row],[Facility]]&amp;MasterStaffList_All[[#This Row],[Role]]&amp;MasterStaffList_All[[#This Row],[Resource]]</f>
        <v>BDAIN46</v>
      </c>
    </row>
    <row r="53" spans="1:27" hidden="1" x14ac:dyDescent="0.25">
      <c r="A53" t="s">
        <v>93</v>
      </c>
      <c r="B53" t="s">
        <v>22</v>
      </c>
      <c r="C53">
        <v>5</v>
      </c>
      <c r="E53" t="s">
        <v>76</v>
      </c>
      <c r="F53" t="s">
        <v>94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  <c r="AA53" t="str">
        <f>MasterStaffList_All[[#This Row],[Facility]]&amp;MasterStaffList_All[[#This Row],[Role]]&amp;MasterStaffList_All[[#This Row],[Resource]]</f>
        <v>BDAIN5</v>
      </c>
    </row>
    <row r="54" spans="1:27" hidden="1" x14ac:dyDescent="0.25">
      <c r="A54" t="s">
        <v>186</v>
      </c>
      <c r="B54" t="s">
        <v>22</v>
      </c>
      <c r="C54">
        <v>50</v>
      </c>
      <c r="E54" t="s">
        <v>76</v>
      </c>
      <c r="F54" t="s">
        <v>187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75</v>
      </c>
      <c r="Q54">
        <v>46223</v>
      </c>
      <c r="R54">
        <v>46250</v>
      </c>
      <c r="S54">
        <v>2</v>
      </c>
      <c r="T54">
        <v>150</v>
      </c>
      <c r="U54">
        <v>19.736842105263161</v>
      </c>
      <c r="V54">
        <v>19</v>
      </c>
      <c r="W54">
        <v>20</v>
      </c>
      <c r="X54">
        <v>19</v>
      </c>
      <c r="Y54" t="s">
        <v>83</v>
      </c>
      <c r="Z54" t="s">
        <v>78</v>
      </c>
      <c r="AA54" t="str">
        <f>MasterStaffList_All[[#This Row],[Facility]]&amp;MasterStaffList_All[[#This Row],[Role]]&amp;MasterStaffList_All[[#This Row],[Resource]]</f>
        <v>BDAIN50</v>
      </c>
    </row>
    <row r="55" spans="1:27" hidden="1" x14ac:dyDescent="0.25">
      <c r="A55" t="s">
        <v>190</v>
      </c>
      <c r="B55" t="s">
        <v>22</v>
      </c>
      <c r="C55">
        <v>52</v>
      </c>
      <c r="E55" t="s">
        <v>76</v>
      </c>
      <c r="F55" t="s">
        <v>191</v>
      </c>
      <c r="G55" t="s">
        <v>78</v>
      </c>
      <c r="H55" t="s">
        <v>88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  <c r="AA55" t="str">
        <f>MasterStaffList_All[[#This Row],[Facility]]&amp;MasterStaffList_All[[#This Row],[Role]]&amp;MasterStaffList_All[[#This Row],[Resource]]</f>
        <v>BDAIN52</v>
      </c>
    </row>
    <row r="56" spans="1:27" hidden="1" x14ac:dyDescent="0.25">
      <c r="A56" t="s">
        <v>192</v>
      </c>
      <c r="B56" t="s">
        <v>22</v>
      </c>
      <c r="C56">
        <v>53</v>
      </c>
      <c r="E56" t="s">
        <v>76</v>
      </c>
      <c r="F56" t="s">
        <v>193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60</v>
      </c>
      <c r="Q56">
        <v>46223</v>
      </c>
      <c r="R56">
        <v>46250</v>
      </c>
      <c r="S56">
        <v>2</v>
      </c>
      <c r="T56">
        <v>120</v>
      </c>
      <c r="U56">
        <v>15.789473684210527</v>
      </c>
      <c r="V56">
        <v>15</v>
      </c>
      <c r="W56">
        <v>20</v>
      </c>
      <c r="X56">
        <v>15</v>
      </c>
      <c r="Y56" t="s">
        <v>83</v>
      </c>
      <c r="Z56" t="s">
        <v>78</v>
      </c>
      <c r="AA56" t="str">
        <f>MasterStaffList_All[[#This Row],[Facility]]&amp;MasterStaffList_All[[#This Row],[Role]]&amp;MasterStaffList_All[[#This Row],[Resource]]</f>
        <v>BDAIN53</v>
      </c>
    </row>
    <row r="57" spans="1:27" hidden="1" x14ac:dyDescent="0.25">
      <c r="A57" t="s">
        <v>196</v>
      </c>
      <c r="B57" t="s">
        <v>22</v>
      </c>
      <c r="C57">
        <v>55</v>
      </c>
      <c r="E57" t="s">
        <v>76</v>
      </c>
      <c r="F57" t="s">
        <v>197</v>
      </c>
      <c r="G57" t="s">
        <v>78</v>
      </c>
      <c r="H57" t="s">
        <v>79</v>
      </c>
      <c r="I57" t="s">
        <v>22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22.5</v>
      </c>
      <c r="Q57">
        <v>46223</v>
      </c>
      <c r="R57">
        <v>46250</v>
      </c>
      <c r="S57">
        <v>2</v>
      </c>
      <c r="T57">
        <v>45</v>
      </c>
      <c r="U57">
        <v>5.9210526315789478</v>
      </c>
      <c r="V57">
        <v>5</v>
      </c>
      <c r="W57">
        <v>20</v>
      </c>
      <c r="X57">
        <v>5</v>
      </c>
      <c r="Y57" t="s">
        <v>83</v>
      </c>
      <c r="Z57" t="s">
        <v>78</v>
      </c>
      <c r="AA57" t="str">
        <f>MasterStaffList_All[[#This Row],[Facility]]&amp;MasterStaffList_All[[#This Row],[Role]]&amp;MasterStaffList_All[[#This Row],[Resource]]</f>
        <v>BDAIN55</v>
      </c>
    </row>
    <row r="58" spans="1:27" hidden="1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  <c r="AA58" t="str">
        <f>MasterStaffList_All[[#This Row],[Facility]]&amp;MasterStaffList_All[[#This Row],[Role]]&amp;MasterStaffList_All[[#This Row],[Resource]]</f>
        <v>BDAIN57</v>
      </c>
    </row>
    <row r="59" spans="1:27" hidden="1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  <c r="AA59" t="str">
        <f>MasterStaffList_All[[#This Row],[Facility]]&amp;MasterStaffList_All[[#This Row],[Role]]&amp;MasterStaffList_All[[#This Row],[Resource]]</f>
        <v>BDAIN58</v>
      </c>
    </row>
    <row r="60" spans="1:27" hidden="1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  <c r="AA60" t="str">
        <f>MasterStaffList_All[[#This Row],[Facility]]&amp;MasterStaffList_All[[#This Row],[Role]]&amp;MasterStaffList_All[[#This Row],[Resource]]</f>
        <v>BDAIN59</v>
      </c>
    </row>
    <row r="61" spans="1:27" hidden="1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  <c r="AA61" t="str">
        <f>MasterStaffList_All[[#This Row],[Facility]]&amp;MasterStaffList_All[[#This Row],[Role]]&amp;MasterStaffList_All[[#This Row],[Resource]]</f>
        <v>BDAIN60</v>
      </c>
    </row>
    <row r="62" spans="1:27" hidden="1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  <c r="AA62" t="str">
        <f>MasterStaffList_All[[#This Row],[Facility]]&amp;MasterStaffList_All[[#This Row],[Role]]&amp;MasterStaffList_All[[#This Row],[Resource]]</f>
        <v>BDAIN61</v>
      </c>
    </row>
    <row r="63" spans="1:27" hidden="1" x14ac:dyDescent="0.25">
      <c r="A63" t="s">
        <v>212</v>
      </c>
      <c r="B63" t="s">
        <v>22</v>
      </c>
      <c r="C63">
        <v>63</v>
      </c>
      <c r="E63" t="s">
        <v>76</v>
      </c>
      <c r="F63" t="s">
        <v>213</v>
      </c>
      <c r="G63" t="s">
        <v>78</v>
      </c>
      <c r="H63" t="s">
        <v>79</v>
      </c>
      <c r="I63" t="s">
        <v>22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67.5</v>
      </c>
      <c r="Q63">
        <v>46223</v>
      </c>
      <c r="R63">
        <v>46250</v>
      </c>
      <c r="S63">
        <v>2</v>
      </c>
      <c r="T63">
        <v>135</v>
      </c>
      <c r="U63">
        <v>17.763157894736842</v>
      </c>
      <c r="V63">
        <v>17</v>
      </c>
      <c r="W63">
        <v>20</v>
      </c>
      <c r="X63">
        <v>17</v>
      </c>
      <c r="Y63" t="s">
        <v>83</v>
      </c>
      <c r="Z63" t="s">
        <v>78</v>
      </c>
      <c r="AA63" t="str">
        <f>MasterStaffList_All[[#This Row],[Facility]]&amp;MasterStaffList_All[[#This Row],[Role]]&amp;MasterStaffList_All[[#This Row],[Resource]]</f>
        <v>BDAIN63</v>
      </c>
    </row>
    <row r="64" spans="1:27" hidden="1" x14ac:dyDescent="0.25">
      <c r="A64" t="s">
        <v>216</v>
      </c>
      <c r="B64" t="s">
        <v>22</v>
      </c>
      <c r="C64">
        <v>65</v>
      </c>
      <c r="E64" t="s">
        <v>76</v>
      </c>
      <c r="F64" t="s">
        <v>217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30</v>
      </c>
      <c r="Q64">
        <v>46223</v>
      </c>
      <c r="R64">
        <v>46250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83</v>
      </c>
      <c r="Z64" t="s">
        <v>78</v>
      </c>
      <c r="AA64" t="str">
        <f>MasterStaffList_All[[#This Row],[Facility]]&amp;MasterStaffList_All[[#This Row],[Role]]&amp;MasterStaffList_All[[#This Row],[Resource]]</f>
        <v>BDAIN65</v>
      </c>
    </row>
    <row r="65" spans="1:27" hidden="1" x14ac:dyDescent="0.25">
      <c r="A65" t="s">
        <v>218</v>
      </c>
      <c r="B65" t="s">
        <v>22</v>
      </c>
      <c r="C65">
        <v>66</v>
      </c>
      <c r="E65" t="s">
        <v>76</v>
      </c>
      <c r="F65" t="s">
        <v>219</v>
      </c>
      <c r="G65" t="s">
        <v>78</v>
      </c>
      <c r="H65" t="s">
        <v>79</v>
      </c>
      <c r="I65" t="s">
        <v>22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67.5</v>
      </c>
      <c r="Q65">
        <v>46223</v>
      </c>
      <c r="R65">
        <v>46250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83</v>
      </c>
      <c r="Z65" t="s">
        <v>78</v>
      </c>
      <c r="AA65" t="str">
        <f>MasterStaffList_All[[#This Row],[Facility]]&amp;MasterStaffList_All[[#This Row],[Role]]&amp;MasterStaffList_All[[#This Row],[Resource]]</f>
        <v>BDAIN66</v>
      </c>
    </row>
    <row r="66" spans="1:27" hidden="1" x14ac:dyDescent="0.25">
      <c r="A66" t="s">
        <v>220</v>
      </c>
      <c r="B66" t="s">
        <v>22</v>
      </c>
      <c r="C66">
        <v>67</v>
      </c>
      <c r="E66" t="s">
        <v>76</v>
      </c>
      <c r="F66" t="s">
        <v>221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45</v>
      </c>
      <c r="Q66">
        <v>46223</v>
      </c>
      <c r="R66">
        <v>46250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83</v>
      </c>
      <c r="Z66" t="s">
        <v>78</v>
      </c>
      <c r="AA66" t="str">
        <f>MasterStaffList_All[[#This Row],[Facility]]&amp;MasterStaffList_All[[#This Row],[Role]]&amp;MasterStaffList_All[[#This Row],[Resource]]</f>
        <v>BDAIN67</v>
      </c>
    </row>
    <row r="67" spans="1:27" x14ac:dyDescent="0.25">
      <c r="A67" t="s">
        <v>222</v>
      </c>
      <c r="B67" t="s">
        <v>22</v>
      </c>
      <c r="C67">
        <v>68</v>
      </c>
      <c r="D67" t="s">
        <v>40</v>
      </c>
      <c r="E67" t="s">
        <v>76</v>
      </c>
      <c r="F67" t="s">
        <v>223</v>
      </c>
      <c r="G67" t="s">
        <v>78</v>
      </c>
      <c r="H67" t="s">
        <v>79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82</v>
      </c>
      <c r="P67">
        <v>22</v>
      </c>
      <c r="Q67">
        <v>46223</v>
      </c>
      <c r="R67">
        <v>46250</v>
      </c>
      <c r="S67">
        <v>2</v>
      </c>
      <c r="T67">
        <v>44</v>
      </c>
      <c r="U67">
        <v>5.7894736842105265</v>
      </c>
      <c r="V67">
        <v>5</v>
      </c>
      <c r="W67">
        <v>20</v>
      </c>
      <c r="X67">
        <v>5</v>
      </c>
      <c r="Y67" t="s">
        <v>83</v>
      </c>
      <c r="Z67" t="s">
        <v>78</v>
      </c>
      <c r="AA67" t="str">
        <f>MasterStaffList_All[[#This Row],[Facility]]&amp;MasterStaffList_All[[#This Row],[Role]]&amp;MasterStaffList_All[[#This Row],[Resource]]</f>
        <v>BDAIN68</v>
      </c>
    </row>
    <row r="68" spans="1:27" x14ac:dyDescent="0.25">
      <c r="A68" t="s">
        <v>224</v>
      </c>
      <c r="B68" t="s">
        <v>22</v>
      </c>
      <c r="C68">
        <v>69</v>
      </c>
      <c r="D68" t="s">
        <v>40</v>
      </c>
      <c r="E68" t="s">
        <v>76</v>
      </c>
      <c r="F68" t="s">
        <v>225</v>
      </c>
      <c r="G68" t="s">
        <v>78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78</v>
      </c>
      <c r="AA68" t="str">
        <f>MasterStaffList_All[[#This Row],[Facility]]&amp;MasterStaffList_All[[#This Row],[Role]]&amp;MasterStaffList_All[[#This Row],[Resource]]</f>
        <v>BDAIN69</v>
      </c>
    </row>
    <row r="69" spans="1:27" hidden="1" x14ac:dyDescent="0.25">
      <c r="A69" t="s">
        <v>226</v>
      </c>
      <c r="B69" t="s">
        <v>22</v>
      </c>
      <c r="C69">
        <v>70</v>
      </c>
      <c r="E69" t="s">
        <v>76</v>
      </c>
      <c r="F69" t="s">
        <v>227</v>
      </c>
      <c r="G69" t="s">
        <v>78</v>
      </c>
      <c r="H69" t="s">
        <v>79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67.5</v>
      </c>
      <c r="Q69">
        <v>46223</v>
      </c>
      <c r="R69">
        <v>46250</v>
      </c>
      <c r="S69">
        <v>2</v>
      </c>
      <c r="T69">
        <v>135</v>
      </c>
      <c r="U69">
        <v>17.763157894736842</v>
      </c>
      <c r="V69">
        <v>17</v>
      </c>
      <c r="W69">
        <v>20</v>
      </c>
      <c r="X69">
        <v>17</v>
      </c>
      <c r="Y69" t="s">
        <v>83</v>
      </c>
      <c r="Z69" t="s">
        <v>78</v>
      </c>
      <c r="AA69" t="str">
        <f>MasterStaffList_All[[#This Row],[Facility]]&amp;MasterStaffList_All[[#This Row],[Role]]&amp;MasterStaffList_All[[#This Row],[Resource]]</f>
        <v>BDAIN70</v>
      </c>
    </row>
    <row r="70" spans="1:27" hidden="1" x14ac:dyDescent="0.25">
      <c r="A70" t="s">
        <v>228</v>
      </c>
      <c r="B70" t="s">
        <v>22</v>
      </c>
      <c r="C70">
        <v>71</v>
      </c>
      <c r="E70" t="s">
        <v>76</v>
      </c>
      <c r="F70" t="s">
        <v>229</v>
      </c>
      <c r="G70" t="s">
        <v>78</v>
      </c>
      <c r="H70" t="s">
        <v>79</v>
      </c>
      <c r="I70" t="s">
        <v>22</v>
      </c>
      <c r="J70" t="b">
        <v>1</v>
      </c>
      <c r="K70" t="b">
        <v>1</v>
      </c>
      <c r="L70" t="s">
        <v>95</v>
      </c>
      <c r="M70" t="s">
        <v>81</v>
      </c>
      <c r="O70" t="s">
        <v>82</v>
      </c>
      <c r="P70">
        <v>67.5</v>
      </c>
      <c r="Q70">
        <v>46223</v>
      </c>
      <c r="R70">
        <v>46250</v>
      </c>
      <c r="S70">
        <v>2</v>
      </c>
      <c r="T70">
        <v>135</v>
      </c>
      <c r="U70">
        <v>17.763157894736842</v>
      </c>
      <c r="V70">
        <v>17</v>
      </c>
      <c r="W70">
        <v>20</v>
      </c>
      <c r="X70">
        <v>17</v>
      </c>
      <c r="Y70" t="s">
        <v>83</v>
      </c>
      <c r="Z70" t="s">
        <v>78</v>
      </c>
      <c r="AA70" t="str">
        <f>MasterStaffList_All[[#This Row],[Facility]]&amp;MasterStaffList_All[[#This Row],[Role]]&amp;MasterStaffList_All[[#This Row],[Resource]]</f>
        <v>BDAIN71</v>
      </c>
    </row>
    <row r="71" spans="1:27" hidden="1" x14ac:dyDescent="0.25">
      <c r="A71" t="s">
        <v>230</v>
      </c>
      <c r="B71" t="s">
        <v>22</v>
      </c>
      <c r="C71">
        <v>72</v>
      </c>
      <c r="E71" t="s">
        <v>76</v>
      </c>
      <c r="F71" t="s">
        <v>231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52.5</v>
      </c>
      <c r="Q71">
        <v>46223</v>
      </c>
      <c r="R71">
        <v>46250</v>
      </c>
      <c r="S71">
        <v>2</v>
      </c>
      <c r="T71">
        <v>105</v>
      </c>
      <c r="U71">
        <v>13.815789473684212</v>
      </c>
      <c r="V71">
        <v>13</v>
      </c>
      <c r="W71">
        <v>20</v>
      </c>
      <c r="X71">
        <v>13</v>
      </c>
      <c r="Y71" t="s">
        <v>83</v>
      </c>
      <c r="Z71" t="s">
        <v>78</v>
      </c>
      <c r="AA71" t="str">
        <f>MasterStaffList_All[[#This Row],[Facility]]&amp;MasterStaffList_All[[#This Row],[Role]]&amp;MasterStaffList_All[[#This Row],[Resource]]</f>
        <v>BDAIN72</v>
      </c>
    </row>
    <row r="72" spans="1:27" x14ac:dyDescent="0.25">
      <c r="A72" t="s">
        <v>238</v>
      </c>
      <c r="B72" t="s">
        <v>22</v>
      </c>
      <c r="C72">
        <v>76</v>
      </c>
      <c r="D72" t="s">
        <v>40</v>
      </c>
      <c r="E72" t="s">
        <v>76</v>
      </c>
      <c r="F72" t="s">
        <v>239</v>
      </c>
      <c r="G72" t="s">
        <v>78</v>
      </c>
      <c r="H72" t="s">
        <v>88</v>
      </c>
      <c r="I72" t="s">
        <v>22</v>
      </c>
      <c r="J72" t="b">
        <v>0</v>
      </c>
      <c r="K72" t="b">
        <v>1</v>
      </c>
      <c r="L72" t="s">
        <v>80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78</v>
      </c>
      <c r="AA72" t="str">
        <f>MasterStaffList_All[[#This Row],[Facility]]&amp;MasterStaffList_All[[#This Row],[Role]]&amp;MasterStaffList_All[[#This Row],[Resource]]</f>
        <v>BDAIN76</v>
      </c>
    </row>
    <row r="73" spans="1:27" hidden="1" x14ac:dyDescent="0.25">
      <c r="A73" t="s">
        <v>240</v>
      </c>
      <c r="B73" t="s">
        <v>22</v>
      </c>
      <c r="C73">
        <v>77</v>
      </c>
      <c r="E73" t="s">
        <v>76</v>
      </c>
      <c r="F73" t="s">
        <v>241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60</v>
      </c>
      <c r="Q73">
        <v>46223</v>
      </c>
      <c r="R73">
        <v>46250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83</v>
      </c>
      <c r="Z73" t="s">
        <v>78</v>
      </c>
      <c r="AA73" t="str">
        <f>MasterStaffList_All[[#This Row],[Facility]]&amp;MasterStaffList_All[[#This Row],[Role]]&amp;MasterStaffList_All[[#This Row],[Resource]]</f>
        <v>BDAIN77</v>
      </c>
    </row>
    <row r="74" spans="1:27" hidden="1" x14ac:dyDescent="0.25">
      <c r="A74" t="s">
        <v>246</v>
      </c>
      <c r="B74" t="s">
        <v>22</v>
      </c>
      <c r="C74">
        <v>80</v>
      </c>
      <c r="E74" t="s">
        <v>76</v>
      </c>
      <c r="F74" t="s">
        <v>247</v>
      </c>
      <c r="G74" t="s">
        <v>78</v>
      </c>
      <c r="H74" t="s">
        <v>79</v>
      </c>
      <c r="I74" t="s">
        <v>22</v>
      </c>
      <c r="J74" t="b">
        <v>1</v>
      </c>
      <c r="K74" t="b">
        <v>1</v>
      </c>
      <c r="L74" t="s">
        <v>95</v>
      </c>
      <c r="M74" t="s">
        <v>81</v>
      </c>
      <c r="O74" t="s">
        <v>82</v>
      </c>
      <c r="P74">
        <v>52.5</v>
      </c>
      <c r="Q74">
        <v>46223</v>
      </c>
      <c r="R74">
        <v>46250</v>
      </c>
      <c r="S74">
        <v>2</v>
      </c>
      <c r="T74">
        <v>105</v>
      </c>
      <c r="U74">
        <v>13.815789473684212</v>
      </c>
      <c r="V74">
        <v>13</v>
      </c>
      <c r="W74">
        <v>20</v>
      </c>
      <c r="X74">
        <v>13</v>
      </c>
      <c r="Y74" t="s">
        <v>83</v>
      </c>
      <c r="Z74" t="s">
        <v>78</v>
      </c>
      <c r="AA74" t="str">
        <f>MasterStaffList_All[[#This Row],[Facility]]&amp;MasterStaffList_All[[#This Row],[Role]]&amp;MasterStaffList_All[[#This Row],[Resource]]</f>
        <v>BDAIN80</v>
      </c>
    </row>
    <row r="75" spans="1:27" hidden="1" x14ac:dyDescent="0.25">
      <c r="A75" t="s">
        <v>250</v>
      </c>
      <c r="B75" t="s">
        <v>22</v>
      </c>
      <c r="C75">
        <v>82</v>
      </c>
      <c r="E75" t="s">
        <v>76</v>
      </c>
      <c r="F75" t="s">
        <v>251</v>
      </c>
      <c r="G75" t="s">
        <v>78</v>
      </c>
      <c r="H75" t="s">
        <v>79</v>
      </c>
      <c r="I75" t="s">
        <v>22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16</v>
      </c>
      <c r="Q75">
        <v>46223</v>
      </c>
      <c r="R75">
        <v>46250</v>
      </c>
      <c r="S75">
        <v>2</v>
      </c>
      <c r="T75">
        <v>32</v>
      </c>
      <c r="U75">
        <v>4.2105263157894735</v>
      </c>
      <c r="V75">
        <v>4</v>
      </c>
      <c r="W75">
        <v>20</v>
      </c>
      <c r="X75">
        <v>4</v>
      </c>
      <c r="Y75" t="s">
        <v>83</v>
      </c>
      <c r="Z75" t="s">
        <v>78</v>
      </c>
      <c r="AA75" t="str">
        <f>MasterStaffList_All[[#This Row],[Facility]]&amp;MasterStaffList_All[[#This Row],[Role]]&amp;MasterStaffList_All[[#This Row],[Resource]]</f>
        <v>BDAIN82</v>
      </c>
    </row>
    <row r="76" spans="1:27" hidden="1" x14ac:dyDescent="0.25">
      <c r="A76" t="s">
        <v>252</v>
      </c>
      <c r="B76" t="s">
        <v>22</v>
      </c>
      <c r="C76">
        <v>83</v>
      </c>
      <c r="E76" t="s">
        <v>76</v>
      </c>
      <c r="F76" t="s">
        <v>253</v>
      </c>
      <c r="G76" t="s">
        <v>78</v>
      </c>
      <c r="H76" t="s">
        <v>79</v>
      </c>
      <c r="I76" t="s">
        <v>22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75</v>
      </c>
      <c r="Q76">
        <v>46223</v>
      </c>
      <c r="R76">
        <v>46250</v>
      </c>
      <c r="S76">
        <v>2</v>
      </c>
      <c r="T76">
        <v>150</v>
      </c>
      <c r="U76">
        <v>19.736842105263161</v>
      </c>
      <c r="V76">
        <v>19</v>
      </c>
      <c r="W76">
        <v>20</v>
      </c>
      <c r="X76">
        <v>19</v>
      </c>
      <c r="Y76" t="s">
        <v>83</v>
      </c>
      <c r="Z76" t="s">
        <v>78</v>
      </c>
      <c r="AA76" t="str">
        <f>MasterStaffList_All[[#This Row],[Facility]]&amp;MasterStaffList_All[[#This Row],[Role]]&amp;MasterStaffList_All[[#This Row],[Resource]]</f>
        <v>BDAIN83</v>
      </c>
    </row>
    <row r="77" spans="1:27" hidden="1" x14ac:dyDescent="0.25">
      <c r="A77" t="s">
        <v>254</v>
      </c>
      <c r="B77" t="s">
        <v>22</v>
      </c>
      <c r="C77">
        <v>84</v>
      </c>
      <c r="E77" t="s">
        <v>76</v>
      </c>
      <c r="F77" t="s">
        <v>255</v>
      </c>
      <c r="G77" t="s">
        <v>78</v>
      </c>
      <c r="H77" t="s">
        <v>110</v>
      </c>
      <c r="I77" t="s">
        <v>22</v>
      </c>
      <c r="J77" t="b">
        <v>1</v>
      </c>
      <c r="K77" t="b">
        <v>1</v>
      </c>
      <c r="L77" t="s">
        <v>95</v>
      </c>
      <c r="M77" t="s">
        <v>81</v>
      </c>
      <c r="O77" t="s">
        <v>82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111</v>
      </c>
      <c r="Z77" t="s">
        <v>78</v>
      </c>
      <c r="AA77" t="str">
        <f>MasterStaffList_All[[#This Row],[Facility]]&amp;MasterStaffList_All[[#This Row],[Role]]&amp;MasterStaffList_All[[#This Row],[Resource]]</f>
        <v>BDAIN84</v>
      </c>
    </row>
    <row r="78" spans="1:27" hidden="1" x14ac:dyDescent="0.25">
      <c r="A78" t="s">
        <v>256</v>
      </c>
      <c r="B78" t="s">
        <v>22</v>
      </c>
      <c r="C78">
        <v>85</v>
      </c>
      <c r="D78" t="s">
        <v>40</v>
      </c>
      <c r="E78" t="s">
        <v>76</v>
      </c>
      <c r="F78" t="s">
        <v>257</v>
      </c>
      <c r="G78" t="s">
        <v>78</v>
      </c>
      <c r="H78" t="s">
        <v>79</v>
      </c>
      <c r="I78" t="s">
        <v>22</v>
      </c>
      <c r="J78" t="b">
        <v>0</v>
      </c>
      <c r="K78" t="b">
        <v>1</v>
      </c>
      <c r="L78" t="s">
        <v>80</v>
      </c>
      <c r="M78" t="s">
        <v>81</v>
      </c>
      <c r="O78" t="s">
        <v>82</v>
      </c>
      <c r="P78">
        <v>30</v>
      </c>
      <c r="Q78">
        <v>46223</v>
      </c>
      <c r="R78">
        <v>46250</v>
      </c>
      <c r="S78">
        <v>2</v>
      </c>
      <c r="T78">
        <v>60</v>
      </c>
      <c r="U78">
        <v>7.8947368421052637</v>
      </c>
      <c r="V78">
        <v>7</v>
      </c>
      <c r="W78">
        <v>20</v>
      </c>
      <c r="X78">
        <v>7</v>
      </c>
      <c r="Y78" t="s">
        <v>83</v>
      </c>
      <c r="Z78" t="s">
        <v>78</v>
      </c>
      <c r="AA78" t="str">
        <f>MasterStaffList_All[[#This Row],[Facility]]&amp;MasterStaffList_All[[#This Row],[Role]]&amp;MasterStaffList_All[[#This Row],[Resource]]</f>
        <v>BDAIN85</v>
      </c>
    </row>
    <row r="79" spans="1:27" x14ac:dyDescent="0.25">
      <c r="A79" t="s">
        <v>258</v>
      </c>
      <c r="B79" t="s">
        <v>22</v>
      </c>
      <c r="C79">
        <v>86</v>
      </c>
      <c r="D79" t="s">
        <v>40</v>
      </c>
      <c r="E79" t="s">
        <v>76</v>
      </c>
      <c r="F79" t="s">
        <v>259</v>
      </c>
      <c r="G79" t="s">
        <v>78</v>
      </c>
      <c r="H79" t="s">
        <v>79</v>
      </c>
      <c r="I79" t="s">
        <v>22</v>
      </c>
      <c r="J79" t="b">
        <v>0</v>
      </c>
      <c r="K79" t="b">
        <v>1</v>
      </c>
      <c r="L79" t="s">
        <v>80</v>
      </c>
      <c r="M79" t="s">
        <v>81</v>
      </c>
      <c r="O79" t="s">
        <v>82</v>
      </c>
      <c r="P79">
        <v>32</v>
      </c>
      <c r="Q79">
        <v>46223</v>
      </c>
      <c r="R79">
        <v>46250</v>
      </c>
      <c r="S79">
        <v>2</v>
      </c>
      <c r="T79">
        <v>64</v>
      </c>
      <c r="U79">
        <v>8.4210526315789469</v>
      </c>
      <c r="V79">
        <v>8</v>
      </c>
      <c r="W79">
        <v>20</v>
      </c>
      <c r="X79">
        <v>8</v>
      </c>
      <c r="Y79" t="s">
        <v>83</v>
      </c>
      <c r="Z79" t="s">
        <v>78</v>
      </c>
      <c r="AA79" t="str">
        <f>MasterStaffList_All[[#This Row],[Facility]]&amp;MasterStaffList_All[[#This Row],[Role]]&amp;MasterStaffList_All[[#This Row],[Resource]]</f>
        <v>BDAIN86</v>
      </c>
    </row>
    <row r="80" spans="1:27" hidden="1" x14ac:dyDescent="0.25">
      <c r="A80" t="s">
        <v>264</v>
      </c>
      <c r="B80" t="s">
        <v>22</v>
      </c>
      <c r="C80">
        <v>89</v>
      </c>
      <c r="D80" t="s">
        <v>40</v>
      </c>
      <c r="E80" t="s">
        <v>76</v>
      </c>
      <c r="F80" t="s">
        <v>265</v>
      </c>
      <c r="G80" t="s">
        <v>78</v>
      </c>
      <c r="H80" t="s">
        <v>88</v>
      </c>
      <c r="I80" t="s">
        <v>22</v>
      </c>
      <c r="J80" t="b">
        <v>0</v>
      </c>
      <c r="K80" t="b">
        <v>1</v>
      </c>
      <c r="L80" t="s">
        <v>80</v>
      </c>
      <c r="M80" t="s">
        <v>81</v>
      </c>
      <c r="O80" t="s">
        <v>89</v>
      </c>
      <c r="P80">
        <v>76</v>
      </c>
      <c r="Q80">
        <v>46223</v>
      </c>
      <c r="R80">
        <v>46250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89</v>
      </c>
      <c r="Z80" t="s">
        <v>78</v>
      </c>
      <c r="AA80" t="str">
        <f>MasterStaffList_All[[#This Row],[Facility]]&amp;MasterStaffList_All[[#This Row],[Role]]&amp;MasterStaffList_All[[#This Row],[Resource]]</f>
        <v>BDAIN89</v>
      </c>
    </row>
    <row r="81" spans="1:27" hidden="1" x14ac:dyDescent="0.25">
      <c r="A81" t="s">
        <v>102</v>
      </c>
      <c r="B81" t="s">
        <v>22</v>
      </c>
      <c r="C81">
        <v>9</v>
      </c>
      <c r="E81" t="s">
        <v>76</v>
      </c>
      <c r="F81" t="s">
        <v>103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37.5</v>
      </c>
      <c r="Q81">
        <v>46223</v>
      </c>
      <c r="R81">
        <v>46250</v>
      </c>
      <c r="S81">
        <v>2</v>
      </c>
      <c r="T81">
        <v>75</v>
      </c>
      <c r="U81">
        <v>9.8684210526315788</v>
      </c>
      <c r="V81">
        <v>9</v>
      </c>
      <c r="W81">
        <v>20</v>
      </c>
      <c r="X81">
        <v>9</v>
      </c>
      <c r="Y81" t="s">
        <v>83</v>
      </c>
      <c r="Z81" t="s">
        <v>78</v>
      </c>
      <c r="AA81" t="str">
        <f>MasterStaffList_All[[#This Row],[Facility]]&amp;MasterStaffList_All[[#This Row],[Role]]&amp;MasterStaffList_All[[#This Row],[Resource]]</f>
        <v>BDAIN9</v>
      </c>
    </row>
    <row r="82" spans="1:27" x14ac:dyDescent="0.25">
      <c r="A82" t="s">
        <v>266</v>
      </c>
      <c r="B82" t="s">
        <v>22</v>
      </c>
      <c r="C82">
        <v>90</v>
      </c>
      <c r="D82" t="s">
        <v>40</v>
      </c>
      <c r="E82" t="s">
        <v>76</v>
      </c>
      <c r="F82" t="s">
        <v>267</v>
      </c>
      <c r="G82" t="s">
        <v>78</v>
      </c>
      <c r="H82" t="s">
        <v>88</v>
      </c>
      <c r="I82" t="s">
        <v>22</v>
      </c>
      <c r="J82" t="b">
        <v>0</v>
      </c>
      <c r="K82" t="b">
        <v>1</v>
      </c>
      <c r="L82" t="s">
        <v>80</v>
      </c>
      <c r="M82" t="s">
        <v>81</v>
      </c>
      <c r="O82" t="s">
        <v>89</v>
      </c>
      <c r="P82">
        <v>76</v>
      </c>
      <c r="Q82">
        <v>46223</v>
      </c>
      <c r="R82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89</v>
      </c>
      <c r="Z82" t="s">
        <v>78</v>
      </c>
      <c r="AA82" t="str">
        <f>MasterStaffList_All[[#This Row],[Facility]]&amp;MasterStaffList_All[[#This Row],[Role]]&amp;MasterStaffList_All[[#This Row],[Resource]]</f>
        <v>BDAIN90</v>
      </c>
    </row>
    <row r="83" spans="1:27" hidden="1" x14ac:dyDescent="0.25">
      <c r="A83" t="s">
        <v>270</v>
      </c>
      <c r="B83" t="s">
        <v>22</v>
      </c>
      <c r="C83">
        <v>92</v>
      </c>
      <c r="E83" t="s">
        <v>76</v>
      </c>
      <c r="F83" t="s">
        <v>271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60</v>
      </c>
      <c r="Q83">
        <v>46223</v>
      </c>
      <c r="R83">
        <v>46250</v>
      </c>
      <c r="S83">
        <v>2</v>
      </c>
      <c r="T83">
        <v>120</v>
      </c>
      <c r="U83">
        <v>15.789473684210527</v>
      </c>
      <c r="V83">
        <v>15</v>
      </c>
      <c r="W83">
        <v>20</v>
      </c>
      <c r="X83">
        <v>15</v>
      </c>
      <c r="Y83" t="s">
        <v>83</v>
      </c>
      <c r="Z83" t="s">
        <v>78</v>
      </c>
      <c r="AA83" t="str">
        <f>MasterStaffList_All[[#This Row],[Facility]]&amp;MasterStaffList_All[[#This Row],[Role]]&amp;MasterStaffList_All[[#This Row],[Resource]]</f>
        <v>BDAIN92</v>
      </c>
    </row>
    <row r="84" spans="1:27" hidden="1" x14ac:dyDescent="0.25">
      <c r="A84" t="s">
        <v>272</v>
      </c>
      <c r="B84" t="s">
        <v>22</v>
      </c>
      <c r="C84">
        <v>93</v>
      </c>
      <c r="D84" t="s">
        <v>40</v>
      </c>
      <c r="E84" t="s">
        <v>76</v>
      </c>
      <c r="F84" t="s">
        <v>273</v>
      </c>
      <c r="G84" t="s">
        <v>78</v>
      </c>
      <c r="H84" t="s">
        <v>79</v>
      </c>
      <c r="I84" t="s">
        <v>22</v>
      </c>
      <c r="J84" t="b">
        <v>0</v>
      </c>
      <c r="K84" t="b">
        <v>1</v>
      </c>
      <c r="L84" t="s">
        <v>80</v>
      </c>
      <c r="M84" t="s">
        <v>81</v>
      </c>
      <c r="O84" t="s">
        <v>82</v>
      </c>
      <c r="P84">
        <v>45</v>
      </c>
      <c r="Q84">
        <v>46223</v>
      </c>
      <c r="R84">
        <v>46250</v>
      </c>
      <c r="S84">
        <v>2</v>
      </c>
      <c r="T84">
        <v>90</v>
      </c>
      <c r="U84">
        <v>11.842105263157896</v>
      </c>
      <c r="V84">
        <v>11</v>
      </c>
      <c r="W84">
        <v>20</v>
      </c>
      <c r="X84">
        <v>11</v>
      </c>
      <c r="Y84" t="s">
        <v>83</v>
      </c>
      <c r="Z84" t="s">
        <v>78</v>
      </c>
      <c r="AA84" t="str">
        <f>MasterStaffList_All[[#This Row],[Facility]]&amp;MasterStaffList_All[[#This Row],[Role]]&amp;MasterStaffList_All[[#This Row],[Resource]]</f>
        <v>BDAIN93</v>
      </c>
    </row>
    <row r="85" spans="1:27" hidden="1" x14ac:dyDescent="0.25">
      <c r="A85" t="s">
        <v>274</v>
      </c>
      <c r="B85" t="s">
        <v>22</v>
      </c>
      <c r="C85">
        <v>94</v>
      </c>
      <c r="E85" t="s">
        <v>76</v>
      </c>
      <c r="F85" t="s">
        <v>275</v>
      </c>
      <c r="G85" t="s">
        <v>78</v>
      </c>
      <c r="H85" t="s">
        <v>79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45</v>
      </c>
      <c r="Q85">
        <v>46223</v>
      </c>
      <c r="R85">
        <v>46250</v>
      </c>
      <c r="S85">
        <v>2</v>
      </c>
      <c r="T85">
        <v>90</v>
      </c>
      <c r="U85">
        <v>11.842105263157896</v>
      </c>
      <c r="V85">
        <v>11</v>
      </c>
      <c r="W85">
        <v>20</v>
      </c>
      <c r="X85">
        <v>11</v>
      </c>
      <c r="Y85" t="s">
        <v>83</v>
      </c>
      <c r="Z85" t="s">
        <v>78</v>
      </c>
      <c r="AA85" t="str">
        <f>MasterStaffList_All[[#This Row],[Facility]]&amp;MasterStaffList_All[[#This Row],[Role]]&amp;MasterStaffList_All[[#This Row],[Resource]]</f>
        <v>BDAIN94</v>
      </c>
    </row>
    <row r="86" spans="1:27" x14ac:dyDescent="0.25">
      <c r="A86" t="s">
        <v>276</v>
      </c>
      <c r="B86" t="s">
        <v>22</v>
      </c>
      <c r="C86">
        <v>95</v>
      </c>
      <c r="D86" t="s">
        <v>40</v>
      </c>
      <c r="E86" t="s">
        <v>76</v>
      </c>
      <c r="F86" t="s">
        <v>277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64</v>
      </c>
      <c r="Q86">
        <v>46223</v>
      </c>
      <c r="R86">
        <v>46250</v>
      </c>
      <c r="S86">
        <v>2</v>
      </c>
      <c r="T86">
        <v>128</v>
      </c>
      <c r="U86">
        <v>16.842105263157894</v>
      </c>
      <c r="V86">
        <v>16</v>
      </c>
      <c r="W86">
        <v>20</v>
      </c>
      <c r="X86">
        <v>16</v>
      </c>
      <c r="Y86" t="s">
        <v>83</v>
      </c>
      <c r="Z86" t="s">
        <v>78</v>
      </c>
      <c r="AA86" t="str">
        <f>MasterStaffList_All[[#This Row],[Facility]]&amp;MasterStaffList_All[[#This Row],[Role]]&amp;MasterStaffList_All[[#This Row],[Resource]]</f>
        <v>BDAIN95</v>
      </c>
    </row>
    <row r="87" spans="1:27" x14ac:dyDescent="0.25">
      <c r="A87" t="s">
        <v>278</v>
      </c>
      <c r="B87" t="s">
        <v>22</v>
      </c>
      <c r="C87">
        <v>96</v>
      </c>
      <c r="D87" t="s">
        <v>40</v>
      </c>
      <c r="E87" t="s">
        <v>76</v>
      </c>
      <c r="F87" t="s">
        <v>279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52</v>
      </c>
      <c r="Q87">
        <v>46223</v>
      </c>
      <c r="R87">
        <v>46250</v>
      </c>
      <c r="S87">
        <v>2</v>
      </c>
      <c r="T87">
        <v>104</v>
      </c>
      <c r="U87">
        <v>13.684210526315788</v>
      </c>
      <c r="V87">
        <v>13</v>
      </c>
      <c r="W87">
        <v>20</v>
      </c>
      <c r="X87">
        <v>13</v>
      </c>
      <c r="Y87" t="s">
        <v>83</v>
      </c>
      <c r="Z87" t="s">
        <v>78</v>
      </c>
      <c r="AA87" t="str">
        <f>MasterStaffList_All[[#This Row],[Facility]]&amp;MasterStaffList_All[[#This Row],[Role]]&amp;MasterStaffList_All[[#This Row],[Resource]]</f>
        <v>BDAIN96</v>
      </c>
    </row>
    <row r="88" spans="1:27" hidden="1" x14ac:dyDescent="0.25">
      <c r="A88" t="s">
        <v>280</v>
      </c>
      <c r="B88" t="s">
        <v>22</v>
      </c>
      <c r="C88">
        <v>97</v>
      </c>
      <c r="E88" t="s">
        <v>76</v>
      </c>
      <c r="F88" t="s">
        <v>281</v>
      </c>
      <c r="G88" t="s">
        <v>78</v>
      </c>
      <c r="H88" t="s">
        <v>88</v>
      </c>
      <c r="I88" t="s">
        <v>22</v>
      </c>
      <c r="J88" t="b">
        <v>1</v>
      </c>
      <c r="K88" t="b">
        <v>1</v>
      </c>
      <c r="L88" t="s">
        <v>95</v>
      </c>
      <c r="M88" t="s">
        <v>81</v>
      </c>
      <c r="O88" t="s">
        <v>89</v>
      </c>
      <c r="P88">
        <v>76</v>
      </c>
      <c r="Q88">
        <v>46223</v>
      </c>
      <c r="R88">
        <v>46250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89</v>
      </c>
      <c r="Z88" t="s">
        <v>78</v>
      </c>
      <c r="AA88" t="str">
        <f>MasterStaffList_All[[#This Row],[Facility]]&amp;MasterStaffList_All[[#This Row],[Role]]&amp;MasterStaffList_All[[#This Row],[Resource]]</f>
        <v>BDAIN97</v>
      </c>
    </row>
    <row r="89" spans="1:27" hidden="1" x14ac:dyDescent="0.25">
      <c r="A89" t="s">
        <v>284</v>
      </c>
      <c r="B89" t="s">
        <v>22</v>
      </c>
      <c r="C89">
        <v>99</v>
      </c>
      <c r="E89" t="s">
        <v>76</v>
      </c>
      <c r="F89" t="s">
        <v>285</v>
      </c>
      <c r="G89" t="s">
        <v>78</v>
      </c>
      <c r="H89" t="s">
        <v>79</v>
      </c>
      <c r="I89" t="s">
        <v>22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22.5</v>
      </c>
      <c r="Q89">
        <v>46223</v>
      </c>
      <c r="R89">
        <v>46250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83</v>
      </c>
      <c r="Z89" t="s">
        <v>78</v>
      </c>
      <c r="AA89" t="str">
        <f>MasterStaffList_All[[#This Row],[Facility]]&amp;MasterStaffList_All[[#This Row],[Role]]&amp;MasterStaffList_All[[#This Row],[Resource]]</f>
        <v>BDAIN99</v>
      </c>
    </row>
    <row r="90" spans="1:27" x14ac:dyDescent="0.25">
      <c r="A90" t="s">
        <v>104</v>
      </c>
      <c r="B90" t="s">
        <v>31</v>
      </c>
      <c r="C90">
        <v>10</v>
      </c>
      <c r="D90" t="s">
        <v>40</v>
      </c>
      <c r="E90" t="s">
        <v>76</v>
      </c>
      <c r="F90" t="s">
        <v>105</v>
      </c>
      <c r="G90" t="s">
        <v>78</v>
      </c>
      <c r="H90" t="s">
        <v>79</v>
      </c>
      <c r="I90" t="s">
        <v>31</v>
      </c>
      <c r="J90" t="b">
        <v>0</v>
      </c>
      <c r="K90" t="b">
        <v>1</v>
      </c>
      <c r="L90" t="s">
        <v>80</v>
      </c>
      <c r="M90" t="s">
        <v>81</v>
      </c>
      <c r="O90" t="s">
        <v>82</v>
      </c>
      <c r="P90">
        <v>15</v>
      </c>
      <c r="Q90">
        <v>46223</v>
      </c>
      <c r="R90">
        <v>46250</v>
      </c>
      <c r="S90">
        <v>2</v>
      </c>
      <c r="T90">
        <v>30</v>
      </c>
      <c r="U90">
        <v>3.9473684210526319</v>
      </c>
      <c r="V90">
        <v>3</v>
      </c>
      <c r="W90">
        <v>20</v>
      </c>
      <c r="X90">
        <v>3</v>
      </c>
      <c r="Y90" t="s">
        <v>83</v>
      </c>
      <c r="Z90" t="s">
        <v>78</v>
      </c>
      <c r="AA90" t="str">
        <f>MasterStaffList_All[[#This Row],[Facility]]&amp;MasterStaffList_All[[#This Row],[Role]]&amp;MasterStaffList_All[[#This Row],[Resource]]</f>
        <v>BDEN10</v>
      </c>
    </row>
    <row r="91" spans="1:27" hidden="1" x14ac:dyDescent="0.25">
      <c r="A91" t="s">
        <v>308</v>
      </c>
      <c r="B91" t="s">
        <v>31</v>
      </c>
      <c r="C91">
        <v>111</v>
      </c>
      <c r="E91" t="s">
        <v>76</v>
      </c>
      <c r="F91" t="s">
        <v>309</v>
      </c>
      <c r="G91" t="s">
        <v>78</v>
      </c>
      <c r="H91" t="s">
        <v>79</v>
      </c>
      <c r="I91" t="s">
        <v>31</v>
      </c>
      <c r="J91" t="b">
        <v>1</v>
      </c>
      <c r="K91" t="b">
        <v>1</v>
      </c>
      <c r="L91" t="s">
        <v>95</v>
      </c>
      <c r="M91" t="s">
        <v>81</v>
      </c>
      <c r="O91" t="s">
        <v>82</v>
      </c>
      <c r="P91">
        <v>45</v>
      </c>
      <c r="Q91">
        <v>46223</v>
      </c>
      <c r="R91">
        <v>46250</v>
      </c>
      <c r="S91">
        <v>2</v>
      </c>
      <c r="T91">
        <v>90</v>
      </c>
      <c r="U91">
        <v>11.842105263157896</v>
      </c>
      <c r="V91">
        <v>11</v>
      </c>
      <c r="W91">
        <v>20</v>
      </c>
      <c r="X91">
        <v>11</v>
      </c>
      <c r="Y91" t="s">
        <v>83</v>
      </c>
      <c r="Z91" t="s">
        <v>78</v>
      </c>
      <c r="AA91" t="str">
        <f>MasterStaffList_All[[#This Row],[Facility]]&amp;MasterStaffList_All[[#This Row],[Role]]&amp;MasterStaffList_All[[#This Row],[Resource]]</f>
        <v>BDEN111</v>
      </c>
    </row>
    <row r="92" spans="1:27" hidden="1" x14ac:dyDescent="0.25">
      <c r="A92" t="s">
        <v>314</v>
      </c>
      <c r="B92" t="s">
        <v>31</v>
      </c>
      <c r="C92">
        <v>114</v>
      </c>
      <c r="E92" t="s">
        <v>76</v>
      </c>
      <c r="F92" t="s">
        <v>315</v>
      </c>
      <c r="G92" t="s">
        <v>78</v>
      </c>
      <c r="H92" t="s">
        <v>88</v>
      </c>
      <c r="I92" t="s">
        <v>31</v>
      </c>
      <c r="J92" t="b">
        <v>1</v>
      </c>
      <c r="K92" t="b">
        <v>0</v>
      </c>
      <c r="L92" t="s">
        <v>92</v>
      </c>
      <c r="M92" t="s">
        <v>81</v>
      </c>
      <c r="O92" t="s">
        <v>89</v>
      </c>
      <c r="P92">
        <v>76</v>
      </c>
      <c r="Q92">
        <v>46223</v>
      </c>
      <c r="R92">
        <v>46250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89</v>
      </c>
      <c r="Z92" t="s">
        <v>78</v>
      </c>
      <c r="AA92" t="str">
        <f>MasterStaffList_All[[#This Row],[Facility]]&amp;MasterStaffList_All[[#This Row],[Role]]&amp;MasterStaffList_All[[#This Row],[Resource]]</f>
        <v>BDEN114</v>
      </c>
    </row>
    <row r="93" spans="1:27" hidden="1" x14ac:dyDescent="0.25">
      <c r="A93" t="s">
        <v>330</v>
      </c>
      <c r="B93" t="s">
        <v>31</v>
      </c>
      <c r="C93">
        <v>122</v>
      </c>
      <c r="E93" t="s">
        <v>76</v>
      </c>
      <c r="F93" t="s">
        <v>331</v>
      </c>
      <c r="G93" t="s">
        <v>78</v>
      </c>
      <c r="H93" t="s">
        <v>79</v>
      </c>
      <c r="I93" t="s">
        <v>31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  <c r="AA93" t="str">
        <f>MasterStaffList_All[[#This Row],[Facility]]&amp;MasterStaffList_All[[#This Row],[Role]]&amp;MasterStaffList_All[[#This Row],[Resource]]</f>
        <v>BDEN122</v>
      </c>
    </row>
    <row r="94" spans="1:27" hidden="1" x14ac:dyDescent="0.25">
      <c r="A94" t="s">
        <v>112</v>
      </c>
      <c r="B94" t="s">
        <v>31</v>
      </c>
      <c r="C94">
        <v>13</v>
      </c>
      <c r="E94" t="s">
        <v>76</v>
      </c>
      <c r="F94" t="s">
        <v>113</v>
      </c>
      <c r="G94" t="s">
        <v>78</v>
      </c>
      <c r="H94" t="s">
        <v>79</v>
      </c>
      <c r="I94" t="s">
        <v>31</v>
      </c>
      <c r="J94" t="b">
        <v>1</v>
      </c>
      <c r="K94" t="b">
        <v>1</v>
      </c>
      <c r="L94" t="s">
        <v>95</v>
      </c>
      <c r="M94" t="s">
        <v>81</v>
      </c>
      <c r="O94" t="s">
        <v>82</v>
      </c>
      <c r="P94">
        <v>32</v>
      </c>
      <c r="Q94">
        <v>46223</v>
      </c>
      <c r="R94">
        <v>46250</v>
      </c>
      <c r="S94">
        <v>2</v>
      </c>
      <c r="T94">
        <v>64</v>
      </c>
      <c r="U94">
        <v>8.4210526315789469</v>
      </c>
      <c r="V94">
        <v>8</v>
      </c>
      <c r="W94">
        <v>20</v>
      </c>
      <c r="X94">
        <v>8</v>
      </c>
      <c r="Y94" t="s">
        <v>83</v>
      </c>
      <c r="Z94" t="s">
        <v>78</v>
      </c>
      <c r="AA94" t="str">
        <f>MasterStaffList_All[[#This Row],[Facility]]&amp;MasterStaffList_All[[#This Row],[Role]]&amp;MasterStaffList_All[[#This Row],[Resource]]</f>
        <v>BDEN13</v>
      </c>
    </row>
    <row r="95" spans="1:27" hidden="1" x14ac:dyDescent="0.25">
      <c r="A95" t="s">
        <v>114</v>
      </c>
      <c r="B95" t="s">
        <v>31</v>
      </c>
      <c r="C95">
        <v>14</v>
      </c>
      <c r="E95" t="s">
        <v>76</v>
      </c>
      <c r="F95" t="s">
        <v>115</v>
      </c>
      <c r="G95" t="s">
        <v>78</v>
      </c>
      <c r="H95" t="s">
        <v>79</v>
      </c>
      <c r="I95" t="s">
        <v>31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39.5</v>
      </c>
      <c r="Q95">
        <v>46223</v>
      </c>
      <c r="R95">
        <v>46250</v>
      </c>
      <c r="S95">
        <v>2</v>
      </c>
      <c r="T95">
        <v>79</v>
      </c>
      <c r="U95">
        <v>10.394736842105264</v>
      </c>
      <c r="V95">
        <v>10</v>
      </c>
      <c r="W95">
        <v>20</v>
      </c>
      <c r="X95">
        <v>10</v>
      </c>
      <c r="Y95" t="s">
        <v>83</v>
      </c>
      <c r="Z95" t="s">
        <v>78</v>
      </c>
      <c r="AA95" t="str">
        <f>MasterStaffList_All[[#This Row],[Facility]]&amp;MasterStaffList_All[[#This Row],[Role]]&amp;MasterStaffList_All[[#This Row],[Resource]]</f>
        <v>BDEN14</v>
      </c>
    </row>
    <row r="96" spans="1:27" hidden="1" x14ac:dyDescent="0.25">
      <c r="A96" t="s">
        <v>128</v>
      </c>
      <c r="B96" t="s">
        <v>31</v>
      </c>
      <c r="C96">
        <v>21</v>
      </c>
      <c r="E96" t="s">
        <v>76</v>
      </c>
      <c r="F96" t="s">
        <v>129</v>
      </c>
      <c r="G96" t="s">
        <v>78</v>
      </c>
      <c r="H96" t="s">
        <v>79</v>
      </c>
      <c r="I96" t="s">
        <v>31</v>
      </c>
      <c r="J96" t="b">
        <v>1</v>
      </c>
      <c r="K96" t="b">
        <v>1</v>
      </c>
      <c r="L96" t="s">
        <v>95</v>
      </c>
      <c r="M96" t="s">
        <v>81</v>
      </c>
      <c r="O96" t="s">
        <v>82</v>
      </c>
      <c r="P96">
        <v>48</v>
      </c>
      <c r="Q96">
        <v>46223</v>
      </c>
      <c r="R96">
        <v>46250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83</v>
      </c>
      <c r="Z96" t="s">
        <v>78</v>
      </c>
      <c r="AA96" t="str">
        <f>MasterStaffList_All[[#This Row],[Facility]]&amp;MasterStaffList_All[[#This Row],[Role]]&amp;MasterStaffList_All[[#This Row],[Resource]]</f>
        <v>BDEN21</v>
      </c>
    </row>
    <row r="97" spans="1:27" hidden="1" x14ac:dyDescent="0.25">
      <c r="A97" t="s">
        <v>140</v>
      </c>
      <c r="B97" t="s">
        <v>31</v>
      </c>
      <c r="C97">
        <v>27</v>
      </c>
      <c r="E97" t="s">
        <v>76</v>
      </c>
      <c r="F97" t="s">
        <v>141</v>
      </c>
      <c r="G97" t="s">
        <v>78</v>
      </c>
      <c r="H97" t="s">
        <v>79</v>
      </c>
      <c r="I97" t="s">
        <v>31</v>
      </c>
      <c r="J97" t="b">
        <v>1</v>
      </c>
      <c r="K97" t="b">
        <v>0</v>
      </c>
      <c r="L97" t="s">
        <v>92</v>
      </c>
      <c r="M97" t="s">
        <v>81</v>
      </c>
      <c r="O97" t="s">
        <v>82</v>
      </c>
      <c r="P97">
        <v>52.5</v>
      </c>
      <c r="Q97">
        <v>46223</v>
      </c>
      <c r="R97">
        <v>46250</v>
      </c>
      <c r="S97">
        <v>2</v>
      </c>
      <c r="T97">
        <v>105</v>
      </c>
      <c r="U97">
        <v>13.815789473684212</v>
      </c>
      <c r="V97">
        <v>13</v>
      </c>
      <c r="W97">
        <v>20</v>
      </c>
      <c r="X97">
        <v>13</v>
      </c>
      <c r="Y97" t="s">
        <v>83</v>
      </c>
      <c r="Z97" t="s">
        <v>78</v>
      </c>
      <c r="AA97" t="str">
        <f>MasterStaffList_All[[#This Row],[Facility]]&amp;MasterStaffList_All[[#This Row],[Role]]&amp;MasterStaffList_All[[#This Row],[Resource]]</f>
        <v>BDEN27</v>
      </c>
    </row>
    <row r="98" spans="1:27" hidden="1" x14ac:dyDescent="0.25">
      <c r="A98" t="s">
        <v>156</v>
      </c>
      <c r="B98" t="s">
        <v>31</v>
      </c>
      <c r="C98">
        <v>35</v>
      </c>
      <c r="E98" t="s">
        <v>76</v>
      </c>
      <c r="F98" t="s">
        <v>157</v>
      </c>
      <c r="G98" t="s">
        <v>78</v>
      </c>
      <c r="H98" t="s">
        <v>79</v>
      </c>
      <c r="I98" t="s">
        <v>31</v>
      </c>
      <c r="J98" t="b">
        <v>1</v>
      </c>
      <c r="K98" t="b">
        <v>1</v>
      </c>
      <c r="L98" t="s">
        <v>95</v>
      </c>
      <c r="M98" t="s">
        <v>81</v>
      </c>
      <c r="O98" t="s">
        <v>82</v>
      </c>
      <c r="P98">
        <v>72</v>
      </c>
      <c r="Q98">
        <v>46223</v>
      </c>
      <c r="R98">
        <v>46250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83</v>
      </c>
      <c r="Z98" t="s">
        <v>78</v>
      </c>
      <c r="AA98" t="str">
        <f>MasterStaffList_All[[#This Row],[Facility]]&amp;MasterStaffList_All[[#This Row],[Role]]&amp;MasterStaffList_All[[#This Row],[Resource]]</f>
        <v>BDEN35</v>
      </c>
    </row>
    <row r="99" spans="1:27" hidden="1" x14ac:dyDescent="0.25">
      <c r="A99" t="s">
        <v>180</v>
      </c>
      <c r="B99" t="s">
        <v>31</v>
      </c>
      <c r="C99">
        <v>47</v>
      </c>
      <c r="E99" t="s">
        <v>76</v>
      </c>
      <c r="F99" t="s">
        <v>181</v>
      </c>
      <c r="G99" t="s">
        <v>78</v>
      </c>
      <c r="H99" t="s">
        <v>79</v>
      </c>
      <c r="I99" t="s">
        <v>31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52.5</v>
      </c>
      <c r="Q99">
        <v>46223</v>
      </c>
      <c r="R99">
        <v>46250</v>
      </c>
      <c r="S99">
        <v>2</v>
      </c>
      <c r="T99">
        <v>105</v>
      </c>
      <c r="U99">
        <v>13.815789473684212</v>
      </c>
      <c r="V99">
        <v>13</v>
      </c>
      <c r="W99">
        <v>20</v>
      </c>
      <c r="X99">
        <v>13</v>
      </c>
      <c r="Y99" t="s">
        <v>83</v>
      </c>
      <c r="Z99" t="s">
        <v>78</v>
      </c>
      <c r="AA99" t="str">
        <f>MasterStaffList_All[[#This Row],[Facility]]&amp;MasterStaffList_All[[#This Row],[Role]]&amp;MasterStaffList_All[[#This Row],[Resource]]</f>
        <v>BDEN47</v>
      </c>
    </row>
    <row r="100" spans="1:27" hidden="1" x14ac:dyDescent="0.25">
      <c r="A100" t="s">
        <v>182</v>
      </c>
      <c r="B100" t="s">
        <v>31</v>
      </c>
      <c r="C100">
        <v>48</v>
      </c>
      <c r="D100" t="s">
        <v>40</v>
      </c>
      <c r="E100" t="s">
        <v>76</v>
      </c>
      <c r="F100" t="s">
        <v>183</v>
      </c>
      <c r="G100" t="s">
        <v>78</v>
      </c>
      <c r="H100" t="s">
        <v>79</v>
      </c>
      <c r="I100" t="s">
        <v>31</v>
      </c>
      <c r="J100" t="b">
        <v>0</v>
      </c>
      <c r="K100" t="b">
        <v>1</v>
      </c>
      <c r="L100" t="s">
        <v>80</v>
      </c>
      <c r="M100" t="s">
        <v>81</v>
      </c>
      <c r="O100" t="s">
        <v>82</v>
      </c>
      <c r="P100">
        <v>60</v>
      </c>
      <c r="Q100">
        <v>46223</v>
      </c>
      <c r="R100">
        <v>46250</v>
      </c>
      <c r="S100">
        <v>2</v>
      </c>
      <c r="T100">
        <v>120</v>
      </c>
      <c r="U100">
        <v>15.789473684210527</v>
      </c>
      <c r="V100">
        <v>15</v>
      </c>
      <c r="W100">
        <v>20</v>
      </c>
      <c r="X100">
        <v>15</v>
      </c>
      <c r="Y100" t="s">
        <v>83</v>
      </c>
      <c r="Z100" t="s">
        <v>78</v>
      </c>
      <c r="AA100" t="str">
        <f>MasterStaffList_All[[#This Row],[Facility]]&amp;MasterStaffList_All[[#This Row],[Role]]&amp;MasterStaffList_All[[#This Row],[Resource]]</f>
        <v>BDEN48</v>
      </c>
    </row>
    <row r="101" spans="1:27" hidden="1" x14ac:dyDescent="0.25">
      <c r="A101" t="s">
        <v>184</v>
      </c>
      <c r="B101" t="s">
        <v>31</v>
      </c>
      <c r="C101">
        <v>49</v>
      </c>
      <c r="E101" t="s">
        <v>76</v>
      </c>
      <c r="F101" t="s">
        <v>185</v>
      </c>
      <c r="G101" t="s">
        <v>78</v>
      </c>
      <c r="H101" t="s">
        <v>79</v>
      </c>
      <c r="I101" t="s">
        <v>31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16</v>
      </c>
      <c r="Q101">
        <v>46223</v>
      </c>
      <c r="R101">
        <v>46250</v>
      </c>
      <c r="S101">
        <v>2</v>
      </c>
      <c r="T101">
        <v>32</v>
      </c>
      <c r="U101">
        <v>4.2105263157894735</v>
      </c>
      <c r="V101">
        <v>4</v>
      </c>
      <c r="W101">
        <v>20</v>
      </c>
      <c r="X101">
        <v>4</v>
      </c>
      <c r="Y101" t="s">
        <v>83</v>
      </c>
      <c r="Z101" t="s">
        <v>78</v>
      </c>
      <c r="AA101" t="str">
        <f>MasterStaffList_All[[#This Row],[Facility]]&amp;MasterStaffList_All[[#This Row],[Role]]&amp;MasterStaffList_All[[#This Row],[Resource]]</f>
        <v>BDEN49</v>
      </c>
    </row>
    <row r="102" spans="1:27" hidden="1" x14ac:dyDescent="0.25">
      <c r="A102" t="s">
        <v>188</v>
      </c>
      <c r="B102" t="s">
        <v>31</v>
      </c>
      <c r="C102">
        <v>51</v>
      </c>
      <c r="D102" t="s">
        <v>40</v>
      </c>
      <c r="E102" t="s">
        <v>76</v>
      </c>
      <c r="F102" t="s">
        <v>189</v>
      </c>
      <c r="G102" t="s">
        <v>78</v>
      </c>
      <c r="H102" t="s">
        <v>79</v>
      </c>
      <c r="I102" t="s">
        <v>31</v>
      </c>
      <c r="J102" t="b">
        <v>0</v>
      </c>
      <c r="K102" t="b">
        <v>1</v>
      </c>
      <c r="L102" t="s">
        <v>80</v>
      </c>
      <c r="M102" t="s">
        <v>81</v>
      </c>
      <c r="O102" t="s">
        <v>82</v>
      </c>
      <c r="P102">
        <v>72</v>
      </c>
      <c r="Q102">
        <v>46223</v>
      </c>
      <c r="R102">
        <v>46250</v>
      </c>
      <c r="S102">
        <v>2</v>
      </c>
      <c r="T102">
        <v>144</v>
      </c>
      <c r="U102">
        <v>18.947368421052634</v>
      </c>
      <c r="V102">
        <v>18</v>
      </c>
      <c r="W102">
        <v>20</v>
      </c>
      <c r="X102">
        <v>18</v>
      </c>
      <c r="Y102" t="s">
        <v>83</v>
      </c>
      <c r="Z102" t="s">
        <v>78</v>
      </c>
      <c r="AA102" t="str">
        <f>MasterStaffList_All[[#This Row],[Facility]]&amp;MasterStaffList_All[[#This Row],[Role]]&amp;MasterStaffList_All[[#This Row],[Resource]]</f>
        <v>BDEN51</v>
      </c>
    </row>
    <row r="103" spans="1:27" hidden="1" x14ac:dyDescent="0.25">
      <c r="A103" t="s">
        <v>194</v>
      </c>
      <c r="B103" t="s">
        <v>31</v>
      </c>
      <c r="C103">
        <v>54</v>
      </c>
      <c r="E103" t="s">
        <v>76</v>
      </c>
      <c r="F103" t="s">
        <v>195</v>
      </c>
      <c r="G103" t="s">
        <v>78</v>
      </c>
      <c r="H103" t="s">
        <v>88</v>
      </c>
      <c r="I103" t="s">
        <v>31</v>
      </c>
      <c r="J103" t="b">
        <v>1</v>
      </c>
      <c r="K103" t="b">
        <v>1</v>
      </c>
      <c r="L103" t="s">
        <v>95</v>
      </c>
      <c r="M103" t="s">
        <v>81</v>
      </c>
      <c r="O103" t="s">
        <v>89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89</v>
      </c>
      <c r="Z103" t="s">
        <v>78</v>
      </c>
      <c r="AA103" t="str">
        <f>MasterStaffList_All[[#This Row],[Facility]]&amp;MasterStaffList_All[[#This Row],[Role]]&amp;MasterStaffList_All[[#This Row],[Resource]]</f>
        <v>BDEN54</v>
      </c>
    </row>
    <row r="104" spans="1:27" hidden="1" x14ac:dyDescent="0.25">
      <c r="A104" t="s">
        <v>96</v>
      </c>
      <c r="B104" t="s">
        <v>31</v>
      </c>
      <c r="C104">
        <v>6</v>
      </c>
      <c r="E104" t="s">
        <v>76</v>
      </c>
      <c r="F104" t="s">
        <v>97</v>
      </c>
      <c r="G104" t="s">
        <v>78</v>
      </c>
      <c r="H104" t="s">
        <v>79</v>
      </c>
      <c r="I104" t="s">
        <v>31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54</v>
      </c>
      <c r="Q104">
        <v>46223</v>
      </c>
      <c r="R104">
        <v>46250</v>
      </c>
      <c r="S104">
        <v>2</v>
      </c>
      <c r="T104">
        <v>108</v>
      </c>
      <c r="U104">
        <v>14.210526315789474</v>
      </c>
      <c r="V104">
        <v>14</v>
      </c>
      <c r="W104">
        <v>20</v>
      </c>
      <c r="X104">
        <v>14</v>
      </c>
      <c r="Y104" t="s">
        <v>83</v>
      </c>
      <c r="Z104" t="s">
        <v>78</v>
      </c>
      <c r="AA104" t="str">
        <f>MasterStaffList_All[[#This Row],[Facility]]&amp;MasterStaffList_All[[#This Row],[Role]]&amp;MasterStaffList_All[[#This Row],[Resource]]</f>
        <v>BDEN6</v>
      </c>
    </row>
    <row r="105" spans="1:27" hidden="1" x14ac:dyDescent="0.25">
      <c r="A105" t="s">
        <v>210</v>
      </c>
      <c r="B105" t="s">
        <v>31</v>
      </c>
      <c r="C105">
        <v>62</v>
      </c>
      <c r="E105" t="s">
        <v>76</v>
      </c>
      <c r="F105" t="s">
        <v>211</v>
      </c>
      <c r="G105" t="s">
        <v>78</v>
      </c>
      <c r="H105" t="s">
        <v>79</v>
      </c>
      <c r="I105" t="s">
        <v>31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70</v>
      </c>
      <c r="Q105">
        <v>46223</v>
      </c>
      <c r="R105">
        <v>46250</v>
      </c>
      <c r="S105">
        <v>2</v>
      </c>
      <c r="T105">
        <v>140</v>
      </c>
      <c r="U105">
        <v>18.421052631578949</v>
      </c>
      <c r="V105">
        <v>18</v>
      </c>
      <c r="W105">
        <v>20</v>
      </c>
      <c r="X105">
        <v>18</v>
      </c>
      <c r="Y105" t="s">
        <v>83</v>
      </c>
      <c r="Z105" t="s">
        <v>78</v>
      </c>
      <c r="AA105" t="str">
        <f>MasterStaffList_All[[#This Row],[Facility]]&amp;MasterStaffList_All[[#This Row],[Role]]&amp;MasterStaffList_All[[#This Row],[Resource]]</f>
        <v>BDEN62</v>
      </c>
    </row>
    <row r="106" spans="1:27" hidden="1" x14ac:dyDescent="0.25">
      <c r="A106" t="s">
        <v>214</v>
      </c>
      <c r="B106" t="s">
        <v>31</v>
      </c>
      <c r="C106">
        <v>64</v>
      </c>
      <c r="E106" t="s">
        <v>76</v>
      </c>
      <c r="F106" t="s">
        <v>215</v>
      </c>
      <c r="G106" t="s">
        <v>78</v>
      </c>
      <c r="H106" t="s">
        <v>79</v>
      </c>
      <c r="I106" t="s">
        <v>31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70</v>
      </c>
      <c r="Q106">
        <v>46223</v>
      </c>
      <c r="R106">
        <v>46250</v>
      </c>
      <c r="S106">
        <v>2</v>
      </c>
      <c r="T106">
        <v>140</v>
      </c>
      <c r="U106">
        <v>18.421052631578949</v>
      </c>
      <c r="V106">
        <v>18</v>
      </c>
      <c r="W106">
        <v>20</v>
      </c>
      <c r="X106">
        <v>18</v>
      </c>
      <c r="Y106" t="s">
        <v>83</v>
      </c>
      <c r="Z106" t="s">
        <v>78</v>
      </c>
      <c r="AA106" t="str">
        <f>MasterStaffList_All[[#This Row],[Facility]]&amp;MasterStaffList_All[[#This Row],[Role]]&amp;MasterStaffList_All[[#This Row],[Resource]]</f>
        <v>BDEN64</v>
      </c>
    </row>
    <row r="107" spans="1:27" hidden="1" x14ac:dyDescent="0.25">
      <c r="A107" t="s">
        <v>232</v>
      </c>
      <c r="B107" t="s">
        <v>31</v>
      </c>
      <c r="C107">
        <v>73</v>
      </c>
      <c r="E107" t="s">
        <v>76</v>
      </c>
      <c r="F107" t="s">
        <v>233</v>
      </c>
      <c r="G107" t="s">
        <v>78</v>
      </c>
      <c r="H107" t="s">
        <v>88</v>
      </c>
      <c r="I107" t="s">
        <v>31</v>
      </c>
      <c r="J107" t="b">
        <v>1</v>
      </c>
      <c r="K107" t="b">
        <v>0</v>
      </c>
      <c r="L107" t="s">
        <v>92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  <c r="AA107" t="str">
        <f>MasterStaffList_All[[#This Row],[Facility]]&amp;MasterStaffList_All[[#This Row],[Role]]&amp;MasterStaffList_All[[#This Row],[Resource]]</f>
        <v>BDEN73</v>
      </c>
    </row>
    <row r="108" spans="1:27" hidden="1" x14ac:dyDescent="0.25">
      <c r="A108" t="s">
        <v>244</v>
      </c>
      <c r="B108" t="s">
        <v>31</v>
      </c>
      <c r="C108">
        <v>79</v>
      </c>
      <c r="E108" t="s">
        <v>76</v>
      </c>
      <c r="F108" t="s">
        <v>245</v>
      </c>
      <c r="G108" t="s">
        <v>78</v>
      </c>
      <c r="H108" t="s">
        <v>79</v>
      </c>
      <c r="I108" t="s">
        <v>31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47.5</v>
      </c>
      <c r="Q108">
        <v>46223</v>
      </c>
      <c r="R108">
        <v>46250</v>
      </c>
      <c r="S108">
        <v>2</v>
      </c>
      <c r="T108">
        <v>95</v>
      </c>
      <c r="U108">
        <v>12.5</v>
      </c>
      <c r="V108">
        <v>12</v>
      </c>
      <c r="W108">
        <v>20</v>
      </c>
      <c r="X108">
        <v>12</v>
      </c>
      <c r="Y108" t="s">
        <v>83</v>
      </c>
      <c r="Z108" t="s">
        <v>78</v>
      </c>
      <c r="AA108" t="str">
        <f>MasterStaffList_All[[#This Row],[Facility]]&amp;MasterStaffList_All[[#This Row],[Role]]&amp;MasterStaffList_All[[#This Row],[Resource]]</f>
        <v>BDEN79</v>
      </c>
    </row>
    <row r="109" spans="1:27" hidden="1" x14ac:dyDescent="0.25">
      <c r="A109" t="s">
        <v>260</v>
      </c>
      <c r="B109" t="s">
        <v>31</v>
      </c>
      <c r="C109">
        <v>87</v>
      </c>
      <c r="E109" t="s">
        <v>76</v>
      </c>
      <c r="F109" t="s">
        <v>261</v>
      </c>
      <c r="G109" t="s">
        <v>78</v>
      </c>
      <c r="H109" t="s">
        <v>79</v>
      </c>
      <c r="I109" t="s">
        <v>31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46.5</v>
      </c>
      <c r="Q109">
        <v>46223</v>
      </c>
      <c r="R109">
        <v>46250</v>
      </c>
      <c r="S109">
        <v>2</v>
      </c>
      <c r="T109">
        <v>93</v>
      </c>
      <c r="U109">
        <v>12.236842105263159</v>
      </c>
      <c r="V109">
        <v>12</v>
      </c>
      <c r="W109">
        <v>20</v>
      </c>
      <c r="X109">
        <v>12</v>
      </c>
      <c r="Y109" t="s">
        <v>83</v>
      </c>
      <c r="Z109" t="s">
        <v>78</v>
      </c>
      <c r="AA109" t="str">
        <f>MasterStaffList_All[[#This Row],[Facility]]&amp;MasterStaffList_All[[#This Row],[Role]]&amp;MasterStaffList_All[[#This Row],[Resource]]</f>
        <v>BDEN87</v>
      </c>
    </row>
    <row r="110" spans="1:27" hidden="1" x14ac:dyDescent="0.25">
      <c r="A110" t="s">
        <v>262</v>
      </c>
      <c r="B110" t="s">
        <v>31</v>
      </c>
      <c r="C110">
        <v>88</v>
      </c>
      <c r="E110" t="s">
        <v>76</v>
      </c>
      <c r="F110" t="s">
        <v>263</v>
      </c>
      <c r="G110" t="s">
        <v>78</v>
      </c>
      <c r="H110" t="s">
        <v>79</v>
      </c>
      <c r="I110" t="s">
        <v>31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31.5</v>
      </c>
      <c r="Q110">
        <v>46223</v>
      </c>
      <c r="R110">
        <v>46250</v>
      </c>
      <c r="S110">
        <v>2</v>
      </c>
      <c r="T110">
        <v>63</v>
      </c>
      <c r="U110">
        <v>8.2894736842105274</v>
      </c>
      <c r="V110">
        <v>8</v>
      </c>
      <c r="W110">
        <v>20</v>
      </c>
      <c r="X110">
        <v>8</v>
      </c>
      <c r="Y110" t="s">
        <v>83</v>
      </c>
      <c r="Z110" t="s">
        <v>78</v>
      </c>
      <c r="AA110" t="str">
        <f>MasterStaffList_All[[#This Row],[Facility]]&amp;MasterStaffList_All[[#This Row],[Role]]&amp;MasterStaffList_All[[#This Row],[Resource]]</f>
        <v>BDEN88</v>
      </c>
    </row>
    <row r="111" spans="1:27" hidden="1" x14ac:dyDescent="0.25">
      <c r="A111" t="s">
        <v>268</v>
      </c>
      <c r="B111" t="s">
        <v>31</v>
      </c>
      <c r="C111">
        <v>91</v>
      </c>
      <c r="E111" t="s">
        <v>76</v>
      </c>
      <c r="F111" t="s">
        <v>269</v>
      </c>
      <c r="G111" t="s">
        <v>78</v>
      </c>
      <c r="H111" t="s">
        <v>79</v>
      </c>
      <c r="I111" t="s">
        <v>31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48</v>
      </c>
      <c r="Q111">
        <v>46223</v>
      </c>
      <c r="R111">
        <v>46250</v>
      </c>
      <c r="S111">
        <v>2</v>
      </c>
      <c r="T111">
        <v>96</v>
      </c>
      <c r="U111">
        <v>12.631578947368419</v>
      </c>
      <c r="V111">
        <v>12</v>
      </c>
      <c r="W111">
        <v>20</v>
      </c>
      <c r="X111">
        <v>12</v>
      </c>
      <c r="Y111" t="s">
        <v>83</v>
      </c>
      <c r="Z111" t="s">
        <v>78</v>
      </c>
      <c r="AA111" t="str">
        <f>MasterStaffList_All[[#This Row],[Facility]]&amp;MasterStaffList_All[[#This Row],[Role]]&amp;MasterStaffList_All[[#This Row],[Resource]]</f>
        <v>BDEN91</v>
      </c>
    </row>
    <row r="112" spans="1:27" hidden="1" x14ac:dyDescent="0.25">
      <c r="A112" t="s">
        <v>288</v>
      </c>
      <c r="B112" t="s">
        <v>29</v>
      </c>
      <c r="C112">
        <v>101</v>
      </c>
      <c r="E112" t="s">
        <v>76</v>
      </c>
      <c r="F112" t="s">
        <v>289</v>
      </c>
      <c r="G112" t="s">
        <v>78</v>
      </c>
      <c r="H112" t="s">
        <v>110</v>
      </c>
      <c r="I112" t="s">
        <v>29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76</v>
      </c>
      <c r="Q112">
        <v>46223</v>
      </c>
      <c r="R112">
        <v>46250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111</v>
      </c>
      <c r="Z112" t="s">
        <v>78</v>
      </c>
      <c r="AA112" t="str">
        <f>MasterStaffList_All[[#This Row],[Facility]]&amp;MasterStaffList_All[[#This Row],[Role]]&amp;MasterStaffList_All[[#This Row],[Resource]]</f>
        <v>BDRN101</v>
      </c>
    </row>
    <row r="113" spans="1:27" hidden="1" x14ac:dyDescent="0.25">
      <c r="A113" t="s">
        <v>290</v>
      </c>
      <c r="B113" t="s">
        <v>29</v>
      </c>
      <c r="C113">
        <v>102</v>
      </c>
      <c r="E113" t="s">
        <v>76</v>
      </c>
      <c r="F113" t="s">
        <v>291</v>
      </c>
      <c r="G113" t="s">
        <v>78</v>
      </c>
      <c r="H113" t="s">
        <v>110</v>
      </c>
      <c r="I113" t="s">
        <v>29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76</v>
      </c>
      <c r="Q113">
        <v>46223</v>
      </c>
      <c r="R113">
        <v>46250</v>
      </c>
      <c r="S113">
        <v>2</v>
      </c>
      <c r="T113">
        <v>152</v>
      </c>
      <c r="U113">
        <v>20</v>
      </c>
      <c r="V113">
        <v>20</v>
      </c>
      <c r="W113">
        <v>20</v>
      </c>
      <c r="X113">
        <v>20</v>
      </c>
      <c r="Y113" t="s">
        <v>111</v>
      </c>
      <c r="Z113" t="s">
        <v>78</v>
      </c>
      <c r="AA113" t="str">
        <f>MasterStaffList_All[[#This Row],[Facility]]&amp;MasterStaffList_All[[#This Row],[Role]]&amp;MasterStaffList_All[[#This Row],[Resource]]</f>
        <v>BDRN102</v>
      </c>
    </row>
    <row r="114" spans="1:27" hidden="1" x14ac:dyDescent="0.25">
      <c r="A114" t="s">
        <v>302</v>
      </c>
      <c r="B114" t="s">
        <v>29</v>
      </c>
      <c r="C114">
        <v>108</v>
      </c>
      <c r="E114" t="s">
        <v>76</v>
      </c>
      <c r="F114" t="s">
        <v>303</v>
      </c>
      <c r="G114" t="s">
        <v>78</v>
      </c>
      <c r="H114" t="s">
        <v>79</v>
      </c>
      <c r="I114" t="s">
        <v>29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72</v>
      </c>
      <c r="Q114">
        <v>46223</v>
      </c>
      <c r="R114">
        <v>46250</v>
      </c>
      <c r="S114">
        <v>2</v>
      </c>
      <c r="T114">
        <v>144</v>
      </c>
      <c r="U114">
        <v>18.947368421052634</v>
      </c>
      <c r="V114">
        <v>18</v>
      </c>
      <c r="W114">
        <v>20</v>
      </c>
      <c r="X114">
        <v>18</v>
      </c>
      <c r="Y114" t="s">
        <v>83</v>
      </c>
      <c r="Z114" t="s">
        <v>78</v>
      </c>
      <c r="AA114" t="str">
        <f>MasterStaffList_All[[#This Row],[Facility]]&amp;MasterStaffList_All[[#This Row],[Role]]&amp;MasterStaffList_All[[#This Row],[Resource]]</f>
        <v>BDRN108</v>
      </c>
    </row>
    <row r="115" spans="1:27" hidden="1" x14ac:dyDescent="0.25">
      <c r="A115" t="s">
        <v>320</v>
      </c>
      <c r="B115" t="s">
        <v>29</v>
      </c>
      <c r="C115">
        <v>117</v>
      </c>
      <c r="E115" t="s">
        <v>76</v>
      </c>
      <c r="F115" t="s">
        <v>321</v>
      </c>
      <c r="G115" t="s">
        <v>78</v>
      </c>
      <c r="H115" t="s">
        <v>79</v>
      </c>
      <c r="I115" t="s">
        <v>29</v>
      </c>
      <c r="J115" t="b">
        <v>1</v>
      </c>
      <c r="K115" t="b">
        <v>1</v>
      </c>
      <c r="L115" t="s">
        <v>95</v>
      </c>
      <c r="M115" t="s">
        <v>81</v>
      </c>
      <c r="O115" t="s">
        <v>82</v>
      </c>
      <c r="P115">
        <v>40</v>
      </c>
      <c r="Q115">
        <v>46223</v>
      </c>
      <c r="R115">
        <v>46250</v>
      </c>
      <c r="S115">
        <v>2</v>
      </c>
      <c r="T115">
        <v>80</v>
      </c>
      <c r="U115">
        <v>10.526315789473683</v>
      </c>
      <c r="V115">
        <v>10</v>
      </c>
      <c r="W115">
        <v>20</v>
      </c>
      <c r="X115">
        <v>10</v>
      </c>
      <c r="Y115" t="s">
        <v>83</v>
      </c>
      <c r="Z115" t="s">
        <v>78</v>
      </c>
      <c r="AA115" t="str">
        <f>MasterStaffList_All[[#This Row],[Facility]]&amp;MasterStaffList_All[[#This Row],[Role]]&amp;MasterStaffList_All[[#This Row],[Resource]]</f>
        <v>BDRN117</v>
      </c>
    </row>
    <row r="116" spans="1:27" hidden="1" x14ac:dyDescent="0.25">
      <c r="A116" t="s">
        <v>322</v>
      </c>
      <c r="B116" t="s">
        <v>29</v>
      </c>
      <c r="C116">
        <v>118</v>
      </c>
      <c r="E116" t="s">
        <v>76</v>
      </c>
      <c r="F116" t="s">
        <v>323</v>
      </c>
      <c r="G116" t="s">
        <v>78</v>
      </c>
      <c r="H116" t="s">
        <v>79</v>
      </c>
      <c r="I116" t="s">
        <v>29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60</v>
      </c>
      <c r="Q116">
        <v>46223</v>
      </c>
      <c r="R116">
        <v>46250</v>
      </c>
      <c r="S116">
        <v>2</v>
      </c>
      <c r="T116">
        <v>120</v>
      </c>
      <c r="U116">
        <v>15.789473684210527</v>
      </c>
      <c r="V116">
        <v>15</v>
      </c>
      <c r="W116">
        <v>20</v>
      </c>
      <c r="X116">
        <v>15</v>
      </c>
      <c r="Y116" t="s">
        <v>83</v>
      </c>
      <c r="Z116" t="s">
        <v>78</v>
      </c>
      <c r="AA116" t="str">
        <f>MasterStaffList_All[[#This Row],[Facility]]&amp;MasterStaffList_All[[#This Row],[Role]]&amp;MasterStaffList_All[[#This Row],[Resource]]</f>
        <v>BDRN118</v>
      </c>
    </row>
    <row r="117" spans="1:27" hidden="1" x14ac:dyDescent="0.25">
      <c r="A117" t="s">
        <v>334</v>
      </c>
      <c r="B117" t="s">
        <v>29</v>
      </c>
      <c r="C117">
        <v>124</v>
      </c>
      <c r="E117" t="s">
        <v>76</v>
      </c>
      <c r="F117" t="s">
        <v>335</v>
      </c>
      <c r="G117" t="s">
        <v>78</v>
      </c>
      <c r="H117" t="s">
        <v>79</v>
      </c>
      <c r="I117" t="s">
        <v>29</v>
      </c>
      <c r="J117" t="b">
        <v>1</v>
      </c>
      <c r="K117" t="b">
        <v>1</v>
      </c>
      <c r="L117" t="s">
        <v>95</v>
      </c>
      <c r="M117" t="s">
        <v>81</v>
      </c>
      <c r="O117" t="s">
        <v>82</v>
      </c>
      <c r="P117">
        <v>32</v>
      </c>
      <c r="Q117">
        <v>46223</v>
      </c>
      <c r="R117">
        <v>46250</v>
      </c>
      <c r="S117">
        <v>2</v>
      </c>
      <c r="T117">
        <v>64</v>
      </c>
      <c r="U117">
        <v>8.4210526315789469</v>
      </c>
      <c r="V117">
        <v>8</v>
      </c>
      <c r="W117">
        <v>20</v>
      </c>
      <c r="X117">
        <v>8</v>
      </c>
      <c r="Y117" t="s">
        <v>83</v>
      </c>
      <c r="Z117" t="s">
        <v>78</v>
      </c>
      <c r="AA117" t="str">
        <f>MasterStaffList_All[[#This Row],[Facility]]&amp;MasterStaffList_All[[#This Row],[Role]]&amp;MasterStaffList_All[[#This Row],[Resource]]</f>
        <v>BDRN124</v>
      </c>
    </row>
    <row r="118" spans="1:27" hidden="1" x14ac:dyDescent="0.25">
      <c r="A118" t="s">
        <v>336</v>
      </c>
      <c r="B118" t="s">
        <v>29</v>
      </c>
      <c r="C118">
        <v>125</v>
      </c>
      <c r="E118" t="s">
        <v>76</v>
      </c>
      <c r="F118" t="s">
        <v>337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32</v>
      </c>
      <c r="Q118">
        <v>46223</v>
      </c>
      <c r="R118">
        <v>46250</v>
      </c>
      <c r="S118">
        <v>2</v>
      </c>
      <c r="T118">
        <v>64</v>
      </c>
      <c r="U118">
        <v>8.4210526315789469</v>
      </c>
      <c r="V118">
        <v>8</v>
      </c>
      <c r="W118">
        <v>20</v>
      </c>
      <c r="X118">
        <v>8</v>
      </c>
      <c r="Y118" t="s">
        <v>83</v>
      </c>
      <c r="Z118" t="s">
        <v>78</v>
      </c>
      <c r="AA118" t="str">
        <f>MasterStaffList_All[[#This Row],[Facility]]&amp;MasterStaffList_All[[#This Row],[Role]]&amp;MasterStaffList_All[[#This Row],[Resource]]</f>
        <v>BDRN125</v>
      </c>
    </row>
    <row r="119" spans="1:27" hidden="1" x14ac:dyDescent="0.25">
      <c r="A119" t="s">
        <v>340</v>
      </c>
      <c r="B119" t="s">
        <v>29</v>
      </c>
      <c r="C119">
        <v>127</v>
      </c>
      <c r="E119" t="s">
        <v>76</v>
      </c>
      <c r="F119" t="s">
        <v>341</v>
      </c>
      <c r="G119" t="s">
        <v>78</v>
      </c>
      <c r="H119" t="s">
        <v>79</v>
      </c>
      <c r="I119" t="s">
        <v>29</v>
      </c>
      <c r="J119" t="b">
        <v>1</v>
      </c>
      <c r="K119" t="b">
        <v>0</v>
      </c>
      <c r="L119" t="s">
        <v>92</v>
      </c>
      <c r="M119" t="s">
        <v>81</v>
      </c>
      <c r="O119" t="s">
        <v>82</v>
      </c>
      <c r="P119">
        <v>32</v>
      </c>
      <c r="Q119">
        <v>46223</v>
      </c>
      <c r="R119">
        <v>46250</v>
      </c>
      <c r="S119">
        <v>2</v>
      </c>
      <c r="T119">
        <v>64</v>
      </c>
      <c r="U119">
        <v>8.4210526315789469</v>
      </c>
      <c r="V119">
        <v>8</v>
      </c>
      <c r="W119">
        <v>20</v>
      </c>
      <c r="X119">
        <v>8</v>
      </c>
      <c r="Y119" t="s">
        <v>83</v>
      </c>
      <c r="Z119" t="s">
        <v>78</v>
      </c>
      <c r="AA119" t="str">
        <f>MasterStaffList_All[[#This Row],[Facility]]&amp;MasterStaffList_All[[#This Row],[Role]]&amp;MasterStaffList_All[[#This Row],[Resource]]</f>
        <v>BDRN127</v>
      </c>
    </row>
    <row r="120" spans="1:27" hidden="1" x14ac:dyDescent="0.25">
      <c r="A120" t="s">
        <v>130</v>
      </c>
      <c r="B120" t="s">
        <v>29</v>
      </c>
      <c r="C120">
        <v>22</v>
      </c>
      <c r="E120" t="s">
        <v>76</v>
      </c>
      <c r="F120" t="s">
        <v>131</v>
      </c>
      <c r="G120" t="s">
        <v>78</v>
      </c>
      <c r="H120" t="s">
        <v>79</v>
      </c>
      <c r="I120" t="s">
        <v>29</v>
      </c>
      <c r="J120" t="b">
        <v>1</v>
      </c>
      <c r="K120" t="b">
        <v>1</v>
      </c>
      <c r="L120" t="s">
        <v>95</v>
      </c>
      <c r="M120" t="s">
        <v>81</v>
      </c>
      <c r="O120" t="s">
        <v>82</v>
      </c>
      <c r="P120">
        <v>45</v>
      </c>
      <c r="Q120">
        <v>46223</v>
      </c>
      <c r="R120">
        <v>46250</v>
      </c>
      <c r="S120">
        <v>2</v>
      </c>
      <c r="T120">
        <v>90</v>
      </c>
      <c r="U120">
        <v>11.842105263157896</v>
      </c>
      <c r="V120">
        <v>11</v>
      </c>
      <c r="W120">
        <v>20</v>
      </c>
      <c r="X120">
        <v>11</v>
      </c>
      <c r="Y120" t="s">
        <v>83</v>
      </c>
      <c r="Z120" t="s">
        <v>78</v>
      </c>
      <c r="AA120" t="str">
        <f>MasterStaffList_All[[#This Row],[Facility]]&amp;MasterStaffList_All[[#This Row],[Role]]&amp;MasterStaffList_All[[#This Row],[Resource]]</f>
        <v>BDRN22</v>
      </c>
    </row>
    <row r="121" spans="1:27" hidden="1" x14ac:dyDescent="0.25">
      <c r="A121" t="s">
        <v>90</v>
      </c>
      <c r="B121" t="s">
        <v>29</v>
      </c>
      <c r="C121">
        <v>4</v>
      </c>
      <c r="E121" t="s">
        <v>76</v>
      </c>
      <c r="F121" t="s">
        <v>91</v>
      </c>
      <c r="G121" t="s">
        <v>78</v>
      </c>
      <c r="H121" t="s">
        <v>88</v>
      </c>
      <c r="I121" t="s">
        <v>29</v>
      </c>
      <c r="J121" t="b">
        <v>1</v>
      </c>
      <c r="K121" t="b">
        <v>0</v>
      </c>
      <c r="L121" t="s">
        <v>92</v>
      </c>
      <c r="M121" t="s">
        <v>81</v>
      </c>
      <c r="O121" t="s">
        <v>89</v>
      </c>
      <c r="P121">
        <v>76</v>
      </c>
      <c r="Q121">
        <v>46223</v>
      </c>
      <c r="R121">
        <v>46250</v>
      </c>
      <c r="S121">
        <v>2</v>
      </c>
      <c r="T121">
        <v>152</v>
      </c>
      <c r="U121">
        <v>20</v>
      </c>
      <c r="V121">
        <v>20</v>
      </c>
      <c r="W121">
        <v>20</v>
      </c>
      <c r="X121">
        <v>20</v>
      </c>
      <c r="Y121" t="s">
        <v>89</v>
      </c>
      <c r="Z121" t="s">
        <v>78</v>
      </c>
      <c r="AA121" t="str">
        <f>MasterStaffList_All[[#This Row],[Facility]]&amp;MasterStaffList_All[[#This Row],[Role]]&amp;MasterStaffList_All[[#This Row],[Resource]]</f>
        <v>BDRN4</v>
      </c>
    </row>
    <row r="122" spans="1:27" hidden="1" x14ac:dyDescent="0.25">
      <c r="A122" t="s">
        <v>172</v>
      </c>
      <c r="B122" t="s">
        <v>29</v>
      </c>
      <c r="C122">
        <v>43</v>
      </c>
      <c r="E122" t="s">
        <v>76</v>
      </c>
      <c r="F122" t="s">
        <v>173</v>
      </c>
      <c r="G122" t="s">
        <v>78</v>
      </c>
      <c r="H122" t="s">
        <v>88</v>
      </c>
      <c r="I122" t="s">
        <v>29</v>
      </c>
      <c r="J122" t="b">
        <v>1</v>
      </c>
      <c r="K122" t="b">
        <v>0</v>
      </c>
      <c r="L122" t="s">
        <v>92</v>
      </c>
      <c r="M122" t="s">
        <v>81</v>
      </c>
      <c r="O122" t="s">
        <v>89</v>
      </c>
      <c r="P122">
        <v>76</v>
      </c>
      <c r="Q122">
        <v>46223</v>
      </c>
      <c r="R122">
        <v>46250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89</v>
      </c>
      <c r="Z122" t="s">
        <v>78</v>
      </c>
      <c r="AA122" t="str">
        <f>MasterStaffList_All[[#This Row],[Facility]]&amp;MasterStaffList_All[[#This Row],[Role]]&amp;MasterStaffList_All[[#This Row],[Resource]]</f>
        <v>BDRN43</v>
      </c>
    </row>
    <row r="123" spans="1:27" hidden="1" x14ac:dyDescent="0.25">
      <c r="A123" t="s">
        <v>198</v>
      </c>
      <c r="B123" t="s">
        <v>29</v>
      </c>
      <c r="C123">
        <v>56</v>
      </c>
      <c r="E123" t="s">
        <v>76</v>
      </c>
      <c r="F123" t="s">
        <v>199</v>
      </c>
      <c r="G123" t="s">
        <v>78</v>
      </c>
      <c r="H123" t="s">
        <v>79</v>
      </c>
      <c r="I123" t="s">
        <v>29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40</v>
      </c>
      <c r="Q123">
        <v>46223</v>
      </c>
      <c r="R123">
        <v>46250</v>
      </c>
      <c r="S123">
        <v>2</v>
      </c>
      <c r="T123">
        <v>80</v>
      </c>
      <c r="U123">
        <v>10.526315789473683</v>
      </c>
      <c r="V123">
        <v>10</v>
      </c>
      <c r="W123">
        <v>20</v>
      </c>
      <c r="X123">
        <v>10</v>
      </c>
      <c r="Y123" t="s">
        <v>83</v>
      </c>
      <c r="Z123" t="s">
        <v>78</v>
      </c>
      <c r="AA123" t="str">
        <f>MasterStaffList_All[[#This Row],[Facility]]&amp;MasterStaffList_All[[#This Row],[Role]]&amp;MasterStaffList_All[[#This Row],[Resource]]</f>
        <v>BDRN56</v>
      </c>
    </row>
    <row r="124" spans="1:27" hidden="1" x14ac:dyDescent="0.25">
      <c r="A124" t="s">
        <v>98</v>
      </c>
      <c r="B124" t="s">
        <v>29</v>
      </c>
      <c r="C124">
        <v>7</v>
      </c>
      <c r="E124" t="s">
        <v>76</v>
      </c>
      <c r="F124" t="s">
        <v>99</v>
      </c>
      <c r="G124" t="s">
        <v>78</v>
      </c>
      <c r="H124" t="s">
        <v>79</v>
      </c>
      <c r="I124" t="s">
        <v>29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64</v>
      </c>
      <c r="Q124">
        <v>46223</v>
      </c>
      <c r="R124">
        <v>46250</v>
      </c>
      <c r="S124">
        <v>2</v>
      </c>
      <c r="T124">
        <v>128</v>
      </c>
      <c r="U124">
        <v>16.842105263157894</v>
      </c>
      <c r="V124">
        <v>16</v>
      </c>
      <c r="W124">
        <v>20</v>
      </c>
      <c r="X124">
        <v>16</v>
      </c>
      <c r="Y124" t="s">
        <v>83</v>
      </c>
      <c r="Z124" t="s">
        <v>78</v>
      </c>
      <c r="AA124" t="str">
        <f>MasterStaffList_All[[#This Row],[Facility]]&amp;MasterStaffList_All[[#This Row],[Role]]&amp;MasterStaffList_All[[#This Row],[Resource]]</f>
        <v>BDRN7</v>
      </c>
    </row>
    <row r="125" spans="1:27" hidden="1" x14ac:dyDescent="0.25">
      <c r="A125" t="s">
        <v>234</v>
      </c>
      <c r="B125" t="s">
        <v>29</v>
      </c>
      <c r="C125">
        <v>74</v>
      </c>
      <c r="E125" t="s">
        <v>76</v>
      </c>
      <c r="F125" t="s">
        <v>235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48</v>
      </c>
      <c r="Q125">
        <v>46223</v>
      </c>
      <c r="R125">
        <v>46250</v>
      </c>
      <c r="S125">
        <v>2</v>
      </c>
      <c r="T125">
        <v>96</v>
      </c>
      <c r="U125">
        <v>12.631578947368419</v>
      </c>
      <c r="V125">
        <v>12</v>
      </c>
      <c r="W125">
        <v>20</v>
      </c>
      <c r="X125">
        <v>12</v>
      </c>
      <c r="Y125" t="s">
        <v>83</v>
      </c>
      <c r="Z125" t="s">
        <v>78</v>
      </c>
      <c r="AA125" t="str">
        <f>MasterStaffList_All[[#This Row],[Facility]]&amp;MasterStaffList_All[[#This Row],[Role]]&amp;MasterStaffList_All[[#This Row],[Resource]]</f>
        <v>BDRN74</v>
      </c>
    </row>
    <row r="126" spans="1:27" hidden="1" x14ac:dyDescent="0.25">
      <c r="A126" t="s">
        <v>236</v>
      </c>
      <c r="B126" t="s">
        <v>29</v>
      </c>
      <c r="C126">
        <v>75</v>
      </c>
      <c r="E126" t="s">
        <v>76</v>
      </c>
      <c r="F126" t="s">
        <v>237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48</v>
      </c>
      <c r="Q126">
        <v>46223</v>
      </c>
      <c r="R126">
        <v>46250</v>
      </c>
      <c r="S126">
        <v>2</v>
      </c>
      <c r="T126">
        <v>96</v>
      </c>
      <c r="U126">
        <v>12.631578947368419</v>
      </c>
      <c r="V126">
        <v>12</v>
      </c>
      <c r="W126">
        <v>20</v>
      </c>
      <c r="X126">
        <v>12</v>
      </c>
      <c r="Y126" t="s">
        <v>83</v>
      </c>
      <c r="Z126" t="s">
        <v>78</v>
      </c>
      <c r="AA126" t="str">
        <f>MasterStaffList_All[[#This Row],[Facility]]&amp;MasterStaffList_All[[#This Row],[Role]]&amp;MasterStaffList_All[[#This Row],[Resource]]</f>
        <v>BDRN75</v>
      </c>
    </row>
    <row r="127" spans="1:27" hidden="1" x14ac:dyDescent="0.25">
      <c r="A127" t="s">
        <v>242</v>
      </c>
      <c r="B127" t="s">
        <v>29</v>
      </c>
      <c r="C127">
        <v>78</v>
      </c>
      <c r="E127" t="s">
        <v>76</v>
      </c>
      <c r="F127" t="s">
        <v>243</v>
      </c>
      <c r="G127" t="s">
        <v>78</v>
      </c>
      <c r="H127" t="s">
        <v>110</v>
      </c>
      <c r="I127" t="s">
        <v>29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76</v>
      </c>
      <c r="Q127">
        <v>46223</v>
      </c>
      <c r="R127">
        <v>46250</v>
      </c>
      <c r="S127">
        <v>2</v>
      </c>
      <c r="T127">
        <v>152</v>
      </c>
      <c r="U127">
        <v>20</v>
      </c>
      <c r="V127">
        <v>20</v>
      </c>
      <c r="W127">
        <v>20</v>
      </c>
      <c r="X127">
        <v>20</v>
      </c>
      <c r="Y127" t="s">
        <v>111</v>
      </c>
      <c r="Z127" t="s">
        <v>78</v>
      </c>
      <c r="AA127" t="str">
        <f>MasterStaffList_All[[#This Row],[Facility]]&amp;MasterStaffList_All[[#This Row],[Role]]&amp;MasterStaffList_All[[#This Row],[Resource]]</f>
        <v>BDRN78</v>
      </c>
    </row>
    <row r="128" spans="1:27" x14ac:dyDescent="0.25">
      <c r="A128" t="s">
        <v>100</v>
      </c>
      <c r="B128" t="s">
        <v>29</v>
      </c>
      <c r="C128">
        <v>8</v>
      </c>
      <c r="E128" t="s">
        <v>76</v>
      </c>
      <c r="F128" t="s">
        <v>101</v>
      </c>
      <c r="G128" t="s">
        <v>78</v>
      </c>
      <c r="H128" t="s">
        <v>88</v>
      </c>
      <c r="I128" t="s">
        <v>29</v>
      </c>
      <c r="J128" t="b">
        <v>1</v>
      </c>
      <c r="K128" t="b">
        <v>1</v>
      </c>
      <c r="L128" t="s">
        <v>95</v>
      </c>
      <c r="M128" t="s">
        <v>81</v>
      </c>
      <c r="O128" t="s">
        <v>89</v>
      </c>
      <c r="P128">
        <v>76</v>
      </c>
      <c r="Q128">
        <v>46223</v>
      </c>
      <c r="R128">
        <v>46250</v>
      </c>
      <c r="S128">
        <v>2</v>
      </c>
      <c r="T128">
        <v>152</v>
      </c>
      <c r="U128">
        <v>20</v>
      </c>
      <c r="V128">
        <v>20</v>
      </c>
      <c r="W128">
        <v>20</v>
      </c>
      <c r="X128">
        <v>20</v>
      </c>
      <c r="Y128" t="s">
        <v>89</v>
      </c>
      <c r="Z128" t="s">
        <v>78</v>
      </c>
      <c r="AA128" t="str">
        <f>MasterStaffList_All[[#This Row],[Facility]]&amp;MasterStaffList_All[[#This Row],[Role]]&amp;MasterStaffList_All[[#This Row],[Resource]]</f>
        <v>BDRN8</v>
      </c>
    </row>
    <row r="129" spans="1:27" hidden="1" x14ac:dyDescent="0.25">
      <c r="A129" t="s">
        <v>248</v>
      </c>
      <c r="B129" t="s">
        <v>29</v>
      </c>
      <c r="C129">
        <v>81</v>
      </c>
      <c r="E129" t="s">
        <v>76</v>
      </c>
      <c r="F129" t="s">
        <v>249</v>
      </c>
      <c r="G129" t="s">
        <v>78</v>
      </c>
      <c r="H129" t="s">
        <v>79</v>
      </c>
      <c r="I129" t="s">
        <v>29</v>
      </c>
      <c r="J129" t="b">
        <v>1</v>
      </c>
      <c r="K129" t="b">
        <v>1</v>
      </c>
      <c r="L129" t="s">
        <v>95</v>
      </c>
      <c r="M129" t="s">
        <v>81</v>
      </c>
      <c r="O129" t="s">
        <v>82</v>
      </c>
      <c r="P129">
        <v>48</v>
      </c>
      <c r="Q129">
        <v>46223</v>
      </c>
      <c r="R129">
        <v>46250</v>
      </c>
      <c r="S129">
        <v>2</v>
      </c>
      <c r="T129">
        <v>96</v>
      </c>
      <c r="U129">
        <v>12.631578947368419</v>
      </c>
      <c r="V129">
        <v>12</v>
      </c>
      <c r="W129">
        <v>20</v>
      </c>
      <c r="X129">
        <v>12</v>
      </c>
      <c r="Y129" t="s">
        <v>83</v>
      </c>
      <c r="Z129" t="s">
        <v>78</v>
      </c>
      <c r="AA129" t="str">
        <f>MasterStaffList_All[[#This Row],[Facility]]&amp;MasterStaffList_All[[#This Row],[Role]]&amp;MasterStaffList_All[[#This Row],[Resource]]</f>
        <v>BDRN81</v>
      </c>
    </row>
    <row r="130" spans="1:27" hidden="1" x14ac:dyDescent="0.25">
      <c r="A130" t="s">
        <v>282</v>
      </c>
      <c r="B130" t="s">
        <v>29</v>
      </c>
      <c r="C130">
        <v>98</v>
      </c>
      <c r="E130" t="s">
        <v>76</v>
      </c>
      <c r="F130" t="s">
        <v>283</v>
      </c>
      <c r="G130" t="s">
        <v>78</v>
      </c>
      <c r="H130" t="s">
        <v>110</v>
      </c>
      <c r="I130" t="s">
        <v>29</v>
      </c>
      <c r="J130" t="b">
        <v>1</v>
      </c>
      <c r="K130" t="b">
        <v>1</v>
      </c>
      <c r="L130" t="s">
        <v>95</v>
      </c>
      <c r="M130" t="s">
        <v>81</v>
      </c>
      <c r="O130" t="s">
        <v>82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111</v>
      </c>
      <c r="Z130" t="s">
        <v>78</v>
      </c>
      <c r="AA130" t="str">
        <f>MasterStaffList_All[[#This Row],[Facility]]&amp;MasterStaffList_All[[#This Row],[Role]]&amp;MasterStaffList_All[[#This Row],[Resource]]</f>
        <v>BDRN98</v>
      </c>
    </row>
    <row r="131" spans="1:27" hidden="1" x14ac:dyDescent="0.25">
      <c r="A131" t="s">
        <v>75</v>
      </c>
      <c r="B131" t="s">
        <v>22</v>
      </c>
      <c r="C131">
        <v>1</v>
      </c>
      <c r="D131" t="s">
        <v>40</v>
      </c>
      <c r="E131" t="s">
        <v>76</v>
      </c>
      <c r="F131" t="s">
        <v>77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  <c r="AA131" t="str">
        <f>MasterStaffList_All[[#This Row],[Facility]]&amp;MasterStaffList_All[[#This Row],[Role]]&amp;MasterStaffList_All[[#This Row],[Resource]]</f>
        <v>JH-RYAIN1</v>
      </c>
    </row>
    <row r="132" spans="1:27" x14ac:dyDescent="0.25">
      <c r="A132" t="s">
        <v>361</v>
      </c>
      <c r="B132" t="s">
        <v>22</v>
      </c>
      <c r="C132">
        <v>10</v>
      </c>
      <c r="D132" t="s">
        <v>40</v>
      </c>
      <c r="E132" t="s">
        <v>76</v>
      </c>
      <c r="F132" t="s">
        <v>362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  <c r="AA132" t="str">
        <f>MasterStaffList_All[[#This Row],[Facility]]&amp;MasterStaffList_All[[#This Row],[Role]]&amp;MasterStaffList_All[[#This Row],[Resource]]</f>
        <v>JH-RYAIN10</v>
      </c>
    </row>
    <row r="133" spans="1:27" hidden="1" x14ac:dyDescent="0.25">
      <c r="A133" t="s">
        <v>363</v>
      </c>
      <c r="B133" t="s">
        <v>22</v>
      </c>
      <c r="C133">
        <v>11</v>
      </c>
      <c r="E133" t="s">
        <v>76</v>
      </c>
      <c r="F133" t="s">
        <v>364</v>
      </c>
      <c r="G133" t="s">
        <v>346</v>
      </c>
      <c r="H133" t="s">
        <v>110</v>
      </c>
      <c r="I133" t="s">
        <v>22</v>
      </c>
      <c r="J133" t="b">
        <v>1</v>
      </c>
      <c r="K133" t="b">
        <v>0</v>
      </c>
      <c r="L133" t="s">
        <v>92</v>
      </c>
      <c r="M133" t="s">
        <v>81</v>
      </c>
      <c r="O133" t="s">
        <v>82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111</v>
      </c>
      <c r="Z133" t="s">
        <v>346</v>
      </c>
      <c r="AA133" t="str">
        <f>MasterStaffList_All[[#This Row],[Facility]]&amp;MasterStaffList_All[[#This Row],[Role]]&amp;MasterStaffList_All[[#This Row],[Resource]]</f>
        <v>JH-RYAIN11</v>
      </c>
    </row>
    <row r="134" spans="1:27" hidden="1" x14ac:dyDescent="0.25">
      <c r="A134" t="s">
        <v>365</v>
      </c>
      <c r="B134" t="s">
        <v>22</v>
      </c>
      <c r="C134">
        <v>12</v>
      </c>
      <c r="E134" t="s">
        <v>76</v>
      </c>
      <c r="F134" t="s">
        <v>366</v>
      </c>
      <c r="G134" t="s">
        <v>346</v>
      </c>
      <c r="H134" t="s">
        <v>79</v>
      </c>
      <c r="I134" t="s">
        <v>22</v>
      </c>
      <c r="J134" t="b">
        <v>1</v>
      </c>
      <c r="K134" t="b">
        <v>1</v>
      </c>
      <c r="L134" t="s">
        <v>95</v>
      </c>
      <c r="M134" t="s">
        <v>81</v>
      </c>
      <c r="O134" t="s">
        <v>82</v>
      </c>
      <c r="P134">
        <v>64</v>
      </c>
      <c r="Q134">
        <v>46223</v>
      </c>
      <c r="R134">
        <v>46250</v>
      </c>
      <c r="S134">
        <v>2</v>
      </c>
      <c r="T134">
        <v>128</v>
      </c>
      <c r="U134">
        <v>16.842105263157894</v>
      </c>
      <c r="V134">
        <v>16</v>
      </c>
      <c r="W134">
        <v>20</v>
      </c>
      <c r="X134">
        <v>16</v>
      </c>
      <c r="Y134" t="s">
        <v>83</v>
      </c>
      <c r="Z134" t="s">
        <v>346</v>
      </c>
      <c r="AA134" t="str">
        <f>MasterStaffList_All[[#This Row],[Facility]]&amp;MasterStaffList_All[[#This Row],[Role]]&amp;MasterStaffList_All[[#This Row],[Resource]]</f>
        <v>JH-RYAIN12</v>
      </c>
    </row>
    <row r="135" spans="1:27" hidden="1" x14ac:dyDescent="0.25">
      <c r="A135" t="s">
        <v>367</v>
      </c>
      <c r="B135" t="s">
        <v>22</v>
      </c>
      <c r="C135">
        <v>13</v>
      </c>
      <c r="E135" t="s">
        <v>76</v>
      </c>
      <c r="F135" t="s">
        <v>368</v>
      </c>
      <c r="G135" t="s">
        <v>346</v>
      </c>
      <c r="H135" t="s">
        <v>79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82</v>
      </c>
      <c r="P135">
        <v>64</v>
      </c>
      <c r="Q135">
        <v>46223</v>
      </c>
      <c r="R135">
        <v>46250</v>
      </c>
      <c r="S135">
        <v>2</v>
      </c>
      <c r="T135">
        <v>128</v>
      </c>
      <c r="U135">
        <v>16.842105263157894</v>
      </c>
      <c r="V135">
        <v>16</v>
      </c>
      <c r="W135">
        <v>20</v>
      </c>
      <c r="X135">
        <v>16</v>
      </c>
      <c r="Y135" t="s">
        <v>83</v>
      </c>
      <c r="Z135" t="s">
        <v>346</v>
      </c>
      <c r="AA135" t="str">
        <f>MasterStaffList_All[[#This Row],[Facility]]&amp;MasterStaffList_All[[#This Row],[Role]]&amp;MasterStaffList_All[[#This Row],[Resource]]</f>
        <v>JH-RYAIN13</v>
      </c>
    </row>
    <row r="136" spans="1:27" hidden="1" x14ac:dyDescent="0.25">
      <c r="A136" t="s">
        <v>369</v>
      </c>
      <c r="B136" t="s">
        <v>22</v>
      </c>
      <c r="C136">
        <v>14</v>
      </c>
      <c r="E136" t="s">
        <v>76</v>
      </c>
      <c r="F136" t="s">
        <v>370</v>
      </c>
      <c r="G136" t="s">
        <v>346</v>
      </c>
      <c r="H136" t="s">
        <v>79</v>
      </c>
      <c r="I136" t="s">
        <v>22</v>
      </c>
      <c r="J136" t="b">
        <v>1</v>
      </c>
      <c r="K136" t="b">
        <v>1</v>
      </c>
      <c r="L136" t="s">
        <v>95</v>
      </c>
      <c r="M136" t="s">
        <v>81</v>
      </c>
      <c r="O136" t="s">
        <v>82</v>
      </c>
      <c r="P136">
        <v>40</v>
      </c>
      <c r="Q136">
        <v>46223</v>
      </c>
      <c r="R136">
        <v>46250</v>
      </c>
      <c r="S136">
        <v>2</v>
      </c>
      <c r="T136">
        <v>80</v>
      </c>
      <c r="U136">
        <v>10.526315789473683</v>
      </c>
      <c r="V136">
        <v>10</v>
      </c>
      <c r="W136">
        <v>20</v>
      </c>
      <c r="X136">
        <v>10</v>
      </c>
      <c r="Y136" t="s">
        <v>83</v>
      </c>
      <c r="Z136" t="s">
        <v>346</v>
      </c>
      <c r="AA136" t="str">
        <f>MasterStaffList_All[[#This Row],[Facility]]&amp;MasterStaffList_All[[#This Row],[Role]]&amp;MasterStaffList_All[[#This Row],[Resource]]</f>
        <v>JH-RYAIN14</v>
      </c>
    </row>
    <row r="137" spans="1:27" hidden="1" x14ac:dyDescent="0.25">
      <c r="A137" t="s">
        <v>371</v>
      </c>
      <c r="B137" t="s">
        <v>22</v>
      </c>
      <c r="C137">
        <v>15</v>
      </c>
      <c r="E137" t="s">
        <v>76</v>
      </c>
      <c r="F137" t="s">
        <v>372</v>
      </c>
      <c r="G137" t="s">
        <v>346</v>
      </c>
      <c r="H137" t="s">
        <v>79</v>
      </c>
      <c r="I137" t="s">
        <v>22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64</v>
      </c>
      <c r="Q137">
        <v>46223</v>
      </c>
      <c r="R137">
        <v>46250</v>
      </c>
      <c r="S137">
        <v>2</v>
      </c>
      <c r="T137">
        <v>128</v>
      </c>
      <c r="U137">
        <v>16.842105263157894</v>
      </c>
      <c r="V137">
        <v>16</v>
      </c>
      <c r="W137">
        <v>20</v>
      </c>
      <c r="X137">
        <v>16</v>
      </c>
      <c r="Y137" t="s">
        <v>83</v>
      </c>
      <c r="Z137" t="s">
        <v>346</v>
      </c>
      <c r="AA137" t="str">
        <f>MasterStaffList_All[[#This Row],[Facility]]&amp;MasterStaffList_All[[#This Row],[Role]]&amp;MasterStaffList_All[[#This Row],[Resource]]</f>
        <v>JH-RYAIN15</v>
      </c>
    </row>
    <row r="138" spans="1:27" x14ac:dyDescent="0.25">
      <c r="A138" t="s">
        <v>373</v>
      </c>
      <c r="B138" t="s">
        <v>22</v>
      </c>
      <c r="C138">
        <v>16</v>
      </c>
      <c r="D138" t="s">
        <v>40</v>
      </c>
      <c r="E138" t="s">
        <v>76</v>
      </c>
      <c r="F138" t="s">
        <v>374</v>
      </c>
      <c r="G138" t="s">
        <v>346</v>
      </c>
      <c r="H138" t="s">
        <v>88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89</v>
      </c>
      <c r="P138">
        <v>76</v>
      </c>
      <c r="Q138">
        <v>46223</v>
      </c>
      <c r="R138">
        <v>46250</v>
      </c>
      <c r="S138">
        <v>2</v>
      </c>
      <c r="T138">
        <v>152</v>
      </c>
      <c r="U138">
        <v>20</v>
      </c>
      <c r="V138">
        <v>20</v>
      </c>
      <c r="W138">
        <v>20</v>
      </c>
      <c r="X138">
        <v>20</v>
      </c>
      <c r="Y138" t="s">
        <v>89</v>
      </c>
      <c r="Z138" t="s">
        <v>346</v>
      </c>
      <c r="AA138" t="str">
        <f>MasterStaffList_All[[#This Row],[Facility]]&amp;MasterStaffList_All[[#This Row],[Role]]&amp;MasterStaffList_All[[#This Row],[Resource]]</f>
        <v>JH-RYAIN16</v>
      </c>
    </row>
    <row r="139" spans="1:27" hidden="1" x14ac:dyDescent="0.25">
      <c r="A139" t="s">
        <v>375</v>
      </c>
      <c r="B139" t="s">
        <v>22</v>
      </c>
      <c r="C139">
        <v>17</v>
      </c>
      <c r="E139" t="s">
        <v>76</v>
      </c>
      <c r="F139" t="s">
        <v>161</v>
      </c>
      <c r="G139" t="s">
        <v>346</v>
      </c>
      <c r="H139" t="s">
        <v>79</v>
      </c>
      <c r="I139" t="s">
        <v>22</v>
      </c>
      <c r="J139" t="b">
        <v>1</v>
      </c>
      <c r="K139" t="b">
        <v>1</v>
      </c>
      <c r="L139" t="s">
        <v>95</v>
      </c>
      <c r="M139" t="s">
        <v>81</v>
      </c>
      <c r="O139" t="s">
        <v>82</v>
      </c>
      <c r="P139">
        <v>40</v>
      </c>
      <c r="Q139">
        <v>46223</v>
      </c>
      <c r="R139">
        <v>46250</v>
      </c>
      <c r="S139">
        <v>2</v>
      </c>
      <c r="T139">
        <v>80</v>
      </c>
      <c r="U139">
        <v>10.526315789473683</v>
      </c>
      <c r="V139">
        <v>10</v>
      </c>
      <c r="W139">
        <v>20</v>
      </c>
      <c r="X139">
        <v>10</v>
      </c>
      <c r="Y139" t="s">
        <v>83</v>
      </c>
      <c r="Z139" t="s">
        <v>346</v>
      </c>
      <c r="AA139" t="str">
        <f>MasterStaffList_All[[#This Row],[Facility]]&amp;MasterStaffList_All[[#This Row],[Role]]&amp;MasterStaffList_All[[#This Row],[Resource]]</f>
        <v>JH-RYAIN17</v>
      </c>
    </row>
    <row r="140" spans="1:27" hidden="1" x14ac:dyDescent="0.25">
      <c r="A140" t="s">
        <v>376</v>
      </c>
      <c r="B140" t="s">
        <v>22</v>
      </c>
      <c r="C140">
        <v>18</v>
      </c>
      <c r="E140" t="s">
        <v>76</v>
      </c>
      <c r="F140" t="s">
        <v>377</v>
      </c>
      <c r="G140" t="s">
        <v>346</v>
      </c>
      <c r="H140" t="s">
        <v>88</v>
      </c>
      <c r="I140" t="s">
        <v>22</v>
      </c>
      <c r="J140" t="b">
        <v>1</v>
      </c>
      <c r="K140" t="b">
        <v>0</v>
      </c>
      <c r="L140" t="s">
        <v>92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  <c r="AA140" t="str">
        <f>MasterStaffList_All[[#This Row],[Facility]]&amp;MasterStaffList_All[[#This Row],[Role]]&amp;MasterStaffList_All[[#This Row],[Resource]]</f>
        <v>JH-RYAIN18</v>
      </c>
    </row>
    <row r="141" spans="1:27" hidden="1" x14ac:dyDescent="0.25">
      <c r="A141" t="s">
        <v>378</v>
      </c>
      <c r="B141" t="s">
        <v>22</v>
      </c>
      <c r="C141">
        <v>19</v>
      </c>
      <c r="E141" t="s">
        <v>76</v>
      </c>
      <c r="F141" t="s">
        <v>379</v>
      </c>
      <c r="G141" t="s">
        <v>346</v>
      </c>
      <c r="H141" t="s">
        <v>110</v>
      </c>
      <c r="I141" t="s">
        <v>22</v>
      </c>
      <c r="J141" t="b">
        <v>1</v>
      </c>
      <c r="K141" t="b">
        <v>1</v>
      </c>
      <c r="L141" t="s">
        <v>95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  <c r="AA141" t="str">
        <f>MasterStaffList_All[[#This Row],[Facility]]&amp;MasterStaffList_All[[#This Row],[Role]]&amp;MasterStaffList_All[[#This Row],[Resource]]</f>
        <v>JH-RYAIN19</v>
      </c>
    </row>
    <row r="142" spans="1:27" x14ac:dyDescent="0.25">
      <c r="A142" t="s">
        <v>347</v>
      </c>
      <c r="B142" t="s">
        <v>22</v>
      </c>
      <c r="C142">
        <v>2</v>
      </c>
      <c r="D142" t="s">
        <v>40</v>
      </c>
      <c r="E142" t="s">
        <v>76</v>
      </c>
      <c r="F142" t="s">
        <v>348</v>
      </c>
      <c r="G142" t="s">
        <v>346</v>
      </c>
      <c r="H142" t="s">
        <v>88</v>
      </c>
      <c r="I142" t="s">
        <v>22</v>
      </c>
      <c r="J142" t="b">
        <v>0</v>
      </c>
      <c r="K142" t="b">
        <v>1</v>
      </c>
      <c r="L142" t="s">
        <v>80</v>
      </c>
      <c r="M142" t="s">
        <v>81</v>
      </c>
      <c r="O142" t="s">
        <v>89</v>
      </c>
      <c r="P142">
        <v>76</v>
      </c>
      <c r="Q142">
        <v>46223</v>
      </c>
      <c r="R142">
        <v>46250</v>
      </c>
      <c r="S142">
        <v>2</v>
      </c>
      <c r="T142">
        <v>152</v>
      </c>
      <c r="U142">
        <v>20</v>
      </c>
      <c r="V142">
        <v>20</v>
      </c>
      <c r="W142">
        <v>20</v>
      </c>
      <c r="X142">
        <v>20</v>
      </c>
      <c r="Y142" t="s">
        <v>89</v>
      </c>
      <c r="Z142" t="s">
        <v>346</v>
      </c>
      <c r="AA142" t="str">
        <f>MasterStaffList_All[[#This Row],[Facility]]&amp;MasterStaffList_All[[#This Row],[Role]]&amp;MasterStaffList_All[[#This Row],[Resource]]</f>
        <v>JH-RYAIN2</v>
      </c>
    </row>
    <row r="143" spans="1:27" hidden="1" x14ac:dyDescent="0.25">
      <c r="A143" t="s">
        <v>380</v>
      </c>
      <c r="B143" t="s">
        <v>22</v>
      </c>
      <c r="C143">
        <v>20</v>
      </c>
      <c r="E143" t="s">
        <v>76</v>
      </c>
      <c r="F143" t="s">
        <v>381</v>
      </c>
      <c r="G143" t="s">
        <v>346</v>
      </c>
      <c r="H143" t="s">
        <v>110</v>
      </c>
      <c r="I143" t="s">
        <v>22</v>
      </c>
      <c r="J143" t="b">
        <v>1</v>
      </c>
      <c r="K143" t="b">
        <v>1</v>
      </c>
      <c r="L143" t="s">
        <v>95</v>
      </c>
      <c r="M143" t="s">
        <v>81</v>
      </c>
      <c r="O143" t="s">
        <v>82</v>
      </c>
      <c r="P143">
        <v>76</v>
      </c>
      <c r="Q143">
        <v>46223</v>
      </c>
      <c r="R143">
        <v>46250</v>
      </c>
      <c r="S143">
        <v>2</v>
      </c>
      <c r="T143">
        <v>152</v>
      </c>
      <c r="U143">
        <v>20</v>
      </c>
      <c r="V143">
        <v>20</v>
      </c>
      <c r="W143">
        <v>20</v>
      </c>
      <c r="X143">
        <v>20</v>
      </c>
      <c r="Y143" t="s">
        <v>111</v>
      </c>
      <c r="Z143" t="s">
        <v>346</v>
      </c>
      <c r="AA143" t="str">
        <f>MasterStaffList_All[[#This Row],[Facility]]&amp;MasterStaffList_All[[#This Row],[Role]]&amp;MasterStaffList_All[[#This Row],[Resource]]</f>
        <v>JH-RYAIN20</v>
      </c>
    </row>
    <row r="144" spans="1:27" hidden="1" x14ac:dyDescent="0.25">
      <c r="A144" t="s">
        <v>382</v>
      </c>
      <c r="B144" t="s">
        <v>22</v>
      </c>
      <c r="C144">
        <v>21</v>
      </c>
      <c r="E144" t="s">
        <v>76</v>
      </c>
      <c r="F144" t="s">
        <v>383</v>
      </c>
      <c r="G144" t="s">
        <v>346</v>
      </c>
      <c r="H144" t="s">
        <v>110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76</v>
      </c>
      <c r="Q144">
        <v>46223</v>
      </c>
      <c r="R144">
        <v>46250</v>
      </c>
      <c r="S144">
        <v>2</v>
      </c>
      <c r="T144">
        <v>152</v>
      </c>
      <c r="U144">
        <v>20</v>
      </c>
      <c r="V144">
        <v>20</v>
      </c>
      <c r="W144">
        <v>20</v>
      </c>
      <c r="X144">
        <v>20</v>
      </c>
      <c r="Y144" t="s">
        <v>111</v>
      </c>
      <c r="Z144" t="s">
        <v>346</v>
      </c>
      <c r="AA144" t="str">
        <f>MasterStaffList_All[[#This Row],[Facility]]&amp;MasterStaffList_All[[#This Row],[Role]]&amp;MasterStaffList_All[[#This Row],[Resource]]</f>
        <v>JH-RYAIN21</v>
      </c>
    </row>
    <row r="145" spans="1:27" hidden="1" x14ac:dyDescent="0.25">
      <c r="A145" t="s">
        <v>384</v>
      </c>
      <c r="B145" t="s">
        <v>22</v>
      </c>
      <c r="C145">
        <v>22</v>
      </c>
      <c r="E145" t="s">
        <v>76</v>
      </c>
      <c r="F145" t="s">
        <v>385</v>
      </c>
      <c r="G145" t="s">
        <v>346</v>
      </c>
      <c r="H145" t="s">
        <v>88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89</v>
      </c>
      <c r="P145">
        <v>76</v>
      </c>
      <c r="Q145">
        <v>46223</v>
      </c>
      <c r="R145">
        <v>46250</v>
      </c>
      <c r="S145">
        <v>2</v>
      </c>
      <c r="T145">
        <v>152</v>
      </c>
      <c r="U145">
        <v>20</v>
      </c>
      <c r="V145">
        <v>20</v>
      </c>
      <c r="W145">
        <v>20</v>
      </c>
      <c r="X145">
        <v>20</v>
      </c>
      <c r="Y145" t="s">
        <v>89</v>
      </c>
      <c r="Z145" t="s">
        <v>346</v>
      </c>
      <c r="AA145" t="str">
        <f>MasterStaffList_All[[#This Row],[Facility]]&amp;MasterStaffList_All[[#This Row],[Role]]&amp;MasterStaffList_All[[#This Row],[Resource]]</f>
        <v>JH-RYAIN22</v>
      </c>
    </row>
    <row r="146" spans="1:27" hidden="1" x14ac:dyDescent="0.25">
      <c r="A146" t="s">
        <v>392</v>
      </c>
      <c r="B146" t="s">
        <v>22</v>
      </c>
      <c r="C146">
        <v>26</v>
      </c>
      <c r="E146" t="s">
        <v>76</v>
      </c>
      <c r="F146" t="s">
        <v>393</v>
      </c>
      <c r="G146" t="s">
        <v>346</v>
      </c>
      <c r="H146" t="s">
        <v>79</v>
      </c>
      <c r="I146" t="s">
        <v>22</v>
      </c>
      <c r="J146" t="b">
        <v>1</v>
      </c>
      <c r="K146" t="b">
        <v>1</v>
      </c>
      <c r="L146" t="s">
        <v>95</v>
      </c>
      <c r="M146" t="s">
        <v>81</v>
      </c>
      <c r="O146" t="s">
        <v>82</v>
      </c>
      <c r="P146">
        <v>64</v>
      </c>
      <c r="Q146">
        <v>46223</v>
      </c>
      <c r="R146">
        <v>46250</v>
      </c>
      <c r="S146">
        <v>2</v>
      </c>
      <c r="T146">
        <v>128</v>
      </c>
      <c r="U146">
        <v>16.842105263157894</v>
      </c>
      <c r="V146">
        <v>16</v>
      </c>
      <c r="W146">
        <v>20</v>
      </c>
      <c r="X146">
        <v>16</v>
      </c>
      <c r="Y146" t="s">
        <v>83</v>
      </c>
      <c r="Z146" t="s">
        <v>346</v>
      </c>
      <c r="AA146" t="str">
        <f>MasterStaffList_All[[#This Row],[Facility]]&amp;MasterStaffList_All[[#This Row],[Role]]&amp;MasterStaffList_All[[#This Row],[Resource]]</f>
        <v>JH-RYAIN26</v>
      </c>
    </row>
    <row r="147" spans="1:27" hidden="1" x14ac:dyDescent="0.25">
      <c r="A147" t="s">
        <v>394</v>
      </c>
      <c r="B147" t="s">
        <v>22</v>
      </c>
      <c r="C147">
        <v>27</v>
      </c>
      <c r="D147" t="s">
        <v>40</v>
      </c>
      <c r="E147" t="s">
        <v>76</v>
      </c>
      <c r="F147" t="s">
        <v>395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  <c r="AA147" t="str">
        <f>MasterStaffList_All[[#This Row],[Facility]]&amp;MasterStaffList_All[[#This Row],[Role]]&amp;MasterStaffList_All[[#This Row],[Resource]]</f>
        <v>JH-RYAIN27</v>
      </c>
    </row>
    <row r="148" spans="1:27" hidden="1" x14ac:dyDescent="0.25">
      <c r="A148" t="s">
        <v>224</v>
      </c>
      <c r="B148" t="s">
        <v>22</v>
      </c>
      <c r="C148">
        <v>28</v>
      </c>
      <c r="D148" t="s">
        <v>40</v>
      </c>
      <c r="E148" t="s">
        <v>76</v>
      </c>
      <c r="F148" t="s">
        <v>225</v>
      </c>
      <c r="G148" t="s">
        <v>346</v>
      </c>
      <c r="H148" t="s">
        <v>88</v>
      </c>
      <c r="I148" t="s">
        <v>22</v>
      </c>
      <c r="J148" t="b">
        <v>0</v>
      </c>
      <c r="K148" t="b">
        <v>1</v>
      </c>
      <c r="L148" t="s">
        <v>80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  <c r="AA148" t="str">
        <f>MasterStaffList_All[[#This Row],[Facility]]&amp;MasterStaffList_All[[#This Row],[Role]]&amp;MasterStaffList_All[[#This Row],[Resource]]</f>
        <v>JH-RYAIN28</v>
      </c>
    </row>
    <row r="149" spans="1:27" hidden="1" x14ac:dyDescent="0.25">
      <c r="A149" t="s">
        <v>396</v>
      </c>
      <c r="B149" t="s">
        <v>22</v>
      </c>
      <c r="C149">
        <v>29</v>
      </c>
      <c r="E149" t="s">
        <v>76</v>
      </c>
      <c r="F149" t="s">
        <v>397</v>
      </c>
      <c r="G149" t="s">
        <v>346</v>
      </c>
      <c r="H149" t="s">
        <v>79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64</v>
      </c>
      <c r="Q149">
        <v>46223</v>
      </c>
      <c r="R149">
        <v>46250</v>
      </c>
      <c r="S149">
        <v>2</v>
      </c>
      <c r="T149">
        <v>128</v>
      </c>
      <c r="U149">
        <v>16.842105263157894</v>
      </c>
      <c r="V149">
        <v>16</v>
      </c>
      <c r="W149">
        <v>20</v>
      </c>
      <c r="X149">
        <v>16</v>
      </c>
      <c r="Y149" t="s">
        <v>83</v>
      </c>
      <c r="Z149" t="s">
        <v>346</v>
      </c>
      <c r="AA149" t="str">
        <f>MasterStaffList_All[[#This Row],[Facility]]&amp;MasterStaffList_All[[#This Row],[Role]]&amp;MasterStaffList_All[[#This Row],[Resource]]</f>
        <v>JH-RYAIN29</v>
      </c>
    </row>
    <row r="150" spans="1:27" hidden="1" x14ac:dyDescent="0.25">
      <c r="A150" t="s">
        <v>86</v>
      </c>
      <c r="B150" t="s">
        <v>22</v>
      </c>
      <c r="C150">
        <v>3</v>
      </c>
      <c r="D150" t="s">
        <v>40</v>
      </c>
      <c r="E150" t="s">
        <v>76</v>
      </c>
      <c r="F150" t="s">
        <v>87</v>
      </c>
      <c r="G150" t="s">
        <v>346</v>
      </c>
      <c r="H150" t="s">
        <v>88</v>
      </c>
      <c r="I150" t="s">
        <v>22</v>
      </c>
      <c r="J150" t="b">
        <v>0</v>
      </c>
      <c r="K150" t="b">
        <v>1</v>
      </c>
      <c r="L150" t="s">
        <v>80</v>
      </c>
      <c r="M150" t="s">
        <v>81</v>
      </c>
      <c r="O150" t="s">
        <v>89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89</v>
      </c>
      <c r="Z150" t="s">
        <v>346</v>
      </c>
      <c r="AA150" t="str">
        <f>MasterStaffList_All[[#This Row],[Facility]]&amp;MasterStaffList_All[[#This Row],[Role]]&amp;MasterStaffList_All[[#This Row],[Resource]]</f>
        <v>JH-RYAIN3</v>
      </c>
    </row>
    <row r="151" spans="1:27" hidden="1" x14ac:dyDescent="0.25">
      <c r="A151" t="s">
        <v>398</v>
      </c>
      <c r="B151" t="s">
        <v>22</v>
      </c>
      <c r="C151">
        <v>30</v>
      </c>
      <c r="E151" t="s">
        <v>76</v>
      </c>
      <c r="F151" t="s">
        <v>399</v>
      </c>
      <c r="G151" t="s">
        <v>346</v>
      </c>
      <c r="H151" t="s">
        <v>79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64</v>
      </c>
      <c r="Q151">
        <v>46223</v>
      </c>
      <c r="R151">
        <v>46250</v>
      </c>
      <c r="S151">
        <v>2</v>
      </c>
      <c r="T151">
        <v>128</v>
      </c>
      <c r="U151">
        <v>16.842105263157894</v>
      </c>
      <c r="V151">
        <v>16</v>
      </c>
      <c r="W151">
        <v>20</v>
      </c>
      <c r="X151">
        <v>16</v>
      </c>
      <c r="Y151" t="s">
        <v>83</v>
      </c>
      <c r="Z151" t="s">
        <v>346</v>
      </c>
      <c r="AA151" t="str">
        <f>MasterStaffList_All[[#This Row],[Facility]]&amp;MasterStaffList_All[[#This Row],[Role]]&amp;MasterStaffList_All[[#This Row],[Resource]]</f>
        <v>JH-RYAIN30</v>
      </c>
    </row>
    <row r="152" spans="1:27" hidden="1" x14ac:dyDescent="0.25">
      <c r="A152" t="s">
        <v>238</v>
      </c>
      <c r="B152" t="s">
        <v>22</v>
      </c>
      <c r="C152">
        <v>31</v>
      </c>
      <c r="D152" t="s">
        <v>40</v>
      </c>
      <c r="E152" t="s">
        <v>76</v>
      </c>
      <c r="F152" t="s">
        <v>239</v>
      </c>
      <c r="G152" t="s">
        <v>346</v>
      </c>
      <c r="H152" t="s">
        <v>88</v>
      </c>
      <c r="I152" t="s">
        <v>22</v>
      </c>
      <c r="J152" t="b">
        <v>0</v>
      </c>
      <c r="K152" t="b">
        <v>1</v>
      </c>
      <c r="L152" t="s">
        <v>80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  <c r="AA152" t="str">
        <f>MasterStaffList_All[[#This Row],[Facility]]&amp;MasterStaffList_All[[#This Row],[Role]]&amp;MasterStaffList_All[[#This Row],[Resource]]</f>
        <v>JH-RYAIN31</v>
      </c>
    </row>
    <row r="153" spans="1:27" hidden="1" x14ac:dyDescent="0.25">
      <c r="A153" t="s">
        <v>400</v>
      </c>
      <c r="B153" t="s">
        <v>22</v>
      </c>
      <c r="C153">
        <v>32</v>
      </c>
      <c r="E153" t="s">
        <v>76</v>
      </c>
      <c r="F153" t="s">
        <v>401</v>
      </c>
      <c r="G153" t="s">
        <v>346</v>
      </c>
      <c r="H153" t="s">
        <v>79</v>
      </c>
      <c r="I153" t="s">
        <v>22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30</v>
      </c>
      <c r="Q153">
        <v>46223</v>
      </c>
      <c r="R153">
        <v>46250</v>
      </c>
      <c r="S153">
        <v>2</v>
      </c>
      <c r="T153">
        <v>60</v>
      </c>
      <c r="U153">
        <v>7.8947368421052637</v>
      </c>
      <c r="V153">
        <v>7</v>
      </c>
      <c r="W153">
        <v>20</v>
      </c>
      <c r="X153">
        <v>7</v>
      </c>
      <c r="Y153" t="s">
        <v>83</v>
      </c>
      <c r="Z153" t="s">
        <v>346</v>
      </c>
      <c r="AA153" t="str">
        <f>MasterStaffList_All[[#This Row],[Facility]]&amp;MasterStaffList_All[[#This Row],[Role]]&amp;MasterStaffList_All[[#This Row],[Resource]]</f>
        <v>JH-RYAIN32</v>
      </c>
    </row>
    <row r="154" spans="1:27" hidden="1" x14ac:dyDescent="0.25">
      <c r="A154" t="s">
        <v>258</v>
      </c>
      <c r="B154" t="s">
        <v>22</v>
      </c>
      <c r="C154">
        <v>33</v>
      </c>
      <c r="D154" t="s">
        <v>40</v>
      </c>
      <c r="E154" t="s">
        <v>76</v>
      </c>
      <c r="F154" t="s">
        <v>259</v>
      </c>
      <c r="G154" t="s">
        <v>346</v>
      </c>
      <c r="H154" t="s">
        <v>79</v>
      </c>
      <c r="I154" t="s">
        <v>22</v>
      </c>
      <c r="J154" t="b">
        <v>0</v>
      </c>
      <c r="K154" t="b">
        <v>1</v>
      </c>
      <c r="L154" t="s">
        <v>80</v>
      </c>
      <c r="M154" t="s">
        <v>81</v>
      </c>
      <c r="O154" t="s">
        <v>82</v>
      </c>
      <c r="P154">
        <v>32</v>
      </c>
      <c r="Q154">
        <v>46223</v>
      </c>
      <c r="R154">
        <v>46250</v>
      </c>
      <c r="S154">
        <v>2</v>
      </c>
      <c r="T154">
        <v>64</v>
      </c>
      <c r="U154">
        <v>8.4210526315789469</v>
      </c>
      <c r="V154">
        <v>8</v>
      </c>
      <c r="W154">
        <v>20</v>
      </c>
      <c r="X154">
        <v>8</v>
      </c>
      <c r="Y154" t="s">
        <v>83</v>
      </c>
      <c r="Z154" t="s">
        <v>346</v>
      </c>
      <c r="AA154" t="str">
        <f>MasterStaffList_All[[#This Row],[Facility]]&amp;MasterStaffList_All[[#This Row],[Role]]&amp;MasterStaffList_All[[#This Row],[Resource]]</f>
        <v>JH-RYAIN33</v>
      </c>
    </row>
    <row r="155" spans="1:27" hidden="1" x14ac:dyDescent="0.25">
      <c r="A155" t="s">
        <v>402</v>
      </c>
      <c r="B155" t="s">
        <v>22</v>
      </c>
      <c r="C155">
        <v>34</v>
      </c>
      <c r="E155" t="s">
        <v>76</v>
      </c>
      <c r="F155" t="s">
        <v>403</v>
      </c>
      <c r="G155" t="s">
        <v>346</v>
      </c>
      <c r="H155" t="s">
        <v>110</v>
      </c>
      <c r="I155" t="s">
        <v>22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76</v>
      </c>
      <c r="Q155">
        <v>46223</v>
      </c>
      <c r="R155">
        <v>46250</v>
      </c>
      <c r="S155">
        <v>2</v>
      </c>
      <c r="T155">
        <v>152</v>
      </c>
      <c r="U155">
        <v>20</v>
      </c>
      <c r="V155">
        <v>20</v>
      </c>
      <c r="W155">
        <v>20</v>
      </c>
      <c r="X155">
        <v>20</v>
      </c>
      <c r="Y155" t="s">
        <v>111</v>
      </c>
      <c r="Z155" t="s">
        <v>346</v>
      </c>
      <c r="AA155" t="str">
        <f>MasterStaffList_All[[#This Row],[Facility]]&amp;MasterStaffList_All[[#This Row],[Role]]&amp;MasterStaffList_All[[#This Row],[Resource]]</f>
        <v>JH-RYAIN34</v>
      </c>
    </row>
    <row r="156" spans="1:27" hidden="1" x14ac:dyDescent="0.25">
      <c r="A156" t="s">
        <v>404</v>
      </c>
      <c r="B156" t="s">
        <v>22</v>
      </c>
      <c r="C156">
        <v>35</v>
      </c>
      <c r="E156" t="s">
        <v>76</v>
      </c>
      <c r="F156" t="s">
        <v>405</v>
      </c>
      <c r="G156" t="s">
        <v>346</v>
      </c>
      <c r="H156" t="s">
        <v>79</v>
      </c>
      <c r="I156" t="s">
        <v>22</v>
      </c>
      <c r="J156" t="b">
        <v>1</v>
      </c>
      <c r="K156" t="b">
        <v>0</v>
      </c>
      <c r="L156" t="s">
        <v>92</v>
      </c>
      <c r="M156" t="s">
        <v>81</v>
      </c>
      <c r="O156" t="s">
        <v>82</v>
      </c>
      <c r="P156">
        <v>40</v>
      </c>
      <c r="Q156">
        <v>46223</v>
      </c>
      <c r="R156">
        <v>46250</v>
      </c>
      <c r="S156">
        <v>2</v>
      </c>
      <c r="T156">
        <v>80</v>
      </c>
      <c r="U156">
        <v>10.526315789473683</v>
      </c>
      <c r="V156">
        <v>10</v>
      </c>
      <c r="W156">
        <v>20</v>
      </c>
      <c r="X156">
        <v>10</v>
      </c>
      <c r="Y156" t="s">
        <v>83</v>
      </c>
      <c r="Z156" t="s">
        <v>346</v>
      </c>
      <c r="AA156" t="str">
        <f>MasterStaffList_All[[#This Row],[Facility]]&amp;MasterStaffList_All[[#This Row],[Role]]&amp;MasterStaffList_All[[#This Row],[Resource]]</f>
        <v>JH-RYAIN35</v>
      </c>
    </row>
    <row r="157" spans="1:27" hidden="1" x14ac:dyDescent="0.25">
      <c r="A157" t="s">
        <v>408</v>
      </c>
      <c r="B157" t="s">
        <v>22</v>
      </c>
      <c r="C157">
        <v>37</v>
      </c>
      <c r="E157" t="s">
        <v>76</v>
      </c>
      <c r="F157" t="s">
        <v>409</v>
      </c>
      <c r="G157" t="s">
        <v>346</v>
      </c>
      <c r="H157" t="s">
        <v>79</v>
      </c>
      <c r="I157" t="s">
        <v>22</v>
      </c>
      <c r="J157" t="b">
        <v>1</v>
      </c>
      <c r="K157" t="b">
        <v>0</v>
      </c>
      <c r="L157" t="s">
        <v>92</v>
      </c>
      <c r="M157" t="s">
        <v>81</v>
      </c>
      <c r="O157" t="s">
        <v>82</v>
      </c>
      <c r="P157">
        <v>64</v>
      </c>
      <c r="Q157">
        <v>46223</v>
      </c>
      <c r="R157">
        <v>46250</v>
      </c>
      <c r="S157">
        <v>2</v>
      </c>
      <c r="T157">
        <v>128</v>
      </c>
      <c r="U157">
        <v>16.842105263157894</v>
      </c>
      <c r="V157">
        <v>16</v>
      </c>
      <c r="W157">
        <v>20</v>
      </c>
      <c r="X157">
        <v>16</v>
      </c>
      <c r="Y157" t="s">
        <v>83</v>
      </c>
      <c r="Z157" t="s">
        <v>346</v>
      </c>
      <c r="AA157" t="str">
        <f>MasterStaffList_All[[#This Row],[Facility]]&amp;MasterStaffList_All[[#This Row],[Role]]&amp;MasterStaffList_All[[#This Row],[Resource]]</f>
        <v>JH-RYAIN37</v>
      </c>
    </row>
    <row r="158" spans="1:27" hidden="1" x14ac:dyDescent="0.25">
      <c r="A158" t="s">
        <v>410</v>
      </c>
      <c r="B158" t="s">
        <v>22</v>
      </c>
      <c r="C158">
        <v>38</v>
      </c>
      <c r="E158" t="s">
        <v>76</v>
      </c>
      <c r="F158" t="s">
        <v>411</v>
      </c>
      <c r="G158" t="s">
        <v>346</v>
      </c>
      <c r="H158" t="s">
        <v>88</v>
      </c>
      <c r="I158" t="s">
        <v>22</v>
      </c>
      <c r="J158" t="b">
        <v>1</v>
      </c>
      <c r="K158" t="b">
        <v>0</v>
      </c>
      <c r="L158" t="s">
        <v>92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  <c r="AA158" t="str">
        <f>MasterStaffList_All[[#This Row],[Facility]]&amp;MasterStaffList_All[[#This Row],[Role]]&amp;MasterStaffList_All[[#This Row],[Resource]]</f>
        <v>JH-RYAIN38</v>
      </c>
    </row>
    <row r="159" spans="1:27" hidden="1" x14ac:dyDescent="0.25">
      <c r="A159" t="s">
        <v>412</v>
      </c>
      <c r="B159" t="s">
        <v>22</v>
      </c>
      <c r="C159">
        <v>39</v>
      </c>
      <c r="E159" t="s">
        <v>76</v>
      </c>
      <c r="F159" t="s">
        <v>413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72</v>
      </c>
      <c r="Q159">
        <v>46223</v>
      </c>
      <c r="R159">
        <v>46250</v>
      </c>
      <c r="S159">
        <v>2</v>
      </c>
      <c r="T159">
        <v>144</v>
      </c>
      <c r="U159">
        <v>18.947368421052634</v>
      </c>
      <c r="V159">
        <v>18</v>
      </c>
      <c r="W159">
        <v>20</v>
      </c>
      <c r="X159">
        <v>18</v>
      </c>
      <c r="Y159" t="s">
        <v>83</v>
      </c>
      <c r="Z159" t="s">
        <v>346</v>
      </c>
      <c r="AA159" t="str">
        <f>MasterStaffList_All[[#This Row],[Facility]]&amp;MasterStaffList_All[[#This Row],[Role]]&amp;MasterStaffList_All[[#This Row],[Resource]]</f>
        <v>JH-RYAIN39</v>
      </c>
    </row>
    <row r="160" spans="1:27" hidden="1" x14ac:dyDescent="0.25">
      <c r="A160" t="s">
        <v>349</v>
      </c>
      <c r="B160" t="s">
        <v>22</v>
      </c>
      <c r="C160">
        <v>4</v>
      </c>
      <c r="E160" t="s">
        <v>76</v>
      </c>
      <c r="F160" t="s">
        <v>350</v>
      </c>
      <c r="G160" t="s">
        <v>346</v>
      </c>
      <c r="H160" t="s">
        <v>79</v>
      </c>
      <c r="I160" t="s">
        <v>22</v>
      </c>
      <c r="J160" t="b">
        <v>0</v>
      </c>
      <c r="K160" t="b">
        <v>1</v>
      </c>
      <c r="L160" t="s">
        <v>80</v>
      </c>
      <c r="M160" t="s">
        <v>81</v>
      </c>
      <c r="O160" t="s">
        <v>82</v>
      </c>
      <c r="P160">
        <v>30</v>
      </c>
      <c r="Q160">
        <v>46223</v>
      </c>
      <c r="R160">
        <v>46250</v>
      </c>
      <c r="S160">
        <v>2</v>
      </c>
      <c r="T160">
        <v>60</v>
      </c>
      <c r="U160">
        <v>7.8947368421052637</v>
      </c>
      <c r="V160">
        <v>7</v>
      </c>
      <c r="W160">
        <v>20</v>
      </c>
      <c r="X160">
        <v>7</v>
      </c>
      <c r="Y160" t="s">
        <v>83</v>
      </c>
      <c r="Z160" t="s">
        <v>346</v>
      </c>
      <c r="AA160" t="str">
        <f>MasterStaffList_All[[#This Row],[Facility]]&amp;MasterStaffList_All[[#This Row],[Role]]&amp;MasterStaffList_All[[#This Row],[Resource]]</f>
        <v>JH-RYAIN4</v>
      </c>
    </row>
    <row r="161" spans="1:27" hidden="1" x14ac:dyDescent="0.25">
      <c r="A161" t="s">
        <v>414</v>
      </c>
      <c r="B161" t="s">
        <v>22</v>
      </c>
      <c r="C161">
        <v>40</v>
      </c>
      <c r="D161" t="s">
        <v>40</v>
      </c>
      <c r="E161" t="s">
        <v>76</v>
      </c>
      <c r="F161" t="s">
        <v>415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  <c r="AA161" t="str">
        <f>MasterStaffList_All[[#This Row],[Facility]]&amp;MasterStaffList_All[[#This Row],[Role]]&amp;MasterStaffList_All[[#This Row],[Resource]]</f>
        <v>JH-RYAIN40</v>
      </c>
    </row>
    <row r="162" spans="1:27" hidden="1" x14ac:dyDescent="0.25">
      <c r="A162" t="s">
        <v>422</v>
      </c>
      <c r="B162" t="s">
        <v>22</v>
      </c>
      <c r="C162">
        <v>44</v>
      </c>
      <c r="D162" t="s">
        <v>40</v>
      </c>
      <c r="E162" t="s">
        <v>76</v>
      </c>
      <c r="F162" t="s">
        <v>423</v>
      </c>
      <c r="G162" t="s">
        <v>346</v>
      </c>
      <c r="H162" t="s">
        <v>88</v>
      </c>
      <c r="I162" t="s">
        <v>22</v>
      </c>
      <c r="J162" t="b">
        <v>0</v>
      </c>
      <c r="K162" t="b">
        <v>1</v>
      </c>
      <c r="L162" t="s">
        <v>80</v>
      </c>
      <c r="M162" t="s">
        <v>81</v>
      </c>
      <c r="O162" t="s">
        <v>89</v>
      </c>
      <c r="P162">
        <v>76</v>
      </c>
      <c r="Q162">
        <v>46223</v>
      </c>
      <c r="R162">
        <v>46250</v>
      </c>
      <c r="S162">
        <v>2</v>
      </c>
      <c r="T162">
        <v>152</v>
      </c>
      <c r="U162">
        <v>20</v>
      </c>
      <c r="V162">
        <v>20</v>
      </c>
      <c r="W162">
        <v>20</v>
      </c>
      <c r="X162">
        <v>20</v>
      </c>
      <c r="Y162" t="s">
        <v>89</v>
      </c>
      <c r="Z162" t="s">
        <v>346</v>
      </c>
      <c r="AA162" t="str">
        <f>MasterStaffList_All[[#This Row],[Facility]]&amp;MasterStaffList_All[[#This Row],[Role]]&amp;MasterStaffList_All[[#This Row],[Resource]]</f>
        <v>JH-RYAIN44</v>
      </c>
    </row>
    <row r="163" spans="1:27" hidden="1" x14ac:dyDescent="0.25">
      <c r="A163" t="s">
        <v>424</v>
      </c>
      <c r="B163" t="s">
        <v>22</v>
      </c>
      <c r="C163">
        <v>45</v>
      </c>
      <c r="D163" t="s">
        <v>40</v>
      </c>
      <c r="E163" t="s">
        <v>76</v>
      </c>
      <c r="F163" t="s">
        <v>425</v>
      </c>
      <c r="G163" t="s">
        <v>346</v>
      </c>
      <c r="H163" t="s">
        <v>110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76</v>
      </c>
      <c r="Q163">
        <v>46223</v>
      </c>
      <c r="R163">
        <v>46250</v>
      </c>
      <c r="S163">
        <v>2</v>
      </c>
      <c r="T163">
        <v>152</v>
      </c>
      <c r="U163">
        <v>20</v>
      </c>
      <c r="V163">
        <v>20</v>
      </c>
      <c r="W163">
        <v>20</v>
      </c>
      <c r="X163">
        <v>20</v>
      </c>
      <c r="Y163" t="s">
        <v>111</v>
      </c>
      <c r="Z163" t="s">
        <v>346</v>
      </c>
      <c r="AA163" t="str">
        <f>MasterStaffList_All[[#This Row],[Facility]]&amp;MasterStaffList_All[[#This Row],[Role]]&amp;MasterStaffList_All[[#This Row],[Resource]]</f>
        <v>JH-RYAIN45</v>
      </c>
    </row>
    <row r="164" spans="1:27" hidden="1" x14ac:dyDescent="0.25">
      <c r="A164" t="s">
        <v>426</v>
      </c>
      <c r="B164" t="s">
        <v>22</v>
      </c>
      <c r="C164">
        <v>46</v>
      </c>
      <c r="E164" t="s">
        <v>76</v>
      </c>
      <c r="F164" t="s">
        <v>427</v>
      </c>
      <c r="G164" t="s">
        <v>346</v>
      </c>
      <c r="H164" t="s">
        <v>88</v>
      </c>
      <c r="I164" t="s">
        <v>22</v>
      </c>
      <c r="J164" t="b">
        <v>1</v>
      </c>
      <c r="K164" t="b">
        <v>0</v>
      </c>
      <c r="L164" t="s">
        <v>92</v>
      </c>
      <c r="M164" t="s">
        <v>81</v>
      </c>
      <c r="O164" t="s">
        <v>89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89</v>
      </c>
      <c r="Z164" t="s">
        <v>346</v>
      </c>
      <c r="AA164" t="str">
        <f>MasterStaffList_All[[#This Row],[Facility]]&amp;MasterStaffList_All[[#This Row],[Role]]&amp;MasterStaffList_All[[#This Row],[Resource]]</f>
        <v>JH-RYAIN46</v>
      </c>
    </row>
    <row r="165" spans="1:27" hidden="1" x14ac:dyDescent="0.25">
      <c r="A165" t="s">
        <v>428</v>
      </c>
      <c r="B165" t="s">
        <v>22</v>
      </c>
      <c r="C165">
        <v>47</v>
      </c>
      <c r="E165" t="s">
        <v>76</v>
      </c>
      <c r="F165" t="s">
        <v>429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60</v>
      </c>
      <c r="Q165">
        <v>46223</v>
      </c>
      <c r="R165">
        <v>46250</v>
      </c>
      <c r="S165">
        <v>2</v>
      </c>
      <c r="T165">
        <v>120</v>
      </c>
      <c r="U165">
        <v>15.789473684210527</v>
      </c>
      <c r="V165">
        <v>15</v>
      </c>
      <c r="W165">
        <v>20</v>
      </c>
      <c r="X165">
        <v>15</v>
      </c>
      <c r="Y165" t="s">
        <v>83</v>
      </c>
      <c r="Z165" t="s">
        <v>346</v>
      </c>
      <c r="AA165" t="str">
        <f>MasterStaffList_All[[#This Row],[Facility]]&amp;MasterStaffList_All[[#This Row],[Role]]&amp;MasterStaffList_All[[#This Row],[Resource]]</f>
        <v>JH-RYAIN47</v>
      </c>
    </row>
    <row r="166" spans="1:27" hidden="1" x14ac:dyDescent="0.25">
      <c r="A166" t="s">
        <v>430</v>
      </c>
      <c r="B166" t="s">
        <v>22</v>
      </c>
      <c r="C166">
        <v>48</v>
      </c>
      <c r="E166" t="s">
        <v>76</v>
      </c>
      <c r="F166" t="s">
        <v>431</v>
      </c>
      <c r="G166" t="s">
        <v>346</v>
      </c>
      <c r="H166" t="s">
        <v>79</v>
      </c>
      <c r="I166" t="s">
        <v>22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64</v>
      </c>
      <c r="Q166">
        <v>46223</v>
      </c>
      <c r="R166">
        <v>46250</v>
      </c>
      <c r="S166">
        <v>2</v>
      </c>
      <c r="T166">
        <v>128</v>
      </c>
      <c r="U166">
        <v>16.842105263157894</v>
      </c>
      <c r="V166">
        <v>16</v>
      </c>
      <c r="W166">
        <v>20</v>
      </c>
      <c r="X166">
        <v>16</v>
      </c>
      <c r="Y166" t="s">
        <v>83</v>
      </c>
      <c r="Z166" t="s">
        <v>346</v>
      </c>
      <c r="AA166" t="str">
        <f>MasterStaffList_All[[#This Row],[Facility]]&amp;MasterStaffList_All[[#This Row],[Role]]&amp;MasterStaffList_All[[#This Row],[Resource]]</f>
        <v>JH-RYAIN48</v>
      </c>
    </row>
    <row r="167" spans="1:27" hidden="1" x14ac:dyDescent="0.25">
      <c r="A167" t="s">
        <v>432</v>
      </c>
      <c r="B167" t="s">
        <v>22</v>
      </c>
      <c r="C167">
        <v>49</v>
      </c>
      <c r="E167" t="s">
        <v>76</v>
      </c>
      <c r="F167" t="s">
        <v>433</v>
      </c>
      <c r="G167" t="s">
        <v>346</v>
      </c>
      <c r="H167" t="s">
        <v>110</v>
      </c>
      <c r="I167" t="s">
        <v>22</v>
      </c>
      <c r="J167" t="b">
        <v>1</v>
      </c>
      <c r="K167" t="b">
        <v>1</v>
      </c>
      <c r="L167" t="s">
        <v>95</v>
      </c>
      <c r="M167" t="s">
        <v>81</v>
      </c>
      <c r="O167" t="s">
        <v>82</v>
      </c>
      <c r="P167">
        <v>76</v>
      </c>
      <c r="Q167">
        <v>46223</v>
      </c>
      <c r="R167">
        <v>46250</v>
      </c>
      <c r="S167">
        <v>2</v>
      </c>
      <c r="T167">
        <v>152</v>
      </c>
      <c r="U167">
        <v>20</v>
      </c>
      <c r="V167">
        <v>20</v>
      </c>
      <c r="W167">
        <v>20</v>
      </c>
      <c r="X167">
        <v>20</v>
      </c>
      <c r="Y167" t="s">
        <v>111</v>
      </c>
      <c r="Z167" t="s">
        <v>346</v>
      </c>
      <c r="AA167" t="str">
        <f>MasterStaffList_All[[#This Row],[Facility]]&amp;MasterStaffList_All[[#This Row],[Role]]&amp;MasterStaffList_All[[#This Row],[Resource]]</f>
        <v>JH-RYAIN49</v>
      </c>
    </row>
    <row r="168" spans="1:27" hidden="1" x14ac:dyDescent="0.25">
      <c r="A168" t="s">
        <v>351</v>
      </c>
      <c r="B168" t="s">
        <v>22</v>
      </c>
      <c r="C168">
        <v>5</v>
      </c>
      <c r="E168" t="s">
        <v>76</v>
      </c>
      <c r="F168" t="s">
        <v>352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  <c r="AA168" t="str">
        <f>MasterStaffList_All[[#This Row],[Facility]]&amp;MasterStaffList_All[[#This Row],[Role]]&amp;MasterStaffList_All[[#This Row],[Resource]]</f>
        <v>JH-RYAIN5</v>
      </c>
    </row>
    <row r="169" spans="1:27" hidden="1" x14ac:dyDescent="0.25">
      <c r="A169" t="s">
        <v>434</v>
      </c>
      <c r="B169" t="s">
        <v>22</v>
      </c>
      <c r="C169">
        <v>50</v>
      </c>
      <c r="E169" t="s">
        <v>76</v>
      </c>
      <c r="F169" t="s">
        <v>435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40</v>
      </c>
      <c r="Q169">
        <v>46223</v>
      </c>
      <c r="R169">
        <v>46250</v>
      </c>
      <c r="S169">
        <v>2</v>
      </c>
      <c r="T169">
        <v>80</v>
      </c>
      <c r="U169">
        <v>10.526315789473683</v>
      </c>
      <c r="V169">
        <v>10</v>
      </c>
      <c r="W169">
        <v>20</v>
      </c>
      <c r="X169">
        <v>10</v>
      </c>
      <c r="Y169" t="s">
        <v>83</v>
      </c>
      <c r="Z169" t="s">
        <v>346</v>
      </c>
      <c r="AA169" t="str">
        <f>MasterStaffList_All[[#This Row],[Facility]]&amp;MasterStaffList_All[[#This Row],[Role]]&amp;MasterStaffList_All[[#This Row],[Resource]]</f>
        <v>JH-RYAIN50</v>
      </c>
    </row>
    <row r="170" spans="1:27" hidden="1" x14ac:dyDescent="0.25">
      <c r="A170" t="s">
        <v>436</v>
      </c>
      <c r="B170" t="s">
        <v>22</v>
      </c>
      <c r="C170">
        <v>51</v>
      </c>
      <c r="E170" t="s">
        <v>76</v>
      </c>
      <c r="F170" t="s">
        <v>437</v>
      </c>
      <c r="G170" t="s">
        <v>346</v>
      </c>
      <c r="H170" t="s">
        <v>110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82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111</v>
      </c>
      <c r="Z170" t="s">
        <v>346</v>
      </c>
      <c r="AA170" t="str">
        <f>MasterStaffList_All[[#This Row],[Facility]]&amp;MasterStaffList_All[[#This Row],[Role]]&amp;MasterStaffList_All[[#This Row],[Resource]]</f>
        <v>JH-RYAIN51</v>
      </c>
    </row>
    <row r="171" spans="1:27" hidden="1" x14ac:dyDescent="0.25">
      <c r="A171" t="s">
        <v>353</v>
      </c>
      <c r="B171" t="s">
        <v>22</v>
      </c>
      <c r="C171">
        <v>6</v>
      </c>
      <c r="D171" t="s">
        <v>40</v>
      </c>
      <c r="E171" t="s">
        <v>76</v>
      </c>
      <c r="F171" t="s">
        <v>354</v>
      </c>
      <c r="G171" t="s">
        <v>346</v>
      </c>
      <c r="H171" t="s">
        <v>88</v>
      </c>
      <c r="I171" t="s">
        <v>22</v>
      </c>
      <c r="J171" t="b">
        <v>0</v>
      </c>
      <c r="K171" t="b">
        <v>1</v>
      </c>
      <c r="L171" t="s">
        <v>80</v>
      </c>
      <c r="M171" t="s">
        <v>81</v>
      </c>
      <c r="O171" t="s">
        <v>89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89</v>
      </c>
      <c r="Z171" t="s">
        <v>346</v>
      </c>
      <c r="AA171" t="str">
        <f>MasterStaffList_All[[#This Row],[Facility]]&amp;MasterStaffList_All[[#This Row],[Role]]&amp;MasterStaffList_All[[#This Row],[Resource]]</f>
        <v>JH-RYAIN6</v>
      </c>
    </row>
    <row r="172" spans="1:27" hidden="1" x14ac:dyDescent="0.25">
      <c r="A172" t="s">
        <v>357</v>
      </c>
      <c r="B172" t="s">
        <v>22</v>
      </c>
      <c r="C172">
        <v>8</v>
      </c>
      <c r="D172" t="s">
        <v>40</v>
      </c>
      <c r="E172" t="s">
        <v>76</v>
      </c>
      <c r="F172" t="s">
        <v>358</v>
      </c>
      <c r="G172" t="s">
        <v>346</v>
      </c>
      <c r="H172" t="s">
        <v>79</v>
      </c>
      <c r="I172" t="s">
        <v>22</v>
      </c>
      <c r="J172" t="b">
        <v>0</v>
      </c>
      <c r="K172" t="b">
        <v>1</v>
      </c>
      <c r="L172" t="s">
        <v>80</v>
      </c>
      <c r="M172" t="s">
        <v>81</v>
      </c>
      <c r="O172" t="s">
        <v>82</v>
      </c>
      <c r="P172">
        <v>72.5</v>
      </c>
      <c r="Q172">
        <v>46223</v>
      </c>
      <c r="R172">
        <v>46250</v>
      </c>
      <c r="S172">
        <v>2</v>
      </c>
      <c r="T172">
        <v>145</v>
      </c>
      <c r="U172">
        <v>19.078947368421055</v>
      </c>
      <c r="V172">
        <v>19</v>
      </c>
      <c r="W172">
        <v>20</v>
      </c>
      <c r="X172">
        <v>19</v>
      </c>
      <c r="Y172" t="s">
        <v>83</v>
      </c>
      <c r="Z172" t="s">
        <v>346</v>
      </c>
      <c r="AA172" t="str">
        <f>MasterStaffList_All[[#This Row],[Facility]]&amp;MasterStaffList_All[[#This Row],[Role]]&amp;MasterStaffList_All[[#This Row],[Resource]]</f>
        <v>JH-RYAIN8</v>
      </c>
    </row>
    <row r="173" spans="1:27" hidden="1" x14ac:dyDescent="0.25">
      <c r="A173" t="s">
        <v>359</v>
      </c>
      <c r="B173" t="s">
        <v>22</v>
      </c>
      <c r="C173">
        <v>9</v>
      </c>
      <c r="D173" t="s">
        <v>40</v>
      </c>
      <c r="E173" t="s">
        <v>76</v>
      </c>
      <c r="F173" t="s">
        <v>360</v>
      </c>
      <c r="G173" t="s">
        <v>346</v>
      </c>
      <c r="H173" t="s">
        <v>88</v>
      </c>
      <c r="I173" t="s">
        <v>22</v>
      </c>
      <c r="J173" t="b">
        <v>0</v>
      </c>
      <c r="K173" t="b">
        <v>1</v>
      </c>
      <c r="L173" t="s">
        <v>80</v>
      </c>
      <c r="M173" t="s">
        <v>81</v>
      </c>
      <c r="O173" t="s">
        <v>89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89</v>
      </c>
      <c r="Z173" t="s">
        <v>346</v>
      </c>
      <c r="AA173" t="str">
        <f>MasterStaffList_All[[#This Row],[Facility]]&amp;MasterStaffList_All[[#This Row],[Role]]&amp;MasterStaffList_All[[#This Row],[Resource]]</f>
        <v>JH-RYAIN9</v>
      </c>
    </row>
    <row r="174" spans="1:27" hidden="1" x14ac:dyDescent="0.25">
      <c r="A174" t="s">
        <v>386</v>
      </c>
      <c r="B174" t="s">
        <v>31</v>
      </c>
      <c r="C174">
        <v>23</v>
      </c>
      <c r="E174" t="s">
        <v>76</v>
      </c>
      <c r="F174" t="s">
        <v>387</v>
      </c>
      <c r="G174" t="s">
        <v>346</v>
      </c>
      <c r="H174" t="s">
        <v>79</v>
      </c>
      <c r="I174" t="s">
        <v>31</v>
      </c>
      <c r="J174" t="b">
        <v>1</v>
      </c>
      <c r="K174" t="b">
        <v>1</v>
      </c>
      <c r="L174" t="s">
        <v>95</v>
      </c>
      <c r="M174" t="s">
        <v>81</v>
      </c>
      <c r="O174" t="s">
        <v>82</v>
      </c>
      <c r="P174">
        <v>38</v>
      </c>
      <c r="Q174">
        <v>46223</v>
      </c>
      <c r="R174">
        <v>46250</v>
      </c>
      <c r="S174">
        <v>2</v>
      </c>
      <c r="T174">
        <v>76</v>
      </c>
      <c r="U174">
        <v>10</v>
      </c>
      <c r="V174">
        <v>10</v>
      </c>
      <c r="W174">
        <v>20</v>
      </c>
      <c r="X174">
        <v>10</v>
      </c>
      <c r="Y174" t="s">
        <v>83</v>
      </c>
      <c r="Z174" t="s">
        <v>346</v>
      </c>
      <c r="AA174" t="str">
        <f>MasterStaffList_All[[#This Row],[Facility]]&amp;MasterStaffList_All[[#This Row],[Role]]&amp;MasterStaffList_All[[#This Row],[Resource]]</f>
        <v>JH-RYEN23</v>
      </c>
    </row>
    <row r="175" spans="1:27" hidden="1" x14ac:dyDescent="0.25">
      <c r="A175" t="s">
        <v>406</v>
      </c>
      <c r="B175" t="s">
        <v>31</v>
      </c>
      <c r="C175">
        <v>36</v>
      </c>
      <c r="E175" t="s">
        <v>76</v>
      </c>
      <c r="F175" t="s">
        <v>407</v>
      </c>
      <c r="G175" t="s">
        <v>346</v>
      </c>
      <c r="H175" t="s">
        <v>79</v>
      </c>
      <c r="I175" t="s">
        <v>31</v>
      </c>
      <c r="J175" t="b">
        <v>1</v>
      </c>
      <c r="K175" t="b">
        <v>1</v>
      </c>
      <c r="L175" t="s">
        <v>95</v>
      </c>
      <c r="M175" t="s">
        <v>81</v>
      </c>
      <c r="O175" t="s">
        <v>82</v>
      </c>
      <c r="P175">
        <v>68</v>
      </c>
      <c r="Q175">
        <v>46223</v>
      </c>
      <c r="R175">
        <v>46250</v>
      </c>
      <c r="S175">
        <v>2</v>
      </c>
      <c r="T175">
        <v>136</v>
      </c>
      <c r="U175">
        <v>17.894736842105264</v>
      </c>
      <c r="V175">
        <v>17</v>
      </c>
      <c r="W175">
        <v>20</v>
      </c>
      <c r="X175">
        <v>17</v>
      </c>
      <c r="Y175" t="s">
        <v>83</v>
      </c>
      <c r="Z175" t="s">
        <v>346</v>
      </c>
      <c r="AA175" t="str">
        <f>MasterStaffList_All[[#This Row],[Facility]]&amp;MasterStaffList_All[[#This Row],[Role]]&amp;MasterStaffList_All[[#This Row],[Resource]]</f>
        <v>JH-RYEN36</v>
      </c>
    </row>
    <row r="176" spans="1:27" hidden="1" x14ac:dyDescent="0.25">
      <c r="A176" t="s">
        <v>388</v>
      </c>
      <c r="B176" t="s">
        <v>29</v>
      </c>
      <c r="C176">
        <v>24</v>
      </c>
      <c r="E176" t="s">
        <v>76</v>
      </c>
      <c r="F176" t="s">
        <v>389</v>
      </c>
      <c r="G176" t="s">
        <v>346</v>
      </c>
      <c r="H176" t="s">
        <v>110</v>
      </c>
      <c r="I176" t="s">
        <v>29</v>
      </c>
      <c r="J176" t="b">
        <v>1</v>
      </c>
      <c r="K176" t="b">
        <v>1</v>
      </c>
      <c r="L176" t="s">
        <v>95</v>
      </c>
      <c r="M176" t="s">
        <v>81</v>
      </c>
      <c r="O176" t="s">
        <v>82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111</v>
      </c>
      <c r="Z176" t="s">
        <v>346</v>
      </c>
      <c r="AA176" t="str">
        <f>MasterStaffList_All[[#This Row],[Facility]]&amp;MasterStaffList_All[[#This Row],[Role]]&amp;MasterStaffList_All[[#This Row],[Resource]]</f>
        <v>JH-RYRN24</v>
      </c>
    </row>
    <row r="177" spans="1:27" hidden="1" x14ac:dyDescent="0.25">
      <c r="A177" t="s">
        <v>390</v>
      </c>
      <c r="B177" t="s">
        <v>29</v>
      </c>
      <c r="C177">
        <v>25</v>
      </c>
      <c r="E177" t="s">
        <v>76</v>
      </c>
      <c r="F177" t="s">
        <v>391</v>
      </c>
      <c r="G177" t="s">
        <v>346</v>
      </c>
      <c r="H177" t="s">
        <v>79</v>
      </c>
      <c r="I177" t="s">
        <v>29</v>
      </c>
      <c r="J177" t="b">
        <v>1</v>
      </c>
      <c r="K177" t="b">
        <v>1</v>
      </c>
      <c r="L177" t="s">
        <v>95</v>
      </c>
      <c r="M177" t="s">
        <v>81</v>
      </c>
      <c r="O177" t="s">
        <v>82</v>
      </c>
      <c r="P177">
        <v>72</v>
      </c>
      <c r="Q177">
        <v>46223</v>
      </c>
      <c r="R177">
        <v>46250</v>
      </c>
      <c r="S177">
        <v>2</v>
      </c>
      <c r="T177">
        <v>144</v>
      </c>
      <c r="U177">
        <v>18.947368421052634</v>
      </c>
      <c r="V177">
        <v>18</v>
      </c>
      <c r="W177">
        <v>20</v>
      </c>
      <c r="X177">
        <v>18</v>
      </c>
      <c r="Y177" t="s">
        <v>83</v>
      </c>
      <c r="Z177" t="s">
        <v>346</v>
      </c>
      <c r="AA177" t="str">
        <f>MasterStaffList_All[[#This Row],[Facility]]&amp;MasterStaffList_All[[#This Row],[Role]]&amp;MasterStaffList_All[[#This Row],[Resource]]</f>
        <v>JH-RYRN25</v>
      </c>
    </row>
    <row r="178" spans="1:27" hidden="1" x14ac:dyDescent="0.25">
      <c r="A178" t="s">
        <v>416</v>
      </c>
      <c r="B178" t="s">
        <v>29</v>
      </c>
      <c r="C178">
        <v>41</v>
      </c>
      <c r="E178" t="s">
        <v>76</v>
      </c>
      <c r="F178" t="s">
        <v>417</v>
      </c>
      <c r="G178" t="s">
        <v>346</v>
      </c>
      <c r="H178" t="s">
        <v>110</v>
      </c>
      <c r="I178" t="s">
        <v>29</v>
      </c>
      <c r="J178" t="b">
        <v>1</v>
      </c>
      <c r="K178" t="b">
        <v>0</v>
      </c>
      <c r="L178" t="s">
        <v>92</v>
      </c>
      <c r="M178" t="s">
        <v>81</v>
      </c>
      <c r="O178" t="s">
        <v>82</v>
      </c>
      <c r="P178">
        <v>76</v>
      </c>
      <c r="Q178">
        <v>46223</v>
      </c>
      <c r="R178">
        <v>46250</v>
      </c>
      <c r="S178">
        <v>2</v>
      </c>
      <c r="T178">
        <v>152</v>
      </c>
      <c r="U178">
        <v>20</v>
      </c>
      <c r="V178">
        <v>20</v>
      </c>
      <c r="W178">
        <v>20</v>
      </c>
      <c r="X178">
        <v>20</v>
      </c>
      <c r="Y178" t="s">
        <v>111</v>
      </c>
      <c r="Z178" t="s">
        <v>346</v>
      </c>
      <c r="AA178" t="str">
        <f>MasterStaffList_All[[#This Row],[Facility]]&amp;MasterStaffList_All[[#This Row],[Role]]&amp;MasterStaffList_All[[#This Row],[Resource]]</f>
        <v>JH-RYRN41</v>
      </c>
    </row>
    <row r="179" spans="1:27" hidden="1" x14ac:dyDescent="0.25">
      <c r="A179" t="s">
        <v>418</v>
      </c>
      <c r="B179" t="s">
        <v>29</v>
      </c>
      <c r="C179">
        <v>42</v>
      </c>
      <c r="E179" t="s">
        <v>76</v>
      </c>
      <c r="F179" t="s">
        <v>419</v>
      </c>
      <c r="G179" t="s">
        <v>346</v>
      </c>
      <c r="H179" t="s">
        <v>79</v>
      </c>
      <c r="I179" t="s">
        <v>29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72</v>
      </c>
      <c r="Q179">
        <v>46223</v>
      </c>
      <c r="R179">
        <v>46250</v>
      </c>
      <c r="S179">
        <v>2</v>
      </c>
      <c r="T179">
        <v>144</v>
      </c>
      <c r="U179">
        <v>18.947368421052634</v>
      </c>
      <c r="V179">
        <v>18</v>
      </c>
      <c r="W179">
        <v>20</v>
      </c>
      <c r="X179">
        <v>18</v>
      </c>
      <c r="Y179" t="s">
        <v>83</v>
      </c>
      <c r="Z179" t="s">
        <v>346</v>
      </c>
      <c r="AA179" t="str">
        <f>MasterStaffList_All[[#This Row],[Facility]]&amp;MasterStaffList_All[[#This Row],[Role]]&amp;MasterStaffList_All[[#This Row],[Resource]]</f>
        <v>JH-RYRN42</v>
      </c>
    </row>
    <row r="180" spans="1:27" hidden="1" x14ac:dyDescent="0.25">
      <c r="A180" t="s">
        <v>420</v>
      </c>
      <c r="B180" t="s">
        <v>29</v>
      </c>
      <c r="C180">
        <v>43</v>
      </c>
      <c r="E180" t="s">
        <v>76</v>
      </c>
      <c r="F180" t="s">
        <v>421</v>
      </c>
      <c r="G180" t="s">
        <v>346</v>
      </c>
      <c r="H180" t="s">
        <v>110</v>
      </c>
      <c r="I180" t="s">
        <v>29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76</v>
      </c>
      <c r="Q180">
        <v>46223</v>
      </c>
      <c r="R180">
        <v>46250</v>
      </c>
      <c r="S180">
        <v>2</v>
      </c>
      <c r="T180">
        <v>152</v>
      </c>
      <c r="U180">
        <v>20</v>
      </c>
      <c r="V180">
        <v>20</v>
      </c>
      <c r="W180">
        <v>20</v>
      </c>
      <c r="X180">
        <v>20</v>
      </c>
      <c r="Y180" t="s">
        <v>111</v>
      </c>
      <c r="Z180" t="s">
        <v>346</v>
      </c>
      <c r="AA180" t="str">
        <f>MasterStaffList_All[[#This Row],[Facility]]&amp;MasterStaffList_All[[#This Row],[Role]]&amp;MasterStaffList_All[[#This Row],[Resource]]</f>
        <v>JH-RYRN43</v>
      </c>
    </row>
    <row r="181" spans="1:27" hidden="1" x14ac:dyDescent="0.25">
      <c r="A181" t="s">
        <v>355</v>
      </c>
      <c r="B181" t="s">
        <v>29</v>
      </c>
      <c r="C181">
        <v>7</v>
      </c>
      <c r="E181" t="s">
        <v>76</v>
      </c>
      <c r="F181" t="s">
        <v>356</v>
      </c>
      <c r="G181" t="s">
        <v>346</v>
      </c>
      <c r="H181" t="s">
        <v>110</v>
      </c>
      <c r="I181" t="s">
        <v>29</v>
      </c>
      <c r="J181" t="b">
        <v>1</v>
      </c>
      <c r="K181" t="b">
        <v>1</v>
      </c>
      <c r="L181" t="s">
        <v>95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  <c r="AA181" t="str">
        <f>MasterStaffList_All[[#This Row],[Facility]]&amp;MasterStaffList_All[[#This Row],[Role]]&amp;MasterStaffList_All[[#This Row],[Resource]]</f>
        <v>JH-RYRN7</v>
      </c>
    </row>
    <row r="182" spans="1:27" hidden="1" x14ac:dyDescent="0.25">
      <c r="A182" t="s">
        <v>439</v>
      </c>
      <c r="B18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  <c r="AA182" t="str">
        <f>MasterStaffList_All[[#This Row],[Facility]]&amp;MasterStaffList_All[[#This Row],[Role]]&amp;MasterStaffList_All[[#This Row],[Resource]]</f>
        <v>TEAIN1</v>
      </c>
    </row>
    <row r="183" spans="1:27" hidden="1" x14ac:dyDescent="0.25">
      <c r="A183" t="s">
        <v>457</v>
      </c>
      <c r="B183" t="s">
        <v>22</v>
      </c>
      <c r="C183">
        <v>11</v>
      </c>
      <c r="E183" t="s">
        <v>76</v>
      </c>
      <c r="F183" t="s">
        <v>458</v>
      </c>
      <c r="G183" t="s">
        <v>438</v>
      </c>
      <c r="H183" t="s">
        <v>79</v>
      </c>
      <c r="I183" t="s">
        <v>22</v>
      </c>
      <c r="J183" t="b">
        <v>1</v>
      </c>
      <c r="K183" t="b">
        <v>1</v>
      </c>
      <c r="L183" t="s">
        <v>95</v>
      </c>
      <c r="M183" t="s">
        <v>81</v>
      </c>
      <c r="O183" t="s">
        <v>82</v>
      </c>
      <c r="P183">
        <v>40</v>
      </c>
      <c r="Q183">
        <v>46223</v>
      </c>
      <c r="R183">
        <v>46250</v>
      </c>
      <c r="S183">
        <v>2</v>
      </c>
      <c r="T183">
        <v>80</v>
      </c>
      <c r="U183">
        <v>10.526315789473683</v>
      </c>
      <c r="V183">
        <v>10</v>
      </c>
      <c r="W183">
        <v>20</v>
      </c>
      <c r="X183">
        <v>10</v>
      </c>
      <c r="Y183" t="s">
        <v>83</v>
      </c>
      <c r="Z183" t="s">
        <v>438</v>
      </c>
      <c r="AA183" t="str">
        <f>MasterStaffList_All[[#This Row],[Facility]]&amp;MasterStaffList_All[[#This Row],[Role]]&amp;MasterStaffList_All[[#This Row],[Resource]]</f>
        <v>TEAIN11</v>
      </c>
    </row>
    <row r="184" spans="1:27" hidden="1" x14ac:dyDescent="0.25">
      <c r="A184" t="s">
        <v>459</v>
      </c>
      <c r="B184" t="s">
        <v>22</v>
      </c>
      <c r="C184">
        <v>12</v>
      </c>
      <c r="E184" t="s">
        <v>76</v>
      </c>
      <c r="F184" t="s">
        <v>460</v>
      </c>
      <c r="G184" t="s">
        <v>438</v>
      </c>
      <c r="H184" t="s">
        <v>79</v>
      </c>
      <c r="I184" t="s">
        <v>22</v>
      </c>
      <c r="J184" t="b">
        <v>1</v>
      </c>
      <c r="K184" t="b">
        <v>1</v>
      </c>
      <c r="L184" t="s">
        <v>95</v>
      </c>
      <c r="M184" t="s">
        <v>81</v>
      </c>
      <c r="O184" t="s">
        <v>82</v>
      </c>
      <c r="P184">
        <v>72</v>
      </c>
      <c r="Q184">
        <v>46223</v>
      </c>
      <c r="R184">
        <v>46250</v>
      </c>
      <c r="S184">
        <v>2</v>
      </c>
      <c r="T184">
        <v>144</v>
      </c>
      <c r="U184">
        <v>18.947368421052634</v>
      </c>
      <c r="V184">
        <v>18</v>
      </c>
      <c r="W184">
        <v>20</v>
      </c>
      <c r="X184">
        <v>18</v>
      </c>
      <c r="Y184" t="s">
        <v>83</v>
      </c>
      <c r="Z184" t="s">
        <v>438</v>
      </c>
      <c r="AA184" t="str">
        <f>MasterStaffList_All[[#This Row],[Facility]]&amp;MasterStaffList_All[[#This Row],[Role]]&amp;MasterStaffList_All[[#This Row],[Resource]]</f>
        <v>TEAIN12</v>
      </c>
    </row>
    <row r="185" spans="1:27" hidden="1" x14ac:dyDescent="0.25">
      <c r="A185" t="s">
        <v>461</v>
      </c>
      <c r="B185" t="s">
        <v>22</v>
      </c>
      <c r="C185">
        <v>13</v>
      </c>
      <c r="D185" t="s">
        <v>40</v>
      </c>
      <c r="E185" t="s">
        <v>76</v>
      </c>
      <c r="F185" t="s">
        <v>462</v>
      </c>
      <c r="G185" t="s">
        <v>438</v>
      </c>
      <c r="H185" t="s">
        <v>88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89</v>
      </c>
      <c r="P185">
        <v>76</v>
      </c>
      <c r="Q185">
        <v>46223</v>
      </c>
      <c r="R185">
        <v>46250</v>
      </c>
      <c r="S185">
        <v>2</v>
      </c>
      <c r="T185">
        <v>152</v>
      </c>
      <c r="U185">
        <v>20</v>
      </c>
      <c r="V185">
        <v>20</v>
      </c>
      <c r="W185">
        <v>20</v>
      </c>
      <c r="X185">
        <v>20</v>
      </c>
      <c r="Y185" t="s">
        <v>89</v>
      </c>
      <c r="Z185" t="s">
        <v>438</v>
      </c>
      <c r="AA185" t="str">
        <f>MasterStaffList_All[[#This Row],[Facility]]&amp;MasterStaffList_All[[#This Row],[Role]]&amp;MasterStaffList_All[[#This Row],[Resource]]</f>
        <v>TEAIN13</v>
      </c>
    </row>
    <row r="186" spans="1:27" hidden="1" x14ac:dyDescent="0.25">
      <c r="A186" t="s">
        <v>463</v>
      </c>
      <c r="B186" t="s">
        <v>22</v>
      </c>
      <c r="C186">
        <v>14</v>
      </c>
      <c r="E186" t="s">
        <v>76</v>
      </c>
      <c r="F186" t="s">
        <v>464</v>
      </c>
      <c r="G186" t="s">
        <v>438</v>
      </c>
      <c r="H186" t="s">
        <v>88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89</v>
      </c>
      <c r="P186">
        <v>76</v>
      </c>
      <c r="Q186">
        <v>46223</v>
      </c>
      <c r="R186">
        <v>46250</v>
      </c>
      <c r="S186">
        <v>2</v>
      </c>
      <c r="T186">
        <v>152</v>
      </c>
      <c r="U186">
        <v>20</v>
      </c>
      <c r="V186">
        <v>20</v>
      </c>
      <c r="W186">
        <v>20</v>
      </c>
      <c r="X186">
        <v>20</v>
      </c>
      <c r="Y186" t="s">
        <v>89</v>
      </c>
      <c r="Z186" t="s">
        <v>438</v>
      </c>
      <c r="AA186" t="str">
        <f>MasterStaffList_All[[#This Row],[Facility]]&amp;MasterStaffList_All[[#This Row],[Role]]&amp;MasterStaffList_All[[#This Row],[Resource]]</f>
        <v>TEAIN14</v>
      </c>
    </row>
    <row r="187" spans="1:27" hidden="1" x14ac:dyDescent="0.25">
      <c r="A187" t="s">
        <v>465</v>
      </c>
      <c r="B187" t="s">
        <v>22</v>
      </c>
      <c r="C187">
        <v>15</v>
      </c>
      <c r="D187" t="s">
        <v>40</v>
      </c>
      <c r="E187" t="s">
        <v>76</v>
      </c>
      <c r="F187" t="s">
        <v>466</v>
      </c>
      <c r="G187" t="s">
        <v>438</v>
      </c>
      <c r="H187" t="s">
        <v>79</v>
      </c>
      <c r="I187" t="s">
        <v>22</v>
      </c>
      <c r="J187" t="b">
        <v>0</v>
      </c>
      <c r="K187" t="b">
        <v>1</v>
      </c>
      <c r="L187" t="s">
        <v>80</v>
      </c>
      <c r="M187" t="s">
        <v>81</v>
      </c>
      <c r="O187" t="s">
        <v>82</v>
      </c>
      <c r="P187">
        <v>46</v>
      </c>
      <c r="Q187">
        <v>46223</v>
      </c>
      <c r="R187">
        <v>46250</v>
      </c>
      <c r="S187">
        <v>2</v>
      </c>
      <c r="T187">
        <v>92</v>
      </c>
      <c r="U187">
        <v>12.105263157894738</v>
      </c>
      <c r="V187">
        <v>12</v>
      </c>
      <c r="W187">
        <v>20</v>
      </c>
      <c r="X187">
        <v>12</v>
      </c>
      <c r="Y187" t="s">
        <v>83</v>
      </c>
      <c r="Z187" t="s">
        <v>438</v>
      </c>
      <c r="AA187" t="str">
        <f>MasterStaffList_All[[#This Row],[Facility]]&amp;MasterStaffList_All[[#This Row],[Role]]&amp;MasterStaffList_All[[#This Row],[Resource]]</f>
        <v>TEAIN15</v>
      </c>
    </row>
    <row r="188" spans="1:27" hidden="1" x14ac:dyDescent="0.25">
      <c r="A188" t="s">
        <v>469</v>
      </c>
      <c r="B188" t="s">
        <v>22</v>
      </c>
      <c r="C188">
        <v>17</v>
      </c>
      <c r="E188" t="s">
        <v>76</v>
      </c>
      <c r="F188" t="s">
        <v>470</v>
      </c>
      <c r="G188" t="s">
        <v>438</v>
      </c>
      <c r="H188" t="s">
        <v>110</v>
      </c>
      <c r="I188" t="s">
        <v>22</v>
      </c>
      <c r="J188" t="b">
        <v>1</v>
      </c>
      <c r="K188" t="b">
        <v>0</v>
      </c>
      <c r="L188" t="s">
        <v>92</v>
      </c>
      <c r="M188" t="s">
        <v>81</v>
      </c>
      <c r="O188" t="s">
        <v>82</v>
      </c>
      <c r="P188">
        <v>76</v>
      </c>
      <c r="Q188">
        <v>46223</v>
      </c>
      <c r="R188">
        <v>46250</v>
      </c>
      <c r="S188">
        <v>2</v>
      </c>
      <c r="T188">
        <v>152</v>
      </c>
      <c r="U188">
        <v>20</v>
      </c>
      <c r="V188">
        <v>20</v>
      </c>
      <c r="W188">
        <v>20</v>
      </c>
      <c r="X188">
        <v>20</v>
      </c>
      <c r="Y188" t="s">
        <v>111</v>
      </c>
      <c r="Z188" t="s">
        <v>438</v>
      </c>
      <c r="AA188" t="str">
        <f>MasterStaffList_All[[#This Row],[Facility]]&amp;MasterStaffList_All[[#This Row],[Role]]&amp;MasterStaffList_All[[#This Row],[Resource]]</f>
        <v>TEAIN17</v>
      </c>
    </row>
    <row r="189" spans="1:27" hidden="1" x14ac:dyDescent="0.25">
      <c r="A189" t="s">
        <v>471</v>
      </c>
      <c r="B189" t="s">
        <v>22</v>
      </c>
      <c r="C189">
        <v>18</v>
      </c>
      <c r="E189" t="s">
        <v>76</v>
      </c>
      <c r="F189" t="s">
        <v>472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40</v>
      </c>
      <c r="Q189">
        <v>46223</v>
      </c>
      <c r="R189">
        <v>46250</v>
      </c>
      <c r="S189">
        <v>2</v>
      </c>
      <c r="T189">
        <v>80</v>
      </c>
      <c r="U189">
        <v>10.526315789473683</v>
      </c>
      <c r="V189">
        <v>10</v>
      </c>
      <c r="W189">
        <v>20</v>
      </c>
      <c r="X189">
        <v>10</v>
      </c>
      <c r="Y189" t="s">
        <v>83</v>
      </c>
      <c r="Z189" t="s">
        <v>438</v>
      </c>
      <c r="AA189" t="str">
        <f>MasterStaffList_All[[#This Row],[Facility]]&amp;MasterStaffList_All[[#This Row],[Role]]&amp;MasterStaffList_All[[#This Row],[Resource]]</f>
        <v>TEAIN18</v>
      </c>
    </row>
    <row r="190" spans="1:27" hidden="1" x14ac:dyDescent="0.25">
      <c r="A190" t="s">
        <v>473</v>
      </c>
      <c r="B190" t="s">
        <v>22</v>
      </c>
      <c r="C190">
        <v>19</v>
      </c>
      <c r="E190" t="s">
        <v>76</v>
      </c>
      <c r="F190" t="s">
        <v>474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  <c r="AA190" t="str">
        <f>MasterStaffList_All[[#This Row],[Facility]]&amp;MasterStaffList_All[[#This Row],[Role]]&amp;MasterStaffList_All[[#This Row],[Resource]]</f>
        <v>TEAIN19</v>
      </c>
    </row>
    <row r="191" spans="1:27" hidden="1" x14ac:dyDescent="0.25">
      <c r="A191" t="s">
        <v>475</v>
      </c>
      <c r="B191" t="s">
        <v>22</v>
      </c>
      <c r="C191">
        <v>20</v>
      </c>
      <c r="E191" t="s">
        <v>76</v>
      </c>
      <c r="F191" t="s">
        <v>476</v>
      </c>
      <c r="G191" t="s">
        <v>438</v>
      </c>
      <c r="H191" t="s">
        <v>88</v>
      </c>
      <c r="I191" t="s">
        <v>22</v>
      </c>
      <c r="J191" t="b">
        <v>1</v>
      </c>
      <c r="K191" t="b">
        <v>0</v>
      </c>
      <c r="L191" t="s">
        <v>92</v>
      </c>
      <c r="M191" t="s">
        <v>81</v>
      </c>
      <c r="O191" t="s">
        <v>89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89</v>
      </c>
      <c r="Z191" t="s">
        <v>438</v>
      </c>
      <c r="AA191" t="str">
        <f>MasterStaffList_All[[#This Row],[Facility]]&amp;MasterStaffList_All[[#This Row],[Role]]&amp;MasterStaffList_All[[#This Row],[Resource]]</f>
        <v>TEAIN20</v>
      </c>
    </row>
    <row r="192" spans="1:27" hidden="1" x14ac:dyDescent="0.25">
      <c r="A192" t="s">
        <v>477</v>
      </c>
      <c r="B192" t="s">
        <v>22</v>
      </c>
      <c r="C192">
        <v>21</v>
      </c>
      <c r="D192" t="s">
        <v>40</v>
      </c>
      <c r="E192" t="s">
        <v>76</v>
      </c>
      <c r="F192" t="s">
        <v>478</v>
      </c>
      <c r="G192" t="s">
        <v>438</v>
      </c>
      <c r="H192" t="s">
        <v>79</v>
      </c>
      <c r="I192" t="s">
        <v>22</v>
      </c>
      <c r="J192" t="b">
        <v>0</v>
      </c>
      <c r="K192" t="b">
        <v>1</v>
      </c>
      <c r="L192" t="s">
        <v>80</v>
      </c>
      <c r="M192" t="s">
        <v>81</v>
      </c>
      <c r="O192" t="s">
        <v>82</v>
      </c>
      <c r="P192">
        <v>32</v>
      </c>
      <c r="Q192">
        <v>46223</v>
      </c>
      <c r="R192">
        <v>46250</v>
      </c>
      <c r="S192">
        <v>2</v>
      </c>
      <c r="T192">
        <v>64</v>
      </c>
      <c r="U192">
        <v>8.4210526315789469</v>
      </c>
      <c r="V192">
        <v>8</v>
      </c>
      <c r="W192">
        <v>20</v>
      </c>
      <c r="X192">
        <v>8</v>
      </c>
      <c r="Y192" t="s">
        <v>83</v>
      </c>
      <c r="Z192" t="s">
        <v>438</v>
      </c>
      <c r="AA192" t="str">
        <f>MasterStaffList_All[[#This Row],[Facility]]&amp;MasterStaffList_All[[#This Row],[Role]]&amp;MasterStaffList_All[[#This Row],[Resource]]</f>
        <v>TEAIN21</v>
      </c>
    </row>
    <row r="193" spans="1:27" hidden="1" x14ac:dyDescent="0.25">
      <c r="A193" t="s">
        <v>479</v>
      </c>
      <c r="B193" t="s">
        <v>22</v>
      </c>
      <c r="C193">
        <v>22</v>
      </c>
      <c r="E193" t="s">
        <v>76</v>
      </c>
      <c r="F193" t="s">
        <v>480</v>
      </c>
      <c r="G193" t="s">
        <v>438</v>
      </c>
      <c r="H193" t="s">
        <v>79</v>
      </c>
      <c r="I193" t="s">
        <v>22</v>
      </c>
      <c r="J193" t="b">
        <v>1</v>
      </c>
      <c r="K193" t="b">
        <v>0</v>
      </c>
      <c r="L193" t="s">
        <v>92</v>
      </c>
      <c r="M193" t="s">
        <v>81</v>
      </c>
      <c r="O193" t="s">
        <v>82</v>
      </c>
      <c r="P193">
        <v>24</v>
      </c>
      <c r="Q193">
        <v>46223</v>
      </c>
      <c r="R193">
        <v>46250</v>
      </c>
      <c r="S193">
        <v>2</v>
      </c>
      <c r="T193">
        <v>48</v>
      </c>
      <c r="U193">
        <v>6.3157894736842106</v>
      </c>
      <c r="V193">
        <v>6</v>
      </c>
      <c r="W193">
        <v>20</v>
      </c>
      <c r="X193">
        <v>6</v>
      </c>
      <c r="Y193" t="s">
        <v>83</v>
      </c>
      <c r="Z193" t="s">
        <v>438</v>
      </c>
      <c r="AA193" t="str">
        <f>MasterStaffList_All[[#This Row],[Facility]]&amp;MasterStaffList_All[[#This Row],[Role]]&amp;MasterStaffList_All[[#This Row],[Resource]]</f>
        <v>TEAIN22</v>
      </c>
    </row>
    <row r="194" spans="1:27" hidden="1" x14ac:dyDescent="0.25">
      <c r="A194" t="s">
        <v>483</v>
      </c>
      <c r="B194" t="s">
        <v>22</v>
      </c>
      <c r="C194">
        <v>24</v>
      </c>
      <c r="D194" t="s">
        <v>40</v>
      </c>
      <c r="E194" t="s">
        <v>76</v>
      </c>
      <c r="F194" t="s">
        <v>484</v>
      </c>
      <c r="G194" t="s">
        <v>438</v>
      </c>
      <c r="H194" t="s">
        <v>79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82</v>
      </c>
      <c r="P194">
        <v>64</v>
      </c>
      <c r="Q194">
        <v>46223</v>
      </c>
      <c r="R194">
        <v>46250</v>
      </c>
      <c r="S194">
        <v>2</v>
      </c>
      <c r="T194">
        <v>128</v>
      </c>
      <c r="U194">
        <v>16.842105263157894</v>
      </c>
      <c r="V194">
        <v>16</v>
      </c>
      <c r="W194">
        <v>20</v>
      </c>
      <c r="X194">
        <v>16</v>
      </c>
      <c r="Y194" t="s">
        <v>83</v>
      </c>
      <c r="Z194" t="s">
        <v>438</v>
      </c>
      <c r="AA194" t="str">
        <f>MasterStaffList_All[[#This Row],[Facility]]&amp;MasterStaffList_All[[#This Row],[Role]]&amp;MasterStaffList_All[[#This Row],[Resource]]</f>
        <v>TEAIN24</v>
      </c>
    </row>
    <row r="195" spans="1:27" hidden="1" x14ac:dyDescent="0.25">
      <c r="A195" t="s">
        <v>485</v>
      </c>
      <c r="B195" t="s">
        <v>22</v>
      </c>
      <c r="C195">
        <v>25</v>
      </c>
      <c r="D195" t="s">
        <v>40</v>
      </c>
      <c r="E195" t="s">
        <v>76</v>
      </c>
      <c r="F195" t="s">
        <v>486</v>
      </c>
      <c r="G195" t="s">
        <v>438</v>
      </c>
      <c r="H195" t="s">
        <v>88</v>
      </c>
      <c r="I195" t="s">
        <v>22</v>
      </c>
      <c r="J195" t="b">
        <v>0</v>
      </c>
      <c r="K195" t="b">
        <v>1</v>
      </c>
      <c r="L195" t="s">
        <v>80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  <c r="AA195" t="str">
        <f>MasterStaffList_All[[#This Row],[Facility]]&amp;MasterStaffList_All[[#This Row],[Role]]&amp;MasterStaffList_All[[#This Row],[Resource]]</f>
        <v>TEAIN25</v>
      </c>
    </row>
    <row r="196" spans="1:27" hidden="1" x14ac:dyDescent="0.25">
      <c r="A196" t="s">
        <v>488</v>
      </c>
      <c r="B196" t="s">
        <v>22</v>
      </c>
      <c r="C196">
        <v>27</v>
      </c>
      <c r="E196" t="s">
        <v>76</v>
      </c>
      <c r="F196" t="s">
        <v>489</v>
      </c>
      <c r="G196" t="s">
        <v>438</v>
      </c>
      <c r="H196" t="s">
        <v>110</v>
      </c>
      <c r="I196" t="s">
        <v>22</v>
      </c>
      <c r="J196" t="b">
        <v>1</v>
      </c>
      <c r="K196" t="b">
        <v>0</v>
      </c>
      <c r="L196" t="s">
        <v>92</v>
      </c>
      <c r="M196" t="s">
        <v>81</v>
      </c>
      <c r="O196" t="s">
        <v>82</v>
      </c>
      <c r="P196">
        <v>76</v>
      </c>
      <c r="Q196">
        <v>46223</v>
      </c>
      <c r="R196">
        <v>46250</v>
      </c>
      <c r="S196">
        <v>2</v>
      </c>
      <c r="T196">
        <v>152</v>
      </c>
      <c r="U196">
        <v>20</v>
      </c>
      <c r="V196">
        <v>20</v>
      </c>
      <c r="W196">
        <v>20</v>
      </c>
      <c r="X196">
        <v>20</v>
      </c>
      <c r="Y196" t="s">
        <v>111</v>
      </c>
      <c r="Z196" t="s">
        <v>438</v>
      </c>
      <c r="AA196" t="str">
        <f>MasterStaffList_All[[#This Row],[Facility]]&amp;MasterStaffList_All[[#This Row],[Role]]&amp;MasterStaffList_All[[#This Row],[Resource]]</f>
        <v>TEAIN27</v>
      </c>
    </row>
    <row r="197" spans="1:27" hidden="1" x14ac:dyDescent="0.25">
      <c r="A197" t="s">
        <v>490</v>
      </c>
      <c r="B197" t="s">
        <v>22</v>
      </c>
      <c r="C197">
        <v>28</v>
      </c>
      <c r="E197" t="s">
        <v>76</v>
      </c>
      <c r="F197" t="s">
        <v>491</v>
      </c>
      <c r="G197" t="s">
        <v>438</v>
      </c>
      <c r="H197" t="s">
        <v>79</v>
      </c>
      <c r="I197" t="s">
        <v>22</v>
      </c>
      <c r="J197" t="b">
        <v>1</v>
      </c>
      <c r="K197" t="b">
        <v>0</v>
      </c>
      <c r="L197" t="s">
        <v>92</v>
      </c>
      <c r="M197" t="s">
        <v>81</v>
      </c>
      <c r="O197" t="s">
        <v>82</v>
      </c>
      <c r="P197">
        <v>48</v>
      </c>
      <c r="Q197">
        <v>46223</v>
      </c>
      <c r="R197">
        <v>46250</v>
      </c>
      <c r="S197">
        <v>2</v>
      </c>
      <c r="T197">
        <v>96</v>
      </c>
      <c r="U197">
        <v>12.631578947368419</v>
      </c>
      <c r="V197">
        <v>12</v>
      </c>
      <c r="W197">
        <v>20</v>
      </c>
      <c r="X197">
        <v>12</v>
      </c>
      <c r="Y197" t="s">
        <v>83</v>
      </c>
      <c r="Z197" t="s">
        <v>438</v>
      </c>
      <c r="AA197" t="str">
        <f>MasterStaffList_All[[#This Row],[Facility]]&amp;MasterStaffList_All[[#This Row],[Role]]&amp;MasterStaffList_All[[#This Row],[Resource]]</f>
        <v>TEAIN28</v>
      </c>
    </row>
    <row r="198" spans="1:27" hidden="1" x14ac:dyDescent="0.25">
      <c r="A198" t="s">
        <v>492</v>
      </c>
      <c r="B198" t="s">
        <v>22</v>
      </c>
      <c r="C198">
        <v>29</v>
      </c>
      <c r="E198" t="s">
        <v>76</v>
      </c>
      <c r="F198" t="s">
        <v>493</v>
      </c>
      <c r="G198" t="s">
        <v>438</v>
      </c>
      <c r="H198" t="s">
        <v>79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58</v>
      </c>
      <c r="Q198">
        <v>46223</v>
      </c>
      <c r="R198">
        <v>46250</v>
      </c>
      <c r="S198">
        <v>2</v>
      </c>
      <c r="T198">
        <v>116</v>
      </c>
      <c r="U198">
        <v>15.263157894736842</v>
      </c>
      <c r="V198">
        <v>15</v>
      </c>
      <c r="W198">
        <v>20</v>
      </c>
      <c r="X198">
        <v>15</v>
      </c>
      <c r="Y198" t="s">
        <v>83</v>
      </c>
      <c r="Z198" t="s">
        <v>438</v>
      </c>
      <c r="AA198" t="str">
        <f>MasterStaffList_All[[#This Row],[Facility]]&amp;MasterStaffList_All[[#This Row],[Role]]&amp;MasterStaffList_All[[#This Row],[Resource]]</f>
        <v>TEAIN29</v>
      </c>
    </row>
    <row r="199" spans="1:27" hidden="1" x14ac:dyDescent="0.25">
      <c r="A199" t="s">
        <v>86</v>
      </c>
      <c r="B199" t="s">
        <v>22</v>
      </c>
      <c r="C199">
        <v>3</v>
      </c>
      <c r="D199" t="s">
        <v>40</v>
      </c>
      <c r="E199" t="s">
        <v>76</v>
      </c>
      <c r="F199" t="s">
        <v>87</v>
      </c>
      <c r="G199" t="s">
        <v>438</v>
      </c>
      <c r="H199" t="s">
        <v>88</v>
      </c>
      <c r="I199" t="s">
        <v>22</v>
      </c>
      <c r="J199" t="b">
        <v>0</v>
      </c>
      <c r="K199" t="b">
        <v>1</v>
      </c>
      <c r="L199" t="s">
        <v>80</v>
      </c>
      <c r="M199" t="s">
        <v>81</v>
      </c>
      <c r="O199" t="s">
        <v>89</v>
      </c>
      <c r="P199">
        <v>76</v>
      </c>
      <c r="Q199">
        <v>46223</v>
      </c>
      <c r="R199">
        <v>46250</v>
      </c>
      <c r="S199">
        <v>2</v>
      </c>
      <c r="T199">
        <v>152</v>
      </c>
      <c r="U199">
        <v>20</v>
      </c>
      <c r="V199">
        <v>20</v>
      </c>
      <c r="W199">
        <v>20</v>
      </c>
      <c r="X199">
        <v>20</v>
      </c>
      <c r="Y199" t="s">
        <v>89</v>
      </c>
      <c r="Z199" t="s">
        <v>438</v>
      </c>
      <c r="AA199" t="str">
        <f>MasterStaffList_All[[#This Row],[Facility]]&amp;MasterStaffList_All[[#This Row],[Role]]&amp;MasterStaffList_All[[#This Row],[Resource]]</f>
        <v>TEAIN3</v>
      </c>
    </row>
    <row r="200" spans="1:27" hidden="1" x14ac:dyDescent="0.25">
      <c r="A200" t="s">
        <v>494</v>
      </c>
      <c r="B200" t="s">
        <v>22</v>
      </c>
      <c r="C200">
        <v>30</v>
      </c>
      <c r="E200" t="s">
        <v>76</v>
      </c>
      <c r="F200" t="s">
        <v>495</v>
      </c>
      <c r="G200" t="s">
        <v>438</v>
      </c>
      <c r="H200" t="s">
        <v>79</v>
      </c>
      <c r="I200" t="s">
        <v>22</v>
      </c>
      <c r="J200" t="b">
        <v>1</v>
      </c>
      <c r="K200" t="b">
        <v>1</v>
      </c>
      <c r="L200" t="s">
        <v>95</v>
      </c>
      <c r="M200" t="s">
        <v>81</v>
      </c>
      <c r="O200" t="s">
        <v>82</v>
      </c>
      <c r="P200">
        <v>40</v>
      </c>
      <c r="Q200">
        <v>46223</v>
      </c>
      <c r="R200">
        <v>46250</v>
      </c>
      <c r="S200">
        <v>2</v>
      </c>
      <c r="T200">
        <v>80</v>
      </c>
      <c r="U200">
        <v>10.526315789473683</v>
      </c>
      <c r="V200">
        <v>10</v>
      </c>
      <c r="W200">
        <v>20</v>
      </c>
      <c r="X200">
        <v>10</v>
      </c>
      <c r="Y200" t="s">
        <v>83</v>
      </c>
      <c r="Z200" t="s">
        <v>438</v>
      </c>
      <c r="AA200" t="str">
        <f>MasterStaffList_All[[#This Row],[Facility]]&amp;MasterStaffList_All[[#This Row],[Role]]&amp;MasterStaffList_All[[#This Row],[Resource]]</f>
        <v>TEAIN30</v>
      </c>
    </row>
    <row r="201" spans="1:27" hidden="1" x14ac:dyDescent="0.25">
      <c r="A201" t="s">
        <v>496</v>
      </c>
      <c r="B201" t="s">
        <v>22</v>
      </c>
      <c r="C201">
        <v>31</v>
      </c>
      <c r="E201" t="s">
        <v>76</v>
      </c>
      <c r="F201" t="s">
        <v>497</v>
      </c>
      <c r="G201" t="s">
        <v>438</v>
      </c>
      <c r="H201" t="s">
        <v>110</v>
      </c>
      <c r="I201" t="s">
        <v>22</v>
      </c>
      <c r="J201" t="b">
        <v>1</v>
      </c>
      <c r="K201" t="b">
        <v>1</v>
      </c>
      <c r="L201" t="s">
        <v>95</v>
      </c>
      <c r="M201" t="s">
        <v>81</v>
      </c>
      <c r="O201" t="s">
        <v>82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111</v>
      </c>
      <c r="Z201" t="s">
        <v>438</v>
      </c>
      <c r="AA201" t="str">
        <f>MasterStaffList_All[[#This Row],[Facility]]&amp;MasterStaffList_All[[#This Row],[Role]]&amp;MasterStaffList_All[[#This Row],[Resource]]</f>
        <v>TEAIN31</v>
      </c>
    </row>
    <row r="202" spans="1:27" hidden="1" x14ac:dyDescent="0.25">
      <c r="A202" t="s">
        <v>498</v>
      </c>
      <c r="B202" t="s">
        <v>22</v>
      </c>
      <c r="C202">
        <v>32</v>
      </c>
      <c r="D202" t="s">
        <v>40</v>
      </c>
      <c r="E202" t="s">
        <v>76</v>
      </c>
      <c r="F202" t="s">
        <v>499</v>
      </c>
      <c r="G202" t="s">
        <v>438</v>
      </c>
      <c r="H202" t="s">
        <v>88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89</v>
      </c>
      <c r="P202">
        <v>76</v>
      </c>
      <c r="Q202">
        <v>46223</v>
      </c>
      <c r="R202">
        <v>46250</v>
      </c>
      <c r="S202">
        <v>2</v>
      </c>
      <c r="T202">
        <v>152</v>
      </c>
      <c r="U202">
        <v>20</v>
      </c>
      <c r="V202">
        <v>20</v>
      </c>
      <c r="W202">
        <v>20</v>
      </c>
      <c r="X202">
        <v>20</v>
      </c>
      <c r="Y202" t="s">
        <v>89</v>
      </c>
      <c r="Z202" t="s">
        <v>438</v>
      </c>
      <c r="AA202" t="str">
        <f>MasterStaffList_All[[#This Row],[Facility]]&amp;MasterStaffList_All[[#This Row],[Role]]&amp;MasterStaffList_All[[#This Row],[Resource]]</f>
        <v>TEAIN32</v>
      </c>
    </row>
    <row r="203" spans="1:27" hidden="1" x14ac:dyDescent="0.25">
      <c r="A203" t="s">
        <v>500</v>
      </c>
      <c r="B203" t="s">
        <v>22</v>
      </c>
      <c r="C203">
        <v>33</v>
      </c>
      <c r="E203" t="s">
        <v>76</v>
      </c>
      <c r="F203" t="s">
        <v>501</v>
      </c>
      <c r="G203" t="s">
        <v>438</v>
      </c>
      <c r="H203" t="s">
        <v>88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89</v>
      </c>
      <c r="P203">
        <v>76</v>
      </c>
      <c r="Q203">
        <v>46223</v>
      </c>
      <c r="R203">
        <v>46250</v>
      </c>
      <c r="S203">
        <v>2</v>
      </c>
      <c r="T203">
        <v>152</v>
      </c>
      <c r="U203">
        <v>20</v>
      </c>
      <c r="V203">
        <v>20</v>
      </c>
      <c r="W203">
        <v>20</v>
      </c>
      <c r="X203">
        <v>20</v>
      </c>
      <c r="Y203" t="s">
        <v>89</v>
      </c>
      <c r="Z203" t="s">
        <v>438</v>
      </c>
      <c r="AA203" t="str">
        <f>MasterStaffList_All[[#This Row],[Facility]]&amp;MasterStaffList_All[[#This Row],[Role]]&amp;MasterStaffList_All[[#This Row],[Resource]]</f>
        <v>TEAIN33</v>
      </c>
    </row>
    <row r="204" spans="1:27" hidden="1" x14ac:dyDescent="0.25">
      <c r="A204" t="s">
        <v>502</v>
      </c>
      <c r="B204" t="s">
        <v>22</v>
      </c>
      <c r="C204">
        <v>34</v>
      </c>
      <c r="E204" t="s">
        <v>76</v>
      </c>
      <c r="F204" t="s">
        <v>503</v>
      </c>
      <c r="G204" t="s">
        <v>438</v>
      </c>
      <c r="H204" t="s">
        <v>79</v>
      </c>
      <c r="I204" t="s">
        <v>22</v>
      </c>
      <c r="J204" t="b">
        <v>1</v>
      </c>
      <c r="K204" t="b">
        <v>1</v>
      </c>
      <c r="L204" t="s">
        <v>95</v>
      </c>
      <c r="M204" t="s">
        <v>81</v>
      </c>
      <c r="O204" t="s">
        <v>82</v>
      </c>
      <c r="P204">
        <v>40</v>
      </c>
      <c r="Q204">
        <v>46223</v>
      </c>
      <c r="R204">
        <v>46250</v>
      </c>
      <c r="S204">
        <v>2</v>
      </c>
      <c r="T204">
        <v>80</v>
      </c>
      <c r="U204">
        <v>10.526315789473683</v>
      </c>
      <c r="V204">
        <v>10</v>
      </c>
      <c r="W204">
        <v>20</v>
      </c>
      <c r="X204">
        <v>10</v>
      </c>
      <c r="Y204" t="s">
        <v>83</v>
      </c>
      <c r="Z204" t="s">
        <v>438</v>
      </c>
      <c r="AA204" t="str">
        <f>MasterStaffList_All[[#This Row],[Facility]]&amp;MasterStaffList_All[[#This Row],[Role]]&amp;MasterStaffList_All[[#This Row],[Resource]]</f>
        <v>TEAIN34</v>
      </c>
    </row>
    <row r="205" spans="1:27" hidden="1" x14ac:dyDescent="0.25">
      <c r="A205" t="s">
        <v>504</v>
      </c>
      <c r="B205" t="s">
        <v>22</v>
      </c>
      <c r="C205">
        <v>35</v>
      </c>
      <c r="E205" t="s">
        <v>76</v>
      </c>
      <c r="F205" t="s">
        <v>505</v>
      </c>
      <c r="G205" t="s">
        <v>438</v>
      </c>
      <c r="H205" t="s">
        <v>88</v>
      </c>
      <c r="I205" t="s">
        <v>22</v>
      </c>
      <c r="J205" t="b">
        <v>1</v>
      </c>
      <c r="K205" t="b">
        <v>0</v>
      </c>
      <c r="L205" t="s">
        <v>92</v>
      </c>
      <c r="M205" t="s">
        <v>81</v>
      </c>
      <c r="O205" t="s">
        <v>89</v>
      </c>
      <c r="P205">
        <v>76</v>
      </c>
      <c r="Q205">
        <v>46223</v>
      </c>
      <c r="R205">
        <v>46250</v>
      </c>
      <c r="S205">
        <v>2</v>
      </c>
      <c r="T205">
        <v>152</v>
      </c>
      <c r="U205">
        <v>20</v>
      </c>
      <c r="V205">
        <v>20</v>
      </c>
      <c r="W205">
        <v>20</v>
      </c>
      <c r="X205">
        <v>20</v>
      </c>
      <c r="Y205" t="s">
        <v>89</v>
      </c>
      <c r="Z205" t="s">
        <v>438</v>
      </c>
      <c r="AA205" t="str">
        <f>MasterStaffList_All[[#This Row],[Facility]]&amp;MasterStaffList_All[[#This Row],[Role]]&amp;MasterStaffList_All[[#This Row],[Resource]]</f>
        <v>TEAIN35</v>
      </c>
    </row>
    <row r="206" spans="1:27" hidden="1" x14ac:dyDescent="0.25">
      <c r="A206" t="s">
        <v>506</v>
      </c>
      <c r="B206" t="s">
        <v>22</v>
      </c>
      <c r="C206">
        <v>36</v>
      </c>
      <c r="E206" t="s">
        <v>76</v>
      </c>
      <c r="F206" t="s">
        <v>507</v>
      </c>
      <c r="G206" t="s">
        <v>438</v>
      </c>
      <c r="H206" t="s">
        <v>110</v>
      </c>
      <c r="I206" t="s">
        <v>22</v>
      </c>
      <c r="J206" t="b">
        <v>1</v>
      </c>
      <c r="K206" t="b">
        <v>0</v>
      </c>
      <c r="L206" t="s">
        <v>92</v>
      </c>
      <c r="M206" t="s">
        <v>81</v>
      </c>
      <c r="O206" t="s">
        <v>82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111</v>
      </c>
      <c r="Z206" t="s">
        <v>438</v>
      </c>
      <c r="AA206" t="str">
        <f>MasterStaffList_All[[#This Row],[Facility]]&amp;MasterStaffList_All[[#This Row],[Role]]&amp;MasterStaffList_All[[#This Row],[Resource]]</f>
        <v>TEAIN36</v>
      </c>
    </row>
    <row r="207" spans="1:27" hidden="1" x14ac:dyDescent="0.25">
      <c r="A207" t="s">
        <v>510</v>
      </c>
      <c r="B207" t="s">
        <v>22</v>
      </c>
      <c r="C207">
        <v>38</v>
      </c>
      <c r="E207" t="s">
        <v>76</v>
      </c>
      <c r="F207" t="s">
        <v>511</v>
      </c>
      <c r="G207" t="s">
        <v>438</v>
      </c>
      <c r="H207" t="s">
        <v>88</v>
      </c>
      <c r="I207" t="s">
        <v>22</v>
      </c>
      <c r="J207" t="b">
        <v>1</v>
      </c>
      <c r="K207" t="b">
        <v>0</v>
      </c>
      <c r="L207" t="s">
        <v>92</v>
      </c>
      <c r="M207" t="s">
        <v>81</v>
      </c>
      <c r="O207" t="s">
        <v>89</v>
      </c>
      <c r="P207">
        <v>76</v>
      </c>
      <c r="Q207">
        <v>46223</v>
      </c>
      <c r="R207">
        <v>46250</v>
      </c>
      <c r="S207">
        <v>2</v>
      </c>
      <c r="T207">
        <v>152</v>
      </c>
      <c r="U207">
        <v>20</v>
      </c>
      <c r="V207">
        <v>20</v>
      </c>
      <c r="W207">
        <v>20</v>
      </c>
      <c r="X207">
        <v>20</v>
      </c>
      <c r="Y207" t="s">
        <v>89</v>
      </c>
      <c r="Z207" t="s">
        <v>438</v>
      </c>
      <c r="AA207" t="str">
        <f>MasterStaffList_All[[#This Row],[Facility]]&amp;MasterStaffList_All[[#This Row],[Role]]&amp;MasterStaffList_All[[#This Row],[Resource]]</f>
        <v>TEAIN38</v>
      </c>
    </row>
    <row r="208" spans="1:27" hidden="1" x14ac:dyDescent="0.25">
      <c r="A208" t="s">
        <v>512</v>
      </c>
      <c r="B208" t="s">
        <v>22</v>
      </c>
      <c r="C208">
        <v>39</v>
      </c>
      <c r="E208" t="s">
        <v>76</v>
      </c>
      <c r="F208" t="s">
        <v>513</v>
      </c>
      <c r="G208" t="s">
        <v>438</v>
      </c>
      <c r="H208" t="s">
        <v>79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16</v>
      </c>
      <c r="Q208">
        <v>46223</v>
      </c>
      <c r="R208">
        <v>46250</v>
      </c>
      <c r="S208">
        <v>2</v>
      </c>
      <c r="T208">
        <v>32</v>
      </c>
      <c r="U208">
        <v>4.2105263157894735</v>
      </c>
      <c r="V208">
        <v>4</v>
      </c>
      <c r="W208">
        <v>20</v>
      </c>
      <c r="X208">
        <v>4</v>
      </c>
      <c r="Y208" t="s">
        <v>83</v>
      </c>
      <c r="Z208" t="s">
        <v>438</v>
      </c>
      <c r="AA208" t="str">
        <f>MasterStaffList_All[[#This Row],[Facility]]&amp;MasterStaffList_All[[#This Row],[Role]]&amp;MasterStaffList_All[[#This Row],[Resource]]</f>
        <v>TEAIN39</v>
      </c>
    </row>
    <row r="209" spans="1:27" hidden="1" x14ac:dyDescent="0.25">
      <c r="A209" t="s">
        <v>443</v>
      </c>
      <c r="B209" t="s">
        <v>22</v>
      </c>
      <c r="C209">
        <v>4</v>
      </c>
      <c r="D209" t="s">
        <v>40</v>
      </c>
      <c r="E209" t="s">
        <v>76</v>
      </c>
      <c r="F209" t="s">
        <v>444</v>
      </c>
      <c r="G209" t="s">
        <v>438</v>
      </c>
      <c r="H209" t="s">
        <v>79</v>
      </c>
      <c r="I209" t="s">
        <v>22</v>
      </c>
      <c r="J209" t="b">
        <v>0</v>
      </c>
      <c r="K209" t="b">
        <v>1</v>
      </c>
      <c r="L209" t="s">
        <v>80</v>
      </c>
      <c r="M209" t="s">
        <v>81</v>
      </c>
      <c r="O209" t="s">
        <v>82</v>
      </c>
      <c r="P209">
        <v>26</v>
      </c>
      <c r="Q209">
        <v>46223</v>
      </c>
      <c r="R209">
        <v>46250</v>
      </c>
      <c r="S209">
        <v>2</v>
      </c>
      <c r="T209">
        <v>52</v>
      </c>
      <c r="U209">
        <v>6.8421052631578947</v>
      </c>
      <c r="V209">
        <v>6</v>
      </c>
      <c r="W209">
        <v>20</v>
      </c>
      <c r="X209">
        <v>6</v>
      </c>
      <c r="Y209" t="s">
        <v>83</v>
      </c>
      <c r="Z209" t="s">
        <v>438</v>
      </c>
      <c r="AA209" t="str">
        <f>MasterStaffList_All[[#This Row],[Facility]]&amp;MasterStaffList_All[[#This Row],[Role]]&amp;MasterStaffList_All[[#This Row],[Resource]]</f>
        <v>TEAIN4</v>
      </c>
    </row>
    <row r="210" spans="1:27" hidden="1" x14ac:dyDescent="0.25">
      <c r="A210" t="s">
        <v>514</v>
      </c>
      <c r="B210" t="s">
        <v>22</v>
      </c>
      <c r="C210">
        <v>40</v>
      </c>
      <c r="E210" t="s">
        <v>76</v>
      </c>
      <c r="F210" t="s">
        <v>515</v>
      </c>
      <c r="G210" t="s">
        <v>438</v>
      </c>
      <c r="H210" t="s">
        <v>110</v>
      </c>
      <c r="I210" t="s">
        <v>22</v>
      </c>
      <c r="J210" t="b">
        <v>1</v>
      </c>
      <c r="K210" t="b">
        <v>1</v>
      </c>
      <c r="L210" t="s">
        <v>95</v>
      </c>
      <c r="M210" t="s">
        <v>81</v>
      </c>
      <c r="O210" t="s">
        <v>82</v>
      </c>
      <c r="P210">
        <v>76</v>
      </c>
      <c r="Q210">
        <v>46223</v>
      </c>
      <c r="R210">
        <v>46250</v>
      </c>
      <c r="S210">
        <v>2</v>
      </c>
      <c r="T210">
        <v>152</v>
      </c>
      <c r="U210">
        <v>20</v>
      </c>
      <c r="V210">
        <v>20</v>
      </c>
      <c r="W210">
        <v>20</v>
      </c>
      <c r="X210">
        <v>20</v>
      </c>
      <c r="Y210" t="s">
        <v>111</v>
      </c>
      <c r="Z210" t="s">
        <v>438</v>
      </c>
      <c r="AA210" t="str">
        <f>MasterStaffList_All[[#This Row],[Facility]]&amp;MasterStaffList_All[[#This Row],[Role]]&amp;MasterStaffList_All[[#This Row],[Resource]]</f>
        <v>TEAIN40</v>
      </c>
    </row>
    <row r="211" spans="1:27" hidden="1" x14ac:dyDescent="0.25">
      <c r="A211" t="s">
        <v>516</v>
      </c>
      <c r="B211" t="s">
        <v>22</v>
      </c>
      <c r="C211">
        <v>41</v>
      </c>
      <c r="E211" t="s">
        <v>76</v>
      </c>
      <c r="F211" t="s">
        <v>517</v>
      </c>
      <c r="G211" t="s">
        <v>438</v>
      </c>
      <c r="H211" t="s">
        <v>110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76</v>
      </c>
      <c r="Q211">
        <v>46223</v>
      </c>
      <c r="R211">
        <v>46250</v>
      </c>
      <c r="S211">
        <v>2</v>
      </c>
      <c r="T211">
        <v>152</v>
      </c>
      <c r="U211">
        <v>20</v>
      </c>
      <c r="V211">
        <v>20</v>
      </c>
      <c r="W211">
        <v>20</v>
      </c>
      <c r="X211">
        <v>20</v>
      </c>
      <c r="Y211" t="s">
        <v>111</v>
      </c>
      <c r="Z211" t="s">
        <v>438</v>
      </c>
      <c r="AA211" t="str">
        <f>MasterStaffList_All[[#This Row],[Facility]]&amp;MasterStaffList_All[[#This Row],[Role]]&amp;MasterStaffList_All[[#This Row],[Resource]]</f>
        <v>TEAIN41</v>
      </c>
    </row>
    <row r="212" spans="1:27" hidden="1" x14ac:dyDescent="0.25">
      <c r="A212" t="s">
        <v>518</v>
      </c>
      <c r="B212" t="s">
        <v>22</v>
      </c>
      <c r="C212">
        <v>42</v>
      </c>
      <c r="D212" t="s">
        <v>40</v>
      </c>
      <c r="E212" t="s">
        <v>76</v>
      </c>
      <c r="F212" t="s">
        <v>519</v>
      </c>
      <c r="G212" t="s">
        <v>438</v>
      </c>
      <c r="H212" t="s">
        <v>79</v>
      </c>
      <c r="I212" t="s">
        <v>22</v>
      </c>
      <c r="J212" t="b">
        <v>0</v>
      </c>
      <c r="K212" t="b">
        <v>1</v>
      </c>
      <c r="L212" t="s">
        <v>80</v>
      </c>
      <c r="M212" t="s">
        <v>81</v>
      </c>
      <c r="O212" t="s">
        <v>82</v>
      </c>
      <c r="P212">
        <v>32</v>
      </c>
      <c r="Q212">
        <v>46223</v>
      </c>
      <c r="R212">
        <v>46250</v>
      </c>
      <c r="S212">
        <v>2</v>
      </c>
      <c r="T212">
        <v>64</v>
      </c>
      <c r="U212">
        <v>8.4210526315789469</v>
      </c>
      <c r="V212">
        <v>8</v>
      </c>
      <c r="W212">
        <v>20</v>
      </c>
      <c r="X212">
        <v>8</v>
      </c>
      <c r="Y212" t="s">
        <v>83</v>
      </c>
      <c r="Z212" t="s">
        <v>438</v>
      </c>
      <c r="AA212" t="str">
        <f>MasterStaffList_All[[#This Row],[Facility]]&amp;MasterStaffList_All[[#This Row],[Role]]&amp;MasterStaffList_All[[#This Row],[Resource]]</f>
        <v>TEAIN42</v>
      </c>
    </row>
    <row r="213" spans="1:27" hidden="1" x14ac:dyDescent="0.25">
      <c r="A213" t="s">
        <v>520</v>
      </c>
      <c r="B213" t="s">
        <v>22</v>
      </c>
      <c r="C213">
        <v>43</v>
      </c>
      <c r="E213" t="s">
        <v>76</v>
      </c>
      <c r="F213" t="s">
        <v>521</v>
      </c>
      <c r="G213" t="s">
        <v>438</v>
      </c>
      <c r="H213" t="s">
        <v>110</v>
      </c>
      <c r="I213" t="s">
        <v>22</v>
      </c>
      <c r="J213" t="b">
        <v>1</v>
      </c>
      <c r="K213" t="b">
        <v>0</v>
      </c>
      <c r="L213" t="s">
        <v>92</v>
      </c>
      <c r="M213" t="s">
        <v>81</v>
      </c>
      <c r="O213" t="s">
        <v>82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111</v>
      </c>
      <c r="Z213" t="s">
        <v>438</v>
      </c>
      <c r="AA213" t="str">
        <f>MasterStaffList_All[[#This Row],[Facility]]&amp;MasterStaffList_All[[#This Row],[Role]]&amp;MasterStaffList_All[[#This Row],[Resource]]</f>
        <v>TEAIN43</v>
      </c>
    </row>
    <row r="214" spans="1:27" hidden="1" x14ac:dyDescent="0.25">
      <c r="A214" t="s">
        <v>524</v>
      </c>
      <c r="B214" t="s">
        <v>22</v>
      </c>
      <c r="C214">
        <v>45</v>
      </c>
      <c r="E214" t="s">
        <v>76</v>
      </c>
      <c r="F214" t="s">
        <v>525</v>
      </c>
      <c r="G214" t="s">
        <v>438</v>
      </c>
      <c r="H214" t="s">
        <v>79</v>
      </c>
      <c r="I214" t="s">
        <v>22</v>
      </c>
      <c r="J214" t="b">
        <v>1</v>
      </c>
      <c r="K214" t="b">
        <v>1</v>
      </c>
      <c r="L214" t="s">
        <v>95</v>
      </c>
      <c r="M214" t="s">
        <v>81</v>
      </c>
      <c r="O214" t="s">
        <v>82</v>
      </c>
      <c r="P214">
        <v>56</v>
      </c>
      <c r="Q214">
        <v>46223</v>
      </c>
      <c r="R214">
        <v>46250</v>
      </c>
      <c r="S214">
        <v>2</v>
      </c>
      <c r="T214">
        <v>112</v>
      </c>
      <c r="U214">
        <v>14.736842105263159</v>
      </c>
      <c r="V214">
        <v>14</v>
      </c>
      <c r="W214">
        <v>20</v>
      </c>
      <c r="X214">
        <v>14</v>
      </c>
      <c r="Y214" t="s">
        <v>83</v>
      </c>
      <c r="Z214" t="s">
        <v>438</v>
      </c>
      <c r="AA214" t="str">
        <f>MasterStaffList_All[[#This Row],[Facility]]&amp;MasterStaffList_All[[#This Row],[Role]]&amp;MasterStaffList_All[[#This Row],[Resource]]</f>
        <v>TEAIN45</v>
      </c>
    </row>
    <row r="215" spans="1:27" hidden="1" x14ac:dyDescent="0.25">
      <c r="A215" t="s">
        <v>528</v>
      </c>
      <c r="B215" t="s">
        <v>22</v>
      </c>
      <c r="C215">
        <v>47</v>
      </c>
      <c r="E215" t="s">
        <v>76</v>
      </c>
      <c r="F215" t="s">
        <v>529</v>
      </c>
      <c r="G215" t="s">
        <v>438</v>
      </c>
      <c r="H215" t="s">
        <v>79</v>
      </c>
      <c r="I215" t="s">
        <v>22</v>
      </c>
      <c r="J215" t="b">
        <v>1</v>
      </c>
      <c r="K215" t="b">
        <v>0</v>
      </c>
      <c r="L215" t="s">
        <v>92</v>
      </c>
      <c r="M215" t="s">
        <v>81</v>
      </c>
      <c r="O215" t="s">
        <v>82</v>
      </c>
      <c r="P215">
        <v>32</v>
      </c>
      <c r="Q215">
        <v>46223</v>
      </c>
      <c r="R215">
        <v>46250</v>
      </c>
      <c r="S215">
        <v>2</v>
      </c>
      <c r="T215">
        <v>64</v>
      </c>
      <c r="U215">
        <v>8.4210526315789469</v>
      </c>
      <c r="V215">
        <v>8</v>
      </c>
      <c r="W215">
        <v>20</v>
      </c>
      <c r="X215">
        <v>8</v>
      </c>
      <c r="Y215" t="s">
        <v>83</v>
      </c>
      <c r="Z215" t="s">
        <v>438</v>
      </c>
      <c r="AA215" t="str">
        <f>MasterStaffList_All[[#This Row],[Facility]]&amp;MasterStaffList_All[[#This Row],[Role]]&amp;MasterStaffList_All[[#This Row],[Resource]]</f>
        <v>TEAIN47</v>
      </c>
    </row>
    <row r="216" spans="1:27" hidden="1" x14ac:dyDescent="0.25">
      <c r="A216" t="s">
        <v>530</v>
      </c>
      <c r="B216" t="s">
        <v>22</v>
      </c>
      <c r="C216">
        <v>48</v>
      </c>
      <c r="E216" t="s">
        <v>76</v>
      </c>
      <c r="F216" t="s">
        <v>531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  <c r="AA216" t="str">
        <f>MasterStaffList_All[[#This Row],[Facility]]&amp;MasterStaffList_All[[#This Row],[Role]]&amp;MasterStaffList_All[[#This Row],[Resource]]</f>
        <v>TEAIN48</v>
      </c>
    </row>
    <row r="217" spans="1:27" hidden="1" x14ac:dyDescent="0.25">
      <c r="A217" t="s">
        <v>532</v>
      </c>
      <c r="B217" t="s">
        <v>22</v>
      </c>
      <c r="C217">
        <v>49</v>
      </c>
      <c r="E217" t="s">
        <v>76</v>
      </c>
      <c r="F217" t="s">
        <v>533</v>
      </c>
      <c r="G217" t="s">
        <v>438</v>
      </c>
      <c r="H217" t="s">
        <v>88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89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89</v>
      </c>
      <c r="Z217" t="s">
        <v>438</v>
      </c>
      <c r="AA217" t="str">
        <f>MasterStaffList_All[[#This Row],[Facility]]&amp;MasterStaffList_All[[#This Row],[Role]]&amp;MasterStaffList_All[[#This Row],[Resource]]</f>
        <v>TEAIN49</v>
      </c>
    </row>
    <row r="218" spans="1:27" hidden="1" x14ac:dyDescent="0.25">
      <c r="A218" t="s">
        <v>445</v>
      </c>
      <c r="B218" t="s">
        <v>22</v>
      </c>
      <c r="C218">
        <v>5</v>
      </c>
      <c r="E218" t="s">
        <v>76</v>
      </c>
      <c r="F218" t="s">
        <v>446</v>
      </c>
      <c r="G218" t="s">
        <v>438</v>
      </c>
      <c r="H218" t="s">
        <v>79</v>
      </c>
      <c r="I218" t="s">
        <v>22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24</v>
      </c>
      <c r="Q218">
        <v>46223</v>
      </c>
      <c r="R218">
        <v>46250</v>
      </c>
      <c r="S218">
        <v>2</v>
      </c>
      <c r="T218">
        <v>48</v>
      </c>
      <c r="U218">
        <v>6.3157894736842106</v>
      </c>
      <c r="V218">
        <v>6</v>
      </c>
      <c r="W218">
        <v>20</v>
      </c>
      <c r="X218">
        <v>6</v>
      </c>
      <c r="Y218" t="s">
        <v>83</v>
      </c>
      <c r="Z218" t="s">
        <v>438</v>
      </c>
      <c r="AA218" t="str">
        <f>MasterStaffList_All[[#This Row],[Facility]]&amp;MasterStaffList_All[[#This Row],[Role]]&amp;MasterStaffList_All[[#This Row],[Resource]]</f>
        <v>TEAIN5</v>
      </c>
    </row>
    <row r="219" spans="1:27" hidden="1" x14ac:dyDescent="0.25">
      <c r="A219" t="s">
        <v>536</v>
      </c>
      <c r="B219" t="s">
        <v>22</v>
      </c>
      <c r="C219">
        <v>51</v>
      </c>
      <c r="E219" t="s">
        <v>76</v>
      </c>
      <c r="F219" t="s">
        <v>537</v>
      </c>
      <c r="G219" t="s">
        <v>438</v>
      </c>
      <c r="H219" t="s">
        <v>110</v>
      </c>
      <c r="I219" t="s">
        <v>22</v>
      </c>
      <c r="J219" t="b">
        <v>1</v>
      </c>
      <c r="K219" t="b">
        <v>1</v>
      </c>
      <c r="L219" t="s">
        <v>95</v>
      </c>
      <c r="M219" t="s">
        <v>81</v>
      </c>
      <c r="O219" t="s">
        <v>82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111</v>
      </c>
      <c r="Z219" t="s">
        <v>438</v>
      </c>
      <c r="AA219" t="str">
        <f>MasterStaffList_All[[#This Row],[Facility]]&amp;MasterStaffList_All[[#This Row],[Role]]&amp;MasterStaffList_All[[#This Row],[Resource]]</f>
        <v>TEAIN51</v>
      </c>
    </row>
    <row r="220" spans="1:27" hidden="1" x14ac:dyDescent="0.25">
      <c r="A220" t="s">
        <v>538</v>
      </c>
      <c r="B220" t="s">
        <v>22</v>
      </c>
      <c r="C220">
        <v>52</v>
      </c>
      <c r="D220" t="s">
        <v>40</v>
      </c>
      <c r="E220" t="s">
        <v>76</v>
      </c>
      <c r="F220" t="s">
        <v>539</v>
      </c>
      <c r="G220" t="s">
        <v>438</v>
      </c>
      <c r="H220" t="s">
        <v>88</v>
      </c>
      <c r="I220" t="s">
        <v>22</v>
      </c>
      <c r="J220" t="b">
        <v>0</v>
      </c>
      <c r="K220" t="b">
        <v>1</v>
      </c>
      <c r="L220" t="s">
        <v>80</v>
      </c>
      <c r="M220" t="s">
        <v>81</v>
      </c>
      <c r="O220" t="s">
        <v>89</v>
      </c>
      <c r="P220">
        <v>76</v>
      </c>
      <c r="Q220">
        <v>46223</v>
      </c>
      <c r="R220">
        <v>46250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89</v>
      </c>
      <c r="Z220" t="s">
        <v>438</v>
      </c>
      <c r="AA220" t="str">
        <f>MasterStaffList_All[[#This Row],[Facility]]&amp;MasterStaffList_All[[#This Row],[Role]]&amp;MasterStaffList_All[[#This Row],[Resource]]</f>
        <v>TEAIN52</v>
      </c>
    </row>
    <row r="221" spans="1:27" hidden="1" x14ac:dyDescent="0.25">
      <c r="A221" t="s">
        <v>540</v>
      </c>
      <c r="B221" t="s">
        <v>22</v>
      </c>
      <c r="C221">
        <v>53</v>
      </c>
      <c r="E221" t="s">
        <v>76</v>
      </c>
      <c r="F221" t="s">
        <v>541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  <c r="AA221" t="str">
        <f>MasterStaffList_All[[#This Row],[Facility]]&amp;MasterStaffList_All[[#This Row],[Role]]&amp;MasterStaffList_All[[#This Row],[Resource]]</f>
        <v>TEAIN53</v>
      </c>
    </row>
    <row r="222" spans="1:27" hidden="1" x14ac:dyDescent="0.25">
      <c r="A222" t="s">
        <v>542</v>
      </c>
      <c r="B222" t="s">
        <v>22</v>
      </c>
      <c r="C222">
        <v>54</v>
      </c>
      <c r="E222" t="s">
        <v>76</v>
      </c>
      <c r="F222" t="s">
        <v>543</v>
      </c>
      <c r="G222" t="s">
        <v>438</v>
      </c>
      <c r="H222" t="s">
        <v>79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60</v>
      </c>
      <c r="Q222">
        <v>46223</v>
      </c>
      <c r="R222">
        <v>46250</v>
      </c>
      <c r="S222">
        <v>2</v>
      </c>
      <c r="T222">
        <v>120</v>
      </c>
      <c r="U222">
        <v>15.789473684210527</v>
      </c>
      <c r="V222">
        <v>15</v>
      </c>
      <c r="W222">
        <v>20</v>
      </c>
      <c r="X222">
        <v>15</v>
      </c>
      <c r="Y222" t="s">
        <v>83</v>
      </c>
      <c r="Z222" t="s">
        <v>438</v>
      </c>
      <c r="AA222" t="str">
        <f>MasterStaffList_All[[#This Row],[Facility]]&amp;MasterStaffList_All[[#This Row],[Role]]&amp;MasterStaffList_All[[#This Row],[Resource]]</f>
        <v>TEAIN54</v>
      </c>
    </row>
    <row r="223" spans="1:27" hidden="1" x14ac:dyDescent="0.25">
      <c r="A223" t="s">
        <v>414</v>
      </c>
      <c r="B223" t="s">
        <v>22</v>
      </c>
      <c r="C223">
        <v>55</v>
      </c>
      <c r="D223" t="s">
        <v>40</v>
      </c>
      <c r="E223" t="s">
        <v>76</v>
      </c>
      <c r="F223" t="s">
        <v>415</v>
      </c>
      <c r="G223" t="s">
        <v>438</v>
      </c>
      <c r="H223" t="s">
        <v>88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89</v>
      </c>
      <c r="P223">
        <v>76</v>
      </c>
      <c r="Q223">
        <v>46223</v>
      </c>
      <c r="R223">
        <v>46250</v>
      </c>
      <c r="S223">
        <v>2</v>
      </c>
      <c r="T223">
        <v>152</v>
      </c>
      <c r="U223">
        <v>20</v>
      </c>
      <c r="V223">
        <v>20</v>
      </c>
      <c r="W223">
        <v>20</v>
      </c>
      <c r="X223">
        <v>20</v>
      </c>
      <c r="Y223" t="s">
        <v>89</v>
      </c>
      <c r="Z223" t="s">
        <v>438</v>
      </c>
      <c r="AA223" t="str">
        <f>MasterStaffList_All[[#This Row],[Facility]]&amp;MasterStaffList_All[[#This Row],[Role]]&amp;MasterStaffList_All[[#This Row],[Resource]]</f>
        <v>TEAIN55</v>
      </c>
    </row>
    <row r="224" spans="1:27" hidden="1" x14ac:dyDescent="0.25">
      <c r="A224" t="s">
        <v>544</v>
      </c>
      <c r="B224" t="s">
        <v>22</v>
      </c>
      <c r="C224">
        <v>56</v>
      </c>
      <c r="E224" t="s">
        <v>76</v>
      </c>
      <c r="F224" t="s">
        <v>545</v>
      </c>
      <c r="G224" t="s">
        <v>438</v>
      </c>
      <c r="H224" t="s">
        <v>88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89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89</v>
      </c>
      <c r="Z224" t="s">
        <v>438</v>
      </c>
      <c r="AA224" t="str">
        <f>MasterStaffList_All[[#This Row],[Facility]]&amp;MasterStaffList_All[[#This Row],[Role]]&amp;MasterStaffList_All[[#This Row],[Resource]]</f>
        <v>TEAIN56</v>
      </c>
    </row>
    <row r="225" spans="1:27" hidden="1" x14ac:dyDescent="0.25">
      <c r="A225" t="s">
        <v>546</v>
      </c>
      <c r="B225" t="s">
        <v>22</v>
      </c>
      <c r="C225">
        <v>57</v>
      </c>
      <c r="E225" t="s">
        <v>76</v>
      </c>
      <c r="F225" t="s">
        <v>547</v>
      </c>
      <c r="G225" t="s">
        <v>438</v>
      </c>
      <c r="H225" t="s">
        <v>79</v>
      </c>
      <c r="I225" t="s">
        <v>22</v>
      </c>
      <c r="J225" t="b">
        <v>1</v>
      </c>
      <c r="K225" t="b">
        <v>0</v>
      </c>
      <c r="L225" t="s">
        <v>92</v>
      </c>
      <c r="M225" t="s">
        <v>81</v>
      </c>
      <c r="O225" t="s">
        <v>82</v>
      </c>
      <c r="P225">
        <v>32</v>
      </c>
      <c r="Q225">
        <v>46223</v>
      </c>
      <c r="R225">
        <v>46250</v>
      </c>
      <c r="S225">
        <v>2</v>
      </c>
      <c r="T225">
        <v>64</v>
      </c>
      <c r="U225">
        <v>8.4210526315789469</v>
      </c>
      <c r="V225">
        <v>8</v>
      </c>
      <c r="W225">
        <v>20</v>
      </c>
      <c r="X225">
        <v>8</v>
      </c>
      <c r="Y225" t="s">
        <v>83</v>
      </c>
      <c r="Z225" t="s">
        <v>438</v>
      </c>
      <c r="AA225" t="str">
        <f>MasterStaffList_All[[#This Row],[Facility]]&amp;MasterStaffList_All[[#This Row],[Role]]&amp;MasterStaffList_All[[#This Row],[Resource]]</f>
        <v>TEAIN57</v>
      </c>
    </row>
    <row r="226" spans="1:27" hidden="1" x14ac:dyDescent="0.25">
      <c r="A226" t="s">
        <v>548</v>
      </c>
      <c r="B226" t="s">
        <v>22</v>
      </c>
      <c r="C226">
        <v>58</v>
      </c>
      <c r="E226" t="s">
        <v>76</v>
      </c>
      <c r="F226" t="s">
        <v>549</v>
      </c>
      <c r="G226" t="s">
        <v>438</v>
      </c>
      <c r="H226" t="s">
        <v>88</v>
      </c>
      <c r="I226" t="s">
        <v>22</v>
      </c>
      <c r="J226" t="b">
        <v>1</v>
      </c>
      <c r="K226" t="b">
        <v>0</v>
      </c>
      <c r="L226" t="s">
        <v>92</v>
      </c>
      <c r="M226" t="s">
        <v>81</v>
      </c>
      <c r="O226" t="s">
        <v>89</v>
      </c>
      <c r="P226">
        <v>76</v>
      </c>
      <c r="Q226">
        <v>46223</v>
      </c>
      <c r="R226">
        <v>46250</v>
      </c>
      <c r="S226">
        <v>2</v>
      </c>
      <c r="T226">
        <v>152</v>
      </c>
      <c r="U226">
        <v>20</v>
      </c>
      <c r="V226">
        <v>20</v>
      </c>
      <c r="W226">
        <v>20</v>
      </c>
      <c r="X226">
        <v>20</v>
      </c>
      <c r="Y226" t="s">
        <v>89</v>
      </c>
      <c r="Z226" t="s">
        <v>438</v>
      </c>
      <c r="AA226" t="str">
        <f>MasterStaffList_All[[#This Row],[Facility]]&amp;MasterStaffList_All[[#This Row],[Role]]&amp;MasterStaffList_All[[#This Row],[Resource]]</f>
        <v>TEAIN58</v>
      </c>
    </row>
    <row r="227" spans="1:27" hidden="1" x14ac:dyDescent="0.25">
      <c r="A227" t="s">
        <v>550</v>
      </c>
      <c r="B227" t="s">
        <v>22</v>
      </c>
      <c r="C227">
        <v>59</v>
      </c>
      <c r="E227" t="s">
        <v>76</v>
      </c>
      <c r="F227" t="s">
        <v>551</v>
      </c>
      <c r="G227" t="s">
        <v>438</v>
      </c>
      <c r="H227" t="s">
        <v>88</v>
      </c>
      <c r="I227" t="s">
        <v>22</v>
      </c>
      <c r="J227" t="b">
        <v>1</v>
      </c>
      <c r="K227" t="b">
        <v>0</v>
      </c>
      <c r="L227" t="s">
        <v>92</v>
      </c>
      <c r="M227" t="s">
        <v>81</v>
      </c>
      <c r="O227" t="s">
        <v>89</v>
      </c>
      <c r="P227">
        <v>76</v>
      </c>
      <c r="Q227">
        <v>46223</v>
      </c>
      <c r="R227">
        <v>46250</v>
      </c>
      <c r="S227">
        <v>2</v>
      </c>
      <c r="T227">
        <v>152</v>
      </c>
      <c r="U227">
        <v>20</v>
      </c>
      <c r="V227">
        <v>20</v>
      </c>
      <c r="W227">
        <v>20</v>
      </c>
      <c r="X227">
        <v>20</v>
      </c>
      <c r="Y227" t="s">
        <v>89</v>
      </c>
      <c r="Z227" t="s">
        <v>438</v>
      </c>
      <c r="AA227" t="str">
        <f>MasterStaffList_All[[#This Row],[Facility]]&amp;MasterStaffList_All[[#This Row],[Role]]&amp;MasterStaffList_All[[#This Row],[Resource]]</f>
        <v>TEAIN59</v>
      </c>
    </row>
    <row r="228" spans="1:27" hidden="1" x14ac:dyDescent="0.25">
      <c r="A228" t="s">
        <v>552</v>
      </c>
      <c r="B228" t="s">
        <v>22</v>
      </c>
      <c r="C228">
        <v>60</v>
      </c>
      <c r="E228" t="s">
        <v>76</v>
      </c>
      <c r="F228" t="s">
        <v>553</v>
      </c>
      <c r="G228" t="s">
        <v>438</v>
      </c>
      <c r="H228" t="s">
        <v>79</v>
      </c>
      <c r="I228" t="s">
        <v>22</v>
      </c>
      <c r="J228" t="b">
        <v>1</v>
      </c>
      <c r="K228" t="b">
        <v>1</v>
      </c>
      <c r="L228" t="s">
        <v>95</v>
      </c>
      <c r="M228" t="s">
        <v>81</v>
      </c>
      <c r="O228" t="s">
        <v>82</v>
      </c>
      <c r="P228">
        <v>64</v>
      </c>
      <c r="Q228">
        <v>46223</v>
      </c>
      <c r="R228">
        <v>46250</v>
      </c>
      <c r="S228">
        <v>2</v>
      </c>
      <c r="T228">
        <v>128</v>
      </c>
      <c r="U228">
        <v>16.842105263157894</v>
      </c>
      <c r="V228">
        <v>16</v>
      </c>
      <c r="W228">
        <v>20</v>
      </c>
      <c r="X228">
        <v>16</v>
      </c>
      <c r="Y228" t="s">
        <v>83</v>
      </c>
      <c r="Z228" t="s">
        <v>438</v>
      </c>
      <c r="AA228" t="str">
        <f>MasterStaffList_All[[#This Row],[Facility]]&amp;MasterStaffList_All[[#This Row],[Role]]&amp;MasterStaffList_All[[#This Row],[Resource]]</f>
        <v>TEAIN60</v>
      </c>
    </row>
    <row r="229" spans="1:27" hidden="1" x14ac:dyDescent="0.25">
      <c r="A229" t="s">
        <v>554</v>
      </c>
      <c r="B229" t="s">
        <v>22</v>
      </c>
      <c r="C229">
        <v>61</v>
      </c>
      <c r="E229" t="s">
        <v>76</v>
      </c>
      <c r="F229" t="s">
        <v>555</v>
      </c>
      <c r="G229" t="s">
        <v>438</v>
      </c>
      <c r="H229" t="s">
        <v>79</v>
      </c>
      <c r="I229" t="s">
        <v>22</v>
      </c>
      <c r="J229" t="b">
        <v>1</v>
      </c>
      <c r="K229" t="b">
        <v>1</v>
      </c>
      <c r="L229" t="s">
        <v>95</v>
      </c>
      <c r="M229" t="s">
        <v>81</v>
      </c>
      <c r="O229" t="s">
        <v>82</v>
      </c>
      <c r="P229">
        <v>64</v>
      </c>
      <c r="Q229">
        <v>46223</v>
      </c>
      <c r="R229">
        <v>46250</v>
      </c>
      <c r="S229">
        <v>2</v>
      </c>
      <c r="T229">
        <v>128</v>
      </c>
      <c r="U229">
        <v>16.842105263157894</v>
      </c>
      <c r="V229">
        <v>16</v>
      </c>
      <c r="W229">
        <v>20</v>
      </c>
      <c r="X229">
        <v>16</v>
      </c>
      <c r="Y229" t="s">
        <v>83</v>
      </c>
      <c r="Z229" t="s">
        <v>438</v>
      </c>
      <c r="AA229" t="str">
        <f>MasterStaffList_All[[#This Row],[Facility]]&amp;MasterStaffList_All[[#This Row],[Role]]&amp;MasterStaffList_All[[#This Row],[Resource]]</f>
        <v>TEAIN61</v>
      </c>
    </row>
    <row r="230" spans="1:27" hidden="1" x14ac:dyDescent="0.25">
      <c r="A230" t="s">
        <v>556</v>
      </c>
      <c r="B230" t="s">
        <v>22</v>
      </c>
      <c r="C230">
        <v>62</v>
      </c>
      <c r="D230" t="s">
        <v>40</v>
      </c>
      <c r="E230" t="s">
        <v>76</v>
      </c>
      <c r="F230" t="s">
        <v>557</v>
      </c>
      <c r="G230" t="s">
        <v>438</v>
      </c>
      <c r="H230" t="s">
        <v>110</v>
      </c>
      <c r="I230" t="s">
        <v>22</v>
      </c>
      <c r="J230" t="b">
        <v>0</v>
      </c>
      <c r="K230" t="b">
        <v>1</v>
      </c>
      <c r="L230" t="s">
        <v>80</v>
      </c>
      <c r="M230" t="s">
        <v>81</v>
      </c>
      <c r="O230" t="s">
        <v>82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111</v>
      </c>
      <c r="Z230" t="s">
        <v>438</v>
      </c>
      <c r="AA230" t="str">
        <f>MasterStaffList_All[[#This Row],[Facility]]&amp;MasterStaffList_All[[#This Row],[Role]]&amp;MasterStaffList_All[[#This Row],[Resource]]</f>
        <v>TEAIN62</v>
      </c>
    </row>
    <row r="231" spans="1:27" hidden="1" x14ac:dyDescent="0.25">
      <c r="A231" t="s">
        <v>558</v>
      </c>
      <c r="B231" t="s">
        <v>22</v>
      </c>
      <c r="C231">
        <v>63</v>
      </c>
      <c r="D231" t="s">
        <v>40</v>
      </c>
      <c r="E231" t="s">
        <v>76</v>
      </c>
      <c r="F231" t="s">
        <v>559</v>
      </c>
      <c r="G231" t="s">
        <v>438</v>
      </c>
      <c r="H231" t="s">
        <v>79</v>
      </c>
      <c r="I231" t="s">
        <v>22</v>
      </c>
      <c r="J231" t="b">
        <v>1</v>
      </c>
      <c r="K231" t="b">
        <v>0</v>
      </c>
      <c r="L231" t="s">
        <v>92</v>
      </c>
      <c r="M231" t="s">
        <v>81</v>
      </c>
      <c r="O231" t="s">
        <v>82</v>
      </c>
      <c r="P231">
        <v>60</v>
      </c>
      <c r="Q231">
        <v>46223</v>
      </c>
      <c r="R231">
        <v>46250</v>
      </c>
      <c r="S231">
        <v>2</v>
      </c>
      <c r="T231">
        <v>120</v>
      </c>
      <c r="U231">
        <v>15.789473684210527</v>
      </c>
      <c r="V231">
        <v>15</v>
      </c>
      <c r="W231">
        <v>20</v>
      </c>
      <c r="X231">
        <v>15</v>
      </c>
      <c r="Y231" t="s">
        <v>83</v>
      </c>
      <c r="Z231" t="s">
        <v>438</v>
      </c>
      <c r="AA231" t="str">
        <f>MasterStaffList_All[[#This Row],[Facility]]&amp;MasterStaffList_All[[#This Row],[Role]]&amp;MasterStaffList_All[[#This Row],[Resource]]</f>
        <v>TEAIN63</v>
      </c>
    </row>
    <row r="232" spans="1:27" hidden="1" x14ac:dyDescent="0.25">
      <c r="A232" t="s">
        <v>562</v>
      </c>
      <c r="B232" t="s">
        <v>22</v>
      </c>
      <c r="C232">
        <v>65</v>
      </c>
      <c r="D232" t="s">
        <v>40</v>
      </c>
      <c r="E232" t="s">
        <v>76</v>
      </c>
      <c r="F232" t="s">
        <v>563</v>
      </c>
      <c r="G232" t="s">
        <v>438</v>
      </c>
      <c r="H232" t="s">
        <v>88</v>
      </c>
      <c r="I232" t="s">
        <v>22</v>
      </c>
      <c r="J232" t="b">
        <v>0</v>
      </c>
      <c r="K232" t="b">
        <v>1</v>
      </c>
      <c r="L232" t="s">
        <v>80</v>
      </c>
      <c r="M232" t="s">
        <v>81</v>
      </c>
      <c r="O232" t="s">
        <v>89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89</v>
      </c>
      <c r="Z232" t="s">
        <v>438</v>
      </c>
      <c r="AA232" t="str">
        <f>MasterStaffList_All[[#This Row],[Facility]]&amp;MasterStaffList_All[[#This Row],[Role]]&amp;MasterStaffList_All[[#This Row],[Resource]]</f>
        <v>TEAIN65</v>
      </c>
    </row>
    <row r="233" spans="1:27" hidden="1" x14ac:dyDescent="0.25">
      <c r="A233" t="s">
        <v>564</v>
      </c>
      <c r="B233" t="s">
        <v>22</v>
      </c>
      <c r="C233">
        <v>66</v>
      </c>
      <c r="D233" t="s">
        <v>40</v>
      </c>
      <c r="E233" t="s">
        <v>76</v>
      </c>
      <c r="F233" t="s">
        <v>565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  <c r="AA233" t="str">
        <f>MasterStaffList_All[[#This Row],[Facility]]&amp;MasterStaffList_All[[#This Row],[Role]]&amp;MasterStaffList_All[[#This Row],[Resource]]</f>
        <v>TEAIN66</v>
      </c>
    </row>
    <row r="234" spans="1:27" hidden="1" x14ac:dyDescent="0.25">
      <c r="A234" t="s">
        <v>566</v>
      </c>
      <c r="B234" t="s">
        <v>22</v>
      </c>
      <c r="C234">
        <v>67</v>
      </c>
      <c r="D234" t="s">
        <v>40</v>
      </c>
      <c r="E234" t="s">
        <v>76</v>
      </c>
      <c r="F234" t="s">
        <v>567</v>
      </c>
      <c r="G234" t="s">
        <v>438</v>
      </c>
      <c r="H234" t="s">
        <v>88</v>
      </c>
      <c r="I234" t="s">
        <v>22</v>
      </c>
      <c r="J234" t="b">
        <v>0</v>
      </c>
      <c r="K234" t="b">
        <v>1</v>
      </c>
      <c r="L234" t="s">
        <v>80</v>
      </c>
      <c r="M234" t="s">
        <v>81</v>
      </c>
      <c r="O234" t="s">
        <v>89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89</v>
      </c>
      <c r="Z234" t="s">
        <v>438</v>
      </c>
      <c r="AA234" t="str">
        <f>MasterStaffList_All[[#This Row],[Facility]]&amp;MasterStaffList_All[[#This Row],[Role]]&amp;MasterStaffList_All[[#This Row],[Resource]]</f>
        <v>TEAIN67</v>
      </c>
    </row>
    <row r="235" spans="1:27" hidden="1" x14ac:dyDescent="0.25">
      <c r="A235" t="s">
        <v>568</v>
      </c>
      <c r="B235" t="s">
        <v>22</v>
      </c>
      <c r="C235">
        <v>68</v>
      </c>
      <c r="E235" t="s">
        <v>76</v>
      </c>
      <c r="F235" t="s">
        <v>569</v>
      </c>
      <c r="G235" t="s">
        <v>438</v>
      </c>
      <c r="H235" t="s">
        <v>110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76</v>
      </c>
      <c r="Q235">
        <v>46223</v>
      </c>
      <c r="R235">
        <v>46250</v>
      </c>
      <c r="S235">
        <v>2</v>
      </c>
      <c r="T235">
        <v>152</v>
      </c>
      <c r="U235">
        <v>20</v>
      </c>
      <c r="V235">
        <v>20</v>
      </c>
      <c r="W235">
        <v>20</v>
      </c>
      <c r="X235">
        <v>20</v>
      </c>
      <c r="Y235" t="s">
        <v>111</v>
      </c>
      <c r="Z235" t="s">
        <v>438</v>
      </c>
      <c r="AA235" t="str">
        <f>MasterStaffList_All[[#This Row],[Facility]]&amp;MasterStaffList_All[[#This Row],[Role]]&amp;MasterStaffList_All[[#This Row],[Resource]]</f>
        <v>TEAIN68</v>
      </c>
    </row>
    <row r="236" spans="1:27" hidden="1" x14ac:dyDescent="0.25">
      <c r="A236" t="s">
        <v>570</v>
      </c>
      <c r="B236" t="s">
        <v>22</v>
      </c>
      <c r="C236">
        <v>69</v>
      </c>
      <c r="E236" t="s">
        <v>76</v>
      </c>
      <c r="F236" t="s">
        <v>571</v>
      </c>
      <c r="G236" t="s">
        <v>438</v>
      </c>
      <c r="H236" t="s">
        <v>110</v>
      </c>
      <c r="I236" t="s">
        <v>22</v>
      </c>
      <c r="J236" t="b">
        <v>1</v>
      </c>
      <c r="K236" t="b">
        <v>0</v>
      </c>
      <c r="L236" t="s">
        <v>92</v>
      </c>
      <c r="M236" t="s">
        <v>81</v>
      </c>
      <c r="O236" t="s">
        <v>82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111</v>
      </c>
      <c r="Z236" t="s">
        <v>438</v>
      </c>
      <c r="AA236" t="str">
        <f>MasterStaffList_All[[#This Row],[Facility]]&amp;MasterStaffList_All[[#This Row],[Role]]&amp;MasterStaffList_All[[#This Row],[Resource]]</f>
        <v>TEAIN69</v>
      </c>
    </row>
    <row r="237" spans="1:27" hidden="1" x14ac:dyDescent="0.25">
      <c r="A237" t="s">
        <v>574</v>
      </c>
      <c r="B237" t="s">
        <v>22</v>
      </c>
      <c r="C237">
        <v>71</v>
      </c>
      <c r="E237" t="s">
        <v>76</v>
      </c>
      <c r="F237" t="s">
        <v>575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  <c r="AA237" t="str">
        <f>MasterStaffList_All[[#This Row],[Facility]]&amp;MasterStaffList_All[[#This Row],[Role]]&amp;MasterStaffList_All[[#This Row],[Resource]]</f>
        <v>TEAIN71</v>
      </c>
    </row>
    <row r="238" spans="1:27" hidden="1" x14ac:dyDescent="0.25">
      <c r="A238" t="s">
        <v>451</v>
      </c>
      <c r="B238" t="s">
        <v>22</v>
      </c>
      <c r="C238">
        <v>8</v>
      </c>
      <c r="E238" t="s">
        <v>76</v>
      </c>
      <c r="F238" t="s">
        <v>452</v>
      </c>
      <c r="G238" t="s">
        <v>438</v>
      </c>
      <c r="H238" t="s">
        <v>79</v>
      </c>
      <c r="I238" t="s">
        <v>22</v>
      </c>
      <c r="J238" t="b">
        <v>1</v>
      </c>
      <c r="K238" t="b">
        <v>1</v>
      </c>
      <c r="L238" t="s">
        <v>95</v>
      </c>
      <c r="M238" t="s">
        <v>81</v>
      </c>
      <c r="O238" t="s">
        <v>82</v>
      </c>
      <c r="P238">
        <v>64</v>
      </c>
      <c r="Q238">
        <v>46223</v>
      </c>
      <c r="R238">
        <v>46250</v>
      </c>
      <c r="S238">
        <v>2</v>
      </c>
      <c r="T238">
        <v>128</v>
      </c>
      <c r="U238">
        <v>16.842105263157894</v>
      </c>
      <c r="V238">
        <v>16</v>
      </c>
      <c r="W238">
        <v>20</v>
      </c>
      <c r="X238">
        <v>16</v>
      </c>
      <c r="Y238" t="s">
        <v>83</v>
      </c>
      <c r="Z238" t="s">
        <v>438</v>
      </c>
      <c r="AA238" t="str">
        <f>MasterStaffList_All[[#This Row],[Facility]]&amp;MasterStaffList_All[[#This Row],[Role]]&amp;MasterStaffList_All[[#This Row],[Resource]]</f>
        <v>TEAIN8</v>
      </c>
    </row>
    <row r="239" spans="1:27" hidden="1" x14ac:dyDescent="0.25">
      <c r="A239" t="s">
        <v>453</v>
      </c>
      <c r="B239" t="s">
        <v>22</v>
      </c>
      <c r="C239">
        <v>9</v>
      </c>
      <c r="E239" t="s">
        <v>76</v>
      </c>
      <c r="F239" t="s">
        <v>454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  <c r="AA239" t="str">
        <f>MasterStaffList_All[[#This Row],[Facility]]&amp;MasterStaffList_All[[#This Row],[Role]]&amp;MasterStaffList_All[[#This Row],[Resource]]</f>
        <v>TEAIN9</v>
      </c>
    </row>
    <row r="240" spans="1:27" hidden="1" x14ac:dyDescent="0.25">
      <c r="A240" t="s">
        <v>481</v>
      </c>
      <c r="B240" t="s">
        <v>31</v>
      </c>
      <c r="C240">
        <v>23</v>
      </c>
      <c r="E240" t="s">
        <v>76</v>
      </c>
      <c r="F240" t="s">
        <v>482</v>
      </c>
      <c r="G240" t="s">
        <v>438</v>
      </c>
      <c r="H240" t="s">
        <v>110</v>
      </c>
      <c r="I240" t="s">
        <v>31</v>
      </c>
      <c r="J240" t="b">
        <v>1</v>
      </c>
      <c r="K240" t="b">
        <v>0</v>
      </c>
      <c r="L240" t="s">
        <v>92</v>
      </c>
      <c r="M240" t="s">
        <v>81</v>
      </c>
      <c r="O240" t="s">
        <v>82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111</v>
      </c>
      <c r="Z240" t="s">
        <v>438</v>
      </c>
      <c r="AA240" t="str">
        <f>MasterStaffList_All[[#This Row],[Facility]]&amp;MasterStaffList_All[[#This Row],[Role]]&amp;MasterStaffList_All[[#This Row],[Resource]]</f>
        <v>TEEN23</v>
      </c>
    </row>
    <row r="241" spans="1:27" hidden="1" x14ac:dyDescent="0.25">
      <c r="A241" t="s">
        <v>487</v>
      </c>
      <c r="B241" t="s">
        <v>31</v>
      </c>
      <c r="C241">
        <v>26</v>
      </c>
      <c r="E241" t="s">
        <v>76</v>
      </c>
      <c r="F241" t="s">
        <v>189</v>
      </c>
      <c r="G241" t="s">
        <v>438</v>
      </c>
      <c r="H241" t="s">
        <v>79</v>
      </c>
      <c r="I241" t="s">
        <v>31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72</v>
      </c>
      <c r="Q241">
        <v>46223</v>
      </c>
      <c r="R241">
        <v>46250</v>
      </c>
      <c r="S241">
        <v>2</v>
      </c>
      <c r="T241">
        <v>144</v>
      </c>
      <c r="U241">
        <v>18.947368421052634</v>
      </c>
      <c r="V241">
        <v>18</v>
      </c>
      <c r="W241">
        <v>20</v>
      </c>
      <c r="X241">
        <v>18</v>
      </c>
      <c r="Y241" t="s">
        <v>83</v>
      </c>
      <c r="Z241" t="s">
        <v>438</v>
      </c>
      <c r="AA241" t="str">
        <f>MasterStaffList_All[[#This Row],[Facility]]&amp;MasterStaffList_All[[#This Row],[Role]]&amp;MasterStaffList_All[[#This Row],[Resource]]</f>
        <v>TEEN26</v>
      </c>
    </row>
    <row r="242" spans="1:27" hidden="1" x14ac:dyDescent="0.25">
      <c r="A242" t="s">
        <v>560</v>
      </c>
      <c r="B242" t="s">
        <v>31</v>
      </c>
      <c r="C242">
        <v>64</v>
      </c>
      <c r="E242" t="s">
        <v>76</v>
      </c>
      <c r="F242" t="s">
        <v>561</v>
      </c>
      <c r="G242" t="s">
        <v>438</v>
      </c>
      <c r="H242" t="s">
        <v>88</v>
      </c>
      <c r="I242" t="s">
        <v>31</v>
      </c>
      <c r="J242" t="b">
        <v>1</v>
      </c>
      <c r="K242" t="b">
        <v>0</v>
      </c>
      <c r="L242" t="s">
        <v>92</v>
      </c>
      <c r="M242" t="s">
        <v>81</v>
      </c>
      <c r="O242" t="s">
        <v>89</v>
      </c>
      <c r="P242">
        <v>76</v>
      </c>
      <c r="Q242">
        <v>46223</v>
      </c>
      <c r="R242">
        <v>46250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89</v>
      </c>
      <c r="Z242" t="s">
        <v>438</v>
      </c>
      <c r="AA242" t="str">
        <f>MasterStaffList_All[[#This Row],[Facility]]&amp;MasterStaffList_All[[#This Row],[Role]]&amp;MasterStaffList_All[[#This Row],[Resource]]</f>
        <v>TEEN64</v>
      </c>
    </row>
    <row r="243" spans="1:27" hidden="1" x14ac:dyDescent="0.25">
      <c r="A243" t="s">
        <v>449</v>
      </c>
      <c r="B243" t="s">
        <v>31</v>
      </c>
      <c r="C243">
        <v>7</v>
      </c>
      <c r="E243" t="s">
        <v>76</v>
      </c>
      <c r="F243" t="s">
        <v>450</v>
      </c>
      <c r="G243" t="s">
        <v>438</v>
      </c>
      <c r="H243" t="s">
        <v>79</v>
      </c>
      <c r="I243" t="s">
        <v>31</v>
      </c>
      <c r="J243" t="b">
        <v>1</v>
      </c>
      <c r="K243" t="b">
        <v>1</v>
      </c>
      <c r="L243" t="s">
        <v>95</v>
      </c>
      <c r="M243" t="s">
        <v>81</v>
      </c>
      <c r="O243" t="s">
        <v>82</v>
      </c>
      <c r="P243">
        <v>56</v>
      </c>
      <c r="Q243">
        <v>46223</v>
      </c>
      <c r="R243">
        <v>46250</v>
      </c>
      <c r="S243">
        <v>2</v>
      </c>
      <c r="T243">
        <v>112</v>
      </c>
      <c r="U243">
        <v>14.736842105263159</v>
      </c>
      <c r="V243">
        <v>14</v>
      </c>
      <c r="W243">
        <v>20</v>
      </c>
      <c r="X243">
        <v>14</v>
      </c>
      <c r="Y243" t="s">
        <v>83</v>
      </c>
      <c r="Z243" t="s">
        <v>438</v>
      </c>
      <c r="AA243" t="str">
        <f>MasterStaffList_All[[#This Row],[Facility]]&amp;MasterStaffList_All[[#This Row],[Role]]&amp;MasterStaffList_All[[#This Row],[Resource]]</f>
        <v>TEEN7</v>
      </c>
    </row>
    <row r="244" spans="1:27" hidden="1" x14ac:dyDescent="0.25">
      <c r="A244" t="s">
        <v>455</v>
      </c>
      <c r="B244" t="s">
        <v>29</v>
      </c>
      <c r="C244">
        <v>10</v>
      </c>
      <c r="E244" t="s">
        <v>76</v>
      </c>
      <c r="F244" t="s">
        <v>456</v>
      </c>
      <c r="G244" t="s">
        <v>438</v>
      </c>
      <c r="H244" t="s">
        <v>110</v>
      </c>
      <c r="I244" t="s">
        <v>29</v>
      </c>
      <c r="J244" t="b">
        <v>1</v>
      </c>
      <c r="K244" t="b">
        <v>1</v>
      </c>
      <c r="L244" t="s">
        <v>95</v>
      </c>
      <c r="M244" t="s">
        <v>81</v>
      </c>
      <c r="O244" t="s">
        <v>82</v>
      </c>
      <c r="P244">
        <v>76</v>
      </c>
      <c r="Q244">
        <v>46223</v>
      </c>
      <c r="R244">
        <v>46250</v>
      </c>
      <c r="S244">
        <v>2</v>
      </c>
      <c r="T244">
        <v>152</v>
      </c>
      <c r="U244">
        <v>20</v>
      </c>
      <c r="V244">
        <v>20</v>
      </c>
      <c r="W244">
        <v>20</v>
      </c>
      <c r="X244">
        <v>20</v>
      </c>
      <c r="Y244" t="s">
        <v>111</v>
      </c>
      <c r="Z244" t="s">
        <v>438</v>
      </c>
      <c r="AA244" t="str">
        <f>MasterStaffList_All[[#This Row],[Facility]]&amp;MasterStaffList_All[[#This Row],[Role]]&amp;MasterStaffList_All[[#This Row],[Resource]]</f>
        <v>TERN10</v>
      </c>
    </row>
    <row r="245" spans="1:27" hidden="1" x14ac:dyDescent="0.25">
      <c r="A245" t="s">
        <v>467</v>
      </c>
      <c r="B245" t="s">
        <v>29</v>
      </c>
      <c r="C245">
        <v>16</v>
      </c>
      <c r="E245" t="s">
        <v>76</v>
      </c>
      <c r="F245" t="s">
        <v>468</v>
      </c>
      <c r="G245" t="s">
        <v>438</v>
      </c>
      <c r="H245" t="s">
        <v>110</v>
      </c>
      <c r="I245" t="s">
        <v>29</v>
      </c>
      <c r="J245" t="b">
        <v>1</v>
      </c>
      <c r="K245" t="b">
        <v>1</v>
      </c>
      <c r="L245" t="s">
        <v>95</v>
      </c>
      <c r="M245" t="s">
        <v>81</v>
      </c>
      <c r="O245" t="s">
        <v>82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111</v>
      </c>
      <c r="Z245" t="s">
        <v>438</v>
      </c>
      <c r="AA245" t="str">
        <f>MasterStaffList_All[[#This Row],[Facility]]&amp;MasterStaffList_All[[#This Row],[Role]]&amp;MasterStaffList_All[[#This Row],[Resource]]</f>
        <v>TERN16</v>
      </c>
    </row>
    <row r="246" spans="1:27" hidden="1" x14ac:dyDescent="0.25">
      <c r="A246" t="s">
        <v>441</v>
      </c>
      <c r="B246" t="s">
        <v>29</v>
      </c>
      <c r="C246">
        <v>2</v>
      </c>
      <c r="E246" t="s">
        <v>76</v>
      </c>
      <c r="F246" t="s">
        <v>442</v>
      </c>
      <c r="G246" t="s">
        <v>438</v>
      </c>
      <c r="H246" t="s">
        <v>88</v>
      </c>
      <c r="I246" t="s">
        <v>29</v>
      </c>
      <c r="J246" t="b">
        <v>1</v>
      </c>
      <c r="K246" t="b">
        <v>0</v>
      </c>
      <c r="L246" t="s">
        <v>92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  <c r="AA246" t="str">
        <f>MasterStaffList_All[[#This Row],[Facility]]&amp;MasterStaffList_All[[#This Row],[Role]]&amp;MasterStaffList_All[[#This Row],[Resource]]</f>
        <v>TERN2</v>
      </c>
    </row>
    <row r="247" spans="1:27" hidden="1" x14ac:dyDescent="0.25">
      <c r="A247" t="s">
        <v>508</v>
      </c>
      <c r="B247" t="s">
        <v>29</v>
      </c>
      <c r="C247">
        <v>37</v>
      </c>
      <c r="E247" t="s">
        <v>76</v>
      </c>
      <c r="F247" t="s">
        <v>509</v>
      </c>
      <c r="G247" t="s">
        <v>438</v>
      </c>
      <c r="H247" t="s">
        <v>110</v>
      </c>
      <c r="I247" t="s">
        <v>29</v>
      </c>
      <c r="J247" t="b">
        <v>1</v>
      </c>
      <c r="K247" t="b">
        <v>0</v>
      </c>
      <c r="L247" t="s">
        <v>92</v>
      </c>
      <c r="M247" t="s">
        <v>81</v>
      </c>
      <c r="O247" t="s">
        <v>82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111</v>
      </c>
      <c r="Z247" t="s">
        <v>438</v>
      </c>
      <c r="AA247" t="str">
        <f>MasterStaffList_All[[#This Row],[Facility]]&amp;MasterStaffList_All[[#This Row],[Role]]&amp;MasterStaffList_All[[#This Row],[Resource]]</f>
        <v>TERN37</v>
      </c>
    </row>
    <row r="248" spans="1:27" hidden="1" x14ac:dyDescent="0.25">
      <c r="A248" t="s">
        <v>522</v>
      </c>
      <c r="B248" t="s">
        <v>29</v>
      </c>
      <c r="C248">
        <v>44</v>
      </c>
      <c r="E248" t="s">
        <v>76</v>
      </c>
      <c r="F248" t="s">
        <v>523</v>
      </c>
      <c r="G248" t="s">
        <v>438</v>
      </c>
      <c r="H248" t="s">
        <v>79</v>
      </c>
      <c r="I248" t="s">
        <v>29</v>
      </c>
      <c r="J248" t="b">
        <v>1</v>
      </c>
      <c r="K248" t="b">
        <v>1</v>
      </c>
      <c r="L248" t="s">
        <v>95</v>
      </c>
      <c r="M248" t="s">
        <v>81</v>
      </c>
      <c r="O248" t="s">
        <v>82</v>
      </c>
      <c r="P248">
        <v>56</v>
      </c>
      <c r="Q248">
        <v>46223</v>
      </c>
      <c r="R248">
        <v>46250</v>
      </c>
      <c r="S248">
        <v>2</v>
      </c>
      <c r="T248">
        <v>112</v>
      </c>
      <c r="U248">
        <v>14.736842105263159</v>
      </c>
      <c r="V248">
        <v>14</v>
      </c>
      <c r="W248">
        <v>20</v>
      </c>
      <c r="X248">
        <v>14</v>
      </c>
      <c r="Y248" t="s">
        <v>83</v>
      </c>
      <c r="Z248" t="s">
        <v>438</v>
      </c>
      <c r="AA248" t="str">
        <f>MasterStaffList_All[[#This Row],[Facility]]&amp;MasterStaffList_All[[#This Row],[Role]]&amp;MasterStaffList_All[[#This Row],[Resource]]</f>
        <v>TERN44</v>
      </c>
    </row>
    <row r="249" spans="1:27" hidden="1" x14ac:dyDescent="0.25">
      <c r="A249" t="s">
        <v>526</v>
      </c>
      <c r="B249" t="s">
        <v>29</v>
      </c>
      <c r="C249">
        <v>46</v>
      </c>
      <c r="E249" t="s">
        <v>76</v>
      </c>
      <c r="F249" t="s">
        <v>527</v>
      </c>
      <c r="G249" t="s">
        <v>438</v>
      </c>
      <c r="H249" t="s">
        <v>79</v>
      </c>
      <c r="I249" t="s">
        <v>29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48</v>
      </c>
      <c r="Q249">
        <v>46223</v>
      </c>
      <c r="R249">
        <v>46250</v>
      </c>
      <c r="S249">
        <v>2</v>
      </c>
      <c r="T249">
        <v>96</v>
      </c>
      <c r="U249">
        <v>12.631578947368419</v>
      </c>
      <c r="V249">
        <v>12</v>
      </c>
      <c r="W249">
        <v>20</v>
      </c>
      <c r="X249">
        <v>12</v>
      </c>
      <c r="Y249" t="s">
        <v>83</v>
      </c>
      <c r="Z249" t="s">
        <v>438</v>
      </c>
      <c r="AA249" t="str">
        <f>MasterStaffList_All[[#This Row],[Facility]]&amp;MasterStaffList_All[[#This Row],[Role]]&amp;MasterStaffList_All[[#This Row],[Resource]]</f>
        <v>TERN46</v>
      </c>
    </row>
    <row r="250" spans="1:27" hidden="1" x14ac:dyDescent="0.25">
      <c r="A250" t="s">
        <v>534</v>
      </c>
      <c r="B250" t="s">
        <v>29</v>
      </c>
      <c r="C250">
        <v>50</v>
      </c>
      <c r="E250" t="s">
        <v>76</v>
      </c>
      <c r="F250" t="s">
        <v>535</v>
      </c>
      <c r="G250" t="s">
        <v>438</v>
      </c>
      <c r="H250" t="s">
        <v>110</v>
      </c>
      <c r="I250" t="s">
        <v>29</v>
      </c>
      <c r="J250" t="b">
        <v>1</v>
      </c>
      <c r="K250" t="b">
        <v>1</v>
      </c>
      <c r="L250" t="s">
        <v>95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  <c r="AA250" t="str">
        <f>MasterStaffList_All[[#This Row],[Facility]]&amp;MasterStaffList_All[[#This Row],[Role]]&amp;MasterStaffList_All[[#This Row],[Resource]]</f>
        <v>TERN50</v>
      </c>
    </row>
    <row r="251" spans="1:27" hidden="1" x14ac:dyDescent="0.25">
      <c r="A251" t="s">
        <v>447</v>
      </c>
      <c r="B251" t="s">
        <v>29</v>
      </c>
      <c r="C251">
        <v>6</v>
      </c>
      <c r="E251" t="s">
        <v>76</v>
      </c>
      <c r="F251" t="s">
        <v>448</v>
      </c>
      <c r="G251" t="s">
        <v>438</v>
      </c>
      <c r="H251" t="s">
        <v>110</v>
      </c>
      <c r="I251" t="s">
        <v>29</v>
      </c>
      <c r="J251" t="b">
        <v>1</v>
      </c>
      <c r="K251" t="b">
        <v>1</v>
      </c>
      <c r="L251" t="s">
        <v>95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  <c r="AA251" t="str">
        <f>MasterStaffList_All[[#This Row],[Facility]]&amp;MasterStaffList_All[[#This Row],[Role]]&amp;MasterStaffList_All[[#This Row],[Resource]]</f>
        <v>TERN6</v>
      </c>
    </row>
    <row r="252" spans="1:27" hidden="1" x14ac:dyDescent="0.25">
      <c r="A252" t="s">
        <v>572</v>
      </c>
      <c r="B252" t="s">
        <v>29</v>
      </c>
      <c r="C252">
        <v>70</v>
      </c>
      <c r="E252" t="s">
        <v>76</v>
      </c>
      <c r="F252" t="s">
        <v>573</v>
      </c>
      <c r="G252" t="s">
        <v>438</v>
      </c>
      <c r="H252" t="s">
        <v>110</v>
      </c>
      <c r="I252" t="s">
        <v>29</v>
      </c>
      <c r="J252" t="b">
        <v>1</v>
      </c>
      <c r="K252" t="b">
        <v>0</v>
      </c>
      <c r="L252" t="s">
        <v>92</v>
      </c>
      <c r="M252" t="s">
        <v>81</v>
      </c>
      <c r="O252" t="s">
        <v>82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111</v>
      </c>
      <c r="Z252" t="s">
        <v>438</v>
      </c>
      <c r="AA252" t="str">
        <f>MasterStaffList_All[[#This Row],[Facility]]&amp;MasterStaffList_All[[#This Row],[Role]]&amp;MasterStaffList_All[[#This Row],[Resource]]</f>
        <v>TERN70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52"/>
  <sheetViews>
    <sheetView workbookViewId="0"/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346</v>
      </c>
    </row>
    <row r="3" spans="1:26" x14ac:dyDescent="0.25">
      <c r="A3" t="s">
        <v>347</v>
      </c>
      <c r="B3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346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346</v>
      </c>
    </row>
    <row r="5" spans="1:26" x14ac:dyDescent="0.25">
      <c r="A5" t="s">
        <v>349</v>
      </c>
      <c r="B5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346</v>
      </c>
    </row>
    <row r="6" spans="1:26" x14ac:dyDescent="0.25">
      <c r="A6" t="s">
        <v>351</v>
      </c>
      <c r="B6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x14ac:dyDescent="0.25">
      <c r="A7" t="s">
        <v>353</v>
      </c>
      <c r="B7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346</v>
      </c>
    </row>
    <row r="8" spans="1:26" x14ac:dyDescent="0.25">
      <c r="A8" t="s">
        <v>355</v>
      </c>
      <c r="B8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346</v>
      </c>
    </row>
    <row r="9" spans="1:26" x14ac:dyDescent="0.25">
      <c r="A9" t="s">
        <v>357</v>
      </c>
      <c r="B9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346</v>
      </c>
    </row>
    <row r="10" spans="1:26" x14ac:dyDescent="0.25">
      <c r="A10" t="s">
        <v>359</v>
      </c>
      <c r="B10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346</v>
      </c>
    </row>
    <row r="11" spans="1:26" x14ac:dyDescent="0.25">
      <c r="A11" t="s">
        <v>361</v>
      </c>
      <c r="B11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346</v>
      </c>
    </row>
    <row r="12" spans="1:26" x14ac:dyDescent="0.25">
      <c r="A12" t="s">
        <v>363</v>
      </c>
      <c r="B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346</v>
      </c>
    </row>
    <row r="13" spans="1:26" x14ac:dyDescent="0.25">
      <c r="A13" t="s">
        <v>365</v>
      </c>
      <c r="B13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346</v>
      </c>
    </row>
    <row r="14" spans="1:26" x14ac:dyDescent="0.25">
      <c r="A14" t="s">
        <v>367</v>
      </c>
      <c r="B14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346</v>
      </c>
    </row>
    <row r="15" spans="1:26" x14ac:dyDescent="0.25">
      <c r="A15" t="s">
        <v>369</v>
      </c>
      <c r="B15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346</v>
      </c>
    </row>
    <row r="16" spans="1:26" x14ac:dyDescent="0.25">
      <c r="A16" t="s">
        <v>371</v>
      </c>
      <c r="B16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346</v>
      </c>
    </row>
    <row r="17" spans="1:26" x14ac:dyDescent="0.25">
      <c r="A17" t="s">
        <v>373</v>
      </c>
      <c r="B17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346</v>
      </c>
    </row>
    <row r="18" spans="1:26" x14ac:dyDescent="0.25">
      <c r="A18" t="s">
        <v>375</v>
      </c>
      <c r="B18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346</v>
      </c>
    </row>
    <row r="19" spans="1:26" x14ac:dyDescent="0.25">
      <c r="A19" t="s">
        <v>376</v>
      </c>
      <c r="B19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346</v>
      </c>
    </row>
    <row r="20" spans="1:26" x14ac:dyDescent="0.25">
      <c r="A20" t="s">
        <v>378</v>
      </c>
      <c r="B20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346</v>
      </c>
    </row>
    <row r="21" spans="1:26" x14ac:dyDescent="0.25">
      <c r="A21" t="s">
        <v>380</v>
      </c>
      <c r="B21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x14ac:dyDescent="0.25">
      <c r="A22" t="s">
        <v>382</v>
      </c>
      <c r="B2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346</v>
      </c>
    </row>
    <row r="23" spans="1:26" x14ac:dyDescent="0.25">
      <c r="A23" t="s">
        <v>384</v>
      </c>
      <c r="B23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346</v>
      </c>
    </row>
    <row r="24" spans="1:26" x14ac:dyDescent="0.25">
      <c r="A24" t="s">
        <v>386</v>
      </c>
      <c r="B24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346</v>
      </c>
    </row>
    <row r="25" spans="1:26" x14ac:dyDescent="0.25">
      <c r="A25" t="s">
        <v>388</v>
      </c>
      <c r="B25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346</v>
      </c>
    </row>
    <row r="26" spans="1:26" x14ac:dyDescent="0.25">
      <c r="A26" t="s">
        <v>390</v>
      </c>
      <c r="B26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346</v>
      </c>
    </row>
    <row r="27" spans="1:26" x14ac:dyDescent="0.25">
      <c r="A27" t="s">
        <v>392</v>
      </c>
      <c r="B27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346</v>
      </c>
    </row>
    <row r="28" spans="1:26" x14ac:dyDescent="0.25">
      <c r="A28" t="s">
        <v>394</v>
      </c>
      <c r="B28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346</v>
      </c>
    </row>
    <row r="29" spans="1:26" x14ac:dyDescent="0.25">
      <c r="A29" t="s">
        <v>224</v>
      </c>
      <c r="B29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346</v>
      </c>
    </row>
    <row r="30" spans="1:26" x14ac:dyDescent="0.25">
      <c r="A30" t="s">
        <v>396</v>
      </c>
      <c r="B30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346</v>
      </c>
    </row>
    <row r="31" spans="1:26" x14ac:dyDescent="0.25">
      <c r="A31" t="s">
        <v>398</v>
      </c>
      <c r="B31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346</v>
      </c>
    </row>
    <row r="32" spans="1:26" x14ac:dyDescent="0.25">
      <c r="A32" t="s">
        <v>238</v>
      </c>
      <c r="B3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346</v>
      </c>
    </row>
    <row r="33" spans="1:26" x14ac:dyDescent="0.25">
      <c r="A33" t="s">
        <v>400</v>
      </c>
      <c r="B33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346</v>
      </c>
    </row>
    <row r="34" spans="1:26" x14ac:dyDescent="0.25">
      <c r="A34" t="s">
        <v>258</v>
      </c>
      <c r="B34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346</v>
      </c>
    </row>
    <row r="35" spans="1:26" x14ac:dyDescent="0.25">
      <c r="A35" t="s">
        <v>402</v>
      </c>
      <c r="B35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346</v>
      </c>
    </row>
    <row r="36" spans="1:26" x14ac:dyDescent="0.25">
      <c r="A36" t="s">
        <v>404</v>
      </c>
      <c r="B36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346</v>
      </c>
    </row>
    <row r="37" spans="1:26" x14ac:dyDescent="0.25">
      <c r="A37" t="s">
        <v>406</v>
      </c>
      <c r="B37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346</v>
      </c>
    </row>
    <row r="38" spans="1:26" x14ac:dyDescent="0.25">
      <c r="A38" t="s">
        <v>408</v>
      </c>
      <c r="B38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346</v>
      </c>
    </row>
    <row r="39" spans="1:26" x14ac:dyDescent="0.25">
      <c r="A39" t="s">
        <v>410</v>
      </c>
      <c r="B39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346</v>
      </c>
    </row>
    <row r="40" spans="1:26" x14ac:dyDescent="0.25">
      <c r="A40" t="s">
        <v>412</v>
      </c>
      <c r="B40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346</v>
      </c>
    </row>
    <row r="41" spans="1:26" x14ac:dyDescent="0.25">
      <c r="A41" t="s">
        <v>414</v>
      </c>
      <c r="B41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346</v>
      </c>
    </row>
    <row r="42" spans="1:26" x14ac:dyDescent="0.25">
      <c r="A42" t="s">
        <v>416</v>
      </c>
      <c r="B4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346</v>
      </c>
    </row>
    <row r="43" spans="1:26" x14ac:dyDescent="0.25">
      <c r="A43" t="s">
        <v>418</v>
      </c>
      <c r="B43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346</v>
      </c>
    </row>
    <row r="44" spans="1:26" x14ac:dyDescent="0.25">
      <c r="A44" t="s">
        <v>420</v>
      </c>
      <c r="B44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346</v>
      </c>
    </row>
    <row r="45" spans="1:26" x14ac:dyDescent="0.25">
      <c r="A45" t="s">
        <v>422</v>
      </c>
      <c r="B45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346</v>
      </c>
    </row>
    <row r="46" spans="1:26" x14ac:dyDescent="0.25">
      <c r="A46" t="s">
        <v>424</v>
      </c>
      <c r="B46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346</v>
      </c>
    </row>
    <row r="47" spans="1:26" x14ac:dyDescent="0.25">
      <c r="A47" t="s">
        <v>426</v>
      </c>
      <c r="B47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346</v>
      </c>
    </row>
    <row r="48" spans="1:26" x14ac:dyDescent="0.25">
      <c r="A48" t="s">
        <v>428</v>
      </c>
      <c r="B48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346</v>
      </c>
    </row>
    <row r="49" spans="1:26" x14ac:dyDescent="0.25">
      <c r="A49" t="s">
        <v>430</v>
      </c>
      <c r="B49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346</v>
      </c>
    </row>
    <row r="50" spans="1:26" x14ac:dyDescent="0.25">
      <c r="A50" t="s">
        <v>432</v>
      </c>
      <c r="B50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346</v>
      </c>
    </row>
    <row r="51" spans="1:26" x14ac:dyDescent="0.25">
      <c r="A51" t="s">
        <v>434</v>
      </c>
      <c r="B51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x14ac:dyDescent="0.25">
      <c r="A52" t="s">
        <v>436</v>
      </c>
      <c r="B5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346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30"/>
  <sheetViews>
    <sheetView workbookViewId="0"/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252"/>
  <sheetViews>
    <sheetView tabSelected="1" workbookViewId="0">
      <selection activeCell="C40" sqref="C40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hidden="1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hidden="1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hidden="1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hidden="1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hidden="1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hidden="1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hidden="1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hidden="1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hidden="1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hidden="1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hidden="1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hidden="1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hidden="1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hidden="1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hidden="1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hidden="1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hidden="1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hidden="1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hidden="1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hidden="1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hidden="1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hidden="1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hidden="1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hidden="1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hidden="1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hidden="1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hidden="1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hidden="1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hidden="1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hidden="1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hidden="1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hidden="1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hidden="1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hidden="1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hidden="1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hidden="1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hidden="1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hidden="1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hidden="1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hidden="1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hidden="1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hidden="1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hidden="1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hidden="1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hidden="1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hidden="1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hidden="1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hidden="1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hidden="1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hidden="1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hidden="1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hidden="1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hidden="1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hidden="1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hidden="1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hidden="1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hidden="1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hidden="1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hidden="1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hidden="1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hidden="1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hidden="1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hidden="1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hidden="1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hidden="1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hidden="1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hidden="1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hidden="1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hidden="1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hidden="1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hidden="1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hidden="1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hidden="1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hidden="1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hidden="1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hidden="1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hidden="1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hidden="1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hidden="1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hidden="1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hidden="1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hidden="1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hidden="1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hidden="1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hidden="1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hidden="1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hidden="1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hidden="1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hidden="1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hidden="1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hidden="1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hidden="1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hidden="1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hidden="1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hidden="1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hidden="1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hidden="1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hidden="1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hidden="1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hidden="1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hidden="1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hidden="1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hidden="1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hidden="1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hidden="1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hidden="1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hidden="1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hidden="1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hidden="1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hidden="1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hidden="1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hidden="1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hidden="1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hidden="1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hidden="1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hidden="1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hidden="1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hidden="1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hidden="1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hidden="1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hidden="1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hidden="1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hidden="1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hidden="1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hidden="1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hidden="1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hidden="1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  <row r="131" spans="1:26" hidden="1" x14ac:dyDescent="0.25">
      <c r="A131" t="s">
        <v>75</v>
      </c>
      <c r="B131" t="s">
        <v>22</v>
      </c>
      <c r="C131">
        <v>1</v>
      </c>
      <c r="D131" t="s">
        <v>40</v>
      </c>
      <c r="E131" t="s">
        <v>76</v>
      </c>
      <c r="F131" t="s">
        <v>77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</row>
    <row r="132" spans="1:26" hidden="1" x14ac:dyDescent="0.25">
      <c r="A132" t="s">
        <v>347</v>
      </c>
      <c r="B132" t="s">
        <v>22</v>
      </c>
      <c r="C132">
        <v>2</v>
      </c>
      <c r="D132" t="s">
        <v>40</v>
      </c>
      <c r="E132" t="s">
        <v>76</v>
      </c>
      <c r="F132" t="s">
        <v>348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hidden="1" x14ac:dyDescent="0.25">
      <c r="A133" t="s">
        <v>86</v>
      </c>
      <c r="B133" t="s">
        <v>22</v>
      </c>
      <c r="C133">
        <v>3</v>
      </c>
      <c r="D133" t="s">
        <v>40</v>
      </c>
      <c r="E133" t="s">
        <v>76</v>
      </c>
      <c r="F133" t="s">
        <v>87</v>
      </c>
      <c r="G133" t="s">
        <v>346</v>
      </c>
      <c r="H133" t="s">
        <v>88</v>
      </c>
      <c r="I133" t="s">
        <v>22</v>
      </c>
      <c r="J133" t="b">
        <v>0</v>
      </c>
      <c r="K133" t="b">
        <v>1</v>
      </c>
      <c r="L133" t="s">
        <v>80</v>
      </c>
      <c r="M133" t="s">
        <v>81</v>
      </c>
      <c r="O133" t="s">
        <v>89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89</v>
      </c>
      <c r="Z133" t="s">
        <v>346</v>
      </c>
    </row>
    <row r="134" spans="1:26" hidden="1" x14ac:dyDescent="0.25">
      <c r="A134" t="s">
        <v>349</v>
      </c>
      <c r="B134" t="s">
        <v>22</v>
      </c>
      <c r="C134">
        <v>4</v>
      </c>
      <c r="E134" t="s">
        <v>76</v>
      </c>
      <c r="F134" t="s">
        <v>350</v>
      </c>
      <c r="G134" t="s">
        <v>346</v>
      </c>
      <c r="H134" t="s">
        <v>79</v>
      </c>
      <c r="I134" t="s">
        <v>22</v>
      </c>
      <c r="J134" t="b">
        <v>0</v>
      </c>
      <c r="K134" t="b">
        <v>1</v>
      </c>
      <c r="L134" t="s">
        <v>80</v>
      </c>
      <c r="M134" t="s">
        <v>81</v>
      </c>
      <c r="O134" t="s">
        <v>82</v>
      </c>
      <c r="P134">
        <v>30</v>
      </c>
      <c r="Q134">
        <v>46223</v>
      </c>
      <c r="R134">
        <v>46250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83</v>
      </c>
      <c r="Z134" t="s">
        <v>346</v>
      </c>
    </row>
    <row r="135" spans="1:26" hidden="1" x14ac:dyDescent="0.25">
      <c r="A135" t="s">
        <v>351</v>
      </c>
      <c r="B135" t="s">
        <v>22</v>
      </c>
      <c r="C135">
        <v>5</v>
      </c>
      <c r="E135" t="s">
        <v>76</v>
      </c>
      <c r="F135" t="s">
        <v>352</v>
      </c>
      <c r="G135" t="s">
        <v>346</v>
      </c>
      <c r="H135" t="s">
        <v>88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89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89</v>
      </c>
      <c r="Z135" t="s">
        <v>346</v>
      </c>
    </row>
    <row r="136" spans="1:26" hidden="1" x14ac:dyDescent="0.25">
      <c r="A136" t="s">
        <v>353</v>
      </c>
      <c r="B136" t="s">
        <v>22</v>
      </c>
      <c r="C136">
        <v>6</v>
      </c>
      <c r="D136" t="s">
        <v>40</v>
      </c>
      <c r="E136" t="s">
        <v>76</v>
      </c>
      <c r="F136" t="s">
        <v>354</v>
      </c>
      <c r="G136" t="s">
        <v>346</v>
      </c>
      <c r="H136" t="s">
        <v>88</v>
      </c>
      <c r="I136" t="s">
        <v>22</v>
      </c>
      <c r="J136" t="b">
        <v>0</v>
      </c>
      <c r="K136" t="b">
        <v>1</v>
      </c>
      <c r="L136" t="s">
        <v>80</v>
      </c>
      <c r="M136" t="s">
        <v>81</v>
      </c>
      <c r="O136" t="s">
        <v>89</v>
      </c>
      <c r="P136">
        <v>76</v>
      </c>
      <c r="Q136">
        <v>46223</v>
      </c>
      <c r="R136">
        <v>46250</v>
      </c>
      <c r="S136">
        <v>2</v>
      </c>
      <c r="T136">
        <v>152</v>
      </c>
      <c r="U136">
        <v>20</v>
      </c>
      <c r="V136">
        <v>20</v>
      </c>
      <c r="W136">
        <v>20</v>
      </c>
      <c r="X136">
        <v>20</v>
      </c>
      <c r="Y136" t="s">
        <v>89</v>
      </c>
      <c r="Z136" t="s">
        <v>346</v>
      </c>
    </row>
    <row r="137" spans="1:26" hidden="1" x14ac:dyDescent="0.25">
      <c r="A137" t="s">
        <v>355</v>
      </c>
      <c r="B137" t="s">
        <v>29</v>
      </c>
      <c r="C137">
        <v>7</v>
      </c>
      <c r="E137" t="s">
        <v>76</v>
      </c>
      <c r="F137" t="s">
        <v>356</v>
      </c>
      <c r="G137" t="s">
        <v>346</v>
      </c>
      <c r="H137" t="s">
        <v>110</v>
      </c>
      <c r="I137" t="s">
        <v>29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76</v>
      </c>
      <c r="Q137">
        <v>46223</v>
      </c>
      <c r="R137">
        <v>46250</v>
      </c>
      <c r="S137">
        <v>2</v>
      </c>
      <c r="T137">
        <v>152</v>
      </c>
      <c r="U137">
        <v>20</v>
      </c>
      <c r="V137">
        <v>20</v>
      </c>
      <c r="W137">
        <v>20</v>
      </c>
      <c r="X137">
        <v>20</v>
      </c>
      <c r="Y137" t="s">
        <v>111</v>
      </c>
      <c r="Z137" t="s">
        <v>346</v>
      </c>
    </row>
    <row r="138" spans="1:26" hidden="1" x14ac:dyDescent="0.25">
      <c r="A138" t="s">
        <v>357</v>
      </c>
      <c r="B138" t="s">
        <v>22</v>
      </c>
      <c r="C138">
        <v>8</v>
      </c>
      <c r="D138" t="s">
        <v>40</v>
      </c>
      <c r="E138" t="s">
        <v>76</v>
      </c>
      <c r="F138" t="s">
        <v>358</v>
      </c>
      <c r="G138" t="s">
        <v>346</v>
      </c>
      <c r="H138" t="s">
        <v>79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82</v>
      </c>
      <c r="P138">
        <v>72.5</v>
      </c>
      <c r="Q138">
        <v>46223</v>
      </c>
      <c r="R138">
        <v>46250</v>
      </c>
      <c r="S138">
        <v>2</v>
      </c>
      <c r="T138">
        <v>145</v>
      </c>
      <c r="U138">
        <v>19.078947368421055</v>
      </c>
      <c r="V138">
        <v>19</v>
      </c>
      <c r="W138">
        <v>20</v>
      </c>
      <c r="X138">
        <v>19</v>
      </c>
      <c r="Y138" t="s">
        <v>83</v>
      </c>
      <c r="Z138" t="s">
        <v>346</v>
      </c>
    </row>
    <row r="139" spans="1:26" hidden="1" x14ac:dyDescent="0.25">
      <c r="A139" t="s">
        <v>359</v>
      </c>
      <c r="B139" t="s">
        <v>22</v>
      </c>
      <c r="C139">
        <v>9</v>
      </c>
      <c r="D139" t="s">
        <v>40</v>
      </c>
      <c r="E139" t="s">
        <v>76</v>
      </c>
      <c r="F139" t="s">
        <v>360</v>
      </c>
      <c r="G139" t="s">
        <v>346</v>
      </c>
      <c r="H139" t="s">
        <v>88</v>
      </c>
      <c r="I139" t="s">
        <v>22</v>
      </c>
      <c r="J139" t="b">
        <v>0</v>
      </c>
      <c r="K139" t="b">
        <v>1</v>
      </c>
      <c r="L139" t="s">
        <v>80</v>
      </c>
      <c r="M139" t="s">
        <v>81</v>
      </c>
      <c r="O139" t="s">
        <v>89</v>
      </c>
      <c r="P139">
        <v>76</v>
      </c>
      <c r="Q139">
        <v>46223</v>
      </c>
      <c r="R139">
        <v>46250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89</v>
      </c>
      <c r="Z139" t="s">
        <v>346</v>
      </c>
    </row>
    <row r="140" spans="1:26" hidden="1" x14ac:dyDescent="0.25">
      <c r="A140" t="s">
        <v>361</v>
      </c>
      <c r="B140" t="s">
        <v>22</v>
      </c>
      <c r="C140">
        <v>10</v>
      </c>
      <c r="D140" t="s">
        <v>40</v>
      </c>
      <c r="E140" t="s">
        <v>76</v>
      </c>
      <c r="F140" t="s">
        <v>362</v>
      </c>
      <c r="G140" t="s">
        <v>346</v>
      </c>
      <c r="H140" t="s">
        <v>88</v>
      </c>
      <c r="I140" t="s">
        <v>22</v>
      </c>
      <c r="J140" t="b">
        <v>0</v>
      </c>
      <c r="K140" t="b">
        <v>1</v>
      </c>
      <c r="L140" t="s">
        <v>80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</row>
    <row r="141" spans="1:26" hidden="1" x14ac:dyDescent="0.25">
      <c r="A141" t="s">
        <v>363</v>
      </c>
      <c r="B141" t="s">
        <v>22</v>
      </c>
      <c r="C141">
        <v>11</v>
      </c>
      <c r="E141" t="s">
        <v>76</v>
      </c>
      <c r="F141" t="s">
        <v>364</v>
      </c>
      <c r="G141" t="s">
        <v>346</v>
      </c>
      <c r="H141" t="s">
        <v>110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</row>
    <row r="142" spans="1:26" hidden="1" x14ac:dyDescent="0.25">
      <c r="A142" t="s">
        <v>365</v>
      </c>
      <c r="B142" t="s">
        <v>22</v>
      </c>
      <c r="C142">
        <v>12</v>
      </c>
      <c r="E142" t="s">
        <v>76</v>
      </c>
      <c r="F142" t="s">
        <v>366</v>
      </c>
      <c r="G142" t="s">
        <v>346</v>
      </c>
      <c r="H142" t="s">
        <v>79</v>
      </c>
      <c r="I142" t="s">
        <v>22</v>
      </c>
      <c r="J142" t="b">
        <v>1</v>
      </c>
      <c r="K142" t="b">
        <v>1</v>
      </c>
      <c r="L142" t="s">
        <v>95</v>
      </c>
      <c r="M142" t="s">
        <v>81</v>
      </c>
      <c r="O142" t="s">
        <v>82</v>
      </c>
      <c r="P142">
        <v>64</v>
      </c>
      <c r="Q142">
        <v>46223</v>
      </c>
      <c r="R142">
        <v>46250</v>
      </c>
      <c r="S142">
        <v>2</v>
      </c>
      <c r="T142">
        <v>128</v>
      </c>
      <c r="U142">
        <v>16.842105263157894</v>
      </c>
      <c r="V142">
        <v>16</v>
      </c>
      <c r="W142">
        <v>20</v>
      </c>
      <c r="X142">
        <v>16</v>
      </c>
      <c r="Y142" t="s">
        <v>83</v>
      </c>
      <c r="Z142" t="s">
        <v>346</v>
      </c>
    </row>
    <row r="143" spans="1:26" hidden="1" x14ac:dyDescent="0.25">
      <c r="A143" t="s">
        <v>367</v>
      </c>
      <c r="B143" t="s">
        <v>22</v>
      </c>
      <c r="C143">
        <v>13</v>
      </c>
      <c r="E143" t="s">
        <v>76</v>
      </c>
      <c r="F143" t="s">
        <v>368</v>
      </c>
      <c r="G143" t="s">
        <v>346</v>
      </c>
      <c r="H143" t="s">
        <v>79</v>
      </c>
      <c r="I143" t="s">
        <v>22</v>
      </c>
      <c r="J143" t="b">
        <v>1</v>
      </c>
      <c r="K143" t="b">
        <v>0</v>
      </c>
      <c r="L143" t="s">
        <v>92</v>
      </c>
      <c r="M143" t="s">
        <v>81</v>
      </c>
      <c r="O143" t="s">
        <v>82</v>
      </c>
      <c r="P143">
        <v>64</v>
      </c>
      <c r="Q143">
        <v>46223</v>
      </c>
      <c r="R143">
        <v>46250</v>
      </c>
      <c r="S143">
        <v>2</v>
      </c>
      <c r="T143">
        <v>128</v>
      </c>
      <c r="U143">
        <v>16.842105263157894</v>
      </c>
      <c r="V143">
        <v>16</v>
      </c>
      <c r="W143">
        <v>20</v>
      </c>
      <c r="X143">
        <v>16</v>
      </c>
      <c r="Y143" t="s">
        <v>83</v>
      </c>
      <c r="Z143" t="s">
        <v>346</v>
      </c>
    </row>
    <row r="144" spans="1:26" hidden="1" x14ac:dyDescent="0.25">
      <c r="A144" t="s">
        <v>369</v>
      </c>
      <c r="B144" t="s">
        <v>22</v>
      </c>
      <c r="C144">
        <v>14</v>
      </c>
      <c r="E144" t="s">
        <v>76</v>
      </c>
      <c r="F144" t="s">
        <v>370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40</v>
      </c>
      <c r="Q144">
        <v>46223</v>
      </c>
      <c r="R144">
        <v>46250</v>
      </c>
      <c r="S144">
        <v>2</v>
      </c>
      <c r="T144">
        <v>80</v>
      </c>
      <c r="U144">
        <v>10.526315789473683</v>
      </c>
      <c r="V144">
        <v>10</v>
      </c>
      <c r="W144">
        <v>20</v>
      </c>
      <c r="X144">
        <v>10</v>
      </c>
      <c r="Y144" t="s">
        <v>83</v>
      </c>
      <c r="Z144" t="s">
        <v>346</v>
      </c>
    </row>
    <row r="145" spans="1:26" hidden="1" x14ac:dyDescent="0.25">
      <c r="A145" t="s">
        <v>371</v>
      </c>
      <c r="B145" t="s">
        <v>22</v>
      </c>
      <c r="C145">
        <v>15</v>
      </c>
      <c r="E145" t="s">
        <v>76</v>
      </c>
      <c r="F145" t="s">
        <v>372</v>
      </c>
      <c r="G145" t="s">
        <v>346</v>
      </c>
      <c r="H145" t="s">
        <v>79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82</v>
      </c>
      <c r="P145">
        <v>64</v>
      </c>
      <c r="Q145">
        <v>46223</v>
      </c>
      <c r="R145">
        <v>46250</v>
      </c>
      <c r="S145">
        <v>2</v>
      </c>
      <c r="T145">
        <v>128</v>
      </c>
      <c r="U145">
        <v>16.842105263157894</v>
      </c>
      <c r="V145">
        <v>16</v>
      </c>
      <c r="W145">
        <v>20</v>
      </c>
      <c r="X145">
        <v>16</v>
      </c>
      <c r="Y145" t="s">
        <v>83</v>
      </c>
      <c r="Z145" t="s">
        <v>346</v>
      </c>
    </row>
    <row r="146" spans="1:26" hidden="1" x14ac:dyDescent="0.25">
      <c r="A146" t="s">
        <v>373</v>
      </c>
      <c r="B146" t="s">
        <v>22</v>
      </c>
      <c r="C146">
        <v>16</v>
      </c>
      <c r="D146" t="s">
        <v>40</v>
      </c>
      <c r="E146" t="s">
        <v>76</v>
      </c>
      <c r="F146" t="s">
        <v>374</v>
      </c>
      <c r="G146" t="s">
        <v>346</v>
      </c>
      <c r="H146" t="s">
        <v>88</v>
      </c>
      <c r="I146" t="s">
        <v>22</v>
      </c>
      <c r="J146" t="b">
        <v>0</v>
      </c>
      <c r="K146" t="b">
        <v>1</v>
      </c>
      <c r="L146" t="s">
        <v>80</v>
      </c>
      <c r="M146" t="s">
        <v>81</v>
      </c>
      <c r="O146" t="s">
        <v>89</v>
      </c>
      <c r="P146">
        <v>76</v>
      </c>
      <c r="Q146">
        <v>46223</v>
      </c>
      <c r="R146">
        <v>46250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89</v>
      </c>
      <c r="Z146" t="s">
        <v>346</v>
      </c>
    </row>
    <row r="147" spans="1:26" hidden="1" x14ac:dyDescent="0.25">
      <c r="A147" t="s">
        <v>375</v>
      </c>
      <c r="B147" t="s">
        <v>22</v>
      </c>
      <c r="C147">
        <v>17</v>
      </c>
      <c r="E147" t="s">
        <v>76</v>
      </c>
      <c r="F147" t="s">
        <v>161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</row>
    <row r="148" spans="1:26" hidden="1" x14ac:dyDescent="0.25">
      <c r="A148" t="s">
        <v>376</v>
      </c>
      <c r="B148" t="s">
        <v>22</v>
      </c>
      <c r="C148">
        <v>18</v>
      </c>
      <c r="E148" t="s">
        <v>76</v>
      </c>
      <c r="F148" t="s">
        <v>377</v>
      </c>
      <c r="G148" t="s">
        <v>346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</row>
    <row r="149" spans="1:26" hidden="1" x14ac:dyDescent="0.25">
      <c r="A149" t="s">
        <v>378</v>
      </c>
      <c r="B149" t="s">
        <v>22</v>
      </c>
      <c r="C149">
        <v>19</v>
      </c>
      <c r="E149" t="s">
        <v>76</v>
      </c>
      <c r="F149" t="s">
        <v>379</v>
      </c>
      <c r="G149" t="s">
        <v>346</v>
      </c>
      <c r="H149" t="s">
        <v>110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76</v>
      </c>
      <c r="Q149">
        <v>46223</v>
      </c>
      <c r="R149">
        <v>46250</v>
      </c>
      <c r="S149">
        <v>2</v>
      </c>
      <c r="T149">
        <v>152</v>
      </c>
      <c r="U149">
        <v>20</v>
      </c>
      <c r="V149">
        <v>20</v>
      </c>
      <c r="W149">
        <v>20</v>
      </c>
      <c r="X149">
        <v>20</v>
      </c>
      <c r="Y149" t="s">
        <v>111</v>
      </c>
      <c r="Z149" t="s">
        <v>346</v>
      </c>
    </row>
    <row r="150" spans="1:26" hidden="1" x14ac:dyDescent="0.25">
      <c r="A150" t="s">
        <v>380</v>
      </c>
      <c r="B150" t="s">
        <v>22</v>
      </c>
      <c r="C150">
        <v>20</v>
      </c>
      <c r="E150" t="s">
        <v>76</v>
      </c>
      <c r="F150" t="s">
        <v>381</v>
      </c>
      <c r="G150" t="s">
        <v>346</v>
      </c>
      <c r="H150" t="s">
        <v>110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111</v>
      </c>
      <c r="Z150" t="s">
        <v>346</v>
      </c>
    </row>
    <row r="151" spans="1:26" hidden="1" x14ac:dyDescent="0.25">
      <c r="A151" t="s">
        <v>382</v>
      </c>
      <c r="B151" t="s">
        <v>22</v>
      </c>
      <c r="C151">
        <v>21</v>
      </c>
      <c r="E151" t="s">
        <v>76</v>
      </c>
      <c r="F151" t="s">
        <v>383</v>
      </c>
      <c r="G151" t="s">
        <v>346</v>
      </c>
      <c r="H151" t="s">
        <v>110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346</v>
      </c>
    </row>
    <row r="152" spans="1:26" hidden="1" x14ac:dyDescent="0.25">
      <c r="A152" t="s">
        <v>384</v>
      </c>
      <c r="B152" t="s">
        <v>22</v>
      </c>
      <c r="C152">
        <v>22</v>
      </c>
      <c r="E152" t="s">
        <v>76</v>
      </c>
      <c r="F152" t="s">
        <v>385</v>
      </c>
      <c r="G152" t="s">
        <v>346</v>
      </c>
      <c r="H152" t="s">
        <v>88</v>
      </c>
      <c r="I152" t="s">
        <v>22</v>
      </c>
      <c r="J152" t="b">
        <v>1</v>
      </c>
      <c r="K152" t="b">
        <v>1</v>
      </c>
      <c r="L152" t="s">
        <v>95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</row>
    <row r="153" spans="1:26" hidden="1" x14ac:dyDescent="0.25">
      <c r="A153" t="s">
        <v>386</v>
      </c>
      <c r="B153" t="s">
        <v>31</v>
      </c>
      <c r="C153">
        <v>23</v>
      </c>
      <c r="E153" t="s">
        <v>76</v>
      </c>
      <c r="F153" t="s">
        <v>387</v>
      </c>
      <c r="G153" t="s">
        <v>346</v>
      </c>
      <c r="H153" t="s">
        <v>79</v>
      </c>
      <c r="I153" t="s">
        <v>31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38</v>
      </c>
      <c r="Q153">
        <v>46223</v>
      </c>
      <c r="R153">
        <v>46250</v>
      </c>
      <c r="S153">
        <v>2</v>
      </c>
      <c r="T153">
        <v>76</v>
      </c>
      <c r="U153">
        <v>10</v>
      </c>
      <c r="V153">
        <v>10</v>
      </c>
      <c r="W153">
        <v>20</v>
      </c>
      <c r="X153">
        <v>10</v>
      </c>
      <c r="Y153" t="s">
        <v>83</v>
      </c>
      <c r="Z153" t="s">
        <v>346</v>
      </c>
    </row>
    <row r="154" spans="1:26" hidden="1" x14ac:dyDescent="0.25">
      <c r="A154" t="s">
        <v>388</v>
      </c>
      <c r="B154" t="s">
        <v>29</v>
      </c>
      <c r="C154">
        <v>24</v>
      </c>
      <c r="E154" t="s">
        <v>76</v>
      </c>
      <c r="F154" t="s">
        <v>389</v>
      </c>
      <c r="G154" t="s">
        <v>346</v>
      </c>
      <c r="H154" t="s">
        <v>110</v>
      </c>
      <c r="I154" t="s">
        <v>29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346</v>
      </c>
    </row>
    <row r="155" spans="1:26" hidden="1" x14ac:dyDescent="0.25">
      <c r="A155" t="s">
        <v>390</v>
      </c>
      <c r="B155" t="s">
        <v>29</v>
      </c>
      <c r="C155">
        <v>25</v>
      </c>
      <c r="E155" t="s">
        <v>76</v>
      </c>
      <c r="F155" t="s">
        <v>391</v>
      </c>
      <c r="G155" t="s">
        <v>346</v>
      </c>
      <c r="H155" t="s">
        <v>79</v>
      </c>
      <c r="I155" t="s">
        <v>29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72</v>
      </c>
      <c r="Q155">
        <v>46223</v>
      </c>
      <c r="R155">
        <v>46250</v>
      </c>
      <c r="S155">
        <v>2</v>
      </c>
      <c r="T155">
        <v>144</v>
      </c>
      <c r="U155">
        <v>18.947368421052634</v>
      </c>
      <c r="V155">
        <v>18</v>
      </c>
      <c r="W155">
        <v>20</v>
      </c>
      <c r="X155">
        <v>18</v>
      </c>
      <c r="Y155" t="s">
        <v>83</v>
      </c>
      <c r="Z155" t="s">
        <v>346</v>
      </c>
    </row>
    <row r="156" spans="1:26" hidden="1" x14ac:dyDescent="0.25">
      <c r="A156" t="s">
        <v>392</v>
      </c>
      <c r="B156" t="s">
        <v>22</v>
      </c>
      <c r="C156">
        <v>26</v>
      </c>
      <c r="E156" t="s">
        <v>76</v>
      </c>
      <c r="F156" t="s">
        <v>393</v>
      </c>
      <c r="G156" t="s">
        <v>346</v>
      </c>
      <c r="H156" t="s">
        <v>79</v>
      </c>
      <c r="I156" t="s">
        <v>22</v>
      </c>
      <c r="J156" t="b">
        <v>1</v>
      </c>
      <c r="K156" t="b">
        <v>1</v>
      </c>
      <c r="L156" t="s">
        <v>95</v>
      </c>
      <c r="M156" t="s">
        <v>81</v>
      </c>
      <c r="O156" t="s">
        <v>82</v>
      </c>
      <c r="P156">
        <v>64</v>
      </c>
      <c r="Q156">
        <v>46223</v>
      </c>
      <c r="R156">
        <v>46250</v>
      </c>
      <c r="S156">
        <v>2</v>
      </c>
      <c r="T156">
        <v>128</v>
      </c>
      <c r="U156">
        <v>16.842105263157894</v>
      </c>
      <c r="V156">
        <v>16</v>
      </c>
      <c r="W156">
        <v>20</v>
      </c>
      <c r="X156">
        <v>16</v>
      </c>
      <c r="Y156" t="s">
        <v>83</v>
      </c>
      <c r="Z156" t="s">
        <v>346</v>
      </c>
    </row>
    <row r="157" spans="1:26" hidden="1" x14ac:dyDescent="0.25">
      <c r="A157" t="s">
        <v>394</v>
      </c>
      <c r="B157" t="s">
        <v>22</v>
      </c>
      <c r="C157">
        <v>27</v>
      </c>
      <c r="D157" t="s">
        <v>40</v>
      </c>
      <c r="E157" t="s">
        <v>76</v>
      </c>
      <c r="F157" t="s">
        <v>395</v>
      </c>
      <c r="G157" t="s">
        <v>346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40</v>
      </c>
      <c r="Q157">
        <v>46223</v>
      </c>
      <c r="R157">
        <v>46250</v>
      </c>
      <c r="S157">
        <v>2</v>
      </c>
      <c r="T157">
        <v>80</v>
      </c>
      <c r="U157">
        <v>10.526315789473683</v>
      </c>
      <c r="V157">
        <v>10</v>
      </c>
      <c r="W157">
        <v>20</v>
      </c>
      <c r="X157">
        <v>10</v>
      </c>
      <c r="Y157" t="s">
        <v>83</v>
      </c>
      <c r="Z157" t="s">
        <v>346</v>
      </c>
    </row>
    <row r="158" spans="1:26" hidden="1" x14ac:dyDescent="0.25">
      <c r="A158" t="s">
        <v>224</v>
      </c>
      <c r="B158" t="s">
        <v>22</v>
      </c>
      <c r="C158">
        <v>28</v>
      </c>
      <c r="D158" t="s">
        <v>40</v>
      </c>
      <c r="E158" t="s">
        <v>76</v>
      </c>
      <c r="F158" t="s">
        <v>225</v>
      </c>
      <c r="G158" t="s">
        <v>346</v>
      </c>
      <c r="H158" t="s">
        <v>88</v>
      </c>
      <c r="I158" t="s">
        <v>22</v>
      </c>
      <c r="J158" t="b">
        <v>0</v>
      </c>
      <c r="K158" t="b">
        <v>1</v>
      </c>
      <c r="L158" t="s">
        <v>80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</row>
    <row r="159" spans="1:26" hidden="1" x14ac:dyDescent="0.25">
      <c r="A159" t="s">
        <v>396</v>
      </c>
      <c r="B159" t="s">
        <v>22</v>
      </c>
      <c r="C159">
        <v>29</v>
      </c>
      <c r="E159" t="s">
        <v>76</v>
      </c>
      <c r="F159" t="s">
        <v>397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64</v>
      </c>
      <c r="Q159">
        <v>46223</v>
      </c>
      <c r="R159">
        <v>46250</v>
      </c>
      <c r="S159">
        <v>2</v>
      </c>
      <c r="T159">
        <v>128</v>
      </c>
      <c r="U159">
        <v>16.842105263157894</v>
      </c>
      <c r="V159">
        <v>16</v>
      </c>
      <c r="W159">
        <v>20</v>
      </c>
      <c r="X159">
        <v>16</v>
      </c>
      <c r="Y159" t="s">
        <v>83</v>
      </c>
      <c r="Z159" t="s">
        <v>346</v>
      </c>
    </row>
    <row r="160" spans="1:26" hidden="1" x14ac:dyDescent="0.25">
      <c r="A160" t="s">
        <v>398</v>
      </c>
      <c r="B160" t="s">
        <v>22</v>
      </c>
      <c r="C160">
        <v>30</v>
      </c>
      <c r="E160" t="s">
        <v>76</v>
      </c>
      <c r="F160" t="s">
        <v>399</v>
      </c>
      <c r="G160" t="s">
        <v>346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64</v>
      </c>
      <c r="Q160">
        <v>46223</v>
      </c>
      <c r="R160">
        <v>46250</v>
      </c>
      <c r="S160">
        <v>2</v>
      </c>
      <c r="T160">
        <v>128</v>
      </c>
      <c r="U160">
        <v>16.842105263157894</v>
      </c>
      <c r="V160">
        <v>16</v>
      </c>
      <c r="W160">
        <v>20</v>
      </c>
      <c r="X160">
        <v>16</v>
      </c>
      <c r="Y160" t="s">
        <v>83</v>
      </c>
      <c r="Z160" t="s">
        <v>346</v>
      </c>
    </row>
    <row r="161" spans="1:26" hidden="1" x14ac:dyDescent="0.25">
      <c r="A161" t="s">
        <v>238</v>
      </c>
      <c r="B161" t="s">
        <v>22</v>
      </c>
      <c r="C161">
        <v>31</v>
      </c>
      <c r="D161" t="s">
        <v>40</v>
      </c>
      <c r="E161" t="s">
        <v>76</v>
      </c>
      <c r="F161" t="s">
        <v>239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</row>
    <row r="162" spans="1:26" hidden="1" x14ac:dyDescent="0.25">
      <c r="A162" t="s">
        <v>400</v>
      </c>
      <c r="B162" t="s">
        <v>22</v>
      </c>
      <c r="C162">
        <v>32</v>
      </c>
      <c r="E162" t="s">
        <v>76</v>
      </c>
      <c r="F162" t="s">
        <v>401</v>
      </c>
      <c r="G162" t="s">
        <v>346</v>
      </c>
      <c r="H162" t="s">
        <v>79</v>
      </c>
      <c r="I162" t="s">
        <v>22</v>
      </c>
      <c r="J162" t="b">
        <v>1</v>
      </c>
      <c r="K162" t="b">
        <v>1</v>
      </c>
      <c r="L162" t="s">
        <v>95</v>
      </c>
      <c r="M162" t="s">
        <v>81</v>
      </c>
      <c r="O162" t="s">
        <v>82</v>
      </c>
      <c r="P162">
        <v>30</v>
      </c>
      <c r="Q162">
        <v>46223</v>
      </c>
      <c r="R162">
        <v>46250</v>
      </c>
      <c r="S162">
        <v>2</v>
      </c>
      <c r="T162">
        <v>60</v>
      </c>
      <c r="U162">
        <v>7.8947368421052637</v>
      </c>
      <c r="V162">
        <v>7</v>
      </c>
      <c r="W162">
        <v>20</v>
      </c>
      <c r="X162">
        <v>7</v>
      </c>
      <c r="Y162" t="s">
        <v>83</v>
      </c>
      <c r="Z162" t="s">
        <v>346</v>
      </c>
    </row>
    <row r="163" spans="1:26" hidden="1" x14ac:dyDescent="0.25">
      <c r="A163" t="s">
        <v>258</v>
      </c>
      <c r="B163" t="s">
        <v>22</v>
      </c>
      <c r="C163">
        <v>33</v>
      </c>
      <c r="D163" t="s">
        <v>40</v>
      </c>
      <c r="E163" t="s">
        <v>76</v>
      </c>
      <c r="F163" t="s">
        <v>259</v>
      </c>
      <c r="G163" t="s">
        <v>346</v>
      </c>
      <c r="H163" t="s">
        <v>79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32</v>
      </c>
      <c r="Q163">
        <v>46223</v>
      </c>
      <c r="R163">
        <v>46250</v>
      </c>
      <c r="S163">
        <v>2</v>
      </c>
      <c r="T163">
        <v>64</v>
      </c>
      <c r="U163">
        <v>8.4210526315789469</v>
      </c>
      <c r="V163">
        <v>8</v>
      </c>
      <c r="W163">
        <v>20</v>
      </c>
      <c r="X163">
        <v>8</v>
      </c>
      <c r="Y163" t="s">
        <v>83</v>
      </c>
      <c r="Z163" t="s">
        <v>346</v>
      </c>
    </row>
    <row r="164" spans="1:26" hidden="1" x14ac:dyDescent="0.25">
      <c r="A164" t="s">
        <v>402</v>
      </c>
      <c r="B164" t="s">
        <v>22</v>
      </c>
      <c r="C164">
        <v>34</v>
      </c>
      <c r="E164" t="s">
        <v>76</v>
      </c>
      <c r="F164" t="s">
        <v>403</v>
      </c>
      <c r="G164" t="s">
        <v>346</v>
      </c>
      <c r="H164" t="s">
        <v>110</v>
      </c>
      <c r="I164" t="s">
        <v>22</v>
      </c>
      <c r="J164" t="b">
        <v>1</v>
      </c>
      <c r="K164" t="b">
        <v>1</v>
      </c>
      <c r="L164" t="s">
        <v>95</v>
      </c>
      <c r="M164" t="s">
        <v>81</v>
      </c>
      <c r="O164" t="s">
        <v>82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111</v>
      </c>
      <c r="Z164" t="s">
        <v>346</v>
      </c>
    </row>
    <row r="165" spans="1:26" hidden="1" x14ac:dyDescent="0.25">
      <c r="A165" t="s">
        <v>404</v>
      </c>
      <c r="B165" t="s">
        <v>22</v>
      </c>
      <c r="C165">
        <v>35</v>
      </c>
      <c r="E165" t="s">
        <v>76</v>
      </c>
      <c r="F165" t="s">
        <v>405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40</v>
      </c>
      <c r="Q165">
        <v>46223</v>
      </c>
      <c r="R165">
        <v>46250</v>
      </c>
      <c r="S165">
        <v>2</v>
      </c>
      <c r="T165">
        <v>80</v>
      </c>
      <c r="U165">
        <v>10.526315789473683</v>
      </c>
      <c r="V165">
        <v>10</v>
      </c>
      <c r="W165">
        <v>20</v>
      </c>
      <c r="X165">
        <v>10</v>
      </c>
      <c r="Y165" t="s">
        <v>83</v>
      </c>
      <c r="Z165" t="s">
        <v>346</v>
      </c>
    </row>
    <row r="166" spans="1:26" hidden="1" x14ac:dyDescent="0.25">
      <c r="A166" t="s">
        <v>406</v>
      </c>
      <c r="B166" t="s">
        <v>31</v>
      </c>
      <c r="C166">
        <v>36</v>
      </c>
      <c r="E166" t="s">
        <v>76</v>
      </c>
      <c r="F166" t="s">
        <v>407</v>
      </c>
      <c r="G166" t="s">
        <v>346</v>
      </c>
      <c r="H166" t="s">
        <v>79</v>
      </c>
      <c r="I166" t="s">
        <v>31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68</v>
      </c>
      <c r="Q166">
        <v>46223</v>
      </c>
      <c r="R166">
        <v>46250</v>
      </c>
      <c r="S166">
        <v>2</v>
      </c>
      <c r="T166">
        <v>136</v>
      </c>
      <c r="U166">
        <v>17.894736842105264</v>
      </c>
      <c r="V166">
        <v>17</v>
      </c>
      <c r="W166">
        <v>20</v>
      </c>
      <c r="X166">
        <v>17</v>
      </c>
      <c r="Y166" t="s">
        <v>83</v>
      </c>
      <c r="Z166" t="s">
        <v>346</v>
      </c>
    </row>
    <row r="167" spans="1:26" hidden="1" x14ac:dyDescent="0.25">
      <c r="A167" t="s">
        <v>408</v>
      </c>
      <c r="B167" t="s">
        <v>22</v>
      </c>
      <c r="C167">
        <v>37</v>
      </c>
      <c r="E167" t="s">
        <v>76</v>
      </c>
      <c r="F167" t="s">
        <v>409</v>
      </c>
      <c r="G167" t="s">
        <v>346</v>
      </c>
      <c r="H167" t="s">
        <v>79</v>
      </c>
      <c r="I167" t="s">
        <v>22</v>
      </c>
      <c r="J167" t="b">
        <v>1</v>
      </c>
      <c r="K167" t="b">
        <v>0</v>
      </c>
      <c r="L167" t="s">
        <v>92</v>
      </c>
      <c r="M167" t="s">
        <v>81</v>
      </c>
      <c r="O167" t="s">
        <v>82</v>
      </c>
      <c r="P167">
        <v>64</v>
      </c>
      <c r="Q167">
        <v>46223</v>
      </c>
      <c r="R167">
        <v>46250</v>
      </c>
      <c r="S167">
        <v>2</v>
      </c>
      <c r="T167">
        <v>128</v>
      </c>
      <c r="U167">
        <v>16.842105263157894</v>
      </c>
      <c r="V167">
        <v>16</v>
      </c>
      <c r="W167">
        <v>20</v>
      </c>
      <c r="X167">
        <v>16</v>
      </c>
      <c r="Y167" t="s">
        <v>83</v>
      </c>
      <c r="Z167" t="s">
        <v>346</v>
      </c>
    </row>
    <row r="168" spans="1:26" hidden="1" x14ac:dyDescent="0.25">
      <c r="A168" t="s">
        <v>410</v>
      </c>
      <c r="B168" t="s">
        <v>22</v>
      </c>
      <c r="C168">
        <v>38</v>
      </c>
      <c r="E168" t="s">
        <v>76</v>
      </c>
      <c r="F168" t="s">
        <v>411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</row>
    <row r="169" spans="1:26" hidden="1" x14ac:dyDescent="0.25">
      <c r="A169" t="s">
        <v>412</v>
      </c>
      <c r="B169" t="s">
        <v>22</v>
      </c>
      <c r="C169">
        <v>39</v>
      </c>
      <c r="E169" t="s">
        <v>76</v>
      </c>
      <c r="F169" t="s">
        <v>413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72</v>
      </c>
      <c r="Q169">
        <v>46223</v>
      </c>
      <c r="R169">
        <v>46250</v>
      </c>
      <c r="S169">
        <v>2</v>
      </c>
      <c r="T169">
        <v>144</v>
      </c>
      <c r="U169">
        <v>18.947368421052634</v>
      </c>
      <c r="V169">
        <v>18</v>
      </c>
      <c r="W169">
        <v>20</v>
      </c>
      <c r="X169">
        <v>18</v>
      </c>
      <c r="Y169" t="s">
        <v>83</v>
      </c>
      <c r="Z169" t="s">
        <v>346</v>
      </c>
    </row>
    <row r="170" spans="1:26" hidden="1" x14ac:dyDescent="0.25">
      <c r="A170" t="s">
        <v>414</v>
      </c>
      <c r="B170" t="s">
        <v>22</v>
      </c>
      <c r="C170">
        <v>40</v>
      </c>
      <c r="D170" t="s">
        <v>40</v>
      </c>
      <c r="E170" t="s">
        <v>76</v>
      </c>
      <c r="F170" t="s">
        <v>415</v>
      </c>
      <c r="G170" t="s">
        <v>346</v>
      </c>
      <c r="H170" t="s">
        <v>88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346</v>
      </c>
    </row>
    <row r="171" spans="1:26" hidden="1" x14ac:dyDescent="0.25">
      <c r="A171" t="s">
        <v>416</v>
      </c>
      <c r="B171" t="s">
        <v>29</v>
      </c>
      <c r="C171">
        <v>41</v>
      </c>
      <c r="E171" t="s">
        <v>76</v>
      </c>
      <c r="F171" t="s">
        <v>417</v>
      </c>
      <c r="G171" t="s">
        <v>346</v>
      </c>
      <c r="H171" t="s">
        <v>110</v>
      </c>
      <c r="I171" t="s">
        <v>29</v>
      </c>
      <c r="J171" t="b">
        <v>1</v>
      </c>
      <c r="K171" t="b">
        <v>0</v>
      </c>
      <c r="L171" t="s">
        <v>92</v>
      </c>
      <c r="M171" t="s">
        <v>81</v>
      </c>
      <c r="O171" t="s">
        <v>82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111</v>
      </c>
      <c r="Z171" t="s">
        <v>346</v>
      </c>
    </row>
    <row r="172" spans="1:26" hidden="1" x14ac:dyDescent="0.25">
      <c r="A172" t="s">
        <v>418</v>
      </c>
      <c r="B172" t="s">
        <v>29</v>
      </c>
      <c r="C172">
        <v>42</v>
      </c>
      <c r="E172" t="s">
        <v>76</v>
      </c>
      <c r="F172" t="s">
        <v>419</v>
      </c>
      <c r="G172" t="s">
        <v>346</v>
      </c>
      <c r="H172" t="s">
        <v>79</v>
      </c>
      <c r="I172" t="s">
        <v>29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72</v>
      </c>
      <c r="Q172">
        <v>46223</v>
      </c>
      <c r="R172">
        <v>46250</v>
      </c>
      <c r="S172">
        <v>2</v>
      </c>
      <c r="T172">
        <v>144</v>
      </c>
      <c r="U172">
        <v>18.947368421052634</v>
      </c>
      <c r="V172">
        <v>18</v>
      </c>
      <c r="W172">
        <v>20</v>
      </c>
      <c r="X172">
        <v>18</v>
      </c>
      <c r="Y172" t="s">
        <v>83</v>
      </c>
      <c r="Z172" t="s">
        <v>346</v>
      </c>
    </row>
    <row r="173" spans="1:26" hidden="1" x14ac:dyDescent="0.25">
      <c r="A173" t="s">
        <v>420</v>
      </c>
      <c r="B173" t="s">
        <v>29</v>
      </c>
      <c r="C173">
        <v>43</v>
      </c>
      <c r="E173" t="s">
        <v>76</v>
      </c>
      <c r="F173" t="s">
        <v>421</v>
      </c>
      <c r="G173" t="s">
        <v>346</v>
      </c>
      <c r="H173" t="s">
        <v>110</v>
      </c>
      <c r="I173" t="s">
        <v>29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111</v>
      </c>
      <c r="Z173" t="s">
        <v>346</v>
      </c>
    </row>
    <row r="174" spans="1:26" hidden="1" x14ac:dyDescent="0.25">
      <c r="A174" t="s">
        <v>422</v>
      </c>
      <c r="B174" t="s">
        <v>22</v>
      </c>
      <c r="C174">
        <v>44</v>
      </c>
      <c r="D174" t="s">
        <v>40</v>
      </c>
      <c r="E174" t="s">
        <v>76</v>
      </c>
      <c r="F174" t="s">
        <v>423</v>
      </c>
      <c r="G174" t="s">
        <v>346</v>
      </c>
      <c r="H174" t="s">
        <v>88</v>
      </c>
      <c r="I174" t="s">
        <v>22</v>
      </c>
      <c r="J174" t="b">
        <v>0</v>
      </c>
      <c r="K174" t="b">
        <v>1</v>
      </c>
      <c r="L174" t="s">
        <v>80</v>
      </c>
      <c r="M174" t="s">
        <v>81</v>
      </c>
      <c r="O174" t="s">
        <v>89</v>
      </c>
      <c r="P174">
        <v>76</v>
      </c>
      <c r="Q174">
        <v>46223</v>
      </c>
      <c r="R174">
        <v>46250</v>
      </c>
      <c r="S174">
        <v>2</v>
      </c>
      <c r="T174">
        <v>152</v>
      </c>
      <c r="U174">
        <v>20</v>
      </c>
      <c r="V174">
        <v>20</v>
      </c>
      <c r="W174">
        <v>20</v>
      </c>
      <c r="X174">
        <v>20</v>
      </c>
      <c r="Y174" t="s">
        <v>89</v>
      </c>
      <c r="Z174" t="s">
        <v>346</v>
      </c>
    </row>
    <row r="175" spans="1:26" hidden="1" x14ac:dyDescent="0.25">
      <c r="A175" t="s">
        <v>424</v>
      </c>
      <c r="B175" t="s">
        <v>22</v>
      </c>
      <c r="C175">
        <v>45</v>
      </c>
      <c r="D175" t="s">
        <v>40</v>
      </c>
      <c r="E175" t="s">
        <v>76</v>
      </c>
      <c r="F175" t="s">
        <v>425</v>
      </c>
      <c r="G175" t="s">
        <v>346</v>
      </c>
      <c r="H175" t="s">
        <v>110</v>
      </c>
      <c r="I175" t="s">
        <v>22</v>
      </c>
      <c r="J175" t="b">
        <v>0</v>
      </c>
      <c r="K175" t="b">
        <v>1</v>
      </c>
      <c r="L175" t="s">
        <v>80</v>
      </c>
      <c r="M175" t="s">
        <v>81</v>
      </c>
      <c r="O175" t="s">
        <v>82</v>
      </c>
      <c r="P175">
        <v>76</v>
      </c>
      <c r="Q175">
        <v>46223</v>
      </c>
      <c r="R175">
        <v>46250</v>
      </c>
      <c r="S175">
        <v>2</v>
      </c>
      <c r="T175">
        <v>152</v>
      </c>
      <c r="U175">
        <v>20</v>
      </c>
      <c r="V175">
        <v>20</v>
      </c>
      <c r="W175">
        <v>20</v>
      </c>
      <c r="X175">
        <v>20</v>
      </c>
      <c r="Y175" t="s">
        <v>111</v>
      </c>
      <c r="Z175" t="s">
        <v>346</v>
      </c>
    </row>
    <row r="176" spans="1:26" hidden="1" x14ac:dyDescent="0.25">
      <c r="A176" t="s">
        <v>426</v>
      </c>
      <c r="B176" t="s">
        <v>22</v>
      </c>
      <c r="C176">
        <v>46</v>
      </c>
      <c r="E176" t="s">
        <v>76</v>
      </c>
      <c r="F176" t="s">
        <v>427</v>
      </c>
      <c r="G176" t="s">
        <v>346</v>
      </c>
      <c r="H176" t="s">
        <v>88</v>
      </c>
      <c r="I176" t="s">
        <v>22</v>
      </c>
      <c r="J176" t="b">
        <v>1</v>
      </c>
      <c r="K176" t="b">
        <v>0</v>
      </c>
      <c r="L176" t="s">
        <v>92</v>
      </c>
      <c r="M176" t="s">
        <v>81</v>
      </c>
      <c r="O176" t="s">
        <v>89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89</v>
      </c>
      <c r="Z176" t="s">
        <v>346</v>
      </c>
    </row>
    <row r="177" spans="1:26" hidden="1" x14ac:dyDescent="0.25">
      <c r="A177" t="s">
        <v>428</v>
      </c>
      <c r="B177" t="s">
        <v>22</v>
      </c>
      <c r="C177">
        <v>47</v>
      </c>
      <c r="E177" t="s">
        <v>76</v>
      </c>
      <c r="F177" t="s">
        <v>429</v>
      </c>
      <c r="G177" t="s">
        <v>346</v>
      </c>
      <c r="H177" t="s">
        <v>79</v>
      </c>
      <c r="I177" t="s">
        <v>22</v>
      </c>
      <c r="J177" t="b">
        <v>1</v>
      </c>
      <c r="K177" t="b">
        <v>0</v>
      </c>
      <c r="L177" t="s">
        <v>92</v>
      </c>
      <c r="M177" t="s">
        <v>81</v>
      </c>
      <c r="O177" t="s">
        <v>82</v>
      </c>
      <c r="P177">
        <v>60</v>
      </c>
      <c r="Q177">
        <v>46223</v>
      </c>
      <c r="R177">
        <v>46250</v>
      </c>
      <c r="S177">
        <v>2</v>
      </c>
      <c r="T177">
        <v>120</v>
      </c>
      <c r="U177">
        <v>15.789473684210527</v>
      </c>
      <c r="V177">
        <v>15</v>
      </c>
      <c r="W177">
        <v>20</v>
      </c>
      <c r="X177">
        <v>15</v>
      </c>
      <c r="Y177" t="s">
        <v>83</v>
      </c>
      <c r="Z177" t="s">
        <v>346</v>
      </c>
    </row>
    <row r="178" spans="1:26" hidden="1" x14ac:dyDescent="0.25">
      <c r="A178" t="s">
        <v>430</v>
      </c>
      <c r="B178" t="s">
        <v>22</v>
      </c>
      <c r="C178">
        <v>48</v>
      </c>
      <c r="E178" t="s">
        <v>76</v>
      </c>
      <c r="F178" t="s">
        <v>431</v>
      </c>
      <c r="G178" t="s">
        <v>346</v>
      </c>
      <c r="H178" t="s">
        <v>79</v>
      </c>
      <c r="I178" t="s">
        <v>22</v>
      </c>
      <c r="J178" t="b">
        <v>1</v>
      </c>
      <c r="K178" t="b">
        <v>1</v>
      </c>
      <c r="L178" t="s">
        <v>95</v>
      </c>
      <c r="M178" t="s">
        <v>81</v>
      </c>
      <c r="O178" t="s">
        <v>82</v>
      </c>
      <c r="P178">
        <v>64</v>
      </c>
      <c r="Q178">
        <v>46223</v>
      </c>
      <c r="R178">
        <v>46250</v>
      </c>
      <c r="S178">
        <v>2</v>
      </c>
      <c r="T178">
        <v>128</v>
      </c>
      <c r="U178">
        <v>16.842105263157894</v>
      </c>
      <c r="V178">
        <v>16</v>
      </c>
      <c r="W178">
        <v>20</v>
      </c>
      <c r="X178">
        <v>16</v>
      </c>
      <c r="Y178" t="s">
        <v>83</v>
      </c>
      <c r="Z178" t="s">
        <v>346</v>
      </c>
    </row>
    <row r="179" spans="1:26" hidden="1" x14ac:dyDescent="0.25">
      <c r="A179" t="s">
        <v>432</v>
      </c>
      <c r="B179" t="s">
        <v>22</v>
      </c>
      <c r="C179">
        <v>49</v>
      </c>
      <c r="E179" t="s">
        <v>76</v>
      </c>
      <c r="F179" t="s">
        <v>433</v>
      </c>
      <c r="G179" t="s">
        <v>346</v>
      </c>
      <c r="H179" t="s">
        <v>110</v>
      </c>
      <c r="I179" t="s">
        <v>22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76</v>
      </c>
      <c r="Q179">
        <v>46223</v>
      </c>
      <c r="R179">
        <v>46250</v>
      </c>
      <c r="S179">
        <v>2</v>
      </c>
      <c r="T179">
        <v>152</v>
      </c>
      <c r="U179">
        <v>20</v>
      </c>
      <c r="V179">
        <v>20</v>
      </c>
      <c r="W179">
        <v>20</v>
      </c>
      <c r="X179">
        <v>20</v>
      </c>
      <c r="Y179" t="s">
        <v>111</v>
      </c>
      <c r="Z179" t="s">
        <v>346</v>
      </c>
    </row>
    <row r="180" spans="1:26" hidden="1" x14ac:dyDescent="0.25">
      <c r="A180" t="s">
        <v>434</v>
      </c>
      <c r="B180" t="s">
        <v>22</v>
      </c>
      <c r="C180">
        <v>50</v>
      </c>
      <c r="E180" t="s">
        <v>76</v>
      </c>
      <c r="F180" t="s">
        <v>435</v>
      </c>
      <c r="G180" t="s">
        <v>346</v>
      </c>
      <c r="H180" t="s">
        <v>79</v>
      </c>
      <c r="I180" t="s">
        <v>22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40</v>
      </c>
      <c r="Q180">
        <v>46223</v>
      </c>
      <c r="R180">
        <v>46250</v>
      </c>
      <c r="S180">
        <v>2</v>
      </c>
      <c r="T180">
        <v>80</v>
      </c>
      <c r="U180">
        <v>10.526315789473683</v>
      </c>
      <c r="V180">
        <v>10</v>
      </c>
      <c r="W180">
        <v>20</v>
      </c>
      <c r="X180">
        <v>10</v>
      </c>
      <c r="Y180" t="s">
        <v>83</v>
      </c>
      <c r="Z180" t="s">
        <v>346</v>
      </c>
    </row>
    <row r="181" spans="1:26" hidden="1" x14ac:dyDescent="0.25">
      <c r="A181" t="s">
        <v>436</v>
      </c>
      <c r="B181" t="s">
        <v>22</v>
      </c>
      <c r="C181">
        <v>51</v>
      </c>
      <c r="E181" t="s">
        <v>76</v>
      </c>
      <c r="F181" t="s">
        <v>437</v>
      </c>
      <c r="G181" t="s">
        <v>346</v>
      </c>
      <c r="H181" t="s">
        <v>110</v>
      </c>
      <c r="I181" t="s">
        <v>22</v>
      </c>
      <c r="J181" t="b">
        <v>0</v>
      </c>
      <c r="K181" t="b">
        <v>1</v>
      </c>
      <c r="L181" t="s">
        <v>80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</row>
    <row r="182" spans="1:26" hidden="1" x14ac:dyDescent="0.25">
      <c r="A182" t="s">
        <v>439</v>
      </c>
      <c r="B18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hidden="1" x14ac:dyDescent="0.25">
      <c r="A183" t="s">
        <v>441</v>
      </c>
      <c r="B183" t="s">
        <v>29</v>
      </c>
      <c r="C183">
        <v>2</v>
      </c>
      <c r="E183" t="s">
        <v>76</v>
      </c>
      <c r="F183" t="s">
        <v>442</v>
      </c>
      <c r="G183" t="s">
        <v>438</v>
      </c>
      <c r="H183" t="s">
        <v>88</v>
      </c>
      <c r="I183" t="s">
        <v>29</v>
      </c>
      <c r="J183" t="b">
        <v>1</v>
      </c>
      <c r="K183" t="b">
        <v>0</v>
      </c>
      <c r="L183" t="s">
        <v>92</v>
      </c>
      <c r="M183" t="s">
        <v>81</v>
      </c>
      <c r="O183" t="s">
        <v>89</v>
      </c>
      <c r="P183">
        <v>76</v>
      </c>
      <c r="Q183">
        <v>46223</v>
      </c>
      <c r="R183">
        <v>46250</v>
      </c>
      <c r="S183">
        <v>2</v>
      </c>
      <c r="T183">
        <v>152</v>
      </c>
      <c r="U183">
        <v>20</v>
      </c>
      <c r="V183">
        <v>20</v>
      </c>
      <c r="W183">
        <v>20</v>
      </c>
      <c r="X183">
        <v>20</v>
      </c>
      <c r="Y183" t="s">
        <v>89</v>
      </c>
      <c r="Z183" t="s">
        <v>438</v>
      </c>
    </row>
    <row r="184" spans="1:26" hidden="1" x14ac:dyDescent="0.25">
      <c r="A184" t="s">
        <v>86</v>
      </c>
      <c r="B184" t="s">
        <v>22</v>
      </c>
      <c r="C184">
        <v>3</v>
      </c>
      <c r="D184" t="s">
        <v>40</v>
      </c>
      <c r="E184" t="s">
        <v>76</v>
      </c>
      <c r="F184" t="s">
        <v>87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hidden="1" x14ac:dyDescent="0.25">
      <c r="A185" t="s">
        <v>443</v>
      </c>
      <c r="B185" t="s">
        <v>22</v>
      </c>
      <c r="C185">
        <v>4</v>
      </c>
      <c r="D185" t="s">
        <v>40</v>
      </c>
      <c r="E185" t="s">
        <v>76</v>
      </c>
      <c r="F185" t="s">
        <v>444</v>
      </c>
      <c r="G185" t="s">
        <v>438</v>
      </c>
      <c r="H185" t="s">
        <v>79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82</v>
      </c>
      <c r="P185">
        <v>26</v>
      </c>
      <c r="Q185">
        <v>46223</v>
      </c>
      <c r="R185">
        <v>46250</v>
      </c>
      <c r="S185">
        <v>2</v>
      </c>
      <c r="T185">
        <v>52</v>
      </c>
      <c r="U185">
        <v>6.8421052631578947</v>
      </c>
      <c r="V185">
        <v>6</v>
      </c>
      <c r="W185">
        <v>20</v>
      </c>
      <c r="X185">
        <v>6</v>
      </c>
      <c r="Y185" t="s">
        <v>83</v>
      </c>
      <c r="Z185" t="s">
        <v>438</v>
      </c>
    </row>
    <row r="186" spans="1:26" hidden="1" x14ac:dyDescent="0.25">
      <c r="A186" t="s">
        <v>445</v>
      </c>
      <c r="B186" t="s">
        <v>22</v>
      </c>
      <c r="C186">
        <v>5</v>
      </c>
      <c r="E186" t="s">
        <v>76</v>
      </c>
      <c r="F186" t="s">
        <v>446</v>
      </c>
      <c r="G186" t="s">
        <v>438</v>
      </c>
      <c r="H186" t="s">
        <v>79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82</v>
      </c>
      <c r="P186">
        <v>24</v>
      </c>
      <c r="Q186">
        <v>46223</v>
      </c>
      <c r="R186">
        <v>46250</v>
      </c>
      <c r="S186">
        <v>2</v>
      </c>
      <c r="T186">
        <v>48</v>
      </c>
      <c r="U186">
        <v>6.3157894736842106</v>
      </c>
      <c r="V186">
        <v>6</v>
      </c>
      <c r="W186">
        <v>20</v>
      </c>
      <c r="X186">
        <v>6</v>
      </c>
      <c r="Y186" t="s">
        <v>83</v>
      </c>
      <c r="Z186" t="s">
        <v>438</v>
      </c>
    </row>
    <row r="187" spans="1:26" hidden="1" x14ac:dyDescent="0.25">
      <c r="A187" t="s">
        <v>447</v>
      </c>
      <c r="B187" t="s">
        <v>29</v>
      </c>
      <c r="C187">
        <v>6</v>
      </c>
      <c r="E187" t="s">
        <v>76</v>
      </c>
      <c r="F187" t="s">
        <v>448</v>
      </c>
      <c r="G187" t="s">
        <v>438</v>
      </c>
      <c r="H187" t="s">
        <v>110</v>
      </c>
      <c r="I187" t="s">
        <v>29</v>
      </c>
      <c r="J187" t="b">
        <v>1</v>
      </c>
      <c r="K187" t="b">
        <v>1</v>
      </c>
      <c r="L187" t="s">
        <v>95</v>
      </c>
      <c r="M187" t="s">
        <v>81</v>
      </c>
      <c r="O187" t="s">
        <v>82</v>
      </c>
      <c r="P187">
        <v>76</v>
      </c>
      <c r="Q187">
        <v>46223</v>
      </c>
      <c r="R187">
        <v>46250</v>
      </c>
      <c r="S187">
        <v>2</v>
      </c>
      <c r="T187">
        <v>152</v>
      </c>
      <c r="U187">
        <v>20</v>
      </c>
      <c r="V187">
        <v>20</v>
      </c>
      <c r="W187">
        <v>20</v>
      </c>
      <c r="X187">
        <v>20</v>
      </c>
      <c r="Y187" t="s">
        <v>111</v>
      </c>
      <c r="Z187" t="s">
        <v>438</v>
      </c>
    </row>
    <row r="188" spans="1:26" hidden="1" x14ac:dyDescent="0.25">
      <c r="A188" t="s">
        <v>449</v>
      </c>
      <c r="B188" t="s">
        <v>31</v>
      </c>
      <c r="C188">
        <v>7</v>
      </c>
      <c r="E188" t="s">
        <v>76</v>
      </c>
      <c r="F188" t="s">
        <v>450</v>
      </c>
      <c r="G188" t="s">
        <v>438</v>
      </c>
      <c r="H188" t="s">
        <v>79</v>
      </c>
      <c r="I188" t="s">
        <v>31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56</v>
      </c>
      <c r="Q188">
        <v>46223</v>
      </c>
      <c r="R188">
        <v>46250</v>
      </c>
      <c r="S188">
        <v>2</v>
      </c>
      <c r="T188">
        <v>112</v>
      </c>
      <c r="U188">
        <v>14.736842105263159</v>
      </c>
      <c r="V188">
        <v>14</v>
      </c>
      <c r="W188">
        <v>20</v>
      </c>
      <c r="X188">
        <v>14</v>
      </c>
      <c r="Y188" t="s">
        <v>83</v>
      </c>
      <c r="Z188" t="s">
        <v>438</v>
      </c>
    </row>
    <row r="189" spans="1:26" hidden="1" x14ac:dyDescent="0.25">
      <c r="A189" t="s">
        <v>451</v>
      </c>
      <c r="B189" t="s">
        <v>22</v>
      </c>
      <c r="C189">
        <v>8</v>
      </c>
      <c r="E189" t="s">
        <v>76</v>
      </c>
      <c r="F189" t="s">
        <v>452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64</v>
      </c>
      <c r="Q189">
        <v>46223</v>
      </c>
      <c r="R189">
        <v>46250</v>
      </c>
      <c r="S189">
        <v>2</v>
      </c>
      <c r="T189">
        <v>128</v>
      </c>
      <c r="U189">
        <v>16.842105263157894</v>
      </c>
      <c r="V189">
        <v>16</v>
      </c>
      <c r="W189">
        <v>20</v>
      </c>
      <c r="X189">
        <v>16</v>
      </c>
      <c r="Y189" t="s">
        <v>83</v>
      </c>
      <c r="Z189" t="s">
        <v>438</v>
      </c>
    </row>
    <row r="190" spans="1:26" hidden="1" x14ac:dyDescent="0.25">
      <c r="A190" t="s">
        <v>453</v>
      </c>
      <c r="B190" t="s">
        <v>22</v>
      </c>
      <c r="C190">
        <v>9</v>
      </c>
      <c r="E190" t="s">
        <v>76</v>
      </c>
      <c r="F190" t="s">
        <v>454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</row>
    <row r="191" spans="1:26" hidden="1" x14ac:dyDescent="0.25">
      <c r="A191" t="s">
        <v>455</v>
      </c>
      <c r="B191" t="s">
        <v>29</v>
      </c>
      <c r="C191">
        <v>10</v>
      </c>
      <c r="E191" t="s">
        <v>76</v>
      </c>
      <c r="F191" t="s">
        <v>456</v>
      </c>
      <c r="G191" t="s">
        <v>438</v>
      </c>
      <c r="H191" t="s">
        <v>110</v>
      </c>
      <c r="I191" t="s">
        <v>29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111</v>
      </c>
      <c r="Z191" t="s">
        <v>438</v>
      </c>
    </row>
    <row r="192" spans="1:26" hidden="1" x14ac:dyDescent="0.25">
      <c r="A192" t="s">
        <v>457</v>
      </c>
      <c r="B192" t="s">
        <v>22</v>
      </c>
      <c r="C192">
        <v>11</v>
      </c>
      <c r="E192" t="s">
        <v>76</v>
      </c>
      <c r="F192" t="s">
        <v>458</v>
      </c>
      <c r="G192" t="s">
        <v>438</v>
      </c>
      <c r="H192" t="s">
        <v>79</v>
      </c>
      <c r="I192" t="s">
        <v>22</v>
      </c>
      <c r="J192" t="b">
        <v>1</v>
      </c>
      <c r="K192" t="b">
        <v>1</v>
      </c>
      <c r="L192" t="s">
        <v>95</v>
      </c>
      <c r="M192" t="s">
        <v>81</v>
      </c>
      <c r="O192" t="s">
        <v>82</v>
      </c>
      <c r="P192">
        <v>40</v>
      </c>
      <c r="Q192">
        <v>46223</v>
      </c>
      <c r="R192">
        <v>46250</v>
      </c>
      <c r="S192">
        <v>2</v>
      </c>
      <c r="T192">
        <v>80</v>
      </c>
      <c r="U192">
        <v>10.526315789473683</v>
      </c>
      <c r="V192">
        <v>10</v>
      </c>
      <c r="W192">
        <v>20</v>
      </c>
      <c r="X192">
        <v>10</v>
      </c>
      <c r="Y192" t="s">
        <v>83</v>
      </c>
      <c r="Z192" t="s">
        <v>438</v>
      </c>
    </row>
    <row r="193" spans="1:26" hidden="1" x14ac:dyDescent="0.25">
      <c r="A193" t="s">
        <v>459</v>
      </c>
      <c r="B193" t="s">
        <v>22</v>
      </c>
      <c r="C193">
        <v>12</v>
      </c>
      <c r="E193" t="s">
        <v>76</v>
      </c>
      <c r="F193" t="s">
        <v>460</v>
      </c>
      <c r="G193" t="s">
        <v>438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72</v>
      </c>
      <c r="Q193">
        <v>46223</v>
      </c>
      <c r="R193">
        <v>46250</v>
      </c>
      <c r="S193">
        <v>2</v>
      </c>
      <c r="T193">
        <v>144</v>
      </c>
      <c r="U193">
        <v>18.947368421052634</v>
      </c>
      <c r="V193">
        <v>18</v>
      </c>
      <c r="W193">
        <v>20</v>
      </c>
      <c r="X193">
        <v>18</v>
      </c>
      <c r="Y193" t="s">
        <v>83</v>
      </c>
      <c r="Z193" t="s">
        <v>438</v>
      </c>
    </row>
    <row r="194" spans="1:26" hidden="1" x14ac:dyDescent="0.25">
      <c r="A194" t="s">
        <v>461</v>
      </c>
      <c r="B194" t="s">
        <v>22</v>
      </c>
      <c r="C194">
        <v>13</v>
      </c>
      <c r="D194" t="s">
        <v>40</v>
      </c>
      <c r="E194" t="s">
        <v>76</v>
      </c>
      <c r="F194" t="s">
        <v>462</v>
      </c>
      <c r="G194" t="s">
        <v>438</v>
      </c>
      <c r="H194" t="s">
        <v>88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hidden="1" x14ac:dyDescent="0.25">
      <c r="A195" t="s">
        <v>463</v>
      </c>
      <c r="B195" t="s">
        <v>22</v>
      </c>
      <c r="C195">
        <v>14</v>
      </c>
      <c r="E195" t="s">
        <v>76</v>
      </c>
      <c r="F195" t="s">
        <v>464</v>
      </c>
      <c r="G195" t="s">
        <v>438</v>
      </c>
      <c r="H195" t="s">
        <v>88</v>
      </c>
      <c r="I195" t="s">
        <v>22</v>
      </c>
      <c r="J195" t="b">
        <v>1</v>
      </c>
      <c r="K195" t="b">
        <v>0</v>
      </c>
      <c r="L195" t="s">
        <v>92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</row>
    <row r="196" spans="1:26" hidden="1" x14ac:dyDescent="0.25">
      <c r="A196" t="s">
        <v>465</v>
      </c>
      <c r="B196" t="s">
        <v>22</v>
      </c>
      <c r="C196">
        <v>15</v>
      </c>
      <c r="D196" t="s">
        <v>40</v>
      </c>
      <c r="E196" t="s">
        <v>76</v>
      </c>
      <c r="F196" t="s">
        <v>466</v>
      </c>
      <c r="G196" t="s">
        <v>438</v>
      </c>
      <c r="H196" t="s">
        <v>79</v>
      </c>
      <c r="I196" t="s">
        <v>22</v>
      </c>
      <c r="J196" t="b">
        <v>0</v>
      </c>
      <c r="K196" t="b">
        <v>1</v>
      </c>
      <c r="L196" t="s">
        <v>80</v>
      </c>
      <c r="M196" t="s">
        <v>81</v>
      </c>
      <c r="O196" t="s">
        <v>82</v>
      </c>
      <c r="P196">
        <v>46</v>
      </c>
      <c r="Q196">
        <v>46223</v>
      </c>
      <c r="R196">
        <v>46250</v>
      </c>
      <c r="S196">
        <v>2</v>
      </c>
      <c r="T196">
        <v>92</v>
      </c>
      <c r="U196">
        <v>12.105263157894738</v>
      </c>
      <c r="V196">
        <v>12</v>
      </c>
      <c r="W196">
        <v>20</v>
      </c>
      <c r="X196">
        <v>12</v>
      </c>
      <c r="Y196" t="s">
        <v>83</v>
      </c>
      <c r="Z196" t="s">
        <v>438</v>
      </c>
    </row>
    <row r="197" spans="1:26" hidden="1" x14ac:dyDescent="0.25">
      <c r="A197" t="s">
        <v>467</v>
      </c>
      <c r="B197" t="s">
        <v>29</v>
      </c>
      <c r="C197">
        <v>16</v>
      </c>
      <c r="E197" t="s">
        <v>76</v>
      </c>
      <c r="F197" t="s">
        <v>468</v>
      </c>
      <c r="G197" t="s">
        <v>438</v>
      </c>
      <c r="H197" t="s">
        <v>110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76</v>
      </c>
      <c r="Q197">
        <v>46223</v>
      </c>
      <c r="R197">
        <v>46250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111</v>
      </c>
      <c r="Z197" t="s">
        <v>438</v>
      </c>
    </row>
    <row r="198" spans="1:26" hidden="1" x14ac:dyDescent="0.25">
      <c r="A198" t="s">
        <v>469</v>
      </c>
      <c r="B198" t="s">
        <v>22</v>
      </c>
      <c r="C198">
        <v>17</v>
      </c>
      <c r="E198" t="s">
        <v>76</v>
      </c>
      <c r="F198" t="s">
        <v>470</v>
      </c>
      <c r="G198" t="s">
        <v>438</v>
      </c>
      <c r="H198" t="s">
        <v>110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76</v>
      </c>
      <c r="Q198">
        <v>46223</v>
      </c>
      <c r="R198">
        <v>46250</v>
      </c>
      <c r="S198">
        <v>2</v>
      </c>
      <c r="T198">
        <v>152</v>
      </c>
      <c r="U198">
        <v>20</v>
      </c>
      <c r="V198">
        <v>20</v>
      </c>
      <c r="W198">
        <v>20</v>
      </c>
      <c r="X198">
        <v>20</v>
      </c>
      <c r="Y198" t="s">
        <v>111</v>
      </c>
      <c r="Z198" t="s">
        <v>438</v>
      </c>
    </row>
    <row r="199" spans="1:26" hidden="1" x14ac:dyDescent="0.25">
      <c r="A199" t="s">
        <v>471</v>
      </c>
      <c r="B199" t="s">
        <v>22</v>
      </c>
      <c r="C199">
        <v>18</v>
      </c>
      <c r="E199" t="s">
        <v>76</v>
      </c>
      <c r="F199" t="s">
        <v>472</v>
      </c>
      <c r="G199" t="s">
        <v>438</v>
      </c>
      <c r="H199" t="s">
        <v>79</v>
      </c>
      <c r="I199" t="s">
        <v>22</v>
      </c>
      <c r="J199" t="b">
        <v>1</v>
      </c>
      <c r="K199" t="b">
        <v>1</v>
      </c>
      <c r="L199" t="s">
        <v>95</v>
      </c>
      <c r="M199" t="s">
        <v>81</v>
      </c>
      <c r="O199" t="s">
        <v>82</v>
      </c>
      <c r="P199">
        <v>40</v>
      </c>
      <c r="Q199">
        <v>46223</v>
      </c>
      <c r="R199">
        <v>46250</v>
      </c>
      <c r="S199">
        <v>2</v>
      </c>
      <c r="T199">
        <v>80</v>
      </c>
      <c r="U199">
        <v>10.526315789473683</v>
      </c>
      <c r="V199">
        <v>10</v>
      </c>
      <c r="W199">
        <v>20</v>
      </c>
      <c r="X199">
        <v>10</v>
      </c>
      <c r="Y199" t="s">
        <v>83</v>
      </c>
      <c r="Z199" t="s">
        <v>438</v>
      </c>
    </row>
    <row r="200" spans="1:26" hidden="1" x14ac:dyDescent="0.25">
      <c r="A200" t="s">
        <v>473</v>
      </c>
      <c r="B200" t="s">
        <v>22</v>
      </c>
      <c r="C200">
        <v>19</v>
      </c>
      <c r="E200" t="s">
        <v>76</v>
      </c>
      <c r="F200" t="s">
        <v>474</v>
      </c>
      <c r="G200" t="s">
        <v>438</v>
      </c>
      <c r="H200" t="s">
        <v>88</v>
      </c>
      <c r="I200" t="s">
        <v>22</v>
      </c>
      <c r="J200" t="b">
        <v>1</v>
      </c>
      <c r="K200" t="b">
        <v>0</v>
      </c>
      <c r="L200" t="s">
        <v>92</v>
      </c>
      <c r="M200" t="s">
        <v>81</v>
      </c>
      <c r="O200" t="s">
        <v>89</v>
      </c>
      <c r="P200">
        <v>76</v>
      </c>
      <c r="Q200">
        <v>46223</v>
      </c>
      <c r="R200">
        <v>46250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89</v>
      </c>
      <c r="Z200" t="s">
        <v>438</v>
      </c>
    </row>
    <row r="201" spans="1:26" hidden="1" x14ac:dyDescent="0.25">
      <c r="A201" t="s">
        <v>475</v>
      </c>
      <c r="B201" t="s">
        <v>22</v>
      </c>
      <c r="C201">
        <v>20</v>
      </c>
      <c r="E201" t="s">
        <v>76</v>
      </c>
      <c r="F201" t="s">
        <v>476</v>
      </c>
      <c r="G201" t="s">
        <v>438</v>
      </c>
      <c r="H201" t="s">
        <v>88</v>
      </c>
      <c r="I201" t="s">
        <v>22</v>
      </c>
      <c r="J201" t="b">
        <v>1</v>
      </c>
      <c r="K201" t="b">
        <v>0</v>
      </c>
      <c r="L201" t="s">
        <v>92</v>
      </c>
      <c r="M201" t="s">
        <v>81</v>
      </c>
      <c r="O201" t="s">
        <v>89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89</v>
      </c>
      <c r="Z201" t="s">
        <v>438</v>
      </c>
    </row>
    <row r="202" spans="1:26" hidden="1" x14ac:dyDescent="0.25">
      <c r="A202" t="s">
        <v>477</v>
      </c>
      <c r="B202" t="s">
        <v>22</v>
      </c>
      <c r="C202">
        <v>21</v>
      </c>
      <c r="D202" t="s">
        <v>40</v>
      </c>
      <c r="E202" t="s">
        <v>76</v>
      </c>
      <c r="F202" t="s">
        <v>478</v>
      </c>
      <c r="G202" t="s">
        <v>438</v>
      </c>
      <c r="H202" t="s">
        <v>79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82</v>
      </c>
      <c r="P202">
        <v>32</v>
      </c>
      <c r="Q202">
        <v>46223</v>
      </c>
      <c r="R202">
        <v>46250</v>
      </c>
      <c r="S202">
        <v>2</v>
      </c>
      <c r="T202">
        <v>64</v>
      </c>
      <c r="U202">
        <v>8.4210526315789469</v>
      </c>
      <c r="V202">
        <v>8</v>
      </c>
      <c r="W202">
        <v>20</v>
      </c>
      <c r="X202">
        <v>8</v>
      </c>
      <c r="Y202" t="s">
        <v>83</v>
      </c>
      <c r="Z202" t="s">
        <v>438</v>
      </c>
    </row>
    <row r="203" spans="1:26" hidden="1" x14ac:dyDescent="0.25">
      <c r="A203" t="s">
        <v>479</v>
      </c>
      <c r="B203" t="s">
        <v>22</v>
      </c>
      <c r="C203">
        <v>22</v>
      </c>
      <c r="E203" t="s">
        <v>76</v>
      </c>
      <c r="F203" t="s">
        <v>480</v>
      </c>
      <c r="G203" t="s">
        <v>438</v>
      </c>
      <c r="H203" t="s">
        <v>79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82</v>
      </c>
      <c r="P203">
        <v>24</v>
      </c>
      <c r="Q203">
        <v>46223</v>
      </c>
      <c r="R203">
        <v>46250</v>
      </c>
      <c r="S203">
        <v>2</v>
      </c>
      <c r="T203">
        <v>48</v>
      </c>
      <c r="U203">
        <v>6.3157894736842106</v>
      </c>
      <c r="V203">
        <v>6</v>
      </c>
      <c r="W203">
        <v>20</v>
      </c>
      <c r="X203">
        <v>6</v>
      </c>
      <c r="Y203" t="s">
        <v>83</v>
      </c>
      <c r="Z203" t="s">
        <v>438</v>
      </c>
    </row>
    <row r="204" spans="1:26" hidden="1" x14ac:dyDescent="0.25">
      <c r="A204" t="s">
        <v>481</v>
      </c>
      <c r="B204" t="s">
        <v>31</v>
      </c>
      <c r="C204">
        <v>23</v>
      </c>
      <c r="E204" t="s">
        <v>76</v>
      </c>
      <c r="F204" t="s">
        <v>482</v>
      </c>
      <c r="G204" t="s">
        <v>438</v>
      </c>
      <c r="H204" t="s">
        <v>110</v>
      </c>
      <c r="I204" t="s">
        <v>31</v>
      </c>
      <c r="J204" t="b">
        <v>1</v>
      </c>
      <c r="K204" t="b">
        <v>0</v>
      </c>
      <c r="L204" t="s">
        <v>92</v>
      </c>
      <c r="M204" t="s">
        <v>81</v>
      </c>
      <c r="O204" t="s">
        <v>82</v>
      </c>
      <c r="P204">
        <v>76</v>
      </c>
      <c r="Q204">
        <v>46223</v>
      </c>
      <c r="R204">
        <v>46250</v>
      </c>
      <c r="S204">
        <v>2</v>
      </c>
      <c r="T204">
        <v>152</v>
      </c>
      <c r="U204">
        <v>20</v>
      </c>
      <c r="V204">
        <v>20</v>
      </c>
      <c r="W204">
        <v>20</v>
      </c>
      <c r="X204">
        <v>20</v>
      </c>
      <c r="Y204" t="s">
        <v>111</v>
      </c>
      <c r="Z204" t="s">
        <v>438</v>
      </c>
    </row>
    <row r="205" spans="1:26" hidden="1" x14ac:dyDescent="0.25">
      <c r="A205" t="s">
        <v>483</v>
      </c>
      <c r="B205" t="s">
        <v>22</v>
      </c>
      <c r="C205">
        <v>24</v>
      </c>
      <c r="D205" t="s">
        <v>40</v>
      </c>
      <c r="E205" t="s">
        <v>76</v>
      </c>
      <c r="F205" t="s">
        <v>484</v>
      </c>
      <c r="G205" t="s">
        <v>438</v>
      </c>
      <c r="H205" t="s">
        <v>79</v>
      </c>
      <c r="I205" t="s">
        <v>22</v>
      </c>
      <c r="J205" t="b">
        <v>0</v>
      </c>
      <c r="K205" t="b">
        <v>1</v>
      </c>
      <c r="L205" t="s">
        <v>80</v>
      </c>
      <c r="M205" t="s">
        <v>81</v>
      </c>
      <c r="O205" t="s">
        <v>82</v>
      </c>
      <c r="P205">
        <v>64</v>
      </c>
      <c r="Q205">
        <v>46223</v>
      </c>
      <c r="R205">
        <v>46250</v>
      </c>
      <c r="S205">
        <v>2</v>
      </c>
      <c r="T205">
        <v>128</v>
      </c>
      <c r="U205">
        <v>16.842105263157894</v>
      </c>
      <c r="V205">
        <v>16</v>
      </c>
      <c r="W205">
        <v>20</v>
      </c>
      <c r="X205">
        <v>16</v>
      </c>
      <c r="Y205" t="s">
        <v>83</v>
      </c>
      <c r="Z205" t="s">
        <v>438</v>
      </c>
    </row>
    <row r="206" spans="1:26" hidden="1" x14ac:dyDescent="0.25">
      <c r="A206" t="s">
        <v>485</v>
      </c>
      <c r="B206" t="s">
        <v>22</v>
      </c>
      <c r="C206">
        <v>25</v>
      </c>
      <c r="D206" t="s">
        <v>40</v>
      </c>
      <c r="E206" t="s">
        <v>76</v>
      </c>
      <c r="F206" t="s">
        <v>486</v>
      </c>
      <c r="G206" t="s">
        <v>438</v>
      </c>
      <c r="H206" t="s">
        <v>88</v>
      </c>
      <c r="I206" t="s">
        <v>22</v>
      </c>
      <c r="J206" t="b">
        <v>0</v>
      </c>
      <c r="K206" t="b">
        <v>1</v>
      </c>
      <c r="L206" t="s">
        <v>80</v>
      </c>
      <c r="M206" t="s">
        <v>81</v>
      </c>
      <c r="O206" t="s">
        <v>89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89</v>
      </c>
      <c r="Z206" t="s">
        <v>438</v>
      </c>
    </row>
    <row r="207" spans="1:26" hidden="1" x14ac:dyDescent="0.25">
      <c r="A207" t="s">
        <v>487</v>
      </c>
      <c r="B207" t="s">
        <v>31</v>
      </c>
      <c r="C207">
        <v>26</v>
      </c>
      <c r="E207" t="s">
        <v>76</v>
      </c>
      <c r="F207" t="s">
        <v>189</v>
      </c>
      <c r="G207" t="s">
        <v>438</v>
      </c>
      <c r="H207" t="s">
        <v>79</v>
      </c>
      <c r="I207" t="s">
        <v>31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72</v>
      </c>
      <c r="Q207">
        <v>46223</v>
      </c>
      <c r="R207">
        <v>46250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83</v>
      </c>
      <c r="Z207" t="s">
        <v>438</v>
      </c>
    </row>
    <row r="208" spans="1:26" hidden="1" x14ac:dyDescent="0.25">
      <c r="A208" t="s">
        <v>488</v>
      </c>
      <c r="B208" t="s">
        <v>22</v>
      </c>
      <c r="C208">
        <v>27</v>
      </c>
      <c r="E208" t="s">
        <v>76</v>
      </c>
      <c r="F208" t="s">
        <v>489</v>
      </c>
      <c r="G208" t="s">
        <v>438</v>
      </c>
      <c r="H208" t="s">
        <v>110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76</v>
      </c>
      <c r="Q208">
        <v>46223</v>
      </c>
      <c r="R208">
        <v>46250</v>
      </c>
      <c r="S208">
        <v>2</v>
      </c>
      <c r="T208">
        <v>152</v>
      </c>
      <c r="U208">
        <v>20</v>
      </c>
      <c r="V208">
        <v>20</v>
      </c>
      <c r="W208">
        <v>20</v>
      </c>
      <c r="X208">
        <v>20</v>
      </c>
      <c r="Y208" t="s">
        <v>111</v>
      </c>
      <c r="Z208" t="s">
        <v>438</v>
      </c>
    </row>
    <row r="209" spans="1:26" hidden="1" x14ac:dyDescent="0.25">
      <c r="A209" t="s">
        <v>490</v>
      </c>
      <c r="B209" t="s">
        <v>22</v>
      </c>
      <c r="C209">
        <v>28</v>
      </c>
      <c r="E209" t="s">
        <v>76</v>
      </c>
      <c r="F209" t="s">
        <v>491</v>
      </c>
      <c r="G209" t="s">
        <v>438</v>
      </c>
      <c r="H209" t="s">
        <v>79</v>
      </c>
      <c r="I209" t="s">
        <v>22</v>
      </c>
      <c r="J209" t="b">
        <v>1</v>
      </c>
      <c r="K209" t="b">
        <v>0</v>
      </c>
      <c r="L209" t="s">
        <v>92</v>
      </c>
      <c r="M209" t="s">
        <v>81</v>
      </c>
      <c r="O209" t="s">
        <v>82</v>
      </c>
      <c r="P209">
        <v>48</v>
      </c>
      <c r="Q209">
        <v>46223</v>
      </c>
      <c r="R209">
        <v>46250</v>
      </c>
      <c r="S209">
        <v>2</v>
      </c>
      <c r="T209">
        <v>96</v>
      </c>
      <c r="U209">
        <v>12.631578947368419</v>
      </c>
      <c r="V209">
        <v>12</v>
      </c>
      <c r="W209">
        <v>20</v>
      </c>
      <c r="X209">
        <v>12</v>
      </c>
      <c r="Y209" t="s">
        <v>83</v>
      </c>
      <c r="Z209" t="s">
        <v>438</v>
      </c>
    </row>
    <row r="210" spans="1:26" hidden="1" x14ac:dyDescent="0.25">
      <c r="A210" t="s">
        <v>492</v>
      </c>
      <c r="B210" t="s">
        <v>22</v>
      </c>
      <c r="C210">
        <v>29</v>
      </c>
      <c r="E210" t="s">
        <v>76</v>
      </c>
      <c r="F210" t="s">
        <v>493</v>
      </c>
      <c r="G210" t="s">
        <v>438</v>
      </c>
      <c r="H210" t="s">
        <v>79</v>
      </c>
      <c r="I210" t="s">
        <v>22</v>
      </c>
      <c r="J210" t="b">
        <v>1</v>
      </c>
      <c r="K210" t="b">
        <v>0</v>
      </c>
      <c r="L210" t="s">
        <v>92</v>
      </c>
      <c r="M210" t="s">
        <v>81</v>
      </c>
      <c r="O210" t="s">
        <v>82</v>
      </c>
      <c r="P210">
        <v>58</v>
      </c>
      <c r="Q210">
        <v>46223</v>
      </c>
      <c r="R210">
        <v>46250</v>
      </c>
      <c r="S210">
        <v>2</v>
      </c>
      <c r="T210">
        <v>116</v>
      </c>
      <c r="U210">
        <v>15.263157894736842</v>
      </c>
      <c r="V210">
        <v>15</v>
      </c>
      <c r="W210">
        <v>20</v>
      </c>
      <c r="X210">
        <v>15</v>
      </c>
      <c r="Y210" t="s">
        <v>83</v>
      </c>
      <c r="Z210" t="s">
        <v>438</v>
      </c>
    </row>
    <row r="211" spans="1:26" hidden="1" x14ac:dyDescent="0.25">
      <c r="A211" t="s">
        <v>494</v>
      </c>
      <c r="B211" t="s">
        <v>22</v>
      </c>
      <c r="C211">
        <v>30</v>
      </c>
      <c r="E211" t="s">
        <v>76</v>
      </c>
      <c r="F211" t="s">
        <v>495</v>
      </c>
      <c r="G211" t="s">
        <v>438</v>
      </c>
      <c r="H211" t="s">
        <v>79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40</v>
      </c>
      <c r="Q211">
        <v>46223</v>
      </c>
      <c r="R211">
        <v>46250</v>
      </c>
      <c r="S211">
        <v>2</v>
      </c>
      <c r="T211">
        <v>80</v>
      </c>
      <c r="U211">
        <v>10.526315789473683</v>
      </c>
      <c r="V211">
        <v>10</v>
      </c>
      <c r="W211">
        <v>20</v>
      </c>
      <c r="X211">
        <v>10</v>
      </c>
      <c r="Y211" t="s">
        <v>83</v>
      </c>
      <c r="Z211" t="s">
        <v>438</v>
      </c>
    </row>
    <row r="212" spans="1:26" hidden="1" x14ac:dyDescent="0.25">
      <c r="A212" t="s">
        <v>496</v>
      </c>
      <c r="B212" t="s">
        <v>22</v>
      </c>
      <c r="C212">
        <v>31</v>
      </c>
      <c r="E212" t="s">
        <v>76</v>
      </c>
      <c r="F212" t="s">
        <v>497</v>
      </c>
      <c r="G212" t="s">
        <v>438</v>
      </c>
      <c r="H212" t="s">
        <v>110</v>
      </c>
      <c r="I212" t="s">
        <v>22</v>
      </c>
      <c r="J212" t="b">
        <v>1</v>
      </c>
      <c r="K212" t="b">
        <v>1</v>
      </c>
      <c r="L212" t="s">
        <v>95</v>
      </c>
      <c r="M212" t="s">
        <v>81</v>
      </c>
      <c r="O212" t="s">
        <v>82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111</v>
      </c>
      <c r="Z212" t="s">
        <v>438</v>
      </c>
    </row>
    <row r="213" spans="1:26" hidden="1" x14ac:dyDescent="0.25">
      <c r="A213" t="s">
        <v>498</v>
      </c>
      <c r="B213" t="s">
        <v>22</v>
      </c>
      <c r="C213">
        <v>32</v>
      </c>
      <c r="D213" t="s">
        <v>40</v>
      </c>
      <c r="E213" t="s">
        <v>76</v>
      </c>
      <c r="F213" t="s">
        <v>499</v>
      </c>
      <c r="G213" t="s">
        <v>438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438</v>
      </c>
    </row>
    <row r="214" spans="1:26" hidden="1" x14ac:dyDescent="0.25">
      <c r="A214" t="s">
        <v>500</v>
      </c>
      <c r="B214" t="s">
        <v>22</v>
      </c>
      <c r="C214">
        <v>33</v>
      </c>
      <c r="E214" t="s">
        <v>76</v>
      </c>
      <c r="F214" t="s">
        <v>501</v>
      </c>
      <c r="G214" t="s">
        <v>438</v>
      </c>
      <c r="H214" t="s">
        <v>88</v>
      </c>
      <c r="I214" t="s">
        <v>22</v>
      </c>
      <c r="J214" t="b">
        <v>1</v>
      </c>
      <c r="K214" t="b">
        <v>0</v>
      </c>
      <c r="L214" t="s">
        <v>92</v>
      </c>
      <c r="M214" t="s">
        <v>81</v>
      </c>
      <c r="O214" t="s">
        <v>89</v>
      </c>
      <c r="P214">
        <v>76</v>
      </c>
      <c r="Q214">
        <v>46223</v>
      </c>
      <c r="R214">
        <v>46250</v>
      </c>
      <c r="S214">
        <v>2</v>
      </c>
      <c r="T214">
        <v>152</v>
      </c>
      <c r="U214">
        <v>20</v>
      </c>
      <c r="V214">
        <v>20</v>
      </c>
      <c r="W214">
        <v>20</v>
      </c>
      <c r="X214">
        <v>20</v>
      </c>
      <c r="Y214" t="s">
        <v>89</v>
      </c>
      <c r="Z214" t="s">
        <v>438</v>
      </c>
    </row>
    <row r="215" spans="1:26" hidden="1" x14ac:dyDescent="0.25">
      <c r="A215" t="s">
        <v>502</v>
      </c>
      <c r="B215" t="s">
        <v>22</v>
      </c>
      <c r="C215">
        <v>34</v>
      </c>
      <c r="E215" t="s">
        <v>76</v>
      </c>
      <c r="F215" t="s">
        <v>503</v>
      </c>
      <c r="G215" t="s">
        <v>438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40</v>
      </c>
      <c r="Q215">
        <v>46223</v>
      </c>
      <c r="R215">
        <v>46250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83</v>
      </c>
      <c r="Z215" t="s">
        <v>438</v>
      </c>
    </row>
    <row r="216" spans="1:26" hidden="1" x14ac:dyDescent="0.25">
      <c r="A216" t="s">
        <v>504</v>
      </c>
      <c r="B216" t="s">
        <v>22</v>
      </c>
      <c r="C216">
        <v>35</v>
      </c>
      <c r="E216" t="s">
        <v>76</v>
      </c>
      <c r="F216" t="s">
        <v>505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</row>
    <row r="217" spans="1:26" hidden="1" x14ac:dyDescent="0.25">
      <c r="A217" t="s">
        <v>506</v>
      </c>
      <c r="B217" t="s">
        <v>22</v>
      </c>
      <c r="C217">
        <v>36</v>
      </c>
      <c r="E217" t="s">
        <v>76</v>
      </c>
      <c r="F217" t="s">
        <v>507</v>
      </c>
      <c r="G217" t="s">
        <v>438</v>
      </c>
      <c r="H217" t="s">
        <v>110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82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111</v>
      </c>
      <c r="Z217" t="s">
        <v>438</v>
      </c>
    </row>
    <row r="218" spans="1:26" hidden="1" x14ac:dyDescent="0.25">
      <c r="A218" t="s">
        <v>508</v>
      </c>
      <c r="B218" t="s">
        <v>29</v>
      </c>
      <c r="C218">
        <v>37</v>
      </c>
      <c r="E218" t="s">
        <v>76</v>
      </c>
      <c r="F218" t="s">
        <v>509</v>
      </c>
      <c r="G218" t="s">
        <v>438</v>
      </c>
      <c r="H218" t="s">
        <v>110</v>
      </c>
      <c r="I218" t="s">
        <v>29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76</v>
      </c>
      <c r="Q218">
        <v>46223</v>
      </c>
      <c r="R218">
        <v>46250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111</v>
      </c>
      <c r="Z218" t="s">
        <v>438</v>
      </c>
    </row>
    <row r="219" spans="1:26" hidden="1" x14ac:dyDescent="0.25">
      <c r="A219" t="s">
        <v>510</v>
      </c>
      <c r="B219" t="s">
        <v>22</v>
      </c>
      <c r="C219">
        <v>38</v>
      </c>
      <c r="E219" t="s">
        <v>76</v>
      </c>
      <c r="F219" t="s">
        <v>511</v>
      </c>
      <c r="G219" t="s">
        <v>438</v>
      </c>
      <c r="H219" t="s">
        <v>88</v>
      </c>
      <c r="I219" t="s">
        <v>22</v>
      </c>
      <c r="J219" t="b">
        <v>1</v>
      </c>
      <c r="K219" t="b">
        <v>0</v>
      </c>
      <c r="L219" t="s">
        <v>92</v>
      </c>
      <c r="M219" t="s">
        <v>81</v>
      </c>
      <c r="O219" t="s">
        <v>89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89</v>
      </c>
      <c r="Z219" t="s">
        <v>438</v>
      </c>
    </row>
    <row r="220" spans="1:26" hidden="1" x14ac:dyDescent="0.25">
      <c r="A220" t="s">
        <v>512</v>
      </c>
      <c r="B220" t="s">
        <v>22</v>
      </c>
      <c r="C220">
        <v>39</v>
      </c>
      <c r="E220" t="s">
        <v>76</v>
      </c>
      <c r="F220" t="s">
        <v>513</v>
      </c>
      <c r="G220" t="s">
        <v>438</v>
      </c>
      <c r="H220" t="s">
        <v>79</v>
      </c>
      <c r="I220" t="s">
        <v>22</v>
      </c>
      <c r="J220" t="b">
        <v>1</v>
      </c>
      <c r="K220" t="b">
        <v>0</v>
      </c>
      <c r="L220" t="s">
        <v>92</v>
      </c>
      <c r="M220" t="s">
        <v>81</v>
      </c>
      <c r="O220" t="s">
        <v>82</v>
      </c>
      <c r="P220">
        <v>16</v>
      </c>
      <c r="Q220">
        <v>46223</v>
      </c>
      <c r="R220">
        <v>46250</v>
      </c>
      <c r="S220">
        <v>2</v>
      </c>
      <c r="T220">
        <v>32</v>
      </c>
      <c r="U220">
        <v>4.2105263157894735</v>
      </c>
      <c r="V220">
        <v>4</v>
      </c>
      <c r="W220">
        <v>20</v>
      </c>
      <c r="X220">
        <v>4</v>
      </c>
      <c r="Y220" t="s">
        <v>83</v>
      </c>
      <c r="Z220" t="s">
        <v>438</v>
      </c>
    </row>
    <row r="221" spans="1:26" hidden="1" x14ac:dyDescent="0.25">
      <c r="A221" t="s">
        <v>514</v>
      </c>
      <c r="B221" t="s">
        <v>22</v>
      </c>
      <c r="C221">
        <v>40</v>
      </c>
      <c r="E221" t="s">
        <v>76</v>
      </c>
      <c r="F221" t="s">
        <v>515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</row>
    <row r="222" spans="1:26" hidden="1" x14ac:dyDescent="0.25">
      <c r="A222" t="s">
        <v>516</v>
      </c>
      <c r="B222" t="s">
        <v>22</v>
      </c>
      <c r="C222">
        <v>41</v>
      </c>
      <c r="E222" t="s">
        <v>76</v>
      </c>
      <c r="F222" t="s">
        <v>517</v>
      </c>
      <c r="G222" t="s">
        <v>438</v>
      </c>
      <c r="H222" t="s">
        <v>110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76</v>
      </c>
      <c r="Q222">
        <v>46223</v>
      </c>
      <c r="R222">
        <v>46250</v>
      </c>
      <c r="S222">
        <v>2</v>
      </c>
      <c r="T222">
        <v>152</v>
      </c>
      <c r="U222">
        <v>20</v>
      </c>
      <c r="V222">
        <v>20</v>
      </c>
      <c r="W222">
        <v>20</v>
      </c>
      <c r="X222">
        <v>20</v>
      </c>
      <c r="Y222" t="s">
        <v>111</v>
      </c>
      <c r="Z222" t="s">
        <v>438</v>
      </c>
    </row>
    <row r="223" spans="1:26" hidden="1" x14ac:dyDescent="0.25">
      <c r="A223" t="s">
        <v>518</v>
      </c>
      <c r="B223" t="s">
        <v>22</v>
      </c>
      <c r="C223">
        <v>42</v>
      </c>
      <c r="D223" t="s">
        <v>40</v>
      </c>
      <c r="E223" t="s">
        <v>76</v>
      </c>
      <c r="F223" t="s">
        <v>519</v>
      </c>
      <c r="G223" t="s">
        <v>438</v>
      </c>
      <c r="H223" t="s">
        <v>79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82</v>
      </c>
      <c r="P223">
        <v>32</v>
      </c>
      <c r="Q223">
        <v>46223</v>
      </c>
      <c r="R223">
        <v>46250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83</v>
      </c>
      <c r="Z223" t="s">
        <v>438</v>
      </c>
    </row>
    <row r="224" spans="1:26" hidden="1" x14ac:dyDescent="0.25">
      <c r="A224" t="s">
        <v>520</v>
      </c>
      <c r="B224" t="s">
        <v>22</v>
      </c>
      <c r="C224">
        <v>43</v>
      </c>
      <c r="E224" t="s">
        <v>76</v>
      </c>
      <c r="F224" t="s">
        <v>521</v>
      </c>
      <c r="G224" t="s">
        <v>438</v>
      </c>
      <c r="H224" t="s">
        <v>110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438</v>
      </c>
    </row>
    <row r="225" spans="1:26" hidden="1" x14ac:dyDescent="0.25">
      <c r="A225" t="s">
        <v>522</v>
      </c>
      <c r="B225" t="s">
        <v>29</v>
      </c>
      <c r="C225">
        <v>44</v>
      </c>
      <c r="E225" t="s">
        <v>76</v>
      </c>
      <c r="F225" t="s">
        <v>523</v>
      </c>
      <c r="G225" t="s">
        <v>438</v>
      </c>
      <c r="H225" t="s">
        <v>79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56</v>
      </c>
      <c r="Q225">
        <v>46223</v>
      </c>
      <c r="R225">
        <v>46250</v>
      </c>
      <c r="S225">
        <v>2</v>
      </c>
      <c r="T225">
        <v>112</v>
      </c>
      <c r="U225">
        <v>14.736842105263159</v>
      </c>
      <c r="V225">
        <v>14</v>
      </c>
      <c r="W225">
        <v>20</v>
      </c>
      <c r="X225">
        <v>14</v>
      </c>
      <c r="Y225" t="s">
        <v>83</v>
      </c>
      <c r="Z225" t="s">
        <v>438</v>
      </c>
    </row>
    <row r="226" spans="1:26" hidden="1" x14ac:dyDescent="0.25">
      <c r="A226" t="s">
        <v>524</v>
      </c>
      <c r="B226" t="s">
        <v>22</v>
      </c>
      <c r="C226">
        <v>45</v>
      </c>
      <c r="E226" t="s">
        <v>76</v>
      </c>
      <c r="F226" t="s">
        <v>525</v>
      </c>
      <c r="G226" t="s">
        <v>438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56</v>
      </c>
      <c r="Q226">
        <v>46223</v>
      </c>
      <c r="R226">
        <v>46250</v>
      </c>
      <c r="S226">
        <v>2</v>
      </c>
      <c r="T226">
        <v>112</v>
      </c>
      <c r="U226">
        <v>14.736842105263159</v>
      </c>
      <c r="V226">
        <v>14</v>
      </c>
      <c r="W226">
        <v>20</v>
      </c>
      <c r="X226">
        <v>14</v>
      </c>
      <c r="Y226" t="s">
        <v>83</v>
      </c>
      <c r="Z226" t="s">
        <v>438</v>
      </c>
    </row>
    <row r="227" spans="1:26" hidden="1" x14ac:dyDescent="0.25">
      <c r="A227" t="s">
        <v>526</v>
      </c>
      <c r="B227" t="s">
        <v>29</v>
      </c>
      <c r="C227">
        <v>46</v>
      </c>
      <c r="E227" t="s">
        <v>76</v>
      </c>
      <c r="F227" t="s">
        <v>527</v>
      </c>
      <c r="G227" t="s">
        <v>438</v>
      </c>
      <c r="H227" t="s">
        <v>79</v>
      </c>
      <c r="I227" t="s">
        <v>29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48</v>
      </c>
      <c r="Q227">
        <v>46223</v>
      </c>
      <c r="R227">
        <v>46250</v>
      </c>
      <c r="S227">
        <v>2</v>
      </c>
      <c r="T227">
        <v>96</v>
      </c>
      <c r="U227">
        <v>12.631578947368419</v>
      </c>
      <c r="V227">
        <v>12</v>
      </c>
      <c r="W227">
        <v>20</v>
      </c>
      <c r="X227">
        <v>12</v>
      </c>
      <c r="Y227" t="s">
        <v>83</v>
      </c>
      <c r="Z227" t="s">
        <v>438</v>
      </c>
    </row>
    <row r="228" spans="1:26" hidden="1" x14ac:dyDescent="0.25">
      <c r="A228" t="s">
        <v>528</v>
      </c>
      <c r="B228" t="s">
        <v>22</v>
      </c>
      <c r="C228">
        <v>47</v>
      </c>
      <c r="E228" t="s">
        <v>76</v>
      </c>
      <c r="F228" t="s">
        <v>529</v>
      </c>
      <c r="G228" t="s">
        <v>438</v>
      </c>
      <c r="H228" t="s">
        <v>79</v>
      </c>
      <c r="I228" t="s">
        <v>22</v>
      </c>
      <c r="J228" t="b">
        <v>1</v>
      </c>
      <c r="K228" t="b">
        <v>0</v>
      </c>
      <c r="L228" t="s">
        <v>92</v>
      </c>
      <c r="M228" t="s">
        <v>81</v>
      </c>
      <c r="O228" t="s">
        <v>82</v>
      </c>
      <c r="P228">
        <v>32</v>
      </c>
      <c r="Q228">
        <v>46223</v>
      </c>
      <c r="R228">
        <v>46250</v>
      </c>
      <c r="S228">
        <v>2</v>
      </c>
      <c r="T228">
        <v>64</v>
      </c>
      <c r="U228">
        <v>8.4210526315789469</v>
      </c>
      <c r="V228">
        <v>8</v>
      </c>
      <c r="W228">
        <v>20</v>
      </c>
      <c r="X228">
        <v>8</v>
      </c>
      <c r="Y228" t="s">
        <v>83</v>
      </c>
      <c r="Z228" t="s">
        <v>438</v>
      </c>
    </row>
    <row r="229" spans="1:26" hidden="1" x14ac:dyDescent="0.25">
      <c r="A229" t="s">
        <v>530</v>
      </c>
      <c r="B229" t="s">
        <v>22</v>
      </c>
      <c r="C229">
        <v>48</v>
      </c>
      <c r="E229" t="s">
        <v>76</v>
      </c>
      <c r="F229" t="s">
        <v>531</v>
      </c>
      <c r="G229" t="s">
        <v>438</v>
      </c>
      <c r="H229" t="s">
        <v>88</v>
      </c>
      <c r="I229" t="s">
        <v>22</v>
      </c>
      <c r="J229" t="b">
        <v>1</v>
      </c>
      <c r="K229" t="b">
        <v>0</v>
      </c>
      <c r="L229" t="s">
        <v>92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438</v>
      </c>
    </row>
    <row r="230" spans="1:26" hidden="1" x14ac:dyDescent="0.25">
      <c r="A230" t="s">
        <v>532</v>
      </c>
      <c r="B230" t="s">
        <v>22</v>
      </c>
      <c r="C230">
        <v>49</v>
      </c>
      <c r="E230" t="s">
        <v>76</v>
      </c>
      <c r="F230" t="s">
        <v>533</v>
      </c>
      <c r="G230" t="s">
        <v>438</v>
      </c>
      <c r="H230" t="s">
        <v>88</v>
      </c>
      <c r="I230" t="s">
        <v>22</v>
      </c>
      <c r="J230" t="b">
        <v>1</v>
      </c>
      <c r="K230" t="b">
        <v>0</v>
      </c>
      <c r="L230" t="s">
        <v>92</v>
      </c>
      <c r="M230" t="s">
        <v>81</v>
      </c>
      <c r="O230" t="s">
        <v>89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89</v>
      </c>
      <c r="Z230" t="s">
        <v>438</v>
      </c>
    </row>
    <row r="231" spans="1:26" hidden="1" x14ac:dyDescent="0.25">
      <c r="A231" t="s">
        <v>534</v>
      </c>
      <c r="B231" t="s">
        <v>29</v>
      </c>
      <c r="C231">
        <v>50</v>
      </c>
      <c r="E231" t="s">
        <v>76</v>
      </c>
      <c r="F231" t="s">
        <v>535</v>
      </c>
      <c r="G231" t="s">
        <v>438</v>
      </c>
      <c r="H231" t="s">
        <v>110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76</v>
      </c>
      <c r="Q231">
        <v>46223</v>
      </c>
      <c r="R231">
        <v>46250</v>
      </c>
      <c r="S231">
        <v>2</v>
      </c>
      <c r="T231">
        <v>152</v>
      </c>
      <c r="U231">
        <v>20</v>
      </c>
      <c r="V231">
        <v>20</v>
      </c>
      <c r="W231">
        <v>20</v>
      </c>
      <c r="X231">
        <v>20</v>
      </c>
      <c r="Y231" t="s">
        <v>111</v>
      </c>
      <c r="Z231" t="s">
        <v>438</v>
      </c>
    </row>
    <row r="232" spans="1:26" hidden="1" x14ac:dyDescent="0.25">
      <c r="A232" t="s">
        <v>536</v>
      </c>
      <c r="B232" t="s">
        <v>22</v>
      </c>
      <c r="C232">
        <v>51</v>
      </c>
      <c r="E232" t="s">
        <v>76</v>
      </c>
      <c r="F232" t="s">
        <v>537</v>
      </c>
      <c r="G232" t="s">
        <v>438</v>
      </c>
      <c r="H232" t="s">
        <v>110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111</v>
      </c>
      <c r="Z232" t="s">
        <v>438</v>
      </c>
    </row>
    <row r="233" spans="1:26" hidden="1" x14ac:dyDescent="0.25">
      <c r="A233" t="s">
        <v>538</v>
      </c>
      <c r="B233" t="s">
        <v>22</v>
      </c>
      <c r="C233">
        <v>52</v>
      </c>
      <c r="D233" t="s">
        <v>40</v>
      </c>
      <c r="E233" t="s">
        <v>76</v>
      </c>
      <c r="F233" t="s">
        <v>539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</row>
    <row r="234" spans="1:26" hidden="1" x14ac:dyDescent="0.25">
      <c r="A234" t="s">
        <v>540</v>
      </c>
      <c r="B234" t="s">
        <v>22</v>
      </c>
      <c r="C234">
        <v>53</v>
      </c>
      <c r="E234" t="s">
        <v>76</v>
      </c>
      <c r="F234" t="s">
        <v>541</v>
      </c>
      <c r="G234" t="s">
        <v>438</v>
      </c>
      <c r="H234" t="s">
        <v>110</v>
      </c>
      <c r="I234" t="s">
        <v>22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111</v>
      </c>
      <c r="Z234" t="s">
        <v>438</v>
      </c>
    </row>
    <row r="235" spans="1:26" hidden="1" x14ac:dyDescent="0.25">
      <c r="A235" t="s">
        <v>542</v>
      </c>
      <c r="B235" t="s">
        <v>22</v>
      </c>
      <c r="C235">
        <v>54</v>
      </c>
      <c r="E235" t="s">
        <v>76</v>
      </c>
      <c r="F235" t="s">
        <v>543</v>
      </c>
      <c r="G235" t="s">
        <v>438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60</v>
      </c>
      <c r="Q235">
        <v>46223</v>
      </c>
      <c r="R235">
        <v>46250</v>
      </c>
      <c r="S235">
        <v>2</v>
      </c>
      <c r="T235">
        <v>120</v>
      </c>
      <c r="U235">
        <v>15.789473684210527</v>
      </c>
      <c r="V235">
        <v>15</v>
      </c>
      <c r="W235">
        <v>20</v>
      </c>
      <c r="X235">
        <v>15</v>
      </c>
      <c r="Y235" t="s">
        <v>83</v>
      </c>
      <c r="Z235" t="s">
        <v>438</v>
      </c>
    </row>
    <row r="236" spans="1:26" hidden="1" x14ac:dyDescent="0.25">
      <c r="A236" t="s">
        <v>414</v>
      </c>
      <c r="B236" t="s">
        <v>22</v>
      </c>
      <c r="C236">
        <v>55</v>
      </c>
      <c r="D236" t="s">
        <v>40</v>
      </c>
      <c r="E236" t="s">
        <v>76</v>
      </c>
      <c r="F236" t="s">
        <v>415</v>
      </c>
      <c r="G236" t="s">
        <v>438</v>
      </c>
      <c r="H236" t="s">
        <v>88</v>
      </c>
      <c r="I236" t="s">
        <v>22</v>
      </c>
      <c r="J236" t="b">
        <v>0</v>
      </c>
      <c r="K236" t="b">
        <v>1</v>
      </c>
      <c r="L236" t="s">
        <v>80</v>
      </c>
      <c r="M236" t="s">
        <v>81</v>
      </c>
      <c r="O236" t="s">
        <v>89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89</v>
      </c>
      <c r="Z236" t="s">
        <v>438</v>
      </c>
    </row>
    <row r="237" spans="1:26" hidden="1" x14ac:dyDescent="0.25">
      <c r="A237" t="s">
        <v>544</v>
      </c>
      <c r="B237" t="s">
        <v>22</v>
      </c>
      <c r="C237">
        <v>56</v>
      </c>
      <c r="E237" t="s">
        <v>76</v>
      </c>
      <c r="F237" t="s">
        <v>545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</row>
    <row r="238" spans="1:26" hidden="1" x14ac:dyDescent="0.25">
      <c r="A238" t="s">
        <v>546</v>
      </c>
      <c r="B238" t="s">
        <v>22</v>
      </c>
      <c r="C238">
        <v>57</v>
      </c>
      <c r="E238" t="s">
        <v>76</v>
      </c>
      <c r="F238" t="s">
        <v>547</v>
      </c>
      <c r="G238" t="s">
        <v>438</v>
      </c>
      <c r="H238" t="s">
        <v>79</v>
      </c>
      <c r="I238" t="s">
        <v>22</v>
      </c>
      <c r="J238" t="b">
        <v>1</v>
      </c>
      <c r="K238" t="b">
        <v>0</v>
      </c>
      <c r="L238" t="s">
        <v>92</v>
      </c>
      <c r="M238" t="s">
        <v>81</v>
      </c>
      <c r="O238" t="s">
        <v>82</v>
      </c>
      <c r="P238">
        <v>32</v>
      </c>
      <c r="Q238">
        <v>46223</v>
      </c>
      <c r="R238">
        <v>46250</v>
      </c>
      <c r="S238">
        <v>2</v>
      </c>
      <c r="T238">
        <v>64</v>
      </c>
      <c r="U238">
        <v>8.4210526315789469</v>
      </c>
      <c r="V238">
        <v>8</v>
      </c>
      <c r="W238">
        <v>20</v>
      </c>
      <c r="X238">
        <v>8</v>
      </c>
      <c r="Y238" t="s">
        <v>83</v>
      </c>
      <c r="Z238" t="s">
        <v>438</v>
      </c>
    </row>
    <row r="239" spans="1:26" hidden="1" x14ac:dyDescent="0.25">
      <c r="A239" t="s">
        <v>548</v>
      </c>
      <c r="B239" t="s">
        <v>22</v>
      </c>
      <c r="C239">
        <v>58</v>
      </c>
      <c r="E239" t="s">
        <v>76</v>
      </c>
      <c r="F239" t="s">
        <v>549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</row>
    <row r="240" spans="1:26" hidden="1" x14ac:dyDescent="0.25">
      <c r="A240" t="s">
        <v>550</v>
      </c>
      <c r="B240" t="s">
        <v>22</v>
      </c>
      <c r="C240">
        <v>59</v>
      </c>
      <c r="E240" t="s">
        <v>76</v>
      </c>
      <c r="F240" t="s">
        <v>551</v>
      </c>
      <c r="G240" t="s">
        <v>438</v>
      </c>
      <c r="H240" t="s">
        <v>88</v>
      </c>
      <c r="I240" t="s">
        <v>22</v>
      </c>
      <c r="J240" t="b">
        <v>1</v>
      </c>
      <c r="K240" t="b">
        <v>0</v>
      </c>
      <c r="L240" t="s">
        <v>92</v>
      </c>
      <c r="M240" t="s">
        <v>81</v>
      </c>
      <c r="O240" t="s">
        <v>89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89</v>
      </c>
      <c r="Z240" t="s">
        <v>438</v>
      </c>
    </row>
    <row r="241" spans="1:26" hidden="1" x14ac:dyDescent="0.25">
      <c r="A241" t="s">
        <v>552</v>
      </c>
      <c r="B241" t="s">
        <v>22</v>
      </c>
      <c r="C241">
        <v>60</v>
      </c>
      <c r="E241" t="s">
        <v>76</v>
      </c>
      <c r="F241" t="s">
        <v>553</v>
      </c>
      <c r="G241" t="s">
        <v>438</v>
      </c>
      <c r="H241" t="s">
        <v>79</v>
      </c>
      <c r="I241" t="s">
        <v>22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64</v>
      </c>
      <c r="Q241">
        <v>46223</v>
      </c>
      <c r="R241">
        <v>46250</v>
      </c>
      <c r="S241">
        <v>2</v>
      </c>
      <c r="T241">
        <v>128</v>
      </c>
      <c r="U241">
        <v>16.842105263157894</v>
      </c>
      <c r="V241">
        <v>16</v>
      </c>
      <c r="W241">
        <v>20</v>
      </c>
      <c r="X241">
        <v>16</v>
      </c>
      <c r="Y241" t="s">
        <v>83</v>
      </c>
      <c r="Z241" t="s">
        <v>438</v>
      </c>
    </row>
    <row r="242" spans="1:26" hidden="1" x14ac:dyDescent="0.25">
      <c r="A242" t="s">
        <v>554</v>
      </c>
      <c r="B242" t="s">
        <v>22</v>
      </c>
      <c r="C242">
        <v>61</v>
      </c>
      <c r="E242" t="s">
        <v>76</v>
      </c>
      <c r="F242" t="s">
        <v>555</v>
      </c>
      <c r="G242" t="s">
        <v>438</v>
      </c>
      <c r="H242" t="s">
        <v>79</v>
      </c>
      <c r="I242" t="s">
        <v>22</v>
      </c>
      <c r="J242" t="b">
        <v>1</v>
      </c>
      <c r="K242" t="b">
        <v>1</v>
      </c>
      <c r="L242" t="s">
        <v>95</v>
      </c>
      <c r="M242" t="s">
        <v>81</v>
      </c>
      <c r="O242" t="s">
        <v>82</v>
      </c>
      <c r="P242">
        <v>64</v>
      </c>
      <c r="Q242">
        <v>46223</v>
      </c>
      <c r="R242">
        <v>46250</v>
      </c>
      <c r="S242">
        <v>2</v>
      </c>
      <c r="T242">
        <v>128</v>
      </c>
      <c r="U242">
        <v>16.842105263157894</v>
      </c>
      <c r="V242">
        <v>16</v>
      </c>
      <c r="W242">
        <v>20</v>
      </c>
      <c r="X242">
        <v>16</v>
      </c>
      <c r="Y242" t="s">
        <v>83</v>
      </c>
      <c r="Z242" t="s">
        <v>438</v>
      </c>
    </row>
    <row r="243" spans="1:26" hidden="1" x14ac:dyDescent="0.25">
      <c r="A243" t="s">
        <v>556</v>
      </c>
      <c r="B243" t="s">
        <v>22</v>
      </c>
      <c r="C243">
        <v>62</v>
      </c>
      <c r="D243" t="s">
        <v>40</v>
      </c>
      <c r="E243" t="s">
        <v>76</v>
      </c>
      <c r="F243" t="s">
        <v>557</v>
      </c>
      <c r="G243" t="s">
        <v>438</v>
      </c>
      <c r="H243" t="s">
        <v>110</v>
      </c>
      <c r="I243" t="s">
        <v>22</v>
      </c>
      <c r="J243" t="b">
        <v>0</v>
      </c>
      <c r="K243" t="b">
        <v>1</v>
      </c>
      <c r="L243" t="s">
        <v>80</v>
      </c>
      <c r="M243" t="s">
        <v>81</v>
      </c>
      <c r="O243" t="s">
        <v>82</v>
      </c>
      <c r="P243">
        <v>76</v>
      </c>
      <c r="Q243">
        <v>46223</v>
      </c>
      <c r="R243">
        <v>46250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111</v>
      </c>
      <c r="Z243" t="s">
        <v>438</v>
      </c>
    </row>
    <row r="244" spans="1:26" hidden="1" x14ac:dyDescent="0.25">
      <c r="A244" t="s">
        <v>558</v>
      </c>
      <c r="B244" t="s">
        <v>22</v>
      </c>
      <c r="C244">
        <v>63</v>
      </c>
      <c r="D244" t="s">
        <v>40</v>
      </c>
      <c r="E244" t="s">
        <v>76</v>
      </c>
      <c r="F244" t="s">
        <v>559</v>
      </c>
      <c r="G244" t="s">
        <v>438</v>
      </c>
      <c r="H244" t="s">
        <v>79</v>
      </c>
      <c r="I244" t="s">
        <v>22</v>
      </c>
      <c r="J244" t="b">
        <v>1</v>
      </c>
      <c r="K244" t="b">
        <v>0</v>
      </c>
      <c r="L244" t="s">
        <v>92</v>
      </c>
      <c r="M244" t="s">
        <v>81</v>
      </c>
      <c r="O244" t="s">
        <v>82</v>
      </c>
      <c r="P244">
        <v>60</v>
      </c>
      <c r="Q244">
        <v>46223</v>
      </c>
      <c r="R244">
        <v>46250</v>
      </c>
      <c r="S244">
        <v>2</v>
      </c>
      <c r="T244">
        <v>120</v>
      </c>
      <c r="U244">
        <v>15.789473684210527</v>
      </c>
      <c r="V244">
        <v>15</v>
      </c>
      <c r="W244">
        <v>20</v>
      </c>
      <c r="X244">
        <v>15</v>
      </c>
      <c r="Y244" t="s">
        <v>83</v>
      </c>
      <c r="Z244" t="s">
        <v>438</v>
      </c>
    </row>
    <row r="245" spans="1:26" hidden="1" x14ac:dyDescent="0.25">
      <c r="A245" t="s">
        <v>560</v>
      </c>
      <c r="B245" t="s">
        <v>31</v>
      </c>
      <c r="C245">
        <v>64</v>
      </c>
      <c r="E245" t="s">
        <v>76</v>
      </c>
      <c r="F245" t="s">
        <v>561</v>
      </c>
      <c r="G245" t="s">
        <v>438</v>
      </c>
      <c r="H245" t="s">
        <v>88</v>
      </c>
      <c r="I245" t="s">
        <v>31</v>
      </c>
      <c r="J245" t="b">
        <v>1</v>
      </c>
      <c r="K245" t="b">
        <v>0</v>
      </c>
      <c r="L245" t="s">
        <v>92</v>
      </c>
      <c r="M245" t="s">
        <v>81</v>
      </c>
      <c r="O245" t="s">
        <v>89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89</v>
      </c>
      <c r="Z245" t="s">
        <v>438</v>
      </c>
    </row>
    <row r="246" spans="1:26" hidden="1" x14ac:dyDescent="0.25">
      <c r="A246" t="s">
        <v>562</v>
      </c>
      <c r="B246" t="s">
        <v>22</v>
      </c>
      <c r="C246">
        <v>65</v>
      </c>
      <c r="D246" t="s">
        <v>40</v>
      </c>
      <c r="E246" t="s">
        <v>76</v>
      </c>
      <c r="F246" t="s">
        <v>563</v>
      </c>
      <c r="G246" t="s">
        <v>438</v>
      </c>
      <c r="H246" t="s">
        <v>88</v>
      </c>
      <c r="I246" t="s">
        <v>22</v>
      </c>
      <c r="J246" t="b">
        <v>0</v>
      </c>
      <c r="K246" t="b">
        <v>1</v>
      </c>
      <c r="L246" t="s">
        <v>80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</row>
    <row r="247" spans="1:26" hidden="1" x14ac:dyDescent="0.25">
      <c r="A247" t="s">
        <v>564</v>
      </c>
      <c r="B247" t="s">
        <v>22</v>
      </c>
      <c r="C247">
        <v>66</v>
      </c>
      <c r="D247" t="s">
        <v>40</v>
      </c>
      <c r="E247" t="s">
        <v>76</v>
      </c>
      <c r="F247" t="s">
        <v>565</v>
      </c>
      <c r="G247" t="s">
        <v>438</v>
      </c>
      <c r="H247" t="s">
        <v>88</v>
      </c>
      <c r="I247" t="s">
        <v>22</v>
      </c>
      <c r="J247" t="b">
        <v>0</v>
      </c>
      <c r="K247" t="b">
        <v>1</v>
      </c>
      <c r="L247" t="s">
        <v>80</v>
      </c>
      <c r="M247" t="s">
        <v>81</v>
      </c>
      <c r="O247" t="s">
        <v>89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89</v>
      </c>
      <c r="Z247" t="s">
        <v>438</v>
      </c>
    </row>
    <row r="248" spans="1:26" hidden="1" x14ac:dyDescent="0.25">
      <c r="A248" t="s">
        <v>566</v>
      </c>
      <c r="B248" t="s">
        <v>22</v>
      </c>
      <c r="C248">
        <v>67</v>
      </c>
      <c r="D248" t="s">
        <v>40</v>
      </c>
      <c r="E248" t="s">
        <v>76</v>
      </c>
      <c r="F248" t="s">
        <v>567</v>
      </c>
      <c r="G248" t="s">
        <v>438</v>
      </c>
      <c r="H248" t="s">
        <v>88</v>
      </c>
      <c r="I248" t="s">
        <v>22</v>
      </c>
      <c r="J248" t="b">
        <v>0</v>
      </c>
      <c r="K248" t="b">
        <v>1</v>
      </c>
      <c r="L248" t="s">
        <v>80</v>
      </c>
      <c r="M248" t="s">
        <v>81</v>
      </c>
      <c r="O248" t="s">
        <v>89</v>
      </c>
      <c r="P248">
        <v>76</v>
      </c>
      <c r="Q248">
        <v>46223</v>
      </c>
      <c r="R248">
        <v>46250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89</v>
      </c>
      <c r="Z248" t="s">
        <v>438</v>
      </c>
    </row>
    <row r="249" spans="1:26" hidden="1" x14ac:dyDescent="0.25">
      <c r="A249" t="s">
        <v>568</v>
      </c>
      <c r="B249" t="s">
        <v>22</v>
      </c>
      <c r="C249">
        <v>68</v>
      </c>
      <c r="E249" t="s">
        <v>76</v>
      </c>
      <c r="F249" t="s">
        <v>569</v>
      </c>
      <c r="G249" t="s">
        <v>438</v>
      </c>
      <c r="H249" t="s">
        <v>110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76</v>
      </c>
      <c r="Q249">
        <v>46223</v>
      </c>
      <c r="R249">
        <v>46250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111</v>
      </c>
      <c r="Z249" t="s">
        <v>438</v>
      </c>
    </row>
    <row r="250" spans="1:26" hidden="1" x14ac:dyDescent="0.25">
      <c r="A250" t="s">
        <v>570</v>
      </c>
      <c r="B250" t="s">
        <v>22</v>
      </c>
      <c r="C250">
        <v>69</v>
      </c>
      <c r="E250" t="s">
        <v>76</v>
      </c>
      <c r="F250" t="s">
        <v>571</v>
      </c>
      <c r="G250" t="s">
        <v>438</v>
      </c>
      <c r="H250" t="s">
        <v>110</v>
      </c>
      <c r="I250" t="s">
        <v>22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</row>
    <row r="251" spans="1:26" hidden="1" x14ac:dyDescent="0.25">
      <c r="A251" t="s">
        <v>572</v>
      </c>
      <c r="B251" t="s">
        <v>29</v>
      </c>
      <c r="C251">
        <v>70</v>
      </c>
      <c r="E251" t="s">
        <v>76</v>
      </c>
      <c r="F251" t="s">
        <v>573</v>
      </c>
      <c r="G251" t="s">
        <v>438</v>
      </c>
      <c r="H251" t="s">
        <v>110</v>
      </c>
      <c r="I251" t="s">
        <v>29</v>
      </c>
      <c r="J251" t="b">
        <v>1</v>
      </c>
      <c r="K251" t="b">
        <v>0</v>
      </c>
      <c r="L251" t="s">
        <v>92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</row>
    <row r="252" spans="1:26" hidden="1" x14ac:dyDescent="0.25">
      <c r="A252" t="s">
        <v>574</v>
      </c>
      <c r="B252" t="s">
        <v>22</v>
      </c>
      <c r="C252">
        <v>71</v>
      </c>
      <c r="E252" t="s">
        <v>76</v>
      </c>
      <c r="F252" t="s">
        <v>575</v>
      </c>
      <c r="G252" t="s">
        <v>438</v>
      </c>
      <c r="H252" t="s">
        <v>88</v>
      </c>
      <c r="I252" t="s">
        <v>22</v>
      </c>
      <c r="J252" t="b">
        <v>1</v>
      </c>
      <c r="K252" t="b">
        <v>0</v>
      </c>
      <c r="L252" t="s">
        <v>92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438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2026-10-20T23:16:57Z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