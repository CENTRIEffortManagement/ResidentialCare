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-O-I\"/>
    </mc:Choice>
  </mc:AlternateContent>
  <xr:revisionPtr revIDLastSave="0" documentId="13_ncr:1_{E4FC2563-3B0C-45F8-B02C-648E1661D0F6}" xr6:coauthVersionLast="47" xr6:coauthVersionMax="47" xr10:uidLastSave="{00000000-0000-0000-0000-000000000000}"/>
  <bookViews>
    <workbookView xWindow="-120" yWindow="-120" windowWidth="38640" windowHeight="21120" firstSheet="3" activeTab="3" xr2:uid="{54BCF897-9282-43A6-91D7-49C181E3DA9F}"/>
  </bookViews>
  <sheets>
    <sheet name="Unit1Path" sheetId="12" r:id="rId1"/>
    <sheet name="FILEPATH-EffortALL" sheetId="11" r:id="rId2"/>
    <sheet name="Table_EffortAllMatrixAG1_1D" sheetId="8" r:id="rId3"/>
    <sheet name="EffortOutcomesAG1-1DayShift" sheetId="3" r:id="rId4"/>
  </sheets>
  <externalReferences>
    <externalReference r:id="rId5"/>
    <externalReference r:id="rId6"/>
    <externalReference r:id="rId7"/>
    <externalReference r:id="rId8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1">'FILEPATH-EffortALL'!$B$14</definedName>
    <definedName name="Client" localSheetId="0">Unit1Path!$B$21</definedName>
    <definedName name="Client">#REF!</definedName>
    <definedName name="Contractor_Margin" localSheetId="0">#REF!</definedName>
    <definedName name="Contractor_Margin">#REF!</definedName>
    <definedName name="Date" localSheetId="1">[1]FILEPATH!$B$21</definedName>
    <definedName name="Date">#REF!</definedName>
    <definedName name="Directory" localSheetId="1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Unit1Path!$A$3:$B$12</definedName>
    <definedName name="ExternalData_2" localSheetId="3" hidden="1">'EffortOutcomesAG1-1DayShift'!$A$1:$T$757</definedName>
    <definedName name="ExternalData_3" localSheetId="2" hidden="1">Table_EffortAllMatrixAG1_1D!$A$1:$K$757</definedName>
    <definedName name="Facility" localSheetId="0">#REF!</definedName>
    <definedName name="Facility">#REF!</definedName>
    <definedName name="FilePathUrl">Unit1Path!$B$1</definedName>
    <definedName name="FTE" localSheetId="1">#REF!</definedName>
    <definedName name="FTE">#REF!</definedName>
    <definedName name="HRS" localSheetId="1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1">'FILEPATH-EffortALL'!$B$18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[2]RN!$P$2</definedName>
    <definedName name="Max_HRS">#REF!</definedName>
    <definedName name="MaxCapacityFactor">[3]MaxCapacity!$A$2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Unit1Path!$B$42</definedName>
    <definedName name="Role">#REF!</definedName>
    <definedName name="ROLE_TITLE">#REF!</definedName>
    <definedName name="Type" localSheetId="1">[1]FILEPATH!$B$19</definedName>
    <definedName name="Type">#REF!</definedName>
    <definedName name="UNIT" localSheetId="1">[2]RN!$M$2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2" l="1" a="1"/>
  <c r="B1" i="12" s="1"/>
  <c r="C19" i="11"/>
  <c r="B14" i="11" a="1"/>
  <c r="B14" i="11" s="1"/>
  <c r="B18" i="11" s="1"/>
  <c r="B9" i="11" a="1"/>
  <c r="B9" i="11" s="1"/>
  <c r="B15" i="11" l="1" a="1"/>
  <c r="B15" i="11" s="1"/>
  <c r="C15" i="11" s="1"/>
  <c r="C20" i="11" s="1"/>
  <c r="B27" i="11"/>
  <c r="C18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C4FC707-12E7-4DF1-9C1C-024B1E387620}" keepAlive="1" name="Query - EffortOutcomesAG1-1DayShift" description="Connection to the 'EffortOutcomesAG1-1DayShift' query in the workbook." type="5" refreshedVersion="8" background="1" saveData="1">
    <dbPr connection="Provider=Microsoft.Mashup.OleDb.1;Data Source=$Workbook$;Location=EffortOutcomesAG1-1DayShift;Extended Properties=&quot;&quot;" command="SELECT * FROM [EffortOutcomesAG1-1DayShift]"/>
  </connection>
  <connection id="2" xr16:uid="{11521046-7509-4E0F-B479-EC31FD44D76F}" keepAlive="1" name="Query - Folder !!" description="Connection to the 'Folder !!' query in the workbook." type="5" refreshedVersion="0" background="1" saveData="1">
    <dbPr connection="Provider=Microsoft.Mashup.OleDb.1;Data Source=$Workbook$;Location=&quot;Folder !!&quot;;Extended Properties=&quot;&quot;" command="SELECT * FROM [Folder !!]"/>
  </connection>
  <connection id="3" xr16:uid="{DAB46E10-74AE-451A-92EE-4B269117B419}" keepAlive="1" name="Query - IMPORT Table_EffortAllMatrixAG1_1D !!" description="Connection to the 'IMPORT Table_EffortAllMatrixAG1_1D !!' query in the workbook." type="5" refreshedVersion="8" background="1" saveData="1">
    <dbPr connection="Provider=Microsoft.Mashup.OleDb.1;Data Source=$Workbook$;Location=&quot;IMPORT Table_EffortAllMatrixAG1_1D !!&quot;;Extended Properties=&quot;&quot;" command="SELECT * FROM [IMPORT Table_EffortAllMatrixAG1_1D !!]"/>
  </connection>
  <connection id="4" xr16:uid="{6EABCF84-B0AC-40DE-A79E-656E0603A841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<sst xmlns="http://schemas.openxmlformats.org/spreadsheetml/2006/main" count="6116" uniqueCount="145">
  <si>
    <t>Date</t>
  </si>
  <si>
    <t>Role</t>
  </si>
  <si>
    <t>Allocation</t>
  </si>
  <si>
    <t>Demand</t>
  </si>
  <si>
    <t>Capacity</t>
  </si>
  <si>
    <t>CapacityX</t>
  </si>
  <si>
    <t>Apn</t>
  </si>
  <si>
    <t>Apx</t>
  </si>
  <si>
    <t>Ai</t>
  </si>
  <si>
    <t>Epn</t>
  </si>
  <si>
    <t>EpX</t>
  </si>
  <si>
    <t>Ein</t>
  </si>
  <si>
    <t>Ipx</t>
  </si>
  <si>
    <t>AM</t>
  </si>
  <si>
    <t>PM</t>
  </si>
  <si>
    <t>NIGHT</t>
  </si>
  <si>
    <t>Iin</t>
  </si>
  <si>
    <t>Ipn</t>
  </si>
  <si>
    <t>Folder</t>
  </si>
  <si>
    <t>CapacityMaxHC</t>
  </si>
  <si>
    <t>DATESHIFT</t>
  </si>
  <si>
    <t>Shift</t>
  </si>
  <si>
    <t>Facility</t>
  </si>
  <si>
    <t>SharedPath</t>
  </si>
  <si>
    <t>Client</t>
  </si>
  <si>
    <t>Type</t>
  </si>
  <si>
    <t>04 Analysis</t>
  </si>
  <si>
    <t>Location</t>
  </si>
  <si>
    <t>ASHB</t>
  </si>
  <si>
    <t>COUR</t>
  </si>
  <si>
    <t>From Computerpath</t>
  </si>
  <si>
    <t>CommonSharedPath</t>
  </si>
  <si>
    <t>Manual Entry</t>
  </si>
  <si>
    <t>Calcualted</t>
  </si>
  <si>
    <t>Facility1</t>
  </si>
  <si>
    <t>Facility2</t>
  </si>
  <si>
    <t>DateAlignment</t>
  </si>
  <si>
    <t>AIN</t>
  </si>
  <si>
    <t>RN</t>
  </si>
  <si>
    <t>DateX</t>
  </si>
  <si>
    <t>Variable Name</t>
  </si>
  <si>
    <t>Value</t>
  </si>
  <si>
    <t>UserName</t>
  </si>
  <si>
    <t>Root Path</t>
  </si>
  <si>
    <t>FilePathUrl</t>
  </si>
  <si>
    <t>Unit</t>
  </si>
  <si>
    <t>FileName</t>
  </si>
  <si>
    <t>EffortOutcomes.xlsx</t>
  </si>
  <si>
    <t>Alex</t>
  </si>
  <si>
    <t>C:\Users\Alex\CentriNOTSYNC\ResidentialCare\CLIENT\DATExx-Whiddon\2. Calculations\E-O-I</t>
  </si>
  <si>
    <t>CLIENT</t>
  </si>
  <si>
    <t>DATExx-Whiddon</t>
  </si>
  <si>
    <t>Client Path</t>
  </si>
  <si>
    <t>C:\Users\Alex\CentriNOTSYNC\ResidentialCare\CLIENT\DATExx-Whiddon</t>
  </si>
  <si>
    <t>Units Path</t>
  </si>
  <si>
    <t>C:\Users\Alex\CentriNOTSYNC\ResidentialCare\CLIENT\DATExx-Whiddon\UNITS</t>
  </si>
  <si>
    <t>24/07/2026AM</t>
  </si>
  <si>
    <t>24/07/2026NIGHT</t>
  </si>
  <si>
    <t>24/07/2026PM</t>
  </si>
  <si>
    <t>C:\Users\Alex\CentriNOTSYNC\ResidentialCare\CLIENT\DATExx-Whiddon\2. Calculations\E-O-I\[EffortOutcomes.xlsx]EffortOutcomesAG1-1DayShift</t>
  </si>
  <si>
    <t>EN</t>
  </si>
  <si>
    <t>BD</t>
  </si>
  <si>
    <t>JH-RY</t>
  </si>
  <si>
    <t>TE</t>
  </si>
  <si>
    <t>20/07/2026AM</t>
  </si>
  <si>
    <t>20/07/2026PM</t>
  </si>
  <si>
    <t>21/07/2026AM</t>
  </si>
  <si>
    <t>21/07/2026NIGHT</t>
  </si>
  <si>
    <t>21/07/2026PM</t>
  </si>
  <si>
    <t>22/07/2026AM</t>
  </si>
  <si>
    <t>22/07/2026NIGHT</t>
  </si>
  <si>
    <t>22/07/2026PM</t>
  </si>
  <si>
    <t>23/07/2026PM</t>
  </si>
  <si>
    <t>23/07/2026NIGHT</t>
  </si>
  <si>
    <t>23/07/2026AM</t>
  </si>
  <si>
    <t>25/07/2026NIGHT</t>
  </si>
  <si>
    <t>25/07/2026PM</t>
  </si>
  <si>
    <t>26/07/2026NIGHT</t>
  </si>
  <si>
    <t>26/07/2026AM</t>
  </si>
  <si>
    <t>26/07/2026PM</t>
  </si>
  <si>
    <t>27/07/2026PM</t>
  </si>
  <si>
    <t>27/07/2026NIGHT</t>
  </si>
  <si>
    <t>27/07/2026AM</t>
  </si>
  <si>
    <t>28/07/2026AM</t>
  </si>
  <si>
    <t>28/07/2026PM</t>
  </si>
  <si>
    <t>29/07/2026PM</t>
  </si>
  <si>
    <t>29/07/2026AM</t>
  </si>
  <si>
    <t>29/07/2026NIGHT</t>
  </si>
  <si>
    <t>30/07/2026PM</t>
  </si>
  <si>
    <t>30/07/2026NIGHT</t>
  </si>
  <si>
    <t>30/07/2026AM</t>
  </si>
  <si>
    <t>31/07/2026AM</t>
  </si>
  <si>
    <t>31/07/2026NIGHT</t>
  </si>
  <si>
    <t>31/07/2026PM</t>
  </si>
  <si>
    <t>1/08/2026AM</t>
  </si>
  <si>
    <t>1/08/2026PM</t>
  </si>
  <si>
    <t>2/08/2026PM</t>
  </si>
  <si>
    <t>2/08/2026AM</t>
  </si>
  <si>
    <t>2/08/2026NIGHT</t>
  </si>
  <si>
    <t>3/08/2026PM</t>
  </si>
  <si>
    <t>3/08/2026NIGHT</t>
  </si>
  <si>
    <t>3/08/2026AM</t>
  </si>
  <si>
    <t>4/08/2026PM</t>
  </si>
  <si>
    <t>4/08/2026NIGHT</t>
  </si>
  <si>
    <t>4/08/2026AM</t>
  </si>
  <si>
    <t>5/08/2026AM</t>
  </si>
  <si>
    <t>5/08/2026NIGHT</t>
  </si>
  <si>
    <t>5/08/2026PM</t>
  </si>
  <si>
    <t>6/08/2026AM</t>
  </si>
  <si>
    <t>6/08/2026NIGHT</t>
  </si>
  <si>
    <t>6/08/2026PM</t>
  </si>
  <si>
    <t>7/08/2026PM</t>
  </si>
  <si>
    <t>7/08/2026AM</t>
  </si>
  <si>
    <t>8/08/2026NIGHT</t>
  </si>
  <si>
    <t>8/08/2026PM</t>
  </si>
  <si>
    <t>9/08/2026AM</t>
  </si>
  <si>
    <t>10/08/2026PM</t>
  </si>
  <si>
    <t>10/08/2026NIGHT</t>
  </si>
  <si>
    <t>11/08/2026AM</t>
  </si>
  <si>
    <t>11/08/2026PM</t>
  </si>
  <si>
    <t>11/08/2026NIGHT</t>
  </si>
  <si>
    <t>12/08/2026AM</t>
  </si>
  <si>
    <t>12/08/2026NIGHT</t>
  </si>
  <si>
    <t>12/08/2026PM</t>
  </si>
  <si>
    <t>13/08/2026PM</t>
  </si>
  <si>
    <t>13/08/2026NIGHT</t>
  </si>
  <si>
    <t>13/08/2026AM</t>
  </si>
  <si>
    <t>14/08/2026PM</t>
  </si>
  <si>
    <t>14/08/2026AM</t>
  </si>
  <si>
    <t>14/08/2026NIGHT</t>
  </si>
  <si>
    <t>15/08/2026PM</t>
  </si>
  <si>
    <t>15/08/2026NIGHT</t>
  </si>
  <si>
    <t>16/08/2026AM</t>
  </si>
  <si>
    <t>16/08/2026NIGHT</t>
  </si>
  <si>
    <t>20/07/2026NIGHT</t>
  </si>
  <si>
    <t>25/07/2026AM</t>
  </si>
  <si>
    <t>28/07/2026NIGHT</t>
  </si>
  <si>
    <t>1/08/2026NIGHT</t>
  </si>
  <si>
    <t>7/08/2026NIGHT</t>
  </si>
  <si>
    <t>8/08/2026AM</t>
  </si>
  <si>
    <t>9/08/2026PM</t>
  </si>
  <si>
    <t>9/08/2026NIGHT</t>
  </si>
  <si>
    <t>10/08/2026AM</t>
  </si>
  <si>
    <t>15/08/2026AM</t>
  </si>
  <si>
    <t>16/08/2026PM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</si>
</sst>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2" fillId="2" borderId="0" xfId="1" applyFill="1" applyAlignment="1">
      <alignment horizontal="left" vertical="top"/>
    </xf>
    <xf numFmtId="0" fontId="8" fillId="0" borderId="2" xfId="0" applyFont="1" applyBorder="1"/>
    <xf numFmtId="0" fontId="0" fillId="0" borderId="0" xfId="0" applyNumberFormat="1"/>
  </cellXfs>
  <cellStyles count="2">
    <cellStyle name="Normal" xfId="0" builtinId="0"/>
    <cellStyle name="Normal 2" xfId="1" xr:uid="{6F165663-C337-4181-9B50-027A78909AC2}"/>
  </cellStyles>
  <dxfs count="35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</sheetNames>
    <definedNames>
      <definedName name="Computerpath" refersTo="='Computerpath'!$B$15"/>
    </definedNames>
    <sheetDataSet>
      <sheetData sheetId="0">
        <row r="15">
          <cell r="B15" t="str">
            <v>C:\Users\Alex\Centri\4. Production - Documents\WFEffectiveness\4.1.1 AGED CARE\01 Christadelphian Aged Care\240715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F643977-ABBE-4A4B-8317-D8901169DCA3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4D645556-DFD2-4F1F-8A58-AA844C389480}" autoFormatId="16" applyNumberFormats="0" applyBorderFormats="0" applyFontFormats="0" applyPatternFormats="0" applyAlignmentFormats="0" applyWidthHeightFormats="0">
  <queryTableRefresh nextId="25">
    <queryTableFields count="11">
      <queryTableField id="1" name="Facility" tableColumnId="1"/>
      <queryTableField id="2" name="Role" tableColumnId="2"/>
      <queryTableField id="4" name="Shift" tableColumnId="4"/>
      <queryTableField id="5" name="Demand" tableColumnId="5"/>
      <queryTableField id="6" name="Capacity" tableColumnId="6"/>
      <queryTableField id="8" name="CapacityMaxHC" tableColumnId="8"/>
      <queryTableField id="7" name="CapacityX" tableColumnId="7"/>
      <queryTableField id="9" name="Allocation" tableColumnId="9"/>
      <queryTableField id="10" name="DATESHIFT" tableColumnId="10"/>
      <queryTableField id="3" name="Date" tableColumnId="3"/>
      <queryTableField id="24" name="DateX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FBC0DCC-878B-41B2-8DE6-BA1C24BAFC00}" autoFormatId="16" applyNumberFormats="0" applyBorderFormats="0" applyFontFormats="0" applyPatternFormats="0" applyAlignmentFormats="0" applyWidthHeightFormats="0">
  <queryTableRefresh nextId="59">
    <queryTableFields count="20">
      <queryTableField id="39" name="Facility" tableColumnId="19"/>
      <queryTableField id="28" name="Role" tableColumnId="3"/>
      <queryTableField id="37" name="Shift" tableColumnId="2"/>
      <queryTableField id="15" name="Demand" tableColumnId="4"/>
      <queryTableField id="16" name="Capacity" tableColumnId="5"/>
      <queryTableField id="25" name="CapacityMaxHC" tableColumnId="17"/>
      <queryTableField id="17" name="CapacityX" tableColumnId="15"/>
      <queryTableField id="18" name="Allocation" tableColumnId="16"/>
      <queryTableField id="33" name="DATESHIFT" tableColumnId="18"/>
      <queryTableField id="1" name="Date" tableColumnId="1"/>
      <queryTableField id="57" name="DateX" tableColumnId="21"/>
      <queryTableField id="6" name="Apn" tableColumnId="6"/>
      <queryTableField id="7" name="Apx" tableColumnId="7"/>
      <queryTableField id="8" name="Ai" tableColumnId="8"/>
      <queryTableField id="9" name="Epn" tableColumnId="9"/>
      <queryTableField id="10" name="EpX" tableColumnId="10"/>
      <queryTableField id="11" name="Ein" tableColumnId="11"/>
      <queryTableField id="12" name="Ipn" tableColumnId="12"/>
      <queryTableField id="13" name="Ipx" tableColumnId="13"/>
      <queryTableField id="14" name="Iin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104006F-C315-44B8-B708-A510B47AD846}" name="UnitL1PathTABLE" displayName="UnitL1PathTABLE" ref="A3:B12" tableType="queryTable" totalsRowShown="0" headerRowDxfId="34" dataDxfId="33" headerRowCellStyle="Normal 2" dataCellStyle="Normal 2">
  <autoFilter ref="A3:B12" xr:uid="{1104006F-C315-44B8-B708-A510B47AD846}"/>
  <tableColumns count="2">
    <tableColumn id="1" xr3:uid="{2954DAA6-D857-4943-B2CF-738AB5C62B5B}" uniqueName="1" name="Variable Name" queryTableFieldId="1" dataDxfId="32" dataCellStyle="Normal 2"/>
    <tableColumn id="2" xr3:uid="{CF38F2D9-B626-448B-A35F-C8FFE697D17F}" uniqueName="2" name="Value" queryTableFieldId="2" dataDxfId="31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2FFA4E-52D9-411B-AE34-E59962F06D81}" name="Folder" displayName="Folder" ref="B26:B27" totalsRowShown="0" dataDxfId="30">
  <autoFilter ref="B26:B27" xr:uid="{336E7093-3530-42C5-AF8A-E29B36BB2C09}"/>
  <tableColumns count="1">
    <tableColumn id="1" xr3:uid="{2CCD0D41-6FD7-4F30-95DA-EC20844C2BB8}" name="Folder" dataDxfId="29">
      <calculatedColumnFormula>$B$18&amp;"\"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B3B224-E874-4BA3-93F4-A9F2726049CA}" name="Table3" displayName="Table3" ref="B33:C34" totalsRowShown="0" headerRowDxfId="28" dataDxfId="27" headerRowCellStyle="Normal 2" dataCellStyle="Normal 2">
  <autoFilter ref="B33:C34" xr:uid="{0255D31D-F9FA-4374-B7C7-436518B79140}"/>
  <tableColumns count="2">
    <tableColumn id="1" xr3:uid="{8CF1EED3-B2A1-40E8-8F99-5C2778EBD9A7}" name="Facility1" dataDxfId="26" dataCellStyle="Normal 2"/>
    <tableColumn id="2" xr3:uid="{69F7B9D1-DE25-494D-8AC7-55E765FFE61A}" name="Facility2" dataDxfId="25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CF829B-D223-4A25-B1E1-D5B352A7DA91}" name="DateAlignment" displayName="DateAlignment" ref="B38:B39" totalsRowShown="0" headerRowDxfId="24" dataDxfId="23" headerRowCellStyle="Normal 2" dataCellStyle="Normal 2">
  <autoFilter ref="B38:B39" xr:uid="{12E4D58C-491D-408F-AF2D-91CA83457DA4}"/>
  <tableColumns count="1">
    <tableColumn id="1" xr3:uid="{4E6EB875-3551-4CD4-8926-AC272C326060}" name="DateAlignment" dataDxfId="22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4B66B24-70C9-412B-9583-00B29438E74B}" name="IMPORT_Table_EffortAllMatrixAG1_1D" displayName="IMPORT_Table_EffortAllMatrixAG1_1D" ref="A1:K757" tableType="queryTable" totalsRowShown="0">
  <autoFilter ref="A1:K757" xr:uid="{D4B66B24-70C9-412B-9583-00B29438E74B}">
    <filterColumn colId="2">
      <filters>
        <filter val="AM"/>
      </filters>
    </filterColumn>
  </autoFilter>
  <tableColumns count="11">
    <tableColumn id="1" xr3:uid="{F54DB5C9-E66C-425B-BAC5-6E27768F910D}" uniqueName="1" name="Facility" queryTableFieldId="1" dataDxfId="21"/>
    <tableColumn id="2" xr3:uid="{70F7E8C8-DA08-47AB-B417-D195F12B849B}" uniqueName="2" name="Role" queryTableFieldId="2" dataDxfId="20"/>
    <tableColumn id="4" xr3:uid="{891A5E37-5B48-408B-A4A4-B9F4D015DB77}" uniqueName="4" name="Shift" queryTableFieldId="4" dataDxfId="19"/>
    <tableColumn id="5" xr3:uid="{13C65675-28F5-4DB0-9DE5-7145D948148D}" uniqueName="5" name="Demand" queryTableFieldId="5" dataDxfId="18"/>
    <tableColumn id="6" xr3:uid="{E11B5A6C-C75B-4505-865F-56F3444CCE22}" uniqueName="6" name="Capacity" queryTableFieldId="6" dataDxfId="17"/>
    <tableColumn id="8" xr3:uid="{95A6631E-327F-4674-B4BA-D8E27A6B090F}" uniqueName="8" name="CapacityMaxHC" queryTableFieldId="8" dataDxfId="16"/>
    <tableColumn id="7" xr3:uid="{5852A6A5-A42C-4A09-8E6D-74290DD7DEC9}" uniqueName="7" name="CapacityX" queryTableFieldId="7" dataDxfId="15"/>
    <tableColumn id="9" xr3:uid="{6D8F2553-D59B-4DA6-B0CC-6FE4A9CD4CA1}" uniqueName="9" name="Allocation" queryTableFieldId="9" dataDxfId="14"/>
    <tableColumn id="10" xr3:uid="{055E6D43-F663-443E-A716-0F23B7BDE76B}" uniqueName="10" name="DATESHIFT" queryTableFieldId="10" dataDxfId="13"/>
    <tableColumn id="3" xr3:uid="{3DF1070A-67BF-428F-96A8-F6E4CC65BE8E}" uniqueName="3" name="Date" queryTableFieldId="3" dataDxfId="12"/>
    <tableColumn id="12" xr3:uid="{25EC1B9B-0218-4C4D-BAA4-F52824684807}" uniqueName="12" name="DateX" queryTableFieldId="2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376CDA7-A02B-4EB3-8987-D41E4FFB68E8}" name="EffortOutcomesAG1_1DayShift" displayName="EffortOutcomesAG1_1DayShift" ref="A1:T757" tableType="queryTable" totalsRowShown="0">
  <autoFilter ref="A1:T757" xr:uid="{E376CDA7-A02B-4EB3-8987-D41E4FFB68E8}"/>
  <sortState xmlns:xlrd2="http://schemas.microsoft.com/office/spreadsheetml/2017/richdata2" ref="A2:T757">
    <sortCondition ref="B1:B757"/>
  </sortState>
  <tableColumns count="20">
    <tableColumn id="19" xr3:uid="{57F01AFC-5859-4698-B903-9CE05E83E71D}" uniqueName="19" name="Facility" queryTableFieldId="39" dataDxfId="9"/>
    <tableColumn id="3" xr3:uid="{7E32F82B-F732-4D74-B9CB-DAC36EA21A23}" uniqueName="3" name="Role" queryTableFieldId="28" dataDxfId="8"/>
    <tableColumn id="2" xr3:uid="{6768E303-C1F9-431F-B122-A3D32916BF6F}" uniqueName="2" name="Shift" queryTableFieldId="37" dataDxfId="7"/>
    <tableColumn id="4" xr3:uid="{6C571069-025F-42BC-BBEE-D63EF56FB509}" uniqueName="4" name="Demand" queryTableFieldId="15" dataDxfId="6"/>
    <tableColumn id="5" xr3:uid="{8515A77B-BF20-4B1A-81C1-F81F740275A6}" uniqueName="5" name="Capacity" queryTableFieldId="16" dataDxfId="5"/>
    <tableColumn id="17" xr3:uid="{FBACAB40-A0D2-42EC-8B2D-7DAABE4DCBD8}" uniqueName="17" name="CapacityMaxHC" queryTableFieldId="25" dataDxfId="4"/>
    <tableColumn id="15" xr3:uid="{7A0CF3CF-31BE-499E-B5F9-1F9B01E54E3B}" uniqueName="15" name="CapacityX" queryTableFieldId="17" dataDxfId="3"/>
    <tableColumn id="16" xr3:uid="{6E3E4728-5A69-4410-9D54-62CB9720905C}" uniqueName="16" name="Allocation" queryTableFieldId="18" dataDxfId="2"/>
    <tableColumn id="18" xr3:uid="{34799610-D03A-4FCE-987A-356C335FB23E}" uniqueName="18" name="DATESHIFT" queryTableFieldId="33" dataDxfId="1"/>
    <tableColumn id="1" xr3:uid="{BF6A5ED0-C159-40D2-B185-7FD90016ED97}" uniqueName="1" name="Date" queryTableFieldId="1" dataDxfId="0"/>
    <tableColumn id="21" xr3:uid="{95119627-9DF9-4D39-8F9B-109D1E23BAB7}" uniqueName="21" name="DateX" queryTableFieldId="57"/>
    <tableColumn id="6" xr3:uid="{EC4EB5DE-04F5-46BC-93AE-847142925712}" uniqueName="6" name="Apn" queryTableFieldId="6"/>
    <tableColumn id="7" xr3:uid="{38509A44-BBF3-4508-9629-A8F0069A9DC0}" uniqueName="7" name="Apx" queryTableFieldId="7"/>
    <tableColumn id="8" xr3:uid="{9AC23104-623B-4022-8CA5-7BEEEEBDF625}" uniqueName="8" name="Ai" queryTableFieldId="8"/>
    <tableColumn id="9" xr3:uid="{C4ECCD0F-1A8E-4265-880A-834099C57DAA}" uniqueName="9" name="Epn" queryTableFieldId="9"/>
    <tableColumn id="10" xr3:uid="{01B9638D-492A-4274-B41C-25221218AEA8}" uniqueName="10" name="EpX" queryTableFieldId="10"/>
    <tableColumn id="11" xr3:uid="{53DE65C2-5FC3-47C6-BF3A-0E1CABE379A2}" uniqueName="11" name="Ein" queryTableFieldId="11"/>
    <tableColumn id="12" xr3:uid="{E7027AC6-0A11-4D35-8427-B0AEBC3F25D2}" uniqueName="12" name="Ipn" queryTableFieldId="12"/>
    <tableColumn id="13" xr3:uid="{DC281649-415E-4313-BB1C-B0140D9E737C}" uniqueName="13" name="Ipx" queryTableFieldId="13"/>
    <tableColumn id="14" xr3:uid="{C8AD6387-D9FB-4835-871D-B3D2B94FFEE0}" uniqueName="14" name="Iin" queryTableField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77A3B-AF81-4D04-A8CC-F817BA01750A}">
  <sheetPr>
    <tabColor rgb="FFFFFF00"/>
  </sheetPr>
  <dimension ref="A1:D33"/>
  <sheetViews>
    <sheetView workbookViewId="0">
      <selection activeCell="A3" sqref="A3:B12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1" t="s">
        <v>23</v>
      </c>
      <c r="B1" s="11" t="str" cm="1">
        <f t="array" aca="1" ref="B1" ca="1">CELL("filename")</f>
        <v>C:\Users\Alex\CentriNOTSYNC\ResidentialCare\CLIENT\DATExx-Whiddon\2. Calculations\E-O-I\[EffortOutcomes.xlsx]EffortOutcomesAG1-1DayShift</v>
      </c>
    </row>
    <row r="2" spans="1:4" x14ac:dyDescent="0.25">
      <c r="A2" s="3"/>
      <c r="B2" s="3"/>
    </row>
    <row r="3" spans="1:4" x14ac:dyDescent="0.25">
      <c r="A3" s="2" t="s">
        <v>40</v>
      </c>
      <c r="B3" s="2" t="s">
        <v>41</v>
      </c>
    </row>
    <row r="4" spans="1:4" ht="15" x14ac:dyDescent="0.25">
      <c r="A4" t="s">
        <v>42</v>
      </c>
      <c r="B4" t="s">
        <v>48</v>
      </c>
    </row>
    <row r="5" spans="1:4" ht="15" x14ac:dyDescent="0.25">
      <c r="A5" t="s">
        <v>43</v>
      </c>
      <c r="B5" t="s">
        <v>49</v>
      </c>
    </row>
    <row r="6" spans="1:4" ht="15" x14ac:dyDescent="0.25">
      <c r="A6" t="s">
        <v>44</v>
      </c>
      <c r="B6" t="s">
        <v>59</v>
      </c>
    </row>
    <row r="7" spans="1:4" ht="15" x14ac:dyDescent="0.25">
      <c r="A7" t="s">
        <v>24</v>
      </c>
      <c r="B7" t="s">
        <v>50</v>
      </c>
    </row>
    <row r="8" spans="1:4" ht="15" x14ac:dyDescent="0.25">
      <c r="A8" t="s">
        <v>0</v>
      </c>
      <c r="B8" t="s">
        <v>51</v>
      </c>
    </row>
    <row r="9" spans="1:4" ht="15" x14ac:dyDescent="0.25">
      <c r="A9" t="s">
        <v>45</v>
      </c>
      <c r="B9"/>
    </row>
    <row r="10" spans="1:4" ht="15" x14ac:dyDescent="0.25">
      <c r="A10" t="s">
        <v>46</v>
      </c>
      <c r="B10" t="s">
        <v>47</v>
      </c>
    </row>
    <row r="11" spans="1:4" ht="15" x14ac:dyDescent="0.25">
      <c r="A11" t="s">
        <v>52</v>
      </c>
      <c r="B11" t="s">
        <v>53</v>
      </c>
    </row>
    <row r="12" spans="1:4" ht="15" x14ac:dyDescent="0.25">
      <c r="A12" t="s">
        <v>54</v>
      </c>
      <c r="B12" t="s">
        <v>55</v>
      </c>
      <c r="D12" s="1"/>
    </row>
    <row r="14" spans="1:4" x14ac:dyDescent="0.25">
      <c r="B14" s="1"/>
    </row>
    <row r="17" spans="1:3" x14ac:dyDescent="0.25">
      <c r="A17" s="3"/>
      <c r="B17" s="3"/>
    </row>
    <row r="18" spans="1:3" x14ac:dyDescent="0.25">
      <c r="A18" s="7"/>
      <c r="B18" s="3"/>
    </row>
    <row r="19" spans="1:3" x14ac:dyDescent="0.25">
      <c r="A19" s="3"/>
      <c r="B19" s="3"/>
    </row>
    <row r="20" spans="1:3" x14ac:dyDescent="0.25">
      <c r="A20" s="3"/>
      <c r="B20" s="3"/>
      <c r="C20" s="8"/>
    </row>
    <row r="21" spans="1:3" ht="15" x14ac:dyDescent="0.25">
      <c r="A21" s="4"/>
      <c r="B21"/>
      <c r="C21" s="8"/>
    </row>
    <row r="22" spans="1:3" x14ac:dyDescent="0.25">
      <c r="A22" s="3"/>
      <c r="B22" s="3"/>
      <c r="C22" s="8"/>
    </row>
    <row r="23" spans="1:3" x14ac:dyDescent="0.25">
      <c r="C23" s="8"/>
    </row>
    <row r="24" spans="1:3" x14ac:dyDescent="0.25">
      <c r="C24" s="9"/>
    </row>
    <row r="25" spans="1:3" x14ac:dyDescent="0.25">
      <c r="C25" s="8"/>
    </row>
    <row r="26" spans="1:3" x14ac:dyDescent="0.25">
      <c r="A26" s="1"/>
      <c r="B26" s="1"/>
      <c r="C26" s="8"/>
    </row>
    <row r="27" spans="1:3" x14ac:dyDescent="0.25">
      <c r="C27" s="8"/>
    </row>
    <row r="28" spans="1:3" x14ac:dyDescent="0.25">
      <c r="A28" s="8"/>
      <c r="B28" s="8"/>
    </row>
    <row r="29" spans="1:3" x14ac:dyDescent="0.25">
      <c r="A29" s="8"/>
      <c r="B29" s="8"/>
    </row>
    <row r="33" spans="2:2" x14ac:dyDescent="0.25">
      <c r="B33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5853-AF8B-47EB-B45B-660264DFB90A}">
  <dimension ref="A7:D39"/>
  <sheetViews>
    <sheetView workbookViewId="0">
      <selection activeCell="B19" sqref="B19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23</v>
      </c>
      <c r="B9" s="3" t="str" cm="1">
        <f t="array" aca="1" ref="B9" ca="1">CELL("filename",E16)</f>
        <v>C:\Users\Alex\CentriNOTSYNC\ResidentialCare\CLIENT\DATExx-Whiddon\2. Calculations\E-O-I\[EffortOutcomes.xlsx]FILEPATH-EffortALL</v>
      </c>
    </row>
    <row r="10" spans="1:4" x14ac:dyDescent="0.25">
      <c r="A10" s="3"/>
      <c r="B10" s="3"/>
    </row>
    <row r="11" spans="1:4" x14ac:dyDescent="0.25">
      <c r="A11" s="7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4" t="s">
        <v>24</v>
      </c>
      <c r="B14" s="4" t="str" cm="1">
        <f t="array" ref="B14">[4]!Computerpath</f>
        <v>C:\Users\Alex\Centri\4. Production - Documents\WFEffectiveness\4.1.1 AGED CARE\01 Christadelphian Aged Care\240715</v>
      </c>
      <c r="D14" s="2" t="s">
        <v>30</v>
      </c>
    </row>
    <row r="15" spans="1:4" x14ac:dyDescent="0.25">
      <c r="A15" s="3" t="s">
        <v>31</v>
      </c>
      <c r="B15" s="3" t="e" cm="1">
        <f t="array" aca="1" ref="B15" ca="1">LEFT(CELL("filename",B9),FIND(Client,CELL("filename",B9),1)-1)</f>
        <v>#VALUE!</v>
      </c>
      <c r="C15" s="8" t="e">
        <f ca="1">LEN(B15)</f>
        <v>#VALUE!</v>
      </c>
    </row>
    <row r="16" spans="1:4" x14ac:dyDescent="0.25">
      <c r="C16" s="8"/>
    </row>
    <row r="17" spans="1:4" x14ac:dyDescent="0.25">
      <c r="C17" s="8"/>
    </row>
    <row r="18" spans="1:4" x14ac:dyDescent="0.25">
      <c r="A18" s="4" t="s">
        <v>27</v>
      </c>
      <c r="B18" s="4" t="str">
        <f>Client</f>
        <v>C:\Users\Alex\Centri\4. Production - Documents\WFEffectiveness\4.1.1 AGED CARE\01 Christadelphian Aged Care\240715</v>
      </c>
      <c r="C18" s="8">
        <f>LEN(B14)</f>
        <v>114</v>
      </c>
      <c r="D18" s="2" t="s">
        <v>30</v>
      </c>
    </row>
    <row r="19" spans="1:4" x14ac:dyDescent="0.25">
      <c r="A19" s="1" t="s">
        <v>25</v>
      </c>
      <c r="B19" s="1" t="s">
        <v>26</v>
      </c>
      <c r="C19" s="9">
        <f>LEN(B19)</f>
        <v>11</v>
      </c>
      <c r="D19" s="2" t="s">
        <v>32</v>
      </c>
    </row>
    <row r="20" spans="1:4" x14ac:dyDescent="0.25">
      <c r="C20" s="8" t="e">
        <f ca="1">SUM(C15:C19)</f>
        <v>#VALUE!</v>
      </c>
    </row>
    <row r="21" spans="1:4" x14ac:dyDescent="0.25">
      <c r="C21" s="8"/>
    </row>
    <row r="22" spans="1:4" x14ac:dyDescent="0.25">
      <c r="C22" s="8"/>
    </row>
    <row r="23" spans="1:4" x14ac:dyDescent="0.25">
      <c r="A23" s="2" t="s">
        <v>0</v>
      </c>
      <c r="B23" s="5"/>
      <c r="C23" s="8"/>
    </row>
    <row r="24" spans="1:4" x14ac:dyDescent="0.25">
      <c r="D24" s="2" t="s">
        <v>33</v>
      </c>
    </row>
    <row r="26" spans="1:4" x14ac:dyDescent="0.25">
      <c r="B26" s="2" t="s">
        <v>18</v>
      </c>
    </row>
    <row r="27" spans="1:4" x14ac:dyDescent="0.25">
      <c r="B27" s="5" t="str">
        <f>$B$18&amp;"\"</f>
        <v>C:\Users\Alex\Centri\4. Production - Documents\WFEffectiveness\4.1.1 AGED CARE\01 Christadelphian Aged Care\240715\</v>
      </c>
    </row>
    <row r="29" spans="1:4" x14ac:dyDescent="0.25">
      <c r="B29" s="10"/>
    </row>
    <row r="33" spans="2:3" x14ac:dyDescent="0.25">
      <c r="B33" s="2" t="s">
        <v>34</v>
      </c>
      <c r="C33" s="2" t="s">
        <v>35</v>
      </c>
    </row>
    <row r="34" spans="2:3" x14ac:dyDescent="0.25">
      <c r="B34" s="2" t="s">
        <v>29</v>
      </c>
      <c r="C34" s="2" t="s">
        <v>28</v>
      </c>
    </row>
    <row r="38" spans="2:3" x14ac:dyDescent="0.25">
      <c r="B38" s="2" t="s">
        <v>36</v>
      </c>
    </row>
    <row r="39" spans="2:3" x14ac:dyDescent="0.25">
      <c r="B39" s="2">
        <v>0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CC842-69EA-4A95-AF74-1E12A4EC71DC}">
  <dimension ref="A1:K757"/>
  <sheetViews>
    <sheetView workbookViewId="0">
      <selection activeCell="B3" sqref="B3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2" bestFit="1" customWidth="1"/>
    <col min="5" max="5" width="10.7109375" bestFit="1" customWidth="1"/>
    <col min="6" max="6" width="17.140625" bestFit="1" customWidth="1"/>
    <col min="7" max="7" width="11.85546875" bestFit="1" customWidth="1"/>
    <col min="8" max="8" width="12.28515625" bestFit="1" customWidth="1"/>
    <col min="9" max="9" width="16.42578125" bestFit="1" customWidth="1"/>
    <col min="10" max="10" width="7.42578125" bestFit="1" customWidth="1"/>
    <col min="11" max="12" width="8.5703125" bestFit="1" customWidth="1"/>
    <col min="13" max="13" width="7.42578125" bestFit="1" customWidth="1"/>
    <col min="14" max="14" width="16.7109375" bestFit="1" customWidth="1"/>
  </cols>
  <sheetData>
    <row r="1" spans="1:11" x14ac:dyDescent="0.25">
      <c r="A1" t="s">
        <v>22</v>
      </c>
      <c r="B1" t="s">
        <v>1</v>
      </c>
      <c r="C1" t="s">
        <v>21</v>
      </c>
      <c r="D1" t="s">
        <v>3</v>
      </c>
      <c r="E1" t="s">
        <v>4</v>
      </c>
      <c r="F1" t="s">
        <v>19</v>
      </c>
      <c r="G1" t="s">
        <v>5</v>
      </c>
      <c r="H1" t="s">
        <v>2</v>
      </c>
      <c r="I1" t="s">
        <v>20</v>
      </c>
      <c r="J1" t="s">
        <v>0</v>
      </c>
      <c r="K1" t="s">
        <v>39</v>
      </c>
    </row>
    <row r="2" spans="1:11" hidden="1" x14ac:dyDescent="0.25">
      <c r="A2" s="12" t="s">
        <v>61</v>
      </c>
      <c r="B2" s="12" t="s">
        <v>38</v>
      </c>
      <c r="C2" s="12" t="s">
        <v>15</v>
      </c>
      <c r="D2" s="12">
        <v>1.2735376146788988</v>
      </c>
      <c r="E2" s="12">
        <v>11.4</v>
      </c>
      <c r="F2" s="12">
        <v>20</v>
      </c>
      <c r="G2" s="12">
        <v>11.4</v>
      </c>
      <c r="H2" s="12">
        <v>0.94117647058823517</v>
      </c>
      <c r="I2" s="12" t="s">
        <v>134</v>
      </c>
      <c r="J2" s="12">
        <v>46223</v>
      </c>
      <c r="K2">
        <v>46223</v>
      </c>
    </row>
    <row r="3" spans="1:11" hidden="1" x14ac:dyDescent="0.25">
      <c r="A3" s="12" t="s">
        <v>61</v>
      </c>
      <c r="B3" s="12" t="s">
        <v>38</v>
      </c>
      <c r="C3" s="12" t="s">
        <v>14</v>
      </c>
      <c r="D3" s="12">
        <v>3.3711289800323794</v>
      </c>
      <c r="E3" s="12">
        <v>3.8</v>
      </c>
      <c r="F3" s="12">
        <v>20</v>
      </c>
      <c r="G3" s="12">
        <v>3.8</v>
      </c>
      <c r="H3" s="12">
        <v>3.9861591695501688</v>
      </c>
      <c r="I3" s="12" t="s">
        <v>65</v>
      </c>
      <c r="J3" s="12">
        <v>46223</v>
      </c>
      <c r="K3">
        <v>46223</v>
      </c>
    </row>
    <row r="4" spans="1:11" hidden="1" x14ac:dyDescent="0.25">
      <c r="A4" s="12" t="s">
        <v>61</v>
      </c>
      <c r="B4" s="12" t="s">
        <v>60</v>
      </c>
      <c r="C4" s="12" t="s">
        <v>14</v>
      </c>
      <c r="D4" s="12">
        <v>3.1774912809962848</v>
      </c>
      <c r="E4" s="12">
        <v>2.8499999999999996</v>
      </c>
      <c r="F4" s="12">
        <v>20</v>
      </c>
      <c r="G4" s="12">
        <v>2.8499999999999996</v>
      </c>
      <c r="H4" s="12">
        <v>2.8131487889273359</v>
      </c>
      <c r="I4" s="12" t="s">
        <v>65</v>
      </c>
      <c r="J4" s="12">
        <v>46223</v>
      </c>
      <c r="K4">
        <v>46223</v>
      </c>
    </row>
    <row r="5" spans="1:11" hidden="1" x14ac:dyDescent="0.25">
      <c r="A5" s="12" t="s">
        <v>61</v>
      </c>
      <c r="B5" s="12" t="s">
        <v>37</v>
      </c>
      <c r="C5" s="12" t="s">
        <v>15</v>
      </c>
      <c r="D5" s="12">
        <v>4.220105607573192</v>
      </c>
      <c r="E5" s="12">
        <v>32.299999999999997</v>
      </c>
      <c r="F5" s="12">
        <v>20</v>
      </c>
      <c r="G5" s="12">
        <v>32.299999999999997</v>
      </c>
      <c r="H5" s="12">
        <v>5.6041666666666661</v>
      </c>
      <c r="I5" s="12" t="s">
        <v>134</v>
      </c>
      <c r="J5" s="12">
        <v>46223</v>
      </c>
      <c r="K5">
        <v>46223</v>
      </c>
    </row>
    <row r="6" spans="1:11" hidden="1" x14ac:dyDescent="0.25">
      <c r="A6" s="12" t="s">
        <v>61</v>
      </c>
      <c r="B6" s="12" t="s">
        <v>37</v>
      </c>
      <c r="C6" s="12" t="s">
        <v>14</v>
      </c>
      <c r="D6" s="12">
        <v>10.972274579690296</v>
      </c>
      <c r="E6" s="12">
        <v>19.95</v>
      </c>
      <c r="F6" s="12">
        <v>20</v>
      </c>
      <c r="G6" s="12">
        <v>19.95</v>
      </c>
      <c r="H6" s="12">
        <v>10.407781862745098</v>
      </c>
      <c r="I6" s="12" t="s">
        <v>65</v>
      </c>
      <c r="J6" s="12">
        <v>46223</v>
      </c>
      <c r="K6">
        <v>46223</v>
      </c>
    </row>
    <row r="7" spans="1:11" x14ac:dyDescent="0.25">
      <c r="A7" s="12" t="s">
        <v>61</v>
      </c>
      <c r="B7" s="12" t="s">
        <v>38</v>
      </c>
      <c r="C7" s="12" t="s">
        <v>13</v>
      </c>
      <c r="D7" s="12">
        <v>5.8204648795871554</v>
      </c>
      <c r="E7" s="12">
        <v>1.9</v>
      </c>
      <c r="F7" s="12">
        <v>20</v>
      </c>
      <c r="G7" s="12">
        <v>1.9</v>
      </c>
      <c r="H7" s="12">
        <v>2.823529411764707</v>
      </c>
      <c r="I7" s="12" t="s">
        <v>64</v>
      </c>
      <c r="J7" s="12">
        <v>46223</v>
      </c>
      <c r="K7">
        <v>46223</v>
      </c>
    </row>
    <row r="8" spans="1:11" x14ac:dyDescent="0.25">
      <c r="A8" s="12" t="s">
        <v>61</v>
      </c>
      <c r="B8" s="12" t="s">
        <v>60</v>
      </c>
      <c r="C8" s="12" t="s">
        <v>13</v>
      </c>
      <c r="D8" s="12">
        <v>3.6011567851291222</v>
      </c>
      <c r="E8" s="12">
        <v>2.8499999999999996</v>
      </c>
      <c r="F8" s="12">
        <v>20</v>
      </c>
      <c r="G8" s="12">
        <v>2.8499999999999996</v>
      </c>
      <c r="H8" s="12">
        <v>2.823529411764707</v>
      </c>
      <c r="I8" s="12" t="s">
        <v>64</v>
      </c>
      <c r="J8" s="12">
        <v>46223</v>
      </c>
      <c r="K8">
        <v>46223</v>
      </c>
    </row>
    <row r="9" spans="1:11" x14ac:dyDescent="0.25">
      <c r="A9" s="12" t="s">
        <v>61</v>
      </c>
      <c r="B9" s="12" t="s">
        <v>37</v>
      </c>
      <c r="C9" s="12" t="s">
        <v>13</v>
      </c>
      <c r="D9" s="12">
        <v>11.872563775972576</v>
      </c>
      <c r="E9" s="12">
        <v>15.2</v>
      </c>
      <c r="F9" s="12">
        <v>20</v>
      </c>
      <c r="G9" s="12">
        <v>15.2</v>
      </c>
      <c r="H9" s="12">
        <v>10.316176470588236</v>
      </c>
      <c r="I9" s="12" t="s">
        <v>64</v>
      </c>
      <c r="J9" s="12">
        <v>46223</v>
      </c>
      <c r="K9">
        <v>46223</v>
      </c>
    </row>
    <row r="10" spans="1:11" hidden="1" x14ac:dyDescent="0.25">
      <c r="A10" s="12" t="s">
        <v>61</v>
      </c>
      <c r="B10" s="12" t="s">
        <v>60</v>
      </c>
      <c r="C10" s="12" t="s">
        <v>15</v>
      </c>
      <c r="D10" s="12">
        <v>0</v>
      </c>
      <c r="E10" s="12">
        <v>10.45</v>
      </c>
      <c r="F10" s="12">
        <v>20</v>
      </c>
      <c r="G10" s="12">
        <v>10.45</v>
      </c>
      <c r="H10" s="12">
        <v>0</v>
      </c>
      <c r="I10" s="12" t="s">
        <v>134</v>
      </c>
      <c r="J10" s="12">
        <v>46223</v>
      </c>
      <c r="K10">
        <v>46223</v>
      </c>
    </row>
    <row r="11" spans="1:11" x14ac:dyDescent="0.25">
      <c r="A11" s="12" t="s">
        <v>61</v>
      </c>
      <c r="B11" s="12" t="s">
        <v>60</v>
      </c>
      <c r="C11" s="12" t="s">
        <v>13</v>
      </c>
      <c r="D11" s="12">
        <v>3.6011567851291235</v>
      </c>
      <c r="E11" s="12">
        <v>2.8499999999999996</v>
      </c>
      <c r="F11" s="12">
        <v>20</v>
      </c>
      <c r="G11" s="12">
        <v>2.8499999999999996</v>
      </c>
      <c r="H11" s="12">
        <v>3.8807773109243682</v>
      </c>
      <c r="I11" s="12" t="s">
        <v>66</v>
      </c>
      <c r="J11" s="12">
        <v>46224</v>
      </c>
      <c r="K11">
        <v>46224</v>
      </c>
    </row>
    <row r="12" spans="1:11" hidden="1" x14ac:dyDescent="0.25">
      <c r="A12" s="12" t="s">
        <v>61</v>
      </c>
      <c r="B12" s="12" t="s">
        <v>37</v>
      </c>
      <c r="C12" s="12" t="s">
        <v>14</v>
      </c>
      <c r="D12" s="12">
        <v>10.972274579690296</v>
      </c>
      <c r="E12" s="12">
        <v>1.9</v>
      </c>
      <c r="F12" s="12">
        <v>20</v>
      </c>
      <c r="G12" s="12">
        <v>1.9</v>
      </c>
      <c r="H12" s="12">
        <v>13.104166666666664</v>
      </c>
      <c r="I12" s="12" t="s">
        <v>68</v>
      </c>
      <c r="J12" s="12">
        <v>46224</v>
      </c>
      <c r="K12">
        <v>46224</v>
      </c>
    </row>
    <row r="13" spans="1:11" hidden="1" x14ac:dyDescent="0.25">
      <c r="A13" s="12" t="s">
        <v>61</v>
      </c>
      <c r="B13" s="12" t="s">
        <v>60</v>
      </c>
      <c r="C13" s="12" t="s">
        <v>14</v>
      </c>
      <c r="D13" s="12">
        <v>3.23044946901289</v>
      </c>
      <c r="E13" s="12">
        <v>0.95</v>
      </c>
      <c r="F13" s="12">
        <v>20</v>
      </c>
      <c r="G13" s="12">
        <v>0.95</v>
      </c>
      <c r="H13" s="12">
        <v>3.5239742956005928</v>
      </c>
      <c r="I13" s="12" t="s">
        <v>68</v>
      </c>
      <c r="J13" s="12">
        <v>46224</v>
      </c>
      <c r="K13">
        <v>46224</v>
      </c>
    </row>
    <row r="14" spans="1:11" hidden="1" x14ac:dyDescent="0.25">
      <c r="A14" s="12" t="s">
        <v>61</v>
      </c>
      <c r="B14" s="12" t="s">
        <v>37</v>
      </c>
      <c r="C14" s="12" t="s">
        <v>15</v>
      </c>
      <c r="D14" s="12">
        <v>4.220105607573192</v>
      </c>
      <c r="E14" s="12">
        <v>28.5</v>
      </c>
      <c r="F14" s="12">
        <v>20</v>
      </c>
      <c r="G14" s="12">
        <v>28.5</v>
      </c>
      <c r="H14" s="12">
        <v>5.6041666666666661</v>
      </c>
      <c r="I14" s="12" t="s">
        <v>67</v>
      </c>
      <c r="J14" s="12">
        <v>46224</v>
      </c>
      <c r="K14">
        <v>46224</v>
      </c>
    </row>
    <row r="15" spans="1:11" hidden="1" x14ac:dyDescent="0.25">
      <c r="A15" s="12" t="s">
        <v>61</v>
      </c>
      <c r="B15" s="12" t="s">
        <v>38</v>
      </c>
      <c r="C15" s="12" t="s">
        <v>15</v>
      </c>
      <c r="D15" s="12">
        <v>1.2735376146788988</v>
      </c>
      <c r="E15" s="12">
        <v>11.4</v>
      </c>
      <c r="F15" s="12">
        <v>20</v>
      </c>
      <c r="G15" s="12">
        <v>11.4</v>
      </c>
      <c r="H15" s="12">
        <v>1.8823529411764703</v>
      </c>
      <c r="I15" s="12" t="s">
        <v>67</v>
      </c>
      <c r="J15" s="12">
        <v>46224</v>
      </c>
      <c r="K15">
        <v>46224</v>
      </c>
    </row>
    <row r="16" spans="1:11" hidden="1" x14ac:dyDescent="0.25">
      <c r="A16" s="12" t="s">
        <v>61</v>
      </c>
      <c r="B16" s="12" t="s">
        <v>60</v>
      </c>
      <c r="C16" s="12" t="s">
        <v>15</v>
      </c>
      <c r="D16" s="12">
        <v>0</v>
      </c>
      <c r="E16" s="12">
        <v>11.4</v>
      </c>
      <c r="F16" s="12">
        <v>20</v>
      </c>
      <c r="G16" s="12">
        <v>11.4</v>
      </c>
      <c r="H16" s="12">
        <v>0</v>
      </c>
      <c r="I16" s="12" t="s">
        <v>67</v>
      </c>
      <c r="J16" s="12">
        <v>46224</v>
      </c>
      <c r="K16">
        <v>46224</v>
      </c>
    </row>
    <row r="17" spans="1:11" x14ac:dyDescent="0.25">
      <c r="A17" s="12" t="s">
        <v>61</v>
      </c>
      <c r="B17" s="12" t="s">
        <v>37</v>
      </c>
      <c r="C17" s="12" t="s">
        <v>13</v>
      </c>
      <c r="D17" s="12">
        <v>13.02605930870925</v>
      </c>
      <c r="E17" s="12">
        <v>15.2</v>
      </c>
      <c r="F17" s="12">
        <v>20</v>
      </c>
      <c r="G17" s="12">
        <v>15.2</v>
      </c>
      <c r="H17" s="12">
        <v>13.041666666666664</v>
      </c>
      <c r="I17" s="12" t="s">
        <v>66</v>
      </c>
      <c r="J17" s="12">
        <v>46224</v>
      </c>
      <c r="K17">
        <v>46224</v>
      </c>
    </row>
    <row r="18" spans="1:11" x14ac:dyDescent="0.25">
      <c r="A18" s="12" t="s">
        <v>61</v>
      </c>
      <c r="B18" s="12" t="s">
        <v>38</v>
      </c>
      <c r="C18" s="12" t="s">
        <v>13</v>
      </c>
      <c r="D18" s="12">
        <v>5.8204648795871572</v>
      </c>
      <c r="E18" s="12">
        <v>2.8499999999999996</v>
      </c>
      <c r="F18" s="12">
        <v>20</v>
      </c>
      <c r="G18" s="12">
        <v>2.8499999999999996</v>
      </c>
      <c r="H18" s="12">
        <v>3.7647058823529393</v>
      </c>
      <c r="I18" s="12" t="s">
        <v>66</v>
      </c>
      <c r="J18" s="12">
        <v>46224</v>
      </c>
      <c r="K18">
        <v>46224</v>
      </c>
    </row>
    <row r="19" spans="1:11" hidden="1" x14ac:dyDescent="0.25">
      <c r="A19" s="12" t="s">
        <v>61</v>
      </c>
      <c r="B19" s="12" t="s">
        <v>38</v>
      </c>
      <c r="C19" s="12" t="s">
        <v>14</v>
      </c>
      <c r="D19" s="12">
        <v>3.3711289800323794</v>
      </c>
      <c r="E19" s="12">
        <v>0.95</v>
      </c>
      <c r="F19" s="12">
        <v>20</v>
      </c>
      <c r="G19" s="12">
        <v>0.95</v>
      </c>
      <c r="H19" s="12">
        <v>3.9861591695501706</v>
      </c>
      <c r="I19" s="12" t="s">
        <v>68</v>
      </c>
      <c r="J19" s="12">
        <v>46224</v>
      </c>
      <c r="K19">
        <v>46224</v>
      </c>
    </row>
    <row r="20" spans="1:11" hidden="1" x14ac:dyDescent="0.25">
      <c r="A20" s="12" t="s">
        <v>61</v>
      </c>
      <c r="B20" s="12" t="s">
        <v>38</v>
      </c>
      <c r="C20" s="12" t="s">
        <v>14</v>
      </c>
      <c r="D20" s="12">
        <v>3.9329838100377761</v>
      </c>
      <c r="E20" s="12">
        <v>3.8</v>
      </c>
      <c r="F20" s="12">
        <v>20</v>
      </c>
      <c r="G20" s="12">
        <v>3.8</v>
      </c>
      <c r="H20" s="12">
        <v>5.0519031141868496</v>
      </c>
      <c r="I20" s="12" t="s">
        <v>71</v>
      </c>
      <c r="J20" s="12">
        <v>46225</v>
      </c>
      <c r="K20">
        <v>46225</v>
      </c>
    </row>
    <row r="21" spans="1:11" x14ac:dyDescent="0.25">
      <c r="A21" s="12" t="s">
        <v>61</v>
      </c>
      <c r="B21" s="12" t="s">
        <v>60</v>
      </c>
      <c r="C21" s="12" t="s">
        <v>13</v>
      </c>
      <c r="D21" s="12">
        <v>3.6011567851291222</v>
      </c>
      <c r="E21" s="12">
        <v>0.95</v>
      </c>
      <c r="F21" s="12">
        <v>20</v>
      </c>
      <c r="G21" s="12">
        <v>0.95</v>
      </c>
      <c r="H21" s="12">
        <v>3.7647058823529398</v>
      </c>
      <c r="I21" s="12" t="s">
        <v>69</v>
      </c>
      <c r="J21" s="12">
        <v>46225</v>
      </c>
      <c r="K21">
        <v>46225</v>
      </c>
    </row>
    <row r="22" spans="1:11" x14ac:dyDescent="0.25">
      <c r="A22" s="12" t="s">
        <v>61</v>
      </c>
      <c r="B22" s="12" t="s">
        <v>37</v>
      </c>
      <c r="C22" s="12" t="s">
        <v>13</v>
      </c>
      <c r="D22" s="12">
        <v>12.57591471056811</v>
      </c>
      <c r="E22" s="12">
        <v>4.75</v>
      </c>
      <c r="F22" s="12">
        <v>20</v>
      </c>
      <c r="G22" s="12">
        <v>4.75</v>
      </c>
      <c r="H22" s="12">
        <v>12.225490196078432</v>
      </c>
      <c r="I22" s="12" t="s">
        <v>69</v>
      </c>
      <c r="J22" s="12">
        <v>46225</v>
      </c>
      <c r="K22">
        <v>46225</v>
      </c>
    </row>
    <row r="23" spans="1:11" hidden="1" x14ac:dyDescent="0.25">
      <c r="A23" s="12" t="s">
        <v>61</v>
      </c>
      <c r="B23" s="12" t="s">
        <v>37</v>
      </c>
      <c r="C23" s="12" t="s">
        <v>14</v>
      </c>
      <c r="D23" s="12">
        <v>10.80347035538737</v>
      </c>
      <c r="E23" s="12">
        <v>10.45</v>
      </c>
      <c r="F23" s="12">
        <v>20</v>
      </c>
      <c r="G23" s="12">
        <v>10.45</v>
      </c>
      <c r="H23" s="12">
        <v>13.09891456582633</v>
      </c>
      <c r="I23" s="12" t="s">
        <v>71</v>
      </c>
      <c r="J23" s="12">
        <v>46225</v>
      </c>
      <c r="K23">
        <v>46225</v>
      </c>
    </row>
    <row r="24" spans="1:11" hidden="1" x14ac:dyDescent="0.25">
      <c r="A24" s="12" t="s">
        <v>61</v>
      </c>
      <c r="B24" s="12" t="s">
        <v>38</v>
      </c>
      <c r="C24" s="12" t="s">
        <v>15</v>
      </c>
      <c r="D24" s="12">
        <v>1.2735376146788988</v>
      </c>
      <c r="E24" s="12">
        <v>2.8499999999999996</v>
      </c>
      <c r="F24" s="12">
        <v>20</v>
      </c>
      <c r="G24" s="12">
        <v>2.8499999999999996</v>
      </c>
      <c r="H24" s="12">
        <v>1.9411764705882348</v>
      </c>
      <c r="I24" s="12" t="s">
        <v>70</v>
      </c>
      <c r="J24" s="12">
        <v>46225</v>
      </c>
      <c r="K24">
        <v>46225</v>
      </c>
    </row>
    <row r="25" spans="1:11" hidden="1" x14ac:dyDescent="0.25">
      <c r="A25" s="12" t="s">
        <v>61</v>
      </c>
      <c r="B25" s="12" t="s">
        <v>60</v>
      </c>
      <c r="C25" s="12" t="s">
        <v>14</v>
      </c>
      <c r="D25" s="12">
        <v>3.1774912809962848</v>
      </c>
      <c r="E25" s="12">
        <v>2.8499999999999996</v>
      </c>
      <c r="F25" s="12">
        <v>20</v>
      </c>
      <c r="G25" s="12">
        <v>2.8499999999999996</v>
      </c>
      <c r="H25" s="12">
        <v>3.7508650519031144</v>
      </c>
      <c r="I25" s="12" t="s">
        <v>71</v>
      </c>
      <c r="J25" s="12">
        <v>46225</v>
      </c>
      <c r="K25">
        <v>46225</v>
      </c>
    </row>
    <row r="26" spans="1:11" hidden="1" x14ac:dyDescent="0.25">
      <c r="A26" s="12" t="s">
        <v>61</v>
      </c>
      <c r="B26" s="12" t="s">
        <v>37</v>
      </c>
      <c r="C26" s="12" t="s">
        <v>15</v>
      </c>
      <c r="D26" s="12">
        <v>4.2201056075731911</v>
      </c>
      <c r="E26" s="12">
        <v>18.05</v>
      </c>
      <c r="F26" s="12">
        <v>20</v>
      </c>
      <c r="G26" s="12">
        <v>18.05</v>
      </c>
      <c r="H26" s="12">
        <v>5.6532738095238084</v>
      </c>
      <c r="I26" s="12" t="s">
        <v>70</v>
      </c>
      <c r="J26" s="12">
        <v>46225</v>
      </c>
      <c r="K26">
        <v>46225</v>
      </c>
    </row>
    <row r="27" spans="1:11" hidden="1" x14ac:dyDescent="0.25">
      <c r="A27" s="12" t="s">
        <v>61</v>
      </c>
      <c r="B27" s="12" t="s">
        <v>60</v>
      </c>
      <c r="C27" s="12" t="s">
        <v>15</v>
      </c>
      <c r="D27" s="12">
        <v>0</v>
      </c>
      <c r="E27" s="12">
        <v>2.8499999999999996</v>
      </c>
      <c r="F27" s="12">
        <v>20</v>
      </c>
      <c r="G27" s="12">
        <v>2.8499999999999996</v>
      </c>
      <c r="H27" s="12">
        <v>0</v>
      </c>
      <c r="I27" s="12" t="s">
        <v>70</v>
      </c>
      <c r="J27" s="12">
        <v>46225</v>
      </c>
      <c r="K27">
        <v>46225</v>
      </c>
    </row>
    <row r="28" spans="1:11" x14ac:dyDescent="0.25">
      <c r="A28" s="12" t="s">
        <v>61</v>
      </c>
      <c r="B28" s="12" t="s">
        <v>38</v>
      </c>
      <c r="C28" s="12" t="s">
        <v>13</v>
      </c>
      <c r="D28" s="12">
        <v>4.6265233658256886</v>
      </c>
      <c r="E28" s="12">
        <v>1.9</v>
      </c>
      <c r="F28" s="12">
        <v>20</v>
      </c>
      <c r="G28" s="12">
        <v>1.9</v>
      </c>
      <c r="H28" s="12">
        <v>3.8308823529411753</v>
      </c>
      <c r="I28" s="12" t="s">
        <v>69</v>
      </c>
      <c r="J28" s="12">
        <v>46225</v>
      </c>
      <c r="K28">
        <v>46225</v>
      </c>
    </row>
    <row r="29" spans="1:11" hidden="1" x14ac:dyDescent="0.25">
      <c r="A29" s="12" t="s">
        <v>61</v>
      </c>
      <c r="B29" s="12" t="s">
        <v>60</v>
      </c>
      <c r="C29" s="12" t="s">
        <v>14</v>
      </c>
      <c r="D29" s="12">
        <v>3.1774912809962856</v>
      </c>
      <c r="E29" s="12">
        <v>3.8</v>
      </c>
      <c r="F29" s="12">
        <v>20</v>
      </c>
      <c r="G29" s="12">
        <v>3.8</v>
      </c>
      <c r="H29" s="12">
        <v>3.7508650519031144</v>
      </c>
      <c r="I29" s="12" t="s">
        <v>72</v>
      </c>
      <c r="J29" s="12">
        <v>46226</v>
      </c>
      <c r="K29">
        <v>46226</v>
      </c>
    </row>
    <row r="30" spans="1:11" hidden="1" x14ac:dyDescent="0.25">
      <c r="A30" s="12" t="s">
        <v>61</v>
      </c>
      <c r="B30" s="12" t="s">
        <v>38</v>
      </c>
      <c r="C30" s="12" t="s">
        <v>14</v>
      </c>
      <c r="D30" s="12">
        <v>3.5115926875337284</v>
      </c>
      <c r="E30" s="12">
        <v>1.9</v>
      </c>
      <c r="F30" s="12">
        <v>20</v>
      </c>
      <c r="G30" s="12">
        <v>1.9</v>
      </c>
      <c r="H30" s="12">
        <v>4.1584410854124911</v>
      </c>
      <c r="I30" s="12" t="s">
        <v>72</v>
      </c>
      <c r="J30" s="12">
        <v>46226</v>
      </c>
      <c r="K30">
        <v>46226</v>
      </c>
    </row>
    <row r="31" spans="1:11" hidden="1" x14ac:dyDescent="0.25">
      <c r="A31" s="12" t="s">
        <v>61</v>
      </c>
      <c r="B31" s="12" t="s">
        <v>60</v>
      </c>
      <c r="C31" s="12" t="s">
        <v>15</v>
      </c>
      <c r="D31" s="12">
        <v>0</v>
      </c>
      <c r="E31" s="12">
        <v>10.45</v>
      </c>
      <c r="F31" s="12">
        <v>20</v>
      </c>
      <c r="G31" s="12">
        <v>10.45</v>
      </c>
      <c r="H31" s="12">
        <v>0</v>
      </c>
      <c r="I31" s="12" t="s">
        <v>73</v>
      </c>
      <c r="J31" s="12">
        <v>46226</v>
      </c>
      <c r="K31">
        <v>46226</v>
      </c>
    </row>
    <row r="32" spans="1:11" hidden="1" x14ac:dyDescent="0.25">
      <c r="A32" s="12" t="s">
        <v>61</v>
      </c>
      <c r="B32" s="12" t="s">
        <v>37</v>
      </c>
      <c r="C32" s="12" t="s">
        <v>14</v>
      </c>
      <c r="D32" s="12">
        <v>10.972274579690296</v>
      </c>
      <c r="E32" s="12">
        <v>38</v>
      </c>
      <c r="F32" s="12">
        <v>20</v>
      </c>
      <c r="G32" s="12">
        <v>38</v>
      </c>
      <c r="H32" s="12">
        <v>12.225260416666666</v>
      </c>
      <c r="I32" s="12" t="s">
        <v>72</v>
      </c>
      <c r="J32" s="12">
        <v>46226</v>
      </c>
      <c r="K32">
        <v>46226</v>
      </c>
    </row>
    <row r="33" spans="1:11" x14ac:dyDescent="0.25">
      <c r="A33" s="12" t="s">
        <v>61</v>
      </c>
      <c r="B33" s="12" t="s">
        <v>38</v>
      </c>
      <c r="C33" s="12" t="s">
        <v>13</v>
      </c>
      <c r="D33" s="12">
        <v>5.9697075688073395</v>
      </c>
      <c r="E33" s="12">
        <v>1.9</v>
      </c>
      <c r="F33" s="12">
        <v>20</v>
      </c>
      <c r="G33" s="12">
        <v>1.9</v>
      </c>
      <c r="H33" s="12">
        <v>6.7654798761609918</v>
      </c>
      <c r="I33" s="12" t="s">
        <v>74</v>
      </c>
      <c r="J33" s="12">
        <v>46226</v>
      </c>
      <c r="K33">
        <v>46226</v>
      </c>
    </row>
    <row r="34" spans="1:11" x14ac:dyDescent="0.25">
      <c r="A34" s="12" t="s">
        <v>61</v>
      </c>
      <c r="B34" s="12" t="s">
        <v>60</v>
      </c>
      <c r="C34" s="12" t="s">
        <v>13</v>
      </c>
      <c r="D34" s="12">
        <v>3.6011567851291222</v>
      </c>
      <c r="E34" s="12">
        <v>0.95</v>
      </c>
      <c r="F34" s="12">
        <v>20</v>
      </c>
      <c r="G34" s="12">
        <v>0.95</v>
      </c>
      <c r="H34" s="12">
        <v>3.7647058823529398</v>
      </c>
      <c r="I34" s="12" t="s">
        <v>74</v>
      </c>
      <c r="J34" s="12">
        <v>46226</v>
      </c>
      <c r="K34">
        <v>46226</v>
      </c>
    </row>
    <row r="35" spans="1:11" x14ac:dyDescent="0.25">
      <c r="A35" s="12" t="s">
        <v>61</v>
      </c>
      <c r="B35" s="12" t="s">
        <v>37</v>
      </c>
      <c r="C35" s="12" t="s">
        <v>13</v>
      </c>
      <c r="D35" s="12">
        <v>11.731893589053469</v>
      </c>
      <c r="E35" s="12">
        <v>2.8499999999999996</v>
      </c>
      <c r="F35" s="12">
        <v>20</v>
      </c>
      <c r="G35" s="12">
        <v>2.8499999999999996</v>
      </c>
      <c r="H35" s="12">
        <v>11.220238095238097</v>
      </c>
      <c r="I35" s="12" t="s">
        <v>74</v>
      </c>
      <c r="J35" s="12">
        <v>46226</v>
      </c>
      <c r="K35">
        <v>46226</v>
      </c>
    </row>
    <row r="36" spans="1:11" hidden="1" x14ac:dyDescent="0.25">
      <c r="A36" s="12" t="s">
        <v>61</v>
      </c>
      <c r="B36" s="12" t="s">
        <v>37</v>
      </c>
      <c r="C36" s="12" t="s">
        <v>15</v>
      </c>
      <c r="D36" s="12">
        <v>4.220105607573192</v>
      </c>
      <c r="E36" s="12">
        <v>1.9</v>
      </c>
      <c r="F36" s="12">
        <v>20</v>
      </c>
      <c r="G36" s="12">
        <v>1.9</v>
      </c>
      <c r="H36" s="12">
        <v>3.7291666666666665</v>
      </c>
      <c r="I36" s="12" t="s">
        <v>73</v>
      </c>
      <c r="J36" s="12">
        <v>46226</v>
      </c>
      <c r="K36">
        <v>46226</v>
      </c>
    </row>
    <row r="37" spans="1:11" hidden="1" x14ac:dyDescent="0.25">
      <c r="A37" s="12" t="s">
        <v>61</v>
      </c>
      <c r="B37" s="12" t="s">
        <v>38</v>
      </c>
      <c r="C37" s="12" t="s">
        <v>15</v>
      </c>
      <c r="D37" s="12">
        <v>1.2735376146788988</v>
      </c>
      <c r="E37" s="12">
        <v>9.5</v>
      </c>
      <c r="F37" s="12">
        <v>20</v>
      </c>
      <c r="G37" s="12">
        <v>9.5</v>
      </c>
      <c r="H37" s="12">
        <v>1.8823529411764703</v>
      </c>
      <c r="I37" s="12" t="s">
        <v>73</v>
      </c>
      <c r="J37" s="12">
        <v>46226</v>
      </c>
      <c r="K37">
        <v>46226</v>
      </c>
    </row>
    <row r="38" spans="1:11" hidden="1" x14ac:dyDescent="0.25">
      <c r="A38" s="12" t="s">
        <v>61</v>
      </c>
      <c r="B38" s="12" t="s">
        <v>60</v>
      </c>
      <c r="C38" s="12" t="s">
        <v>14</v>
      </c>
      <c r="D38" s="12">
        <v>3.1774912809962848</v>
      </c>
      <c r="E38" s="12">
        <v>0.95</v>
      </c>
      <c r="F38" s="12">
        <v>20</v>
      </c>
      <c r="G38" s="12">
        <v>0.95</v>
      </c>
      <c r="H38" s="12">
        <v>2.8685121107266438</v>
      </c>
      <c r="I38" s="12" t="s">
        <v>58</v>
      </c>
      <c r="J38" s="12">
        <v>46227</v>
      </c>
      <c r="K38">
        <v>46227</v>
      </c>
    </row>
    <row r="39" spans="1:11" x14ac:dyDescent="0.25">
      <c r="A39" s="12" t="s">
        <v>61</v>
      </c>
      <c r="B39" s="12" t="s">
        <v>38</v>
      </c>
      <c r="C39" s="12" t="s">
        <v>13</v>
      </c>
      <c r="D39" s="12">
        <v>4.7757660550458709</v>
      </c>
      <c r="E39" s="12">
        <v>1.9</v>
      </c>
      <c r="F39" s="12">
        <v>20</v>
      </c>
      <c r="G39" s="12">
        <v>1.9</v>
      </c>
      <c r="H39" s="12">
        <v>3.7647058823529393</v>
      </c>
      <c r="I39" s="12" t="s">
        <v>56</v>
      </c>
      <c r="J39" s="12">
        <v>46227</v>
      </c>
      <c r="K39">
        <v>46227</v>
      </c>
    </row>
    <row r="40" spans="1:11" x14ac:dyDescent="0.25">
      <c r="A40" s="12" t="s">
        <v>61</v>
      </c>
      <c r="B40" s="12" t="s">
        <v>37</v>
      </c>
      <c r="C40" s="12" t="s">
        <v>13</v>
      </c>
      <c r="D40" s="12">
        <v>10.972274579690296</v>
      </c>
      <c r="E40" s="12">
        <v>12.35</v>
      </c>
      <c r="F40" s="12">
        <v>20</v>
      </c>
      <c r="G40" s="12">
        <v>12.35</v>
      </c>
      <c r="H40" s="12">
        <v>11.229166666666668</v>
      </c>
      <c r="I40" s="12" t="s">
        <v>56</v>
      </c>
      <c r="J40" s="12">
        <v>46227</v>
      </c>
      <c r="K40">
        <v>46227</v>
      </c>
    </row>
    <row r="41" spans="1:11" x14ac:dyDescent="0.25">
      <c r="A41" s="12" t="s">
        <v>61</v>
      </c>
      <c r="B41" s="12" t="s">
        <v>60</v>
      </c>
      <c r="C41" s="12" t="s">
        <v>13</v>
      </c>
      <c r="D41" s="12">
        <v>3.6011567851291222</v>
      </c>
      <c r="E41" s="12">
        <v>2.8499999999999996</v>
      </c>
      <c r="F41" s="12">
        <v>20</v>
      </c>
      <c r="G41" s="12">
        <v>2.8499999999999996</v>
      </c>
      <c r="H41" s="12">
        <v>3.7647058823529393</v>
      </c>
      <c r="I41" s="12" t="s">
        <v>56</v>
      </c>
      <c r="J41" s="12">
        <v>46227</v>
      </c>
      <c r="K41">
        <v>46227</v>
      </c>
    </row>
    <row r="42" spans="1:11" hidden="1" x14ac:dyDescent="0.25">
      <c r="A42" s="12" t="s">
        <v>61</v>
      </c>
      <c r="B42" s="12" t="s">
        <v>60</v>
      </c>
      <c r="C42" s="12" t="s">
        <v>15</v>
      </c>
      <c r="D42" s="12">
        <v>0</v>
      </c>
      <c r="E42" s="12">
        <v>0.95</v>
      </c>
      <c r="F42" s="12">
        <v>20</v>
      </c>
      <c r="G42" s="12">
        <v>0.95</v>
      </c>
      <c r="H42" s="12">
        <v>0</v>
      </c>
      <c r="I42" s="12" t="s">
        <v>57</v>
      </c>
      <c r="J42" s="12">
        <v>46227</v>
      </c>
      <c r="K42">
        <v>46227</v>
      </c>
    </row>
    <row r="43" spans="1:11" hidden="1" x14ac:dyDescent="0.25">
      <c r="A43" s="12" t="s">
        <v>61</v>
      </c>
      <c r="B43" s="12" t="s">
        <v>38</v>
      </c>
      <c r="C43" s="12" t="s">
        <v>15</v>
      </c>
      <c r="D43" s="12">
        <v>1.2735376146788988</v>
      </c>
      <c r="E43" s="12">
        <v>7.6</v>
      </c>
      <c r="F43" s="12">
        <v>20</v>
      </c>
      <c r="G43" s="12">
        <v>7.6</v>
      </c>
      <c r="H43" s="12">
        <v>1.8823529411764703</v>
      </c>
      <c r="I43" s="12" t="s">
        <v>57</v>
      </c>
      <c r="J43" s="12">
        <v>46227</v>
      </c>
      <c r="K43">
        <v>46227</v>
      </c>
    </row>
    <row r="44" spans="1:11" hidden="1" x14ac:dyDescent="0.25">
      <c r="A44" s="12" t="s">
        <v>61</v>
      </c>
      <c r="B44" s="12" t="s">
        <v>37</v>
      </c>
      <c r="C44" s="12" t="s">
        <v>15</v>
      </c>
      <c r="D44" s="12">
        <v>4.220105607573192</v>
      </c>
      <c r="E44" s="12">
        <v>29.45</v>
      </c>
      <c r="F44" s="12">
        <v>20</v>
      </c>
      <c r="G44" s="12">
        <v>29.45</v>
      </c>
      <c r="H44" s="12">
        <v>6.532738095238094</v>
      </c>
      <c r="I44" s="12" t="s">
        <v>57</v>
      </c>
      <c r="J44" s="12">
        <v>46227</v>
      </c>
      <c r="K44">
        <v>46227</v>
      </c>
    </row>
    <row r="45" spans="1:11" hidden="1" x14ac:dyDescent="0.25">
      <c r="A45" s="12" t="s">
        <v>61</v>
      </c>
      <c r="B45" s="12" t="s">
        <v>38</v>
      </c>
      <c r="C45" s="12" t="s">
        <v>14</v>
      </c>
      <c r="D45" s="12">
        <v>2.2474193200215868</v>
      </c>
      <c r="E45" s="12">
        <v>0</v>
      </c>
      <c r="F45" s="12">
        <v>20</v>
      </c>
      <c r="G45" s="12">
        <v>0</v>
      </c>
      <c r="H45" s="12">
        <v>4.8131487889273332</v>
      </c>
      <c r="I45" s="12" t="s">
        <v>58</v>
      </c>
      <c r="J45" s="12">
        <v>46227</v>
      </c>
      <c r="K45">
        <v>46227</v>
      </c>
    </row>
    <row r="46" spans="1:11" hidden="1" x14ac:dyDescent="0.25">
      <c r="A46" s="12" t="s">
        <v>61</v>
      </c>
      <c r="B46" s="12" t="s">
        <v>37</v>
      </c>
      <c r="C46" s="12" t="s">
        <v>14</v>
      </c>
      <c r="D46" s="12">
        <v>11.028542654457937</v>
      </c>
      <c r="E46" s="12">
        <v>0.95</v>
      </c>
      <c r="F46" s="12">
        <v>20</v>
      </c>
      <c r="G46" s="12">
        <v>0.95</v>
      </c>
      <c r="H46" s="12">
        <v>12.157738095238097</v>
      </c>
      <c r="I46" s="12" t="s">
        <v>58</v>
      </c>
      <c r="J46" s="12">
        <v>46227</v>
      </c>
      <c r="K46">
        <v>46227</v>
      </c>
    </row>
    <row r="47" spans="1:11" hidden="1" x14ac:dyDescent="0.25">
      <c r="A47" s="12" t="s">
        <v>61</v>
      </c>
      <c r="B47" s="12" t="s">
        <v>38</v>
      </c>
      <c r="C47" s="12" t="s">
        <v>14</v>
      </c>
      <c r="D47" s="12">
        <v>3.3711289800323798</v>
      </c>
      <c r="E47" s="12">
        <v>2.8499999999999996</v>
      </c>
      <c r="F47" s="12">
        <v>20</v>
      </c>
      <c r="G47" s="12">
        <v>2.8499999999999996</v>
      </c>
      <c r="H47" s="12">
        <v>4.9826989619377127</v>
      </c>
      <c r="I47" s="12" t="s">
        <v>76</v>
      </c>
      <c r="J47" s="12">
        <v>46228</v>
      </c>
      <c r="K47">
        <v>46228</v>
      </c>
    </row>
    <row r="48" spans="1:11" x14ac:dyDescent="0.25">
      <c r="A48" s="12" t="s">
        <v>61</v>
      </c>
      <c r="B48" s="12" t="s">
        <v>60</v>
      </c>
      <c r="C48" s="12" t="s">
        <v>13</v>
      </c>
      <c r="D48" s="12">
        <v>3.6011567851291222</v>
      </c>
      <c r="E48" s="12">
        <v>6.6499999999999995</v>
      </c>
      <c r="F48" s="12">
        <v>20</v>
      </c>
      <c r="G48" s="12">
        <v>6.6499999999999995</v>
      </c>
      <c r="H48" s="12">
        <v>2.882352941176471</v>
      </c>
      <c r="I48" s="12" t="s">
        <v>135</v>
      </c>
      <c r="J48" s="12">
        <v>46228</v>
      </c>
      <c r="K48">
        <v>46228</v>
      </c>
    </row>
    <row r="49" spans="1:11" x14ac:dyDescent="0.25">
      <c r="A49" s="12" t="s">
        <v>61</v>
      </c>
      <c r="B49" s="12" t="s">
        <v>37</v>
      </c>
      <c r="C49" s="12" t="s">
        <v>13</v>
      </c>
      <c r="D49" s="12">
        <v>11.028542654457937</v>
      </c>
      <c r="E49" s="12">
        <v>45.599999999999994</v>
      </c>
      <c r="F49" s="12">
        <v>20</v>
      </c>
      <c r="G49" s="12">
        <v>45.599999999999994</v>
      </c>
      <c r="H49" s="12">
        <v>13.2250306372549</v>
      </c>
      <c r="I49" s="12" t="s">
        <v>135</v>
      </c>
      <c r="J49" s="12">
        <v>46228</v>
      </c>
      <c r="K49">
        <v>46228</v>
      </c>
    </row>
    <row r="50" spans="1:11" x14ac:dyDescent="0.25">
      <c r="A50" s="12" t="s">
        <v>61</v>
      </c>
      <c r="B50" s="12" t="s">
        <v>38</v>
      </c>
      <c r="C50" s="12" t="s">
        <v>13</v>
      </c>
      <c r="D50" s="12">
        <v>2.3878830275229355</v>
      </c>
      <c r="E50" s="12">
        <v>12.35</v>
      </c>
      <c r="F50" s="12">
        <v>20</v>
      </c>
      <c r="G50" s="12">
        <v>12.35</v>
      </c>
      <c r="H50" s="12">
        <v>5.6470588235294112</v>
      </c>
      <c r="I50" s="12" t="s">
        <v>135</v>
      </c>
      <c r="J50" s="12">
        <v>46228</v>
      </c>
      <c r="K50">
        <v>46228</v>
      </c>
    </row>
    <row r="51" spans="1:11" hidden="1" x14ac:dyDescent="0.25">
      <c r="A51" s="12" t="s">
        <v>61</v>
      </c>
      <c r="B51" s="12" t="s">
        <v>60</v>
      </c>
      <c r="C51" s="12" t="s">
        <v>15</v>
      </c>
      <c r="D51" s="12">
        <v>0</v>
      </c>
      <c r="E51" s="12">
        <v>0.95</v>
      </c>
      <c r="F51" s="12">
        <v>20</v>
      </c>
      <c r="G51" s="12">
        <v>0.95</v>
      </c>
      <c r="H51" s="12">
        <v>0</v>
      </c>
      <c r="I51" s="12" t="s">
        <v>75</v>
      </c>
      <c r="J51" s="12">
        <v>46228</v>
      </c>
      <c r="K51">
        <v>46228</v>
      </c>
    </row>
    <row r="52" spans="1:11" hidden="1" x14ac:dyDescent="0.25">
      <c r="A52" s="12" t="s">
        <v>61</v>
      </c>
      <c r="B52" s="12" t="s">
        <v>37</v>
      </c>
      <c r="C52" s="12" t="s">
        <v>15</v>
      </c>
      <c r="D52" s="12">
        <v>4.220105607573192</v>
      </c>
      <c r="E52" s="12">
        <v>3.8</v>
      </c>
      <c r="F52" s="12">
        <v>20</v>
      </c>
      <c r="G52" s="12">
        <v>3.8</v>
      </c>
      <c r="H52" s="12">
        <v>4.6874999999999991</v>
      </c>
      <c r="I52" s="12" t="s">
        <v>75</v>
      </c>
      <c r="J52" s="12">
        <v>46228</v>
      </c>
      <c r="K52">
        <v>46228</v>
      </c>
    </row>
    <row r="53" spans="1:11" hidden="1" x14ac:dyDescent="0.25">
      <c r="A53" s="12" t="s">
        <v>61</v>
      </c>
      <c r="B53" s="12" t="s">
        <v>38</v>
      </c>
      <c r="C53" s="12" t="s">
        <v>15</v>
      </c>
      <c r="D53" s="12">
        <v>1.2735376146788988</v>
      </c>
      <c r="E53" s="12">
        <v>0.95</v>
      </c>
      <c r="F53" s="12">
        <v>20</v>
      </c>
      <c r="G53" s="12">
        <v>0.95</v>
      </c>
      <c r="H53" s="12">
        <v>1.8823529411764703</v>
      </c>
      <c r="I53" s="12" t="s">
        <v>75</v>
      </c>
      <c r="J53" s="12">
        <v>46228</v>
      </c>
      <c r="K53">
        <v>46228</v>
      </c>
    </row>
    <row r="54" spans="1:11" hidden="1" x14ac:dyDescent="0.25">
      <c r="A54" s="12" t="s">
        <v>61</v>
      </c>
      <c r="B54" s="12" t="s">
        <v>37</v>
      </c>
      <c r="C54" s="12" t="s">
        <v>14</v>
      </c>
      <c r="D54" s="12">
        <v>10.972274579690296</v>
      </c>
      <c r="E54" s="12">
        <v>13.3</v>
      </c>
      <c r="F54" s="12">
        <v>20</v>
      </c>
      <c r="G54" s="12">
        <v>13.3</v>
      </c>
      <c r="H54" s="12">
        <v>12.304917279411764</v>
      </c>
      <c r="I54" s="12" t="s">
        <v>76</v>
      </c>
      <c r="J54" s="12">
        <v>46228</v>
      </c>
      <c r="K54">
        <v>46228</v>
      </c>
    </row>
    <row r="55" spans="1:11" hidden="1" x14ac:dyDescent="0.25">
      <c r="A55" s="12" t="s">
        <v>61</v>
      </c>
      <c r="B55" s="12" t="s">
        <v>60</v>
      </c>
      <c r="C55" s="12" t="s">
        <v>14</v>
      </c>
      <c r="D55" s="12">
        <v>3.1774912809962856</v>
      </c>
      <c r="E55" s="12">
        <v>3.8</v>
      </c>
      <c r="F55" s="12">
        <v>20</v>
      </c>
      <c r="G55" s="12">
        <v>3.8</v>
      </c>
      <c r="H55" s="12">
        <v>3.6989619377162626</v>
      </c>
      <c r="I55" s="12" t="s">
        <v>76</v>
      </c>
      <c r="J55" s="12">
        <v>46228</v>
      </c>
      <c r="K55">
        <v>46228</v>
      </c>
    </row>
    <row r="56" spans="1:11" x14ac:dyDescent="0.25">
      <c r="A56" s="12" t="s">
        <v>61</v>
      </c>
      <c r="B56" s="12" t="s">
        <v>37</v>
      </c>
      <c r="C56" s="12" t="s">
        <v>13</v>
      </c>
      <c r="D56" s="12">
        <v>10.972274579690298</v>
      </c>
      <c r="E56" s="12">
        <v>12.35</v>
      </c>
      <c r="F56" s="12">
        <v>20</v>
      </c>
      <c r="G56" s="12">
        <v>12.35</v>
      </c>
      <c r="H56" s="12">
        <v>11.25</v>
      </c>
      <c r="I56" s="12" t="s">
        <v>78</v>
      </c>
      <c r="J56" s="12">
        <v>46229</v>
      </c>
      <c r="K56">
        <v>46229</v>
      </c>
    </row>
    <row r="57" spans="1:11" x14ac:dyDescent="0.25">
      <c r="A57" s="12" t="s">
        <v>61</v>
      </c>
      <c r="B57" s="12" t="s">
        <v>38</v>
      </c>
      <c r="C57" s="12" t="s">
        <v>13</v>
      </c>
      <c r="D57" s="12">
        <v>3.507203196674312</v>
      </c>
      <c r="E57" s="12">
        <v>1.9</v>
      </c>
      <c r="F57" s="12">
        <v>20</v>
      </c>
      <c r="G57" s="12">
        <v>1.9</v>
      </c>
      <c r="H57" s="12">
        <v>4.705882352941174</v>
      </c>
      <c r="I57" s="12" t="s">
        <v>78</v>
      </c>
      <c r="J57" s="12">
        <v>46229</v>
      </c>
      <c r="K57">
        <v>46229</v>
      </c>
    </row>
    <row r="58" spans="1:11" hidden="1" x14ac:dyDescent="0.25">
      <c r="A58" s="12" t="s">
        <v>61</v>
      </c>
      <c r="B58" s="12" t="s">
        <v>37</v>
      </c>
      <c r="C58" s="12" t="s">
        <v>15</v>
      </c>
      <c r="D58" s="12">
        <v>4.220105607573192</v>
      </c>
      <c r="E58" s="12">
        <v>31.35</v>
      </c>
      <c r="F58" s="12">
        <v>20</v>
      </c>
      <c r="G58" s="12">
        <v>31.35</v>
      </c>
      <c r="H58" s="12">
        <v>4.6874999999999991</v>
      </c>
      <c r="I58" s="12" t="s">
        <v>77</v>
      </c>
      <c r="J58" s="12">
        <v>46229</v>
      </c>
      <c r="K58">
        <v>46229</v>
      </c>
    </row>
    <row r="59" spans="1:11" hidden="1" x14ac:dyDescent="0.25">
      <c r="A59" s="12" t="s">
        <v>61</v>
      </c>
      <c r="B59" s="12" t="s">
        <v>38</v>
      </c>
      <c r="C59" s="12" t="s">
        <v>15</v>
      </c>
      <c r="D59" s="12">
        <v>1.2735376146788988</v>
      </c>
      <c r="E59" s="12">
        <v>7.6</v>
      </c>
      <c r="F59" s="12">
        <v>20</v>
      </c>
      <c r="G59" s="12">
        <v>7.6</v>
      </c>
      <c r="H59" s="12">
        <v>2.8235294117647056</v>
      </c>
      <c r="I59" s="12" t="s">
        <v>77</v>
      </c>
      <c r="J59" s="12">
        <v>46229</v>
      </c>
      <c r="K59">
        <v>46229</v>
      </c>
    </row>
    <row r="60" spans="1:11" hidden="1" x14ac:dyDescent="0.25">
      <c r="A60" s="12" t="s">
        <v>61</v>
      </c>
      <c r="B60" s="12" t="s">
        <v>60</v>
      </c>
      <c r="C60" s="12" t="s">
        <v>15</v>
      </c>
      <c r="D60" s="12">
        <v>0</v>
      </c>
      <c r="E60" s="12">
        <v>10.45</v>
      </c>
      <c r="F60" s="12">
        <v>20</v>
      </c>
      <c r="G60" s="12">
        <v>10.45</v>
      </c>
      <c r="H60" s="12">
        <v>0</v>
      </c>
      <c r="I60" s="12" t="s">
        <v>77</v>
      </c>
      <c r="J60" s="12">
        <v>46229</v>
      </c>
      <c r="K60">
        <v>46229</v>
      </c>
    </row>
    <row r="61" spans="1:11" hidden="1" x14ac:dyDescent="0.25">
      <c r="A61" s="12" t="s">
        <v>61</v>
      </c>
      <c r="B61" s="12" t="s">
        <v>60</v>
      </c>
      <c r="C61" s="12" t="s">
        <v>14</v>
      </c>
      <c r="D61" s="12">
        <v>3.1774912809962848</v>
      </c>
      <c r="E61" s="12">
        <v>0</v>
      </c>
      <c r="F61" s="12">
        <v>20</v>
      </c>
      <c r="G61" s="12">
        <v>0</v>
      </c>
      <c r="H61" s="12">
        <v>3.7543252595155705</v>
      </c>
      <c r="I61" s="12" t="s">
        <v>79</v>
      </c>
      <c r="J61" s="12">
        <v>46229</v>
      </c>
      <c r="K61">
        <v>46229</v>
      </c>
    </row>
    <row r="62" spans="1:11" hidden="1" x14ac:dyDescent="0.25">
      <c r="A62" s="12" t="s">
        <v>61</v>
      </c>
      <c r="B62" s="12" t="s">
        <v>37</v>
      </c>
      <c r="C62" s="12" t="s">
        <v>14</v>
      </c>
      <c r="D62" s="12">
        <v>11.816295701204936</v>
      </c>
      <c r="E62" s="12">
        <v>1.9</v>
      </c>
      <c r="F62" s="12">
        <v>20</v>
      </c>
      <c r="G62" s="12">
        <v>1.9</v>
      </c>
      <c r="H62" s="12">
        <v>12.932291666666668</v>
      </c>
      <c r="I62" s="12" t="s">
        <v>79</v>
      </c>
      <c r="J62" s="12">
        <v>46229</v>
      </c>
      <c r="K62">
        <v>46229</v>
      </c>
    </row>
    <row r="63" spans="1:11" hidden="1" x14ac:dyDescent="0.25">
      <c r="A63" s="12" t="s">
        <v>61</v>
      </c>
      <c r="B63" s="12" t="s">
        <v>38</v>
      </c>
      <c r="C63" s="12" t="s">
        <v>14</v>
      </c>
      <c r="D63" s="12">
        <v>3.3711289800323794</v>
      </c>
      <c r="E63" s="12">
        <v>0.95</v>
      </c>
      <c r="F63" s="12">
        <v>20</v>
      </c>
      <c r="G63" s="12">
        <v>0.95</v>
      </c>
      <c r="H63" s="12">
        <v>4.9273356401384047</v>
      </c>
      <c r="I63" s="12" t="s">
        <v>79</v>
      </c>
      <c r="J63" s="12">
        <v>46229</v>
      </c>
      <c r="K63">
        <v>46229</v>
      </c>
    </row>
    <row r="64" spans="1:11" x14ac:dyDescent="0.25">
      <c r="A64" s="12" t="s">
        <v>61</v>
      </c>
      <c r="B64" s="12" t="s">
        <v>60</v>
      </c>
      <c r="C64" s="12" t="s">
        <v>13</v>
      </c>
      <c r="D64" s="12">
        <v>3.6011567851291222</v>
      </c>
      <c r="E64" s="12">
        <v>2.8499999999999996</v>
      </c>
      <c r="F64" s="12">
        <v>20</v>
      </c>
      <c r="G64" s="12">
        <v>2.8499999999999996</v>
      </c>
      <c r="H64" s="12">
        <v>3.8235294117647038</v>
      </c>
      <c r="I64" s="12" t="s">
        <v>78</v>
      </c>
      <c r="J64" s="12">
        <v>46229</v>
      </c>
      <c r="K64">
        <v>46229</v>
      </c>
    </row>
    <row r="65" spans="1:11" hidden="1" x14ac:dyDescent="0.25">
      <c r="A65" s="12" t="s">
        <v>61</v>
      </c>
      <c r="B65" s="12" t="s">
        <v>37</v>
      </c>
      <c r="C65" s="12" t="s">
        <v>14</v>
      </c>
      <c r="D65" s="12">
        <v>10.972274579690296</v>
      </c>
      <c r="E65" s="12">
        <v>10.45</v>
      </c>
      <c r="F65" s="12">
        <v>20</v>
      </c>
      <c r="G65" s="12">
        <v>10.45</v>
      </c>
      <c r="H65" s="12">
        <v>10.348958333333332</v>
      </c>
      <c r="I65" s="12" t="s">
        <v>80</v>
      </c>
      <c r="J65" s="12">
        <v>46230</v>
      </c>
      <c r="K65">
        <v>46230</v>
      </c>
    </row>
    <row r="66" spans="1:11" x14ac:dyDescent="0.25">
      <c r="A66" s="12" t="s">
        <v>61</v>
      </c>
      <c r="B66" s="12" t="s">
        <v>60</v>
      </c>
      <c r="C66" s="12" t="s">
        <v>13</v>
      </c>
      <c r="D66" s="12">
        <v>3.6011567851291222</v>
      </c>
      <c r="E66" s="12">
        <v>0.95</v>
      </c>
      <c r="F66" s="12">
        <v>20</v>
      </c>
      <c r="G66" s="12">
        <v>0.95</v>
      </c>
      <c r="H66" s="12">
        <v>4.705882352941174</v>
      </c>
      <c r="I66" s="12" t="s">
        <v>82</v>
      </c>
      <c r="J66" s="12">
        <v>46230</v>
      </c>
      <c r="K66">
        <v>46230</v>
      </c>
    </row>
    <row r="67" spans="1:11" hidden="1" x14ac:dyDescent="0.25">
      <c r="A67" s="12" t="s">
        <v>61</v>
      </c>
      <c r="B67" s="12" t="s">
        <v>60</v>
      </c>
      <c r="C67" s="12" t="s">
        <v>14</v>
      </c>
      <c r="D67" s="12">
        <v>3.1774912809962848</v>
      </c>
      <c r="E67" s="12">
        <v>2.8499999999999996</v>
      </c>
      <c r="F67" s="12">
        <v>20</v>
      </c>
      <c r="G67" s="12">
        <v>2.8499999999999996</v>
      </c>
      <c r="H67" s="12">
        <v>3.8062283737024223</v>
      </c>
      <c r="I67" s="12" t="s">
        <v>80</v>
      </c>
      <c r="J67" s="12">
        <v>46230</v>
      </c>
      <c r="K67">
        <v>46230</v>
      </c>
    </row>
    <row r="68" spans="1:11" hidden="1" x14ac:dyDescent="0.25">
      <c r="A68" s="12" t="s">
        <v>61</v>
      </c>
      <c r="B68" s="12" t="s">
        <v>38</v>
      </c>
      <c r="C68" s="12" t="s">
        <v>14</v>
      </c>
      <c r="D68" s="12">
        <v>3.3711289800323794</v>
      </c>
      <c r="E68" s="12">
        <v>2.8499999999999996</v>
      </c>
      <c r="F68" s="12">
        <v>20</v>
      </c>
      <c r="G68" s="12">
        <v>2.8499999999999996</v>
      </c>
      <c r="H68" s="12">
        <v>5.7577854671280253</v>
      </c>
      <c r="I68" s="12" t="s">
        <v>80</v>
      </c>
      <c r="J68" s="12">
        <v>46230</v>
      </c>
      <c r="K68">
        <v>46230</v>
      </c>
    </row>
    <row r="69" spans="1:11" x14ac:dyDescent="0.25">
      <c r="A69" s="12" t="s">
        <v>61</v>
      </c>
      <c r="B69" s="12" t="s">
        <v>38</v>
      </c>
      <c r="C69" s="12" t="s">
        <v>13</v>
      </c>
      <c r="D69" s="12">
        <v>3.5072031966743116</v>
      </c>
      <c r="E69" s="12">
        <v>0.95</v>
      </c>
      <c r="F69" s="12">
        <v>20</v>
      </c>
      <c r="G69" s="12">
        <v>0.95</v>
      </c>
      <c r="H69" s="12">
        <v>3.7647058823529393</v>
      </c>
      <c r="I69" s="12" t="s">
        <v>82</v>
      </c>
      <c r="J69" s="12">
        <v>46230</v>
      </c>
      <c r="K69">
        <v>46230</v>
      </c>
    </row>
    <row r="70" spans="1:11" hidden="1" x14ac:dyDescent="0.25">
      <c r="A70" s="12" t="s">
        <v>61</v>
      </c>
      <c r="B70" s="12" t="s">
        <v>60</v>
      </c>
      <c r="C70" s="12" t="s">
        <v>15</v>
      </c>
      <c r="D70" s="12">
        <v>0</v>
      </c>
      <c r="E70" s="12">
        <v>1.9</v>
      </c>
      <c r="F70" s="12">
        <v>20</v>
      </c>
      <c r="G70" s="12">
        <v>1.9</v>
      </c>
      <c r="H70" s="12">
        <v>0</v>
      </c>
      <c r="I70" s="12" t="s">
        <v>81</v>
      </c>
      <c r="J70" s="12">
        <v>46230</v>
      </c>
      <c r="K70">
        <v>46230</v>
      </c>
    </row>
    <row r="71" spans="1:11" hidden="1" x14ac:dyDescent="0.25">
      <c r="A71" s="12" t="s">
        <v>61</v>
      </c>
      <c r="B71" s="12" t="s">
        <v>38</v>
      </c>
      <c r="C71" s="12" t="s">
        <v>15</v>
      </c>
      <c r="D71" s="12">
        <v>1.2735376146788988</v>
      </c>
      <c r="E71" s="12">
        <v>2.8499999999999996</v>
      </c>
      <c r="F71" s="12">
        <v>20</v>
      </c>
      <c r="G71" s="12">
        <v>2.8499999999999996</v>
      </c>
      <c r="H71" s="12">
        <v>2.8235294117647056</v>
      </c>
      <c r="I71" s="12" t="s">
        <v>81</v>
      </c>
      <c r="J71" s="12">
        <v>46230</v>
      </c>
      <c r="K71">
        <v>46230</v>
      </c>
    </row>
    <row r="72" spans="1:11" hidden="1" x14ac:dyDescent="0.25">
      <c r="A72" s="12" t="s">
        <v>61</v>
      </c>
      <c r="B72" s="12" t="s">
        <v>37</v>
      </c>
      <c r="C72" s="12" t="s">
        <v>15</v>
      </c>
      <c r="D72" s="12">
        <v>4.220105607573192</v>
      </c>
      <c r="E72" s="12">
        <v>20.9</v>
      </c>
      <c r="F72" s="12">
        <v>20</v>
      </c>
      <c r="G72" s="12">
        <v>20.9</v>
      </c>
      <c r="H72" s="12">
        <v>5.6041666666666661</v>
      </c>
      <c r="I72" s="12" t="s">
        <v>81</v>
      </c>
      <c r="J72" s="12">
        <v>46230</v>
      </c>
      <c r="K72">
        <v>46230</v>
      </c>
    </row>
    <row r="73" spans="1:11" x14ac:dyDescent="0.25">
      <c r="A73" s="12" t="s">
        <v>61</v>
      </c>
      <c r="B73" s="12" t="s">
        <v>37</v>
      </c>
      <c r="C73" s="12" t="s">
        <v>13</v>
      </c>
      <c r="D73" s="12">
        <v>11.872563775972576</v>
      </c>
      <c r="E73" s="12">
        <v>4.75</v>
      </c>
      <c r="F73" s="12">
        <v>20</v>
      </c>
      <c r="G73" s="12">
        <v>4.75</v>
      </c>
      <c r="H73" s="12">
        <v>11.229166666666666</v>
      </c>
      <c r="I73" s="12" t="s">
        <v>82</v>
      </c>
      <c r="J73" s="12">
        <v>46230</v>
      </c>
      <c r="K73">
        <v>46230</v>
      </c>
    </row>
    <row r="74" spans="1:11" hidden="1" x14ac:dyDescent="0.25">
      <c r="A74" s="12" t="s">
        <v>61</v>
      </c>
      <c r="B74" s="12" t="s">
        <v>38</v>
      </c>
      <c r="C74" s="12" t="s">
        <v>14</v>
      </c>
      <c r="D74" s="12">
        <v>3.3711289800323794</v>
      </c>
      <c r="E74" s="12">
        <v>2.8499999999999996</v>
      </c>
      <c r="F74" s="12">
        <v>20</v>
      </c>
      <c r="G74" s="12">
        <v>2.8499999999999996</v>
      </c>
      <c r="H74" s="12">
        <v>5.9238754325259482</v>
      </c>
      <c r="I74" s="12" t="s">
        <v>84</v>
      </c>
      <c r="J74" s="12">
        <v>46231</v>
      </c>
      <c r="K74">
        <v>46231</v>
      </c>
    </row>
    <row r="75" spans="1:11" hidden="1" x14ac:dyDescent="0.25">
      <c r="A75" s="12" t="s">
        <v>61</v>
      </c>
      <c r="B75" s="12" t="s">
        <v>60</v>
      </c>
      <c r="C75" s="12" t="s">
        <v>14</v>
      </c>
      <c r="D75" s="12">
        <v>3.1774912809962848</v>
      </c>
      <c r="E75" s="12">
        <v>2.8499999999999996</v>
      </c>
      <c r="F75" s="12">
        <v>20</v>
      </c>
      <c r="G75" s="12">
        <v>2.8499999999999996</v>
      </c>
      <c r="H75" s="12">
        <v>3.8062283737024223</v>
      </c>
      <c r="I75" s="12" t="s">
        <v>84</v>
      </c>
      <c r="J75" s="12">
        <v>46231</v>
      </c>
      <c r="K75">
        <v>46231</v>
      </c>
    </row>
    <row r="76" spans="1:11" hidden="1" x14ac:dyDescent="0.25">
      <c r="A76" s="12" t="s">
        <v>61</v>
      </c>
      <c r="B76" s="12" t="s">
        <v>38</v>
      </c>
      <c r="C76" s="12" t="s">
        <v>15</v>
      </c>
      <c r="D76" s="12">
        <v>1.2735376146788988</v>
      </c>
      <c r="E76" s="12">
        <v>8.5499999999999989</v>
      </c>
      <c r="F76" s="12">
        <v>20</v>
      </c>
      <c r="G76" s="12">
        <v>8.5499999999999989</v>
      </c>
      <c r="H76" s="12">
        <v>2.8235294117647056</v>
      </c>
      <c r="I76" s="12" t="s">
        <v>136</v>
      </c>
      <c r="J76" s="12">
        <v>46231</v>
      </c>
      <c r="K76">
        <v>46231</v>
      </c>
    </row>
    <row r="77" spans="1:11" hidden="1" x14ac:dyDescent="0.25">
      <c r="A77" s="12" t="s">
        <v>61</v>
      </c>
      <c r="B77" s="12" t="s">
        <v>37</v>
      </c>
      <c r="C77" s="12" t="s">
        <v>14</v>
      </c>
      <c r="D77" s="12">
        <v>10.972274579690296</v>
      </c>
      <c r="E77" s="12">
        <v>21.85</v>
      </c>
      <c r="F77" s="12">
        <v>20</v>
      </c>
      <c r="G77" s="12">
        <v>21.85</v>
      </c>
      <c r="H77" s="12">
        <v>11.25</v>
      </c>
      <c r="I77" s="12" t="s">
        <v>84</v>
      </c>
      <c r="J77" s="12">
        <v>46231</v>
      </c>
      <c r="K77">
        <v>46231</v>
      </c>
    </row>
    <row r="78" spans="1:11" hidden="1" x14ac:dyDescent="0.25">
      <c r="A78" s="12" t="s">
        <v>61</v>
      </c>
      <c r="B78" s="12" t="s">
        <v>37</v>
      </c>
      <c r="C78" s="12" t="s">
        <v>15</v>
      </c>
      <c r="D78" s="12">
        <v>4.220105607573192</v>
      </c>
      <c r="E78" s="12">
        <v>31.35</v>
      </c>
      <c r="F78" s="12">
        <v>20</v>
      </c>
      <c r="G78" s="12">
        <v>31.35</v>
      </c>
      <c r="H78" s="12">
        <v>4.6874999999999991</v>
      </c>
      <c r="I78" s="12" t="s">
        <v>136</v>
      </c>
      <c r="J78" s="12">
        <v>46231</v>
      </c>
      <c r="K78">
        <v>46231</v>
      </c>
    </row>
    <row r="79" spans="1:11" x14ac:dyDescent="0.25">
      <c r="A79" s="12" t="s">
        <v>61</v>
      </c>
      <c r="B79" s="12" t="s">
        <v>38</v>
      </c>
      <c r="C79" s="12" t="s">
        <v>13</v>
      </c>
      <c r="D79" s="12">
        <v>7.014406393348624</v>
      </c>
      <c r="E79" s="12">
        <v>3.8</v>
      </c>
      <c r="F79" s="12">
        <v>20</v>
      </c>
      <c r="G79" s="12">
        <v>3.8</v>
      </c>
      <c r="H79" s="12">
        <v>6.5882352941176423</v>
      </c>
      <c r="I79" s="12" t="s">
        <v>83</v>
      </c>
      <c r="J79" s="12">
        <v>46231</v>
      </c>
      <c r="K79">
        <v>46231</v>
      </c>
    </row>
    <row r="80" spans="1:11" x14ac:dyDescent="0.25">
      <c r="A80" s="12" t="s">
        <v>61</v>
      </c>
      <c r="B80" s="12" t="s">
        <v>60</v>
      </c>
      <c r="C80" s="12" t="s">
        <v>13</v>
      </c>
      <c r="D80" s="12">
        <v>3.6011567851291222</v>
      </c>
      <c r="E80" s="12">
        <v>1.9</v>
      </c>
      <c r="F80" s="12">
        <v>20</v>
      </c>
      <c r="G80" s="12">
        <v>1.9</v>
      </c>
      <c r="H80" s="12">
        <v>4.7058823529411731</v>
      </c>
      <c r="I80" s="12" t="s">
        <v>83</v>
      </c>
      <c r="J80" s="12">
        <v>46231</v>
      </c>
      <c r="K80">
        <v>46231</v>
      </c>
    </row>
    <row r="81" spans="1:11" hidden="1" x14ac:dyDescent="0.25">
      <c r="A81" s="12" t="s">
        <v>61</v>
      </c>
      <c r="B81" s="12" t="s">
        <v>60</v>
      </c>
      <c r="C81" s="12" t="s">
        <v>15</v>
      </c>
      <c r="D81" s="12">
        <v>0</v>
      </c>
      <c r="E81" s="12">
        <v>10.45</v>
      </c>
      <c r="F81" s="12">
        <v>20</v>
      </c>
      <c r="G81" s="12">
        <v>10.45</v>
      </c>
      <c r="H81" s="12">
        <v>0</v>
      </c>
      <c r="I81" s="12" t="s">
        <v>136</v>
      </c>
      <c r="J81" s="12">
        <v>46231</v>
      </c>
      <c r="K81">
        <v>46231</v>
      </c>
    </row>
    <row r="82" spans="1:11" x14ac:dyDescent="0.25">
      <c r="A82" s="12" t="s">
        <v>61</v>
      </c>
      <c r="B82" s="12" t="s">
        <v>37</v>
      </c>
      <c r="C82" s="12" t="s">
        <v>13</v>
      </c>
      <c r="D82" s="12">
        <v>11.731893589053469</v>
      </c>
      <c r="E82" s="12">
        <v>9.5</v>
      </c>
      <c r="F82" s="12">
        <v>20</v>
      </c>
      <c r="G82" s="12">
        <v>9.5</v>
      </c>
      <c r="H82" s="12">
        <v>8.5546875</v>
      </c>
      <c r="I82" s="12" t="s">
        <v>83</v>
      </c>
      <c r="J82" s="12">
        <v>46231</v>
      </c>
      <c r="K82">
        <v>46231</v>
      </c>
    </row>
    <row r="83" spans="1:11" hidden="1" x14ac:dyDescent="0.25">
      <c r="A83" s="12" t="s">
        <v>61</v>
      </c>
      <c r="B83" s="12" t="s">
        <v>37</v>
      </c>
      <c r="C83" s="12" t="s">
        <v>14</v>
      </c>
      <c r="D83" s="12">
        <v>10.80347035538737</v>
      </c>
      <c r="E83" s="12">
        <v>5.6999999999999993</v>
      </c>
      <c r="F83" s="12">
        <v>20</v>
      </c>
      <c r="G83" s="12">
        <v>5.6999999999999993</v>
      </c>
      <c r="H83" s="12">
        <v>12.191176470588236</v>
      </c>
      <c r="I83" s="12" t="s">
        <v>85</v>
      </c>
      <c r="J83" s="12">
        <v>46232</v>
      </c>
      <c r="K83">
        <v>46232</v>
      </c>
    </row>
    <row r="84" spans="1:11" hidden="1" x14ac:dyDescent="0.25">
      <c r="A84" s="12" t="s">
        <v>61</v>
      </c>
      <c r="B84" s="12" t="s">
        <v>38</v>
      </c>
      <c r="C84" s="12" t="s">
        <v>14</v>
      </c>
      <c r="D84" s="12">
        <v>2.2474193200215864</v>
      </c>
      <c r="E84" s="12">
        <v>0.95</v>
      </c>
      <c r="F84" s="12">
        <v>20</v>
      </c>
      <c r="G84" s="12">
        <v>0.95</v>
      </c>
      <c r="H84" s="12">
        <v>4.0415224913494781</v>
      </c>
      <c r="I84" s="12" t="s">
        <v>85</v>
      </c>
      <c r="J84" s="12">
        <v>46232</v>
      </c>
      <c r="K84">
        <v>46232</v>
      </c>
    </row>
    <row r="85" spans="1:11" hidden="1" x14ac:dyDescent="0.25">
      <c r="A85" s="12" t="s">
        <v>61</v>
      </c>
      <c r="B85" s="12" t="s">
        <v>60</v>
      </c>
      <c r="C85" s="12" t="s">
        <v>15</v>
      </c>
      <c r="D85" s="12">
        <v>0</v>
      </c>
      <c r="E85" s="12">
        <v>12.35</v>
      </c>
      <c r="F85" s="12">
        <v>20</v>
      </c>
      <c r="G85" s="12">
        <v>12.35</v>
      </c>
      <c r="H85" s="12">
        <v>0</v>
      </c>
      <c r="I85" s="12" t="s">
        <v>87</v>
      </c>
      <c r="J85" s="12">
        <v>46232</v>
      </c>
      <c r="K85">
        <v>46232</v>
      </c>
    </row>
    <row r="86" spans="1:11" hidden="1" x14ac:dyDescent="0.25">
      <c r="A86" s="12" t="s">
        <v>61</v>
      </c>
      <c r="B86" s="12" t="s">
        <v>60</v>
      </c>
      <c r="C86" s="12" t="s">
        <v>14</v>
      </c>
      <c r="D86" s="12">
        <v>3.1774912809962848</v>
      </c>
      <c r="E86" s="12">
        <v>1.9</v>
      </c>
      <c r="F86" s="12">
        <v>20</v>
      </c>
      <c r="G86" s="12">
        <v>1.9</v>
      </c>
      <c r="H86" s="12">
        <v>3.7508650519031144</v>
      </c>
      <c r="I86" s="12" t="s">
        <v>85</v>
      </c>
      <c r="J86" s="12">
        <v>46232</v>
      </c>
      <c r="K86">
        <v>46232</v>
      </c>
    </row>
    <row r="87" spans="1:11" hidden="1" x14ac:dyDescent="0.25">
      <c r="A87" s="12" t="s">
        <v>61</v>
      </c>
      <c r="B87" s="12" t="s">
        <v>37</v>
      </c>
      <c r="C87" s="12" t="s">
        <v>15</v>
      </c>
      <c r="D87" s="12">
        <v>4.220105607573192</v>
      </c>
      <c r="E87" s="12">
        <v>30.4</v>
      </c>
      <c r="F87" s="12">
        <v>20</v>
      </c>
      <c r="G87" s="12">
        <v>30.4</v>
      </c>
      <c r="H87" s="12">
        <v>4.6874999999999991</v>
      </c>
      <c r="I87" s="12" t="s">
        <v>87</v>
      </c>
      <c r="J87" s="12">
        <v>46232</v>
      </c>
      <c r="K87">
        <v>46232</v>
      </c>
    </row>
    <row r="88" spans="1:11" x14ac:dyDescent="0.25">
      <c r="A88" s="12" t="s">
        <v>61</v>
      </c>
      <c r="B88" s="12" t="s">
        <v>38</v>
      </c>
      <c r="C88" s="12" t="s">
        <v>13</v>
      </c>
      <c r="D88" s="12">
        <v>5.8204648795871572</v>
      </c>
      <c r="E88" s="12">
        <v>2.8499999999999996</v>
      </c>
      <c r="F88" s="12">
        <v>20</v>
      </c>
      <c r="G88" s="12">
        <v>2.8499999999999996</v>
      </c>
      <c r="H88" s="12">
        <v>5.6470588235294095</v>
      </c>
      <c r="I88" s="12" t="s">
        <v>86</v>
      </c>
      <c r="J88" s="12">
        <v>46232</v>
      </c>
      <c r="K88">
        <v>46232</v>
      </c>
    </row>
    <row r="89" spans="1:11" x14ac:dyDescent="0.25">
      <c r="A89" s="12" t="s">
        <v>61</v>
      </c>
      <c r="B89" s="12" t="s">
        <v>60</v>
      </c>
      <c r="C89" s="12" t="s">
        <v>13</v>
      </c>
      <c r="D89" s="12">
        <v>3.6011567851291235</v>
      </c>
      <c r="E89" s="12">
        <v>1.9</v>
      </c>
      <c r="F89" s="12">
        <v>20</v>
      </c>
      <c r="G89" s="12">
        <v>1.9</v>
      </c>
      <c r="H89" s="12">
        <v>3.7647058823529393</v>
      </c>
      <c r="I89" s="12" t="s">
        <v>86</v>
      </c>
      <c r="J89" s="12">
        <v>46232</v>
      </c>
      <c r="K89">
        <v>46232</v>
      </c>
    </row>
    <row r="90" spans="1:11" hidden="1" x14ac:dyDescent="0.25">
      <c r="A90" s="12" t="s">
        <v>61</v>
      </c>
      <c r="B90" s="12" t="s">
        <v>38</v>
      </c>
      <c r="C90" s="12" t="s">
        <v>15</v>
      </c>
      <c r="D90" s="12">
        <v>1.2735376146788988</v>
      </c>
      <c r="E90" s="12">
        <v>9.5</v>
      </c>
      <c r="F90" s="12">
        <v>20</v>
      </c>
      <c r="G90" s="12">
        <v>9.5</v>
      </c>
      <c r="H90" s="12">
        <v>1.8823529411764703</v>
      </c>
      <c r="I90" s="12" t="s">
        <v>87</v>
      </c>
      <c r="J90" s="12">
        <v>46232</v>
      </c>
      <c r="K90">
        <v>46232</v>
      </c>
    </row>
    <row r="91" spans="1:11" x14ac:dyDescent="0.25">
      <c r="A91" s="12" t="s">
        <v>61</v>
      </c>
      <c r="B91" s="12" t="s">
        <v>37</v>
      </c>
      <c r="C91" s="12" t="s">
        <v>13</v>
      </c>
      <c r="D91" s="12">
        <v>12.57591471056811</v>
      </c>
      <c r="E91" s="12">
        <v>6.6499999999999995</v>
      </c>
      <c r="F91" s="12">
        <v>20</v>
      </c>
      <c r="G91" s="12">
        <v>6.6499999999999995</v>
      </c>
      <c r="H91" s="12">
        <v>12.246323529411764</v>
      </c>
      <c r="I91" s="12" t="s">
        <v>86</v>
      </c>
      <c r="J91" s="12">
        <v>46232</v>
      </c>
      <c r="K91">
        <v>46232</v>
      </c>
    </row>
    <row r="92" spans="1:11" hidden="1" x14ac:dyDescent="0.25">
      <c r="A92" s="12" t="s">
        <v>61</v>
      </c>
      <c r="B92" s="12" t="s">
        <v>60</v>
      </c>
      <c r="C92" s="12" t="s">
        <v>14</v>
      </c>
      <c r="D92" s="12">
        <v>3.1774912809962848</v>
      </c>
      <c r="E92" s="12">
        <v>2.8499999999999996</v>
      </c>
      <c r="F92" s="12">
        <v>20</v>
      </c>
      <c r="G92" s="12">
        <v>2.8499999999999996</v>
      </c>
      <c r="H92" s="12">
        <v>3.8062283737024223</v>
      </c>
      <c r="I92" s="12" t="s">
        <v>88</v>
      </c>
      <c r="J92" s="12">
        <v>46233</v>
      </c>
      <c r="K92">
        <v>46233</v>
      </c>
    </row>
    <row r="93" spans="1:11" hidden="1" x14ac:dyDescent="0.25">
      <c r="A93" s="12" t="s">
        <v>61</v>
      </c>
      <c r="B93" s="12" t="s">
        <v>38</v>
      </c>
      <c r="C93" s="12" t="s">
        <v>14</v>
      </c>
      <c r="D93" s="12">
        <v>3.3711289800323794</v>
      </c>
      <c r="E93" s="12">
        <v>2.8499999999999996</v>
      </c>
      <c r="F93" s="12">
        <v>20</v>
      </c>
      <c r="G93" s="12">
        <v>2.8499999999999996</v>
      </c>
      <c r="H93" s="12">
        <v>4.9273356401384039</v>
      </c>
      <c r="I93" s="12" t="s">
        <v>88</v>
      </c>
      <c r="J93" s="12">
        <v>46233</v>
      </c>
      <c r="K93">
        <v>46233</v>
      </c>
    </row>
    <row r="94" spans="1:11" hidden="1" x14ac:dyDescent="0.25">
      <c r="A94" s="12" t="s">
        <v>61</v>
      </c>
      <c r="B94" s="12" t="s">
        <v>38</v>
      </c>
      <c r="C94" s="12" t="s">
        <v>15</v>
      </c>
      <c r="D94" s="12">
        <v>1.2735376146788988</v>
      </c>
      <c r="E94" s="12">
        <v>2.8499999999999996</v>
      </c>
      <c r="F94" s="12">
        <v>20</v>
      </c>
      <c r="G94" s="12">
        <v>2.8499999999999996</v>
      </c>
      <c r="H94" s="12">
        <v>2.8235294117647056</v>
      </c>
      <c r="I94" s="12" t="s">
        <v>89</v>
      </c>
      <c r="J94" s="12">
        <v>46233</v>
      </c>
      <c r="K94">
        <v>46233</v>
      </c>
    </row>
    <row r="95" spans="1:11" hidden="1" x14ac:dyDescent="0.25">
      <c r="A95" s="12" t="s">
        <v>61</v>
      </c>
      <c r="B95" s="12" t="s">
        <v>37</v>
      </c>
      <c r="C95" s="12" t="s">
        <v>14</v>
      </c>
      <c r="D95" s="12">
        <v>10.972274579690296</v>
      </c>
      <c r="E95" s="12">
        <v>7.6</v>
      </c>
      <c r="F95" s="12">
        <v>20</v>
      </c>
      <c r="G95" s="12">
        <v>7.6</v>
      </c>
      <c r="H95" s="12">
        <v>12.1875</v>
      </c>
      <c r="I95" s="12" t="s">
        <v>88</v>
      </c>
      <c r="J95" s="12">
        <v>46233</v>
      </c>
      <c r="K95">
        <v>46233</v>
      </c>
    </row>
    <row r="96" spans="1:11" x14ac:dyDescent="0.25">
      <c r="A96" s="12" t="s">
        <v>61</v>
      </c>
      <c r="B96" s="12" t="s">
        <v>60</v>
      </c>
      <c r="C96" s="12" t="s">
        <v>13</v>
      </c>
      <c r="D96" s="12">
        <v>3.6011567851291222</v>
      </c>
      <c r="E96" s="12">
        <v>0.95</v>
      </c>
      <c r="F96" s="12">
        <v>20</v>
      </c>
      <c r="G96" s="12">
        <v>0.95</v>
      </c>
      <c r="H96" s="12">
        <v>4.7058823529411749</v>
      </c>
      <c r="I96" s="12" t="s">
        <v>90</v>
      </c>
      <c r="J96" s="12">
        <v>46233</v>
      </c>
      <c r="K96">
        <v>46233</v>
      </c>
    </row>
    <row r="97" spans="1:11" x14ac:dyDescent="0.25">
      <c r="A97" s="12" t="s">
        <v>61</v>
      </c>
      <c r="B97" s="12" t="s">
        <v>38</v>
      </c>
      <c r="C97" s="12" t="s">
        <v>13</v>
      </c>
      <c r="D97" s="12">
        <v>5.7458435349770651</v>
      </c>
      <c r="E97" s="12">
        <v>1.9</v>
      </c>
      <c r="F97" s="12">
        <v>20</v>
      </c>
      <c r="G97" s="12">
        <v>1.9</v>
      </c>
      <c r="H97" s="12">
        <v>4.7058823529411749</v>
      </c>
      <c r="I97" s="12" t="s">
        <v>90</v>
      </c>
      <c r="J97" s="12">
        <v>46233</v>
      </c>
      <c r="K97">
        <v>46233</v>
      </c>
    </row>
    <row r="98" spans="1:11" x14ac:dyDescent="0.25">
      <c r="A98" s="12" t="s">
        <v>61</v>
      </c>
      <c r="B98" s="12" t="s">
        <v>37</v>
      </c>
      <c r="C98" s="12" t="s">
        <v>13</v>
      </c>
      <c r="D98" s="12">
        <v>10.887872467538832</v>
      </c>
      <c r="E98" s="12">
        <v>7.6</v>
      </c>
      <c r="F98" s="12">
        <v>20</v>
      </c>
      <c r="G98" s="12">
        <v>7.6</v>
      </c>
      <c r="H98" s="12">
        <v>11.25</v>
      </c>
      <c r="I98" s="12" t="s">
        <v>90</v>
      </c>
      <c r="J98" s="12">
        <v>46233</v>
      </c>
      <c r="K98">
        <v>46233</v>
      </c>
    </row>
    <row r="99" spans="1:11" hidden="1" x14ac:dyDescent="0.25">
      <c r="A99" s="12" t="s">
        <v>61</v>
      </c>
      <c r="B99" s="12" t="s">
        <v>60</v>
      </c>
      <c r="C99" s="12" t="s">
        <v>15</v>
      </c>
      <c r="D99" s="12">
        <v>0</v>
      </c>
      <c r="E99" s="12">
        <v>2.8499999999999996</v>
      </c>
      <c r="F99" s="12">
        <v>20</v>
      </c>
      <c r="G99" s="12">
        <v>2.8499999999999996</v>
      </c>
      <c r="H99" s="12">
        <v>0</v>
      </c>
      <c r="I99" s="12" t="s">
        <v>89</v>
      </c>
      <c r="J99" s="12">
        <v>46233</v>
      </c>
      <c r="K99">
        <v>46233</v>
      </c>
    </row>
    <row r="100" spans="1:11" hidden="1" x14ac:dyDescent="0.25">
      <c r="A100" s="12" t="s">
        <v>61</v>
      </c>
      <c r="B100" s="12" t="s">
        <v>37</v>
      </c>
      <c r="C100" s="12" t="s">
        <v>15</v>
      </c>
      <c r="D100" s="12">
        <v>4.220105607573192</v>
      </c>
      <c r="E100" s="12">
        <v>19.95</v>
      </c>
      <c r="F100" s="12">
        <v>20</v>
      </c>
      <c r="G100" s="12">
        <v>19.95</v>
      </c>
      <c r="H100" s="12">
        <v>4.6874999999999991</v>
      </c>
      <c r="I100" s="12" t="s">
        <v>89</v>
      </c>
      <c r="J100" s="12">
        <v>46233</v>
      </c>
      <c r="K100">
        <v>46233</v>
      </c>
    </row>
    <row r="101" spans="1:11" x14ac:dyDescent="0.25">
      <c r="A101" s="12" t="s">
        <v>61</v>
      </c>
      <c r="B101" s="12" t="s">
        <v>60</v>
      </c>
      <c r="C101" s="12" t="s">
        <v>13</v>
      </c>
      <c r="D101" s="12">
        <v>3.6011567851291235</v>
      </c>
      <c r="E101" s="12">
        <v>0.95</v>
      </c>
      <c r="F101" s="12">
        <v>20</v>
      </c>
      <c r="G101" s="12">
        <v>0.95</v>
      </c>
      <c r="H101" s="12">
        <v>3.8235294117647038</v>
      </c>
      <c r="I101" s="12" t="s">
        <v>91</v>
      </c>
      <c r="J101" s="12">
        <v>46234</v>
      </c>
      <c r="K101">
        <v>46234</v>
      </c>
    </row>
    <row r="102" spans="1:11" x14ac:dyDescent="0.25">
      <c r="A102" s="12" t="s">
        <v>61</v>
      </c>
      <c r="B102" s="12" t="s">
        <v>37</v>
      </c>
      <c r="C102" s="12" t="s">
        <v>13</v>
      </c>
      <c r="D102" s="12">
        <v>10.972274579690298</v>
      </c>
      <c r="E102" s="12">
        <v>4.75</v>
      </c>
      <c r="F102" s="12">
        <v>20</v>
      </c>
      <c r="G102" s="12">
        <v>4.75</v>
      </c>
      <c r="H102" s="12">
        <v>12.246323529411764</v>
      </c>
      <c r="I102" s="12" t="s">
        <v>91</v>
      </c>
      <c r="J102" s="12">
        <v>46234</v>
      </c>
      <c r="K102">
        <v>46234</v>
      </c>
    </row>
    <row r="103" spans="1:11" x14ac:dyDescent="0.25">
      <c r="A103" s="12" t="s">
        <v>61</v>
      </c>
      <c r="B103" s="12" t="s">
        <v>38</v>
      </c>
      <c r="C103" s="12" t="s">
        <v>13</v>
      </c>
      <c r="D103" s="12">
        <v>4.5519020212155965</v>
      </c>
      <c r="E103" s="12">
        <v>1.9</v>
      </c>
      <c r="F103" s="12">
        <v>20</v>
      </c>
      <c r="G103" s="12">
        <v>1.9</v>
      </c>
      <c r="H103" s="12">
        <v>3.7647058823529393</v>
      </c>
      <c r="I103" s="12" t="s">
        <v>91</v>
      </c>
      <c r="J103" s="12">
        <v>46234</v>
      </c>
      <c r="K103">
        <v>46234</v>
      </c>
    </row>
    <row r="104" spans="1:11" hidden="1" x14ac:dyDescent="0.25">
      <c r="A104" s="12" t="s">
        <v>61</v>
      </c>
      <c r="B104" s="12" t="s">
        <v>37</v>
      </c>
      <c r="C104" s="12" t="s">
        <v>15</v>
      </c>
      <c r="D104" s="12">
        <v>4.220105607573192</v>
      </c>
      <c r="E104" s="12">
        <v>19.95</v>
      </c>
      <c r="F104" s="12">
        <v>20</v>
      </c>
      <c r="G104" s="12">
        <v>19.95</v>
      </c>
      <c r="H104" s="12">
        <v>5.6160714285714279</v>
      </c>
      <c r="I104" s="12" t="s">
        <v>92</v>
      </c>
      <c r="J104" s="12">
        <v>46234</v>
      </c>
      <c r="K104">
        <v>46234</v>
      </c>
    </row>
    <row r="105" spans="1:11" hidden="1" x14ac:dyDescent="0.25">
      <c r="A105" s="12" t="s">
        <v>61</v>
      </c>
      <c r="B105" s="12" t="s">
        <v>60</v>
      </c>
      <c r="C105" s="12" t="s">
        <v>15</v>
      </c>
      <c r="D105" s="12">
        <v>0</v>
      </c>
      <c r="E105" s="12">
        <v>2.8499999999999996</v>
      </c>
      <c r="F105" s="12">
        <v>20</v>
      </c>
      <c r="G105" s="12">
        <v>2.8499999999999996</v>
      </c>
      <c r="H105" s="12">
        <v>0</v>
      </c>
      <c r="I105" s="12" t="s">
        <v>92</v>
      </c>
      <c r="J105" s="12">
        <v>46234</v>
      </c>
      <c r="K105">
        <v>46234</v>
      </c>
    </row>
    <row r="106" spans="1:11" hidden="1" x14ac:dyDescent="0.25">
      <c r="A106" s="12" t="s">
        <v>61</v>
      </c>
      <c r="B106" s="12" t="s">
        <v>38</v>
      </c>
      <c r="C106" s="12" t="s">
        <v>15</v>
      </c>
      <c r="D106" s="12">
        <v>1.2735376146788988</v>
      </c>
      <c r="E106" s="12">
        <v>3.8</v>
      </c>
      <c r="F106" s="12">
        <v>20</v>
      </c>
      <c r="G106" s="12">
        <v>3.8</v>
      </c>
      <c r="H106" s="12">
        <v>2.8235294117647056</v>
      </c>
      <c r="I106" s="12" t="s">
        <v>92</v>
      </c>
      <c r="J106" s="12">
        <v>46234</v>
      </c>
      <c r="K106">
        <v>46234</v>
      </c>
    </row>
    <row r="107" spans="1:11" hidden="1" x14ac:dyDescent="0.25">
      <c r="A107" s="12" t="s">
        <v>61</v>
      </c>
      <c r="B107" s="12" t="s">
        <v>38</v>
      </c>
      <c r="C107" s="12" t="s">
        <v>14</v>
      </c>
      <c r="D107" s="12">
        <v>2.2474193200215864</v>
      </c>
      <c r="E107" s="12">
        <v>2.8499999999999996</v>
      </c>
      <c r="F107" s="12">
        <v>20</v>
      </c>
      <c r="G107" s="12">
        <v>2.8499999999999996</v>
      </c>
      <c r="H107" s="12">
        <v>4.816608996539788</v>
      </c>
      <c r="I107" s="12" t="s">
        <v>93</v>
      </c>
      <c r="J107" s="12">
        <v>46234</v>
      </c>
      <c r="K107">
        <v>46234</v>
      </c>
    </row>
    <row r="108" spans="1:11" hidden="1" x14ac:dyDescent="0.25">
      <c r="A108" s="12" t="s">
        <v>61</v>
      </c>
      <c r="B108" s="12" t="s">
        <v>37</v>
      </c>
      <c r="C108" s="12" t="s">
        <v>14</v>
      </c>
      <c r="D108" s="12">
        <v>11.028542654457937</v>
      </c>
      <c r="E108" s="12">
        <v>8.5499999999999989</v>
      </c>
      <c r="F108" s="12">
        <v>20</v>
      </c>
      <c r="G108" s="12">
        <v>8.5499999999999989</v>
      </c>
      <c r="H108" s="12">
        <v>12.182247899159664</v>
      </c>
      <c r="I108" s="12" t="s">
        <v>93</v>
      </c>
      <c r="J108" s="12">
        <v>46234</v>
      </c>
      <c r="K108">
        <v>46234</v>
      </c>
    </row>
    <row r="109" spans="1:11" hidden="1" x14ac:dyDescent="0.25">
      <c r="A109" s="12" t="s">
        <v>61</v>
      </c>
      <c r="B109" s="12" t="s">
        <v>60</v>
      </c>
      <c r="C109" s="12" t="s">
        <v>14</v>
      </c>
      <c r="D109" s="12">
        <v>3.1774912809962848</v>
      </c>
      <c r="E109" s="12">
        <v>2.8499999999999996</v>
      </c>
      <c r="F109" s="12">
        <v>20</v>
      </c>
      <c r="G109" s="12">
        <v>2.8499999999999996</v>
      </c>
      <c r="H109" s="12">
        <v>3.7543252595155705</v>
      </c>
      <c r="I109" s="12" t="s">
        <v>93</v>
      </c>
      <c r="J109" s="12">
        <v>46234</v>
      </c>
      <c r="K109">
        <v>46234</v>
      </c>
    </row>
    <row r="110" spans="1:11" x14ac:dyDescent="0.25">
      <c r="A110" s="12" t="s">
        <v>61</v>
      </c>
      <c r="B110" s="12" t="s">
        <v>37</v>
      </c>
      <c r="C110" s="12" t="s">
        <v>13</v>
      </c>
      <c r="D110" s="12">
        <v>11.028542654457937</v>
      </c>
      <c r="E110" s="12">
        <v>5.6999999999999993</v>
      </c>
      <c r="F110" s="12">
        <v>20</v>
      </c>
      <c r="G110" s="12">
        <v>5.6999999999999993</v>
      </c>
      <c r="H110" s="12">
        <v>12.21126575630252</v>
      </c>
      <c r="I110" s="12" t="s">
        <v>94</v>
      </c>
      <c r="J110" s="12">
        <v>46235</v>
      </c>
      <c r="K110">
        <v>46235</v>
      </c>
    </row>
    <row r="111" spans="1:11" hidden="1" x14ac:dyDescent="0.25">
      <c r="A111" s="12" t="s">
        <v>61</v>
      </c>
      <c r="B111" s="12" t="s">
        <v>60</v>
      </c>
      <c r="C111" s="12" t="s">
        <v>14</v>
      </c>
      <c r="D111" s="12">
        <v>3.2304494690128904</v>
      </c>
      <c r="E111" s="12">
        <v>3.8</v>
      </c>
      <c r="F111" s="12">
        <v>20</v>
      </c>
      <c r="G111" s="12">
        <v>3.8</v>
      </c>
      <c r="H111" s="12">
        <v>3.7508650519031144</v>
      </c>
      <c r="I111" s="12" t="s">
        <v>95</v>
      </c>
      <c r="J111" s="12">
        <v>46235</v>
      </c>
      <c r="K111">
        <v>46235</v>
      </c>
    </row>
    <row r="112" spans="1:11" hidden="1" x14ac:dyDescent="0.25">
      <c r="A112" s="12" t="s">
        <v>61</v>
      </c>
      <c r="B112" s="12" t="s">
        <v>37</v>
      </c>
      <c r="C112" s="12" t="s">
        <v>14</v>
      </c>
      <c r="D112" s="12">
        <v>10.972274579690296</v>
      </c>
      <c r="E112" s="12">
        <v>24.7</v>
      </c>
      <c r="F112" s="12">
        <v>20</v>
      </c>
      <c r="G112" s="12">
        <v>24.7</v>
      </c>
      <c r="H112" s="12">
        <v>11.308823529411764</v>
      </c>
      <c r="I112" s="12" t="s">
        <v>95</v>
      </c>
      <c r="J112" s="12">
        <v>46235</v>
      </c>
      <c r="K112">
        <v>46235</v>
      </c>
    </row>
    <row r="113" spans="1:11" hidden="1" x14ac:dyDescent="0.25">
      <c r="A113" s="12" t="s">
        <v>61</v>
      </c>
      <c r="B113" s="12" t="s">
        <v>60</v>
      </c>
      <c r="C113" s="12" t="s">
        <v>15</v>
      </c>
      <c r="D113" s="12">
        <v>0</v>
      </c>
      <c r="E113" s="12">
        <v>9.5</v>
      </c>
      <c r="F113" s="12">
        <v>20</v>
      </c>
      <c r="G113" s="12">
        <v>9.5</v>
      </c>
      <c r="H113" s="12">
        <v>0</v>
      </c>
      <c r="I113" s="12" t="s">
        <v>137</v>
      </c>
      <c r="J113" s="12">
        <v>46235</v>
      </c>
      <c r="K113">
        <v>46235</v>
      </c>
    </row>
    <row r="114" spans="1:11" hidden="1" x14ac:dyDescent="0.25">
      <c r="A114" s="12" t="s">
        <v>61</v>
      </c>
      <c r="B114" s="12" t="s">
        <v>38</v>
      </c>
      <c r="C114" s="12" t="s">
        <v>15</v>
      </c>
      <c r="D114" s="12">
        <v>1.2735376146788988</v>
      </c>
      <c r="E114" s="12">
        <v>9.5</v>
      </c>
      <c r="F114" s="12">
        <v>20</v>
      </c>
      <c r="G114" s="12">
        <v>9.5</v>
      </c>
      <c r="H114" s="12">
        <v>2.8823529411764706</v>
      </c>
      <c r="I114" s="12" t="s">
        <v>137</v>
      </c>
      <c r="J114" s="12">
        <v>46235</v>
      </c>
      <c r="K114">
        <v>46235</v>
      </c>
    </row>
    <row r="115" spans="1:11" hidden="1" x14ac:dyDescent="0.25">
      <c r="A115" s="12" t="s">
        <v>61</v>
      </c>
      <c r="B115" s="12" t="s">
        <v>37</v>
      </c>
      <c r="C115" s="12" t="s">
        <v>15</v>
      </c>
      <c r="D115" s="12">
        <v>4.220105607573192</v>
      </c>
      <c r="E115" s="12">
        <v>27.549999999999997</v>
      </c>
      <c r="F115" s="12">
        <v>20</v>
      </c>
      <c r="G115" s="12">
        <v>27.549999999999997</v>
      </c>
      <c r="H115" s="12">
        <v>4.6874999999999991</v>
      </c>
      <c r="I115" s="12" t="s">
        <v>137</v>
      </c>
      <c r="J115" s="12">
        <v>46235</v>
      </c>
      <c r="K115">
        <v>46235</v>
      </c>
    </row>
    <row r="116" spans="1:11" x14ac:dyDescent="0.25">
      <c r="A116" s="12" t="s">
        <v>61</v>
      </c>
      <c r="B116" s="12" t="s">
        <v>60</v>
      </c>
      <c r="C116" s="12" t="s">
        <v>13</v>
      </c>
      <c r="D116" s="12">
        <v>3.6011567851291222</v>
      </c>
      <c r="E116" s="12">
        <v>1.9</v>
      </c>
      <c r="F116" s="12">
        <v>20</v>
      </c>
      <c r="G116" s="12">
        <v>1.9</v>
      </c>
      <c r="H116" s="12">
        <v>3.7647058823529393</v>
      </c>
      <c r="I116" s="12" t="s">
        <v>94</v>
      </c>
      <c r="J116" s="12">
        <v>46235</v>
      </c>
      <c r="K116">
        <v>46235</v>
      </c>
    </row>
    <row r="117" spans="1:11" x14ac:dyDescent="0.25">
      <c r="A117" s="12" t="s">
        <v>61</v>
      </c>
      <c r="B117" s="12" t="s">
        <v>38</v>
      </c>
      <c r="C117" s="12" t="s">
        <v>13</v>
      </c>
      <c r="D117" s="12">
        <v>5.3727368119266048</v>
      </c>
      <c r="E117" s="12">
        <v>2.8499999999999996</v>
      </c>
      <c r="F117" s="12">
        <v>20</v>
      </c>
      <c r="G117" s="12">
        <v>2.8499999999999996</v>
      </c>
      <c r="H117" s="12">
        <v>6.7720588235294095</v>
      </c>
      <c r="I117" s="12" t="s">
        <v>94</v>
      </c>
      <c r="J117" s="12">
        <v>46235</v>
      </c>
      <c r="K117">
        <v>46235</v>
      </c>
    </row>
    <row r="118" spans="1:11" hidden="1" x14ac:dyDescent="0.25">
      <c r="A118" s="12" t="s">
        <v>61</v>
      </c>
      <c r="B118" s="12" t="s">
        <v>38</v>
      </c>
      <c r="C118" s="12" t="s">
        <v>14</v>
      </c>
      <c r="D118" s="12">
        <v>2.2474193200215868</v>
      </c>
      <c r="E118" s="12">
        <v>1.9</v>
      </c>
      <c r="F118" s="12">
        <v>20</v>
      </c>
      <c r="G118" s="12">
        <v>1.9</v>
      </c>
      <c r="H118" s="12">
        <v>5.0415224913494781</v>
      </c>
      <c r="I118" s="12" t="s">
        <v>95</v>
      </c>
      <c r="J118" s="12">
        <v>46235</v>
      </c>
      <c r="K118">
        <v>46235</v>
      </c>
    </row>
    <row r="119" spans="1:11" hidden="1" x14ac:dyDescent="0.25">
      <c r="A119" s="12" t="s">
        <v>61</v>
      </c>
      <c r="B119" s="12" t="s">
        <v>60</v>
      </c>
      <c r="C119" s="12" t="s">
        <v>14</v>
      </c>
      <c r="D119" s="12">
        <v>3.1774912809962856</v>
      </c>
      <c r="E119" s="12">
        <v>0</v>
      </c>
      <c r="F119" s="12">
        <v>20</v>
      </c>
      <c r="G119" s="12">
        <v>0</v>
      </c>
      <c r="H119" s="12">
        <v>3.7543252595155714</v>
      </c>
      <c r="I119" s="12" t="s">
        <v>96</v>
      </c>
      <c r="J119" s="12">
        <v>46236</v>
      </c>
      <c r="K119">
        <v>46236</v>
      </c>
    </row>
    <row r="120" spans="1:11" hidden="1" x14ac:dyDescent="0.25">
      <c r="A120" s="12" t="s">
        <v>61</v>
      </c>
      <c r="B120" s="12" t="s">
        <v>38</v>
      </c>
      <c r="C120" s="12" t="s">
        <v>14</v>
      </c>
      <c r="D120" s="12">
        <v>2.2474193200215868</v>
      </c>
      <c r="E120" s="12">
        <v>0</v>
      </c>
      <c r="F120" s="12">
        <v>20</v>
      </c>
      <c r="G120" s="12">
        <v>0</v>
      </c>
      <c r="H120" s="12">
        <v>5.9307958477508649</v>
      </c>
      <c r="I120" s="12" t="s">
        <v>96</v>
      </c>
      <c r="J120" s="12">
        <v>46236</v>
      </c>
      <c r="K120">
        <v>46236</v>
      </c>
    </row>
    <row r="121" spans="1:11" x14ac:dyDescent="0.25">
      <c r="A121" s="12" t="s">
        <v>61</v>
      </c>
      <c r="B121" s="12" t="s">
        <v>60</v>
      </c>
      <c r="C121" s="12" t="s">
        <v>13</v>
      </c>
      <c r="D121" s="12">
        <v>3.6011567851291222</v>
      </c>
      <c r="E121" s="12">
        <v>2.8499999999999996</v>
      </c>
      <c r="F121" s="12">
        <v>20</v>
      </c>
      <c r="G121" s="12">
        <v>2.8499999999999996</v>
      </c>
      <c r="H121" s="12">
        <v>3.8235294117647038</v>
      </c>
      <c r="I121" s="12" t="s">
        <v>97</v>
      </c>
      <c r="J121" s="12">
        <v>46236</v>
      </c>
      <c r="K121">
        <v>46236</v>
      </c>
    </row>
    <row r="122" spans="1:11" hidden="1" x14ac:dyDescent="0.25">
      <c r="A122" s="12" t="s">
        <v>61</v>
      </c>
      <c r="B122" s="12" t="s">
        <v>37</v>
      </c>
      <c r="C122" s="12" t="s">
        <v>14</v>
      </c>
      <c r="D122" s="12">
        <v>10.972274579690296</v>
      </c>
      <c r="E122" s="12">
        <v>0.95</v>
      </c>
      <c r="F122" s="12">
        <v>20</v>
      </c>
      <c r="G122" s="12">
        <v>0.95</v>
      </c>
      <c r="H122" s="12">
        <v>11.25</v>
      </c>
      <c r="I122" s="12" t="s">
        <v>96</v>
      </c>
      <c r="J122" s="12">
        <v>46236</v>
      </c>
      <c r="K122">
        <v>46236</v>
      </c>
    </row>
    <row r="123" spans="1:11" hidden="1" x14ac:dyDescent="0.25">
      <c r="A123" s="12" t="s">
        <v>61</v>
      </c>
      <c r="B123" s="12" t="s">
        <v>60</v>
      </c>
      <c r="C123" s="12" t="s">
        <v>15</v>
      </c>
      <c r="D123" s="12">
        <v>0</v>
      </c>
      <c r="E123" s="12">
        <v>2.8499999999999996</v>
      </c>
      <c r="F123" s="12">
        <v>20</v>
      </c>
      <c r="G123" s="12">
        <v>2.8499999999999996</v>
      </c>
      <c r="H123" s="12">
        <v>0</v>
      </c>
      <c r="I123" s="12" t="s">
        <v>98</v>
      </c>
      <c r="J123" s="12">
        <v>46236</v>
      </c>
      <c r="K123">
        <v>46236</v>
      </c>
    </row>
    <row r="124" spans="1:11" hidden="1" x14ac:dyDescent="0.25">
      <c r="A124" s="12" t="s">
        <v>61</v>
      </c>
      <c r="B124" s="12" t="s">
        <v>38</v>
      </c>
      <c r="C124" s="12" t="s">
        <v>15</v>
      </c>
      <c r="D124" s="12">
        <v>1.2735376146788988</v>
      </c>
      <c r="E124" s="12">
        <v>0</v>
      </c>
      <c r="F124" s="12">
        <v>20</v>
      </c>
      <c r="G124" s="12">
        <v>0</v>
      </c>
      <c r="H124" s="12">
        <v>3.8823529411764706</v>
      </c>
      <c r="I124" s="12" t="s">
        <v>98</v>
      </c>
      <c r="J124" s="12">
        <v>46236</v>
      </c>
      <c r="K124">
        <v>46236</v>
      </c>
    </row>
    <row r="125" spans="1:11" hidden="1" x14ac:dyDescent="0.25">
      <c r="A125" s="12" t="s">
        <v>61</v>
      </c>
      <c r="B125" s="12" t="s">
        <v>37</v>
      </c>
      <c r="C125" s="12" t="s">
        <v>15</v>
      </c>
      <c r="D125" s="12">
        <v>4.220105607573192</v>
      </c>
      <c r="E125" s="12">
        <v>19</v>
      </c>
      <c r="F125" s="12">
        <v>20</v>
      </c>
      <c r="G125" s="12">
        <v>19</v>
      </c>
      <c r="H125" s="12">
        <v>4.6874999999999991</v>
      </c>
      <c r="I125" s="12" t="s">
        <v>98</v>
      </c>
      <c r="J125" s="12">
        <v>46236</v>
      </c>
      <c r="K125">
        <v>46236</v>
      </c>
    </row>
    <row r="126" spans="1:11" x14ac:dyDescent="0.25">
      <c r="A126" s="12" t="s">
        <v>61</v>
      </c>
      <c r="B126" s="12" t="s">
        <v>38</v>
      </c>
      <c r="C126" s="12" t="s">
        <v>13</v>
      </c>
      <c r="D126" s="12">
        <v>3.5818245412844019</v>
      </c>
      <c r="E126" s="12">
        <v>6.6499999999999995</v>
      </c>
      <c r="F126" s="12">
        <v>20</v>
      </c>
      <c r="G126" s="12">
        <v>6.6499999999999995</v>
      </c>
      <c r="H126" s="12">
        <v>5.8823529411764675</v>
      </c>
      <c r="I126" s="12" t="s">
        <v>97</v>
      </c>
      <c r="J126" s="12">
        <v>46236</v>
      </c>
      <c r="K126">
        <v>46236</v>
      </c>
    </row>
    <row r="127" spans="1:11" x14ac:dyDescent="0.25">
      <c r="A127" s="12" t="s">
        <v>61</v>
      </c>
      <c r="B127" s="12" t="s">
        <v>37</v>
      </c>
      <c r="C127" s="12" t="s">
        <v>13</v>
      </c>
      <c r="D127" s="12">
        <v>10.972274579690296</v>
      </c>
      <c r="E127" s="12">
        <v>24.7</v>
      </c>
      <c r="F127" s="12">
        <v>20</v>
      </c>
      <c r="G127" s="12">
        <v>24.7</v>
      </c>
      <c r="H127" s="12">
        <v>12.1875</v>
      </c>
      <c r="I127" s="12" t="s">
        <v>97</v>
      </c>
      <c r="J127" s="12">
        <v>46236</v>
      </c>
      <c r="K127">
        <v>46236</v>
      </c>
    </row>
    <row r="128" spans="1:11" x14ac:dyDescent="0.25">
      <c r="A128" s="12" t="s">
        <v>61</v>
      </c>
      <c r="B128" s="12" t="s">
        <v>38</v>
      </c>
      <c r="C128" s="12" t="s">
        <v>13</v>
      </c>
      <c r="D128" s="12">
        <v>5.8204648795871554</v>
      </c>
      <c r="E128" s="12">
        <v>1.9</v>
      </c>
      <c r="F128" s="12">
        <v>20</v>
      </c>
      <c r="G128" s="12">
        <v>1.9</v>
      </c>
      <c r="H128" s="12">
        <v>4.9411764705882346</v>
      </c>
      <c r="I128" s="12" t="s">
        <v>101</v>
      </c>
      <c r="J128" s="12">
        <v>46237</v>
      </c>
      <c r="K128">
        <v>46237</v>
      </c>
    </row>
    <row r="129" spans="1:11" x14ac:dyDescent="0.25">
      <c r="A129" s="12" t="s">
        <v>61</v>
      </c>
      <c r="B129" s="12" t="s">
        <v>37</v>
      </c>
      <c r="C129" s="12" t="s">
        <v>13</v>
      </c>
      <c r="D129" s="12">
        <v>11.872563775972576</v>
      </c>
      <c r="E129" s="12">
        <v>4.75</v>
      </c>
      <c r="F129" s="12">
        <v>20</v>
      </c>
      <c r="G129" s="12">
        <v>4.75</v>
      </c>
      <c r="H129" s="12">
        <v>12.191176470588236</v>
      </c>
      <c r="I129" s="12" t="s">
        <v>101</v>
      </c>
      <c r="J129" s="12">
        <v>46237</v>
      </c>
      <c r="K129">
        <v>46237</v>
      </c>
    </row>
    <row r="130" spans="1:11" hidden="1" x14ac:dyDescent="0.25">
      <c r="A130" s="12" t="s">
        <v>61</v>
      </c>
      <c r="B130" s="12" t="s">
        <v>60</v>
      </c>
      <c r="C130" s="12" t="s">
        <v>15</v>
      </c>
      <c r="D130" s="12">
        <v>0</v>
      </c>
      <c r="E130" s="12">
        <v>0</v>
      </c>
      <c r="F130" s="12">
        <v>20</v>
      </c>
      <c r="G130" s="12">
        <v>0</v>
      </c>
      <c r="H130" s="12">
        <v>0</v>
      </c>
      <c r="I130" s="12" t="s">
        <v>100</v>
      </c>
      <c r="J130" s="12">
        <v>46237</v>
      </c>
      <c r="K130">
        <v>46237</v>
      </c>
    </row>
    <row r="131" spans="1:11" x14ac:dyDescent="0.25">
      <c r="A131" s="12" t="s">
        <v>61</v>
      </c>
      <c r="B131" s="12" t="s">
        <v>60</v>
      </c>
      <c r="C131" s="12" t="s">
        <v>13</v>
      </c>
      <c r="D131" s="12">
        <v>3.6011567851291222</v>
      </c>
      <c r="E131" s="12">
        <v>0.95</v>
      </c>
      <c r="F131" s="12">
        <v>20</v>
      </c>
      <c r="G131" s="12">
        <v>0.95</v>
      </c>
      <c r="H131" s="12">
        <v>3.7647058823529393</v>
      </c>
      <c r="I131" s="12" t="s">
        <v>101</v>
      </c>
      <c r="J131" s="12">
        <v>46237</v>
      </c>
      <c r="K131">
        <v>46237</v>
      </c>
    </row>
    <row r="132" spans="1:11" hidden="1" x14ac:dyDescent="0.25">
      <c r="A132" s="12" t="s">
        <v>61</v>
      </c>
      <c r="B132" s="12" t="s">
        <v>38</v>
      </c>
      <c r="C132" s="12" t="s">
        <v>15</v>
      </c>
      <c r="D132" s="12">
        <v>1.2735376146788988</v>
      </c>
      <c r="E132" s="12">
        <v>3.8</v>
      </c>
      <c r="F132" s="12">
        <v>20</v>
      </c>
      <c r="G132" s="12">
        <v>3.8</v>
      </c>
      <c r="H132" s="12">
        <v>1.8823529411764703</v>
      </c>
      <c r="I132" s="12" t="s">
        <v>100</v>
      </c>
      <c r="J132" s="12">
        <v>46237</v>
      </c>
      <c r="K132">
        <v>46237</v>
      </c>
    </row>
    <row r="133" spans="1:11" hidden="1" x14ac:dyDescent="0.25">
      <c r="A133" s="12" t="s">
        <v>61</v>
      </c>
      <c r="B133" s="12" t="s">
        <v>38</v>
      </c>
      <c r="C133" s="12" t="s">
        <v>14</v>
      </c>
      <c r="D133" s="12">
        <v>3.3711289800323794</v>
      </c>
      <c r="E133" s="12">
        <v>2.8499999999999996</v>
      </c>
      <c r="F133" s="12">
        <v>20</v>
      </c>
      <c r="G133" s="12">
        <v>2.8499999999999996</v>
      </c>
      <c r="H133" s="12">
        <v>4.9273356401384065</v>
      </c>
      <c r="I133" s="12" t="s">
        <v>99</v>
      </c>
      <c r="J133" s="12">
        <v>46237</v>
      </c>
      <c r="K133">
        <v>46237</v>
      </c>
    </row>
    <row r="134" spans="1:11" hidden="1" x14ac:dyDescent="0.25">
      <c r="A134" s="12" t="s">
        <v>61</v>
      </c>
      <c r="B134" s="12" t="s">
        <v>60</v>
      </c>
      <c r="C134" s="12" t="s">
        <v>14</v>
      </c>
      <c r="D134" s="12">
        <v>3.1774912809962848</v>
      </c>
      <c r="E134" s="12">
        <v>5.6999999999999993</v>
      </c>
      <c r="F134" s="12">
        <v>20</v>
      </c>
      <c r="G134" s="12">
        <v>5.6999999999999993</v>
      </c>
      <c r="H134" s="12">
        <v>3.7508650519031144</v>
      </c>
      <c r="I134" s="12" t="s">
        <v>99</v>
      </c>
      <c r="J134" s="12">
        <v>46237</v>
      </c>
      <c r="K134">
        <v>46237</v>
      </c>
    </row>
    <row r="135" spans="1:11" hidden="1" x14ac:dyDescent="0.25">
      <c r="A135" s="12" t="s">
        <v>61</v>
      </c>
      <c r="B135" s="12" t="s">
        <v>37</v>
      </c>
      <c r="C135" s="12" t="s">
        <v>14</v>
      </c>
      <c r="D135" s="12">
        <v>10.972274579690296</v>
      </c>
      <c r="E135" s="12">
        <v>15.2</v>
      </c>
      <c r="F135" s="12">
        <v>20</v>
      </c>
      <c r="G135" s="12">
        <v>15.2</v>
      </c>
      <c r="H135" s="12">
        <v>11.308823529411764</v>
      </c>
      <c r="I135" s="12" t="s">
        <v>99</v>
      </c>
      <c r="J135" s="12">
        <v>46237</v>
      </c>
      <c r="K135">
        <v>46237</v>
      </c>
    </row>
    <row r="136" spans="1:11" hidden="1" x14ac:dyDescent="0.25">
      <c r="A136" s="12" t="s">
        <v>61</v>
      </c>
      <c r="B136" s="12" t="s">
        <v>37</v>
      </c>
      <c r="C136" s="12" t="s">
        <v>15</v>
      </c>
      <c r="D136" s="12">
        <v>4.220105607573192</v>
      </c>
      <c r="E136" s="12">
        <v>20.9</v>
      </c>
      <c r="F136" s="12">
        <v>20</v>
      </c>
      <c r="G136" s="12">
        <v>20.9</v>
      </c>
      <c r="H136" s="12">
        <v>4.6874999999999991</v>
      </c>
      <c r="I136" s="12" t="s">
        <v>100</v>
      </c>
      <c r="J136" s="12">
        <v>46237</v>
      </c>
      <c r="K136">
        <v>46237</v>
      </c>
    </row>
    <row r="137" spans="1:11" hidden="1" x14ac:dyDescent="0.25">
      <c r="A137" s="12" t="s">
        <v>61</v>
      </c>
      <c r="B137" s="12" t="s">
        <v>37</v>
      </c>
      <c r="C137" s="12" t="s">
        <v>14</v>
      </c>
      <c r="D137" s="12">
        <v>10.972274579690296</v>
      </c>
      <c r="E137" s="12">
        <v>24.7</v>
      </c>
      <c r="F137" s="12">
        <v>20</v>
      </c>
      <c r="G137" s="12">
        <v>24.7</v>
      </c>
      <c r="H137" s="12">
        <v>12.1875</v>
      </c>
      <c r="I137" s="12" t="s">
        <v>102</v>
      </c>
      <c r="J137" s="12">
        <v>46238</v>
      </c>
      <c r="K137">
        <v>46238</v>
      </c>
    </row>
    <row r="138" spans="1:11" hidden="1" x14ac:dyDescent="0.25">
      <c r="A138" s="12" t="s">
        <v>61</v>
      </c>
      <c r="B138" s="12" t="s">
        <v>60</v>
      </c>
      <c r="C138" s="12" t="s">
        <v>14</v>
      </c>
      <c r="D138" s="12">
        <v>3.23044946901289</v>
      </c>
      <c r="E138" s="12">
        <v>2.8499999999999996</v>
      </c>
      <c r="F138" s="12">
        <v>20</v>
      </c>
      <c r="G138" s="12">
        <v>2.8499999999999996</v>
      </c>
      <c r="H138" s="12">
        <v>2.8685121107266438</v>
      </c>
      <c r="I138" s="12" t="s">
        <v>102</v>
      </c>
      <c r="J138" s="12">
        <v>46238</v>
      </c>
      <c r="K138">
        <v>46238</v>
      </c>
    </row>
    <row r="139" spans="1:11" hidden="1" x14ac:dyDescent="0.25">
      <c r="A139" s="12" t="s">
        <v>61</v>
      </c>
      <c r="B139" s="12" t="s">
        <v>38</v>
      </c>
      <c r="C139" s="12" t="s">
        <v>14</v>
      </c>
      <c r="D139" s="12">
        <v>3.3711289800323794</v>
      </c>
      <c r="E139" s="12">
        <v>2.8499999999999996</v>
      </c>
      <c r="F139" s="12">
        <v>20</v>
      </c>
      <c r="G139" s="12">
        <v>2.8499999999999996</v>
      </c>
      <c r="H139" s="12">
        <v>4.9273356401384065</v>
      </c>
      <c r="I139" s="12" t="s">
        <v>102</v>
      </c>
      <c r="J139" s="12">
        <v>46238</v>
      </c>
      <c r="K139">
        <v>46238</v>
      </c>
    </row>
    <row r="140" spans="1:11" hidden="1" x14ac:dyDescent="0.25">
      <c r="A140" s="12" t="s">
        <v>61</v>
      </c>
      <c r="B140" s="12" t="s">
        <v>38</v>
      </c>
      <c r="C140" s="12" t="s">
        <v>15</v>
      </c>
      <c r="D140" s="12">
        <v>1.2735376146788988</v>
      </c>
      <c r="E140" s="12">
        <v>10.45</v>
      </c>
      <c r="F140" s="12">
        <v>20</v>
      </c>
      <c r="G140" s="12">
        <v>10.45</v>
      </c>
      <c r="H140" s="12">
        <v>1.8823529411764703</v>
      </c>
      <c r="I140" s="12" t="s">
        <v>103</v>
      </c>
      <c r="J140" s="12">
        <v>46238</v>
      </c>
      <c r="K140">
        <v>46238</v>
      </c>
    </row>
    <row r="141" spans="1:11" hidden="1" x14ac:dyDescent="0.25">
      <c r="A141" s="12" t="s">
        <v>61</v>
      </c>
      <c r="B141" s="12" t="s">
        <v>37</v>
      </c>
      <c r="C141" s="12" t="s">
        <v>15</v>
      </c>
      <c r="D141" s="12">
        <v>4.220105607573192</v>
      </c>
      <c r="E141" s="12">
        <v>30.4</v>
      </c>
      <c r="F141" s="12">
        <v>20</v>
      </c>
      <c r="G141" s="12">
        <v>30.4</v>
      </c>
      <c r="H141" s="12">
        <v>4.6874999999999991</v>
      </c>
      <c r="I141" s="12" t="s">
        <v>103</v>
      </c>
      <c r="J141" s="12">
        <v>46238</v>
      </c>
      <c r="K141">
        <v>46238</v>
      </c>
    </row>
    <row r="142" spans="1:11" x14ac:dyDescent="0.25">
      <c r="A142" s="12" t="s">
        <v>61</v>
      </c>
      <c r="B142" s="12" t="s">
        <v>60</v>
      </c>
      <c r="C142" s="12" t="s">
        <v>13</v>
      </c>
      <c r="D142" s="12">
        <v>3.6011567851291222</v>
      </c>
      <c r="E142" s="12">
        <v>1.9</v>
      </c>
      <c r="F142" s="12">
        <v>20</v>
      </c>
      <c r="G142" s="12">
        <v>1.9</v>
      </c>
      <c r="H142" s="12">
        <v>3.7647058823529398</v>
      </c>
      <c r="I142" s="12" t="s">
        <v>104</v>
      </c>
      <c r="J142" s="12">
        <v>46238</v>
      </c>
      <c r="K142">
        <v>46238</v>
      </c>
    </row>
    <row r="143" spans="1:11" x14ac:dyDescent="0.25">
      <c r="A143" s="12" t="s">
        <v>61</v>
      </c>
      <c r="B143" s="12" t="s">
        <v>38</v>
      </c>
      <c r="C143" s="12" t="s">
        <v>13</v>
      </c>
      <c r="D143" s="12">
        <v>5.8204648795871554</v>
      </c>
      <c r="E143" s="12">
        <v>2.8499999999999996</v>
      </c>
      <c r="F143" s="12">
        <v>20</v>
      </c>
      <c r="G143" s="12">
        <v>2.8499999999999996</v>
      </c>
      <c r="H143" s="12">
        <v>4.7058823529411749</v>
      </c>
      <c r="I143" s="12" t="s">
        <v>104</v>
      </c>
      <c r="J143" s="12">
        <v>46238</v>
      </c>
      <c r="K143">
        <v>46238</v>
      </c>
    </row>
    <row r="144" spans="1:11" x14ac:dyDescent="0.25">
      <c r="A144" s="12" t="s">
        <v>61</v>
      </c>
      <c r="B144" s="12" t="s">
        <v>37</v>
      </c>
      <c r="C144" s="12" t="s">
        <v>13</v>
      </c>
      <c r="D144" s="12">
        <v>13.026059308709248</v>
      </c>
      <c r="E144" s="12">
        <v>9.5</v>
      </c>
      <c r="F144" s="12">
        <v>20</v>
      </c>
      <c r="G144" s="12">
        <v>9.5</v>
      </c>
      <c r="H144" s="12">
        <v>13.125</v>
      </c>
      <c r="I144" s="12" t="s">
        <v>104</v>
      </c>
      <c r="J144" s="12">
        <v>46238</v>
      </c>
      <c r="K144">
        <v>46238</v>
      </c>
    </row>
    <row r="145" spans="1:11" hidden="1" x14ac:dyDescent="0.25">
      <c r="A145" s="12" t="s">
        <v>61</v>
      </c>
      <c r="B145" s="12" t="s">
        <v>60</v>
      </c>
      <c r="C145" s="12" t="s">
        <v>15</v>
      </c>
      <c r="D145" s="12">
        <v>0</v>
      </c>
      <c r="E145" s="12">
        <v>12.35</v>
      </c>
      <c r="F145" s="12">
        <v>20</v>
      </c>
      <c r="G145" s="12">
        <v>12.35</v>
      </c>
      <c r="H145" s="12">
        <v>0</v>
      </c>
      <c r="I145" s="12" t="s">
        <v>103</v>
      </c>
      <c r="J145" s="12">
        <v>46238</v>
      </c>
      <c r="K145">
        <v>46238</v>
      </c>
    </row>
    <row r="146" spans="1:11" hidden="1" x14ac:dyDescent="0.25">
      <c r="A146" s="12" t="s">
        <v>61</v>
      </c>
      <c r="B146" s="12" t="s">
        <v>38</v>
      </c>
      <c r="C146" s="12" t="s">
        <v>15</v>
      </c>
      <c r="D146" s="12">
        <v>1.2735376146788988</v>
      </c>
      <c r="E146" s="12">
        <v>4.75</v>
      </c>
      <c r="F146" s="12">
        <v>20</v>
      </c>
      <c r="G146" s="12">
        <v>4.75</v>
      </c>
      <c r="H146" s="12">
        <v>2.8823529411764706</v>
      </c>
      <c r="I146" s="12" t="s">
        <v>106</v>
      </c>
      <c r="J146" s="12">
        <v>46239</v>
      </c>
      <c r="K146">
        <v>46239</v>
      </c>
    </row>
    <row r="147" spans="1:11" hidden="1" x14ac:dyDescent="0.25">
      <c r="A147" s="12" t="s">
        <v>61</v>
      </c>
      <c r="B147" s="12" t="s">
        <v>37</v>
      </c>
      <c r="C147" s="12" t="s">
        <v>15</v>
      </c>
      <c r="D147" s="12">
        <v>4.220105607573192</v>
      </c>
      <c r="E147" s="12">
        <v>19</v>
      </c>
      <c r="F147" s="12">
        <v>20</v>
      </c>
      <c r="G147" s="12">
        <v>19</v>
      </c>
      <c r="H147" s="12">
        <v>5.6041666666666661</v>
      </c>
      <c r="I147" s="12" t="s">
        <v>106</v>
      </c>
      <c r="J147" s="12">
        <v>46239</v>
      </c>
      <c r="K147">
        <v>46239</v>
      </c>
    </row>
    <row r="148" spans="1:11" hidden="1" x14ac:dyDescent="0.25">
      <c r="A148" s="12" t="s">
        <v>61</v>
      </c>
      <c r="B148" s="12" t="s">
        <v>60</v>
      </c>
      <c r="C148" s="12" t="s">
        <v>15</v>
      </c>
      <c r="D148" s="12">
        <v>0</v>
      </c>
      <c r="E148" s="12">
        <v>5.6999999999999993</v>
      </c>
      <c r="F148" s="12">
        <v>20</v>
      </c>
      <c r="G148" s="12">
        <v>5.6999999999999993</v>
      </c>
      <c r="H148" s="12">
        <v>0</v>
      </c>
      <c r="I148" s="12" t="s">
        <v>106</v>
      </c>
      <c r="J148" s="12">
        <v>46239</v>
      </c>
      <c r="K148">
        <v>46239</v>
      </c>
    </row>
    <row r="149" spans="1:11" hidden="1" x14ac:dyDescent="0.25">
      <c r="A149" s="12" t="s">
        <v>61</v>
      </c>
      <c r="B149" s="12" t="s">
        <v>38</v>
      </c>
      <c r="C149" s="12" t="s">
        <v>14</v>
      </c>
      <c r="D149" s="12">
        <v>3.9329838100377761</v>
      </c>
      <c r="E149" s="12">
        <v>1.9</v>
      </c>
      <c r="F149" s="12">
        <v>20</v>
      </c>
      <c r="G149" s="12">
        <v>1.9</v>
      </c>
      <c r="H149" s="12">
        <v>5.8166089965397889</v>
      </c>
      <c r="I149" s="12" t="s">
        <v>107</v>
      </c>
      <c r="J149" s="12">
        <v>46239</v>
      </c>
      <c r="K149">
        <v>46239</v>
      </c>
    </row>
    <row r="150" spans="1:11" x14ac:dyDescent="0.25">
      <c r="A150" s="12" t="s">
        <v>61</v>
      </c>
      <c r="B150" s="12" t="s">
        <v>38</v>
      </c>
      <c r="C150" s="12" t="s">
        <v>13</v>
      </c>
      <c r="D150" s="12">
        <v>4.6265233658256877</v>
      </c>
      <c r="E150" s="12">
        <v>0.95</v>
      </c>
      <c r="F150" s="12">
        <v>20</v>
      </c>
      <c r="G150" s="12">
        <v>0.95</v>
      </c>
      <c r="H150" s="12">
        <v>2.8235294117647065</v>
      </c>
      <c r="I150" s="12" t="s">
        <v>105</v>
      </c>
      <c r="J150" s="12">
        <v>46239</v>
      </c>
      <c r="K150">
        <v>46239</v>
      </c>
    </row>
    <row r="151" spans="1:11" x14ac:dyDescent="0.25">
      <c r="A151" s="12" t="s">
        <v>61</v>
      </c>
      <c r="B151" s="12" t="s">
        <v>37</v>
      </c>
      <c r="C151" s="12" t="s">
        <v>13</v>
      </c>
      <c r="D151" s="12">
        <v>12.575914710568108</v>
      </c>
      <c r="E151" s="12">
        <v>12.35</v>
      </c>
      <c r="F151" s="12">
        <v>20</v>
      </c>
      <c r="G151" s="12">
        <v>12.35</v>
      </c>
      <c r="H151" s="12">
        <v>12.715073529411764</v>
      </c>
      <c r="I151" s="12" t="s">
        <v>105</v>
      </c>
      <c r="J151" s="12">
        <v>46239</v>
      </c>
      <c r="K151">
        <v>46239</v>
      </c>
    </row>
    <row r="152" spans="1:11" hidden="1" x14ac:dyDescent="0.25">
      <c r="A152" s="12" t="s">
        <v>61</v>
      </c>
      <c r="B152" s="12" t="s">
        <v>37</v>
      </c>
      <c r="C152" s="12" t="s">
        <v>14</v>
      </c>
      <c r="D152" s="12">
        <v>10.803470355387372</v>
      </c>
      <c r="E152" s="12">
        <v>4.75</v>
      </c>
      <c r="F152" s="12">
        <v>20</v>
      </c>
      <c r="G152" s="12">
        <v>4.75</v>
      </c>
      <c r="H152" s="12">
        <v>12.055759803921568</v>
      </c>
      <c r="I152" s="12" t="s">
        <v>107</v>
      </c>
      <c r="J152" s="12">
        <v>46239</v>
      </c>
      <c r="K152">
        <v>46239</v>
      </c>
    </row>
    <row r="153" spans="1:11" x14ac:dyDescent="0.25">
      <c r="A153" s="12" t="s">
        <v>61</v>
      </c>
      <c r="B153" s="12" t="s">
        <v>60</v>
      </c>
      <c r="C153" s="12" t="s">
        <v>13</v>
      </c>
      <c r="D153" s="12">
        <v>3.6011567851291222</v>
      </c>
      <c r="E153" s="12">
        <v>2.8499999999999996</v>
      </c>
      <c r="F153" s="12">
        <v>20</v>
      </c>
      <c r="G153" s="12">
        <v>2.8499999999999996</v>
      </c>
      <c r="H153" s="12">
        <v>3.7647058823529393</v>
      </c>
      <c r="I153" s="12" t="s">
        <v>105</v>
      </c>
      <c r="J153" s="12">
        <v>46239</v>
      </c>
      <c r="K153">
        <v>46239</v>
      </c>
    </row>
    <row r="154" spans="1:11" hidden="1" x14ac:dyDescent="0.25">
      <c r="A154" s="12" t="s">
        <v>61</v>
      </c>
      <c r="B154" s="12" t="s">
        <v>60</v>
      </c>
      <c r="C154" s="12" t="s">
        <v>14</v>
      </c>
      <c r="D154" s="12">
        <v>3.1774912809962848</v>
      </c>
      <c r="E154" s="12">
        <v>0.95</v>
      </c>
      <c r="F154" s="12">
        <v>20</v>
      </c>
      <c r="G154" s="12">
        <v>0.95</v>
      </c>
      <c r="H154" s="12">
        <v>3.7508650519031144</v>
      </c>
      <c r="I154" s="12" t="s">
        <v>107</v>
      </c>
      <c r="J154" s="12">
        <v>46239</v>
      </c>
      <c r="K154">
        <v>46239</v>
      </c>
    </row>
    <row r="155" spans="1:11" hidden="1" x14ac:dyDescent="0.25">
      <c r="A155" s="12" t="s">
        <v>61</v>
      </c>
      <c r="B155" s="12" t="s">
        <v>38</v>
      </c>
      <c r="C155" s="12" t="s">
        <v>15</v>
      </c>
      <c r="D155" s="12">
        <v>1.2735376146788988</v>
      </c>
      <c r="E155" s="12">
        <v>1.9</v>
      </c>
      <c r="F155" s="12">
        <v>20</v>
      </c>
      <c r="G155" s="12">
        <v>1.9</v>
      </c>
      <c r="H155" s="12">
        <v>1.8823529411764703</v>
      </c>
      <c r="I155" s="12" t="s">
        <v>109</v>
      </c>
      <c r="J155" s="12">
        <v>46240</v>
      </c>
      <c r="K155">
        <v>46240</v>
      </c>
    </row>
    <row r="156" spans="1:11" x14ac:dyDescent="0.25">
      <c r="A156" s="12" t="s">
        <v>61</v>
      </c>
      <c r="B156" s="12" t="s">
        <v>60</v>
      </c>
      <c r="C156" s="12" t="s">
        <v>13</v>
      </c>
      <c r="D156" s="12">
        <v>3.6011567851291222</v>
      </c>
      <c r="E156" s="12">
        <v>1.9</v>
      </c>
      <c r="F156" s="12">
        <v>20</v>
      </c>
      <c r="G156" s="12">
        <v>1.9</v>
      </c>
      <c r="H156" s="12">
        <v>3.7647058823529393</v>
      </c>
      <c r="I156" s="12" t="s">
        <v>108</v>
      </c>
      <c r="J156" s="12">
        <v>46240</v>
      </c>
      <c r="K156">
        <v>46240</v>
      </c>
    </row>
    <row r="157" spans="1:11" x14ac:dyDescent="0.25">
      <c r="A157" s="12" t="s">
        <v>61</v>
      </c>
      <c r="B157" s="12" t="s">
        <v>37</v>
      </c>
      <c r="C157" s="12" t="s">
        <v>13</v>
      </c>
      <c r="D157" s="12">
        <v>11.731893589053469</v>
      </c>
      <c r="E157" s="12">
        <v>20.9</v>
      </c>
      <c r="F157" s="12">
        <v>20</v>
      </c>
      <c r="G157" s="12">
        <v>20.9</v>
      </c>
      <c r="H157" s="12">
        <v>12.166666666666666</v>
      </c>
      <c r="I157" s="12" t="s">
        <v>108</v>
      </c>
      <c r="J157" s="12">
        <v>46240</v>
      </c>
      <c r="K157">
        <v>46240</v>
      </c>
    </row>
    <row r="158" spans="1:11" x14ac:dyDescent="0.25">
      <c r="A158" s="12" t="s">
        <v>61</v>
      </c>
      <c r="B158" s="12" t="s">
        <v>38</v>
      </c>
      <c r="C158" s="12" t="s">
        <v>13</v>
      </c>
      <c r="D158" s="12">
        <v>5.9697075688073395</v>
      </c>
      <c r="E158" s="12">
        <v>2.8499999999999996</v>
      </c>
      <c r="F158" s="12">
        <v>20</v>
      </c>
      <c r="G158" s="12">
        <v>2.8499999999999996</v>
      </c>
      <c r="H158" s="12">
        <v>6.7654798761609918</v>
      </c>
      <c r="I158" s="12" t="s">
        <v>108</v>
      </c>
      <c r="J158" s="12">
        <v>46240</v>
      </c>
      <c r="K158">
        <v>46240</v>
      </c>
    </row>
    <row r="159" spans="1:11" hidden="1" x14ac:dyDescent="0.25">
      <c r="A159" s="12" t="s">
        <v>61</v>
      </c>
      <c r="B159" s="12" t="s">
        <v>37</v>
      </c>
      <c r="C159" s="12" t="s">
        <v>15</v>
      </c>
      <c r="D159" s="12">
        <v>4.220105607573192</v>
      </c>
      <c r="E159" s="12">
        <v>19.95</v>
      </c>
      <c r="F159" s="12">
        <v>20</v>
      </c>
      <c r="G159" s="12">
        <v>19.95</v>
      </c>
      <c r="H159" s="12">
        <v>5.6041666666666661</v>
      </c>
      <c r="I159" s="12" t="s">
        <v>109</v>
      </c>
      <c r="J159" s="12">
        <v>46240</v>
      </c>
      <c r="K159">
        <v>46240</v>
      </c>
    </row>
    <row r="160" spans="1:11" hidden="1" x14ac:dyDescent="0.25">
      <c r="A160" s="12" t="s">
        <v>61</v>
      </c>
      <c r="B160" s="12" t="s">
        <v>60</v>
      </c>
      <c r="C160" s="12" t="s">
        <v>15</v>
      </c>
      <c r="D160" s="12">
        <v>0</v>
      </c>
      <c r="E160" s="12">
        <v>3.8</v>
      </c>
      <c r="F160" s="12">
        <v>20</v>
      </c>
      <c r="G160" s="12">
        <v>3.8</v>
      </c>
      <c r="H160" s="12">
        <v>0</v>
      </c>
      <c r="I160" s="12" t="s">
        <v>109</v>
      </c>
      <c r="J160" s="12">
        <v>46240</v>
      </c>
      <c r="K160">
        <v>46240</v>
      </c>
    </row>
    <row r="161" spans="1:11" hidden="1" x14ac:dyDescent="0.25">
      <c r="A161" s="12" t="s">
        <v>61</v>
      </c>
      <c r="B161" s="12" t="s">
        <v>38</v>
      </c>
      <c r="C161" s="12" t="s">
        <v>14</v>
      </c>
      <c r="D161" s="12">
        <v>3.5115926875337284</v>
      </c>
      <c r="E161" s="12">
        <v>0.95</v>
      </c>
      <c r="F161" s="12">
        <v>20</v>
      </c>
      <c r="G161" s="12">
        <v>0.95</v>
      </c>
      <c r="H161" s="12">
        <v>5.0442542342014178</v>
      </c>
      <c r="I161" s="12" t="s">
        <v>110</v>
      </c>
      <c r="J161" s="12">
        <v>46240</v>
      </c>
      <c r="K161">
        <v>46240</v>
      </c>
    </row>
    <row r="162" spans="1:11" hidden="1" x14ac:dyDescent="0.25">
      <c r="A162" s="12" t="s">
        <v>61</v>
      </c>
      <c r="B162" s="12" t="s">
        <v>37</v>
      </c>
      <c r="C162" s="12" t="s">
        <v>14</v>
      </c>
      <c r="D162" s="12">
        <v>10.972274579690296</v>
      </c>
      <c r="E162" s="12">
        <v>1.9</v>
      </c>
      <c r="F162" s="12">
        <v>20</v>
      </c>
      <c r="G162" s="12">
        <v>1.9</v>
      </c>
      <c r="H162" s="12">
        <v>13.104166666666666</v>
      </c>
      <c r="I162" s="12" t="s">
        <v>110</v>
      </c>
      <c r="J162" s="12">
        <v>46240</v>
      </c>
      <c r="K162">
        <v>46240</v>
      </c>
    </row>
    <row r="163" spans="1:11" hidden="1" x14ac:dyDescent="0.25">
      <c r="A163" s="12" t="s">
        <v>61</v>
      </c>
      <c r="B163" s="12" t="s">
        <v>60</v>
      </c>
      <c r="C163" s="12" t="s">
        <v>14</v>
      </c>
      <c r="D163" s="12">
        <v>3.1774912809962848</v>
      </c>
      <c r="E163" s="12">
        <v>0.95</v>
      </c>
      <c r="F163" s="12">
        <v>20</v>
      </c>
      <c r="G163" s="12">
        <v>0.95</v>
      </c>
      <c r="H163" s="12">
        <v>3.7508650519031144</v>
      </c>
      <c r="I163" s="12" t="s">
        <v>110</v>
      </c>
      <c r="J163" s="12">
        <v>46240</v>
      </c>
      <c r="K163">
        <v>46240</v>
      </c>
    </row>
    <row r="164" spans="1:11" hidden="1" x14ac:dyDescent="0.25">
      <c r="A164" s="12" t="s">
        <v>61</v>
      </c>
      <c r="B164" s="12" t="s">
        <v>38</v>
      </c>
      <c r="C164" s="12" t="s">
        <v>14</v>
      </c>
      <c r="D164" s="12">
        <v>2.2474193200215868</v>
      </c>
      <c r="E164" s="12">
        <v>3.8</v>
      </c>
      <c r="F164" s="12">
        <v>20</v>
      </c>
      <c r="G164" s="12">
        <v>3.8</v>
      </c>
      <c r="H164" s="12">
        <v>3.986159169550171</v>
      </c>
      <c r="I164" s="12" t="s">
        <v>111</v>
      </c>
      <c r="J164" s="12">
        <v>46241</v>
      </c>
      <c r="K164">
        <v>46241</v>
      </c>
    </row>
    <row r="165" spans="1:11" hidden="1" x14ac:dyDescent="0.25">
      <c r="A165" s="12" t="s">
        <v>61</v>
      </c>
      <c r="B165" s="12" t="s">
        <v>60</v>
      </c>
      <c r="C165" s="12" t="s">
        <v>14</v>
      </c>
      <c r="D165" s="12">
        <v>3.1774912809962856</v>
      </c>
      <c r="E165" s="12">
        <v>2.8499999999999996</v>
      </c>
      <c r="F165" s="12">
        <v>20</v>
      </c>
      <c r="G165" s="12">
        <v>2.8499999999999996</v>
      </c>
      <c r="H165" s="12">
        <v>3.7508650519031144</v>
      </c>
      <c r="I165" s="12" t="s">
        <v>111</v>
      </c>
      <c r="J165" s="12">
        <v>46241</v>
      </c>
      <c r="K165">
        <v>46241</v>
      </c>
    </row>
    <row r="166" spans="1:11" hidden="1" x14ac:dyDescent="0.25">
      <c r="A166" s="12" t="s">
        <v>61</v>
      </c>
      <c r="B166" s="12" t="s">
        <v>38</v>
      </c>
      <c r="C166" s="12" t="s">
        <v>15</v>
      </c>
      <c r="D166" s="12">
        <v>1.2735376146788988</v>
      </c>
      <c r="E166" s="12">
        <v>9.5</v>
      </c>
      <c r="F166" s="12">
        <v>20</v>
      </c>
      <c r="G166" s="12">
        <v>9.5</v>
      </c>
      <c r="H166" s="12">
        <v>1.8823529411764703</v>
      </c>
      <c r="I166" s="12" t="s">
        <v>138</v>
      </c>
      <c r="J166" s="12">
        <v>46241</v>
      </c>
      <c r="K166">
        <v>46241</v>
      </c>
    </row>
    <row r="167" spans="1:11" hidden="1" x14ac:dyDescent="0.25">
      <c r="A167" s="12" t="s">
        <v>61</v>
      </c>
      <c r="B167" s="12" t="s">
        <v>60</v>
      </c>
      <c r="C167" s="12" t="s">
        <v>15</v>
      </c>
      <c r="D167" s="12">
        <v>0</v>
      </c>
      <c r="E167" s="12">
        <v>12.35</v>
      </c>
      <c r="F167" s="12">
        <v>20</v>
      </c>
      <c r="G167" s="12">
        <v>12.35</v>
      </c>
      <c r="H167" s="12">
        <v>0</v>
      </c>
      <c r="I167" s="12" t="s">
        <v>138</v>
      </c>
      <c r="J167" s="12">
        <v>46241</v>
      </c>
      <c r="K167">
        <v>46241</v>
      </c>
    </row>
    <row r="168" spans="1:11" hidden="1" x14ac:dyDescent="0.25">
      <c r="A168" s="12" t="s">
        <v>61</v>
      </c>
      <c r="B168" s="12" t="s">
        <v>37</v>
      </c>
      <c r="C168" s="12" t="s">
        <v>14</v>
      </c>
      <c r="D168" s="12">
        <v>11.028542654457937</v>
      </c>
      <c r="E168" s="12">
        <v>23.75</v>
      </c>
      <c r="F168" s="12">
        <v>20</v>
      </c>
      <c r="G168" s="12">
        <v>23.75</v>
      </c>
      <c r="H168" s="12">
        <v>13.107843137254903</v>
      </c>
      <c r="I168" s="12" t="s">
        <v>111</v>
      </c>
      <c r="J168" s="12">
        <v>46241</v>
      </c>
      <c r="K168">
        <v>46241</v>
      </c>
    </row>
    <row r="169" spans="1:11" x14ac:dyDescent="0.25">
      <c r="A169" s="12" t="s">
        <v>61</v>
      </c>
      <c r="B169" s="12" t="s">
        <v>60</v>
      </c>
      <c r="C169" s="12" t="s">
        <v>13</v>
      </c>
      <c r="D169" s="12">
        <v>3.6011567851291222</v>
      </c>
      <c r="E169" s="12">
        <v>3.8</v>
      </c>
      <c r="F169" s="12">
        <v>20</v>
      </c>
      <c r="G169" s="12">
        <v>3.8</v>
      </c>
      <c r="H169" s="12">
        <v>3.7647058823529398</v>
      </c>
      <c r="I169" s="12" t="s">
        <v>112</v>
      </c>
      <c r="J169" s="12">
        <v>46241</v>
      </c>
      <c r="K169">
        <v>46241</v>
      </c>
    </row>
    <row r="170" spans="1:11" x14ac:dyDescent="0.25">
      <c r="A170" s="12" t="s">
        <v>61</v>
      </c>
      <c r="B170" s="12" t="s">
        <v>37</v>
      </c>
      <c r="C170" s="12" t="s">
        <v>13</v>
      </c>
      <c r="D170" s="12">
        <v>10.972274579690296</v>
      </c>
      <c r="E170" s="12">
        <v>11.4</v>
      </c>
      <c r="F170" s="12">
        <v>20</v>
      </c>
      <c r="G170" s="12">
        <v>11.4</v>
      </c>
      <c r="H170" s="12">
        <v>13.162990196078432</v>
      </c>
      <c r="I170" s="12" t="s">
        <v>112</v>
      </c>
      <c r="J170" s="12">
        <v>46241</v>
      </c>
      <c r="K170">
        <v>46241</v>
      </c>
    </row>
    <row r="171" spans="1:11" x14ac:dyDescent="0.25">
      <c r="A171" s="12" t="s">
        <v>61</v>
      </c>
      <c r="B171" s="12" t="s">
        <v>38</v>
      </c>
      <c r="C171" s="12" t="s">
        <v>13</v>
      </c>
      <c r="D171" s="12">
        <v>4.7757660550458709</v>
      </c>
      <c r="E171" s="12">
        <v>3.8</v>
      </c>
      <c r="F171" s="12">
        <v>20</v>
      </c>
      <c r="G171" s="12">
        <v>3.8</v>
      </c>
      <c r="H171" s="12">
        <v>4.705882352941174</v>
      </c>
      <c r="I171" s="12" t="s">
        <v>112</v>
      </c>
      <c r="J171" s="12">
        <v>46241</v>
      </c>
      <c r="K171">
        <v>46241</v>
      </c>
    </row>
    <row r="172" spans="1:11" hidden="1" x14ac:dyDescent="0.25">
      <c r="A172" s="12" t="s">
        <v>61</v>
      </c>
      <c r="B172" s="12" t="s">
        <v>37</v>
      </c>
      <c r="C172" s="12" t="s">
        <v>15</v>
      </c>
      <c r="D172" s="12">
        <v>4.220105607573192</v>
      </c>
      <c r="E172" s="12">
        <v>31.35</v>
      </c>
      <c r="F172" s="12">
        <v>20</v>
      </c>
      <c r="G172" s="12">
        <v>31.35</v>
      </c>
      <c r="H172" s="12">
        <v>5.6041666666666661</v>
      </c>
      <c r="I172" s="12" t="s">
        <v>138</v>
      </c>
      <c r="J172" s="12">
        <v>46241</v>
      </c>
      <c r="K172">
        <v>46241</v>
      </c>
    </row>
    <row r="173" spans="1:11" hidden="1" x14ac:dyDescent="0.25">
      <c r="A173" s="12" t="s">
        <v>61</v>
      </c>
      <c r="B173" s="12" t="s">
        <v>37</v>
      </c>
      <c r="C173" s="12" t="s">
        <v>14</v>
      </c>
      <c r="D173" s="12">
        <v>10.972274579690296</v>
      </c>
      <c r="E173" s="12">
        <v>11.4</v>
      </c>
      <c r="F173" s="12">
        <v>20</v>
      </c>
      <c r="G173" s="12">
        <v>11.4</v>
      </c>
      <c r="H173" s="12">
        <v>13.162990196078432</v>
      </c>
      <c r="I173" s="12" t="s">
        <v>114</v>
      </c>
      <c r="J173" s="12">
        <v>46242</v>
      </c>
      <c r="K173">
        <v>46242</v>
      </c>
    </row>
    <row r="174" spans="1:11" hidden="1" x14ac:dyDescent="0.25">
      <c r="A174" s="12" t="s">
        <v>61</v>
      </c>
      <c r="B174" s="12" t="s">
        <v>38</v>
      </c>
      <c r="C174" s="12" t="s">
        <v>14</v>
      </c>
      <c r="D174" s="12">
        <v>3.3711289800323798</v>
      </c>
      <c r="E174" s="12">
        <v>2.8499999999999996</v>
      </c>
      <c r="F174" s="12">
        <v>20</v>
      </c>
      <c r="G174" s="12">
        <v>2.8499999999999996</v>
      </c>
      <c r="H174" s="12">
        <v>4.9273356401384065</v>
      </c>
      <c r="I174" s="12" t="s">
        <v>114</v>
      </c>
      <c r="J174" s="12">
        <v>46242</v>
      </c>
      <c r="K174">
        <v>46242</v>
      </c>
    </row>
    <row r="175" spans="1:11" hidden="1" x14ac:dyDescent="0.25">
      <c r="A175" s="12" t="s">
        <v>61</v>
      </c>
      <c r="B175" s="12" t="s">
        <v>60</v>
      </c>
      <c r="C175" s="12" t="s">
        <v>14</v>
      </c>
      <c r="D175" s="12">
        <v>3.1774912809962856</v>
      </c>
      <c r="E175" s="12">
        <v>3.8</v>
      </c>
      <c r="F175" s="12">
        <v>20</v>
      </c>
      <c r="G175" s="12">
        <v>3.8</v>
      </c>
      <c r="H175" s="12">
        <v>3.7508650519031144</v>
      </c>
      <c r="I175" s="12" t="s">
        <v>114</v>
      </c>
      <c r="J175" s="12">
        <v>46242</v>
      </c>
      <c r="K175">
        <v>46242</v>
      </c>
    </row>
    <row r="176" spans="1:11" hidden="1" x14ac:dyDescent="0.25">
      <c r="A176" s="12" t="s">
        <v>61</v>
      </c>
      <c r="B176" s="12" t="s">
        <v>37</v>
      </c>
      <c r="C176" s="12" t="s">
        <v>15</v>
      </c>
      <c r="D176" s="12">
        <v>4.220105607573192</v>
      </c>
      <c r="E176" s="12">
        <v>4.75</v>
      </c>
      <c r="F176" s="12">
        <v>20</v>
      </c>
      <c r="G176" s="12">
        <v>4.75</v>
      </c>
      <c r="H176" s="12">
        <v>5.6041666666666661</v>
      </c>
      <c r="I176" s="12" t="s">
        <v>113</v>
      </c>
      <c r="J176" s="12">
        <v>46242</v>
      </c>
      <c r="K176">
        <v>46242</v>
      </c>
    </row>
    <row r="177" spans="1:11" hidden="1" x14ac:dyDescent="0.25">
      <c r="A177" s="12" t="s">
        <v>61</v>
      </c>
      <c r="B177" s="12" t="s">
        <v>38</v>
      </c>
      <c r="C177" s="12" t="s">
        <v>15</v>
      </c>
      <c r="D177" s="12">
        <v>1.2735376146788988</v>
      </c>
      <c r="E177" s="12">
        <v>1.9</v>
      </c>
      <c r="F177" s="12">
        <v>20</v>
      </c>
      <c r="G177" s="12">
        <v>1.9</v>
      </c>
      <c r="H177" s="12">
        <v>1.8823529411764703</v>
      </c>
      <c r="I177" s="12" t="s">
        <v>113</v>
      </c>
      <c r="J177" s="12">
        <v>46242</v>
      </c>
      <c r="K177">
        <v>46242</v>
      </c>
    </row>
    <row r="178" spans="1:11" x14ac:dyDescent="0.25">
      <c r="A178" s="12" t="s">
        <v>61</v>
      </c>
      <c r="B178" s="12" t="s">
        <v>38</v>
      </c>
      <c r="C178" s="12" t="s">
        <v>13</v>
      </c>
      <c r="D178" s="12">
        <v>2.3878830275229355</v>
      </c>
      <c r="E178" s="12">
        <v>12.35</v>
      </c>
      <c r="F178" s="12">
        <v>20</v>
      </c>
      <c r="G178" s="12">
        <v>12.35</v>
      </c>
      <c r="H178" s="12">
        <v>4.7058823529411749</v>
      </c>
      <c r="I178" s="12" t="s">
        <v>139</v>
      </c>
      <c r="J178" s="12">
        <v>46242</v>
      </c>
      <c r="K178">
        <v>46242</v>
      </c>
    </row>
    <row r="179" spans="1:11" x14ac:dyDescent="0.25">
      <c r="A179" s="12" t="s">
        <v>61</v>
      </c>
      <c r="B179" s="12" t="s">
        <v>37</v>
      </c>
      <c r="C179" s="12" t="s">
        <v>13</v>
      </c>
      <c r="D179" s="12">
        <v>11.028542654457937</v>
      </c>
      <c r="E179" s="12">
        <v>47.5</v>
      </c>
      <c r="F179" s="12">
        <v>20</v>
      </c>
      <c r="G179" s="12">
        <v>47.5</v>
      </c>
      <c r="H179" s="12">
        <v>13.1078431372549</v>
      </c>
      <c r="I179" s="12" t="s">
        <v>139</v>
      </c>
      <c r="J179" s="12">
        <v>46242</v>
      </c>
      <c r="K179">
        <v>46242</v>
      </c>
    </row>
    <row r="180" spans="1:11" x14ac:dyDescent="0.25">
      <c r="A180" s="12" t="s">
        <v>61</v>
      </c>
      <c r="B180" s="12" t="s">
        <v>60</v>
      </c>
      <c r="C180" s="12" t="s">
        <v>13</v>
      </c>
      <c r="D180" s="12">
        <v>3.6011567851291222</v>
      </c>
      <c r="E180" s="12">
        <v>13.3</v>
      </c>
      <c r="F180" s="12">
        <v>20</v>
      </c>
      <c r="G180" s="12">
        <v>13.3</v>
      </c>
      <c r="H180" s="12">
        <v>3.7647058823529398</v>
      </c>
      <c r="I180" s="12" t="s">
        <v>139</v>
      </c>
      <c r="J180" s="12">
        <v>46242</v>
      </c>
      <c r="K180">
        <v>46242</v>
      </c>
    </row>
    <row r="181" spans="1:11" hidden="1" x14ac:dyDescent="0.25">
      <c r="A181" s="12" t="s">
        <v>61</v>
      </c>
      <c r="B181" s="12" t="s">
        <v>60</v>
      </c>
      <c r="C181" s="12" t="s">
        <v>15</v>
      </c>
      <c r="D181" s="12">
        <v>0</v>
      </c>
      <c r="E181" s="12">
        <v>0</v>
      </c>
      <c r="F181" s="12">
        <v>20</v>
      </c>
      <c r="G181" s="12">
        <v>0</v>
      </c>
      <c r="H181" s="12">
        <v>0</v>
      </c>
      <c r="I181" s="12" t="s">
        <v>113</v>
      </c>
      <c r="J181" s="12">
        <v>46242</v>
      </c>
      <c r="K181">
        <v>46242</v>
      </c>
    </row>
    <row r="182" spans="1:11" hidden="1" x14ac:dyDescent="0.25">
      <c r="A182" s="12" t="s">
        <v>61</v>
      </c>
      <c r="B182" s="12" t="s">
        <v>60</v>
      </c>
      <c r="C182" s="12" t="s">
        <v>14</v>
      </c>
      <c r="D182" s="12">
        <v>3.1774912809962856</v>
      </c>
      <c r="E182" s="12">
        <v>11.4</v>
      </c>
      <c r="F182" s="12">
        <v>20</v>
      </c>
      <c r="G182" s="12">
        <v>11.4</v>
      </c>
      <c r="H182" s="12">
        <v>3.7508650519031144</v>
      </c>
      <c r="I182" s="12" t="s">
        <v>140</v>
      </c>
      <c r="J182" s="12">
        <v>46243</v>
      </c>
      <c r="K182">
        <v>46243</v>
      </c>
    </row>
    <row r="183" spans="1:11" hidden="1" x14ac:dyDescent="0.25">
      <c r="A183" s="12" t="s">
        <v>61</v>
      </c>
      <c r="B183" s="12" t="s">
        <v>60</v>
      </c>
      <c r="C183" s="12" t="s">
        <v>15</v>
      </c>
      <c r="D183" s="12">
        <v>0</v>
      </c>
      <c r="E183" s="12">
        <v>4.75</v>
      </c>
      <c r="F183" s="12">
        <v>20</v>
      </c>
      <c r="G183" s="12">
        <v>4.75</v>
      </c>
      <c r="H183" s="12">
        <v>0</v>
      </c>
      <c r="I183" s="12" t="s">
        <v>141</v>
      </c>
      <c r="J183" s="12">
        <v>46243</v>
      </c>
      <c r="K183">
        <v>46243</v>
      </c>
    </row>
    <row r="184" spans="1:11" x14ac:dyDescent="0.25">
      <c r="A184" s="12" t="s">
        <v>61</v>
      </c>
      <c r="B184" s="12" t="s">
        <v>60</v>
      </c>
      <c r="C184" s="12" t="s">
        <v>13</v>
      </c>
      <c r="D184" s="12">
        <v>3.6011567851291222</v>
      </c>
      <c r="E184" s="12">
        <v>2.8499999999999996</v>
      </c>
      <c r="F184" s="12">
        <v>20</v>
      </c>
      <c r="G184" s="12">
        <v>2.8499999999999996</v>
      </c>
      <c r="H184" s="12">
        <v>3.7647058823529393</v>
      </c>
      <c r="I184" s="12" t="s">
        <v>115</v>
      </c>
      <c r="J184" s="12">
        <v>46243</v>
      </c>
      <c r="K184">
        <v>46243</v>
      </c>
    </row>
    <row r="185" spans="1:11" x14ac:dyDescent="0.25">
      <c r="A185" s="12" t="s">
        <v>61</v>
      </c>
      <c r="B185" s="12" t="s">
        <v>38</v>
      </c>
      <c r="C185" s="12" t="s">
        <v>13</v>
      </c>
      <c r="D185" s="12">
        <v>3.507203196674312</v>
      </c>
      <c r="E185" s="12">
        <v>3.8</v>
      </c>
      <c r="F185" s="12">
        <v>20</v>
      </c>
      <c r="G185" s="12">
        <v>3.8</v>
      </c>
      <c r="H185" s="12">
        <v>4.705882352941174</v>
      </c>
      <c r="I185" s="12" t="s">
        <v>115</v>
      </c>
      <c r="J185" s="12">
        <v>46243</v>
      </c>
      <c r="K185">
        <v>46243</v>
      </c>
    </row>
    <row r="186" spans="1:11" x14ac:dyDescent="0.25">
      <c r="A186" s="12" t="s">
        <v>61</v>
      </c>
      <c r="B186" s="12" t="s">
        <v>37</v>
      </c>
      <c r="C186" s="12" t="s">
        <v>13</v>
      </c>
      <c r="D186" s="12">
        <v>10.972274579690296</v>
      </c>
      <c r="E186" s="12">
        <v>15.2</v>
      </c>
      <c r="F186" s="12">
        <v>20</v>
      </c>
      <c r="G186" s="12">
        <v>15.2</v>
      </c>
      <c r="H186" s="12">
        <v>13.104166666666666</v>
      </c>
      <c r="I186" s="12" t="s">
        <v>115</v>
      </c>
      <c r="J186" s="12">
        <v>46243</v>
      </c>
      <c r="K186">
        <v>46243</v>
      </c>
    </row>
    <row r="187" spans="1:11" hidden="1" x14ac:dyDescent="0.25">
      <c r="A187" s="12" t="s">
        <v>61</v>
      </c>
      <c r="B187" s="12" t="s">
        <v>38</v>
      </c>
      <c r="C187" s="12" t="s">
        <v>15</v>
      </c>
      <c r="D187" s="12">
        <v>1.2735376146788988</v>
      </c>
      <c r="E187" s="12">
        <v>5.6999999999999993</v>
      </c>
      <c r="F187" s="12">
        <v>20</v>
      </c>
      <c r="G187" s="12">
        <v>5.6999999999999993</v>
      </c>
      <c r="H187" s="12">
        <v>2.8235294117647056</v>
      </c>
      <c r="I187" s="12" t="s">
        <v>141</v>
      </c>
      <c r="J187" s="12">
        <v>46243</v>
      </c>
      <c r="K187">
        <v>46243</v>
      </c>
    </row>
    <row r="188" spans="1:11" hidden="1" x14ac:dyDescent="0.25">
      <c r="A188" s="12" t="s">
        <v>61</v>
      </c>
      <c r="B188" s="12" t="s">
        <v>37</v>
      </c>
      <c r="C188" s="12" t="s">
        <v>15</v>
      </c>
      <c r="D188" s="12">
        <v>4.220105607573192</v>
      </c>
      <c r="E188" s="12">
        <v>23.75</v>
      </c>
      <c r="F188" s="12">
        <v>20</v>
      </c>
      <c r="G188" s="12">
        <v>23.75</v>
      </c>
      <c r="H188" s="12">
        <v>4.6874999999999991</v>
      </c>
      <c r="I188" s="12" t="s">
        <v>141</v>
      </c>
      <c r="J188" s="12">
        <v>46243</v>
      </c>
      <c r="K188">
        <v>46243</v>
      </c>
    </row>
    <row r="189" spans="1:11" hidden="1" x14ac:dyDescent="0.25">
      <c r="A189" s="12" t="s">
        <v>61</v>
      </c>
      <c r="B189" s="12" t="s">
        <v>38</v>
      </c>
      <c r="C189" s="12" t="s">
        <v>14</v>
      </c>
      <c r="D189" s="12">
        <v>3.3711289800323798</v>
      </c>
      <c r="E189" s="12">
        <v>7.6</v>
      </c>
      <c r="F189" s="12">
        <v>20</v>
      </c>
      <c r="G189" s="12">
        <v>7.6</v>
      </c>
      <c r="H189" s="12">
        <v>4.9273356401384065</v>
      </c>
      <c r="I189" s="12" t="s">
        <v>140</v>
      </c>
      <c r="J189" s="12">
        <v>46243</v>
      </c>
      <c r="K189">
        <v>46243</v>
      </c>
    </row>
    <row r="190" spans="1:11" hidden="1" x14ac:dyDescent="0.25">
      <c r="A190" s="12" t="s">
        <v>61</v>
      </c>
      <c r="B190" s="12" t="s">
        <v>37</v>
      </c>
      <c r="C190" s="12" t="s">
        <v>14</v>
      </c>
      <c r="D190" s="12">
        <v>11.816295701204936</v>
      </c>
      <c r="E190" s="12">
        <v>33.25</v>
      </c>
      <c r="F190" s="12">
        <v>20</v>
      </c>
      <c r="G190" s="12">
        <v>33.25</v>
      </c>
      <c r="H190" s="12">
        <v>13.18359375</v>
      </c>
      <c r="I190" s="12" t="s">
        <v>140</v>
      </c>
      <c r="J190" s="12">
        <v>46243</v>
      </c>
      <c r="K190">
        <v>46243</v>
      </c>
    </row>
    <row r="191" spans="1:11" x14ac:dyDescent="0.25">
      <c r="A191" s="12" t="s">
        <v>61</v>
      </c>
      <c r="B191" s="12" t="s">
        <v>60</v>
      </c>
      <c r="C191" s="12" t="s">
        <v>13</v>
      </c>
      <c r="D191" s="12">
        <v>3.6011567851291222</v>
      </c>
      <c r="E191" s="12">
        <v>14.25</v>
      </c>
      <c r="F191" s="12">
        <v>20</v>
      </c>
      <c r="G191" s="12">
        <v>14.25</v>
      </c>
      <c r="H191" s="12">
        <v>3.7647058823529398</v>
      </c>
      <c r="I191" s="12" t="s">
        <v>142</v>
      </c>
      <c r="J191" s="12">
        <v>46244</v>
      </c>
      <c r="K191">
        <v>46244</v>
      </c>
    </row>
    <row r="192" spans="1:11" x14ac:dyDescent="0.25">
      <c r="A192" s="12" t="s">
        <v>61</v>
      </c>
      <c r="B192" s="12" t="s">
        <v>38</v>
      </c>
      <c r="C192" s="12" t="s">
        <v>13</v>
      </c>
      <c r="D192" s="12">
        <v>3.507203196674312</v>
      </c>
      <c r="E192" s="12">
        <v>13.3</v>
      </c>
      <c r="F192" s="12">
        <v>20</v>
      </c>
      <c r="G192" s="12">
        <v>13.3</v>
      </c>
      <c r="H192" s="12">
        <v>4.7058823529411749</v>
      </c>
      <c r="I192" s="12" t="s">
        <v>142</v>
      </c>
      <c r="J192" s="12">
        <v>46244</v>
      </c>
      <c r="K192">
        <v>46244</v>
      </c>
    </row>
    <row r="193" spans="1:11" hidden="1" x14ac:dyDescent="0.25">
      <c r="A193" s="12" t="s">
        <v>61</v>
      </c>
      <c r="B193" s="12" t="s">
        <v>60</v>
      </c>
      <c r="C193" s="12" t="s">
        <v>15</v>
      </c>
      <c r="D193" s="12">
        <v>0</v>
      </c>
      <c r="E193" s="12">
        <v>0</v>
      </c>
      <c r="F193" s="12">
        <v>20</v>
      </c>
      <c r="G193" s="12">
        <v>0</v>
      </c>
      <c r="H193" s="12">
        <v>0</v>
      </c>
      <c r="I193" s="12" t="s">
        <v>117</v>
      </c>
      <c r="J193" s="12">
        <v>46244</v>
      </c>
      <c r="K193">
        <v>46244</v>
      </c>
    </row>
    <row r="194" spans="1:11" hidden="1" x14ac:dyDescent="0.25">
      <c r="A194" s="12" t="s">
        <v>61</v>
      </c>
      <c r="B194" s="12" t="s">
        <v>37</v>
      </c>
      <c r="C194" s="12" t="s">
        <v>15</v>
      </c>
      <c r="D194" s="12">
        <v>4.220105607573192</v>
      </c>
      <c r="E194" s="12">
        <v>12.35</v>
      </c>
      <c r="F194" s="12">
        <v>20</v>
      </c>
      <c r="G194" s="12">
        <v>12.35</v>
      </c>
      <c r="H194" s="12">
        <v>4.6874999999999991</v>
      </c>
      <c r="I194" s="12" t="s">
        <v>117</v>
      </c>
      <c r="J194" s="12">
        <v>46244</v>
      </c>
      <c r="K194">
        <v>46244</v>
      </c>
    </row>
    <row r="195" spans="1:11" hidden="1" x14ac:dyDescent="0.25">
      <c r="A195" s="12" t="s">
        <v>61</v>
      </c>
      <c r="B195" s="12" t="s">
        <v>38</v>
      </c>
      <c r="C195" s="12" t="s">
        <v>15</v>
      </c>
      <c r="D195" s="12">
        <v>1.2735376146788988</v>
      </c>
      <c r="E195" s="12">
        <v>0</v>
      </c>
      <c r="F195" s="12">
        <v>20</v>
      </c>
      <c r="G195" s="12">
        <v>0</v>
      </c>
      <c r="H195" s="12">
        <v>2.8235294117647056</v>
      </c>
      <c r="I195" s="12" t="s">
        <v>117</v>
      </c>
      <c r="J195" s="12">
        <v>46244</v>
      </c>
      <c r="K195">
        <v>46244</v>
      </c>
    </row>
    <row r="196" spans="1:11" hidden="1" x14ac:dyDescent="0.25">
      <c r="A196" s="12" t="s">
        <v>61</v>
      </c>
      <c r="B196" s="12" t="s">
        <v>60</v>
      </c>
      <c r="C196" s="12" t="s">
        <v>14</v>
      </c>
      <c r="D196" s="12">
        <v>3.1774912809962848</v>
      </c>
      <c r="E196" s="12">
        <v>3.8</v>
      </c>
      <c r="F196" s="12">
        <v>20</v>
      </c>
      <c r="G196" s="12">
        <v>3.8</v>
      </c>
      <c r="H196" s="12">
        <v>3.7508650519031144</v>
      </c>
      <c r="I196" s="12" t="s">
        <v>116</v>
      </c>
      <c r="J196" s="12">
        <v>46244</v>
      </c>
      <c r="K196">
        <v>46244</v>
      </c>
    </row>
    <row r="197" spans="1:11" hidden="1" x14ac:dyDescent="0.25">
      <c r="A197" s="12" t="s">
        <v>61</v>
      </c>
      <c r="B197" s="12" t="s">
        <v>37</v>
      </c>
      <c r="C197" s="12" t="s">
        <v>14</v>
      </c>
      <c r="D197" s="12">
        <v>10.972274579690296</v>
      </c>
      <c r="E197" s="12">
        <v>16.149999999999999</v>
      </c>
      <c r="F197" s="12">
        <v>20</v>
      </c>
      <c r="G197" s="12">
        <v>16.149999999999999</v>
      </c>
      <c r="H197" s="12">
        <v>12.246323529411764</v>
      </c>
      <c r="I197" s="12" t="s">
        <v>116</v>
      </c>
      <c r="J197" s="12">
        <v>46244</v>
      </c>
      <c r="K197">
        <v>46244</v>
      </c>
    </row>
    <row r="198" spans="1:11" hidden="1" x14ac:dyDescent="0.25">
      <c r="A198" s="12" t="s">
        <v>61</v>
      </c>
      <c r="B198" s="12" t="s">
        <v>38</v>
      </c>
      <c r="C198" s="12" t="s">
        <v>14</v>
      </c>
      <c r="D198" s="12">
        <v>3.3711289800323794</v>
      </c>
      <c r="E198" s="12">
        <v>4.75</v>
      </c>
      <c r="F198" s="12">
        <v>20</v>
      </c>
      <c r="G198" s="12">
        <v>4.75</v>
      </c>
      <c r="H198" s="12">
        <v>5.8131487889273332</v>
      </c>
      <c r="I198" s="12" t="s">
        <v>116</v>
      </c>
      <c r="J198" s="12">
        <v>46244</v>
      </c>
      <c r="K198">
        <v>46244</v>
      </c>
    </row>
    <row r="199" spans="1:11" x14ac:dyDescent="0.25">
      <c r="A199" s="12" t="s">
        <v>61</v>
      </c>
      <c r="B199" s="12" t="s">
        <v>37</v>
      </c>
      <c r="C199" s="12" t="s">
        <v>13</v>
      </c>
      <c r="D199" s="12">
        <v>11.872563775972576</v>
      </c>
      <c r="E199" s="12">
        <v>47.5</v>
      </c>
      <c r="F199" s="12">
        <v>20</v>
      </c>
      <c r="G199" s="12">
        <v>47.5</v>
      </c>
      <c r="H199" s="12">
        <v>12.191176470588236</v>
      </c>
      <c r="I199" s="12" t="s">
        <v>142</v>
      </c>
      <c r="J199" s="12">
        <v>46244</v>
      </c>
      <c r="K199">
        <v>46244</v>
      </c>
    </row>
    <row r="200" spans="1:11" hidden="1" x14ac:dyDescent="0.25">
      <c r="A200" s="12" t="s">
        <v>61</v>
      </c>
      <c r="B200" s="12" t="s">
        <v>60</v>
      </c>
      <c r="C200" s="12" t="s">
        <v>14</v>
      </c>
      <c r="D200" s="12">
        <v>3.1774912809962848</v>
      </c>
      <c r="E200" s="12">
        <v>2.8499999999999996</v>
      </c>
      <c r="F200" s="12">
        <v>20</v>
      </c>
      <c r="G200" s="12">
        <v>2.8499999999999996</v>
      </c>
      <c r="H200" s="12">
        <v>3.7508650519031144</v>
      </c>
      <c r="I200" s="12" t="s">
        <v>119</v>
      </c>
      <c r="J200" s="12">
        <v>46245</v>
      </c>
      <c r="K200">
        <v>46245</v>
      </c>
    </row>
    <row r="201" spans="1:11" hidden="1" x14ac:dyDescent="0.25">
      <c r="A201" s="12" t="s">
        <v>61</v>
      </c>
      <c r="B201" s="12" t="s">
        <v>37</v>
      </c>
      <c r="C201" s="12" t="s">
        <v>14</v>
      </c>
      <c r="D201" s="12">
        <v>10.972274579690296</v>
      </c>
      <c r="E201" s="12">
        <v>10.45</v>
      </c>
      <c r="F201" s="12">
        <v>20</v>
      </c>
      <c r="G201" s="12">
        <v>10.45</v>
      </c>
      <c r="H201" s="12">
        <v>12.1875</v>
      </c>
      <c r="I201" s="12" t="s">
        <v>119</v>
      </c>
      <c r="J201" s="12">
        <v>46245</v>
      </c>
      <c r="K201">
        <v>46245</v>
      </c>
    </row>
    <row r="202" spans="1:11" hidden="1" x14ac:dyDescent="0.25">
      <c r="A202" s="12" t="s">
        <v>61</v>
      </c>
      <c r="B202" s="12" t="s">
        <v>38</v>
      </c>
      <c r="C202" s="12" t="s">
        <v>14</v>
      </c>
      <c r="D202" s="12">
        <v>3.3711289800323794</v>
      </c>
      <c r="E202" s="12">
        <v>2.8499999999999996</v>
      </c>
      <c r="F202" s="12">
        <v>20</v>
      </c>
      <c r="G202" s="12">
        <v>2.8499999999999996</v>
      </c>
      <c r="H202" s="12">
        <v>5.9238754325259491</v>
      </c>
      <c r="I202" s="12" t="s">
        <v>119</v>
      </c>
      <c r="J202" s="12">
        <v>46245</v>
      </c>
      <c r="K202">
        <v>46245</v>
      </c>
    </row>
    <row r="203" spans="1:11" x14ac:dyDescent="0.25">
      <c r="A203" s="12" t="s">
        <v>61</v>
      </c>
      <c r="B203" s="12" t="s">
        <v>60</v>
      </c>
      <c r="C203" s="12" t="s">
        <v>13</v>
      </c>
      <c r="D203" s="12">
        <v>3.6011567851291222</v>
      </c>
      <c r="E203" s="12">
        <v>1.9</v>
      </c>
      <c r="F203" s="12">
        <v>20</v>
      </c>
      <c r="G203" s="12">
        <v>1.9</v>
      </c>
      <c r="H203" s="12">
        <v>3.7647058823529398</v>
      </c>
      <c r="I203" s="12" t="s">
        <v>118</v>
      </c>
      <c r="J203" s="12">
        <v>46245</v>
      </c>
      <c r="K203">
        <v>46245</v>
      </c>
    </row>
    <row r="204" spans="1:11" hidden="1" x14ac:dyDescent="0.25">
      <c r="A204" s="12" t="s">
        <v>61</v>
      </c>
      <c r="B204" s="12" t="s">
        <v>37</v>
      </c>
      <c r="C204" s="12" t="s">
        <v>15</v>
      </c>
      <c r="D204" s="12">
        <v>4.220105607573192</v>
      </c>
      <c r="E204" s="12">
        <v>31.35</v>
      </c>
      <c r="F204" s="12">
        <v>20</v>
      </c>
      <c r="G204" s="12">
        <v>31.35</v>
      </c>
      <c r="H204" s="12">
        <v>4.6874999999999991</v>
      </c>
      <c r="I204" s="12" t="s">
        <v>120</v>
      </c>
      <c r="J204" s="12">
        <v>46245</v>
      </c>
      <c r="K204">
        <v>46245</v>
      </c>
    </row>
    <row r="205" spans="1:11" hidden="1" x14ac:dyDescent="0.25">
      <c r="A205" s="12" t="s">
        <v>61</v>
      </c>
      <c r="B205" s="12" t="s">
        <v>38</v>
      </c>
      <c r="C205" s="12" t="s">
        <v>15</v>
      </c>
      <c r="D205" s="12">
        <v>1.2735376146788988</v>
      </c>
      <c r="E205" s="12">
        <v>8.5499999999999989</v>
      </c>
      <c r="F205" s="12">
        <v>20</v>
      </c>
      <c r="G205" s="12">
        <v>8.5499999999999989</v>
      </c>
      <c r="H205" s="12">
        <v>2.8235294117647056</v>
      </c>
      <c r="I205" s="12" t="s">
        <v>120</v>
      </c>
      <c r="J205" s="12">
        <v>46245</v>
      </c>
      <c r="K205">
        <v>46245</v>
      </c>
    </row>
    <row r="206" spans="1:11" x14ac:dyDescent="0.25">
      <c r="A206" s="12" t="s">
        <v>61</v>
      </c>
      <c r="B206" s="12" t="s">
        <v>38</v>
      </c>
      <c r="C206" s="12" t="s">
        <v>13</v>
      </c>
      <c r="D206" s="12">
        <v>7.014406393348624</v>
      </c>
      <c r="E206" s="12">
        <v>3.8</v>
      </c>
      <c r="F206" s="12">
        <v>20</v>
      </c>
      <c r="G206" s="12">
        <v>3.8</v>
      </c>
      <c r="H206" s="12">
        <v>6.5882352941176467</v>
      </c>
      <c r="I206" s="12" t="s">
        <v>118</v>
      </c>
      <c r="J206" s="12">
        <v>46245</v>
      </c>
      <c r="K206">
        <v>46245</v>
      </c>
    </row>
    <row r="207" spans="1:11" hidden="1" x14ac:dyDescent="0.25">
      <c r="A207" s="12" t="s">
        <v>61</v>
      </c>
      <c r="B207" s="12" t="s">
        <v>60</v>
      </c>
      <c r="C207" s="12" t="s">
        <v>15</v>
      </c>
      <c r="D207" s="12">
        <v>0</v>
      </c>
      <c r="E207" s="12">
        <v>11.4</v>
      </c>
      <c r="F207" s="12">
        <v>20</v>
      </c>
      <c r="G207" s="12">
        <v>11.4</v>
      </c>
      <c r="H207" s="12">
        <v>0</v>
      </c>
      <c r="I207" s="12" t="s">
        <v>120</v>
      </c>
      <c r="J207" s="12">
        <v>46245</v>
      </c>
      <c r="K207">
        <v>46245</v>
      </c>
    </row>
    <row r="208" spans="1:11" x14ac:dyDescent="0.25">
      <c r="A208" s="12" t="s">
        <v>61</v>
      </c>
      <c r="B208" s="12" t="s">
        <v>37</v>
      </c>
      <c r="C208" s="12" t="s">
        <v>13</v>
      </c>
      <c r="D208" s="12">
        <v>11.731893589053469</v>
      </c>
      <c r="E208" s="12">
        <v>5.6999999999999993</v>
      </c>
      <c r="F208" s="12">
        <v>20</v>
      </c>
      <c r="G208" s="12">
        <v>5.6999999999999993</v>
      </c>
      <c r="H208" s="12">
        <v>11.25</v>
      </c>
      <c r="I208" s="12" t="s">
        <v>118</v>
      </c>
      <c r="J208" s="12">
        <v>46245</v>
      </c>
      <c r="K208">
        <v>46245</v>
      </c>
    </row>
    <row r="209" spans="1:11" x14ac:dyDescent="0.25">
      <c r="A209" s="12" t="s">
        <v>61</v>
      </c>
      <c r="B209" s="12" t="s">
        <v>38</v>
      </c>
      <c r="C209" s="12" t="s">
        <v>13</v>
      </c>
      <c r="D209" s="12">
        <v>5.8204648795871554</v>
      </c>
      <c r="E209" s="12">
        <v>2.8499999999999996</v>
      </c>
      <c r="F209" s="12">
        <v>20</v>
      </c>
      <c r="G209" s="12">
        <v>2.8499999999999996</v>
      </c>
      <c r="H209" s="12">
        <v>5.6470588235294112</v>
      </c>
      <c r="I209" s="12" t="s">
        <v>121</v>
      </c>
      <c r="J209" s="12">
        <v>46246</v>
      </c>
      <c r="K209">
        <v>46246</v>
      </c>
    </row>
    <row r="210" spans="1:11" x14ac:dyDescent="0.25">
      <c r="A210" s="12" t="s">
        <v>61</v>
      </c>
      <c r="B210" s="12" t="s">
        <v>37</v>
      </c>
      <c r="C210" s="12" t="s">
        <v>13</v>
      </c>
      <c r="D210" s="12">
        <v>12.575914710568108</v>
      </c>
      <c r="E210" s="12">
        <v>10.45</v>
      </c>
      <c r="F210" s="12">
        <v>20</v>
      </c>
      <c r="G210" s="12">
        <v>10.45</v>
      </c>
      <c r="H210" s="12">
        <v>11.308823529411764</v>
      </c>
      <c r="I210" s="12" t="s">
        <v>121</v>
      </c>
      <c r="J210" s="12">
        <v>46246</v>
      </c>
      <c r="K210">
        <v>46246</v>
      </c>
    </row>
    <row r="211" spans="1:11" x14ac:dyDescent="0.25">
      <c r="A211" s="12" t="s">
        <v>61</v>
      </c>
      <c r="B211" s="12" t="s">
        <v>60</v>
      </c>
      <c r="C211" s="12" t="s">
        <v>13</v>
      </c>
      <c r="D211" s="12">
        <v>3.6011567851291222</v>
      </c>
      <c r="E211" s="12">
        <v>1.9</v>
      </c>
      <c r="F211" s="12">
        <v>20</v>
      </c>
      <c r="G211" s="12">
        <v>1.9</v>
      </c>
      <c r="H211" s="12">
        <v>3.7647058823529398</v>
      </c>
      <c r="I211" s="12" t="s">
        <v>121</v>
      </c>
      <c r="J211" s="12">
        <v>46246</v>
      </c>
      <c r="K211">
        <v>46246</v>
      </c>
    </row>
    <row r="212" spans="1:11" hidden="1" x14ac:dyDescent="0.25">
      <c r="A212" s="12" t="s">
        <v>61</v>
      </c>
      <c r="B212" s="12" t="s">
        <v>38</v>
      </c>
      <c r="C212" s="12" t="s">
        <v>15</v>
      </c>
      <c r="D212" s="12">
        <v>1.2735376146788988</v>
      </c>
      <c r="E212" s="12">
        <v>10.45</v>
      </c>
      <c r="F212" s="12">
        <v>20</v>
      </c>
      <c r="G212" s="12">
        <v>10.45</v>
      </c>
      <c r="H212" s="12">
        <v>0.94117647058823517</v>
      </c>
      <c r="I212" s="12" t="s">
        <v>122</v>
      </c>
      <c r="J212" s="12">
        <v>46246</v>
      </c>
      <c r="K212">
        <v>46246</v>
      </c>
    </row>
    <row r="213" spans="1:11" hidden="1" x14ac:dyDescent="0.25">
      <c r="A213" s="12" t="s">
        <v>61</v>
      </c>
      <c r="B213" s="12" t="s">
        <v>37</v>
      </c>
      <c r="C213" s="12" t="s">
        <v>15</v>
      </c>
      <c r="D213" s="12">
        <v>4.220105607573192</v>
      </c>
      <c r="E213" s="12">
        <v>30.4</v>
      </c>
      <c r="F213" s="12">
        <v>20</v>
      </c>
      <c r="G213" s="12">
        <v>30.4</v>
      </c>
      <c r="H213" s="12">
        <v>5.6041666666666661</v>
      </c>
      <c r="I213" s="12" t="s">
        <v>122</v>
      </c>
      <c r="J213" s="12">
        <v>46246</v>
      </c>
      <c r="K213">
        <v>46246</v>
      </c>
    </row>
    <row r="214" spans="1:11" hidden="1" x14ac:dyDescent="0.25">
      <c r="A214" s="12" t="s">
        <v>61</v>
      </c>
      <c r="B214" s="12" t="s">
        <v>60</v>
      </c>
      <c r="C214" s="12" t="s">
        <v>15</v>
      </c>
      <c r="D214" s="12">
        <v>0</v>
      </c>
      <c r="E214" s="12">
        <v>11.4</v>
      </c>
      <c r="F214" s="12">
        <v>20</v>
      </c>
      <c r="G214" s="12">
        <v>11.4</v>
      </c>
      <c r="H214" s="12">
        <v>0</v>
      </c>
      <c r="I214" s="12" t="s">
        <v>122</v>
      </c>
      <c r="J214" s="12">
        <v>46246</v>
      </c>
      <c r="K214">
        <v>46246</v>
      </c>
    </row>
    <row r="215" spans="1:11" hidden="1" x14ac:dyDescent="0.25">
      <c r="A215" s="12" t="s">
        <v>61</v>
      </c>
      <c r="B215" s="12" t="s">
        <v>38</v>
      </c>
      <c r="C215" s="12" t="s">
        <v>14</v>
      </c>
      <c r="D215" s="12">
        <v>2.2474193200215864</v>
      </c>
      <c r="E215" s="12">
        <v>1.9</v>
      </c>
      <c r="F215" s="12">
        <v>20</v>
      </c>
      <c r="G215" s="12">
        <v>1.9</v>
      </c>
      <c r="H215" s="12">
        <v>4.0415224913494789</v>
      </c>
      <c r="I215" s="12" t="s">
        <v>123</v>
      </c>
      <c r="J215" s="12">
        <v>46246</v>
      </c>
      <c r="K215">
        <v>46246</v>
      </c>
    </row>
    <row r="216" spans="1:11" hidden="1" x14ac:dyDescent="0.25">
      <c r="A216" s="12" t="s">
        <v>61</v>
      </c>
      <c r="B216" s="12" t="s">
        <v>60</v>
      </c>
      <c r="C216" s="12" t="s">
        <v>14</v>
      </c>
      <c r="D216" s="12">
        <v>3.1774912809962848</v>
      </c>
      <c r="E216" s="12">
        <v>2.8499999999999996</v>
      </c>
      <c r="F216" s="12">
        <v>20</v>
      </c>
      <c r="G216" s="12">
        <v>2.8499999999999996</v>
      </c>
      <c r="H216" s="12">
        <v>3.7508650519031144</v>
      </c>
      <c r="I216" s="12" t="s">
        <v>123</v>
      </c>
      <c r="J216" s="12">
        <v>46246</v>
      </c>
      <c r="K216">
        <v>46246</v>
      </c>
    </row>
    <row r="217" spans="1:11" hidden="1" x14ac:dyDescent="0.25">
      <c r="A217" s="12" t="s">
        <v>61</v>
      </c>
      <c r="B217" s="12" t="s">
        <v>37</v>
      </c>
      <c r="C217" s="12" t="s">
        <v>14</v>
      </c>
      <c r="D217" s="12">
        <v>10.80347035538737</v>
      </c>
      <c r="E217" s="12">
        <v>9.5</v>
      </c>
      <c r="F217" s="12">
        <v>20</v>
      </c>
      <c r="G217" s="12">
        <v>9.5</v>
      </c>
      <c r="H217" s="12">
        <v>12.055759803921568</v>
      </c>
      <c r="I217" s="12" t="s">
        <v>123</v>
      </c>
      <c r="J217" s="12">
        <v>46246</v>
      </c>
      <c r="K217">
        <v>46246</v>
      </c>
    </row>
    <row r="218" spans="1:11" hidden="1" x14ac:dyDescent="0.25">
      <c r="A218" s="12" t="s">
        <v>61</v>
      </c>
      <c r="B218" s="12" t="s">
        <v>37</v>
      </c>
      <c r="C218" s="12" t="s">
        <v>14</v>
      </c>
      <c r="D218" s="12">
        <v>10.972274579690296</v>
      </c>
      <c r="E218" s="12">
        <v>1.9</v>
      </c>
      <c r="F218" s="12">
        <v>20</v>
      </c>
      <c r="G218" s="12">
        <v>1.9</v>
      </c>
      <c r="H218" s="12">
        <v>12.24609375</v>
      </c>
      <c r="I218" s="12" t="s">
        <v>124</v>
      </c>
      <c r="J218" s="12">
        <v>46247</v>
      </c>
      <c r="K218">
        <v>46247</v>
      </c>
    </row>
    <row r="219" spans="1:11" hidden="1" x14ac:dyDescent="0.25">
      <c r="A219" s="12" t="s">
        <v>61</v>
      </c>
      <c r="B219" s="12" t="s">
        <v>38</v>
      </c>
      <c r="C219" s="12" t="s">
        <v>14</v>
      </c>
      <c r="D219" s="12">
        <v>3.3711289800323794</v>
      </c>
      <c r="E219" s="12">
        <v>0.95</v>
      </c>
      <c r="F219" s="12">
        <v>20</v>
      </c>
      <c r="G219" s="12">
        <v>0.95</v>
      </c>
      <c r="H219" s="12">
        <v>3.986159169550171</v>
      </c>
      <c r="I219" s="12" t="s">
        <v>124</v>
      </c>
      <c r="J219" s="12">
        <v>46247</v>
      </c>
      <c r="K219">
        <v>46247</v>
      </c>
    </row>
    <row r="220" spans="1:11" hidden="1" x14ac:dyDescent="0.25">
      <c r="A220" s="12" t="s">
        <v>61</v>
      </c>
      <c r="B220" s="12" t="s">
        <v>60</v>
      </c>
      <c r="C220" s="12" t="s">
        <v>14</v>
      </c>
      <c r="D220" s="12">
        <v>3.1774912809962848</v>
      </c>
      <c r="E220" s="12">
        <v>0.95</v>
      </c>
      <c r="F220" s="12">
        <v>20</v>
      </c>
      <c r="G220" s="12">
        <v>0.95</v>
      </c>
      <c r="H220" s="12">
        <v>3.7508650519031144</v>
      </c>
      <c r="I220" s="12" t="s">
        <v>124</v>
      </c>
      <c r="J220" s="12">
        <v>46247</v>
      </c>
      <c r="K220">
        <v>46247</v>
      </c>
    </row>
    <row r="221" spans="1:11" hidden="1" x14ac:dyDescent="0.25">
      <c r="A221" s="12" t="s">
        <v>61</v>
      </c>
      <c r="B221" s="12" t="s">
        <v>38</v>
      </c>
      <c r="C221" s="12" t="s">
        <v>15</v>
      </c>
      <c r="D221" s="12">
        <v>1.2735376146788988</v>
      </c>
      <c r="E221" s="12">
        <v>12.35</v>
      </c>
      <c r="F221" s="12">
        <v>20</v>
      </c>
      <c r="G221" s="12">
        <v>12.35</v>
      </c>
      <c r="H221" s="12">
        <v>1.8823529411764703</v>
      </c>
      <c r="I221" s="12" t="s">
        <v>125</v>
      </c>
      <c r="J221" s="12">
        <v>46247</v>
      </c>
      <c r="K221">
        <v>46247</v>
      </c>
    </row>
    <row r="222" spans="1:11" hidden="1" x14ac:dyDescent="0.25">
      <c r="A222" s="12" t="s">
        <v>61</v>
      </c>
      <c r="B222" s="12" t="s">
        <v>60</v>
      </c>
      <c r="C222" s="12" t="s">
        <v>15</v>
      </c>
      <c r="D222" s="12">
        <v>0</v>
      </c>
      <c r="E222" s="12">
        <v>11.4</v>
      </c>
      <c r="F222" s="12">
        <v>20</v>
      </c>
      <c r="G222" s="12">
        <v>11.4</v>
      </c>
      <c r="H222" s="12">
        <v>0</v>
      </c>
      <c r="I222" s="12" t="s">
        <v>125</v>
      </c>
      <c r="J222" s="12">
        <v>46247</v>
      </c>
      <c r="K222">
        <v>46247</v>
      </c>
    </row>
    <row r="223" spans="1:11" x14ac:dyDescent="0.25">
      <c r="A223" s="12" t="s">
        <v>61</v>
      </c>
      <c r="B223" s="12" t="s">
        <v>37</v>
      </c>
      <c r="C223" s="12" t="s">
        <v>13</v>
      </c>
      <c r="D223" s="12">
        <v>10.887872467538832</v>
      </c>
      <c r="E223" s="12">
        <v>15.2</v>
      </c>
      <c r="F223" s="12">
        <v>20</v>
      </c>
      <c r="G223" s="12">
        <v>15.2</v>
      </c>
      <c r="H223" s="12">
        <v>12.166666666666668</v>
      </c>
      <c r="I223" s="12" t="s">
        <v>126</v>
      </c>
      <c r="J223" s="12">
        <v>46247</v>
      </c>
      <c r="K223">
        <v>46247</v>
      </c>
    </row>
    <row r="224" spans="1:11" x14ac:dyDescent="0.25">
      <c r="A224" s="12" t="s">
        <v>61</v>
      </c>
      <c r="B224" s="12" t="s">
        <v>60</v>
      </c>
      <c r="C224" s="12" t="s">
        <v>13</v>
      </c>
      <c r="D224" s="12">
        <v>3.6011567851291222</v>
      </c>
      <c r="E224" s="12">
        <v>2.8499999999999996</v>
      </c>
      <c r="F224" s="12">
        <v>20</v>
      </c>
      <c r="G224" s="12">
        <v>2.8499999999999996</v>
      </c>
      <c r="H224" s="12">
        <v>3.7647058823529393</v>
      </c>
      <c r="I224" s="12" t="s">
        <v>126</v>
      </c>
      <c r="J224" s="12">
        <v>46247</v>
      </c>
      <c r="K224">
        <v>46247</v>
      </c>
    </row>
    <row r="225" spans="1:11" hidden="1" x14ac:dyDescent="0.25">
      <c r="A225" s="12" t="s">
        <v>61</v>
      </c>
      <c r="B225" s="12" t="s">
        <v>37</v>
      </c>
      <c r="C225" s="12" t="s">
        <v>15</v>
      </c>
      <c r="D225" s="12">
        <v>4.220105607573192</v>
      </c>
      <c r="E225" s="12">
        <v>30.4</v>
      </c>
      <c r="F225" s="12">
        <v>20</v>
      </c>
      <c r="G225" s="12">
        <v>30.4</v>
      </c>
      <c r="H225" s="12">
        <v>4.6874999999999991</v>
      </c>
      <c r="I225" s="12" t="s">
        <v>125</v>
      </c>
      <c r="J225" s="12">
        <v>46247</v>
      </c>
      <c r="K225">
        <v>46247</v>
      </c>
    </row>
    <row r="226" spans="1:11" x14ac:dyDescent="0.25">
      <c r="A226" s="12" t="s">
        <v>61</v>
      </c>
      <c r="B226" s="12" t="s">
        <v>38</v>
      </c>
      <c r="C226" s="12" t="s">
        <v>13</v>
      </c>
      <c r="D226" s="12">
        <v>5.7458435349770651</v>
      </c>
      <c r="E226" s="12">
        <v>1.9</v>
      </c>
      <c r="F226" s="12">
        <v>20</v>
      </c>
      <c r="G226" s="12">
        <v>1.9</v>
      </c>
      <c r="H226" s="12">
        <v>3.7647058823529393</v>
      </c>
      <c r="I226" s="12" t="s">
        <v>126</v>
      </c>
      <c r="J226" s="12">
        <v>46247</v>
      </c>
      <c r="K226">
        <v>46247</v>
      </c>
    </row>
    <row r="227" spans="1:11" hidden="1" x14ac:dyDescent="0.25">
      <c r="A227" s="12" t="s">
        <v>61</v>
      </c>
      <c r="B227" s="12" t="s">
        <v>38</v>
      </c>
      <c r="C227" s="12" t="s">
        <v>14</v>
      </c>
      <c r="D227" s="12">
        <v>2.2474193200215864</v>
      </c>
      <c r="E227" s="12">
        <v>2.8499999999999996</v>
      </c>
      <c r="F227" s="12">
        <v>20</v>
      </c>
      <c r="G227" s="12">
        <v>2.8499999999999996</v>
      </c>
      <c r="H227" s="12">
        <v>2.9896193771626298</v>
      </c>
      <c r="I227" s="12" t="s">
        <v>127</v>
      </c>
      <c r="J227" s="12">
        <v>46248</v>
      </c>
      <c r="K227">
        <v>46248</v>
      </c>
    </row>
    <row r="228" spans="1:11" hidden="1" x14ac:dyDescent="0.25">
      <c r="A228" s="12" t="s">
        <v>61</v>
      </c>
      <c r="B228" s="12" t="s">
        <v>60</v>
      </c>
      <c r="C228" s="12" t="s">
        <v>14</v>
      </c>
      <c r="D228" s="12">
        <v>3.1774912809962848</v>
      </c>
      <c r="E228" s="12">
        <v>1.9</v>
      </c>
      <c r="F228" s="12">
        <v>20</v>
      </c>
      <c r="G228" s="12">
        <v>1.9</v>
      </c>
      <c r="H228" s="12">
        <v>3.7508650519031144</v>
      </c>
      <c r="I228" s="12" t="s">
        <v>127</v>
      </c>
      <c r="J228" s="12">
        <v>46248</v>
      </c>
      <c r="K228">
        <v>46248</v>
      </c>
    </row>
    <row r="229" spans="1:11" hidden="1" x14ac:dyDescent="0.25">
      <c r="A229" s="12" t="s">
        <v>61</v>
      </c>
      <c r="B229" s="12" t="s">
        <v>37</v>
      </c>
      <c r="C229" s="12" t="s">
        <v>14</v>
      </c>
      <c r="D229" s="12">
        <v>11.028542654457937</v>
      </c>
      <c r="E229" s="12">
        <v>4.75</v>
      </c>
      <c r="F229" s="12">
        <v>20</v>
      </c>
      <c r="G229" s="12">
        <v>4.75</v>
      </c>
      <c r="H229" s="12">
        <v>12.191176470588236</v>
      </c>
      <c r="I229" s="12" t="s">
        <v>127</v>
      </c>
      <c r="J229" s="12">
        <v>46248</v>
      </c>
      <c r="K229">
        <v>46248</v>
      </c>
    </row>
    <row r="230" spans="1:11" hidden="1" x14ac:dyDescent="0.25">
      <c r="A230" s="12" t="s">
        <v>61</v>
      </c>
      <c r="B230" s="12" t="s">
        <v>37</v>
      </c>
      <c r="C230" s="12" t="s">
        <v>15</v>
      </c>
      <c r="D230" s="12">
        <v>4.220105607573192</v>
      </c>
      <c r="E230" s="12">
        <v>30.4</v>
      </c>
      <c r="F230" s="12">
        <v>20</v>
      </c>
      <c r="G230" s="12">
        <v>30.4</v>
      </c>
      <c r="H230" s="12">
        <v>3.7499999999999991</v>
      </c>
      <c r="I230" s="12" t="s">
        <v>129</v>
      </c>
      <c r="J230" s="12">
        <v>46248</v>
      </c>
      <c r="K230">
        <v>46248</v>
      </c>
    </row>
    <row r="231" spans="1:11" hidden="1" x14ac:dyDescent="0.25">
      <c r="A231" s="12" t="s">
        <v>61</v>
      </c>
      <c r="B231" s="12" t="s">
        <v>38</v>
      </c>
      <c r="C231" s="12" t="s">
        <v>15</v>
      </c>
      <c r="D231" s="12">
        <v>1.2735376146788988</v>
      </c>
      <c r="E231" s="12">
        <v>13.3</v>
      </c>
      <c r="F231" s="12">
        <v>20</v>
      </c>
      <c r="G231" s="12">
        <v>13.3</v>
      </c>
      <c r="H231" s="12">
        <v>1.8823529411764703</v>
      </c>
      <c r="I231" s="12" t="s">
        <v>129</v>
      </c>
      <c r="J231" s="12">
        <v>46248</v>
      </c>
      <c r="K231">
        <v>46248</v>
      </c>
    </row>
    <row r="232" spans="1:11" x14ac:dyDescent="0.25">
      <c r="A232" s="12" t="s">
        <v>61</v>
      </c>
      <c r="B232" s="12" t="s">
        <v>37</v>
      </c>
      <c r="C232" s="12" t="s">
        <v>13</v>
      </c>
      <c r="D232" s="12">
        <v>10.972274579690296</v>
      </c>
      <c r="E232" s="12">
        <v>22.799999999999997</v>
      </c>
      <c r="F232" s="12">
        <v>20</v>
      </c>
      <c r="G232" s="12">
        <v>22.799999999999997</v>
      </c>
      <c r="H232" s="12">
        <v>10.371323529411764</v>
      </c>
      <c r="I232" s="12" t="s">
        <v>128</v>
      </c>
      <c r="J232" s="12">
        <v>46248</v>
      </c>
      <c r="K232">
        <v>46248</v>
      </c>
    </row>
    <row r="233" spans="1:11" x14ac:dyDescent="0.25">
      <c r="A233" s="12" t="s">
        <v>61</v>
      </c>
      <c r="B233" s="12" t="s">
        <v>60</v>
      </c>
      <c r="C233" s="12" t="s">
        <v>13</v>
      </c>
      <c r="D233" s="12">
        <v>3.6011567851291222</v>
      </c>
      <c r="E233" s="12">
        <v>2.8499999999999996</v>
      </c>
      <c r="F233" s="12">
        <v>20</v>
      </c>
      <c r="G233" s="12">
        <v>2.8499999999999996</v>
      </c>
      <c r="H233" s="12">
        <v>3.7647058823529398</v>
      </c>
      <c r="I233" s="12" t="s">
        <v>128</v>
      </c>
      <c r="J233" s="12">
        <v>46248</v>
      </c>
      <c r="K233">
        <v>46248</v>
      </c>
    </row>
    <row r="234" spans="1:11" hidden="1" x14ac:dyDescent="0.25">
      <c r="A234" s="12" t="s">
        <v>61</v>
      </c>
      <c r="B234" s="12" t="s">
        <v>60</v>
      </c>
      <c r="C234" s="12" t="s">
        <v>15</v>
      </c>
      <c r="D234" s="12">
        <v>0</v>
      </c>
      <c r="E234" s="12">
        <v>11.4</v>
      </c>
      <c r="F234" s="12">
        <v>20</v>
      </c>
      <c r="G234" s="12">
        <v>11.4</v>
      </c>
      <c r="H234" s="12">
        <v>0</v>
      </c>
      <c r="I234" s="12" t="s">
        <v>129</v>
      </c>
      <c r="J234" s="12">
        <v>46248</v>
      </c>
      <c r="K234">
        <v>46248</v>
      </c>
    </row>
    <row r="235" spans="1:11" x14ac:dyDescent="0.25">
      <c r="A235" s="12" t="s">
        <v>61</v>
      </c>
      <c r="B235" s="12" t="s">
        <v>38</v>
      </c>
      <c r="C235" s="12" t="s">
        <v>13</v>
      </c>
      <c r="D235" s="12">
        <v>4.5519020212155956</v>
      </c>
      <c r="E235" s="12">
        <v>0</v>
      </c>
      <c r="F235" s="12">
        <v>20</v>
      </c>
      <c r="G235" s="12">
        <v>0</v>
      </c>
      <c r="H235" s="12">
        <v>2.8235294117647065</v>
      </c>
      <c r="I235" s="12" t="s">
        <v>128</v>
      </c>
      <c r="J235" s="12">
        <v>46248</v>
      </c>
      <c r="K235">
        <v>46248</v>
      </c>
    </row>
    <row r="236" spans="1:11" hidden="1" x14ac:dyDescent="0.25">
      <c r="A236" s="12" t="s">
        <v>61</v>
      </c>
      <c r="B236" s="12" t="s">
        <v>38</v>
      </c>
      <c r="C236" s="12" t="s">
        <v>14</v>
      </c>
      <c r="D236" s="12">
        <v>2.2474193200215868</v>
      </c>
      <c r="E236" s="12">
        <v>1.9</v>
      </c>
      <c r="F236" s="12">
        <v>20</v>
      </c>
      <c r="G236" s="12">
        <v>1.9</v>
      </c>
      <c r="H236" s="12">
        <v>4.1003460207612443</v>
      </c>
      <c r="I236" s="12" t="s">
        <v>130</v>
      </c>
      <c r="J236" s="12">
        <v>46249</v>
      </c>
      <c r="K236">
        <v>46249</v>
      </c>
    </row>
    <row r="237" spans="1:11" hidden="1" x14ac:dyDescent="0.25">
      <c r="A237" s="12" t="s">
        <v>61</v>
      </c>
      <c r="B237" s="12" t="s">
        <v>60</v>
      </c>
      <c r="C237" s="12" t="s">
        <v>14</v>
      </c>
      <c r="D237" s="12">
        <v>3.2304494690128904</v>
      </c>
      <c r="E237" s="12">
        <v>3.8</v>
      </c>
      <c r="F237" s="12">
        <v>20</v>
      </c>
      <c r="G237" s="12">
        <v>3.8</v>
      </c>
      <c r="H237" s="12">
        <v>3.7543252595155714</v>
      </c>
      <c r="I237" s="12" t="s">
        <v>130</v>
      </c>
      <c r="J237" s="12">
        <v>46249</v>
      </c>
      <c r="K237">
        <v>46249</v>
      </c>
    </row>
    <row r="238" spans="1:11" hidden="1" x14ac:dyDescent="0.25">
      <c r="A238" s="12" t="s">
        <v>61</v>
      </c>
      <c r="B238" s="12" t="s">
        <v>37</v>
      </c>
      <c r="C238" s="12" t="s">
        <v>14</v>
      </c>
      <c r="D238" s="12">
        <v>10.972274579690296</v>
      </c>
      <c r="E238" s="12">
        <v>17.099999999999998</v>
      </c>
      <c r="F238" s="12">
        <v>20</v>
      </c>
      <c r="G238" s="12">
        <v>17.099999999999998</v>
      </c>
      <c r="H238" s="12">
        <v>12.246323529411764</v>
      </c>
      <c r="I238" s="12" t="s">
        <v>130</v>
      </c>
      <c r="J238" s="12">
        <v>46249</v>
      </c>
      <c r="K238">
        <v>46249</v>
      </c>
    </row>
    <row r="239" spans="1:11" hidden="1" x14ac:dyDescent="0.25">
      <c r="A239" s="12" t="s">
        <v>61</v>
      </c>
      <c r="B239" s="12" t="s">
        <v>60</v>
      </c>
      <c r="C239" s="12" t="s">
        <v>15</v>
      </c>
      <c r="D239" s="12">
        <v>0</v>
      </c>
      <c r="E239" s="12">
        <v>0.95</v>
      </c>
      <c r="F239" s="12">
        <v>20</v>
      </c>
      <c r="G239" s="12">
        <v>0.95</v>
      </c>
      <c r="H239" s="12">
        <v>0</v>
      </c>
      <c r="I239" s="12" t="s">
        <v>131</v>
      </c>
      <c r="J239" s="12">
        <v>46249</v>
      </c>
      <c r="K239">
        <v>46249</v>
      </c>
    </row>
    <row r="240" spans="1:11" hidden="1" x14ac:dyDescent="0.25">
      <c r="A240" s="12" t="s">
        <v>61</v>
      </c>
      <c r="B240" s="12" t="s">
        <v>37</v>
      </c>
      <c r="C240" s="12" t="s">
        <v>15</v>
      </c>
      <c r="D240" s="12">
        <v>4.220105607573192</v>
      </c>
      <c r="E240" s="12">
        <v>7.6</v>
      </c>
      <c r="F240" s="12">
        <v>20</v>
      </c>
      <c r="G240" s="12">
        <v>7.6</v>
      </c>
      <c r="H240" s="12">
        <v>4.7460937499999991</v>
      </c>
      <c r="I240" s="12" t="s">
        <v>131</v>
      </c>
      <c r="J240" s="12">
        <v>46249</v>
      </c>
      <c r="K240">
        <v>46249</v>
      </c>
    </row>
    <row r="241" spans="1:11" x14ac:dyDescent="0.25">
      <c r="A241" s="12" t="s">
        <v>61</v>
      </c>
      <c r="B241" s="12" t="s">
        <v>38</v>
      </c>
      <c r="C241" s="12" t="s">
        <v>13</v>
      </c>
      <c r="D241" s="12">
        <v>5.3727368119266048</v>
      </c>
      <c r="E241" s="12">
        <v>13.3</v>
      </c>
      <c r="F241" s="12">
        <v>20</v>
      </c>
      <c r="G241" s="12">
        <v>13.3</v>
      </c>
      <c r="H241" s="12">
        <v>5.8308823529411749</v>
      </c>
      <c r="I241" s="12" t="s">
        <v>143</v>
      </c>
      <c r="J241" s="12">
        <v>46249</v>
      </c>
      <c r="K241">
        <v>46249</v>
      </c>
    </row>
    <row r="242" spans="1:11" x14ac:dyDescent="0.25">
      <c r="A242" s="12" t="s">
        <v>61</v>
      </c>
      <c r="B242" s="12" t="s">
        <v>60</v>
      </c>
      <c r="C242" s="12" t="s">
        <v>13</v>
      </c>
      <c r="D242" s="12">
        <v>3.6011567851291222</v>
      </c>
      <c r="E242" s="12">
        <v>13.3</v>
      </c>
      <c r="F242" s="12">
        <v>20</v>
      </c>
      <c r="G242" s="12">
        <v>13.3</v>
      </c>
      <c r="H242" s="12">
        <v>3.8235294117647038</v>
      </c>
      <c r="I242" s="12" t="s">
        <v>143</v>
      </c>
      <c r="J242" s="12">
        <v>46249</v>
      </c>
      <c r="K242">
        <v>46249</v>
      </c>
    </row>
    <row r="243" spans="1:11" x14ac:dyDescent="0.25">
      <c r="A243" s="12" t="s">
        <v>61</v>
      </c>
      <c r="B243" s="12" t="s">
        <v>37</v>
      </c>
      <c r="C243" s="12" t="s">
        <v>13</v>
      </c>
      <c r="D243" s="12">
        <v>11.028542654457937</v>
      </c>
      <c r="E243" s="12">
        <v>45.599999999999994</v>
      </c>
      <c r="F243" s="12">
        <v>20</v>
      </c>
      <c r="G243" s="12">
        <v>45.599999999999994</v>
      </c>
      <c r="H243" s="12">
        <v>12.191176470588236</v>
      </c>
      <c r="I243" s="12" t="s">
        <v>143</v>
      </c>
      <c r="J243" s="12">
        <v>46249</v>
      </c>
      <c r="K243">
        <v>46249</v>
      </c>
    </row>
    <row r="244" spans="1:11" hidden="1" x14ac:dyDescent="0.25">
      <c r="A244" s="12" t="s">
        <v>61</v>
      </c>
      <c r="B244" s="12" t="s">
        <v>38</v>
      </c>
      <c r="C244" s="12" t="s">
        <v>15</v>
      </c>
      <c r="D244" s="12">
        <v>1.2735376146788988</v>
      </c>
      <c r="E244" s="12">
        <v>2.8499999999999996</v>
      </c>
      <c r="F244" s="12">
        <v>20</v>
      </c>
      <c r="G244" s="12">
        <v>2.8499999999999996</v>
      </c>
      <c r="H244" s="12">
        <v>2.8823529411764706</v>
      </c>
      <c r="I244" s="12" t="s">
        <v>131</v>
      </c>
      <c r="J244" s="12">
        <v>46249</v>
      </c>
      <c r="K244">
        <v>46249</v>
      </c>
    </row>
    <row r="245" spans="1:11" x14ac:dyDescent="0.25">
      <c r="A245" s="12" t="s">
        <v>61</v>
      </c>
      <c r="B245" s="12" t="s">
        <v>38</v>
      </c>
      <c r="C245" s="12" t="s">
        <v>13</v>
      </c>
      <c r="D245" s="12">
        <v>3.5818245412844032</v>
      </c>
      <c r="E245" s="12">
        <v>1.9</v>
      </c>
      <c r="F245" s="12">
        <v>20</v>
      </c>
      <c r="G245" s="12">
        <v>1.9</v>
      </c>
      <c r="H245" s="12">
        <v>4.1323529411764692</v>
      </c>
      <c r="I245" s="12" t="s">
        <v>132</v>
      </c>
      <c r="J245" s="12">
        <v>46250</v>
      </c>
      <c r="K245">
        <v>46250</v>
      </c>
    </row>
    <row r="246" spans="1:11" x14ac:dyDescent="0.25">
      <c r="A246" s="12" t="s">
        <v>61</v>
      </c>
      <c r="B246" s="12" t="s">
        <v>37</v>
      </c>
      <c r="C246" s="12" t="s">
        <v>13</v>
      </c>
      <c r="D246" s="12">
        <v>10.972274579690296</v>
      </c>
      <c r="E246" s="12">
        <v>9.5</v>
      </c>
      <c r="F246" s="12">
        <v>20</v>
      </c>
      <c r="G246" s="12">
        <v>9.5</v>
      </c>
      <c r="H246" s="12">
        <v>12.1875</v>
      </c>
      <c r="I246" s="12" t="s">
        <v>132</v>
      </c>
      <c r="J246" s="12">
        <v>46250</v>
      </c>
      <c r="K246">
        <v>46250</v>
      </c>
    </row>
    <row r="247" spans="1:11" hidden="1" x14ac:dyDescent="0.25">
      <c r="A247" s="12" t="s">
        <v>61</v>
      </c>
      <c r="B247" s="12" t="s">
        <v>38</v>
      </c>
      <c r="C247" s="12" t="s">
        <v>15</v>
      </c>
      <c r="D247" s="12">
        <v>1.2735376146788988</v>
      </c>
      <c r="E247" s="12">
        <v>0.95</v>
      </c>
      <c r="F247" s="12">
        <v>20</v>
      </c>
      <c r="G247" s="12">
        <v>0.95</v>
      </c>
      <c r="H247" s="12">
        <v>0</v>
      </c>
      <c r="I247" s="12" t="s">
        <v>133</v>
      </c>
      <c r="J247" s="12">
        <v>46250</v>
      </c>
      <c r="K247">
        <v>46250</v>
      </c>
    </row>
    <row r="248" spans="1:11" hidden="1" x14ac:dyDescent="0.25">
      <c r="A248" s="12" t="s">
        <v>61</v>
      </c>
      <c r="B248" s="12" t="s">
        <v>60</v>
      </c>
      <c r="C248" s="12" t="s">
        <v>15</v>
      </c>
      <c r="D248" s="12">
        <v>0</v>
      </c>
      <c r="E248" s="12">
        <v>0.95</v>
      </c>
      <c r="F248" s="12">
        <v>20</v>
      </c>
      <c r="G248" s="12">
        <v>0.95</v>
      </c>
      <c r="H248" s="12">
        <v>0</v>
      </c>
      <c r="I248" s="12" t="s">
        <v>133</v>
      </c>
      <c r="J248" s="12">
        <v>46250</v>
      </c>
      <c r="K248">
        <v>46250</v>
      </c>
    </row>
    <row r="249" spans="1:11" hidden="1" x14ac:dyDescent="0.25">
      <c r="A249" s="12" t="s">
        <v>61</v>
      </c>
      <c r="B249" s="12" t="s">
        <v>37</v>
      </c>
      <c r="C249" s="12" t="s">
        <v>15</v>
      </c>
      <c r="D249" s="12">
        <v>4.220105607573192</v>
      </c>
      <c r="E249" s="12">
        <v>8.5499999999999989</v>
      </c>
      <c r="F249" s="12">
        <v>20</v>
      </c>
      <c r="G249" s="12">
        <v>8.5499999999999989</v>
      </c>
      <c r="H249" s="12">
        <v>4.7460937499999991</v>
      </c>
      <c r="I249" s="12" t="s">
        <v>133</v>
      </c>
      <c r="J249" s="12">
        <v>46250</v>
      </c>
      <c r="K249">
        <v>46250</v>
      </c>
    </row>
    <row r="250" spans="1:11" hidden="1" x14ac:dyDescent="0.25">
      <c r="A250" s="12" t="s">
        <v>61</v>
      </c>
      <c r="B250" s="12" t="s">
        <v>38</v>
      </c>
      <c r="C250" s="12" t="s">
        <v>14</v>
      </c>
      <c r="D250" s="12">
        <v>2.2474193200215868</v>
      </c>
      <c r="E250" s="12">
        <v>13.3</v>
      </c>
      <c r="F250" s="12">
        <v>20</v>
      </c>
      <c r="G250" s="12">
        <v>13.3</v>
      </c>
      <c r="H250" s="12">
        <v>3.0449826989619377</v>
      </c>
      <c r="I250" s="12" t="s">
        <v>144</v>
      </c>
      <c r="J250" s="12">
        <v>46250</v>
      </c>
      <c r="K250">
        <v>46250</v>
      </c>
    </row>
    <row r="251" spans="1:11" hidden="1" x14ac:dyDescent="0.25">
      <c r="A251" s="12" t="s">
        <v>61</v>
      </c>
      <c r="B251" s="12" t="s">
        <v>60</v>
      </c>
      <c r="C251" s="12" t="s">
        <v>14</v>
      </c>
      <c r="D251" s="12">
        <v>3.1774912809962856</v>
      </c>
      <c r="E251" s="12">
        <v>14.25</v>
      </c>
      <c r="F251" s="12">
        <v>20</v>
      </c>
      <c r="G251" s="12">
        <v>14.25</v>
      </c>
      <c r="H251" s="12">
        <v>3.7508650519031144</v>
      </c>
      <c r="I251" s="12" t="s">
        <v>144</v>
      </c>
      <c r="J251" s="12">
        <v>46250</v>
      </c>
      <c r="K251">
        <v>46250</v>
      </c>
    </row>
    <row r="252" spans="1:11" hidden="1" x14ac:dyDescent="0.25">
      <c r="A252" s="12" t="s">
        <v>61</v>
      </c>
      <c r="B252" s="12" t="s">
        <v>37</v>
      </c>
      <c r="C252" s="12" t="s">
        <v>14</v>
      </c>
      <c r="D252" s="12">
        <v>10.972274579690296</v>
      </c>
      <c r="E252" s="12">
        <v>45.599999999999994</v>
      </c>
      <c r="F252" s="12">
        <v>20</v>
      </c>
      <c r="G252" s="12">
        <v>45.599999999999994</v>
      </c>
      <c r="H252" s="12">
        <v>12.1875</v>
      </c>
      <c r="I252" s="12" t="s">
        <v>144</v>
      </c>
      <c r="J252" s="12">
        <v>46250</v>
      </c>
      <c r="K252">
        <v>46250</v>
      </c>
    </row>
    <row r="253" spans="1:11" x14ac:dyDescent="0.25">
      <c r="A253" s="12" t="s">
        <v>61</v>
      </c>
      <c r="B253" s="12" t="s">
        <v>60</v>
      </c>
      <c r="C253" s="12" t="s">
        <v>13</v>
      </c>
      <c r="D253" s="12">
        <v>3.6011567851291222</v>
      </c>
      <c r="E253" s="12">
        <v>2.8499999999999996</v>
      </c>
      <c r="F253" s="12">
        <v>20</v>
      </c>
      <c r="G253" s="12">
        <v>2.8499999999999996</v>
      </c>
      <c r="H253" s="12">
        <v>3.7647058823529393</v>
      </c>
      <c r="I253" s="12" t="s">
        <v>132</v>
      </c>
      <c r="J253" s="12">
        <v>46250</v>
      </c>
      <c r="K253">
        <v>46250</v>
      </c>
    </row>
    <row r="254" spans="1:11" hidden="1" x14ac:dyDescent="0.25">
      <c r="A254" s="12" t="s">
        <v>62</v>
      </c>
      <c r="B254" s="12" t="s">
        <v>38</v>
      </c>
      <c r="C254" s="12" t="s">
        <v>15</v>
      </c>
      <c r="D254" s="12">
        <v>2.7731019522776572</v>
      </c>
      <c r="E254" s="12">
        <v>0.95</v>
      </c>
      <c r="F254" s="12">
        <v>20</v>
      </c>
      <c r="G254" s="12">
        <v>0.95</v>
      </c>
      <c r="H254" s="12">
        <v>2.0078431372549019</v>
      </c>
      <c r="I254" s="12" t="s">
        <v>134</v>
      </c>
      <c r="J254" s="12">
        <v>46223</v>
      </c>
      <c r="K254">
        <v>46223</v>
      </c>
    </row>
    <row r="255" spans="1:11" hidden="1" x14ac:dyDescent="0.25">
      <c r="A255" s="12" t="s">
        <v>62</v>
      </c>
      <c r="B255" s="12" t="s">
        <v>38</v>
      </c>
      <c r="C255" s="12" t="s">
        <v>14</v>
      </c>
      <c r="D255" s="12">
        <v>2.4468546637744035</v>
      </c>
      <c r="E255" s="12">
        <v>7.6</v>
      </c>
      <c r="F255" s="12">
        <v>20</v>
      </c>
      <c r="G255" s="12">
        <v>7.6</v>
      </c>
      <c r="H255" s="12">
        <v>1.7716262975778552</v>
      </c>
      <c r="I255" s="12" t="s">
        <v>65</v>
      </c>
      <c r="J255" s="12">
        <v>46223</v>
      </c>
      <c r="K255">
        <v>46223</v>
      </c>
    </row>
    <row r="256" spans="1:11" hidden="1" x14ac:dyDescent="0.25">
      <c r="A256" s="12" t="s">
        <v>62</v>
      </c>
      <c r="B256" s="12" t="s">
        <v>60</v>
      </c>
      <c r="C256" s="12" t="s">
        <v>14</v>
      </c>
      <c r="D256" s="12">
        <v>1.4299114156666153</v>
      </c>
      <c r="E256" s="12">
        <v>1.9</v>
      </c>
      <c r="F256" s="12">
        <v>20</v>
      </c>
      <c r="G256" s="12">
        <v>1.9</v>
      </c>
      <c r="H256" s="12">
        <v>0.82352941176470595</v>
      </c>
      <c r="I256" s="12" t="s">
        <v>65</v>
      </c>
      <c r="J256" s="12">
        <v>46223</v>
      </c>
      <c r="K256">
        <v>46223</v>
      </c>
    </row>
    <row r="257" spans="1:11" hidden="1" x14ac:dyDescent="0.25">
      <c r="A257" s="12" t="s">
        <v>62</v>
      </c>
      <c r="B257" s="12" t="s">
        <v>37</v>
      </c>
      <c r="C257" s="12" t="s">
        <v>15</v>
      </c>
      <c r="D257" s="12">
        <v>4.440974877503046</v>
      </c>
      <c r="E257" s="12">
        <v>4.75</v>
      </c>
      <c r="F257" s="12">
        <v>20</v>
      </c>
      <c r="G257" s="12">
        <v>4.75</v>
      </c>
      <c r="H257" s="12">
        <v>7.5522129524886878</v>
      </c>
      <c r="I257" s="12" t="s">
        <v>134</v>
      </c>
      <c r="J257" s="12">
        <v>46223</v>
      </c>
      <c r="K257">
        <v>46223</v>
      </c>
    </row>
    <row r="258" spans="1:11" hidden="1" x14ac:dyDescent="0.25">
      <c r="A258" s="12" t="s">
        <v>62</v>
      </c>
      <c r="B258" s="12" t="s">
        <v>37</v>
      </c>
      <c r="C258" s="12" t="s">
        <v>14</v>
      </c>
      <c r="D258" s="12">
        <v>8.1223093154332009</v>
      </c>
      <c r="E258" s="12">
        <v>6.6499999999999995</v>
      </c>
      <c r="F258" s="12">
        <v>20</v>
      </c>
      <c r="G258" s="12">
        <v>6.6499999999999995</v>
      </c>
      <c r="H258" s="12">
        <v>6.975779398297778</v>
      </c>
      <c r="I258" s="12" t="s">
        <v>65</v>
      </c>
      <c r="J258" s="12">
        <v>46223</v>
      </c>
      <c r="K258">
        <v>46223</v>
      </c>
    </row>
    <row r="259" spans="1:11" x14ac:dyDescent="0.25">
      <c r="A259" s="12" t="s">
        <v>62</v>
      </c>
      <c r="B259" s="12" t="s">
        <v>38</v>
      </c>
      <c r="C259" s="12" t="s">
        <v>13</v>
      </c>
      <c r="D259" s="12">
        <v>2.5233188720173532</v>
      </c>
      <c r="E259" s="12">
        <v>0.95</v>
      </c>
      <c r="F259" s="12">
        <v>20</v>
      </c>
      <c r="G259" s="12">
        <v>0.95</v>
      </c>
      <c r="H259" s="12">
        <v>0</v>
      </c>
      <c r="I259" s="12" t="s">
        <v>64</v>
      </c>
      <c r="J259" s="12">
        <v>46223</v>
      </c>
      <c r="K259">
        <v>46223</v>
      </c>
    </row>
    <row r="260" spans="1:11" x14ac:dyDescent="0.25">
      <c r="A260" s="12" t="s">
        <v>62</v>
      </c>
      <c r="B260" s="12" t="s">
        <v>60</v>
      </c>
      <c r="C260" s="12" t="s">
        <v>13</v>
      </c>
      <c r="D260" s="12">
        <v>1.8698841589486512</v>
      </c>
      <c r="E260" s="12">
        <v>0.95</v>
      </c>
      <c r="F260" s="12">
        <v>20</v>
      </c>
      <c r="G260" s="12">
        <v>0.95</v>
      </c>
      <c r="H260" s="12">
        <v>0</v>
      </c>
      <c r="I260" s="12" t="s">
        <v>64</v>
      </c>
      <c r="J260" s="12">
        <v>46223</v>
      </c>
      <c r="K260">
        <v>46223</v>
      </c>
    </row>
    <row r="261" spans="1:11" x14ac:dyDescent="0.25">
      <c r="A261" s="12" t="s">
        <v>62</v>
      </c>
      <c r="B261" s="12" t="s">
        <v>37</v>
      </c>
      <c r="C261" s="12" t="s">
        <v>13</v>
      </c>
      <c r="D261" s="12">
        <v>9.9337595944147097</v>
      </c>
      <c r="E261" s="12">
        <v>34.199999999999996</v>
      </c>
      <c r="F261" s="12">
        <v>20</v>
      </c>
      <c r="G261" s="12">
        <v>34.199999999999996</v>
      </c>
      <c r="H261" s="12">
        <v>3.3244791666666664</v>
      </c>
      <c r="I261" s="12" t="s">
        <v>64</v>
      </c>
      <c r="J261" s="12">
        <v>46223</v>
      </c>
      <c r="K261">
        <v>46223</v>
      </c>
    </row>
    <row r="262" spans="1:11" hidden="1" x14ac:dyDescent="0.25">
      <c r="A262" s="12" t="s">
        <v>62</v>
      </c>
      <c r="B262" s="12" t="s">
        <v>60</v>
      </c>
      <c r="C262" s="12" t="s">
        <v>15</v>
      </c>
      <c r="D262" s="12">
        <v>0</v>
      </c>
      <c r="E262" s="12">
        <v>0</v>
      </c>
      <c r="F262" s="12">
        <v>20</v>
      </c>
      <c r="G262" s="12">
        <v>0</v>
      </c>
      <c r="H262" s="12">
        <v>0</v>
      </c>
      <c r="I262" s="12" t="s">
        <v>134</v>
      </c>
      <c r="J262" s="12">
        <v>46223</v>
      </c>
      <c r="K262">
        <v>46223</v>
      </c>
    </row>
    <row r="263" spans="1:11" x14ac:dyDescent="0.25">
      <c r="A263" s="12" t="s">
        <v>62</v>
      </c>
      <c r="B263" s="12" t="s">
        <v>60</v>
      </c>
      <c r="C263" s="12" t="s">
        <v>13</v>
      </c>
      <c r="D263" s="12">
        <v>1.869884158948651</v>
      </c>
      <c r="E263" s="12">
        <v>0.95</v>
      </c>
      <c r="F263" s="12">
        <v>20</v>
      </c>
      <c r="G263" s="12">
        <v>0.95</v>
      </c>
      <c r="H263" s="12">
        <v>0</v>
      </c>
      <c r="I263" s="12" t="s">
        <v>66</v>
      </c>
      <c r="J263" s="12">
        <v>46224</v>
      </c>
      <c r="K263">
        <v>46224</v>
      </c>
    </row>
    <row r="264" spans="1:11" hidden="1" x14ac:dyDescent="0.25">
      <c r="A264" s="12" t="s">
        <v>62</v>
      </c>
      <c r="B264" s="12" t="s">
        <v>37</v>
      </c>
      <c r="C264" s="12" t="s">
        <v>14</v>
      </c>
      <c r="D264" s="12">
        <v>8.0638754354660556</v>
      </c>
      <c r="E264" s="12">
        <v>6.6499999999999995</v>
      </c>
      <c r="F264" s="12">
        <v>20</v>
      </c>
      <c r="G264" s="12">
        <v>6.6499999999999995</v>
      </c>
      <c r="H264" s="12">
        <v>10.080191836349917</v>
      </c>
      <c r="I264" s="12" t="s">
        <v>68</v>
      </c>
      <c r="J264" s="12">
        <v>46224</v>
      </c>
      <c r="K264">
        <v>46224</v>
      </c>
    </row>
    <row r="265" spans="1:11" hidden="1" x14ac:dyDescent="0.25">
      <c r="A265" s="12" t="s">
        <v>62</v>
      </c>
      <c r="B265" s="12" t="s">
        <v>60</v>
      </c>
      <c r="C265" s="12" t="s">
        <v>14</v>
      </c>
      <c r="D265" s="12">
        <v>1.4299114156666153</v>
      </c>
      <c r="E265" s="12">
        <v>1.9</v>
      </c>
      <c r="F265" s="12">
        <v>20</v>
      </c>
      <c r="G265" s="12">
        <v>1.9</v>
      </c>
      <c r="H265" s="12">
        <v>0.82352941176470573</v>
      </c>
      <c r="I265" s="12" t="s">
        <v>68</v>
      </c>
      <c r="J265" s="12">
        <v>46224</v>
      </c>
      <c r="K265">
        <v>46224</v>
      </c>
    </row>
    <row r="266" spans="1:11" hidden="1" x14ac:dyDescent="0.25">
      <c r="A266" s="12" t="s">
        <v>62</v>
      </c>
      <c r="B266" s="12" t="s">
        <v>37</v>
      </c>
      <c r="C266" s="12" t="s">
        <v>15</v>
      </c>
      <c r="D266" s="12">
        <v>4.440974877503046</v>
      </c>
      <c r="E266" s="12">
        <v>3.8</v>
      </c>
      <c r="F266" s="12">
        <v>20</v>
      </c>
      <c r="G266" s="12">
        <v>3.8</v>
      </c>
      <c r="H266" s="12">
        <v>10.308623208898943</v>
      </c>
      <c r="I266" s="12" t="s">
        <v>67</v>
      </c>
      <c r="J266" s="12">
        <v>46224</v>
      </c>
      <c r="K266">
        <v>46224</v>
      </c>
    </row>
    <row r="267" spans="1:11" hidden="1" x14ac:dyDescent="0.25">
      <c r="A267" s="12" t="s">
        <v>62</v>
      </c>
      <c r="B267" s="12" t="s">
        <v>38</v>
      </c>
      <c r="C267" s="12" t="s">
        <v>15</v>
      </c>
      <c r="D267" s="12">
        <v>2.7731019522776572</v>
      </c>
      <c r="E267" s="12">
        <v>0.95</v>
      </c>
      <c r="F267" s="12">
        <v>20</v>
      </c>
      <c r="G267" s="12">
        <v>0.95</v>
      </c>
      <c r="H267" s="12">
        <v>2.0078431372549019</v>
      </c>
      <c r="I267" s="12" t="s">
        <v>67</v>
      </c>
      <c r="J267" s="12">
        <v>46224</v>
      </c>
      <c r="K267">
        <v>46224</v>
      </c>
    </row>
    <row r="268" spans="1:11" hidden="1" x14ac:dyDescent="0.25">
      <c r="A268" s="12" t="s">
        <v>62</v>
      </c>
      <c r="B268" s="12" t="s">
        <v>60</v>
      </c>
      <c r="C268" s="12" t="s">
        <v>15</v>
      </c>
      <c r="D268" s="12">
        <v>0</v>
      </c>
      <c r="E268" s="12">
        <v>0.95</v>
      </c>
      <c r="F268" s="12">
        <v>20</v>
      </c>
      <c r="G268" s="12">
        <v>0.95</v>
      </c>
      <c r="H268" s="12">
        <v>0</v>
      </c>
      <c r="I268" s="12" t="s">
        <v>67</v>
      </c>
      <c r="J268" s="12">
        <v>46224</v>
      </c>
      <c r="K268">
        <v>46224</v>
      </c>
    </row>
    <row r="269" spans="1:11" x14ac:dyDescent="0.25">
      <c r="A269" s="12" t="s">
        <v>62</v>
      </c>
      <c r="B269" s="12" t="s">
        <v>37</v>
      </c>
      <c r="C269" s="12" t="s">
        <v>13</v>
      </c>
      <c r="D269" s="12">
        <v>9.9337595944147097</v>
      </c>
      <c r="E269" s="12">
        <v>36.1</v>
      </c>
      <c r="F269" s="12">
        <v>20</v>
      </c>
      <c r="G269" s="12">
        <v>36.1</v>
      </c>
      <c r="H269" s="12">
        <v>8.2912141779788833</v>
      </c>
      <c r="I269" s="12" t="s">
        <v>66</v>
      </c>
      <c r="J269" s="12">
        <v>46224</v>
      </c>
      <c r="K269">
        <v>46224</v>
      </c>
    </row>
    <row r="270" spans="1:11" x14ac:dyDescent="0.25">
      <c r="A270" s="12" t="s">
        <v>62</v>
      </c>
      <c r="B270" s="12" t="s">
        <v>38</v>
      </c>
      <c r="C270" s="12" t="s">
        <v>13</v>
      </c>
      <c r="D270" s="12">
        <v>3.7467462039045554</v>
      </c>
      <c r="E270" s="12">
        <v>0.95</v>
      </c>
      <c r="F270" s="12">
        <v>20</v>
      </c>
      <c r="G270" s="12">
        <v>0.95</v>
      </c>
      <c r="H270" s="12">
        <v>0.23529411764705879</v>
      </c>
      <c r="I270" s="12" t="s">
        <v>66</v>
      </c>
      <c r="J270" s="12">
        <v>46224</v>
      </c>
      <c r="K270">
        <v>46224</v>
      </c>
    </row>
    <row r="271" spans="1:11" hidden="1" x14ac:dyDescent="0.25">
      <c r="A271" s="12" t="s">
        <v>62</v>
      </c>
      <c r="B271" s="12" t="s">
        <v>38</v>
      </c>
      <c r="C271" s="12" t="s">
        <v>14</v>
      </c>
      <c r="D271" s="12">
        <v>2.4468546637744035</v>
      </c>
      <c r="E271" s="12">
        <v>6.6499999999999995</v>
      </c>
      <c r="F271" s="12">
        <v>20</v>
      </c>
      <c r="G271" s="12">
        <v>6.6499999999999995</v>
      </c>
      <c r="H271" s="12">
        <v>1.7716262975778552</v>
      </c>
      <c r="I271" s="12" t="s">
        <v>68</v>
      </c>
      <c r="J271" s="12">
        <v>46224</v>
      </c>
      <c r="K271">
        <v>46224</v>
      </c>
    </row>
    <row r="272" spans="1:11" hidden="1" x14ac:dyDescent="0.25">
      <c r="A272" s="12" t="s">
        <v>62</v>
      </c>
      <c r="B272" s="12" t="s">
        <v>38</v>
      </c>
      <c r="C272" s="12" t="s">
        <v>14</v>
      </c>
      <c r="D272" s="12">
        <v>2.4468546637744035</v>
      </c>
      <c r="E272" s="12">
        <v>1.9</v>
      </c>
      <c r="F272" s="12">
        <v>20</v>
      </c>
      <c r="G272" s="12">
        <v>1.9</v>
      </c>
      <c r="H272" s="12">
        <v>1.7716262975778552</v>
      </c>
      <c r="I272" s="12" t="s">
        <v>71</v>
      </c>
      <c r="J272" s="12">
        <v>46225</v>
      </c>
      <c r="K272">
        <v>46225</v>
      </c>
    </row>
    <row r="273" spans="1:11" x14ac:dyDescent="0.25">
      <c r="A273" s="12" t="s">
        <v>62</v>
      </c>
      <c r="B273" s="12" t="s">
        <v>60</v>
      </c>
      <c r="C273" s="12" t="s">
        <v>13</v>
      </c>
      <c r="D273" s="12">
        <v>1.869884158948651</v>
      </c>
      <c r="E273" s="12">
        <v>1.9</v>
      </c>
      <c r="F273" s="12">
        <v>20</v>
      </c>
      <c r="G273" s="12">
        <v>1.9</v>
      </c>
      <c r="H273" s="12">
        <v>0</v>
      </c>
      <c r="I273" s="12" t="s">
        <v>69</v>
      </c>
      <c r="J273" s="12">
        <v>46225</v>
      </c>
      <c r="K273">
        <v>46225</v>
      </c>
    </row>
    <row r="274" spans="1:11" x14ac:dyDescent="0.25">
      <c r="A274" s="12" t="s">
        <v>62</v>
      </c>
      <c r="B274" s="12" t="s">
        <v>37</v>
      </c>
      <c r="C274" s="12" t="s">
        <v>13</v>
      </c>
      <c r="D274" s="12">
        <v>9.9337595944147079</v>
      </c>
      <c r="E274" s="12">
        <v>47.5</v>
      </c>
      <c r="F274" s="12">
        <v>20</v>
      </c>
      <c r="G274" s="12">
        <v>47.5</v>
      </c>
      <c r="H274" s="12">
        <v>11.047624434389142</v>
      </c>
      <c r="I274" s="12" t="s">
        <v>69</v>
      </c>
      <c r="J274" s="12">
        <v>46225</v>
      </c>
      <c r="K274">
        <v>46225</v>
      </c>
    </row>
    <row r="275" spans="1:11" hidden="1" x14ac:dyDescent="0.25">
      <c r="A275" s="12" t="s">
        <v>62</v>
      </c>
      <c r="B275" s="12" t="s">
        <v>37</v>
      </c>
      <c r="C275" s="12" t="s">
        <v>14</v>
      </c>
      <c r="D275" s="12">
        <v>8.0638754354660556</v>
      </c>
      <c r="E275" s="12">
        <v>7.6</v>
      </c>
      <c r="F275" s="12">
        <v>20</v>
      </c>
      <c r="G275" s="12">
        <v>7.6</v>
      </c>
      <c r="H275" s="12">
        <v>12.910862085218705</v>
      </c>
      <c r="I275" s="12" t="s">
        <v>71</v>
      </c>
      <c r="J275" s="12">
        <v>46225</v>
      </c>
      <c r="K275">
        <v>46225</v>
      </c>
    </row>
    <row r="276" spans="1:11" hidden="1" x14ac:dyDescent="0.25">
      <c r="A276" s="12" t="s">
        <v>62</v>
      </c>
      <c r="B276" s="12" t="s">
        <v>38</v>
      </c>
      <c r="C276" s="12" t="s">
        <v>15</v>
      </c>
      <c r="D276" s="12">
        <v>2.7731019522776572</v>
      </c>
      <c r="E276" s="12">
        <v>0</v>
      </c>
      <c r="F276" s="12">
        <v>20</v>
      </c>
      <c r="G276" s="12">
        <v>0</v>
      </c>
      <c r="H276" s="12">
        <v>2.0078431372549019</v>
      </c>
      <c r="I276" s="12" t="s">
        <v>70</v>
      </c>
      <c r="J276" s="12">
        <v>46225</v>
      </c>
      <c r="K276">
        <v>46225</v>
      </c>
    </row>
    <row r="277" spans="1:11" hidden="1" x14ac:dyDescent="0.25">
      <c r="A277" s="12" t="s">
        <v>62</v>
      </c>
      <c r="B277" s="12" t="s">
        <v>60</v>
      </c>
      <c r="C277" s="12" t="s">
        <v>14</v>
      </c>
      <c r="D277" s="12">
        <v>1.5949011943973783</v>
      </c>
      <c r="E277" s="12">
        <v>1.9</v>
      </c>
      <c r="F277" s="12">
        <v>20</v>
      </c>
      <c r="G277" s="12">
        <v>1.9</v>
      </c>
      <c r="H277" s="12">
        <v>0.82352941176470573</v>
      </c>
      <c r="I277" s="12" t="s">
        <v>71</v>
      </c>
      <c r="J277" s="12">
        <v>46225</v>
      </c>
      <c r="K277">
        <v>46225</v>
      </c>
    </row>
    <row r="278" spans="1:11" hidden="1" x14ac:dyDescent="0.25">
      <c r="A278" s="12" t="s">
        <v>62</v>
      </c>
      <c r="B278" s="12" t="s">
        <v>37</v>
      </c>
      <c r="C278" s="12" t="s">
        <v>15</v>
      </c>
      <c r="D278" s="12">
        <v>4.440974877503046</v>
      </c>
      <c r="E278" s="12">
        <v>4.75</v>
      </c>
      <c r="F278" s="12">
        <v>20</v>
      </c>
      <c r="G278" s="12">
        <v>4.75</v>
      </c>
      <c r="H278" s="12">
        <v>11.42887443438914</v>
      </c>
      <c r="I278" s="12" t="s">
        <v>70</v>
      </c>
      <c r="J278" s="12">
        <v>46225</v>
      </c>
      <c r="K278">
        <v>46225</v>
      </c>
    </row>
    <row r="279" spans="1:11" hidden="1" x14ac:dyDescent="0.25">
      <c r="A279" s="12" t="s">
        <v>62</v>
      </c>
      <c r="B279" s="12" t="s">
        <v>60</v>
      </c>
      <c r="C279" s="12" t="s">
        <v>15</v>
      </c>
      <c r="D279" s="12">
        <v>0</v>
      </c>
      <c r="E279" s="12">
        <v>0</v>
      </c>
      <c r="F279" s="12">
        <v>20</v>
      </c>
      <c r="G279" s="12">
        <v>0</v>
      </c>
      <c r="H279" s="12">
        <v>0</v>
      </c>
      <c r="I279" s="12" t="s">
        <v>70</v>
      </c>
      <c r="J279" s="12">
        <v>46225</v>
      </c>
      <c r="K279">
        <v>46225</v>
      </c>
    </row>
    <row r="280" spans="1:11" x14ac:dyDescent="0.25">
      <c r="A280" s="12" t="s">
        <v>62</v>
      </c>
      <c r="B280" s="12" t="s">
        <v>38</v>
      </c>
      <c r="C280" s="12" t="s">
        <v>13</v>
      </c>
      <c r="D280" s="12">
        <v>2.5233188720173532</v>
      </c>
      <c r="E280" s="12">
        <v>7.6</v>
      </c>
      <c r="F280" s="12">
        <v>20</v>
      </c>
      <c r="G280" s="12">
        <v>7.6</v>
      </c>
      <c r="H280" s="12">
        <v>0.23529411764705879</v>
      </c>
      <c r="I280" s="12" t="s">
        <v>69</v>
      </c>
      <c r="J280" s="12">
        <v>46225</v>
      </c>
      <c r="K280">
        <v>46225</v>
      </c>
    </row>
    <row r="281" spans="1:11" hidden="1" x14ac:dyDescent="0.25">
      <c r="A281" s="12" t="s">
        <v>62</v>
      </c>
      <c r="B281" s="12" t="s">
        <v>60</v>
      </c>
      <c r="C281" s="12" t="s">
        <v>14</v>
      </c>
      <c r="D281" s="12">
        <v>1.4299114156666153</v>
      </c>
      <c r="E281" s="12">
        <v>0.95</v>
      </c>
      <c r="F281" s="12">
        <v>20</v>
      </c>
      <c r="G281" s="12">
        <v>0.95</v>
      </c>
      <c r="H281" s="12">
        <v>0</v>
      </c>
      <c r="I281" s="12" t="s">
        <v>72</v>
      </c>
      <c r="J281" s="12">
        <v>46226</v>
      </c>
      <c r="K281">
        <v>46226</v>
      </c>
    </row>
    <row r="282" spans="1:11" hidden="1" x14ac:dyDescent="0.25">
      <c r="A282" s="12" t="s">
        <v>62</v>
      </c>
      <c r="B282" s="12" t="s">
        <v>38</v>
      </c>
      <c r="C282" s="12" t="s">
        <v>14</v>
      </c>
      <c r="D282" s="12">
        <v>2.4468546637744035</v>
      </c>
      <c r="E282" s="12">
        <v>6.6499999999999995</v>
      </c>
      <c r="F282" s="12">
        <v>20</v>
      </c>
      <c r="G282" s="12">
        <v>6.6499999999999995</v>
      </c>
      <c r="H282" s="12">
        <v>1.7716262975778552</v>
      </c>
      <c r="I282" s="12" t="s">
        <v>72</v>
      </c>
      <c r="J282" s="12">
        <v>46226</v>
      </c>
      <c r="K282">
        <v>46226</v>
      </c>
    </row>
    <row r="283" spans="1:11" hidden="1" x14ac:dyDescent="0.25">
      <c r="A283" s="12" t="s">
        <v>62</v>
      </c>
      <c r="B283" s="12" t="s">
        <v>60</v>
      </c>
      <c r="C283" s="12" t="s">
        <v>15</v>
      </c>
      <c r="D283" s="12">
        <v>0</v>
      </c>
      <c r="E283" s="12">
        <v>0</v>
      </c>
      <c r="F283" s="12">
        <v>20</v>
      </c>
      <c r="G283" s="12">
        <v>0</v>
      </c>
      <c r="H283" s="12">
        <v>0</v>
      </c>
      <c r="I283" s="12" t="s">
        <v>73</v>
      </c>
      <c r="J283" s="12">
        <v>46226</v>
      </c>
      <c r="K283">
        <v>46226</v>
      </c>
    </row>
    <row r="284" spans="1:11" hidden="1" x14ac:dyDescent="0.25">
      <c r="A284" s="12" t="s">
        <v>62</v>
      </c>
      <c r="B284" s="12" t="s">
        <v>37</v>
      </c>
      <c r="C284" s="12" t="s">
        <v>14</v>
      </c>
      <c r="D284" s="12">
        <v>8.005441555498912</v>
      </c>
      <c r="E284" s="12">
        <v>6.6499999999999995</v>
      </c>
      <c r="F284" s="12">
        <v>20</v>
      </c>
      <c r="G284" s="12">
        <v>6.6499999999999995</v>
      </c>
      <c r="H284" s="12">
        <v>12.06515172939806</v>
      </c>
      <c r="I284" s="12" t="s">
        <v>72</v>
      </c>
      <c r="J284" s="12">
        <v>46226</v>
      </c>
      <c r="K284">
        <v>46226</v>
      </c>
    </row>
    <row r="285" spans="1:11" x14ac:dyDescent="0.25">
      <c r="A285" s="12" t="s">
        <v>62</v>
      </c>
      <c r="B285" s="12" t="s">
        <v>38</v>
      </c>
      <c r="C285" s="12" t="s">
        <v>13</v>
      </c>
      <c r="D285" s="12">
        <v>3.8996746203904551</v>
      </c>
      <c r="E285" s="12">
        <v>0.95</v>
      </c>
      <c r="F285" s="12">
        <v>20</v>
      </c>
      <c r="G285" s="12">
        <v>0.95</v>
      </c>
      <c r="H285" s="12">
        <v>0.23529411764705879</v>
      </c>
      <c r="I285" s="12" t="s">
        <v>74</v>
      </c>
      <c r="J285" s="12">
        <v>46226</v>
      </c>
      <c r="K285">
        <v>46226</v>
      </c>
    </row>
    <row r="286" spans="1:11" x14ac:dyDescent="0.25">
      <c r="A286" s="12" t="s">
        <v>62</v>
      </c>
      <c r="B286" s="12" t="s">
        <v>60</v>
      </c>
      <c r="C286" s="12" t="s">
        <v>13</v>
      </c>
      <c r="D286" s="12">
        <v>1.869884158948651</v>
      </c>
      <c r="E286" s="12">
        <v>1.9</v>
      </c>
      <c r="F286" s="12">
        <v>20</v>
      </c>
      <c r="G286" s="12">
        <v>1.9</v>
      </c>
      <c r="H286" s="12">
        <v>0</v>
      </c>
      <c r="I286" s="12" t="s">
        <v>74</v>
      </c>
      <c r="J286" s="12">
        <v>46226</v>
      </c>
      <c r="K286">
        <v>46226</v>
      </c>
    </row>
    <row r="287" spans="1:11" x14ac:dyDescent="0.25">
      <c r="A287" s="12" t="s">
        <v>62</v>
      </c>
      <c r="B287" s="12" t="s">
        <v>37</v>
      </c>
      <c r="C287" s="12" t="s">
        <v>13</v>
      </c>
      <c r="D287" s="12">
        <v>9.9337595944147079</v>
      </c>
      <c r="E287" s="12">
        <v>23.75</v>
      </c>
      <c r="F287" s="12">
        <v>20</v>
      </c>
      <c r="G287" s="12">
        <v>23.75</v>
      </c>
      <c r="H287" s="12">
        <v>11.15179110105581</v>
      </c>
      <c r="I287" s="12" t="s">
        <v>74</v>
      </c>
      <c r="J287" s="12">
        <v>46226</v>
      </c>
      <c r="K287">
        <v>46226</v>
      </c>
    </row>
    <row r="288" spans="1:11" hidden="1" x14ac:dyDescent="0.25">
      <c r="A288" s="12" t="s">
        <v>62</v>
      </c>
      <c r="B288" s="12" t="s">
        <v>37</v>
      </c>
      <c r="C288" s="12" t="s">
        <v>15</v>
      </c>
      <c r="D288" s="12">
        <v>4.440974877503046</v>
      </c>
      <c r="E288" s="12">
        <v>2.8499999999999996</v>
      </c>
      <c r="F288" s="12">
        <v>20</v>
      </c>
      <c r="G288" s="12">
        <v>2.8499999999999996</v>
      </c>
      <c r="H288" s="12">
        <v>12.054594302756067</v>
      </c>
      <c r="I288" s="12" t="s">
        <v>73</v>
      </c>
      <c r="J288" s="12">
        <v>46226</v>
      </c>
      <c r="K288">
        <v>46226</v>
      </c>
    </row>
    <row r="289" spans="1:11" hidden="1" x14ac:dyDescent="0.25">
      <c r="A289" s="12" t="s">
        <v>62</v>
      </c>
      <c r="B289" s="12" t="s">
        <v>38</v>
      </c>
      <c r="C289" s="12" t="s">
        <v>15</v>
      </c>
      <c r="D289" s="12">
        <v>2.7731019522776572</v>
      </c>
      <c r="E289" s="12">
        <v>0</v>
      </c>
      <c r="F289" s="12">
        <v>20</v>
      </c>
      <c r="G289" s="12">
        <v>0</v>
      </c>
      <c r="H289" s="12">
        <v>2.0078431372549019</v>
      </c>
      <c r="I289" s="12" t="s">
        <v>73</v>
      </c>
      <c r="J289" s="12">
        <v>46226</v>
      </c>
      <c r="K289">
        <v>46226</v>
      </c>
    </row>
    <row r="290" spans="1:11" hidden="1" x14ac:dyDescent="0.25">
      <c r="A290" s="12" t="s">
        <v>62</v>
      </c>
      <c r="B290" s="12" t="s">
        <v>60</v>
      </c>
      <c r="C290" s="12" t="s">
        <v>14</v>
      </c>
      <c r="D290" s="12">
        <v>1.4299114156666153</v>
      </c>
      <c r="E290" s="12">
        <v>0</v>
      </c>
      <c r="F290" s="12">
        <v>20</v>
      </c>
      <c r="G290" s="12">
        <v>0</v>
      </c>
      <c r="H290" s="12">
        <v>0</v>
      </c>
      <c r="I290" s="12" t="s">
        <v>58</v>
      </c>
      <c r="J290" s="12">
        <v>46227</v>
      </c>
      <c r="K290">
        <v>46227</v>
      </c>
    </row>
    <row r="291" spans="1:11" x14ac:dyDescent="0.25">
      <c r="A291" s="12" t="s">
        <v>62</v>
      </c>
      <c r="B291" s="12" t="s">
        <v>38</v>
      </c>
      <c r="C291" s="12" t="s">
        <v>13</v>
      </c>
      <c r="D291" s="12">
        <v>3.8232104121475055</v>
      </c>
      <c r="E291" s="12">
        <v>6.6499999999999995</v>
      </c>
      <c r="F291" s="12">
        <v>20</v>
      </c>
      <c r="G291" s="12">
        <v>6.6499999999999995</v>
      </c>
      <c r="H291" s="12">
        <v>0.23529411764705879</v>
      </c>
      <c r="I291" s="12" t="s">
        <v>56</v>
      </c>
      <c r="J291" s="12">
        <v>46227</v>
      </c>
      <c r="K291">
        <v>46227</v>
      </c>
    </row>
    <row r="292" spans="1:11" x14ac:dyDescent="0.25">
      <c r="A292" s="12" t="s">
        <v>62</v>
      </c>
      <c r="B292" s="12" t="s">
        <v>37</v>
      </c>
      <c r="C292" s="12" t="s">
        <v>13</v>
      </c>
      <c r="D292" s="12">
        <v>9.9337595944147079</v>
      </c>
      <c r="E292" s="12">
        <v>8.5499999999999989</v>
      </c>
      <c r="F292" s="12">
        <v>20</v>
      </c>
      <c r="G292" s="12">
        <v>8.5499999999999989</v>
      </c>
      <c r="H292" s="12">
        <v>12.144228698180909</v>
      </c>
      <c r="I292" s="12" t="s">
        <v>56</v>
      </c>
      <c r="J292" s="12">
        <v>46227</v>
      </c>
      <c r="K292">
        <v>46227</v>
      </c>
    </row>
    <row r="293" spans="1:11" x14ac:dyDescent="0.25">
      <c r="A293" s="12" t="s">
        <v>62</v>
      </c>
      <c r="B293" s="12" t="s">
        <v>60</v>
      </c>
      <c r="C293" s="12" t="s">
        <v>13</v>
      </c>
      <c r="D293" s="12">
        <v>1.869884158948651</v>
      </c>
      <c r="E293" s="12">
        <v>0.95</v>
      </c>
      <c r="F293" s="12">
        <v>20</v>
      </c>
      <c r="G293" s="12">
        <v>0.95</v>
      </c>
      <c r="H293" s="12">
        <v>0</v>
      </c>
      <c r="I293" s="12" t="s">
        <v>56</v>
      </c>
      <c r="J293" s="12">
        <v>46227</v>
      </c>
      <c r="K293">
        <v>46227</v>
      </c>
    </row>
    <row r="294" spans="1:11" hidden="1" x14ac:dyDescent="0.25">
      <c r="A294" s="12" t="s">
        <v>62</v>
      </c>
      <c r="B294" s="12" t="s">
        <v>60</v>
      </c>
      <c r="C294" s="12" t="s">
        <v>15</v>
      </c>
      <c r="D294" s="12">
        <v>0</v>
      </c>
      <c r="E294" s="12">
        <v>0.95</v>
      </c>
      <c r="F294" s="12">
        <v>20</v>
      </c>
      <c r="G294" s="12">
        <v>0.95</v>
      </c>
      <c r="H294" s="12">
        <v>0</v>
      </c>
      <c r="I294" s="12" t="s">
        <v>57</v>
      </c>
      <c r="J294" s="12">
        <v>46227</v>
      </c>
      <c r="K294">
        <v>46227</v>
      </c>
    </row>
    <row r="295" spans="1:11" hidden="1" x14ac:dyDescent="0.25">
      <c r="A295" s="12" t="s">
        <v>62</v>
      </c>
      <c r="B295" s="12" t="s">
        <v>38</v>
      </c>
      <c r="C295" s="12" t="s">
        <v>15</v>
      </c>
      <c r="D295" s="12">
        <v>2.7731019522776572</v>
      </c>
      <c r="E295" s="12">
        <v>0.95</v>
      </c>
      <c r="F295" s="12">
        <v>20</v>
      </c>
      <c r="G295" s="12">
        <v>0.95</v>
      </c>
      <c r="H295" s="12">
        <v>2.0078431372549019</v>
      </c>
      <c r="I295" s="12" t="s">
        <v>57</v>
      </c>
      <c r="J295" s="12">
        <v>46227</v>
      </c>
      <c r="K295">
        <v>46227</v>
      </c>
    </row>
    <row r="296" spans="1:11" hidden="1" x14ac:dyDescent="0.25">
      <c r="A296" s="12" t="s">
        <v>62</v>
      </c>
      <c r="B296" s="12" t="s">
        <v>37</v>
      </c>
      <c r="C296" s="12" t="s">
        <v>15</v>
      </c>
      <c r="D296" s="12">
        <v>4.440974877503046</v>
      </c>
      <c r="E296" s="12">
        <v>3.8</v>
      </c>
      <c r="F296" s="12">
        <v>20</v>
      </c>
      <c r="G296" s="12">
        <v>3.8</v>
      </c>
      <c r="H296" s="12">
        <v>14.947830768580642</v>
      </c>
      <c r="I296" s="12" t="s">
        <v>57</v>
      </c>
      <c r="J296" s="12">
        <v>46227</v>
      </c>
      <c r="K296">
        <v>46227</v>
      </c>
    </row>
    <row r="297" spans="1:11" hidden="1" x14ac:dyDescent="0.25">
      <c r="A297" s="12" t="s">
        <v>62</v>
      </c>
      <c r="B297" s="12" t="s">
        <v>38</v>
      </c>
      <c r="C297" s="12" t="s">
        <v>14</v>
      </c>
      <c r="D297" s="12">
        <v>2.4468546637744031</v>
      </c>
      <c r="E297" s="12">
        <v>1.9</v>
      </c>
      <c r="F297" s="12">
        <v>20</v>
      </c>
      <c r="G297" s="12">
        <v>1.9</v>
      </c>
      <c r="H297" s="12">
        <v>1.7716262975778552</v>
      </c>
      <c r="I297" s="12" t="s">
        <v>58</v>
      </c>
      <c r="J297" s="12">
        <v>46227</v>
      </c>
      <c r="K297">
        <v>46227</v>
      </c>
    </row>
    <row r="298" spans="1:11" hidden="1" x14ac:dyDescent="0.25">
      <c r="A298" s="12" t="s">
        <v>62</v>
      </c>
      <c r="B298" s="12" t="s">
        <v>37</v>
      </c>
      <c r="C298" s="12" t="s">
        <v>14</v>
      </c>
      <c r="D298" s="12">
        <v>8.0638754354660538</v>
      </c>
      <c r="E298" s="12">
        <v>6.6499999999999995</v>
      </c>
      <c r="F298" s="12">
        <v>20</v>
      </c>
      <c r="G298" s="12">
        <v>6.6499999999999995</v>
      </c>
      <c r="H298" s="12">
        <v>16.244212339103296</v>
      </c>
      <c r="I298" s="12" t="s">
        <v>58</v>
      </c>
      <c r="J298" s="12">
        <v>46227</v>
      </c>
      <c r="K298">
        <v>46227</v>
      </c>
    </row>
    <row r="299" spans="1:11" hidden="1" x14ac:dyDescent="0.25">
      <c r="A299" s="12" t="s">
        <v>62</v>
      </c>
      <c r="B299" s="12" t="s">
        <v>38</v>
      </c>
      <c r="C299" s="12" t="s">
        <v>14</v>
      </c>
      <c r="D299" s="12">
        <v>2.4468546637744031</v>
      </c>
      <c r="E299" s="12">
        <v>4.75</v>
      </c>
      <c r="F299" s="12">
        <v>20</v>
      </c>
      <c r="G299" s="12">
        <v>4.75</v>
      </c>
      <c r="H299" s="12">
        <v>1.7716262975778552</v>
      </c>
      <c r="I299" s="12" t="s">
        <v>76</v>
      </c>
      <c r="J299" s="12">
        <v>46228</v>
      </c>
      <c r="K299">
        <v>46228</v>
      </c>
    </row>
    <row r="300" spans="1:11" x14ac:dyDescent="0.25">
      <c r="A300" s="12" t="s">
        <v>62</v>
      </c>
      <c r="B300" s="12" t="s">
        <v>60</v>
      </c>
      <c r="C300" s="12" t="s">
        <v>13</v>
      </c>
      <c r="D300" s="12">
        <v>1.869884158948651</v>
      </c>
      <c r="E300" s="12">
        <v>0.95</v>
      </c>
      <c r="F300" s="12">
        <v>20</v>
      </c>
      <c r="G300" s="12">
        <v>0.95</v>
      </c>
      <c r="H300" s="12">
        <v>0</v>
      </c>
      <c r="I300" s="12" t="s">
        <v>135</v>
      </c>
      <c r="J300" s="12">
        <v>46228</v>
      </c>
      <c r="K300">
        <v>46228</v>
      </c>
    </row>
    <row r="301" spans="1:11" x14ac:dyDescent="0.25">
      <c r="A301" s="12" t="s">
        <v>62</v>
      </c>
      <c r="B301" s="12" t="s">
        <v>37</v>
      </c>
      <c r="C301" s="12" t="s">
        <v>13</v>
      </c>
      <c r="D301" s="12">
        <v>9.9337595944147079</v>
      </c>
      <c r="E301" s="12">
        <v>8.5499999999999989</v>
      </c>
      <c r="F301" s="12">
        <v>20</v>
      </c>
      <c r="G301" s="12">
        <v>8.5499999999999989</v>
      </c>
      <c r="H301" s="12">
        <v>14.025719386312222</v>
      </c>
      <c r="I301" s="12" t="s">
        <v>135</v>
      </c>
      <c r="J301" s="12">
        <v>46228</v>
      </c>
      <c r="K301">
        <v>46228</v>
      </c>
    </row>
    <row r="302" spans="1:11" x14ac:dyDescent="0.25">
      <c r="A302" s="12" t="s">
        <v>62</v>
      </c>
      <c r="B302" s="12" t="s">
        <v>38</v>
      </c>
      <c r="C302" s="12" t="s">
        <v>13</v>
      </c>
      <c r="D302" s="12">
        <v>0</v>
      </c>
      <c r="E302" s="12">
        <v>0.95</v>
      </c>
      <c r="F302" s="12">
        <v>20</v>
      </c>
      <c r="G302" s="12">
        <v>0.95</v>
      </c>
      <c r="H302" s="12">
        <v>0.23529411764705879</v>
      </c>
      <c r="I302" s="12" t="s">
        <v>135</v>
      </c>
      <c r="J302" s="12">
        <v>46228</v>
      </c>
      <c r="K302">
        <v>46228</v>
      </c>
    </row>
    <row r="303" spans="1:11" hidden="1" x14ac:dyDescent="0.25">
      <c r="A303" s="12" t="s">
        <v>62</v>
      </c>
      <c r="B303" s="12" t="s">
        <v>60</v>
      </c>
      <c r="C303" s="12" t="s">
        <v>15</v>
      </c>
      <c r="D303" s="12">
        <v>0</v>
      </c>
      <c r="E303" s="12">
        <v>0</v>
      </c>
      <c r="F303" s="12">
        <v>20</v>
      </c>
      <c r="G303" s="12">
        <v>0</v>
      </c>
      <c r="H303" s="12">
        <v>0</v>
      </c>
      <c r="I303" s="12" t="s">
        <v>75</v>
      </c>
      <c r="J303" s="12">
        <v>46228</v>
      </c>
      <c r="K303">
        <v>46228</v>
      </c>
    </row>
    <row r="304" spans="1:11" hidden="1" x14ac:dyDescent="0.25">
      <c r="A304" s="12" t="s">
        <v>62</v>
      </c>
      <c r="B304" s="12" t="s">
        <v>37</v>
      </c>
      <c r="C304" s="12" t="s">
        <v>15</v>
      </c>
      <c r="D304" s="12">
        <v>4.440974877503046</v>
      </c>
      <c r="E304" s="12">
        <v>1.9</v>
      </c>
      <c r="F304" s="12">
        <v>20</v>
      </c>
      <c r="G304" s="12">
        <v>1.9</v>
      </c>
      <c r="H304" s="12">
        <v>13.178414875565611</v>
      </c>
      <c r="I304" s="12" t="s">
        <v>75</v>
      </c>
      <c r="J304" s="12">
        <v>46228</v>
      </c>
      <c r="K304">
        <v>46228</v>
      </c>
    </row>
    <row r="305" spans="1:11" hidden="1" x14ac:dyDescent="0.25">
      <c r="A305" s="12" t="s">
        <v>62</v>
      </c>
      <c r="B305" s="12" t="s">
        <v>38</v>
      </c>
      <c r="C305" s="12" t="s">
        <v>15</v>
      </c>
      <c r="D305" s="12">
        <v>2.7731019522776572</v>
      </c>
      <c r="E305" s="12">
        <v>0.95</v>
      </c>
      <c r="F305" s="12">
        <v>20</v>
      </c>
      <c r="G305" s="12">
        <v>0.95</v>
      </c>
      <c r="H305" s="12">
        <v>2.0078431372549019</v>
      </c>
      <c r="I305" s="12" t="s">
        <v>75</v>
      </c>
      <c r="J305" s="12">
        <v>46228</v>
      </c>
      <c r="K305">
        <v>46228</v>
      </c>
    </row>
    <row r="306" spans="1:11" hidden="1" x14ac:dyDescent="0.25">
      <c r="A306" s="12" t="s">
        <v>62</v>
      </c>
      <c r="B306" s="12" t="s">
        <v>37</v>
      </c>
      <c r="C306" s="12" t="s">
        <v>14</v>
      </c>
      <c r="D306" s="12">
        <v>8.1223093154331991</v>
      </c>
      <c r="E306" s="12">
        <v>6.6499999999999995</v>
      </c>
      <c r="F306" s="12">
        <v>20</v>
      </c>
      <c r="G306" s="12">
        <v>6.6499999999999995</v>
      </c>
      <c r="H306" s="12">
        <v>14.246687641402699</v>
      </c>
      <c r="I306" s="12" t="s">
        <v>76</v>
      </c>
      <c r="J306" s="12">
        <v>46228</v>
      </c>
      <c r="K306">
        <v>46228</v>
      </c>
    </row>
    <row r="307" spans="1:11" hidden="1" x14ac:dyDescent="0.25">
      <c r="A307" s="12" t="s">
        <v>62</v>
      </c>
      <c r="B307" s="12" t="s">
        <v>60</v>
      </c>
      <c r="C307" s="12" t="s">
        <v>14</v>
      </c>
      <c r="D307" s="12">
        <v>1.4299114156666153</v>
      </c>
      <c r="E307" s="12">
        <v>0</v>
      </c>
      <c r="F307" s="12">
        <v>20</v>
      </c>
      <c r="G307" s="12">
        <v>0</v>
      </c>
      <c r="H307" s="12">
        <v>0</v>
      </c>
      <c r="I307" s="12" t="s">
        <v>76</v>
      </c>
      <c r="J307" s="12">
        <v>46228</v>
      </c>
      <c r="K307">
        <v>46228</v>
      </c>
    </row>
    <row r="308" spans="1:11" x14ac:dyDescent="0.25">
      <c r="A308" s="12" t="s">
        <v>62</v>
      </c>
      <c r="B308" s="12" t="s">
        <v>37</v>
      </c>
      <c r="C308" s="12" t="s">
        <v>13</v>
      </c>
      <c r="D308" s="12">
        <v>9.9337595944147079</v>
      </c>
      <c r="E308" s="12">
        <v>18.05</v>
      </c>
      <c r="F308" s="12">
        <v>20</v>
      </c>
      <c r="G308" s="12">
        <v>18.05</v>
      </c>
      <c r="H308" s="12">
        <v>12.967936934389144</v>
      </c>
      <c r="I308" s="12" t="s">
        <v>78</v>
      </c>
      <c r="J308" s="12">
        <v>46229</v>
      </c>
      <c r="K308">
        <v>46229</v>
      </c>
    </row>
    <row r="309" spans="1:11" x14ac:dyDescent="0.25">
      <c r="A309" s="12" t="s">
        <v>62</v>
      </c>
      <c r="B309" s="12" t="s">
        <v>38</v>
      </c>
      <c r="C309" s="12" t="s">
        <v>13</v>
      </c>
      <c r="D309" s="12">
        <v>0</v>
      </c>
      <c r="E309" s="12">
        <v>0.95</v>
      </c>
      <c r="F309" s="12">
        <v>20</v>
      </c>
      <c r="G309" s="12">
        <v>0.95</v>
      </c>
      <c r="H309" s="12">
        <v>0.23529411764705879</v>
      </c>
      <c r="I309" s="12" t="s">
        <v>78</v>
      </c>
      <c r="J309" s="12">
        <v>46229</v>
      </c>
      <c r="K309">
        <v>46229</v>
      </c>
    </row>
    <row r="310" spans="1:11" hidden="1" x14ac:dyDescent="0.25">
      <c r="A310" s="12" t="s">
        <v>62</v>
      </c>
      <c r="B310" s="12" t="s">
        <v>37</v>
      </c>
      <c r="C310" s="12" t="s">
        <v>15</v>
      </c>
      <c r="D310" s="12">
        <v>4.440974877503046</v>
      </c>
      <c r="E310" s="12">
        <v>3.8</v>
      </c>
      <c r="F310" s="12">
        <v>20</v>
      </c>
      <c r="G310" s="12">
        <v>3.8</v>
      </c>
      <c r="H310" s="12">
        <v>14.023727375565608</v>
      </c>
      <c r="I310" s="12" t="s">
        <v>77</v>
      </c>
      <c r="J310" s="12">
        <v>46229</v>
      </c>
      <c r="K310">
        <v>46229</v>
      </c>
    </row>
    <row r="311" spans="1:11" hidden="1" x14ac:dyDescent="0.25">
      <c r="A311" s="12" t="s">
        <v>62</v>
      </c>
      <c r="B311" s="12" t="s">
        <v>38</v>
      </c>
      <c r="C311" s="12" t="s">
        <v>15</v>
      </c>
      <c r="D311" s="12">
        <v>2.7731019522776572</v>
      </c>
      <c r="E311" s="12">
        <v>0</v>
      </c>
      <c r="F311" s="12">
        <v>20</v>
      </c>
      <c r="G311" s="12">
        <v>0</v>
      </c>
      <c r="H311" s="12">
        <v>2.0078431372549019</v>
      </c>
      <c r="I311" s="12" t="s">
        <v>77</v>
      </c>
      <c r="J311" s="12">
        <v>46229</v>
      </c>
      <c r="K311">
        <v>46229</v>
      </c>
    </row>
    <row r="312" spans="1:11" hidden="1" x14ac:dyDescent="0.25">
      <c r="A312" s="12" t="s">
        <v>62</v>
      </c>
      <c r="B312" s="12" t="s">
        <v>60</v>
      </c>
      <c r="C312" s="12" t="s">
        <v>15</v>
      </c>
      <c r="D312" s="12">
        <v>0</v>
      </c>
      <c r="E312" s="12">
        <v>0</v>
      </c>
      <c r="F312" s="12">
        <v>20</v>
      </c>
      <c r="G312" s="12">
        <v>0</v>
      </c>
      <c r="H312" s="12">
        <v>0</v>
      </c>
      <c r="I312" s="12" t="s">
        <v>77</v>
      </c>
      <c r="J312" s="12">
        <v>46229</v>
      </c>
      <c r="K312">
        <v>46229</v>
      </c>
    </row>
    <row r="313" spans="1:11" hidden="1" x14ac:dyDescent="0.25">
      <c r="A313" s="12" t="s">
        <v>62</v>
      </c>
      <c r="B313" s="12" t="s">
        <v>60</v>
      </c>
      <c r="C313" s="12" t="s">
        <v>14</v>
      </c>
      <c r="D313" s="12">
        <v>1.4299114156666153</v>
      </c>
      <c r="E313" s="12">
        <v>2.8499999999999996</v>
      </c>
      <c r="F313" s="12">
        <v>20</v>
      </c>
      <c r="G313" s="12">
        <v>2.8499999999999996</v>
      </c>
      <c r="H313" s="12">
        <v>0</v>
      </c>
      <c r="I313" s="12" t="s">
        <v>79</v>
      </c>
      <c r="J313" s="12">
        <v>46229</v>
      </c>
      <c r="K313">
        <v>46229</v>
      </c>
    </row>
    <row r="314" spans="1:11" hidden="1" x14ac:dyDescent="0.25">
      <c r="A314" s="12" t="s">
        <v>62</v>
      </c>
      <c r="B314" s="12" t="s">
        <v>37</v>
      </c>
      <c r="C314" s="12" t="s">
        <v>14</v>
      </c>
      <c r="D314" s="12">
        <v>8.1223093154331991</v>
      </c>
      <c r="E314" s="12">
        <v>7.6</v>
      </c>
      <c r="F314" s="12">
        <v>20</v>
      </c>
      <c r="G314" s="12">
        <v>7.6</v>
      </c>
      <c r="H314" s="12">
        <v>14.013925810708892</v>
      </c>
      <c r="I314" s="12" t="s">
        <v>79</v>
      </c>
      <c r="J314" s="12">
        <v>46229</v>
      </c>
      <c r="K314">
        <v>46229</v>
      </c>
    </row>
    <row r="315" spans="1:11" hidden="1" x14ac:dyDescent="0.25">
      <c r="A315" s="12" t="s">
        <v>62</v>
      </c>
      <c r="B315" s="12" t="s">
        <v>38</v>
      </c>
      <c r="C315" s="12" t="s">
        <v>14</v>
      </c>
      <c r="D315" s="12">
        <v>2.4468546637744031</v>
      </c>
      <c r="E315" s="12">
        <v>6.6499999999999995</v>
      </c>
      <c r="F315" s="12">
        <v>20</v>
      </c>
      <c r="G315" s="12">
        <v>6.6499999999999995</v>
      </c>
      <c r="H315" s="12">
        <v>1.7716262975778552</v>
      </c>
      <c r="I315" s="12" t="s">
        <v>79</v>
      </c>
      <c r="J315" s="12">
        <v>46229</v>
      </c>
      <c r="K315">
        <v>46229</v>
      </c>
    </row>
    <row r="316" spans="1:11" x14ac:dyDescent="0.25">
      <c r="A316" s="12" t="s">
        <v>62</v>
      </c>
      <c r="B316" s="12" t="s">
        <v>60</v>
      </c>
      <c r="C316" s="12" t="s">
        <v>13</v>
      </c>
      <c r="D316" s="12">
        <v>1.869884158948651</v>
      </c>
      <c r="E316" s="12">
        <v>0</v>
      </c>
      <c r="F316" s="12">
        <v>20</v>
      </c>
      <c r="G316" s="12">
        <v>0</v>
      </c>
      <c r="H316" s="12">
        <v>0</v>
      </c>
      <c r="I316" s="12" t="s">
        <v>78</v>
      </c>
      <c r="J316" s="12">
        <v>46229</v>
      </c>
      <c r="K316">
        <v>46229</v>
      </c>
    </row>
    <row r="317" spans="1:11" hidden="1" x14ac:dyDescent="0.25">
      <c r="A317" s="12" t="s">
        <v>62</v>
      </c>
      <c r="B317" s="12" t="s">
        <v>37</v>
      </c>
      <c r="C317" s="12" t="s">
        <v>14</v>
      </c>
      <c r="D317" s="12">
        <v>8.1807431954003462</v>
      </c>
      <c r="E317" s="12">
        <v>6.6499999999999995</v>
      </c>
      <c r="F317" s="12">
        <v>20</v>
      </c>
      <c r="G317" s="12">
        <v>6.6499999999999995</v>
      </c>
      <c r="H317" s="12">
        <v>12.399842100301662</v>
      </c>
      <c r="I317" s="12" t="s">
        <v>80</v>
      </c>
      <c r="J317" s="12">
        <v>46230</v>
      </c>
      <c r="K317">
        <v>46230</v>
      </c>
    </row>
    <row r="318" spans="1:11" x14ac:dyDescent="0.25">
      <c r="A318" s="12" t="s">
        <v>62</v>
      </c>
      <c r="B318" s="12" t="s">
        <v>60</v>
      </c>
      <c r="C318" s="12" t="s">
        <v>13</v>
      </c>
      <c r="D318" s="12">
        <v>1.869884158948651</v>
      </c>
      <c r="E318" s="12">
        <v>0</v>
      </c>
      <c r="F318" s="12">
        <v>20</v>
      </c>
      <c r="G318" s="12">
        <v>0</v>
      </c>
      <c r="H318" s="12">
        <v>0</v>
      </c>
      <c r="I318" s="12" t="s">
        <v>82</v>
      </c>
      <c r="J318" s="12">
        <v>46230</v>
      </c>
      <c r="K318">
        <v>46230</v>
      </c>
    </row>
    <row r="319" spans="1:11" hidden="1" x14ac:dyDescent="0.25">
      <c r="A319" s="12" t="s">
        <v>62</v>
      </c>
      <c r="B319" s="12" t="s">
        <v>60</v>
      </c>
      <c r="C319" s="12" t="s">
        <v>14</v>
      </c>
      <c r="D319" s="12">
        <v>1.4299114156666153</v>
      </c>
      <c r="E319" s="12">
        <v>0.95</v>
      </c>
      <c r="F319" s="12">
        <v>20</v>
      </c>
      <c r="G319" s="12">
        <v>0.95</v>
      </c>
      <c r="H319" s="12">
        <v>0</v>
      </c>
      <c r="I319" s="12" t="s">
        <v>80</v>
      </c>
      <c r="J319" s="12">
        <v>46230</v>
      </c>
      <c r="K319">
        <v>46230</v>
      </c>
    </row>
    <row r="320" spans="1:11" hidden="1" x14ac:dyDescent="0.25">
      <c r="A320" s="12" t="s">
        <v>62</v>
      </c>
      <c r="B320" s="12" t="s">
        <v>38</v>
      </c>
      <c r="C320" s="12" t="s">
        <v>14</v>
      </c>
      <c r="D320" s="12">
        <v>2.5188209774148271</v>
      </c>
      <c r="E320" s="12">
        <v>9.5</v>
      </c>
      <c r="F320" s="12">
        <v>20</v>
      </c>
      <c r="G320" s="12">
        <v>9.5</v>
      </c>
      <c r="H320" s="12">
        <v>1.7716262975778552</v>
      </c>
      <c r="I320" s="12" t="s">
        <v>80</v>
      </c>
      <c r="J320" s="12">
        <v>46230</v>
      </c>
      <c r="K320">
        <v>46230</v>
      </c>
    </row>
    <row r="321" spans="1:11" x14ac:dyDescent="0.25">
      <c r="A321" s="12" t="s">
        <v>62</v>
      </c>
      <c r="B321" s="12" t="s">
        <v>38</v>
      </c>
      <c r="C321" s="12" t="s">
        <v>13</v>
      </c>
      <c r="D321" s="12">
        <v>2.5233188720173527</v>
      </c>
      <c r="E321" s="12">
        <v>0</v>
      </c>
      <c r="F321" s="12">
        <v>20</v>
      </c>
      <c r="G321" s="12">
        <v>0</v>
      </c>
      <c r="H321" s="12">
        <v>0.23529411764705879</v>
      </c>
      <c r="I321" s="12" t="s">
        <v>82</v>
      </c>
      <c r="J321" s="12">
        <v>46230</v>
      </c>
      <c r="K321">
        <v>46230</v>
      </c>
    </row>
    <row r="322" spans="1:11" hidden="1" x14ac:dyDescent="0.25">
      <c r="A322" s="12" t="s">
        <v>62</v>
      </c>
      <c r="B322" s="12" t="s">
        <v>60</v>
      </c>
      <c r="C322" s="12" t="s">
        <v>15</v>
      </c>
      <c r="D322" s="12">
        <v>0</v>
      </c>
      <c r="E322" s="12">
        <v>0</v>
      </c>
      <c r="F322" s="12">
        <v>20</v>
      </c>
      <c r="G322" s="12">
        <v>0</v>
      </c>
      <c r="H322" s="12">
        <v>0</v>
      </c>
      <c r="I322" s="12" t="s">
        <v>81</v>
      </c>
      <c r="J322" s="12">
        <v>46230</v>
      </c>
      <c r="K322">
        <v>46230</v>
      </c>
    </row>
    <row r="323" spans="1:11" hidden="1" x14ac:dyDescent="0.25">
      <c r="A323" s="12" t="s">
        <v>62</v>
      </c>
      <c r="B323" s="12" t="s">
        <v>38</v>
      </c>
      <c r="C323" s="12" t="s">
        <v>15</v>
      </c>
      <c r="D323" s="12">
        <v>2.7731019522776572</v>
      </c>
      <c r="E323" s="12">
        <v>0</v>
      </c>
      <c r="F323" s="12">
        <v>20</v>
      </c>
      <c r="G323" s="12">
        <v>0</v>
      </c>
      <c r="H323" s="12">
        <v>2.0078431372549019</v>
      </c>
      <c r="I323" s="12" t="s">
        <v>81</v>
      </c>
      <c r="J323" s="12">
        <v>46230</v>
      </c>
      <c r="K323">
        <v>46230</v>
      </c>
    </row>
    <row r="324" spans="1:11" hidden="1" x14ac:dyDescent="0.25">
      <c r="A324" s="12" t="s">
        <v>62</v>
      </c>
      <c r="B324" s="12" t="s">
        <v>37</v>
      </c>
      <c r="C324" s="12" t="s">
        <v>15</v>
      </c>
      <c r="D324" s="12">
        <v>4.440974877503046</v>
      </c>
      <c r="E324" s="12">
        <v>4.75</v>
      </c>
      <c r="F324" s="12">
        <v>20</v>
      </c>
      <c r="G324" s="12">
        <v>4.75</v>
      </c>
      <c r="H324" s="12">
        <v>12.987129996229257</v>
      </c>
      <c r="I324" s="12" t="s">
        <v>81</v>
      </c>
      <c r="J324" s="12">
        <v>46230</v>
      </c>
      <c r="K324">
        <v>46230</v>
      </c>
    </row>
    <row r="325" spans="1:11" x14ac:dyDescent="0.25">
      <c r="A325" s="12" t="s">
        <v>62</v>
      </c>
      <c r="B325" s="12" t="s">
        <v>37</v>
      </c>
      <c r="C325" s="12" t="s">
        <v>13</v>
      </c>
      <c r="D325" s="12">
        <v>9.9337595944147079</v>
      </c>
      <c r="E325" s="12">
        <v>43.7</v>
      </c>
      <c r="F325" s="12">
        <v>20</v>
      </c>
      <c r="G325" s="12">
        <v>43.7</v>
      </c>
      <c r="H325" s="12">
        <v>13.149317142722481</v>
      </c>
      <c r="I325" s="12" t="s">
        <v>82</v>
      </c>
      <c r="J325" s="12">
        <v>46230</v>
      </c>
      <c r="K325">
        <v>46230</v>
      </c>
    </row>
    <row r="326" spans="1:11" hidden="1" x14ac:dyDescent="0.25">
      <c r="A326" s="12" t="s">
        <v>62</v>
      </c>
      <c r="B326" s="12" t="s">
        <v>38</v>
      </c>
      <c r="C326" s="12" t="s">
        <v>14</v>
      </c>
      <c r="D326" s="12">
        <v>2.4468546637744031</v>
      </c>
      <c r="E326" s="12">
        <v>9.5</v>
      </c>
      <c r="F326" s="12">
        <v>20</v>
      </c>
      <c r="G326" s="12">
        <v>9.5</v>
      </c>
      <c r="H326" s="12">
        <v>1.7716262975778552</v>
      </c>
      <c r="I326" s="12" t="s">
        <v>84</v>
      </c>
      <c r="J326" s="12">
        <v>46231</v>
      </c>
      <c r="K326">
        <v>46231</v>
      </c>
    </row>
    <row r="327" spans="1:11" hidden="1" x14ac:dyDescent="0.25">
      <c r="A327" s="12" t="s">
        <v>62</v>
      </c>
      <c r="B327" s="12" t="s">
        <v>60</v>
      </c>
      <c r="C327" s="12" t="s">
        <v>14</v>
      </c>
      <c r="D327" s="12">
        <v>1.4299114156666153</v>
      </c>
      <c r="E327" s="12">
        <v>0</v>
      </c>
      <c r="F327" s="12">
        <v>20</v>
      </c>
      <c r="G327" s="12">
        <v>0</v>
      </c>
      <c r="H327" s="12">
        <v>0</v>
      </c>
      <c r="I327" s="12" t="s">
        <v>84</v>
      </c>
      <c r="J327" s="12">
        <v>46231</v>
      </c>
      <c r="K327">
        <v>46231</v>
      </c>
    </row>
    <row r="328" spans="1:11" hidden="1" x14ac:dyDescent="0.25">
      <c r="A328" s="12" t="s">
        <v>62</v>
      </c>
      <c r="B328" s="12" t="s">
        <v>38</v>
      </c>
      <c r="C328" s="12" t="s">
        <v>15</v>
      </c>
      <c r="D328" s="12">
        <v>2.7731019522776572</v>
      </c>
      <c r="E328" s="12">
        <v>1.9</v>
      </c>
      <c r="F328" s="12">
        <v>20</v>
      </c>
      <c r="G328" s="12">
        <v>1.9</v>
      </c>
      <c r="H328" s="12">
        <v>2.0078431372549019</v>
      </c>
      <c r="I328" s="12" t="s">
        <v>136</v>
      </c>
      <c r="J328" s="12">
        <v>46231</v>
      </c>
      <c r="K328">
        <v>46231</v>
      </c>
    </row>
    <row r="329" spans="1:11" hidden="1" x14ac:dyDescent="0.25">
      <c r="A329" s="12" t="s">
        <v>62</v>
      </c>
      <c r="B329" s="12" t="s">
        <v>37</v>
      </c>
      <c r="C329" s="12" t="s">
        <v>14</v>
      </c>
      <c r="D329" s="12">
        <v>8.1807431954003444</v>
      </c>
      <c r="E329" s="12">
        <v>6.6499999999999995</v>
      </c>
      <c r="F329" s="12">
        <v>20</v>
      </c>
      <c r="G329" s="12">
        <v>6.6499999999999995</v>
      </c>
      <c r="H329" s="12">
        <v>12.357263386123677</v>
      </c>
      <c r="I329" s="12" t="s">
        <v>84</v>
      </c>
      <c r="J329" s="12">
        <v>46231</v>
      </c>
      <c r="K329">
        <v>46231</v>
      </c>
    </row>
    <row r="330" spans="1:11" hidden="1" x14ac:dyDescent="0.25">
      <c r="A330" s="12" t="s">
        <v>62</v>
      </c>
      <c r="B330" s="12" t="s">
        <v>37</v>
      </c>
      <c r="C330" s="12" t="s">
        <v>15</v>
      </c>
      <c r="D330" s="12">
        <v>4.440974877503046</v>
      </c>
      <c r="E330" s="12">
        <v>4.75</v>
      </c>
      <c r="F330" s="12">
        <v>20</v>
      </c>
      <c r="G330" s="12">
        <v>4.75</v>
      </c>
      <c r="H330" s="12">
        <v>11.283208427601808</v>
      </c>
      <c r="I330" s="12" t="s">
        <v>136</v>
      </c>
      <c r="J330" s="12">
        <v>46231</v>
      </c>
      <c r="K330">
        <v>46231</v>
      </c>
    </row>
    <row r="331" spans="1:11" x14ac:dyDescent="0.25">
      <c r="A331" s="12" t="s">
        <v>62</v>
      </c>
      <c r="B331" s="12" t="s">
        <v>38</v>
      </c>
      <c r="C331" s="12" t="s">
        <v>13</v>
      </c>
      <c r="D331" s="12">
        <v>3.8232104121475055</v>
      </c>
      <c r="E331" s="12">
        <v>0.95</v>
      </c>
      <c r="F331" s="12">
        <v>20</v>
      </c>
      <c r="G331" s="12">
        <v>0.95</v>
      </c>
      <c r="H331" s="12">
        <v>0.23529411764705879</v>
      </c>
      <c r="I331" s="12" t="s">
        <v>83</v>
      </c>
      <c r="J331" s="12">
        <v>46231</v>
      </c>
      <c r="K331">
        <v>46231</v>
      </c>
    </row>
    <row r="332" spans="1:11" x14ac:dyDescent="0.25">
      <c r="A332" s="12" t="s">
        <v>62</v>
      </c>
      <c r="B332" s="12" t="s">
        <v>60</v>
      </c>
      <c r="C332" s="12" t="s">
        <v>13</v>
      </c>
      <c r="D332" s="12">
        <v>1.869884158948651</v>
      </c>
      <c r="E332" s="12">
        <v>1.9</v>
      </c>
      <c r="F332" s="12">
        <v>20</v>
      </c>
      <c r="G332" s="12">
        <v>1.9</v>
      </c>
      <c r="H332" s="12">
        <v>0</v>
      </c>
      <c r="I332" s="12" t="s">
        <v>83</v>
      </c>
      <c r="J332" s="12">
        <v>46231</v>
      </c>
      <c r="K332">
        <v>46231</v>
      </c>
    </row>
    <row r="333" spans="1:11" hidden="1" x14ac:dyDescent="0.25">
      <c r="A333" s="12" t="s">
        <v>62</v>
      </c>
      <c r="B333" s="12" t="s">
        <v>60</v>
      </c>
      <c r="C333" s="12" t="s">
        <v>15</v>
      </c>
      <c r="D333" s="12">
        <v>0</v>
      </c>
      <c r="E333" s="12">
        <v>1.9</v>
      </c>
      <c r="F333" s="12">
        <v>20</v>
      </c>
      <c r="G333" s="12">
        <v>1.9</v>
      </c>
      <c r="H333" s="12">
        <v>0</v>
      </c>
      <c r="I333" s="12" t="s">
        <v>136</v>
      </c>
      <c r="J333" s="12">
        <v>46231</v>
      </c>
      <c r="K333">
        <v>46231</v>
      </c>
    </row>
    <row r="334" spans="1:11" x14ac:dyDescent="0.25">
      <c r="A334" s="12" t="s">
        <v>62</v>
      </c>
      <c r="B334" s="12" t="s">
        <v>37</v>
      </c>
      <c r="C334" s="12" t="s">
        <v>13</v>
      </c>
      <c r="D334" s="12">
        <v>9.9337595944147079</v>
      </c>
      <c r="E334" s="12">
        <v>28.5</v>
      </c>
      <c r="F334" s="12">
        <v>20</v>
      </c>
      <c r="G334" s="12">
        <v>28.5</v>
      </c>
      <c r="H334" s="12">
        <v>13.914090780542988</v>
      </c>
      <c r="I334" s="12" t="s">
        <v>83</v>
      </c>
      <c r="J334" s="12">
        <v>46231</v>
      </c>
      <c r="K334">
        <v>46231</v>
      </c>
    </row>
    <row r="335" spans="1:11" hidden="1" x14ac:dyDescent="0.25">
      <c r="A335" s="12" t="s">
        <v>62</v>
      </c>
      <c r="B335" s="12" t="s">
        <v>37</v>
      </c>
      <c r="C335" s="12" t="s">
        <v>14</v>
      </c>
      <c r="D335" s="12">
        <v>8.1807431954003444</v>
      </c>
      <c r="E335" s="12">
        <v>4.75</v>
      </c>
      <c r="F335" s="12">
        <v>20</v>
      </c>
      <c r="G335" s="12">
        <v>4.75</v>
      </c>
      <c r="H335" s="12">
        <v>14.536392345399705</v>
      </c>
      <c r="I335" s="12" t="s">
        <v>85</v>
      </c>
      <c r="J335" s="12">
        <v>46232</v>
      </c>
      <c r="K335">
        <v>46232</v>
      </c>
    </row>
    <row r="336" spans="1:11" hidden="1" x14ac:dyDescent="0.25">
      <c r="A336" s="12" t="s">
        <v>62</v>
      </c>
      <c r="B336" s="12" t="s">
        <v>38</v>
      </c>
      <c r="C336" s="12" t="s">
        <v>14</v>
      </c>
      <c r="D336" s="12">
        <v>2.4468546637744031</v>
      </c>
      <c r="E336" s="12">
        <v>1.9</v>
      </c>
      <c r="F336" s="12">
        <v>20</v>
      </c>
      <c r="G336" s="12">
        <v>1.9</v>
      </c>
      <c r="H336" s="12">
        <v>1.7716262975778552</v>
      </c>
      <c r="I336" s="12" t="s">
        <v>85</v>
      </c>
      <c r="J336" s="12">
        <v>46232</v>
      </c>
      <c r="K336">
        <v>46232</v>
      </c>
    </row>
    <row r="337" spans="1:11" hidden="1" x14ac:dyDescent="0.25">
      <c r="A337" s="12" t="s">
        <v>62</v>
      </c>
      <c r="B337" s="12" t="s">
        <v>60</v>
      </c>
      <c r="C337" s="12" t="s">
        <v>15</v>
      </c>
      <c r="D337" s="12">
        <v>0</v>
      </c>
      <c r="E337" s="12">
        <v>0</v>
      </c>
      <c r="F337" s="12">
        <v>20</v>
      </c>
      <c r="G337" s="12">
        <v>0</v>
      </c>
      <c r="H337" s="12">
        <v>0</v>
      </c>
      <c r="I337" s="12" t="s">
        <v>87</v>
      </c>
      <c r="J337" s="12">
        <v>46232</v>
      </c>
      <c r="K337">
        <v>46232</v>
      </c>
    </row>
    <row r="338" spans="1:11" hidden="1" x14ac:dyDescent="0.25">
      <c r="A338" s="12" t="s">
        <v>62</v>
      </c>
      <c r="B338" s="12" t="s">
        <v>60</v>
      </c>
      <c r="C338" s="12" t="s">
        <v>14</v>
      </c>
      <c r="D338" s="12">
        <v>1.5949011943973781</v>
      </c>
      <c r="E338" s="12">
        <v>2.8499999999999996</v>
      </c>
      <c r="F338" s="12">
        <v>20</v>
      </c>
      <c r="G338" s="12">
        <v>2.8499999999999996</v>
      </c>
      <c r="H338" s="12">
        <v>0</v>
      </c>
      <c r="I338" s="12" t="s">
        <v>85</v>
      </c>
      <c r="J338" s="12">
        <v>46232</v>
      </c>
      <c r="K338">
        <v>46232</v>
      </c>
    </row>
    <row r="339" spans="1:11" hidden="1" x14ac:dyDescent="0.25">
      <c r="A339" s="12" t="s">
        <v>62</v>
      </c>
      <c r="B339" s="12" t="s">
        <v>37</v>
      </c>
      <c r="C339" s="12" t="s">
        <v>15</v>
      </c>
      <c r="D339" s="12">
        <v>4.440974877503046</v>
      </c>
      <c r="E339" s="12">
        <v>2.8499999999999996</v>
      </c>
      <c r="F339" s="12">
        <v>20</v>
      </c>
      <c r="G339" s="12">
        <v>2.8499999999999996</v>
      </c>
      <c r="H339" s="12">
        <v>13.21769419306184</v>
      </c>
      <c r="I339" s="12" t="s">
        <v>87</v>
      </c>
      <c r="J339" s="12">
        <v>46232</v>
      </c>
      <c r="K339">
        <v>46232</v>
      </c>
    </row>
    <row r="340" spans="1:11" x14ac:dyDescent="0.25">
      <c r="A340" s="12" t="s">
        <v>62</v>
      </c>
      <c r="B340" s="12" t="s">
        <v>38</v>
      </c>
      <c r="C340" s="12" t="s">
        <v>13</v>
      </c>
      <c r="D340" s="12">
        <v>3.8996746203904542</v>
      </c>
      <c r="E340" s="12">
        <v>5.6999999999999993</v>
      </c>
      <c r="F340" s="12">
        <v>20</v>
      </c>
      <c r="G340" s="12">
        <v>5.6999999999999993</v>
      </c>
      <c r="H340" s="12">
        <v>0.23529411764705879</v>
      </c>
      <c r="I340" s="12" t="s">
        <v>86</v>
      </c>
      <c r="J340" s="12">
        <v>46232</v>
      </c>
      <c r="K340">
        <v>46232</v>
      </c>
    </row>
    <row r="341" spans="1:11" x14ac:dyDescent="0.25">
      <c r="A341" s="12" t="s">
        <v>62</v>
      </c>
      <c r="B341" s="12" t="s">
        <v>60</v>
      </c>
      <c r="C341" s="12" t="s">
        <v>13</v>
      </c>
      <c r="D341" s="12">
        <v>1.636148639080069</v>
      </c>
      <c r="E341" s="12">
        <v>0.95</v>
      </c>
      <c r="F341" s="12">
        <v>20</v>
      </c>
      <c r="G341" s="12">
        <v>0.95</v>
      </c>
      <c r="H341" s="12">
        <v>0</v>
      </c>
      <c r="I341" s="12" t="s">
        <v>86</v>
      </c>
      <c r="J341" s="12">
        <v>46232</v>
      </c>
      <c r="K341">
        <v>46232</v>
      </c>
    </row>
    <row r="342" spans="1:11" hidden="1" x14ac:dyDescent="0.25">
      <c r="A342" s="12" t="s">
        <v>62</v>
      </c>
      <c r="B342" s="12" t="s">
        <v>38</v>
      </c>
      <c r="C342" s="12" t="s">
        <v>15</v>
      </c>
      <c r="D342" s="12">
        <v>2.7731019522776572</v>
      </c>
      <c r="E342" s="12">
        <v>0</v>
      </c>
      <c r="F342" s="12">
        <v>20</v>
      </c>
      <c r="G342" s="12">
        <v>0</v>
      </c>
      <c r="H342" s="12">
        <v>2.0078431372549019</v>
      </c>
      <c r="I342" s="12" t="s">
        <v>87</v>
      </c>
      <c r="J342" s="12">
        <v>46232</v>
      </c>
      <c r="K342">
        <v>46232</v>
      </c>
    </row>
    <row r="343" spans="1:11" x14ac:dyDescent="0.25">
      <c r="A343" s="12" t="s">
        <v>62</v>
      </c>
      <c r="B343" s="12" t="s">
        <v>37</v>
      </c>
      <c r="C343" s="12" t="s">
        <v>13</v>
      </c>
      <c r="D343" s="12">
        <v>9.9337595944147079</v>
      </c>
      <c r="E343" s="12">
        <v>9.5</v>
      </c>
      <c r="F343" s="12">
        <v>20</v>
      </c>
      <c r="G343" s="12">
        <v>9.5</v>
      </c>
      <c r="H343" s="12">
        <v>12.181278280542983</v>
      </c>
      <c r="I343" s="12" t="s">
        <v>86</v>
      </c>
      <c r="J343" s="12">
        <v>46232</v>
      </c>
      <c r="K343">
        <v>46232</v>
      </c>
    </row>
    <row r="344" spans="1:11" hidden="1" x14ac:dyDescent="0.25">
      <c r="A344" s="12" t="s">
        <v>62</v>
      </c>
      <c r="B344" s="12" t="s">
        <v>60</v>
      </c>
      <c r="C344" s="12" t="s">
        <v>14</v>
      </c>
      <c r="D344" s="12">
        <v>1.4299114156666153</v>
      </c>
      <c r="E344" s="12">
        <v>0.95</v>
      </c>
      <c r="F344" s="12">
        <v>20</v>
      </c>
      <c r="G344" s="12">
        <v>0.95</v>
      </c>
      <c r="H344" s="12">
        <v>0.86877828054298623</v>
      </c>
      <c r="I344" s="12" t="s">
        <v>88</v>
      </c>
      <c r="J344" s="12">
        <v>46233</v>
      </c>
      <c r="K344">
        <v>46233</v>
      </c>
    </row>
    <row r="345" spans="1:11" hidden="1" x14ac:dyDescent="0.25">
      <c r="A345" s="12" t="s">
        <v>62</v>
      </c>
      <c r="B345" s="12" t="s">
        <v>38</v>
      </c>
      <c r="C345" s="12" t="s">
        <v>14</v>
      </c>
      <c r="D345" s="12">
        <v>2.4468546637744035</v>
      </c>
      <c r="E345" s="12">
        <v>1.9</v>
      </c>
      <c r="F345" s="12">
        <v>20</v>
      </c>
      <c r="G345" s="12">
        <v>1.9</v>
      </c>
      <c r="H345" s="12">
        <v>1.7716262975778552</v>
      </c>
      <c r="I345" s="12" t="s">
        <v>88</v>
      </c>
      <c r="J345" s="12">
        <v>46233</v>
      </c>
      <c r="K345">
        <v>46233</v>
      </c>
    </row>
    <row r="346" spans="1:11" hidden="1" x14ac:dyDescent="0.25">
      <c r="A346" s="12" t="s">
        <v>62</v>
      </c>
      <c r="B346" s="12" t="s">
        <v>38</v>
      </c>
      <c r="C346" s="12" t="s">
        <v>15</v>
      </c>
      <c r="D346" s="12">
        <v>2.7731019522776572</v>
      </c>
      <c r="E346" s="12">
        <v>0</v>
      </c>
      <c r="F346" s="12">
        <v>20</v>
      </c>
      <c r="G346" s="12">
        <v>0</v>
      </c>
      <c r="H346" s="12">
        <v>2.0078431372549019</v>
      </c>
      <c r="I346" s="12" t="s">
        <v>89</v>
      </c>
      <c r="J346" s="12">
        <v>46233</v>
      </c>
      <c r="K346">
        <v>46233</v>
      </c>
    </row>
    <row r="347" spans="1:11" hidden="1" x14ac:dyDescent="0.25">
      <c r="A347" s="12" t="s">
        <v>62</v>
      </c>
      <c r="B347" s="12" t="s">
        <v>37</v>
      </c>
      <c r="C347" s="12" t="s">
        <v>14</v>
      </c>
      <c r="D347" s="12">
        <v>8.1223093154332009</v>
      </c>
      <c r="E347" s="12">
        <v>6.6499999999999995</v>
      </c>
      <c r="F347" s="12">
        <v>20</v>
      </c>
      <c r="G347" s="12">
        <v>6.6499999999999995</v>
      </c>
      <c r="H347" s="12">
        <v>14.730962481146298</v>
      </c>
      <c r="I347" s="12" t="s">
        <v>88</v>
      </c>
      <c r="J347" s="12">
        <v>46233</v>
      </c>
      <c r="K347">
        <v>46233</v>
      </c>
    </row>
    <row r="348" spans="1:11" x14ac:dyDescent="0.25">
      <c r="A348" s="12" t="s">
        <v>62</v>
      </c>
      <c r="B348" s="12" t="s">
        <v>60</v>
      </c>
      <c r="C348" s="12" t="s">
        <v>13</v>
      </c>
      <c r="D348" s="12">
        <v>1.869884158948651</v>
      </c>
      <c r="E348" s="12">
        <v>1.9</v>
      </c>
      <c r="F348" s="12">
        <v>20</v>
      </c>
      <c r="G348" s="12">
        <v>1.9</v>
      </c>
      <c r="H348" s="12">
        <v>0</v>
      </c>
      <c r="I348" s="12" t="s">
        <v>90</v>
      </c>
      <c r="J348" s="12">
        <v>46233</v>
      </c>
      <c r="K348">
        <v>46233</v>
      </c>
    </row>
    <row r="349" spans="1:11" x14ac:dyDescent="0.25">
      <c r="A349" s="12" t="s">
        <v>62</v>
      </c>
      <c r="B349" s="12" t="s">
        <v>38</v>
      </c>
      <c r="C349" s="12" t="s">
        <v>13</v>
      </c>
      <c r="D349" s="12">
        <v>2.5233188720173532</v>
      </c>
      <c r="E349" s="12">
        <v>4.75</v>
      </c>
      <c r="F349" s="12">
        <v>20</v>
      </c>
      <c r="G349" s="12">
        <v>4.75</v>
      </c>
      <c r="H349" s="12">
        <v>0.23529411764705879</v>
      </c>
      <c r="I349" s="12" t="s">
        <v>90</v>
      </c>
      <c r="J349" s="12">
        <v>46233</v>
      </c>
      <c r="K349">
        <v>46233</v>
      </c>
    </row>
    <row r="350" spans="1:11" x14ac:dyDescent="0.25">
      <c r="A350" s="12" t="s">
        <v>62</v>
      </c>
      <c r="B350" s="12" t="s">
        <v>37</v>
      </c>
      <c r="C350" s="12" t="s">
        <v>13</v>
      </c>
      <c r="D350" s="12">
        <v>9.9337595944147097</v>
      </c>
      <c r="E350" s="12">
        <v>34.199999999999996</v>
      </c>
      <c r="F350" s="12">
        <v>20</v>
      </c>
      <c r="G350" s="12">
        <v>34.199999999999996</v>
      </c>
      <c r="H350" s="12">
        <v>13.842967571644042</v>
      </c>
      <c r="I350" s="12" t="s">
        <v>90</v>
      </c>
      <c r="J350" s="12">
        <v>46233</v>
      </c>
      <c r="K350">
        <v>46233</v>
      </c>
    </row>
    <row r="351" spans="1:11" hidden="1" x14ac:dyDescent="0.25">
      <c r="A351" s="12" t="s">
        <v>62</v>
      </c>
      <c r="B351" s="12" t="s">
        <v>60</v>
      </c>
      <c r="C351" s="12" t="s">
        <v>15</v>
      </c>
      <c r="D351" s="12">
        <v>0</v>
      </c>
      <c r="E351" s="12">
        <v>0.95</v>
      </c>
      <c r="F351" s="12">
        <v>20</v>
      </c>
      <c r="G351" s="12">
        <v>0.95</v>
      </c>
      <c r="H351" s="12">
        <v>0.92307692307692291</v>
      </c>
      <c r="I351" s="12" t="s">
        <v>89</v>
      </c>
      <c r="J351" s="12">
        <v>46233</v>
      </c>
      <c r="K351">
        <v>46233</v>
      </c>
    </row>
    <row r="352" spans="1:11" hidden="1" x14ac:dyDescent="0.25">
      <c r="A352" s="12" t="s">
        <v>62</v>
      </c>
      <c r="B352" s="12" t="s">
        <v>37</v>
      </c>
      <c r="C352" s="12" t="s">
        <v>15</v>
      </c>
      <c r="D352" s="12">
        <v>4.440974877503046</v>
      </c>
      <c r="E352" s="12">
        <v>1.9</v>
      </c>
      <c r="F352" s="12">
        <v>20</v>
      </c>
      <c r="G352" s="12">
        <v>1.9</v>
      </c>
      <c r="H352" s="12">
        <v>13.236908465309201</v>
      </c>
      <c r="I352" s="12" t="s">
        <v>89</v>
      </c>
      <c r="J352" s="12">
        <v>46233</v>
      </c>
      <c r="K352">
        <v>46233</v>
      </c>
    </row>
    <row r="353" spans="1:11" x14ac:dyDescent="0.25">
      <c r="A353" s="12" t="s">
        <v>62</v>
      </c>
      <c r="B353" s="12" t="s">
        <v>60</v>
      </c>
      <c r="C353" s="12" t="s">
        <v>13</v>
      </c>
      <c r="D353" s="12">
        <v>1.869884158948651</v>
      </c>
      <c r="E353" s="12">
        <v>1.9</v>
      </c>
      <c r="F353" s="12">
        <v>20</v>
      </c>
      <c r="G353" s="12">
        <v>1.9</v>
      </c>
      <c r="H353" s="12">
        <v>0.92307692307692291</v>
      </c>
      <c r="I353" s="12" t="s">
        <v>91</v>
      </c>
      <c r="J353" s="12">
        <v>46234</v>
      </c>
      <c r="K353">
        <v>46234</v>
      </c>
    </row>
    <row r="354" spans="1:11" x14ac:dyDescent="0.25">
      <c r="A354" s="12" t="s">
        <v>62</v>
      </c>
      <c r="B354" s="12" t="s">
        <v>37</v>
      </c>
      <c r="C354" s="12" t="s">
        <v>13</v>
      </c>
      <c r="D354" s="12">
        <v>9.9337595944147097</v>
      </c>
      <c r="E354" s="12">
        <v>30.4</v>
      </c>
      <c r="F354" s="12">
        <v>20</v>
      </c>
      <c r="G354" s="12">
        <v>30.4</v>
      </c>
      <c r="H354" s="12">
        <v>12.303129713423832</v>
      </c>
      <c r="I354" s="12" t="s">
        <v>91</v>
      </c>
      <c r="J354" s="12">
        <v>46234</v>
      </c>
      <c r="K354">
        <v>46234</v>
      </c>
    </row>
    <row r="355" spans="1:11" x14ac:dyDescent="0.25">
      <c r="A355" s="12" t="s">
        <v>62</v>
      </c>
      <c r="B355" s="12" t="s">
        <v>38</v>
      </c>
      <c r="C355" s="12" t="s">
        <v>13</v>
      </c>
      <c r="D355" s="12">
        <v>3.7467462039045554</v>
      </c>
      <c r="E355" s="12">
        <v>5.6999999999999993</v>
      </c>
      <c r="F355" s="12">
        <v>20</v>
      </c>
      <c r="G355" s="12">
        <v>5.6999999999999993</v>
      </c>
      <c r="H355" s="12">
        <v>0.23529411764705879</v>
      </c>
      <c r="I355" s="12" t="s">
        <v>91</v>
      </c>
      <c r="J355" s="12">
        <v>46234</v>
      </c>
      <c r="K355">
        <v>46234</v>
      </c>
    </row>
    <row r="356" spans="1:11" hidden="1" x14ac:dyDescent="0.25">
      <c r="A356" s="12" t="s">
        <v>62</v>
      </c>
      <c r="B356" s="12" t="s">
        <v>37</v>
      </c>
      <c r="C356" s="12" t="s">
        <v>15</v>
      </c>
      <c r="D356" s="12">
        <v>4.440974877503046</v>
      </c>
      <c r="E356" s="12">
        <v>4.75</v>
      </c>
      <c r="F356" s="12">
        <v>20</v>
      </c>
      <c r="G356" s="12">
        <v>4.75</v>
      </c>
      <c r="H356" s="12">
        <v>12.965033465309196</v>
      </c>
      <c r="I356" s="12" t="s">
        <v>92</v>
      </c>
      <c r="J356" s="12">
        <v>46234</v>
      </c>
      <c r="K356">
        <v>46234</v>
      </c>
    </row>
    <row r="357" spans="1:11" hidden="1" x14ac:dyDescent="0.25">
      <c r="A357" s="12" t="s">
        <v>62</v>
      </c>
      <c r="B357" s="12" t="s">
        <v>60</v>
      </c>
      <c r="C357" s="12" t="s">
        <v>15</v>
      </c>
      <c r="D357" s="12">
        <v>0</v>
      </c>
      <c r="E357" s="12">
        <v>0</v>
      </c>
      <c r="F357" s="12">
        <v>20</v>
      </c>
      <c r="G357" s="12">
        <v>0</v>
      </c>
      <c r="H357" s="12">
        <v>0.92307692307692291</v>
      </c>
      <c r="I357" s="12" t="s">
        <v>92</v>
      </c>
      <c r="J357" s="12">
        <v>46234</v>
      </c>
      <c r="K357">
        <v>46234</v>
      </c>
    </row>
    <row r="358" spans="1:11" hidden="1" x14ac:dyDescent="0.25">
      <c r="A358" s="12" t="s">
        <v>62</v>
      </c>
      <c r="B358" s="12" t="s">
        <v>38</v>
      </c>
      <c r="C358" s="12" t="s">
        <v>15</v>
      </c>
      <c r="D358" s="12">
        <v>2.7731019522776572</v>
      </c>
      <c r="E358" s="12">
        <v>0.95</v>
      </c>
      <c r="F358" s="12">
        <v>20</v>
      </c>
      <c r="G358" s="12">
        <v>0.95</v>
      </c>
      <c r="H358" s="12">
        <v>2.0078431372549019</v>
      </c>
      <c r="I358" s="12" t="s">
        <v>92</v>
      </c>
      <c r="J358" s="12">
        <v>46234</v>
      </c>
      <c r="K358">
        <v>46234</v>
      </c>
    </row>
    <row r="359" spans="1:11" hidden="1" x14ac:dyDescent="0.25">
      <c r="A359" s="12" t="s">
        <v>62</v>
      </c>
      <c r="B359" s="12" t="s">
        <v>38</v>
      </c>
      <c r="C359" s="12" t="s">
        <v>14</v>
      </c>
      <c r="D359" s="12">
        <v>2.4468546637744035</v>
      </c>
      <c r="E359" s="12">
        <v>1.9</v>
      </c>
      <c r="F359" s="12">
        <v>20</v>
      </c>
      <c r="G359" s="12">
        <v>1.9</v>
      </c>
      <c r="H359" s="12">
        <v>1.7716262975778552</v>
      </c>
      <c r="I359" s="12" t="s">
        <v>93</v>
      </c>
      <c r="J359" s="12">
        <v>46234</v>
      </c>
      <c r="K359">
        <v>46234</v>
      </c>
    </row>
    <row r="360" spans="1:11" hidden="1" x14ac:dyDescent="0.25">
      <c r="A360" s="12" t="s">
        <v>62</v>
      </c>
      <c r="B360" s="12" t="s">
        <v>37</v>
      </c>
      <c r="C360" s="12" t="s">
        <v>14</v>
      </c>
      <c r="D360" s="12">
        <v>8.0638754354660556</v>
      </c>
      <c r="E360" s="12">
        <v>6.6499999999999995</v>
      </c>
      <c r="F360" s="12">
        <v>20</v>
      </c>
      <c r="G360" s="12">
        <v>6.6499999999999995</v>
      </c>
      <c r="H360" s="12">
        <v>12.2105887066365</v>
      </c>
      <c r="I360" s="12" t="s">
        <v>93</v>
      </c>
      <c r="J360" s="12">
        <v>46234</v>
      </c>
      <c r="K360">
        <v>46234</v>
      </c>
    </row>
    <row r="361" spans="1:11" hidden="1" x14ac:dyDescent="0.25">
      <c r="A361" s="12" t="s">
        <v>62</v>
      </c>
      <c r="B361" s="12" t="s">
        <v>60</v>
      </c>
      <c r="C361" s="12" t="s">
        <v>14</v>
      </c>
      <c r="D361" s="12">
        <v>1.4299114156666153</v>
      </c>
      <c r="E361" s="12">
        <v>0</v>
      </c>
      <c r="F361" s="12">
        <v>20</v>
      </c>
      <c r="G361" s="12">
        <v>0</v>
      </c>
      <c r="H361" s="12">
        <v>0.97737556561085948</v>
      </c>
      <c r="I361" s="12" t="s">
        <v>93</v>
      </c>
      <c r="J361" s="12">
        <v>46234</v>
      </c>
      <c r="K361">
        <v>46234</v>
      </c>
    </row>
    <row r="362" spans="1:11" x14ac:dyDescent="0.25">
      <c r="A362" s="12" t="s">
        <v>62</v>
      </c>
      <c r="B362" s="12" t="s">
        <v>37</v>
      </c>
      <c r="C362" s="12" t="s">
        <v>13</v>
      </c>
      <c r="D362" s="12">
        <v>9.9337595944147097</v>
      </c>
      <c r="E362" s="12">
        <v>35.15</v>
      </c>
      <c r="F362" s="12">
        <v>20</v>
      </c>
      <c r="G362" s="12">
        <v>35.15</v>
      </c>
      <c r="H362" s="12">
        <v>13.820701357466072</v>
      </c>
      <c r="I362" s="12" t="s">
        <v>94</v>
      </c>
      <c r="J362" s="12">
        <v>46235</v>
      </c>
      <c r="K362">
        <v>46235</v>
      </c>
    </row>
    <row r="363" spans="1:11" hidden="1" x14ac:dyDescent="0.25">
      <c r="A363" s="12" t="s">
        <v>62</v>
      </c>
      <c r="B363" s="12" t="s">
        <v>60</v>
      </c>
      <c r="C363" s="12" t="s">
        <v>14</v>
      </c>
      <c r="D363" s="12">
        <v>1.4299114156666153</v>
      </c>
      <c r="E363" s="12">
        <v>0</v>
      </c>
      <c r="F363" s="12">
        <v>20</v>
      </c>
      <c r="G363" s="12">
        <v>0</v>
      </c>
      <c r="H363" s="12">
        <v>0.92307692307692291</v>
      </c>
      <c r="I363" s="12" t="s">
        <v>95</v>
      </c>
      <c r="J363" s="12">
        <v>46235</v>
      </c>
      <c r="K363">
        <v>46235</v>
      </c>
    </row>
    <row r="364" spans="1:11" hidden="1" x14ac:dyDescent="0.25">
      <c r="A364" s="12" t="s">
        <v>62</v>
      </c>
      <c r="B364" s="12" t="s">
        <v>37</v>
      </c>
      <c r="C364" s="12" t="s">
        <v>14</v>
      </c>
      <c r="D364" s="12">
        <v>8.1223093154331991</v>
      </c>
      <c r="E364" s="12">
        <v>6.6499999999999995</v>
      </c>
      <c r="F364" s="12">
        <v>20</v>
      </c>
      <c r="G364" s="12">
        <v>6.6499999999999995</v>
      </c>
      <c r="H364" s="12">
        <v>13.98854402337858</v>
      </c>
      <c r="I364" s="12" t="s">
        <v>95</v>
      </c>
      <c r="J364" s="12">
        <v>46235</v>
      </c>
      <c r="K364">
        <v>46235</v>
      </c>
    </row>
    <row r="365" spans="1:11" hidden="1" x14ac:dyDescent="0.25">
      <c r="A365" s="12" t="s">
        <v>62</v>
      </c>
      <c r="B365" s="12" t="s">
        <v>60</v>
      </c>
      <c r="C365" s="12" t="s">
        <v>15</v>
      </c>
      <c r="D365" s="12">
        <v>0</v>
      </c>
      <c r="E365" s="12">
        <v>0.95</v>
      </c>
      <c r="F365" s="12">
        <v>20</v>
      </c>
      <c r="G365" s="12">
        <v>0.95</v>
      </c>
      <c r="H365" s="12">
        <v>0.92307692307692291</v>
      </c>
      <c r="I365" s="12" t="s">
        <v>137</v>
      </c>
      <c r="J365" s="12">
        <v>46235</v>
      </c>
      <c r="K365">
        <v>46235</v>
      </c>
    </row>
    <row r="366" spans="1:11" hidden="1" x14ac:dyDescent="0.25">
      <c r="A366" s="12" t="s">
        <v>62</v>
      </c>
      <c r="B366" s="12" t="s">
        <v>38</v>
      </c>
      <c r="C366" s="12" t="s">
        <v>15</v>
      </c>
      <c r="D366" s="12">
        <v>2.6099783080260304</v>
      </c>
      <c r="E366" s="12">
        <v>0.95</v>
      </c>
      <c r="F366" s="12">
        <v>20</v>
      </c>
      <c r="G366" s="12">
        <v>0.95</v>
      </c>
      <c r="H366" s="12">
        <v>2.0078431372549019</v>
      </c>
      <c r="I366" s="12" t="s">
        <v>137</v>
      </c>
      <c r="J366" s="12">
        <v>46235</v>
      </c>
      <c r="K366">
        <v>46235</v>
      </c>
    </row>
    <row r="367" spans="1:11" hidden="1" x14ac:dyDescent="0.25">
      <c r="A367" s="12" t="s">
        <v>62</v>
      </c>
      <c r="B367" s="12" t="s">
        <v>37</v>
      </c>
      <c r="C367" s="12" t="s">
        <v>15</v>
      </c>
      <c r="D367" s="12">
        <v>4.3241071175687553</v>
      </c>
      <c r="E367" s="12">
        <v>2.8499999999999996</v>
      </c>
      <c r="F367" s="12">
        <v>20</v>
      </c>
      <c r="G367" s="12">
        <v>2.8499999999999996</v>
      </c>
      <c r="H367" s="12">
        <v>13.950556184012065</v>
      </c>
      <c r="I367" s="12" t="s">
        <v>137</v>
      </c>
      <c r="J367" s="12">
        <v>46235</v>
      </c>
      <c r="K367">
        <v>46235</v>
      </c>
    </row>
    <row r="368" spans="1:11" x14ac:dyDescent="0.25">
      <c r="A368" s="12" t="s">
        <v>62</v>
      </c>
      <c r="B368" s="12" t="s">
        <v>60</v>
      </c>
      <c r="C368" s="12" t="s">
        <v>13</v>
      </c>
      <c r="D368" s="12">
        <v>1.869884158948651</v>
      </c>
      <c r="E368" s="12">
        <v>0.95</v>
      </c>
      <c r="F368" s="12">
        <v>20</v>
      </c>
      <c r="G368" s="12">
        <v>0.95</v>
      </c>
      <c r="H368" s="12">
        <v>0.92307692307692291</v>
      </c>
      <c r="I368" s="12" t="s">
        <v>94</v>
      </c>
      <c r="J368" s="12">
        <v>46235</v>
      </c>
      <c r="K368">
        <v>46235</v>
      </c>
    </row>
    <row r="369" spans="1:11" x14ac:dyDescent="0.25">
      <c r="A369" s="12" t="s">
        <v>62</v>
      </c>
      <c r="B369" s="12" t="s">
        <v>38</v>
      </c>
      <c r="C369" s="12" t="s">
        <v>13</v>
      </c>
      <c r="D369" s="12">
        <v>0</v>
      </c>
      <c r="E369" s="12">
        <v>0.95</v>
      </c>
      <c r="F369" s="12">
        <v>20</v>
      </c>
      <c r="G369" s="12">
        <v>0.95</v>
      </c>
      <c r="H369" s="12">
        <v>0.23529411764705879</v>
      </c>
      <c r="I369" s="12" t="s">
        <v>94</v>
      </c>
      <c r="J369" s="12">
        <v>46235</v>
      </c>
      <c r="K369">
        <v>46235</v>
      </c>
    </row>
    <row r="370" spans="1:11" hidden="1" x14ac:dyDescent="0.25">
      <c r="A370" s="12" t="s">
        <v>62</v>
      </c>
      <c r="B370" s="12" t="s">
        <v>38</v>
      </c>
      <c r="C370" s="12" t="s">
        <v>14</v>
      </c>
      <c r="D370" s="12">
        <v>2.4468546637744031</v>
      </c>
      <c r="E370" s="12">
        <v>3.8</v>
      </c>
      <c r="F370" s="12">
        <v>20</v>
      </c>
      <c r="G370" s="12">
        <v>3.8</v>
      </c>
      <c r="H370" s="12">
        <v>1.7716262975778552</v>
      </c>
      <c r="I370" s="12" t="s">
        <v>95</v>
      </c>
      <c r="J370" s="12">
        <v>46235</v>
      </c>
      <c r="K370">
        <v>46235</v>
      </c>
    </row>
    <row r="371" spans="1:11" hidden="1" x14ac:dyDescent="0.25">
      <c r="A371" s="12" t="s">
        <v>62</v>
      </c>
      <c r="B371" s="12" t="s">
        <v>60</v>
      </c>
      <c r="C371" s="12" t="s">
        <v>14</v>
      </c>
      <c r="D371" s="12">
        <v>1.4299114156666153</v>
      </c>
      <c r="E371" s="12">
        <v>0.95</v>
      </c>
      <c r="F371" s="12">
        <v>20</v>
      </c>
      <c r="G371" s="12">
        <v>0.95</v>
      </c>
      <c r="H371" s="12">
        <v>0.92307692307692291</v>
      </c>
      <c r="I371" s="12" t="s">
        <v>96</v>
      </c>
      <c r="J371" s="12">
        <v>46236</v>
      </c>
      <c r="K371">
        <v>46236</v>
      </c>
    </row>
    <row r="372" spans="1:11" hidden="1" x14ac:dyDescent="0.25">
      <c r="A372" s="12" t="s">
        <v>62</v>
      </c>
      <c r="B372" s="12" t="s">
        <v>38</v>
      </c>
      <c r="C372" s="12" t="s">
        <v>14</v>
      </c>
      <c r="D372" s="12">
        <v>2.4468546637744031</v>
      </c>
      <c r="E372" s="12">
        <v>7.6</v>
      </c>
      <c r="F372" s="12">
        <v>20</v>
      </c>
      <c r="G372" s="12">
        <v>7.6</v>
      </c>
      <c r="H372" s="12">
        <v>1.7716262975778552</v>
      </c>
      <c r="I372" s="12" t="s">
        <v>96</v>
      </c>
      <c r="J372" s="12">
        <v>46236</v>
      </c>
      <c r="K372">
        <v>46236</v>
      </c>
    </row>
    <row r="373" spans="1:11" x14ac:dyDescent="0.25">
      <c r="A373" s="12" t="s">
        <v>62</v>
      </c>
      <c r="B373" s="12" t="s">
        <v>60</v>
      </c>
      <c r="C373" s="12" t="s">
        <v>13</v>
      </c>
      <c r="D373" s="12">
        <v>1.869884158948651</v>
      </c>
      <c r="E373" s="12">
        <v>0</v>
      </c>
      <c r="F373" s="12">
        <v>20</v>
      </c>
      <c r="G373" s="12">
        <v>0</v>
      </c>
      <c r="H373" s="12">
        <v>0.92307692307692291</v>
      </c>
      <c r="I373" s="12" t="s">
        <v>97</v>
      </c>
      <c r="J373" s="12">
        <v>46236</v>
      </c>
      <c r="K373">
        <v>46236</v>
      </c>
    </row>
    <row r="374" spans="1:11" hidden="1" x14ac:dyDescent="0.25">
      <c r="A374" s="12" t="s">
        <v>62</v>
      </c>
      <c r="B374" s="12" t="s">
        <v>37</v>
      </c>
      <c r="C374" s="12" t="s">
        <v>14</v>
      </c>
      <c r="D374" s="12">
        <v>8.1223093154331991</v>
      </c>
      <c r="E374" s="12">
        <v>6.6499999999999995</v>
      </c>
      <c r="F374" s="12">
        <v>20</v>
      </c>
      <c r="G374" s="12">
        <v>6.6499999999999995</v>
      </c>
      <c r="H374" s="12">
        <v>14.110338895173454</v>
      </c>
      <c r="I374" s="12" t="s">
        <v>96</v>
      </c>
      <c r="J374" s="12">
        <v>46236</v>
      </c>
      <c r="K374">
        <v>46236</v>
      </c>
    </row>
    <row r="375" spans="1:11" hidden="1" x14ac:dyDescent="0.25">
      <c r="A375" s="12" t="s">
        <v>62</v>
      </c>
      <c r="B375" s="12" t="s">
        <v>60</v>
      </c>
      <c r="C375" s="12" t="s">
        <v>15</v>
      </c>
      <c r="D375" s="12">
        <v>0</v>
      </c>
      <c r="E375" s="12">
        <v>0.95</v>
      </c>
      <c r="F375" s="12">
        <v>20</v>
      </c>
      <c r="G375" s="12">
        <v>0.95</v>
      </c>
      <c r="H375" s="12">
        <v>0.92307692307692291</v>
      </c>
      <c r="I375" s="12" t="s">
        <v>98</v>
      </c>
      <c r="J375" s="12">
        <v>46236</v>
      </c>
      <c r="K375">
        <v>46236</v>
      </c>
    </row>
    <row r="376" spans="1:11" hidden="1" x14ac:dyDescent="0.25">
      <c r="A376" s="12" t="s">
        <v>62</v>
      </c>
      <c r="B376" s="12" t="s">
        <v>38</v>
      </c>
      <c r="C376" s="12" t="s">
        <v>15</v>
      </c>
      <c r="D376" s="12">
        <v>2.7731019522776572</v>
      </c>
      <c r="E376" s="12">
        <v>0</v>
      </c>
      <c r="F376" s="12">
        <v>20</v>
      </c>
      <c r="G376" s="12">
        <v>0</v>
      </c>
      <c r="H376" s="12">
        <v>2.0078431372549019</v>
      </c>
      <c r="I376" s="12" t="s">
        <v>98</v>
      </c>
      <c r="J376" s="12">
        <v>46236</v>
      </c>
      <c r="K376">
        <v>46236</v>
      </c>
    </row>
    <row r="377" spans="1:11" hidden="1" x14ac:dyDescent="0.25">
      <c r="A377" s="12" t="s">
        <v>62</v>
      </c>
      <c r="B377" s="12" t="s">
        <v>37</v>
      </c>
      <c r="C377" s="12" t="s">
        <v>15</v>
      </c>
      <c r="D377" s="12">
        <v>4.440974877503046</v>
      </c>
      <c r="E377" s="12">
        <v>3.8</v>
      </c>
      <c r="F377" s="12">
        <v>20</v>
      </c>
      <c r="G377" s="12">
        <v>3.8</v>
      </c>
      <c r="H377" s="12">
        <v>15.633283842383102</v>
      </c>
      <c r="I377" s="12" t="s">
        <v>98</v>
      </c>
      <c r="J377" s="12">
        <v>46236</v>
      </c>
      <c r="K377">
        <v>46236</v>
      </c>
    </row>
    <row r="378" spans="1:11" x14ac:dyDescent="0.25">
      <c r="A378" s="12" t="s">
        <v>62</v>
      </c>
      <c r="B378" s="12" t="s">
        <v>38</v>
      </c>
      <c r="C378" s="12" t="s">
        <v>13</v>
      </c>
      <c r="D378" s="12">
        <v>0</v>
      </c>
      <c r="E378" s="12">
        <v>0.95</v>
      </c>
      <c r="F378" s="12">
        <v>20</v>
      </c>
      <c r="G378" s="12">
        <v>0.95</v>
      </c>
      <c r="H378" s="12">
        <v>0.23529411764705879</v>
      </c>
      <c r="I378" s="12" t="s">
        <v>97</v>
      </c>
      <c r="J378" s="12">
        <v>46236</v>
      </c>
      <c r="K378">
        <v>46236</v>
      </c>
    </row>
    <row r="379" spans="1:11" x14ac:dyDescent="0.25">
      <c r="A379" s="12" t="s">
        <v>62</v>
      </c>
      <c r="B379" s="12" t="s">
        <v>37</v>
      </c>
      <c r="C379" s="12" t="s">
        <v>13</v>
      </c>
      <c r="D379" s="12">
        <v>9.9337595944147097</v>
      </c>
      <c r="E379" s="12">
        <v>33.25</v>
      </c>
      <c r="F379" s="12">
        <v>20</v>
      </c>
      <c r="G379" s="12">
        <v>33.25</v>
      </c>
      <c r="H379" s="12">
        <v>14.750188536953251</v>
      </c>
      <c r="I379" s="12" t="s">
        <v>97</v>
      </c>
      <c r="J379" s="12">
        <v>46236</v>
      </c>
      <c r="K379">
        <v>46236</v>
      </c>
    </row>
    <row r="380" spans="1:11" x14ac:dyDescent="0.25">
      <c r="A380" s="12" t="s">
        <v>62</v>
      </c>
      <c r="B380" s="12" t="s">
        <v>38</v>
      </c>
      <c r="C380" s="12" t="s">
        <v>13</v>
      </c>
      <c r="D380" s="12">
        <v>2.5233188720173532</v>
      </c>
      <c r="E380" s="12">
        <v>0.95</v>
      </c>
      <c r="F380" s="12">
        <v>20</v>
      </c>
      <c r="G380" s="12">
        <v>0.95</v>
      </c>
      <c r="H380" s="12">
        <v>0.23529411764705879</v>
      </c>
      <c r="I380" s="12" t="s">
        <v>101</v>
      </c>
      <c r="J380" s="12">
        <v>46237</v>
      </c>
      <c r="K380">
        <v>46237</v>
      </c>
    </row>
    <row r="381" spans="1:11" x14ac:dyDescent="0.25">
      <c r="A381" s="12" t="s">
        <v>62</v>
      </c>
      <c r="B381" s="12" t="s">
        <v>37</v>
      </c>
      <c r="C381" s="12" t="s">
        <v>13</v>
      </c>
      <c r="D381" s="12">
        <v>9.9337595944147079</v>
      </c>
      <c r="E381" s="12">
        <v>34.199999999999996</v>
      </c>
      <c r="F381" s="12">
        <v>20</v>
      </c>
      <c r="G381" s="12">
        <v>34.199999999999996</v>
      </c>
      <c r="H381" s="12">
        <v>15.628193344645547</v>
      </c>
      <c r="I381" s="12" t="s">
        <v>101</v>
      </c>
      <c r="J381" s="12">
        <v>46237</v>
      </c>
      <c r="K381">
        <v>46237</v>
      </c>
    </row>
    <row r="382" spans="1:11" hidden="1" x14ac:dyDescent="0.25">
      <c r="A382" s="12" t="s">
        <v>62</v>
      </c>
      <c r="B382" s="12" t="s">
        <v>60</v>
      </c>
      <c r="C382" s="12" t="s">
        <v>15</v>
      </c>
      <c r="D382" s="12">
        <v>0</v>
      </c>
      <c r="E382" s="12">
        <v>0</v>
      </c>
      <c r="F382" s="12">
        <v>20</v>
      </c>
      <c r="G382" s="12">
        <v>0</v>
      </c>
      <c r="H382" s="12">
        <v>0.92307692307692291</v>
      </c>
      <c r="I382" s="12" t="s">
        <v>100</v>
      </c>
      <c r="J382" s="12">
        <v>46237</v>
      </c>
      <c r="K382">
        <v>46237</v>
      </c>
    </row>
    <row r="383" spans="1:11" x14ac:dyDescent="0.25">
      <c r="A383" s="12" t="s">
        <v>62</v>
      </c>
      <c r="B383" s="12" t="s">
        <v>60</v>
      </c>
      <c r="C383" s="12" t="s">
        <v>13</v>
      </c>
      <c r="D383" s="12">
        <v>1.869884158948651</v>
      </c>
      <c r="E383" s="12">
        <v>0.95</v>
      </c>
      <c r="F383" s="12">
        <v>20</v>
      </c>
      <c r="G383" s="12">
        <v>0.95</v>
      </c>
      <c r="H383" s="12">
        <v>0.9230769230769228</v>
      </c>
      <c r="I383" s="12" t="s">
        <v>101</v>
      </c>
      <c r="J383" s="12">
        <v>46237</v>
      </c>
      <c r="K383">
        <v>46237</v>
      </c>
    </row>
    <row r="384" spans="1:11" hidden="1" x14ac:dyDescent="0.25">
      <c r="A384" s="12" t="s">
        <v>62</v>
      </c>
      <c r="B384" s="12" t="s">
        <v>38</v>
      </c>
      <c r="C384" s="12" t="s">
        <v>15</v>
      </c>
      <c r="D384" s="12">
        <v>2.7731019522776572</v>
      </c>
      <c r="E384" s="12">
        <v>0</v>
      </c>
      <c r="F384" s="12">
        <v>20</v>
      </c>
      <c r="G384" s="12">
        <v>0</v>
      </c>
      <c r="H384" s="12">
        <v>2.0078431372549019</v>
      </c>
      <c r="I384" s="12" t="s">
        <v>100</v>
      </c>
      <c r="J384" s="12">
        <v>46237</v>
      </c>
      <c r="K384">
        <v>46237</v>
      </c>
    </row>
    <row r="385" spans="1:11" hidden="1" x14ac:dyDescent="0.25">
      <c r="A385" s="12" t="s">
        <v>62</v>
      </c>
      <c r="B385" s="12" t="s">
        <v>38</v>
      </c>
      <c r="C385" s="12" t="s">
        <v>14</v>
      </c>
      <c r="D385" s="12">
        <v>2.4468546637744035</v>
      </c>
      <c r="E385" s="12">
        <v>3.8</v>
      </c>
      <c r="F385" s="12">
        <v>20</v>
      </c>
      <c r="G385" s="12">
        <v>3.8</v>
      </c>
      <c r="H385" s="12">
        <v>1.7716262975778552</v>
      </c>
      <c r="I385" s="12" t="s">
        <v>99</v>
      </c>
      <c r="J385" s="12">
        <v>46237</v>
      </c>
      <c r="K385">
        <v>46237</v>
      </c>
    </row>
    <row r="386" spans="1:11" hidden="1" x14ac:dyDescent="0.25">
      <c r="A386" s="12" t="s">
        <v>62</v>
      </c>
      <c r="B386" s="12" t="s">
        <v>60</v>
      </c>
      <c r="C386" s="12" t="s">
        <v>14</v>
      </c>
      <c r="D386" s="12">
        <v>1.4299114156666153</v>
      </c>
      <c r="E386" s="12">
        <v>0</v>
      </c>
      <c r="F386" s="12">
        <v>20</v>
      </c>
      <c r="G386" s="12">
        <v>0</v>
      </c>
      <c r="H386" s="12">
        <v>0.92307692307692291</v>
      </c>
      <c r="I386" s="12" t="s">
        <v>99</v>
      </c>
      <c r="J386" s="12">
        <v>46237</v>
      </c>
      <c r="K386">
        <v>46237</v>
      </c>
    </row>
    <row r="387" spans="1:11" hidden="1" x14ac:dyDescent="0.25">
      <c r="A387" s="12" t="s">
        <v>62</v>
      </c>
      <c r="B387" s="12" t="s">
        <v>37</v>
      </c>
      <c r="C387" s="12" t="s">
        <v>14</v>
      </c>
      <c r="D387" s="12">
        <v>8.1223093154332009</v>
      </c>
      <c r="E387" s="12">
        <v>4.75</v>
      </c>
      <c r="F387" s="12">
        <v>20</v>
      </c>
      <c r="G387" s="12">
        <v>4.75</v>
      </c>
      <c r="H387" s="12">
        <v>15.636651583710409</v>
      </c>
      <c r="I387" s="12" t="s">
        <v>99</v>
      </c>
      <c r="J387" s="12">
        <v>46237</v>
      </c>
      <c r="K387">
        <v>46237</v>
      </c>
    </row>
    <row r="388" spans="1:11" hidden="1" x14ac:dyDescent="0.25">
      <c r="A388" s="12" t="s">
        <v>62</v>
      </c>
      <c r="B388" s="12" t="s">
        <v>37</v>
      </c>
      <c r="C388" s="12" t="s">
        <v>15</v>
      </c>
      <c r="D388" s="12">
        <v>4.440974877503046</v>
      </c>
      <c r="E388" s="12">
        <v>3.8</v>
      </c>
      <c r="F388" s="12">
        <v>20</v>
      </c>
      <c r="G388" s="12">
        <v>3.8</v>
      </c>
      <c r="H388" s="12">
        <v>16.704237368024128</v>
      </c>
      <c r="I388" s="12" t="s">
        <v>100</v>
      </c>
      <c r="J388" s="12">
        <v>46237</v>
      </c>
      <c r="K388">
        <v>46237</v>
      </c>
    </row>
    <row r="389" spans="1:11" hidden="1" x14ac:dyDescent="0.25">
      <c r="A389" s="12" t="s">
        <v>62</v>
      </c>
      <c r="B389" s="12" t="s">
        <v>37</v>
      </c>
      <c r="C389" s="12" t="s">
        <v>14</v>
      </c>
      <c r="D389" s="12">
        <v>8.0638754354660556</v>
      </c>
      <c r="E389" s="12">
        <v>5.6999999999999993</v>
      </c>
      <c r="F389" s="12">
        <v>20</v>
      </c>
      <c r="G389" s="12">
        <v>5.6999999999999993</v>
      </c>
      <c r="H389" s="12">
        <v>13.413765554298646</v>
      </c>
      <c r="I389" s="12" t="s">
        <v>102</v>
      </c>
      <c r="J389" s="12">
        <v>46238</v>
      </c>
      <c r="K389">
        <v>46238</v>
      </c>
    </row>
    <row r="390" spans="1:11" hidden="1" x14ac:dyDescent="0.25">
      <c r="A390" s="12" t="s">
        <v>62</v>
      </c>
      <c r="B390" s="12" t="s">
        <v>60</v>
      </c>
      <c r="C390" s="12" t="s">
        <v>14</v>
      </c>
      <c r="D390" s="12">
        <v>1.4299114156666153</v>
      </c>
      <c r="E390" s="12">
        <v>0</v>
      </c>
      <c r="F390" s="12">
        <v>20</v>
      </c>
      <c r="G390" s="12">
        <v>0</v>
      </c>
      <c r="H390" s="12">
        <v>0.9896193771626296</v>
      </c>
      <c r="I390" s="12" t="s">
        <v>102</v>
      </c>
      <c r="J390" s="12">
        <v>46238</v>
      </c>
      <c r="K390">
        <v>46238</v>
      </c>
    </row>
    <row r="391" spans="1:11" hidden="1" x14ac:dyDescent="0.25">
      <c r="A391" s="12" t="s">
        <v>62</v>
      </c>
      <c r="B391" s="12" t="s">
        <v>38</v>
      </c>
      <c r="C391" s="12" t="s">
        <v>14</v>
      </c>
      <c r="D391" s="12">
        <v>2.4468546637744035</v>
      </c>
      <c r="E391" s="12">
        <v>2.8499999999999996</v>
      </c>
      <c r="F391" s="12">
        <v>20</v>
      </c>
      <c r="G391" s="12">
        <v>2.8499999999999996</v>
      </c>
      <c r="H391" s="12">
        <v>1.7716262975778552</v>
      </c>
      <c r="I391" s="12" t="s">
        <v>102</v>
      </c>
      <c r="J391" s="12">
        <v>46238</v>
      </c>
      <c r="K391">
        <v>46238</v>
      </c>
    </row>
    <row r="392" spans="1:11" hidden="1" x14ac:dyDescent="0.25">
      <c r="A392" s="12" t="s">
        <v>62</v>
      </c>
      <c r="B392" s="12" t="s">
        <v>38</v>
      </c>
      <c r="C392" s="12" t="s">
        <v>15</v>
      </c>
      <c r="D392" s="12">
        <v>2.7731019522776572</v>
      </c>
      <c r="E392" s="12">
        <v>0</v>
      </c>
      <c r="F392" s="12">
        <v>20</v>
      </c>
      <c r="G392" s="12">
        <v>0</v>
      </c>
      <c r="H392" s="12">
        <v>2.0078431372549019</v>
      </c>
      <c r="I392" s="12" t="s">
        <v>103</v>
      </c>
      <c r="J392" s="12">
        <v>46238</v>
      </c>
      <c r="K392">
        <v>46238</v>
      </c>
    </row>
    <row r="393" spans="1:11" hidden="1" x14ac:dyDescent="0.25">
      <c r="A393" s="12" t="s">
        <v>62</v>
      </c>
      <c r="B393" s="12" t="s">
        <v>37</v>
      </c>
      <c r="C393" s="12" t="s">
        <v>15</v>
      </c>
      <c r="D393" s="12">
        <v>4.440974877503046</v>
      </c>
      <c r="E393" s="12">
        <v>4.75</v>
      </c>
      <c r="F393" s="12">
        <v>20</v>
      </c>
      <c r="G393" s="12">
        <v>4.75</v>
      </c>
      <c r="H393" s="12">
        <v>14.697362839366512</v>
      </c>
      <c r="I393" s="12" t="s">
        <v>103</v>
      </c>
      <c r="J393" s="12">
        <v>46238</v>
      </c>
      <c r="K393">
        <v>46238</v>
      </c>
    </row>
    <row r="394" spans="1:11" x14ac:dyDescent="0.25">
      <c r="A394" s="12" t="s">
        <v>62</v>
      </c>
      <c r="B394" s="12" t="s">
        <v>60</v>
      </c>
      <c r="C394" s="12" t="s">
        <v>13</v>
      </c>
      <c r="D394" s="12">
        <v>1.869884158948651</v>
      </c>
      <c r="E394" s="12">
        <v>0.95</v>
      </c>
      <c r="F394" s="12">
        <v>20</v>
      </c>
      <c r="G394" s="12">
        <v>0.95</v>
      </c>
      <c r="H394" s="12">
        <v>0.96832579185520351</v>
      </c>
      <c r="I394" s="12" t="s">
        <v>104</v>
      </c>
      <c r="J394" s="12">
        <v>46238</v>
      </c>
      <c r="K394">
        <v>46238</v>
      </c>
    </row>
    <row r="395" spans="1:11" x14ac:dyDescent="0.25">
      <c r="A395" s="12" t="s">
        <v>62</v>
      </c>
      <c r="B395" s="12" t="s">
        <v>38</v>
      </c>
      <c r="C395" s="12" t="s">
        <v>13</v>
      </c>
      <c r="D395" s="12">
        <v>3.7467462039045554</v>
      </c>
      <c r="E395" s="12">
        <v>0.95</v>
      </c>
      <c r="F395" s="12">
        <v>20</v>
      </c>
      <c r="G395" s="12">
        <v>0.95</v>
      </c>
      <c r="H395" s="12">
        <v>0.23529411764705879</v>
      </c>
      <c r="I395" s="12" t="s">
        <v>104</v>
      </c>
      <c r="J395" s="12">
        <v>46238</v>
      </c>
      <c r="K395">
        <v>46238</v>
      </c>
    </row>
    <row r="396" spans="1:11" x14ac:dyDescent="0.25">
      <c r="A396" s="12" t="s">
        <v>62</v>
      </c>
      <c r="B396" s="12" t="s">
        <v>37</v>
      </c>
      <c r="C396" s="12" t="s">
        <v>13</v>
      </c>
      <c r="D396" s="12">
        <v>9.9337595944147079</v>
      </c>
      <c r="E396" s="12">
        <v>37.049999999999997</v>
      </c>
      <c r="F396" s="12">
        <v>20</v>
      </c>
      <c r="G396" s="12">
        <v>37.049999999999997</v>
      </c>
      <c r="H396" s="12">
        <v>15.904485411953241</v>
      </c>
      <c r="I396" s="12" t="s">
        <v>104</v>
      </c>
      <c r="J396" s="12">
        <v>46238</v>
      </c>
      <c r="K396">
        <v>46238</v>
      </c>
    </row>
    <row r="397" spans="1:11" hidden="1" x14ac:dyDescent="0.25">
      <c r="A397" s="12" t="s">
        <v>62</v>
      </c>
      <c r="B397" s="12" t="s">
        <v>60</v>
      </c>
      <c r="C397" s="12" t="s">
        <v>15</v>
      </c>
      <c r="D397" s="12">
        <v>0</v>
      </c>
      <c r="E397" s="12">
        <v>2.8499999999999996</v>
      </c>
      <c r="F397" s="12">
        <v>20</v>
      </c>
      <c r="G397" s="12">
        <v>2.8499999999999996</v>
      </c>
      <c r="H397" s="12">
        <v>0</v>
      </c>
      <c r="I397" s="12" t="s">
        <v>103</v>
      </c>
      <c r="J397" s="12">
        <v>46238</v>
      </c>
      <c r="K397">
        <v>46238</v>
      </c>
    </row>
    <row r="398" spans="1:11" hidden="1" x14ac:dyDescent="0.25">
      <c r="A398" s="12" t="s">
        <v>62</v>
      </c>
      <c r="B398" s="12" t="s">
        <v>38</v>
      </c>
      <c r="C398" s="12" t="s">
        <v>15</v>
      </c>
      <c r="D398" s="12">
        <v>2.7731019522776572</v>
      </c>
      <c r="E398" s="12">
        <v>0.95</v>
      </c>
      <c r="F398" s="12">
        <v>20</v>
      </c>
      <c r="G398" s="12">
        <v>0.95</v>
      </c>
      <c r="H398" s="12">
        <v>2.0078431372549019</v>
      </c>
      <c r="I398" s="12" t="s">
        <v>106</v>
      </c>
      <c r="J398" s="12">
        <v>46239</v>
      </c>
      <c r="K398">
        <v>46239</v>
      </c>
    </row>
    <row r="399" spans="1:11" hidden="1" x14ac:dyDescent="0.25">
      <c r="A399" s="12" t="s">
        <v>62</v>
      </c>
      <c r="B399" s="12" t="s">
        <v>37</v>
      </c>
      <c r="C399" s="12" t="s">
        <v>15</v>
      </c>
      <c r="D399" s="12">
        <v>4.440974877503046</v>
      </c>
      <c r="E399" s="12">
        <v>2.8499999999999996</v>
      </c>
      <c r="F399" s="12">
        <v>20</v>
      </c>
      <c r="G399" s="12">
        <v>2.8499999999999996</v>
      </c>
      <c r="H399" s="12">
        <v>16.663198372297632</v>
      </c>
      <c r="I399" s="12" t="s">
        <v>106</v>
      </c>
      <c r="J399" s="12">
        <v>46239</v>
      </c>
      <c r="K399">
        <v>46239</v>
      </c>
    </row>
    <row r="400" spans="1:11" hidden="1" x14ac:dyDescent="0.25">
      <c r="A400" s="12" t="s">
        <v>62</v>
      </c>
      <c r="B400" s="12" t="s">
        <v>60</v>
      </c>
      <c r="C400" s="12" t="s">
        <v>15</v>
      </c>
      <c r="D400" s="12">
        <v>0</v>
      </c>
      <c r="E400" s="12">
        <v>0</v>
      </c>
      <c r="F400" s="12">
        <v>20</v>
      </c>
      <c r="G400" s="12">
        <v>0</v>
      </c>
      <c r="H400" s="12">
        <v>0</v>
      </c>
      <c r="I400" s="12" t="s">
        <v>106</v>
      </c>
      <c r="J400" s="12">
        <v>46239</v>
      </c>
      <c r="K400">
        <v>46239</v>
      </c>
    </row>
    <row r="401" spans="1:11" hidden="1" x14ac:dyDescent="0.25">
      <c r="A401" s="12" t="s">
        <v>62</v>
      </c>
      <c r="B401" s="12" t="s">
        <v>38</v>
      </c>
      <c r="C401" s="12" t="s">
        <v>14</v>
      </c>
      <c r="D401" s="12">
        <v>2.4468546637744035</v>
      </c>
      <c r="E401" s="12">
        <v>2.8499999999999996</v>
      </c>
      <c r="F401" s="12">
        <v>20</v>
      </c>
      <c r="G401" s="12">
        <v>2.8499999999999996</v>
      </c>
      <c r="H401" s="12">
        <v>1.7716262975778552</v>
      </c>
      <c r="I401" s="12" t="s">
        <v>107</v>
      </c>
      <c r="J401" s="12">
        <v>46239</v>
      </c>
      <c r="K401">
        <v>46239</v>
      </c>
    </row>
    <row r="402" spans="1:11" x14ac:dyDescent="0.25">
      <c r="A402" s="12" t="s">
        <v>62</v>
      </c>
      <c r="B402" s="12" t="s">
        <v>38</v>
      </c>
      <c r="C402" s="12" t="s">
        <v>13</v>
      </c>
      <c r="D402" s="12">
        <v>2.5233188720173527</v>
      </c>
      <c r="E402" s="12">
        <v>6.6499999999999995</v>
      </c>
      <c r="F402" s="12">
        <v>20</v>
      </c>
      <c r="G402" s="12">
        <v>6.6499999999999995</v>
      </c>
      <c r="H402" s="12">
        <v>0.23529411764705879</v>
      </c>
      <c r="I402" s="12" t="s">
        <v>105</v>
      </c>
      <c r="J402" s="12">
        <v>46239</v>
      </c>
      <c r="K402">
        <v>46239</v>
      </c>
    </row>
    <row r="403" spans="1:11" x14ac:dyDescent="0.25">
      <c r="A403" s="12" t="s">
        <v>62</v>
      </c>
      <c r="B403" s="12" t="s">
        <v>37</v>
      </c>
      <c r="C403" s="12" t="s">
        <v>13</v>
      </c>
      <c r="D403" s="12">
        <v>9.9337595944147079</v>
      </c>
      <c r="E403" s="12">
        <v>8.5499999999999989</v>
      </c>
      <c r="F403" s="12">
        <v>20</v>
      </c>
      <c r="G403" s="12">
        <v>8.5499999999999989</v>
      </c>
      <c r="H403" s="12">
        <v>14.030410224987424</v>
      </c>
      <c r="I403" s="12" t="s">
        <v>105</v>
      </c>
      <c r="J403" s="12">
        <v>46239</v>
      </c>
      <c r="K403">
        <v>46239</v>
      </c>
    </row>
    <row r="404" spans="1:11" hidden="1" x14ac:dyDescent="0.25">
      <c r="A404" s="12" t="s">
        <v>62</v>
      </c>
      <c r="B404" s="12" t="s">
        <v>37</v>
      </c>
      <c r="C404" s="12" t="s">
        <v>14</v>
      </c>
      <c r="D404" s="12">
        <v>8.0638754354660556</v>
      </c>
      <c r="E404" s="12">
        <v>5.6999999999999993</v>
      </c>
      <c r="F404" s="12">
        <v>20</v>
      </c>
      <c r="G404" s="12">
        <v>5.6999999999999993</v>
      </c>
      <c r="H404" s="12">
        <v>15.087403374811467</v>
      </c>
      <c r="I404" s="12" t="s">
        <v>107</v>
      </c>
      <c r="J404" s="12">
        <v>46239</v>
      </c>
      <c r="K404">
        <v>46239</v>
      </c>
    </row>
    <row r="405" spans="1:11" x14ac:dyDescent="0.25">
      <c r="A405" s="12" t="s">
        <v>62</v>
      </c>
      <c r="B405" s="12" t="s">
        <v>60</v>
      </c>
      <c r="C405" s="12" t="s">
        <v>13</v>
      </c>
      <c r="D405" s="12">
        <v>1.869884158948651</v>
      </c>
      <c r="E405" s="12">
        <v>0.95</v>
      </c>
      <c r="F405" s="12">
        <v>20</v>
      </c>
      <c r="G405" s="12">
        <v>0.95</v>
      </c>
      <c r="H405" s="12">
        <v>0</v>
      </c>
      <c r="I405" s="12" t="s">
        <v>105</v>
      </c>
      <c r="J405" s="12">
        <v>46239</v>
      </c>
      <c r="K405">
        <v>46239</v>
      </c>
    </row>
    <row r="406" spans="1:11" hidden="1" x14ac:dyDescent="0.25">
      <c r="A406" s="12" t="s">
        <v>62</v>
      </c>
      <c r="B406" s="12" t="s">
        <v>60</v>
      </c>
      <c r="C406" s="12" t="s">
        <v>14</v>
      </c>
      <c r="D406" s="12">
        <v>1.5949011943973783</v>
      </c>
      <c r="E406" s="12">
        <v>1.9</v>
      </c>
      <c r="F406" s="12">
        <v>20</v>
      </c>
      <c r="G406" s="12">
        <v>1.9</v>
      </c>
      <c r="H406" s="12">
        <v>0.82352941176470573</v>
      </c>
      <c r="I406" s="12" t="s">
        <v>107</v>
      </c>
      <c r="J406" s="12">
        <v>46239</v>
      </c>
      <c r="K406">
        <v>46239</v>
      </c>
    </row>
    <row r="407" spans="1:11" hidden="1" x14ac:dyDescent="0.25">
      <c r="A407" s="12" t="s">
        <v>62</v>
      </c>
      <c r="B407" s="12" t="s">
        <v>38</v>
      </c>
      <c r="C407" s="12" t="s">
        <v>15</v>
      </c>
      <c r="D407" s="12">
        <v>2.7731019522776572</v>
      </c>
      <c r="E407" s="12">
        <v>0</v>
      </c>
      <c r="F407" s="12">
        <v>20</v>
      </c>
      <c r="G407" s="12">
        <v>0</v>
      </c>
      <c r="H407" s="12">
        <v>1.0666666666666669</v>
      </c>
      <c r="I407" s="12" t="s">
        <v>109</v>
      </c>
      <c r="J407" s="12">
        <v>46240</v>
      </c>
      <c r="K407">
        <v>46240</v>
      </c>
    </row>
    <row r="408" spans="1:11" x14ac:dyDescent="0.25">
      <c r="A408" s="12" t="s">
        <v>62</v>
      </c>
      <c r="B408" s="12" t="s">
        <v>60</v>
      </c>
      <c r="C408" s="12" t="s">
        <v>13</v>
      </c>
      <c r="D408" s="12">
        <v>1.869884158948651</v>
      </c>
      <c r="E408" s="12">
        <v>0.95</v>
      </c>
      <c r="F408" s="12">
        <v>20</v>
      </c>
      <c r="G408" s="12">
        <v>0.95</v>
      </c>
      <c r="H408" s="12">
        <v>0</v>
      </c>
      <c r="I408" s="12" t="s">
        <v>108</v>
      </c>
      <c r="J408" s="12">
        <v>46240</v>
      </c>
      <c r="K408">
        <v>46240</v>
      </c>
    </row>
    <row r="409" spans="1:11" x14ac:dyDescent="0.25">
      <c r="A409" s="12" t="s">
        <v>62</v>
      </c>
      <c r="B409" s="12" t="s">
        <v>37</v>
      </c>
      <c r="C409" s="12" t="s">
        <v>13</v>
      </c>
      <c r="D409" s="12">
        <v>9.9337595944147079</v>
      </c>
      <c r="E409" s="12">
        <v>24.7</v>
      </c>
      <c r="F409" s="12">
        <v>20</v>
      </c>
      <c r="G409" s="12">
        <v>24.7</v>
      </c>
      <c r="H409" s="12">
        <v>14.412468184389139</v>
      </c>
      <c r="I409" s="12" t="s">
        <v>108</v>
      </c>
      <c r="J409" s="12">
        <v>46240</v>
      </c>
      <c r="K409">
        <v>46240</v>
      </c>
    </row>
    <row r="410" spans="1:11" x14ac:dyDescent="0.25">
      <c r="A410" s="12" t="s">
        <v>62</v>
      </c>
      <c r="B410" s="12" t="s">
        <v>38</v>
      </c>
      <c r="C410" s="12" t="s">
        <v>13</v>
      </c>
      <c r="D410" s="12">
        <v>3.8996746203904542</v>
      </c>
      <c r="E410" s="12">
        <v>0.95</v>
      </c>
      <c r="F410" s="12">
        <v>20</v>
      </c>
      <c r="G410" s="12">
        <v>0.95</v>
      </c>
      <c r="H410" s="12">
        <v>0.23529411764705879</v>
      </c>
      <c r="I410" s="12" t="s">
        <v>108</v>
      </c>
      <c r="J410" s="12">
        <v>46240</v>
      </c>
      <c r="K410">
        <v>46240</v>
      </c>
    </row>
    <row r="411" spans="1:11" hidden="1" x14ac:dyDescent="0.25">
      <c r="A411" s="12" t="s">
        <v>62</v>
      </c>
      <c r="B411" s="12" t="s">
        <v>37</v>
      </c>
      <c r="C411" s="12" t="s">
        <v>15</v>
      </c>
      <c r="D411" s="12">
        <v>4.440974877503046</v>
      </c>
      <c r="E411" s="12">
        <v>2.8499999999999996</v>
      </c>
      <c r="F411" s="12">
        <v>20</v>
      </c>
      <c r="G411" s="12">
        <v>2.8499999999999996</v>
      </c>
      <c r="H411" s="12">
        <v>15.745997517596781</v>
      </c>
      <c r="I411" s="12" t="s">
        <v>109</v>
      </c>
      <c r="J411" s="12">
        <v>46240</v>
      </c>
      <c r="K411">
        <v>46240</v>
      </c>
    </row>
    <row r="412" spans="1:11" hidden="1" x14ac:dyDescent="0.25">
      <c r="A412" s="12" t="s">
        <v>62</v>
      </c>
      <c r="B412" s="12" t="s">
        <v>60</v>
      </c>
      <c r="C412" s="12" t="s">
        <v>15</v>
      </c>
      <c r="D412" s="12">
        <v>0</v>
      </c>
      <c r="E412" s="12">
        <v>0.95</v>
      </c>
      <c r="F412" s="12">
        <v>20</v>
      </c>
      <c r="G412" s="12">
        <v>0.95</v>
      </c>
      <c r="H412" s="12">
        <v>0</v>
      </c>
      <c r="I412" s="12" t="s">
        <v>109</v>
      </c>
      <c r="J412" s="12">
        <v>46240</v>
      </c>
      <c r="K412">
        <v>46240</v>
      </c>
    </row>
    <row r="413" spans="1:11" hidden="1" x14ac:dyDescent="0.25">
      <c r="A413" s="12" t="s">
        <v>62</v>
      </c>
      <c r="B413" s="12" t="s">
        <v>38</v>
      </c>
      <c r="C413" s="12" t="s">
        <v>14</v>
      </c>
      <c r="D413" s="12">
        <v>2.4468546637744035</v>
      </c>
      <c r="E413" s="12">
        <v>3.8</v>
      </c>
      <c r="F413" s="12">
        <v>20</v>
      </c>
      <c r="G413" s="12">
        <v>3.8</v>
      </c>
      <c r="H413" s="12">
        <v>1.7716262975778552</v>
      </c>
      <c r="I413" s="12" t="s">
        <v>110</v>
      </c>
      <c r="J413" s="12">
        <v>46240</v>
      </c>
      <c r="K413">
        <v>46240</v>
      </c>
    </row>
    <row r="414" spans="1:11" hidden="1" x14ac:dyDescent="0.25">
      <c r="A414" s="12" t="s">
        <v>62</v>
      </c>
      <c r="B414" s="12" t="s">
        <v>37</v>
      </c>
      <c r="C414" s="12" t="s">
        <v>14</v>
      </c>
      <c r="D414" s="12">
        <v>8.005441555498912</v>
      </c>
      <c r="E414" s="12">
        <v>4.75</v>
      </c>
      <c r="F414" s="12">
        <v>20</v>
      </c>
      <c r="G414" s="12">
        <v>4.75</v>
      </c>
      <c r="H414" s="12">
        <v>14.166951043237813</v>
      </c>
      <c r="I414" s="12" t="s">
        <v>110</v>
      </c>
      <c r="J414" s="12">
        <v>46240</v>
      </c>
      <c r="K414">
        <v>46240</v>
      </c>
    </row>
    <row r="415" spans="1:11" hidden="1" x14ac:dyDescent="0.25">
      <c r="A415" s="12" t="s">
        <v>62</v>
      </c>
      <c r="B415" s="12" t="s">
        <v>60</v>
      </c>
      <c r="C415" s="12" t="s">
        <v>14</v>
      </c>
      <c r="D415" s="12">
        <v>1.4299114156666153</v>
      </c>
      <c r="E415" s="12">
        <v>0.95</v>
      </c>
      <c r="F415" s="12">
        <v>20</v>
      </c>
      <c r="G415" s="12">
        <v>0.95</v>
      </c>
      <c r="H415" s="12">
        <v>0</v>
      </c>
      <c r="I415" s="12" t="s">
        <v>110</v>
      </c>
      <c r="J415" s="12">
        <v>46240</v>
      </c>
      <c r="K415">
        <v>46240</v>
      </c>
    </row>
    <row r="416" spans="1:11" hidden="1" x14ac:dyDescent="0.25">
      <c r="A416" s="12" t="s">
        <v>62</v>
      </c>
      <c r="B416" s="12" t="s">
        <v>38</v>
      </c>
      <c r="C416" s="12" t="s">
        <v>14</v>
      </c>
      <c r="D416" s="12">
        <v>2.4468546637744035</v>
      </c>
      <c r="E416" s="12">
        <v>1.9</v>
      </c>
      <c r="F416" s="12">
        <v>20</v>
      </c>
      <c r="G416" s="12">
        <v>1.9</v>
      </c>
      <c r="H416" s="12">
        <v>1.7716262975778552</v>
      </c>
      <c r="I416" s="12" t="s">
        <v>111</v>
      </c>
      <c r="J416" s="12">
        <v>46241</v>
      </c>
      <c r="K416">
        <v>46241</v>
      </c>
    </row>
    <row r="417" spans="1:11" hidden="1" x14ac:dyDescent="0.25">
      <c r="A417" s="12" t="s">
        <v>62</v>
      </c>
      <c r="B417" s="12" t="s">
        <v>60</v>
      </c>
      <c r="C417" s="12" t="s">
        <v>14</v>
      </c>
      <c r="D417" s="12">
        <v>1.4299114156666153</v>
      </c>
      <c r="E417" s="12">
        <v>0.95</v>
      </c>
      <c r="F417" s="12">
        <v>20</v>
      </c>
      <c r="G417" s="12">
        <v>0.95</v>
      </c>
      <c r="H417" s="12">
        <v>0</v>
      </c>
      <c r="I417" s="12" t="s">
        <v>111</v>
      </c>
      <c r="J417" s="12">
        <v>46241</v>
      </c>
      <c r="K417">
        <v>46241</v>
      </c>
    </row>
    <row r="418" spans="1:11" hidden="1" x14ac:dyDescent="0.25">
      <c r="A418" s="12" t="s">
        <v>62</v>
      </c>
      <c r="B418" s="12" t="s">
        <v>38</v>
      </c>
      <c r="C418" s="12" t="s">
        <v>15</v>
      </c>
      <c r="D418" s="12">
        <v>2.7731019522776572</v>
      </c>
      <c r="E418" s="12">
        <v>0</v>
      </c>
      <c r="F418" s="12">
        <v>20</v>
      </c>
      <c r="G418" s="12">
        <v>0</v>
      </c>
      <c r="H418" s="12">
        <v>2.0078431372549019</v>
      </c>
      <c r="I418" s="12" t="s">
        <v>138</v>
      </c>
      <c r="J418" s="12">
        <v>46241</v>
      </c>
      <c r="K418">
        <v>46241</v>
      </c>
    </row>
    <row r="419" spans="1:11" hidden="1" x14ac:dyDescent="0.25">
      <c r="A419" s="12" t="s">
        <v>62</v>
      </c>
      <c r="B419" s="12" t="s">
        <v>60</v>
      </c>
      <c r="C419" s="12" t="s">
        <v>15</v>
      </c>
      <c r="D419" s="12">
        <v>0</v>
      </c>
      <c r="E419" s="12">
        <v>0.95</v>
      </c>
      <c r="F419" s="12">
        <v>20</v>
      </c>
      <c r="G419" s="12">
        <v>0.95</v>
      </c>
      <c r="H419" s="12">
        <v>0</v>
      </c>
      <c r="I419" s="12" t="s">
        <v>138</v>
      </c>
      <c r="J419" s="12">
        <v>46241</v>
      </c>
      <c r="K419">
        <v>46241</v>
      </c>
    </row>
    <row r="420" spans="1:11" hidden="1" x14ac:dyDescent="0.25">
      <c r="A420" s="12" t="s">
        <v>62</v>
      </c>
      <c r="B420" s="12" t="s">
        <v>37</v>
      </c>
      <c r="C420" s="12" t="s">
        <v>14</v>
      </c>
      <c r="D420" s="12">
        <v>8.0638754354660556</v>
      </c>
      <c r="E420" s="12">
        <v>5.6999999999999993</v>
      </c>
      <c r="F420" s="12">
        <v>20</v>
      </c>
      <c r="G420" s="12">
        <v>5.6999999999999993</v>
      </c>
      <c r="H420" s="12">
        <v>12.182257887129213</v>
      </c>
      <c r="I420" s="12" t="s">
        <v>111</v>
      </c>
      <c r="J420" s="12">
        <v>46241</v>
      </c>
      <c r="K420">
        <v>46241</v>
      </c>
    </row>
    <row r="421" spans="1:11" x14ac:dyDescent="0.25">
      <c r="A421" s="12" t="s">
        <v>62</v>
      </c>
      <c r="B421" s="12" t="s">
        <v>60</v>
      </c>
      <c r="C421" s="12" t="s">
        <v>13</v>
      </c>
      <c r="D421" s="12">
        <v>1.869884158948651</v>
      </c>
      <c r="E421" s="12">
        <v>0</v>
      </c>
      <c r="F421" s="12">
        <v>20</v>
      </c>
      <c r="G421" s="12">
        <v>0</v>
      </c>
      <c r="H421" s="12">
        <v>0</v>
      </c>
      <c r="I421" s="12" t="s">
        <v>112</v>
      </c>
      <c r="J421" s="12">
        <v>46241</v>
      </c>
      <c r="K421">
        <v>46241</v>
      </c>
    </row>
    <row r="422" spans="1:11" x14ac:dyDescent="0.25">
      <c r="A422" s="12" t="s">
        <v>62</v>
      </c>
      <c r="B422" s="12" t="s">
        <v>37</v>
      </c>
      <c r="C422" s="12" t="s">
        <v>13</v>
      </c>
      <c r="D422" s="12">
        <v>9.9337595944147079</v>
      </c>
      <c r="E422" s="12">
        <v>8.5499999999999989</v>
      </c>
      <c r="F422" s="12">
        <v>20</v>
      </c>
      <c r="G422" s="12">
        <v>8.5499999999999989</v>
      </c>
      <c r="H422" s="12">
        <v>13.489513024761193</v>
      </c>
      <c r="I422" s="12" t="s">
        <v>112</v>
      </c>
      <c r="J422" s="12">
        <v>46241</v>
      </c>
      <c r="K422">
        <v>46241</v>
      </c>
    </row>
    <row r="423" spans="1:11" x14ac:dyDescent="0.25">
      <c r="A423" s="12" t="s">
        <v>62</v>
      </c>
      <c r="B423" s="12" t="s">
        <v>38</v>
      </c>
      <c r="C423" s="12" t="s">
        <v>13</v>
      </c>
      <c r="D423" s="12">
        <v>3.8232104121475055</v>
      </c>
      <c r="E423" s="12">
        <v>6.6499999999999995</v>
      </c>
      <c r="F423" s="12">
        <v>20</v>
      </c>
      <c r="G423" s="12">
        <v>6.6499999999999995</v>
      </c>
      <c r="H423" s="12">
        <v>0.1176470588235294</v>
      </c>
      <c r="I423" s="12" t="s">
        <v>112</v>
      </c>
      <c r="J423" s="12">
        <v>46241</v>
      </c>
      <c r="K423">
        <v>46241</v>
      </c>
    </row>
    <row r="424" spans="1:11" hidden="1" x14ac:dyDescent="0.25">
      <c r="A424" s="12" t="s">
        <v>62</v>
      </c>
      <c r="B424" s="12" t="s">
        <v>37</v>
      </c>
      <c r="C424" s="12" t="s">
        <v>15</v>
      </c>
      <c r="D424" s="12">
        <v>4.440974877503046</v>
      </c>
      <c r="E424" s="12">
        <v>3.8</v>
      </c>
      <c r="F424" s="12">
        <v>20</v>
      </c>
      <c r="G424" s="12">
        <v>3.8</v>
      </c>
      <c r="H424" s="12">
        <v>13.83473950477627</v>
      </c>
      <c r="I424" s="12" t="s">
        <v>138</v>
      </c>
      <c r="J424" s="12">
        <v>46241</v>
      </c>
      <c r="K424">
        <v>46241</v>
      </c>
    </row>
    <row r="425" spans="1:11" hidden="1" x14ac:dyDescent="0.25">
      <c r="A425" s="12" t="s">
        <v>62</v>
      </c>
      <c r="B425" s="12" t="s">
        <v>37</v>
      </c>
      <c r="C425" s="12" t="s">
        <v>14</v>
      </c>
      <c r="D425" s="12">
        <v>8.1223093154332009</v>
      </c>
      <c r="E425" s="12">
        <v>6.6499999999999995</v>
      </c>
      <c r="F425" s="12">
        <v>20</v>
      </c>
      <c r="G425" s="12">
        <v>6.6499999999999995</v>
      </c>
      <c r="H425" s="12">
        <v>12.363614949184802</v>
      </c>
      <c r="I425" s="12" t="s">
        <v>114</v>
      </c>
      <c r="J425" s="12">
        <v>46242</v>
      </c>
      <c r="K425">
        <v>46242</v>
      </c>
    </row>
    <row r="426" spans="1:11" hidden="1" x14ac:dyDescent="0.25">
      <c r="A426" s="12" t="s">
        <v>62</v>
      </c>
      <c r="B426" s="12" t="s">
        <v>38</v>
      </c>
      <c r="C426" s="12" t="s">
        <v>14</v>
      </c>
      <c r="D426" s="12">
        <v>2.4468546637744031</v>
      </c>
      <c r="E426" s="12">
        <v>6.6499999999999995</v>
      </c>
      <c r="F426" s="12">
        <v>20</v>
      </c>
      <c r="G426" s="12">
        <v>6.6499999999999995</v>
      </c>
      <c r="H426" s="12">
        <v>1.7716262975778552</v>
      </c>
      <c r="I426" s="12" t="s">
        <v>114</v>
      </c>
      <c r="J426" s="12">
        <v>46242</v>
      </c>
      <c r="K426">
        <v>46242</v>
      </c>
    </row>
    <row r="427" spans="1:11" hidden="1" x14ac:dyDescent="0.25">
      <c r="A427" s="12" t="s">
        <v>62</v>
      </c>
      <c r="B427" s="12" t="s">
        <v>60</v>
      </c>
      <c r="C427" s="12" t="s">
        <v>14</v>
      </c>
      <c r="D427" s="12">
        <v>1.4299114156666153</v>
      </c>
      <c r="E427" s="12">
        <v>0</v>
      </c>
      <c r="F427" s="12">
        <v>20</v>
      </c>
      <c r="G427" s="12">
        <v>0</v>
      </c>
      <c r="H427" s="12">
        <v>0.82352941176470573</v>
      </c>
      <c r="I427" s="12" t="s">
        <v>114</v>
      </c>
      <c r="J427" s="12">
        <v>46242</v>
      </c>
      <c r="K427">
        <v>46242</v>
      </c>
    </row>
    <row r="428" spans="1:11" hidden="1" x14ac:dyDescent="0.25">
      <c r="A428" s="12" t="s">
        <v>62</v>
      </c>
      <c r="B428" s="12" t="s">
        <v>37</v>
      </c>
      <c r="C428" s="12" t="s">
        <v>15</v>
      </c>
      <c r="D428" s="12">
        <v>4.440974877503046</v>
      </c>
      <c r="E428" s="12">
        <v>3.8</v>
      </c>
      <c r="F428" s="12">
        <v>20</v>
      </c>
      <c r="G428" s="12">
        <v>3.8</v>
      </c>
      <c r="H428" s="12">
        <v>13.825681314192339</v>
      </c>
      <c r="I428" s="12" t="s">
        <v>113</v>
      </c>
      <c r="J428" s="12">
        <v>46242</v>
      </c>
      <c r="K428">
        <v>46242</v>
      </c>
    </row>
    <row r="429" spans="1:11" hidden="1" x14ac:dyDescent="0.25">
      <c r="A429" s="12" t="s">
        <v>62</v>
      </c>
      <c r="B429" s="12" t="s">
        <v>38</v>
      </c>
      <c r="C429" s="12" t="s">
        <v>15</v>
      </c>
      <c r="D429" s="12">
        <v>2.7731019522776572</v>
      </c>
      <c r="E429" s="12">
        <v>0</v>
      </c>
      <c r="F429" s="12">
        <v>20</v>
      </c>
      <c r="G429" s="12">
        <v>0</v>
      </c>
      <c r="H429" s="12">
        <v>2.0078431372549019</v>
      </c>
      <c r="I429" s="12" t="s">
        <v>113</v>
      </c>
      <c r="J429" s="12">
        <v>46242</v>
      </c>
      <c r="K429">
        <v>46242</v>
      </c>
    </row>
    <row r="430" spans="1:11" x14ac:dyDescent="0.25">
      <c r="A430" s="12" t="s">
        <v>62</v>
      </c>
      <c r="B430" s="12" t="s">
        <v>38</v>
      </c>
      <c r="C430" s="12" t="s">
        <v>13</v>
      </c>
      <c r="D430" s="12">
        <v>0</v>
      </c>
      <c r="E430" s="12">
        <v>0.95</v>
      </c>
      <c r="F430" s="12">
        <v>20</v>
      </c>
      <c r="G430" s="12">
        <v>0.95</v>
      </c>
      <c r="H430" s="12">
        <v>0.23529411764705879</v>
      </c>
      <c r="I430" s="12" t="s">
        <v>139</v>
      </c>
      <c r="J430" s="12">
        <v>46242</v>
      </c>
      <c r="K430">
        <v>46242</v>
      </c>
    </row>
    <row r="431" spans="1:11" x14ac:dyDescent="0.25">
      <c r="A431" s="12" t="s">
        <v>62</v>
      </c>
      <c r="B431" s="12" t="s">
        <v>37</v>
      </c>
      <c r="C431" s="12" t="s">
        <v>13</v>
      </c>
      <c r="D431" s="12">
        <v>9.9337595944147097</v>
      </c>
      <c r="E431" s="12">
        <v>30.4</v>
      </c>
      <c r="F431" s="12">
        <v>20</v>
      </c>
      <c r="G431" s="12">
        <v>30.4</v>
      </c>
      <c r="H431" s="12">
        <v>13.231808175994754</v>
      </c>
      <c r="I431" s="12" t="s">
        <v>139</v>
      </c>
      <c r="J431" s="12">
        <v>46242</v>
      </c>
      <c r="K431">
        <v>46242</v>
      </c>
    </row>
    <row r="432" spans="1:11" x14ac:dyDescent="0.25">
      <c r="A432" s="12" t="s">
        <v>62</v>
      </c>
      <c r="B432" s="12" t="s">
        <v>60</v>
      </c>
      <c r="C432" s="12" t="s">
        <v>13</v>
      </c>
      <c r="D432" s="12">
        <v>1.869884158948651</v>
      </c>
      <c r="E432" s="12">
        <v>0</v>
      </c>
      <c r="F432" s="12">
        <v>20</v>
      </c>
      <c r="G432" s="12">
        <v>0</v>
      </c>
      <c r="H432" s="12">
        <v>0</v>
      </c>
      <c r="I432" s="12" t="s">
        <v>139</v>
      </c>
      <c r="J432" s="12">
        <v>46242</v>
      </c>
      <c r="K432">
        <v>46242</v>
      </c>
    </row>
    <row r="433" spans="1:11" hidden="1" x14ac:dyDescent="0.25">
      <c r="A433" s="12" t="s">
        <v>62</v>
      </c>
      <c r="B433" s="12" t="s">
        <v>60</v>
      </c>
      <c r="C433" s="12" t="s">
        <v>15</v>
      </c>
      <c r="D433" s="12">
        <v>0</v>
      </c>
      <c r="E433" s="12">
        <v>1.9</v>
      </c>
      <c r="F433" s="12">
        <v>20</v>
      </c>
      <c r="G433" s="12">
        <v>1.9</v>
      </c>
      <c r="H433" s="12">
        <v>0</v>
      </c>
      <c r="I433" s="12" t="s">
        <v>113</v>
      </c>
      <c r="J433" s="12">
        <v>46242</v>
      </c>
      <c r="K433">
        <v>46242</v>
      </c>
    </row>
    <row r="434" spans="1:11" hidden="1" x14ac:dyDescent="0.25">
      <c r="A434" s="12" t="s">
        <v>62</v>
      </c>
      <c r="B434" s="12" t="s">
        <v>60</v>
      </c>
      <c r="C434" s="12" t="s">
        <v>14</v>
      </c>
      <c r="D434" s="12">
        <v>1.4299114156666153</v>
      </c>
      <c r="E434" s="12">
        <v>0</v>
      </c>
      <c r="F434" s="12">
        <v>20</v>
      </c>
      <c r="G434" s="12">
        <v>0</v>
      </c>
      <c r="H434" s="12">
        <v>0.82352941176470573</v>
      </c>
      <c r="I434" s="12" t="s">
        <v>140</v>
      </c>
      <c r="J434" s="12">
        <v>46243</v>
      </c>
      <c r="K434">
        <v>46243</v>
      </c>
    </row>
    <row r="435" spans="1:11" hidden="1" x14ac:dyDescent="0.25">
      <c r="A435" s="12" t="s">
        <v>62</v>
      </c>
      <c r="B435" s="12" t="s">
        <v>60</v>
      </c>
      <c r="C435" s="12" t="s">
        <v>15</v>
      </c>
      <c r="D435" s="12">
        <v>0</v>
      </c>
      <c r="E435" s="12">
        <v>0</v>
      </c>
      <c r="F435" s="12">
        <v>20</v>
      </c>
      <c r="G435" s="12">
        <v>0</v>
      </c>
      <c r="H435" s="12">
        <v>0</v>
      </c>
      <c r="I435" s="12" t="s">
        <v>141</v>
      </c>
      <c r="J435" s="12">
        <v>46243</v>
      </c>
      <c r="K435">
        <v>46243</v>
      </c>
    </row>
    <row r="436" spans="1:11" x14ac:dyDescent="0.25">
      <c r="A436" s="12" t="s">
        <v>62</v>
      </c>
      <c r="B436" s="12" t="s">
        <v>60</v>
      </c>
      <c r="C436" s="12" t="s">
        <v>13</v>
      </c>
      <c r="D436" s="12">
        <v>1.869884158948651</v>
      </c>
      <c r="E436" s="12">
        <v>0.95</v>
      </c>
      <c r="F436" s="12">
        <v>20</v>
      </c>
      <c r="G436" s="12">
        <v>0.95</v>
      </c>
      <c r="H436" s="12">
        <v>0</v>
      </c>
      <c r="I436" s="12" t="s">
        <v>115</v>
      </c>
      <c r="J436" s="12">
        <v>46243</v>
      </c>
      <c r="K436">
        <v>46243</v>
      </c>
    </row>
    <row r="437" spans="1:11" x14ac:dyDescent="0.25">
      <c r="A437" s="12" t="s">
        <v>62</v>
      </c>
      <c r="B437" s="12" t="s">
        <v>38</v>
      </c>
      <c r="C437" s="12" t="s">
        <v>13</v>
      </c>
      <c r="D437" s="12">
        <v>0</v>
      </c>
      <c r="E437" s="12">
        <v>0.95</v>
      </c>
      <c r="F437" s="12">
        <v>20</v>
      </c>
      <c r="G437" s="12">
        <v>0.95</v>
      </c>
      <c r="H437" s="12">
        <v>0.23529411764705879</v>
      </c>
      <c r="I437" s="12" t="s">
        <v>115</v>
      </c>
      <c r="J437" s="12">
        <v>46243</v>
      </c>
      <c r="K437">
        <v>46243</v>
      </c>
    </row>
    <row r="438" spans="1:11" x14ac:dyDescent="0.25">
      <c r="A438" s="12" t="s">
        <v>62</v>
      </c>
      <c r="B438" s="12" t="s">
        <v>37</v>
      </c>
      <c r="C438" s="12" t="s">
        <v>13</v>
      </c>
      <c r="D438" s="12">
        <v>9.9337595944147079</v>
      </c>
      <c r="E438" s="12">
        <v>27.549999999999997</v>
      </c>
      <c r="F438" s="12">
        <v>20</v>
      </c>
      <c r="G438" s="12">
        <v>27.549999999999997</v>
      </c>
      <c r="H438" s="12">
        <v>13.97985564017274</v>
      </c>
      <c r="I438" s="12" t="s">
        <v>115</v>
      </c>
      <c r="J438" s="12">
        <v>46243</v>
      </c>
      <c r="K438">
        <v>46243</v>
      </c>
    </row>
    <row r="439" spans="1:11" hidden="1" x14ac:dyDescent="0.25">
      <c r="A439" s="12" t="s">
        <v>62</v>
      </c>
      <c r="B439" s="12" t="s">
        <v>38</v>
      </c>
      <c r="C439" s="12" t="s">
        <v>15</v>
      </c>
      <c r="D439" s="12">
        <v>2.7731019522776572</v>
      </c>
      <c r="E439" s="12">
        <v>0</v>
      </c>
      <c r="F439" s="12">
        <v>20</v>
      </c>
      <c r="G439" s="12">
        <v>0</v>
      </c>
      <c r="H439" s="12">
        <v>2.0078431372549019</v>
      </c>
      <c r="I439" s="12" t="s">
        <v>141</v>
      </c>
      <c r="J439" s="12">
        <v>46243</v>
      </c>
      <c r="K439">
        <v>46243</v>
      </c>
    </row>
    <row r="440" spans="1:11" hidden="1" x14ac:dyDescent="0.25">
      <c r="A440" s="12" t="s">
        <v>62</v>
      </c>
      <c r="B440" s="12" t="s">
        <v>37</v>
      </c>
      <c r="C440" s="12" t="s">
        <v>15</v>
      </c>
      <c r="D440" s="12">
        <v>4.440974877503046</v>
      </c>
      <c r="E440" s="12">
        <v>4.75</v>
      </c>
      <c r="F440" s="12">
        <v>20</v>
      </c>
      <c r="G440" s="12">
        <v>4.75</v>
      </c>
      <c r="H440" s="12">
        <v>13.813776552287578</v>
      </c>
      <c r="I440" s="12" t="s">
        <v>141</v>
      </c>
      <c r="J440" s="12">
        <v>46243</v>
      </c>
      <c r="K440">
        <v>46243</v>
      </c>
    </row>
    <row r="441" spans="1:11" hidden="1" x14ac:dyDescent="0.25">
      <c r="A441" s="12" t="s">
        <v>62</v>
      </c>
      <c r="B441" s="12" t="s">
        <v>38</v>
      </c>
      <c r="C441" s="12" t="s">
        <v>14</v>
      </c>
      <c r="D441" s="12">
        <v>2.4468546637744031</v>
      </c>
      <c r="E441" s="12">
        <v>5.6999999999999993</v>
      </c>
      <c r="F441" s="12">
        <v>20</v>
      </c>
      <c r="G441" s="12">
        <v>5.6999999999999993</v>
      </c>
      <c r="H441" s="12">
        <v>1.7716262975778552</v>
      </c>
      <c r="I441" s="12" t="s">
        <v>140</v>
      </c>
      <c r="J441" s="12">
        <v>46243</v>
      </c>
      <c r="K441">
        <v>46243</v>
      </c>
    </row>
    <row r="442" spans="1:11" hidden="1" x14ac:dyDescent="0.25">
      <c r="A442" s="12" t="s">
        <v>62</v>
      </c>
      <c r="B442" s="12" t="s">
        <v>37</v>
      </c>
      <c r="C442" s="12" t="s">
        <v>14</v>
      </c>
      <c r="D442" s="12">
        <v>8.1223093154331991</v>
      </c>
      <c r="E442" s="12">
        <v>6.6499999999999995</v>
      </c>
      <c r="F442" s="12">
        <v>20</v>
      </c>
      <c r="G442" s="12">
        <v>6.6499999999999995</v>
      </c>
      <c r="H442" s="12">
        <v>12.353644374416428</v>
      </c>
      <c r="I442" s="12" t="s">
        <v>140</v>
      </c>
      <c r="J442" s="12">
        <v>46243</v>
      </c>
      <c r="K442">
        <v>46243</v>
      </c>
    </row>
    <row r="443" spans="1:11" x14ac:dyDescent="0.25">
      <c r="A443" s="12" t="s">
        <v>62</v>
      </c>
      <c r="B443" s="12" t="s">
        <v>60</v>
      </c>
      <c r="C443" s="12" t="s">
        <v>13</v>
      </c>
      <c r="D443" s="12">
        <v>1.869884158948651</v>
      </c>
      <c r="E443" s="12">
        <v>0</v>
      </c>
      <c r="F443" s="12">
        <v>20</v>
      </c>
      <c r="G443" s="12">
        <v>0</v>
      </c>
      <c r="H443" s="12">
        <v>0</v>
      </c>
      <c r="I443" s="12" t="s">
        <v>142</v>
      </c>
      <c r="J443" s="12">
        <v>46244</v>
      </c>
      <c r="K443">
        <v>46244</v>
      </c>
    </row>
    <row r="444" spans="1:11" x14ac:dyDescent="0.25">
      <c r="A444" s="12" t="s">
        <v>62</v>
      </c>
      <c r="B444" s="12" t="s">
        <v>38</v>
      </c>
      <c r="C444" s="12" t="s">
        <v>13</v>
      </c>
      <c r="D444" s="12">
        <v>2.5233188720173527</v>
      </c>
      <c r="E444" s="12">
        <v>0.95</v>
      </c>
      <c r="F444" s="12">
        <v>20</v>
      </c>
      <c r="G444" s="12">
        <v>0.95</v>
      </c>
      <c r="H444" s="12">
        <v>0.23529411764705879</v>
      </c>
      <c r="I444" s="12" t="s">
        <v>142</v>
      </c>
      <c r="J444" s="12">
        <v>46244</v>
      </c>
      <c r="K444">
        <v>46244</v>
      </c>
    </row>
    <row r="445" spans="1:11" hidden="1" x14ac:dyDescent="0.25">
      <c r="A445" s="12" t="s">
        <v>62</v>
      </c>
      <c r="B445" s="12" t="s">
        <v>60</v>
      </c>
      <c r="C445" s="12" t="s">
        <v>15</v>
      </c>
      <c r="D445" s="12">
        <v>0</v>
      </c>
      <c r="E445" s="12">
        <v>0.95</v>
      </c>
      <c r="F445" s="12">
        <v>20</v>
      </c>
      <c r="G445" s="12">
        <v>0.95</v>
      </c>
      <c r="H445" s="12">
        <v>0</v>
      </c>
      <c r="I445" s="12" t="s">
        <v>117</v>
      </c>
      <c r="J445" s="12">
        <v>46244</v>
      </c>
      <c r="K445">
        <v>46244</v>
      </c>
    </row>
    <row r="446" spans="1:11" hidden="1" x14ac:dyDescent="0.25">
      <c r="A446" s="12" t="s">
        <v>62</v>
      </c>
      <c r="B446" s="12" t="s">
        <v>37</v>
      </c>
      <c r="C446" s="12" t="s">
        <v>15</v>
      </c>
      <c r="D446" s="12">
        <v>4.440974877503046</v>
      </c>
      <c r="E446" s="12">
        <v>4.75</v>
      </c>
      <c r="F446" s="12">
        <v>20</v>
      </c>
      <c r="G446" s="12">
        <v>4.75</v>
      </c>
      <c r="H446" s="12">
        <v>14.947637789089994</v>
      </c>
      <c r="I446" s="12" t="s">
        <v>117</v>
      </c>
      <c r="J446" s="12">
        <v>46244</v>
      </c>
      <c r="K446">
        <v>46244</v>
      </c>
    </row>
    <row r="447" spans="1:11" hidden="1" x14ac:dyDescent="0.25">
      <c r="A447" s="12" t="s">
        <v>62</v>
      </c>
      <c r="B447" s="12" t="s">
        <v>38</v>
      </c>
      <c r="C447" s="12" t="s">
        <v>15</v>
      </c>
      <c r="D447" s="12">
        <v>2.7731019522776572</v>
      </c>
      <c r="E447" s="12">
        <v>0</v>
      </c>
      <c r="F447" s="12">
        <v>20</v>
      </c>
      <c r="G447" s="12">
        <v>0</v>
      </c>
      <c r="H447" s="12">
        <v>2.0078431372549019</v>
      </c>
      <c r="I447" s="12" t="s">
        <v>117</v>
      </c>
      <c r="J447" s="12">
        <v>46244</v>
      </c>
      <c r="K447">
        <v>46244</v>
      </c>
    </row>
    <row r="448" spans="1:11" hidden="1" x14ac:dyDescent="0.25">
      <c r="A448" s="12" t="s">
        <v>62</v>
      </c>
      <c r="B448" s="12" t="s">
        <v>60</v>
      </c>
      <c r="C448" s="12" t="s">
        <v>14</v>
      </c>
      <c r="D448" s="12">
        <v>1.4299114156666155</v>
      </c>
      <c r="E448" s="12">
        <v>0</v>
      </c>
      <c r="F448" s="12">
        <v>20</v>
      </c>
      <c r="G448" s="12">
        <v>0</v>
      </c>
      <c r="H448" s="12">
        <v>0.82352941176470573</v>
      </c>
      <c r="I448" s="12" t="s">
        <v>116</v>
      </c>
      <c r="J448" s="12">
        <v>46244</v>
      </c>
      <c r="K448">
        <v>46244</v>
      </c>
    </row>
    <row r="449" spans="1:11" hidden="1" x14ac:dyDescent="0.25">
      <c r="A449" s="12" t="s">
        <v>62</v>
      </c>
      <c r="B449" s="12" t="s">
        <v>37</v>
      </c>
      <c r="C449" s="12" t="s">
        <v>14</v>
      </c>
      <c r="D449" s="12">
        <v>8.180743195400348</v>
      </c>
      <c r="E449" s="12">
        <v>6.6499999999999995</v>
      </c>
      <c r="F449" s="12">
        <v>20</v>
      </c>
      <c r="G449" s="12">
        <v>6.6499999999999995</v>
      </c>
      <c r="H449" s="12">
        <v>15.707439353946713</v>
      </c>
      <c r="I449" s="12" t="s">
        <v>116</v>
      </c>
      <c r="J449" s="12">
        <v>46244</v>
      </c>
      <c r="K449">
        <v>46244</v>
      </c>
    </row>
    <row r="450" spans="1:11" hidden="1" x14ac:dyDescent="0.25">
      <c r="A450" s="12" t="s">
        <v>62</v>
      </c>
      <c r="B450" s="12" t="s">
        <v>38</v>
      </c>
      <c r="C450" s="12" t="s">
        <v>14</v>
      </c>
      <c r="D450" s="12">
        <v>2.5188209774148276</v>
      </c>
      <c r="E450" s="12">
        <v>2.8499999999999996</v>
      </c>
      <c r="F450" s="12">
        <v>20</v>
      </c>
      <c r="G450" s="12">
        <v>2.8499999999999996</v>
      </c>
      <c r="H450" s="12">
        <v>1.7716262975778552</v>
      </c>
      <c r="I450" s="12" t="s">
        <v>116</v>
      </c>
      <c r="J450" s="12">
        <v>46244</v>
      </c>
      <c r="K450">
        <v>46244</v>
      </c>
    </row>
    <row r="451" spans="1:11" x14ac:dyDescent="0.25">
      <c r="A451" s="12" t="s">
        <v>62</v>
      </c>
      <c r="B451" s="12" t="s">
        <v>37</v>
      </c>
      <c r="C451" s="12" t="s">
        <v>13</v>
      </c>
      <c r="D451" s="12">
        <v>9.9337595944147079</v>
      </c>
      <c r="E451" s="12">
        <v>33.25</v>
      </c>
      <c r="F451" s="12">
        <v>20</v>
      </c>
      <c r="G451" s="12">
        <v>33.25</v>
      </c>
      <c r="H451" s="12">
        <v>13.92407066993464</v>
      </c>
      <c r="I451" s="12" t="s">
        <v>142</v>
      </c>
      <c r="J451" s="12">
        <v>46244</v>
      </c>
      <c r="K451">
        <v>46244</v>
      </c>
    </row>
    <row r="452" spans="1:11" hidden="1" x14ac:dyDescent="0.25">
      <c r="A452" s="12" t="s">
        <v>62</v>
      </c>
      <c r="B452" s="12" t="s">
        <v>60</v>
      </c>
      <c r="C452" s="12" t="s">
        <v>14</v>
      </c>
      <c r="D452" s="12">
        <v>1.4299114156666155</v>
      </c>
      <c r="E452" s="12">
        <v>0</v>
      </c>
      <c r="F452" s="12">
        <v>20</v>
      </c>
      <c r="G452" s="12">
        <v>0</v>
      </c>
      <c r="H452" s="12">
        <v>0</v>
      </c>
      <c r="I452" s="12" t="s">
        <v>119</v>
      </c>
      <c r="J452" s="12">
        <v>46245</v>
      </c>
      <c r="K452">
        <v>46245</v>
      </c>
    </row>
    <row r="453" spans="1:11" hidden="1" x14ac:dyDescent="0.25">
      <c r="A453" s="12" t="s">
        <v>62</v>
      </c>
      <c r="B453" s="12" t="s">
        <v>37</v>
      </c>
      <c r="C453" s="12" t="s">
        <v>14</v>
      </c>
      <c r="D453" s="12">
        <v>8.180743195400348</v>
      </c>
      <c r="E453" s="12">
        <v>5.6999999999999993</v>
      </c>
      <c r="F453" s="12">
        <v>20</v>
      </c>
      <c r="G453" s="12">
        <v>5.6999999999999993</v>
      </c>
      <c r="H453" s="12">
        <v>15.890631284565108</v>
      </c>
      <c r="I453" s="12" t="s">
        <v>119</v>
      </c>
      <c r="J453" s="12">
        <v>46245</v>
      </c>
      <c r="K453">
        <v>46245</v>
      </c>
    </row>
    <row r="454" spans="1:11" hidden="1" x14ac:dyDescent="0.25">
      <c r="A454" s="12" t="s">
        <v>62</v>
      </c>
      <c r="B454" s="12" t="s">
        <v>38</v>
      </c>
      <c r="C454" s="12" t="s">
        <v>14</v>
      </c>
      <c r="D454" s="12">
        <v>2.446854663774404</v>
      </c>
      <c r="E454" s="12">
        <v>2.8499999999999996</v>
      </c>
      <c r="F454" s="12">
        <v>20</v>
      </c>
      <c r="G454" s="12">
        <v>2.8499999999999996</v>
      </c>
      <c r="H454" s="12">
        <v>1.7716262975778547</v>
      </c>
      <c r="I454" s="12" t="s">
        <v>119</v>
      </c>
      <c r="J454" s="12">
        <v>46245</v>
      </c>
      <c r="K454">
        <v>46245</v>
      </c>
    </row>
    <row r="455" spans="1:11" x14ac:dyDescent="0.25">
      <c r="A455" s="12" t="s">
        <v>62</v>
      </c>
      <c r="B455" s="12" t="s">
        <v>60</v>
      </c>
      <c r="C455" s="12" t="s">
        <v>13</v>
      </c>
      <c r="D455" s="12">
        <v>1.869884158948651</v>
      </c>
      <c r="E455" s="12">
        <v>0.95</v>
      </c>
      <c r="F455" s="12">
        <v>20</v>
      </c>
      <c r="G455" s="12">
        <v>0.95</v>
      </c>
      <c r="H455" s="12">
        <v>0</v>
      </c>
      <c r="I455" s="12" t="s">
        <v>118</v>
      </c>
      <c r="J455" s="12">
        <v>46245</v>
      </c>
      <c r="K455">
        <v>46245</v>
      </c>
    </row>
    <row r="456" spans="1:11" hidden="1" x14ac:dyDescent="0.25">
      <c r="A456" s="12" t="s">
        <v>62</v>
      </c>
      <c r="B456" s="12" t="s">
        <v>37</v>
      </c>
      <c r="C456" s="12" t="s">
        <v>15</v>
      </c>
      <c r="D456" s="12">
        <v>4.440974877503046</v>
      </c>
      <c r="E456" s="12">
        <v>4.75</v>
      </c>
      <c r="F456" s="12">
        <v>20</v>
      </c>
      <c r="G456" s="12">
        <v>4.75</v>
      </c>
      <c r="H456" s="12">
        <v>15.885012097787827</v>
      </c>
      <c r="I456" s="12" t="s">
        <v>120</v>
      </c>
      <c r="J456" s="12">
        <v>46245</v>
      </c>
      <c r="K456">
        <v>46245</v>
      </c>
    </row>
    <row r="457" spans="1:11" hidden="1" x14ac:dyDescent="0.25">
      <c r="A457" s="12" t="s">
        <v>62</v>
      </c>
      <c r="B457" s="12" t="s">
        <v>38</v>
      </c>
      <c r="C457" s="12" t="s">
        <v>15</v>
      </c>
      <c r="D457" s="12">
        <v>2.7731019522776572</v>
      </c>
      <c r="E457" s="12">
        <v>0</v>
      </c>
      <c r="F457" s="12">
        <v>20</v>
      </c>
      <c r="G457" s="12">
        <v>0</v>
      </c>
      <c r="H457" s="12">
        <v>2.0078431372549019</v>
      </c>
      <c r="I457" s="12" t="s">
        <v>120</v>
      </c>
      <c r="J457" s="12">
        <v>46245</v>
      </c>
      <c r="K457">
        <v>46245</v>
      </c>
    </row>
    <row r="458" spans="1:11" x14ac:dyDescent="0.25">
      <c r="A458" s="12" t="s">
        <v>62</v>
      </c>
      <c r="B458" s="12" t="s">
        <v>38</v>
      </c>
      <c r="C458" s="12" t="s">
        <v>13</v>
      </c>
      <c r="D458" s="12">
        <v>3.8232104121475055</v>
      </c>
      <c r="E458" s="12">
        <v>0.95</v>
      </c>
      <c r="F458" s="12">
        <v>20</v>
      </c>
      <c r="G458" s="12">
        <v>0.95</v>
      </c>
      <c r="H458" s="12">
        <v>0.23529411764705879</v>
      </c>
      <c r="I458" s="12" t="s">
        <v>118</v>
      </c>
      <c r="J458" s="12">
        <v>46245</v>
      </c>
      <c r="K458">
        <v>46245</v>
      </c>
    </row>
    <row r="459" spans="1:11" hidden="1" x14ac:dyDescent="0.25">
      <c r="A459" s="12" t="s">
        <v>62</v>
      </c>
      <c r="B459" s="12" t="s">
        <v>60</v>
      </c>
      <c r="C459" s="12" t="s">
        <v>15</v>
      </c>
      <c r="D459" s="12">
        <v>0</v>
      </c>
      <c r="E459" s="12">
        <v>0.95</v>
      </c>
      <c r="F459" s="12">
        <v>20</v>
      </c>
      <c r="G459" s="12">
        <v>0.95</v>
      </c>
      <c r="H459" s="12">
        <v>0</v>
      </c>
      <c r="I459" s="12" t="s">
        <v>120</v>
      </c>
      <c r="J459" s="12">
        <v>46245</v>
      </c>
      <c r="K459">
        <v>46245</v>
      </c>
    </row>
    <row r="460" spans="1:11" x14ac:dyDescent="0.25">
      <c r="A460" s="12" t="s">
        <v>62</v>
      </c>
      <c r="B460" s="12" t="s">
        <v>37</v>
      </c>
      <c r="C460" s="12" t="s">
        <v>13</v>
      </c>
      <c r="D460" s="12">
        <v>9.9337595944147079</v>
      </c>
      <c r="E460" s="12">
        <v>31.35</v>
      </c>
      <c r="F460" s="12">
        <v>20</v>
      </c>
      <c r="G460" s="12">
        <v>31.35</v>
      </c>
      <c r="H460" s="12">
        <v>14.935658622423333</v>
      </c>
      <c r="I460" s="12" t="s">
        <v>118</v>
      </c>
      <c r="J460" s="12">
        <v>46245</v>
      </c>
      <c r="K460">
        <v>46245</v>
      </c>
    </row>
    <row r="461" spans="1:11" x14ac:dyDescent="0.25">
      <c r="A461" s="12" t="s">
        <v>62</v>
      </c>
      <c r="B461" s="12" t="s">
        <v>38</v>
      </c>
      <c r="C461" s="12" t="s">
        <v>13</v>
      </c>
      <c r="D461" s="12">
        <v>3.8996746203904542</v>
      </c>
      <c r="E461" s="12">
        <v>2.8499999999999996</v>
      </c>
      <c r="F461" s="12">
        <v>20</v>
      </c>
      <c r="G461" s="12">
        <v>2.8499999999999996</v>
      </c>
      <c r="H461" s="12">
        <v>0.23529411764705879</v>
      </c>
      <c r="I461" s="12" t="s">
        <v>121</v>
      </c>
      <c r="J461" s="12">
        <v>46246</v>
      </c>
      <c r="K461">
        <v>46246</v>
      </c>
    </row>
    <row r="462" spans="1:11" x14ac:dyDescent="0.25">
      <c r="A462" s="12" t="s">
        <v>62</v>
      </c>
      <c r="B462" s="12" t="s">
        <v>37</v>
      </c>
      <c r="C462" s="12" t="s">
        <v>13</v>
      </c>
      <c r="D462" s="12">
        <v>9.9337595944147079</v>
      </c>
      <c r="E462" s="12">
        <v>49.4</v>
      </c>
      <c r="F462" s="12">
        <v>20</v>
      </c>
      <c r="G462" s="12">
        <v>49.4</v>
      </c>
      <c r="H462" s="12">
        <v>13.917936934389145</v>
      </c>
      <c r="I462" s="12" t="s">
        <v>121</v>
      </c>
      <c r="J462" s="12">
        <v>46246</v>
      </c>
      <c r="K462">
        <v>46246</v>
      </c>
    </row>
    <row r="463" spans="1:11" x14ac:dyDescent="0.25">
      <c r="A463" s="12" t="s">
        <v>62</v>
      </c>
      <c r="B463" s="12" t="s">
        <v>60</v>
      </c>
      <c r="C463" s="12" t="s">
        <v>13</v>
      </c>
      <c r="D463" s="12">
        <v>1.636148639080069</v>
      </c>
      <c r="E463" s="12">
        <v>1.9</v>
      </c>
      <c r="F463" s="12">
        <v>20</v>
      </c>
      <c r="G463" s="12">
        <v>1.9</v>
      </c>
      <c r="H463" s="12">
        <v>0</v>
      </c>
      <c r="I463" s="12" t="s">
        <v>121</v>
      </c>
      <c r="J463" s="12">
        <v>46246</v>
      </c>
      <c r="K463">
        <v>46246</v>
      </c>
    </row>
    <row r="464" spans="1:11" hidden="1" x14ac:dyDescent="0.25">
      <c r="A464" s="12" t="s">
        <v>62</v>
      </c>
      <c r="B464" s="12" t="s">
        <v>38</v>
      </c>
      <c r="C464" s="12" t="s">
        <v>15</v>
      </c>
      <c r="D464" s="12">
        <v>2.7731019522776572</v>
      </c>
      <c r="E464" s="12">
        <v>0</v>
      </c>
      <c r="F464" s="12">
        <v>20</v>
      </c>
      <c r="G464" s="12">
        <v>0</v>
      </c>
      <c r="H464" s="12">
        <v>2.0078431372549019</v>
      </c>
      <c r="I464" s="12" t="s">
        <v>122</v>
      </c>
      <c r="J464" s="12">
        <v>46246</v>
      </c>
      <c r="K464">
        <v>46246</v>
      </c>
    </row>
    <row r="465" spans="1:11" hidden="1" x14ac:dyDescent="0.25">
      <c r="A465" s="12" t="s">
        <v>62</v>
      </c>
      <c r="B465" s="12" t="s">
        <v>37</v>
      </c>
      <c r="C465" s="12" t="s">
        <v>15</v>
      </c>
      <c r="D465" s="12">
        <v>4.440974877503046</v>
      </c>
      <c r="E465" s="12">
        <v>2.8499999999999996</v>
      </c>
      <c r="F465" s="12">
        <v>20</v>
      </c>
      <c r="G465" s="12">
        <v>2.8499999999999996</v>
      </c>
      <c r="H465" s="12">
        <v>15.038053827300146</v>
      </c>
      <c r="I465" s="12" t="s">
        <v>122</v>
      </c>
      <c r="J465" s="12">
        <v>46246</v>
      </c>
      <c r="K465">
        <v>46246</v>
      </c>
    </row>
    <row r="466" spans="1:11" hidden="1" x14ac:dyDescent="0.25">
      <c r="A466" s="12" t="s">
        <v>62</v>
      </c>
      <c r="B466" s="12" t="s">
        <v>60</v>
      </c>
      <c r="C466" s="12" t="s">
        <v>15</v>
      </c>
      <c r="D466" s="12">
        <v>0</v>
      </c>
      <c r="E466" s="12">
        <v>0</v>
      </c>
      <c r="F466" s="12">
        <v>20</v>
      </c>
      <c r="G466" s="12">
        <v>0</v>
      </c>
      <c r="H466" s="12">
        <v>0</v>
      </c>
      <c r="I466" s="12" t="s">
        <v>122</v>
      </c>
      <c r="J466" s="12">
        <v>46246</v>
      </c>
      <c r="K466">
        <v>46246</v>
      </c>
    </row>
    <row r="467" spans="1:11" hidden="1" x14ac:dyDescent="0.25">
      <c r="A467" s="12" t="s">
        <v>62</v>
      </c>
      <c r="B467" s="12" t="s">
        <v>38</v>
      </c>
      <c r="C467" s="12" t="s">
        <v>14</v>
      </c>
      <c r="D467" s="12">
        <v>2.4468546637744035</v>
      </c>
      <c r="E467" s="12">
        <v>0.95</v>
      </c>
      <c r="F467" s="12">
        <v>20</v>
      </c>
      <c r="G467" s="12">
        <v>0.95</v>
      </c>
      <c r="H467" s="12">
        <v>1.7716262975778552</v>
      </c>
      <c r="I467" s="12" t="s">
        <v>123</v>
      </c>
      <c r="J467" s="12">
        <v>46246</v>
      </c>
      <c r="K467">
        <v>46246</v>
      </c>
    </row>
    <row r="468" spans="1:11" hidden="1" x14ac:dyDescent="0.25">
      <c r="A468" s="12" t="s">
        <v>62</v>
      </c>
      <c r="B468" s="12" t="s">
        <v>60</v>
      </c>
      <c r="C468" s="12" t="s">
        <v>14</v>
      </c>
      <c r="D468" s="12">
        <v>1.5949011943973783</v>
      </c>
      <c r="E468" s="12">
        <v>0.95</v>
      </c>
      <c r="F468" s="12">
        <v>20</v>
      </c>
      <c r="G468" s="12">
        <v>0.95</v>
      </c>
      <c r="H468" s="12">
        <v>0.82352941176470573</v>
      </c>
      <c r="I468" s="12" t="s">
        <v>123</v>
      </c>
      <c r="J468" s="12">
        <v>46246</v>
      </c>
      <c r="K468">
        <v>46246</v>
      </c>
    </row>
    <row r="469" spans="1:11" hidden="1" x14ac:dyDescent="0.25">
      <c r="A469" s="12" t="s">
        <v>62</v>
      </c>
      <c r="B469" s="12" t="s">
        <v>37</v>
      </c>
      <c r="C469" s="12" t="s">
        <v>14</v>
      </c>
      <c r="D469" s="12">
        <v>8.1807431954003462</v>
      </c>
      <c r="E469" s="12">
        <v>4.75</v>
      </c>
      <c r="F469" s="12">
        <v>20</v>
      </c>
      <c r="G469" s="12">
        <v>4.75</v>
      </c>
      <c r="H469" s="12">
        <v>15.827889328808451</v>
      </c>
      <c r="I469" s="12" t="s">
        <v>123</v>
      </c>
      <c r="J469" s="12">
        <v>46246</v>
      </c>
      <c r="K469">
        <v>46246</v>
      </c>
    </row>
    <row r="470" spans="1:11" hidden="1" x14ac:dyDescent="0.25">
      <c r="A470" s="12" t="s">
        <v>62</v>
      </c>
      <c r="B470" s="12" t="s">
        <v>37</v>
      </c>
      <c r="C470" s="12" t="s">
        <v>14</v>
      </c>
      <c r="D470" s="12">
        <v>8.1223093154332009</v>
      </c>
      <c r="E470" s="12">
        <v>5.6999999999999993</v>
      </c>
      <c r="F470" s="12">
        <v>20</v>
      </c>
      <c r="G470" s="12">
        <v>5.6999999999999993</v>
      </c>
      <c r="H470" s="12">
        <v>12.070343137254902</v>
      </c>
      <c r="I470" s="12" t="s">
        <v>124</v>
      </c>
      <c r="J470" s="12">
        <v>46247</v>
      </c>
      <c r="K470">
        <v>46247</v>
      </c>
    </row>
    <row r="471" spans="1:11" hidden="1" x14ac:dyDescent="0.25">
      <c r="A471" s="12" t="s">
        <v>62</v>
      </c>
      <c r="B471" s="12" t="s">
        <v>38</v>
      </c>
      <c r="C471" s="12" t="s">
        <v>14</v>
      </c>
      <c r="D471" s="12">
        <v>2.4468546637744035</v>
      </c>
      <c r="E471" s="12">
        <v>1.9</v>
      </c>
      <c r="F471" s="12">
        <v>20</v>
      </c>
      <c r="G471" s="12">
        <v>1.9</v>
      </c>
      <c r="H471" s="12">
        <v>1.7716262975778552</v>
      </c>
      <c r="I471" s="12" t="s">
        <v>124</v>
      </c>
      <c r="J471" s="12">
        <v>46247</v>
      </c>
      <c r="K471">
        <v>46247</v>
      </c>
    </row>
    <row r="472" spans="1:11" hidden="1" x14ac:dyDescent="0.25">
      <c r="A472" s="12" t="s">
        <v>62</v>
      </c>
      <c r="B472" s="12" t="s">
        <v>60</v>
      </c>
      <c r="C472" s="12" t="s">
        <v>14</v>
      </c>
      <c r="D472" s="12">
        <v>1.4299114156666153</v>
      </c>
      <c r="E472" s="12">
        <v>0</v>
      </c>
      <c r="F472" s="12">
        <v>20</v>
      </c>
      <c r="G472" s="12">
        <v>0</v>
      </c>
      <c r="H472" s="12">
        <v>0.86877828054298623</v>
      </c>
      <c r="I472" s="12" t="s">
        <v>124</v>
      </c>
      <c r="J472" s="12">
        <v>46247</v>
      </c>
      <c r="K472">
        <v>46247</v>
      </c>
    </row>
    <row r="473" spans="1:11" hidden="1" x14ac:dyDescent="0.25">
      <c r="A473" s="12" t="s">
        <v>62</v>
      </c>
      <c r="B473" s="12" t="s">
        <v>38</v>
      </c>
      <c r="C473" s="12" t="s">
        <v>15</v>
      </c>
      <c r="D473" s="12">
        <v>2.7731019522776572</v>
      </c>
      <c r="E473" s="12">
        <v>0</v>
      </c>
      <c r="F473" s="12">
        <v>20</v>
      </c>
      <c r="G473" s="12">
        <v>0</v>
      </c>
      <c r="H473" s="12">
        <v>2.0078431372549019</v>
      </c>
      <c r="I473" s="12" t="s">
        <v>125</v>
      </c>
      <c r="J473" s="12">
        <v>46247</v>
      </c>
      <c r="K473">
        <v>46247</v>
      </c>
    </row>
    <row r="474" spans="1:11" hidden="1" x14ac:dyDescent="0.25">
      <c r="A474" s="12" t="s">
        <v>62</v>
      </c>
      <c r="B474" s="12" t="s">
        <v>60</v>
      </c>
      <c r="C474" s="12" t="s">
        <v>15</v>
      </c>
      <c r="D474" s="12">
        <v>0</v>
      </c>
      <c r="E474" s="12">
        <v>0.95</v>
      </c>
      <c r="F474" s="12">
        <v>20</v>
      </c>
      <c r="G474" s="12">
        <v>0.95</v>
      </c>
      <c r="H474" s="12">
        <v>0.92307692307692291</v>
      </c>
      <c r="I474" s="12" t="s">
        <v>125</v>
      </c>
      <c r="J474" s="12">
        <v>46247</v>
      </c>
      <c r="K474">
        <v>46247</v>
      </c>
    </row>
    <row r="475" spans="1:11" x14ac:dyDescent="0.25">
      <c r="A475" s="12" t="s">
        <v>62</v>
      </c>
      <c r="B475" s="12" t="s">
        <v>37</v>
      </c>
      <c r="C475" s="12" t="s">
        <v>13</v>
      </c>
      <c r="D475" s="12">
        <v>9.9337595944147079</v>
      </c>
      <c r="E475" s="12">
        <v>27.549999999999997</v>
      </c>
      <c r="F475" s="12">
        <v>20</v>
      </c>
      <c r="G475" s="12">
        <v>27.549999999999997</v>
      </c>
      <c r="H475" s="12">
        <v>14.177251838235303</v>
      </c>
      <c r="I475" s="12" t="s">
        <v>126</v>
      </c>
      <c r="J475" s="12">
        <v>46247</v>
      </c>
      <c r="K475">
        <v>46247</v>
      </c>
    </row>
    <row r="476" spans="1:11" x14ac:dyDescent="0.25">
      <c r="A476" s="12" t="s">
        <v>62</v>
      </c>
      <c r="B476" s="12" t="s">
        <v>60</v>
      </c>
      <c r="C476" s="12" t="s">
        <v>13</v>
      </c>
      <c r="D476" s="12">
        <v>1.869884158948651</v>
      </c>
      <c r="E476" s="12">
        <v>1.9</v>
      </c>
      <c r="F476" s="12">
        <v>20</v>
      </c>
      <c r="G476" s="12">
        <v>1.9</v>
      </c>
      <c r="H476" s="12">
        <v>0</v>
      </c>
      <c r="I476" s="12" t="s">
        <v>126</v>
      </c>
      <c r="J476" s="12">
        <v>46247</v>
      </c>
      <c r="K476">
        <v>46247</v>
      </c>
    </row>
    <row r="477" spans="1:11" hidden="1" x14ac:dyDescent="0.25">
      <c r="A477" s="12" t="s">
        <v>62</v>
      </c>
      <c r="B477" s="12" t="s">
        <v>37</v>
      </c>
      <c r="C477" s="12" t="s">
        <v>15</v>
      </c>
      <c r="D477" s="12">
        <v>4.440974877503046</v>
      </c>
      <c r="E477" s="12">
        <v>4.75</v>
      </c>
      <c r="F477" s="12">
        <v>20</v>
      </c>
      <c r="G477" s="12">
        <v>4.75</v>
      </c>
      <c r="H477" s="12">
        <v>13.770465686274507</v>
      </c>
      <c r="I477" s="12" t="s">
        <v>125</v>
      </c>
      <c r="J477" s="12">
        <v>46247</v>
      </c>
      <c r="K477">
        <v>46247</v>
      </c>
    </row>
    <row r="478" spans="1:11" x14ac:dyDescent="0.25">
      <c r="A478" s="12" t="s">
        <v>62</v>
      </c>
      <c r="B478" s="12" t="s">
        <v>38</v>
      </c>
      <c r="C478" s="12" t="s">
        <v>13</v>
      </c>
      <c r="D478" s="12">
        <v>2.5233188720173527</v>
      </c>
      <c r="E478" s="12">
        <v>2.8499999999999996</v>
      </c>
      <c r="F478" s="12">
        <v>20</v>
      </c>
      <c r="G478" s="12">
        <v>2.8499999999999996</v>
      </c>
      <c r="H478" s="12">
        <v>0.23529411764705879</v>
      </c>
      <c r="I478" s="12" t="s">
        <v>126</v>
      </c>
      <c r="J478" s="12">
        <v>46247</v>
      </c>
      <c r="K478">
        <v>46247</v>
      </c>
    </row>
    <row r="479" spans="1:11" hidden="1" x14ac:dyDescent="0.25">
      <c r="A479" s="12" t="s">
        <v>62</v>
      </c>
      <c r="B479" s="12" t="s">
        <v>38</v>
      </c>
      <c r="C479" s="12" t="s">
        <v>14</v>
      </c>
      <c r="D479" s="12">
        <v>2.4468546637744035</v>
      </c>
      <c r="E479" s="12">
        <v>2.8499999999999996</v>
      </c>
      <c r="F479" s="12">
        <v>20</v>
      </c>
      <c r="G479" s="12">
        <v>2.8499999999999996</v>
      </c>
      <c r="H479" s="12">
        <v>1.7716262975778552</v>
      </c>
      <c r="I479" s="12" t="s">
        <v>127</v>
      </c>
      <c r="J479" s="12">
        <v>46248</v>
      </c>
      <c r="K479">
        <v>46248</v>
      </c>
    </row>
    <row r="480" spans="1:11" hidden="1" x14ac:dyDescent="0.25">
      <c r="A480" s="12" t="s">
        <v>62</v>
      </c>
      <c r="B480" s="12" t="s">
        <v>60</v>
      </c>
      <c r="C480" s="12" t="s">
        <v>14</v>
      </c>
      <c r="D480" s="12">
        <v>1.4299114156666153</v>
      </c>
      <c r="E480" s="12">
        <v>0</v>
      </c>
      <c r="F480" s="12">
        <v>20</v>
      </c>
      <c r="G480" s="12">
        <v>0</v>
      </c>
      <c r="H480" s="12">
        <v>0.16289592760180993</v>
      </c>
      <c r="I480" s="12" t="s">
        <v>127</v>
      </c>
      <c r="J480" s="12">
        <v>46248</v>
      </c>
      <c r="K480">
        <v>46248</v>
      </c>
    </row>
    <row r="481" spans="1:11" hidden="1" x14ac:dyDescent="0.25">
      <c r="A481" s="12" t="s">
        <v>62</v>
      </c>
      <c r="B481" s="12" t="s">
        <v>37</v>
      </c>
      <c r="C481" s="12" t="s">
        <v>14</v>
      </c>
      <c r="D481" s="12">
        <v>8.0638754354660556</v>
      </c>
      <c r="E481" s="12">
        <v>6.6499999999999995</v>
      </c>
      <c r="F481" s="12">
        <v>20</v>
      </c>
      <c r="G481" s="12">
        <v>6.6499999999999995</v>
      </c>
      <c r="H481" s="12">
        <v>8.7304227941176471</v>
      </c>
      <c r="I481" s="12" t="s">
        <v>127</v>
      </c>
      <c r="J481" s="12">
        <v>46248</v>
      </c>
      <c r="K481">
        <v>46248</v>
      </c>
    </row>
    <row r="482" spans="1:11" hidden="1" x14ac:dyDescent="0.25">
      <c r="A482" s="12" t="s">
        <v>62</v>
      </c>
      <c r="B482" s="12" t="s">
        <v>37</v>
      </c>
      <c r="C482" s="12" t="s">
        <v>15</v>
      </c>
      <c r="D482" s="12">
        <v>4.440974877503046</v>
      </c>
      <c r="E482" s="12">
        <v>3.8</v>
      </c>
      <c r="F482" s="12">
        <v>20</v>
      </c>
      <c r="G482" s="12">
        <v>3.8</v>
      </c>
      <c r="H482" s="12">
        <v>8.4963235294117627</v>
      </c>
      <c r="I482" s="12" t="s">
        <v>129</v>
      </c>
      <c r="J482" s="12">
        <v>46248</v>
      </c>
      <c r="K482">
        <v>46248</v>
      </c>
    </row>
    <row r="483" spans="1:11" hidden="1" x14ac:dyDescent="0.25">
      <c r="A483" s="12" t="s">
        <v>62</v>
      </c>
      <c r="B483" s="12" t="s">
        <v>38</v>
      </c>
      <c r="C483" s="12" t="s">
        <v>15</v>
      </c>
      <c r="D483" s="12">
        <v>2.7731019522776572</v>
      </c>
      <c r="E483" s="12">
        <v>0</v>
      </c>
      <c r="F483" s="12">
        <v>20</v>
      </c>
      <c r="G483" s="12">
        <v>0</v>
      </c>
      <c r="H483" s="12">
        <v>2.0078431372549019</v>
      </c>
      <c r="I483" s="12" t="s">
        <v>129</v>
      </c>
      <c r="J483" s="12">
        <v>46248</v>
      </c>
      <c r="K483">
        <v>46248</v>
      </c>
    </row>
    <row r="484" spans="1:11" x14ac:dyDescent="0.25">
      <c r="A484" s="12" t="s">
        <v>62</v>
      </c>
      <c r="B484" s="12" t="s">
        <v>37</v>
      </c>
      <c r="C484" s="12" t="s">
        <v>13</v>
      </c>
      <c r="D484" s="12">
        <v>9.9337595944147079</v>
      </c>
      <c r="E484" s="12">
        <v>32.299999999999997</v>
      </c>
      <c r="F484" s="12">
        <v>20</v>
      </c>
      <c r="G484" s="12">
        <v>32.299999999999997</v>
      </c>
      <c r="H484" s="12">
        <v>10.510845588235297</v>
      </c>
      <c r="I484" s="12" t="s">
        <v>128</v>
      </c>
      <c r="J484" s="12">
        <v>46248</v>
      </c>
      <c r="K484">
        <v>46248</v>
      </c>
    </row>
    <row r="485" spans="1:11" x14ac:dyDescent="0.25">
      <c r="A485" s="12" t="s">
        <v>62</v>
      </c>
      <c r="B485" s="12" t="s">
        <v>60</v>
      </c>
      <c r="C485" s="12" t="s">
        <v>13</v>
      </c>
      <c r="D485" s="12">
        <v>1.869884158948651</v>
      </c>
      <c r="E485" s="12">
        <v>0.95</v>
      </c>
      <c r="F485" s="12">
        <v>20</v>
      </c>
      <c r="G485" s="12">
        <v>0.95</v>
      </c>
      <c r="H485" s="12">
        <v>0.92307692307692291</v>
      </c>
      <c r="I485" s="12" t="s">
        <v>128</v>
      </c>
      <c r="J485" s="12">
        <v>46248</v>
      </c>
      <c r="K485">
        <v>46248</v>
      </c>
    </row>
    <row r="486" spans="1:11" hidden="1" x14ac:dyDescent="0.25">
      <c r="A486" s="12" t="s">
        <v>62</v>
      </c>
      <c r="B486" s="12" t="s">
        <v>60</v>
      </c>
      <c r="C486" s="12" t="s">
        <v>15</v>
      </c>
      <c r="D486" s="12">
        <v>0</v>
      </c>
      <c r="E486" s="12">
        <v>0</v>
      </c>
      <c r="F486" s="12">
        <v>20</v>
      </c>
      <c r="G486" s="12">
        <v>0</v>
      </c>
      <c r="H486" s="12">
        <v>0</v>
      </c>
      <c r="I486" s="12" t="s">
        <v>129</v>
      </c>
      <c r="J486" s="12">
        <v>46248</v>
      </c>
      <c r="K486">
        <v>46248</v>
      </c>
    </row>
    <row r="487" spans="1:11" x14ac:dyDescent="0.25">
      <c r="A487" s="12" t="s">
        <v>62</v>
      </c>
      <c r="B487" s="12" t="s">
        <v>38</v>
      </c>
      <c r="C487" s="12" t="s">
        <v>13</v>
      </c>
      <c r="D487" s="12">
        <v>3.7467462039045554</v>
      </c>
      <c r="E487" s="12">
        <v>4.75</v>
      </c>
      <c r="F487" s="12">
        <v>20</v>
      </c>
      <c r="G487" s="12">
        <v>4.75</v>
      </c>
      <c r="H487" s="12">
        <v>0.23529411764705879</v>
      </c>
      <c r="I487" s="12" t="s">
        <v>128</v>
      </c>
      <c r="J487" s="12">
        <v>46248</v>
      </c>
      <c r="K487">
        <v>46248</v>
      </c>
    </row>
    <row r="488" spans="1:11" hidden="1" x14ac:dyDescent="0.25">
      <c r="A488" s="12" t="s">
        <v>62</v>
      </c>
      <c r="B488" s="12" t="s">
        <v>38</v>
      </c>
      <c r="C488" s="12" t="s">
        <v>14</v>
      </c>
      <c r="D488" s="12">
        <v>2.4468546637744031</v>
      </c>
      <c r="E488" s="12">
        <v>5.6999999999999993</v>
      </c>
      <c r="F488" s="12">
        <v>20</v>
      </c>
      <c r="G488" s="12">
        <v>5.6999999999999993</v>
      </c>
      <c r="H488" s="12">
        <v>1.7716262975778552</v>
      </c>
      <c r="I488" s="12" t="s">
        <v>130</v>
      </c>
      <c r="J488" s="12">
        <v>46249</v>
      </c>
      <c r="K488">
        <v>46249</v>
      </c>
    </row>
    <row r="489" spans="1:11" hidden="1" x14ac:dyDescent="0.25">
      <c r="A489" s="12" t="s">
        <v>62</v>
      </c>
      <c r="B489" s="12" t="s">
        <v>60</v>
      </c>
      <c r="C489" s="12" t="s">
        <v>14</v>
      </c>
      <c r="D489" s="12">
        <v>1.4299114156666153</v>
      </c>
      <c r="E489" s="12">
        <v>0</v>
      </c>
      <c r="F489" s="12">
        <v>20</v>
      </c>
      <c r="G489" s="12">
        <v>0</v>
      </c>
      <c r="H489" s="12">
        <v>0</v>
      </c>
      <c r="I489" s="12" t="s">
        <v>130</v>
      </c>
      <c r="J489" s="12">
        <v>46249</v>
      </c>
      <c r="K489">
        <v>46249</v>
      </c>
    </row>
    <row r="490" spans="1:11" hidden="1" x14ac:dyDescent="0.25">
      <c r="A490" s="12" t="s">
        <v>62</v>
      </c>
      <c r="B490" s="12" t="s">
        <v>37</v>
      </c>
      <c r="C490" s="12" t="s">
        <v>14</v>
      </c>
      <c r="D490" s="12">
        <v>8.1223093154331991</v>
      </c>
      <c r="E490" s="12">
        <v>6.6499999999999995</v>
      </c>
      <c r="F490" s="12">
        <v>20</v>
      </c>
      <c r="G490" s="12">
        <v>6.6499999999999995</v>
      </c>
      <c r="H490" s="12">
        <v>8.8282569758672693</v>
      </c>
      <c r="I490" s="12" t="s">
        <v>130</v>
      </c>
      <c r="J490" s="12">
        <v>46249</v>
      </c>
      <c r="K490">
        <v>46249</v>
      </c>
    </row>
    <row r="491" spans="1:11" hidden="1" x14ac:dyDescent="0.25">
      <c r="A491" s="12" t="s">
        <v>62</v>
      </c>
      <c r="B491" s="12" t="s">
        <v>60</v>
      </c>
      <c r="C491" s="12" t="s">
        <v>15</v>
      </c>
      <c r="D491" s="12">
        <v>0</v>
      </c>
      <c r="E491" s="12">
        <v>0</v>
      </c>
      <c r="F491" s="12">
        <v>20</v>
      </c>
      <c r="G491" s="12">
        <v>0</v>
      </c>
      <c r="H491" s="12">
        <v>0</v>
      </c>
      <c r="I491" s="12" t="s">
        <v>131</v>
      </c>
      <c r="J491" s="12">
        <v>46249</v>
      </c>
      <c r="K491">
        <v>46249</v>
      </c>
    </row>
    <row r="492" spans="1:11" hidden="1" x14ac:dyDescent="0.25">
      <c r="A492" s="12" t="s">
        <v>62</v>
      </c>
      <c r="B492" s="12" t="s">
        <v>37</v>
      </c>
      <c r="C492" s="12" t="s">
        <v>15</v>
      </c>
      <c r="D492" s="12">
        <v>4.3241071175687553</v>
      </c>
      <c r="E492" s="12">
        <v>2.8499999999999996</v>
      </c>
      <c r="F492" s="12">
        <v>20</v>
      </c>
      <c r="G492" s="12">
        <v>2.8499999999999996</v>
      </c>
      <c r="H492" s="12">
        <v>8.4487815799396682</v>
      </c>
      <c r="I492" s="12" t="s">
        <v>131</v>
      </c>
      <c r="J492" s="12">
        <v>46249</v>
      </c>
      <c r="K492">
        <v>46249</v>
      </c>
    </row>
    <row r="493" spans="1:11" x14ac:dyDescent="0.25">
      <c r="A493" s="12" t="s">
        <v>62</v>
      </c>
      <c r="B493" s="12" t="s">
        <v>38</v>
      </c>
      <c r="C493" s="12" t="s">
        <v>13</v>
      </c>
      <c r="D493" s="12">
        <v>0</v>
      </c>
      <c r="E493" s="12">
        <v>0.95</v>
      </c>
      <c r="F493" s="12">
        <v>20</v>
      </c>
      <c r="G493" s="12">
        <v>0.95</v>
      </c>
      <c r="H493" s="12">
        <v>0.23529411764705879</v>
      </c>
      <c r="I493" s="12" t="s">
        <v>143</v>
      </c>
      <c r="J493" s="12">
        <v>46249</v>
      </c>
      <c r="K493">
        <v>46249</v>
      </c>
    </row>
    <row r="494" spans="1:11" x14ac:dyDescent="0.25">
      <c r="A494" s="12" t="s">
        <v>62</v>
      </c>
      <c r="B494" s="12" t="s">
        <v>60</v>
      </c>
      <c r="C494" s="12" t="s">
        <v>13</v>
      </c>
      <c r="D494" s="12">
        <v>1.869884158948651</v>
      </c>
      <c r="E494" s="12">
        <v>2.8499999999999996</v>
      </c>
      <c r="F494" s="12">
        <v>20</v>
      </c>
      <c r="G494" s="12">
        <v>2.8499999999999996</v>
      </c>
      <c r="H494" s="12">
        <v>0</v>
      </c>
      <c r="I494" s="12" t="s">
        <v>143</v>
      </c>
      <c r="J494" s="12">
        <v>46249</v>
      </c>
      <c r="K494">
        <v>46249</v>
      </c>
    </row>
    <row r="495" spans="1:11" x14ac:dyDescent="0.25">
      <c r="A495" s="12" t="s">
        <v>62</v>
      </c>
      <c r="B495" s="12" t="s">
        <v>37</v>
      </c>
      <c r="C495" s="12" t="s">
        <v>13</v>
      </c>
      <c r="D495" s="12">
        <v>9.9337595944147079</v>
      </c>
      <c r="E495" s="12">
        <v>37.049999999999997</v>
      </c>
      <c r="F495" s="12">
        <v>20</v>
      </c>
      <c r="G495" s="12">
        <v>37.049999999999997</v>
      </c>
      <c r="H495" s="12">
        <v>9.3051164215686271</v>
      </c>
      <c r="I495" s="12" t="s">
        <v>143</v>
      </c>
      <c r="J495" s="12">
        <v>46249</v>
      </c>
      <c r="K495">
        <v>46249</v>
      </c>
    </row>
    <row r="496" spans="1:11" hidden="1" x14ac:dyDescent="0.25">
      <c r="A496" s="12" t="s">
        <v>62</v>
      </c>
      <c r="B496" s="12" t="s">
        <v>38</v>
      </c>
      <c r="C496" s="12" t="s">
        <v>15</v>
      </c>
      <c r="D496" s="12">
        <v>2.6099783080260304</v>
      </c>
      <c r="E496" s="12">
        <v>0</v>
      </c>
      <c r="F496" s="12">
        <v>20</v>
      </c>
      <c r="G496" s="12">
        <v>0</v>
      </c>
      <c r="H496" s="12">
        <v>2.0078431372549019</v>
      </c>
      <c r="I496" s="12" t="s">
        <v>131</v>
      </c>
      <c r="J496" s="12">
        <v>46249</v>
      </c>
      <c r="K496">
        <v>46249</v>
      </c>
    </row>
    <row r="497" spans="1:11" x14ac:dyDescent="0.25">
      <c r="A497" s="12" t="s">
        <v>62</v>
      </c>
      <c r="B497" s="12" t="s">
        <v>38</v>
      </c>
      <c r="C497" s="12" t="s">
        <v>13</v>
      </c>
      <c r="D497" s="12">
        <v>0</v>
      </c>
      <c r="E497" s="12">
        <v>0.95</v>
      </c>
      <c r="F497" s="12">
        <v>20</v>
      </c>
      <c r="G497" s="12">
        <v>0.95</v>
      </c>
      <c r="H497" s="12">
        <v>0.23529411764705879</v>
      </c>
      <c r="I497" s="12" t="s">
        <v>132</v>
      </c>
      <c r="J497" s="12">
        <v>46250</v>
      </c>
      <c r="K497">
        <v>46250</v>
      </c>
    </row>
    <row r="498" spans="1:11" x14ac:dyDescent="0.25">
      <c r="A498" s="12" t="s">
        <v>62</v>
      </c>
      <c r="B498" s="12" t="s">
        <v>37</v>
      </c>
      <c r="C498" s="12" t="s">
        <v>13</v>
      </c>
      <c r="D498" s="12">
        <v>9.9337595944147079</v>
      </c>
      <c r="E498" s="12">
        <v>43.7</v>
      </c>
      <c r="F498" s="12">
        <v>20</v>
      </c>
      <c r="G498" s="12">
        <v>43.7</v>
      </c>
      <c r="H498" s="12">
        <v>8.3536835407239813</v>
      </c>
      <c r="I498" s="12" t="s">
        <v>132</v>
      </c>
      <c r="J498" s="12">
        <v>46250</v>
      </c>
      <c r="K498">
        <v>46250</v>
      </c>
    </row>
    <row r="499" spans="1:11" hidden="1" x14ac:dyDescent="0.25">
      <c r="A499" s="12" t="s">
        <v>62</v>
      </c>
      <c r="B499" s="12" t="s">
        <v>38</v>
      </c>
      <c r="C499" s="12" t="s">
        <v>15</v>
      </c>
      <c r="D499" s="12">
        <v>2.7731019522776572</v>
      </c>
      <c r="E499" s="12">
        <v>0</v>
      </c>
      <c r="F499" s="12">
        <v>20</v>
      </c>
      <c r="G499" s="12">
        <v>0</v>
      </c>
      <c r="H499" s="12">
        <v>0.18823529411764703</v>
      </c>
      <c r="I499" s="12" t="s">
        <v>133</v>
      </c>
      <c r="J499" s="12">
        <v>46250</v>
      </c>
      <c r="K499">
        <v>46250</v>
      </c>
    </row>
    <row r="500" spans="1:11" hidden="1" x14ac:dyDescent="0.25">
      <c r="A500" s="12" t="s">
        <v>62</v>
      </c>
      <c r="B500" s="12" t="s">
        <v>60</v>
      </c>
      <c r="C500" s="12" t="s">
        <v>15</v>
      </c>
      <c r="D500" s="12">
        <v>0</v>
      </c>
      <c r="E500" s="12">
        <v>0.95</v>
      </c>
      <c r="F500" s="12">
        <v>20</v>
      </c>
      <c r="G500" s="12">
        <v>0.95</v>
      </c>
      <c r="H500" s="12">
        <v>0</v>
      </c>
      <c r="I500" s="12" t="s">
        <v>133</v>
      </c>
      <c r="J500" s="12">
        <v>46250</v>
      </c>
      <c r="K500">
        <v>46250</v>
      </c>
    </row>
    <row r="501" spans="1:11" hidden="1" x14ac:dyDescent="0.25">
      <c r="A501" s="12" t="s">
        <v>62</v>
      </c>
      <c r="B501" s="12" t="s">
        <v>37</v>
      </c>
      <c r="C501" s="12" t="s">
        <v>15</v>
      </c>
      <c r="D501" s="12">
        <v>4.440974877503046</v>
      </c>
      <c r="E501" s="12">
        <v>4.75</v>
      </c>
      <c r="F501" s="12">
        <v>20</v>
      </c>
      <c r="G501" s="12">
        <v>4.75</v>
      </c>
      <c r="H501" s="12">
        <v>2.9820772058823524</v>
      </c>
      <c r="I501" s="12" t="s">
        <v>133</v>
      </c>
      <c r="J501" s="12">
        <v>46250</v>
      </c>
      <c r="K501">
        <v>46250</v>
      </c>
    </row>
    <row r="502" spans="1:11" hidden="1" x14ac:dyDescent="0.25">
      <c r="A502" s="12" t="s">
        <v>62</v>
      </c>
      <c r="B502" s="12" t="s">
        <v>38</v>
      </c>
      <c r="C502" s="12" t="s">
        <v>14</v>
      </c>
      <c r="D502" s="12">
        <v>2.4468546637744031</v>
      </c>
      <c r="E502" s="12">
        <v>6.6499999999999995</v>
      </c>
      <c r="F502" s="12">
        <v>20</v>
      </c>
      <c r="G502" s="12">
        <v>6.6499999999999995</v>
      </c>
      <c r="H502" s="12">
        <v>1.7716262975778552</v>
      </c>
      <c r="I502" s="12" t="s">
        <v>144</v>
      </c>
      <c r="J502" s="12">
        <v>46250</v>
      </c>
      <c r="K502">
        <v>46250</v>
      </c>
    </row>
    <row r="503" spans="1:11" hidden="1" x14ac:dyDescent="0.25">
      <c r="A503" s="12" t="s">
        <v>62</v>
      </c>
      <c r="B503" s="12" t="s">
        <v>60</v>
      </c>
      <c r="C503" s="12" t="s">
        <v>14</v>
      </c>
      <c r="D503" s="12">
        <v>1.4299114156666153</v>
      </c>
      <c r="E503" s="12">
        <v>1.9</v>
      </c>
      <c r="F503" s="12">
        <v>20</v>
      </c>
      <c r="G503" s="12">
        <v>1.9</v>
      </c>
      <c r="H503" s="12">
        <v>0</v>
      </c>
      <c r="I503" s="12" t="s">
        <v>144</v>
      </c>
      <c r="J503" s="12">
        <v>46250</v>
      </c>
      <c r="K503">
        <v>46250</v>
      </c>
    </row>
    <row r="504" spans="1:11" hidden="1" x14ac:dyDescent="0.25">
      <c r="A504" s="12" t="s">
        <v>62</v>
      </c>
      <c r="B504" s="12" t="s">
        <v>37</v>
      </c>
      <c r="C504" s="12" t="s">
        <v>14</v>
      </c>
      <c r="D504" s="12">
        <v>8.1223093154331991</v>
      </c>
      <c r="E504" s="12">
        <v>7.6</v>
      </c>
      <c r="F504" s="12">
        <v>20</v>
      </c>
      <c r="G504" s="12">
        <v>7.6</v>
      </c>
      <c r="H504" s="12">
        <v>4.9663084464555052</v>
      </c>
      <c r="I504" s="12" t="s">
        <v>144</v>
      </c>
      <c r="J504" s="12">
        <v>46250</v>
      </c>
      <c r="K504">
        <v>46250</v>
      </c>
    </row>
    <row r="505" spans="1:11" x14ac:dyDescent="0.25">
      <c r="A505" s="12" t="s">
        <v>62</v>
      </c>
      <c r="B505" s="12" t="s">
        <v>60</v>
      </c>
      <c r="C505" s="12" t="s">
        <v>13</v>
      </c>
      <c r="D505" s="12">
        <v>1.869884158948651</v>
      </c>
      <c r="E505" s="12">
        <v>0</v>
      </c>
      <c r="F505" s="12">
        <v>20</v>
      </c>
      <c r="G505" s="12">
        <v>0</v>
      </c>
      <c r="H505" s="12">
        <v>0</v>
      </c>
      <c r="I505" s="12" t="s">
        <v>132</v>
      </c>
      <c r="J505" s="12">
        <v>46250</v>
      </c>
      <c r="K505">
        <v>46250</v>
      </c>
    </row>
    <row r="506" spans="1:11" hidden="1" x14ac:dyDescent="0.25">
      <c r="A506" s="12" t="s">
        <v>63</v>
      </c>
      <c r="B506" s="12" t="s">
        <v>38</v>
      </c>
      <c r="C506" s="12" t="s">
        <v>15</v>
      </c>
      <c r="D506" s="12">
        <v>1.2735376146788988</v>
      </c>
      <c r="E506" s="12">
        <v>0.95</v>
      </c>
      <c r="F506" s="12">
        <v>20</v>
      </c>
      <c r="G506" s="12">
        <v>0.95</v>
      </c>
      <c r="H506" s="12">
        <v>1.0127450980392154</v>
      </c>
      <c r="I506" s="12" t="s">
        <v>134</v>
      </c>
      <c r="J506" s="12">
        <v>46223</v>
      </c>
      <c r="K506">
        <v>46223</v>
      </c>
    </row>
    <row r="507" spans="1:11" hidden="1" x14ac:dyDescent="0.25">
      <c r="A507" s="12" t="s">
        <v>63</v>
      </c>
      <c r="B507" s="12" t="s">
        <v>38</v>
      </c>
      <c r="C507" s="12" t="s">
        <v>14</v>
      </c>
      <c r="D507" s="12">
        <v>3.3711289800323794</v>
      </c>
      <c r="E507" s="12">
        <v>3.8</v>
      </c>
      <c r="F507" s="12">
        <v>20</v>
      </c>
      <c r="G507" s="12">
        <v>3.8</v>
      </c>
      <c r="H507" s="12">
        <v>2.0220588235294117</v>
      </c>
      <c r="I507" s="12" t="s">
        <v>65</v>
      </c>
      <c r="J507" s="12">
        <v>46223</v>
      </c>
      <c r="K507">
        <v>46223</v>
      </c>
    </row>
    <row r="508" spans="1:11" hidden="1" x14ac:dyDescent="0.25">
      <c r="A508" s="12" t="s">
        <v>63</v>
      </c>
      <c r="B508" s="12" t="s">
        <v>60</v>
      </c>
      <c r="C508" s="12" t="s">
        <v>14</v>
      </c>
      <c r="D508" s="12">
        <v>3.1774912809962848</v>
      </c>
      <c r="E508" s="12">
        <v>0.95</v>
      </c>
      <c r="F508" s="12">
        <v>20</v>
      </c>
      <c r="G508" s="12">
        <v>0.95</v>
      </c>
      <c r="H508" s="12">
        <v>0.16608996539792387</v>
      </c>
      <c r="I508" s="12" t="s">
        <v>65</v>
      </c>
      <c r="J508" s="12">
        <v>46223</v>
      </c>
      <c r="K508">
        <v>46223</v>
      </c>
    </row>
    <row r="509" spans="1:11" hidden="1" x14ac:dyDescent="0.25">
      <c r="A509" s="12" t="s">
        <v>63</v>
      </c>
      <c r="B509" s="12" t="s">
        <v>37</v>
      </c>
      <c r="C509" s="12" t="s">
        <v>15</v>
      </c>
      <c r="D509" s="12">
        <v>4.220105607573192</v>
      </c>
      <c r="E509" s="12">
        <v>4.75</v>
      </c>
      <c r="F509" s="12">
        <v>20</v>
      </c>
      <c r="G509" s="12">
        <v>4.75</v>
      </c>
      <c r="H509" s="12">
        <v>4.1764705882352935</v>
      </c>
      <c r="I509" s="12" t="s">
        <v>134</v>
      </c>
      <c r="J509" s="12">
        <v>46223</v>
      </c>
      <c r="K509">
        <v>46223</v>
      </c>
    </row>
    <row r="510" spans="1:11" hidden="1" x14ac:dyDescent="0.25">
      <c r="A510" s="12" t="s">
        <v>63</v>
      </c>
      <c r="B510" s="12" t="s">
        <v>37</v>
      </c>
      <c r="C510" s="12" t="s">
        <v>14</v>
      </c>
      <c r="D510" s="12">
        <v>10.972274579690296</v>
      </c>
      <c r="E510" s="12">
        <v>6.6499999999999995</v>
      </c>
      <c r="F510" s="12">
        <v>20</v>
      </c>
      <c r="G510" s="12">
        <v>6.6499999999999995</v>
      </c>
      <c r="H510" s="12">
        <v>8.3768907563025117</v>
      </c>
      <c r="I510" s="12" t="s">
        <v>65</v>
      </c>
      <c r="J510" s="12">
        <v>46223</v>
      </c>
      <c r="K510">
        <v>46223</v>
      </c>
    </row>
    <row r="511" spans="1:11" x14ac:dyDescent="0.25">
      <c r="A511" s="12" t="s">
        <v>63</v>
      </c>
      <c r="B511" s="12" t="s">
        <v>38</v>
      </c>
      <c r="C511" s="12" t="s">
        <v>13</v>
      </c>
      <c r="D511" s="12">
        <v>5.8204648795871554</v>
      </c>
      <c r="E511" s="12">
        <v>0.95</v>
      </c>
      <c r="F511" s="12">
        <v>20</v>
      </c>
      <c r="G511" s="12">
        <v>0.95</v>
      </c>
      <c r="H511" s="12">
        <v>0.94117647058823517</v>
      </c>
      <c r="I511" s="12" t="s">
        <v>64</v>
      </c>
      <c r="J511" s="12">
        <v>46223</v>
      </c>
      <c r="K511">
        <v>46223</v>
      </c>
    </row>
    <row r="512" spans="1:11" x14ac:dyDescent="0.25">
      <c r="A512" s="12" t="s">
        <v>63</v>
      </c>
      <c r="B512" s="12" t="s">
        <v>60</v>
      </c>
      <c r="C512" s="12" t="s">
        <v>13</v>
      </c>
      <c r="D512" s="12">
        <v>3.6011567851291222</v>
      </c>
      <c r="E512" s="12">
        <v>0.95</v>
      </c>
      <c r="F512" s="12">
        <v>20</v>
      </c>
      <c r="G512" s="12">
        <v>0.95</v>
      </c>
      <c r="H512" s="12">
        <v>0.82352941176470595</v>
      </c>
      <c r="I512" s="12" t="s">
        <v>64</v>
      </c>
      <c r="J512" s="12">
        <v>46223</v>
      </c>
      <c r="K512">
        <v>46223</v>
      </c>
    </row>
    <row r="513" spans="1:11" x14ac:dyDescent="0.25">
      <c r="A513" s="12" t="s">
        <v>63</v>
      </c>
      <c r="B513" s="12" t="s">
        <v>37</v>
      </c>
      <c r="C513" s="12" t="s">
        <v>13</v>
      </c>
      <c r="D513" s="12">
        <v>11.872563775972576</v>
      </c>
      <c r="E513" s="12">
        <v>26.6</v>
      </c>
      <c r="F513" s="12">
        <v>20</v>
      </c>
      <c r="G513" s="12">
        <v>26.6</v>
      </c>
      <c r="H513" s="12">
        <v>8.7959033613445357</v>
      </c>
      <c r="I513" s="12" t="s">
        <v>64</v>
      </c>
      <c r="J513" s="12">
        <v>46223</v>
      </c>
      <c r="K513">
        <v>46223</v>
      </c>
    </row>
    <row r="514" spans="1:11" hidden="1" x14ac:dyDescent="0.25">
      <c r="A514" s="12" t="s">
        <v>63</v>
      </c>
      <c r="B514" s="12" t="s">
        <v>60</v>
      </c>
      <c r="C514" s="12" t="s">
        <v>15</v>
      </c>
      <c r="D514" s="12">
        <v>0</v>
      </c>
      <c r="E514" s="12">
        <v>0.95</v>
      </c>
      <c r="F514" s="12">
        <v>20</v>
      </c>
      <c r="G514" s="12">
        <v>0.95</v>
      </c>
      <c r="H514" s="12">
        <v>0</v>
      </c>
      <c r="I514" s="12" t="s">
        <v>134</v>
      </c>
      <c r="J514" s="12">
        <v>46223</v>
      </c>
      <c r="K514">
        <v>46223</v>
      </c>
    </row>
    <row r="515" spans="1:11" x14ac:dyDescent="0.25">
      <c r="A515" s="12" t="s">
        <v>63</v>
      </c>
      <c r="B515" s="12" t="s">
        <v>60</v>
      </c>
      <c r="C515" s="12" t="s">
        <v>13</v>
      </c>
      <c r="D515" s="12">
        <v>3.6011567851291235</v>
      </c>
      <c r="E515" s="12">
        <v>0.95</v>
      </c>
      <c r="F515" s="12">
        <v>20</v>
      </c>
      <c r="G515" s="12">
        <v>0.95</v>
      </c>
      <c r="H515" s="12">
        <v>0.82352941176470595</v>
      </c>
      <c r="I515" s="12" t="s">
        <v>66</v>
      </c>
      <c r="J515" s="12">
        <v>46224</v>
      </c>
      <c r="K515">
        <v>46224</v>
      </c>
    </row>
    <row r="516" spans="1:11" hidden="1" x14ac:dyDescent="0.25">
      <c r="A516" s="12" t="s">
        <v>63</v>
      </c>
      <c r="B516" s="12" t="s">
        <v>37</v>
      </c>
      <c r="C516" s="12" t="s">
        <v>14</v>
      </c>
      <c r="D516" s="12">
        <v>10.972274579690296</v>
      </c>
      <c r="E516" s="12">
        <v>7.6</v>
      </c>
      <c r="F516" s="12">
        <v>20</v>
      </c>
      <c r="G516" s="12">
        <v>7.6</v>
      </c>
      <c r="H516" s="12">
        <v>7.6602941176470525</v>
      </c>
      <c r="I516" s="12" t="s">
        <v>68</v>
      </c>
      <c r="J516" s="12">
        <v>46224</v>
      </c>
      <c r="K516">
        <v>46224</v>
      </c>
    </row>
    <row r="517" spans="1:11" hidden="1" x14ac:dyDescent="0.25">
      <c r="A517" s="12" t="s">
        <v>63</v>
      </c>
      <c r="B517" s="12" t="s">
        <v>60</v>
      </c>
      <c r="C517" s="12" t="s">
        <v>14</v>
      </c>
      <c r="D517" s="12">
        <v>3.23044946901289</v>
      </c>
      <c r="E517" s="12">
        <v>2.8499999999999996</v>
      </c>
      <c r="F517" s="12">
        <v>20</v>
      </c>
      <c r="G517" s="12">
        <v>2.8499999999999996</v>
      </c>
      <c r="H517" s="12">
        <v>0.16608996539792387</v>
      </c>
      <c r="I517" s="12" t="s">
        <v>68</v>
      </c>
      <c r="J517" s="12">
        <v>46224</v>
      </c>
      <c r="K517">
        <v>46224</v>
      </c>
    </row>
    <row r="518" spans="1:11" hidden="1" x14ac:dyDescent="0.25">
      <c r="A518" s="12" t="s">
        <v>63</v>
      </c>
      <c r="B518" s="12" t="s">
        <v>37</v>
      </c>
      <c r="C518" s="12" t="s">
        <v>15</v>
      </c>
      <c r="D518" s="12">
        <v>4.220105607573192</v>
      </c>
      <c r="E518" s="12">
        <v>3.8</v>
      </c>
      <c r="F518" s="12">
        <v>20</v>
      </c>
      <c r="G518" s="12">
        <v>3.8</v>
      </c>
      <c r="H518" s="12">
        <v>3.2058823529411757</v>
      </c>
      <c r="I518" s="12" t="s">
        <v>67</v>
      </c>
      <c r="J518" s="12">
        <v>46224</v>
      </c>
      <c r="K518">
        <v>46224</v>
      </c>
    </row>
    <row r="519" spans="1:11" hidden="1" x14ac:dyDescent="0.25">
      <c r="A519" s="12" t="s">
        <v>63</v>
      </c>
      <c r="B519" s="12" t="s">
        <v>38</v>
      </c>
      <c r="C519" s="12" t="s">
        <v>15</v>
      </c>
      <c r="D519" s="12">
        <v>1.2735376146788988</v>
      </c>
      <c r="E519" s="12">
        <v>0.95</v>
      </c>
      <c r="F519" s="12">
        <v>20</v>
      </c>
      <c r="G519" s="12">
        <v>0.95</v>
      </c>
      <c r="H519" s="12">
        <v>0.94999999999999973</v>
      </c>
      <c r="I519" s="12" t="s">
        <v>67</v>
      </c>
      <c r="J519" s="12">
        <v>46224</v>
      </c>
      <c r="K519">
        <v>46224</v>
      </c>
    </row>
    <row r="520" spans="1:11" hidden="1" x14ac:dyDescent="0.25">
      <c r="A520" s="12" t="s">
        <v>63</v>
      </c>
      <c r="B520" s="12" t="s">
        <v>60</v>
      </c>
      <c r="C520" s="12" t="s">
        <v>15</v>
      </c>
      <c r="D520" s="12">
        <v>0</v>
      </c>
      <c r="E520" s="12">
        <v>0</v>
      </c>
      <c r="F520" s="12">
        <v>20</v>
      </c>
      <c r="G520" s="12">
        <v>0</v>
      </c>
      <c r="H520" s="12">
        <v>0</v>
      </c>
      <c r="I520" s="12" t="s">
        <v>67</v>
      </c>
      <c r="J520" s="12">
        <v>46224</v>
      </c>
      <c r="K520">
        <v>46224</v>
      </c>
    </row>
    <row r="521" spans="1:11" x14ac:dyDescent="0.25">
      <c r="A521" s="12" t="s">
        <v>63</v>
      </c>
      <c r="B521" s="12" t="s">
        <v>37</v>
      </c>
      <c r="C521" s="12" t="s">
        <v>13</v>
      </c>
      <c r="D521" s="12">
        <v>13.02605930870925</v>
      </c>
      <c r="E521" s="12">
        <v>25.65</v>
      </c>
      <c r="F521" s="12">
        <v>20</v>
      </c>
      <c r="G521" s="12">
        <v>25.65</v>
      </c>
      <c r="H521" s="12">
        <v>9.4058823529411733</v>
      </c>
      <c r="I521" s="12" t="s">
        <v>66</v>
      </c>
      <c r="J521" s="12">
        <v>46224</v>
      </c>
      <c r="K521">
        <v>46224</v>
      </c>
    </row>
    <row r="522" spans="1:11" x14ac:dyDescent="0.25">
      <c r="A522" s="12" t="s">
        <v>63</v>
      </c>
      <c r="B522" s="12" t="s">
        <v>38</v>
      </c>
      <c r="C522" s="12" t="s">
        <v>13</v>
      </c>
      <c r="D522" s="12">
        <v>5.8204648795871572</v>
      </c>
      <c r="E522" s="12">
        <v>0.95</v>
      </c>
      <c r="F522" s="12">
        <v>20</v>
      </c>
      <c r="G522" s="12">
        <v>0.95</v>
      </c>
      <c r="H522" s="12">
        <v>1.0896139705882353</v>
      </c>
      <c r="I522" s="12" t="s">
        <v>66</v>
      </c>
      <c r="J522" s="12">
        <v>46224</v>
      </c>
      <c r="K522">
        <v>46224</v>
      </c>
    </row>
    <row r="523" spans="1:11" hidden="1" x14ac:dyDescent="0.25">
      <c r="A523" s="12" t="s">
        <v>63</v>
      </c>
      <c r="B523" s="12" t="s">
        <v>38</v>
      </c>
      <c r="C523" s="12" t="s">
        <v>14</v>
      </c>
      <c r="D523" s="12">
        <v>3.3711289800323794</v>
      </c>
      <c r="E523" s="12">
        <v>3.8</v>
      </c>
      <c r="F523" s="12">
        <v>20</v>
      </c>
      <c r="G523" s="12">
        <v>3.8</v>
      </c>
      <c r="H523" s="12">
        <v>1.1362456747404843</v>
      </c>
      <c r="I523" s="12" t="s">
        <v>68</v>
      </c>
      <c r="J523" s="12">
        <v>46224</v>
      </c>
      <c r="K523">
        <v>46224</v>
      </c>
    </row>
    <row r="524" spans="1:11" hidden="1" x14ac:dyDescent="0.25">
      <c r="A524" s="12" t="s">
        <v>63</v>
      </c>
      <c r="B524" s="12" t="s">
        <v>38</v>
      </c>
      <c r="C524" s="12" t="s">
        <v>14</v>
      </c>
      <c r="D524" s="12">
        <v>3.9329838100377761</v>
      </c>
      <c r="E524" s="12">
        <v>1.9</v>
      </c>
      <c r="F524" s="12">
        <v>20</v>
      </c>
      <c r="G524" s="12">
        <v>1.9</v>
      </c>
      <c r="H524" s="12">
        <v>1.8823529411764703</v>
      </c>
      <c r="I524" s="12" t="s">
        <v>71</v>
      </c>
      <c r="J524" s="12">
        <v>46225</v>
      </c>
      <c r="K524">
        <v>46225</v>
      </c>
    </row>
    <row r="525" spans="1:11" x14ac:dyDescent="0.25">
      <c r="A525" s="12" t="s">
        <v>63</v>
      </c>
      <c r="B525" s="12" t="s">
        <v>60</v>
      </c>
      <c r="C525" s="12" t="s">
        <v>13</v>
      </c>
      <c r="D525" s="12">
        <v>3.6011567851291222</v>
      </c>
      <c r="E525" s="12">
        <v>1.9</v>
      </c>
      <c r="F525" s="12">
        <v>20</v>
      </c>
      <c r="G525" s="12">
        <v>1.9</v>
      </c>
      <c r="H525" s="12">
        <v>2.4760061919504648</v>
      </c>
      <c r="I525" s="12" t="s">
        <v>69</v>
      </c>
      <c r="J525" s="12">
        <v>46225</v>
      </c>
      <c r="K525">
        <v>46225</v>
      </c>
    </row>
    <row r="526" spans="1:11" x14ac:dyDescent="0.25">
      <c r="A526" s="12" t="s">
        <v>63</v>
      </c>
      <c r="B526" s="12" t="s">
        <v>37</v>
      </c>
      <c r="C526" s="12" t="s">
        <v>13</v>
      </c>
      <c r="D526" s="12">
        <v>12.57591471056811</v>
      </c>
      <c r="E526" s="12">
        <v>38</v>
      </c>
      <c r="F526" s="12">
        <v>20</v>
      </c>
      <c r="G526" s="12">
        <v>38</v>
      </c>
      <c r="H526" s="12">
        <v>7.4758738277919807</v>
      </c>
      <c r="I526" s="12" t="s">
        <v>69</v>
      </c>
      <c r="J526" s="12">
        <v>46225</v>
      </c>
      <c r="K526">
        <v>46225</v>
      </c>
    </row>
    <row r="527" spans="1:11" hidden="1" x14ac:dyDescent="0.25">
      <c r="A527" s="12" t="s">
        <v>63</v>
      </c>
      <c r="B527" s="12" t="s">
        <v>37</v>
      </c>
      <c r="C527" s="12" t="s">
        <v>14</v>
      </c>
      <c r="D527" s="12">
        <v>10.80347035538737</v>
      </c>
      <c r="E527" s="12">
        <v>6.6499999999999995</v>
      </c>
      <c r="F527" s="12">
        <v>20</v>
      </c>
      <c r="G527" s="12">
        <v>6.6499999999999995</v>
      </c>
      <c r="H527" s="12">
        <v>6.6307438192668346</v>
      </c>
      <c r="I527" s="12" t="s">
        <v>71</v>
      </c>
      <c r="J527" s="12">
        <v>46225</v>
      </c>
      <c r="K527">
        <v>46225</v>
      </c>
    </row>
    <row r="528" spans="1:11" hidden="1" x14ac:dyDescent="0.25">
      <c r="A528" s="12" t="s">
        <v>63</v>
      </c>
      <c r="B528" s="12" t="s">
        <v>38</v>
      </c>
      <c r="C528" s="12" t="s">
        <v>15</v>
      </c>
      <c r="D528" s="12">
        <v>1.2735376146788988</v>
      </c>
      <c r="E528" s="12">
        <v>0</v>
      </c>
      <c r="F528" s="12">
        <v>20</v>
      </c>
      <c r="G528" s="12">
        <v>0</v>
      </c>
      <c r="H528" s="12">
        <v>6.2745098039215685E-2</v>
      </c>
      <c r="I528" s="12" t="s">
        <v>70</v>
      </c>
      <c r="J528" s="12">
        <v>46225</v>
      </c>
      <c r="K528">
        <v>46225</v>
      </c>
    </row>
    <row r="529" spans="1:11" hidden="1" x14ac:dyDescent="0.25">
      <c r="A529" s="12" t="s">
        <v>63</v>
      </c>
      <c r="B529" s="12" t="s">
        <v>60</v>
      </c>
      <c r="C529" s="12" t="s">
        <v>14</v>
      </c>
      <c r="D529" s="12">
        <v>3.1774912809962848</v>
      </c>
      <c r="E529" s="12">
        <v>1.9</v>
      </c>
      <c r="F529" s="12">
        <v>20</v>
      </c>
      <c r="G529" s="12">
        <v>1.9</v>
      </c>
      <c r="H529" s="12">
        <v>1.3167000546348568</v>
      </c>
      <c r="I529" s="12" t="s">
        <v>71</v>
      </c>
      <c r="J529" s="12">
        <v>46225</v>
      </c>
      <c r="K529">
        <v>46225</v>
      </c>
    </row>
    <row r="530" spans="1:11" hidden="1" x14ac:dyDescent="0.25">
      <c r="A530" s="12" t="s">
        <v>63</v>
      </c>
      <c r="B530" s="12" t="s">
        <v>37</v>
      </c>
      <c r="C530" s="12" t="s">
        <v>15</v>
      </c>
      <c r="D530" s="12">
        <v>4.2201056075731911</v>
      </c>
      <c r="E530" s="12">
        <v>4.75</v>
      </c>
      <c r="F530" s="12">
        <v>20</v>
      </c>
      <c r="G530" s="12">
        <v>4.75</v>
      </c>
      <c r="H530" s="12">
        <v>3.2058823529411757</v>
      </c>
      <c r="I530" s="12" t="s">
        <v>70</v>
      </c>
      <c r="J530" s="12">
        <v>46225</v>
      </c>
      <c r="K530">
        <v>46225</v>
      </c>
    </row>
    <row r="531" spans="1:11" hidden="1" x14ac:dyDescent="0.25">
      <c r="A531" s="12" t="s">
        <v>63</v>
      </c>
      <c r="B531" s="12" t="s">
        <v>60</v>
      </c>
      <c r="C531" s="12" t="s">
        <v>15</v>
      </c>
      <c r="D531" s="12">
        <v>0</v>
      </c>
      <c r="E531" s="12">
        <v>0</v>
      </c>
      <c r="F531" s="12">
        <v>20</v>
      </c>
      <c r="G531" s="12">
        <v>0</v>
      </c>
      <c r="H531" s="12">
        <v>0</v>
      </c>
      <c r="I531" s="12" t="s">
        <v>70</v>
      </c>
      <c r="J531" s="12">
        <v>46225</v>
      </c>
      <c r="K531">
        <v>46225</v>
      </c>
    </row>
    <row r="532" spans="1:11" x14ac:dyDescent="0.25">
      <c r="A532" s="12" t="s">
        <v>63</v>
      </c>
      <c r="B532" s="12" t="s">
        <v>38</v>
      </c>
      <c r="C532" s="12" t="s">
        <v>13</v>
      </c>
      <c r="D532" s="12">
        <v>4.6265233658256886</v>
      </c>
      <c r="E532" s="12">
        <v>5.6999999999999993</v>
      </c>
      <c r="F532" s="12">
        <v>20</v>
      </c>
      <c r="G532" s="12">
        <v>5.6999999999999993</v>
      </c>
      <c r="H532" s="12">
        <v>1.0896139705882353</v>
      </c>
      <c r="I532" s="12" t="s">
        <v>69</v>
      </c>
      <c r="J532" s="12">
        <v>46225</v>
      </c>
      <c r="K532">
        <v>46225</v>
      </c>
    </row>
    <row r="533" spans="1:11" hidden="1" x14ac:dyDescent="0.25">
      <c r="A533" s="12" t="s">
        <v>63</v>
      </c>
      <c r="B533" s="12" t="s">
        <v>60</v>
      </c>
      <c r="C533" s="12" t="s">
        <v>14</v>
      </c>
      <c r="D533" s="12">
        <v>3.1774912809962856</v>
      </c>
      <c r="E533" s="12">
        <v>0.95</v>
      </c>
      <c r="F533" s="12">
        <v>20</v>
      </c>
      <c r="G533" s="12">
        <v>0.95</v>
      </c>
      <c r="H533" s="12">
        <v>0.61081770169368066</v>
      </c>
      <c r="I533" s="12" t="s">
        <v>72</v>
      </c>
      <c r="J533" s="12">
        <v>46226</v>
      </c>
      <c r="K533">
        <v>46226</v>
      </c>
    </row>
    <row r="534" spans="1:11" hidden="1" x14ac:dyDescent="0.25">
      <c r="A534" s="12" t="s">
        <v>63</v>
      </c>
      <c r="B534" s="12" t="s">
        <v>38</v>
      </c>
      <c r="C534" s="12" t="s">
        <v>14</v>
      </c>
      <c r="D534" s="12">
        <v>3.5115926875337284</v>
      </c>
      <c r="E534" s="12">
        <v>2.8499999999999996</v>
      </c>
      <c r="F534" s="12">
        <v>20</v>
      </c>
      <c r="G534" s="12">
        <v>2.8499999999999996</v>
      </c>
      <c r="H534" s="12">
        <v>2.0484429065743943</v>
      </c>
      <c r="I534" s="12" t="s">
        <v>72</v>
      </c>
      <c r="J534" s="12">
        <v>46226</v>
      </c>
      <c r="K534">
        <v>46226</v>
      </c>
    </row>
    <row r="535" spans="1:11" hidden="1" x14ac:dyDescent="0.25">
      <c r="A535" s="12" t="s">
        <v>63</v>
      </c>
      <c r="B535" s="12" t="s">
        <v>60</v>
      </c>
      <c r="C535" s="12" t="s">
        <v>15</v>
      </c>
      <c r="D535" s="12">
        <v>0</v>
      </c>
      <c r="E535" s="12">
        <v>0</v>
      </c>
      <c r="F535" s="12">
        <v>20</v>
      </c>
      <c r="G535" s="12">
        <v>0</v>
      </c>
      <c r="H535" s="12">
        <v>0</v>
      </c>
      <c r="I535" s="12" t="s">
        <v>73</v>
      </c>
      <c r="J535" s="12">
        <v>46226</v>
      </c>
      <c r="K535">
        <v>46226</v>
      </c>
    </row>
    <row r="536" spans="1:11" hidden="1" x14ac:dyDescent="0.25">
      <c r="A536" s="12" t="s">
        <v>63</v>
      </c>
      <c r="B536" s="12" t="s">
        <v>37</v>
      </c>
      <c r="C536" s="12" t="s">
        <v>14</v>
      </c>
      <c r="D536" s="12">
        <v>10.972274579690296</v>
      </c>
      <c r="E536" s="12">
        <v>6.6499999999999995</v>
      </c>
      <c r="F536" s="12">
        <v>20</v>
      </c>
      <c r="G536" s="12">
        <v>6.6499999999999995</v>
      </c>
      <c r="H536" s="12">
        <v>6.159803921568626</v>
      </c>
      <c r="I536" s="12" t="s">
        <v>72</v>
      </c>
      <c r="J536" s="12">
        <v>46226</v>
      </c>
      <c r="K536">
        <v>46226</v>
      </c>
    </row>
    <row r="537" spans="1:11" x14ac:dyDescent="0.25">
      <c r="A537" s="12" t="s">
        <v>63</v>
      </c>
      <c r="B537" s="12" t="s">
        <v>38</v>
      </c>
      <c r="C537" s="12" t="s">
        <v>13</v>
      </c>
      <c r="D537" s="12">
        <v>5.9697075688073395</v>
      </c>
      <c r="E537" s="12">
        <v>0.95</v>
      </c>
      <c r="F537" s="12">
        <v>20</v>
      </c>
      <c r="G537" s="12">
        <v>0.95</v>
      </c>
      <c r="H537" s="12">
        <v>1.7647058823529416</v>
      </c>
      <c r="I537" s="12" t="s">
        <v>74</v>
      </c>
      <c r="J537" s="12">
        <v>46226</v>
      </c>
      <c r="K537">
        <v>46226</v>
      </c>
    </row>
    <row r="538" spans="1:11" x14ac:dyDescent="0.25">
      <c r="A538" s="12" t="s">
        <v>63</v>
      </c>
      <c r="B538" s="12" t="s">
        <v>60</v>
      </c>
      <c r="C538" s="12" t="s">
        <v>13</v>
      </c>
      <c r="D538" s="12">
        <v>3.6011567851291222</v>
      </c>
      <c r="E538" s="12">
        <v>1.9</v>
      </c>
      <c r="F538" s="12">
        <v>20</v>
      </c>
      <c r="G538" s="12">
        <v>1.9</v>
      </c>
      <c r="H538" s="12">
        <v>2.4760061919504648</v>
      </c>
      <c r="I538" s="12" t="s">
        <v>74</v>
      </c>
      <c r="J538" s="12">
        <v>46226</v>
      </c>
      <c r="K538">
        <v>46226</v>
      </c>
    </row>
    <row r="539" spans="1:11" x14ac:dyDescent="0.25">
      <c r="A539" s="12" t="s">
        <v>63</v>
      </c>
      <c r="B539" s="12" t="s">
        <v>37</v>
      </c>
      <c r="C539" s="12" t="s">
        <v>13</v>
      </c>
      <c r="D539" s="12">
        <v>11.731893589053469</v>
      </c>
      <c r="E539" s="12">
        <v>14.25</v>
      </c>
      <c r="F539" s="12">
        <v>20</v>
      </c>
      <c r="G539" s="12">
        <v>14.25</v>
      </c>
      <c r="H539" s="12">
        <v>9.1269607843137184</v>
      </c>
      <c r="I539" s="12" t="s">
        <v>74</v>
      </c>
      <c r="J539" s="12">
        <v>46226</v>
      </c>
      <c r="K539">
        <v>46226</v>
      </c>
    </row>
    <row r="540" spans="1:11" hidden="1" x14ac:dyDescent="0.25">
      <c r="A540" s="12" t="s">
        <v>63</v>
      </c>
      <c r="B540" s="12" t="s">
        <v>37</v>
      </c>
      <c r="C540" s="12" t="s">
        <v>15</v>
      </c>
      <c r="D540" s="12">
        <v>4.220105607573192</v>
      </c>
      <c r="E540" s="12">
        <v>2.8499999999999996</v>
      </c>
      <c r="F540" s="12">
        <v>20</v>
      </c>
      <c r="G540" s="12">
        <v>2.8499999999999996</v>
      </c>
      <c r="H540" s="12">
        <v>2.235294117647058</v>
      </c>
      <c r="I540" s="12" t="s">
        <v>73</v>
      </c>
      <c r="J540" s="12">
        <v>46226</v>
      </c>
      <c r="K540">
        <v>46226</v>
      </c>
    </row>
    <row r="541" spans="1:11" hidden="1" x14ac:dyDescent="0.25">
      <c r="A541" s="12" t="s">
        <v>63</v>
      </c>
      <c r="B541" s="12" t="s">
        <v>38</v>
      </c>
      <c r="C541" s="12" t="s">
        <v>15</v>
      </c>
      <c r="D541" s="12">
        <v>1.2735376146788988</v>
      </c>
      <c r="E541" s="12">
        <v>0</v>
      </c>
      <c r="F541" s="12">
        <v>20</v>
      </c>
      <c r="G541" s="12">
        <v>0</v>
      </c>
      <c r="H541" s="12">
        <v>6.2745098039215685E-2</v>
      </c>
      <c r="I541" s="12" t="s">
        <v>73</v>
      </c>
      <c r="J541" s="12">
        <v>46226</v>
      </c>
      <c r="K541">
        <v>46226</v>
      </c>
    </row>
    <row r="542" spans="1:11" hidden="1" x14ac:dyDescent="0.25">
      <c r="A542" s="12" t="s">
        <v>63</v>
      </c>
      <c r="B542" s="12" t="s">
        <v>60</v>
      </c>
      <c r="C542" s="12" t="s">
        <v>14</v>
      </c>
      <c r="D542" s="12">
        <v>3.1774912809962848</v>
      </c>
      <c r="E542" s="12">
        <v>0.95</v>
      </c>
      <c r="F542" s="12">
        <v>20</v>
      </c>
      <c r="G542" s="12">
        <v>0.95</v>
      </c>
      <c r="H542" s="12">
        <v>0.16608996539792387</v>
      </c>
      <c r="I542" s="12" t="s">
        <v>58</v>
      </c>
      <c r="J542" s="12">
        <v>46227</v>
      </c>
      <c r="K542">
        <v>46227</v>
      </c>
    </row>
    <row r="543" spans="1:11" x14ac:dyDescent="0.25">
      <c r="A543" s="12" t="s">
        <v>63</v>
      </c>
      <c r="B543" s="12" t="s">
        <v>38</v>
      </c>
      <c r="C543" s="12" t="s">
        <v>13</v>
      </c>
      <c r="D543" s="12">
        <v>4.7757660550458709</v>
      </c>
      <c r="E543" s="12">
        <v>5.6999999999999993</v>
      </c>
      <c r="F543" s="12">
        <v>20</v>
      </c>
      <c r="G543" s="12">
        <v>5.6999999999999993</v>
      </c>
      <c r="H543" s="12">
        <v>1.7647058823529416</v>
      </c>
      <c r="I543" s="12" t="s">
        <v>56</v>
      </c>
      <c r="J543" s="12">
        <v>46227</v>
      </c>
      <c r="K543">
        <v>46227</v>
      </c>
    </row>
    <row r="544" spans="1:11" x14ac:dyDescent="0.25">
      <c r="A544" s="12" t="s">
        <v>63</v>
      </c>
      <c r="B544" s="12" t="s">
        <v>37</v>
      </c>
      <c r="C544" s="12" t="s">
        <v>13</v>
      </c>
      <c r="D544" s="12">
        <v>10.972274579690296</v>
      </c>
      <c r="E544" s="12">
        <v>22.799999999999997</v>
      </c>
      <c r="F544" s="12">
        <v>20</v>
      </c>
      <c r="G544" s="12">
        <v>22.799999999999997</v>
      </c>
      <c r="H544" s="12">
        <v>8.2882352941176443</v>
      </c>
      <c r="I544" s="12" t="s">
        <v>56</v>
      </c>
      <c r="J544" s="12">
        <v>46227</v>
      </c>
      <c r="K544">
        <v>46227</v>
      </c>
    </row>
    <row r="545" spans="1:11" x14ac:dyDescent="0.25">
      <c r="A545" s="12" t="s">
        <v>63</v>
      </c>
      <c r="B545" s="12" t="s">
        <v>60</v>
      </c>
      <c r="C545" s="12" t="s">
        <v>13</v>
      </c>
      <c r="D545" s="12">
        <v>3.6011567851291222</v>
      </c>
      <c r="E545" s="12">
        <v>0.95</v>
      </c>
      <c r="F545" s="12">
        <v>20</v>
      </c>
      <c r="G545" s="12">
        <v>0.95</v>
      </c>
      <c r="H545" s="12">
        <v>0.82352941176470595</v>
      </c>
      <c r="I545" s="12" t="s">
        <v>56</v>
      </c>
      <c r="J545" s="12">
        <v>46227</v>
      </c>
      <c r="K545">
        <v>46227</v>
      </c>
    </row>
    <row r="546" spans="1:11" hidden="1" x14ac:dyDescent="0.25">
      <c r="A546" s="12" t="s">
        <v>63</v>
      </c>
      <c r="B546" s="12" t="s">
        <v>60</v>
      </c>
      <c r="C546" s="12" t="s">
        <v>15</v>
      </c>
      <c r="D546" s="12">
        <v>0</v>
      </c>
      <c r="E546" s="12">
        <v>0</v>
      </c>
      <c r="F546" s="12">
        <v>20</v>
      </c>
      <c r="G546" s="12">
        <v>0</v>
      </c>
      <c r="H546" s="12">
        <v>0</v>
      </c>
      <c r="I546" s="12" t="s">
        <v>57</v>
      </c>
      <c r="J546" s="12">
        <v>46227</v>
      </c>
      <c r="K546">
        <v>46227</v>
      </c>
    </row>
    <row r="547" spans="1:11" hidden="1" x14ac:dyDescent="0.25">
      <c r="A547" s="12" t="s">
        <v>63</v>
      </c>
      <c r="B547" s="12" t="s">
        <v>38</v>
      </c>
      <c r="C547" s="12" t="s">
        <v>15</v>
      </c>
      <c r="D547" s="12">
        <v>1.2735376146788988</v>
      </c>
      <c r="E547" s="12">
        <v>0.95</v>
      </c>
      <c r="F547" s="12">
        <v>20</v>
      </c>
      <c r="G547" s="12">
        <v>0.95</v>
      </c>
      <c r="H547" s="12">
        <v>1.0127450980392154</v>
      </c>
      <c r="I547" s="12" t="s">
        <v>57</v>
      </c>
      <c r="J547" s="12">
        <v>46227</v>
      </c>
      <c r="K547">
        <v>46227</v>
      </c>
    </row>
    <row r="548" spans="1:11" hidden="1" x14ac:dyDescent="0.25">
      <c r="A548" s="12" t="s">
        <v>63</v>
      </c>
      <c r="B548" s="12" t="s">
        <v>37</v>
      </c>
      <c r="C548" s="12" t="s">
        <v>15</v>
      </c>
      <c r="D548" s="12">
        <v>4.220105607573192</v>
      </c>
      <c r="E548" s="12">
        <v>3.8</v>
      </c>
      <c r="F548" s="12">
        <v>20</v>
      </c>
      <c r="G548" s="12">
        <v>3.8</v>
      </c>
      <c r="H548" s="12">
        <v>3.2058823529411757</v>
      </c>
      <c r="I548" s="12" t="s">
        <v>57</v>
      </c>
      <c r="J548" s="12">
        <v>46227</v>
      </c>
      <c r="K548">
        <v>46227</v>
      </c>
    </row>
    <row r="549" spans="1:11" hidden="1" x14ac:dyDescent="0.25">
      <c r="A549" s="12" t="s">
        <v>63</v>
      </c>
      <c r="B549" s="12" t="s">
        <v>38</v>
      </c>
      <c r="C549" s="12" t="s">
        <v>14</v>
      </c>
      <c r="D549" s="12">
        <v>2.2474193200215868</v>
      </c>
      <c r="E549" s="12">
        <v>1.9</v>
      </c>
      <c r="F549" s="12">
        <v>20</v>
      </c>
      <c r="G549" s="12">
        <v>1.9</v>
      </c>
      <c r="H549" s="12">
        <v>2.1881487889273359</v>
      </c>
      <c r="I549" s="12" t="s">
        <v>58</v>
      </c>
      <c r="J549" s="12">
        <v>46227</v>
      </c>
      <c r="K549">
        <v>46227</v>
      </c>
    </row>
    <row r="550" spans="1:11" hidden="1" x14ac:dyDescent="0.25">
      <c r="A550" s="12" t="s">
        <v>63</v>
      </c>
      <c r="B550" s="12" t="s">
        <v>37</v>
      </c>
      <c r="C550" s="12" t="s">
        <v>14</v>
      </c>
      <c r="D550" s="12">
        <v>11.028542654457937</v>
      </c>
      <c r="E550" s="12">
        <v>6.6499999999999995</v>
      </c>
      <c r="F550" s="12">
        <v>20</v>
      </c>
      <c r="G550" s="12">
        <v>6.6499999999999995</v>
      </c>
      <c r="H550" s="12">
        <v>7.4838235294117599</v>
      </c>
      <c r="I550" s="12" t="s">
        <v>58</v>
      </c>
      <c r="J550" s="12">
        <v>46227</v>
      </c>
      <c r="K550">
        <v>46227</v>
      </c>
    </row>
    <row r="551" spans="1:11" hidden="1" x14ac:dyDescent="0.25">
      <c r="A551" s="12" t="s">
        <v>63</v>
      </c>
      <c r="B551" s="12" t="s">
        <v>38</v>
      </c>
      <c r="C551" s="12" t="s">
        <v>14</v>
      </c>
      <c r="D551" s="12">
        <v>3.3711289800323798</v>
      </c>
      <c r="E551" s="12">
        <v>2.8499999999999996</v>
      </c>
      <c r="F551" s="12">
        <v>20</v>
      </c>
      <c r="G551" s="12">
        <v>2.8499999999999996</v>
      </c>
      <c r="H551" s="12">
        <v>2.0635813148788924</v>
      </c>
      <c r="I551" s="12" t="s">
        <v>76</v>
      </c>
      <c r="J551" s="12">
        <v>46228</v>
      </c>
      <c r="K551">
        <v>46228</v>
      </c>
    </row>
    <row r="552" spans="1:11" x14ac:dyDescent="0.25">
      <c r="A552" s="12" t="s">
        <v>63</v>
      </c>
      <c r="B552" s="12" t="s">
        <v>60</v>
      </c>
      <c r="C552" s="12" t="s">
        <v>13</v>
      </c>
      <c r="D552" s="12">
        <v>3.6011567851291222</v>
      </c>
      <c r="E552" s="12">
        <v>0.95</v>
      </c>
      <c r="F552" s="12">
        <v>20</v>
      </c>
      <c r="G552" s="12">
        <v>0.95</v>
      </c>
      <c r="H552" s="12">
        <v>0.82352941176470595</v>
      </c>
      <c r="I552" s="12" t="s">
        <v>135</v>
      </c>
      <c r="J552" s="12">
        <v>46228</v>
      </c>
      <c r="K552">
        <v>46228</v>
      </c>
    </row>
    <row r="553" spans="1:11" x14ac:dyDescent="0.25">
      <c r="A553" s="12" t="s">
        <v>63</v>
      </c>
      <c r="B553" s="12" t="s">
        <v>37</v>
      </c>
      <c r="C553" s="12" t="s">
        <v>13</v>
      </c>
      <c r="D553" s="12">
        <v>11.028542654457937</v>
      </c>
      <c r="E553" s="12">
        <v>8.5499999999999989</v>
      </c>
      <c r="F553" s="12">
        <v>20</v>
      </c>
      <c r="G553" s="12">
        <v>8.5499999999999989</v>
      </c>
      <c r="H553" s="12">
        <v>9.8422385620914934</v>
      </c>
      <c r="I553" s="12" t="s">
        <v>135</v>
      </c>
      <c r="J553" s="12">
        <v>46228</v>
      </c>
      <c r="K553">
        <v>46228</v>
      </c>
    </row>
    <row r="554" spans="1:11" x14ac:dyDescent="0.25">
      <c r="A554" s="12" t="s">
        <v>63</v>
      </c>
      <c r="B554" s="12" t="s">
        <v>38</v>
      </c>
      <c r="C554" s="12" t="s">
        <v>13</v>
      </c>
      <c r="D554" s="12">
        <v>2.3878830275229355</v>
      </c>
      <c r="E554" s="12">
        <v>0.95</v>
      </c>
      <c r="F554" s="12">
        <v>20</v>
      </c>
      <c r="G554" s="12">
        <v>0.95</v>
      </c>
      <c r="H554" s="12">
        <v>1.7954963235294119</v>
      </c>
      <c r="I554" s="12" t="s">
        <v>135</v>
      </c>
      <c r="J554" s="12">
        <v>46228</v>
      </c>
      <c r="K554">
        <v>46228</v>
      </c>
    </row>
    <row r="555" spans="1:11" hidden="1" x14ac:dyDescent="0.25">
      <c r="A555" s="12" t="s">
        <v>63</v>
      </c>
      <c r="B555" s="12" t="s">
        <v>60</v>
      </c>
      <c r="C555" s="12" t="s">
        <v>15</v>
      </c>
      <c r="D555" s="12">
        <v>0</v>
      </c>
      <c r="E555" s="12">
        <v>0</v>
      </c>
      <c r="F555" s="12">
        <v>20</v>
      </c>
      <c r="G555" s="12">
        <v>0</v>
      </c>
      <c r="H555" s="12">
        <v>0</v>
      </c>
      <c r="I555" s="12" t="s">
        <v>75</v>
      </c>
      <c r="J555" s="12">
        <v>46228</v>
      </c>
      <c r="K555">
        <v>46228</v>
      </c>
    </row>
    <row r="556" spans="1:11" hidden="1" x14ac:dyDescent="0.25">
      <c r="A556" s="12" t="s">
        <v>63</v>
      </c>
      <c r="B556" s="12" t="s">
        <v>37</v>
      </c>
      <c r="C556" s="12" t="s">
        <v>15</v>
      </c>
      <c r="D556" s="12">
        <v>4.220105607573192</v>
      </c>
      <c r="E556" s="12">
        <v>1.9</v>
      </c>
      <c r="F556" s="12">
        <v>20</v>
      </c>
      <c r="G556" s="12">
        <v>1.9</v>
      </c>
      <c r="H556" s="12">
        <v>1.5294117647058818</v>
      </c>
      <c r="I556" s="12" t="s">
        <v>75</v>
      </c>
      <c r="J556" s="12">
        <v>46228</v>
      </c>
      <c r="K556">
        <v>46228</v>
      </c>
    </row>
    <row r="557" spans="1:11" hidden="1" x14ac:dyDescent="0.25">
      <c r="A557" s="12" t="s">
        <v>63</v>
      </c>
      <c r="B557" s="12" t="s">
        <v>38</v>
      </c>
      <c r="C557" s="12" t="s">
        <v>15</v>
      </c>
      <c r="D557" s="12">
        <v>1.2735376146788988</v>
      </c>
      <c r="E557" s="12">
        <v>0.95</v>
      </c>
      <c r="F557" s="12">
        <v>20</v>
      </c>
      <c r="G557" s="12">
        <v>0.95</v>
      </c>
      <c r="H557" s="12">
        <v>1.0127450980392154</v>
      </c>
      <c r="I557" s="12" t="s">
        <v>75</v>
      </c>
      <c r="J557" s="12">
        <v>46228</v>
      </c>
      <c r="K557">
        <v>46228</v>
      </c>
    </row>
    <row r="558" spans="1:11" hidden="1" x14ac:dyDescent="0.25">
      <c r="A558" s="12" t="s">
        <v>63</v>
      </c>
      <c r="B558" s="12" t="s">
        <v>37</v>
      </c>
      <c r="C558" s="12" t="s">
        <v>14</v>
      </c>
      <c r="D558" s="12">
        <v>10.972274579690296</v>
      </c>
      <c r="E558" s="12">
        <v>6.6499999999999995</v>
      </c>
      <c r="F558" s="12">
        <v>20</v>
      </c>
      <c r="G558" s="12">
        <v>6.6499999999999995</v>
      </c>
      <c r="H558" s="12">
        <v>8.3967320261437859</v>
      </c>
      <c r="I558" s="12" t="s">
        <v>76</v>
      </c>
      <c r="J558" s="12">
        <v>46228</v>
      </c>
      <c r="K558">
        <v>46228</v>
      </c>
    </row>
    <row r="559" spans="1:11" hidden="1" x14ac:dyDescent="0.25">
      <c r="A559" s="12" t="s">
        <v>63</v>
      </c>
      <c r="B559" s="12" t="s">
        <v>60</v>
      </c>
      <c r="C559" s="12" t="s">
        <v>14</v>
      </c>
      <c r="D559" s="12">
        <v>3.1774912809962856</v>
      </c>
      <c r="E559" s="12">
        <v>0</v>
      </c>
      <c r="F559" s="12">
        <v>20</v>
      </c>
      <c r="G559" s="12">
        <v>0</v>
      </c>
      <c r="H559" s="12">
        <v>0.16608996539792387</v>
      </c>
      <c r="I559" s="12" t="s">
        <v>76</v>
      </c>
      <c r="J559" s="12">
        <v>46228</v>
      </c>
      <c r="K559">
        <v>46228</v>
      </c>
    </row>
    <row r="560" spans="1:11" x14ac:dyDescent="0.25">
      <c r="A560" s="12" t="s">
        <v>63</v>
      </c>
      <c r="B560" s="12" t="s">
        <v>37</v>
      </c>
      <c r="C560" s="12" t="s">
        <v>13</v>
      </c>
      <c r="D560" s="12">
        <v>10.972274579690298</v>
      </c>
      <c r="E560" s="12">
        <v>14.25</v>
      </c>
      <c r="F560" s="12">
        <v>20</v>
      </c>
      <c r="G560" s="12">
        <v>14.25</v>
      </c>
      <c r="H560" s="12">
        <v>9.0272058823529377</v>
      </c>
      <c r="I560" s="12" t="s">
        <v>78</v>
      </c>
      <c r="J560" s="12">
        <v>46229</v>
      </c>
      <c r="K560">
        <v>46229</v>
      </c>
    </row>
    <row r="561" spans="1:11" x14ac:dyDescent="0.25">
      <c r="A561" s="12" t="s">
        <v>63</v>
      </c>
      <c r="B561" s="12" t="s">
        <v>38</v>
      </c>
      <c r="C561" s="12" t="s">
        <v>13</v>
      </c>
      <c r="D561" s="12">
        <v>3.507203196674312</v>
      </c>
      <c r="E561" s="12">
        <v>0.95</v>
      </c>
      <c r="F561" s="12">
        <v>20</v>
      </c>
      <c r="G561" s="12">
        <v>0.95</v>
      </c>
      <c r="H561" s="12">
        <v>1.9131433823529416</v>
      </c>
      <c r="I561" s="12" t="s">
        <v>78</v>
      </c>
      <c r="J561" s="12">
        <v>46229</v>
      </c>
      <c r="K561">
        <v>46229</v>
      </c>
    </row>
    <row r="562" spans="1:11" hidden="1" x14ac:dyDescent="0.25">
      <c r="A562" s="12" t="s">
        <v>63</v>
      </c>
      <c r="B562" s="12" t="s">
        <v>37</v>
      </c>
      <c r="C562" s="12" t="s">
        <v>15</v>
      </c>
      <c r="D562" s="12">
        <v>4.220105607573192</v>
      </c>
      <c r="E562" s="12">
        <v>3.8</v>
      </c>
      <c r="F562" s="12">
        <v>20</v>
      </c>
      <c r="G562" s="12">
        <v>3.8</v>
      </c>
      <c r="H562" s="12">
        <v>2.5294117647058822</v>
      </c>
      <c r="I562" s="12" t="s">
        <v>77</v>
      </c>
      <c r="J562" s="12">
        <v>46229</v>
      </c>
      <c r="K562">
        <v>46229</v>
      </c>
    </row>
    <row r="563" spans="1:11" hidden="1" x14ac:dyDescent="0.25">
      <c r="A563" s="12" t="s">
        <v>63</v>
      </c>
      <c r="B563" s="12" t="s">
        <v>38</v>
      </c>
      <c r="C563" s="12" t="s">
        <v>15</v>
      </c>
      <c r="D563" s="12">
        <v>1.2735376146788988</v>
      </c>
      <c r="E563" s="12">
        <v>0</v>
      </c>
      <c r="F563" s="12">
        <v>20</v>
      </c>
      <c r="G563" s="12">
        <v>0</v>
      </c>
      <c r="H563" s="12">
        <v>6.2745098039215685E-2</v>
      </c>
      <c r="I563" s="12" t="s">
        <v>77</v>
      </c>
      <c r="J563" s="12">
        <v>46229</v>
      </c>
      <c r="K563">
        <v>46229</v>
      </c>
    </row>
    <row r="564" spans="1:11" hidden="1" x14ac:dyDescent="0.25">
      <c r="A564" s="12" t="s">
        <v>63</v>
      </c>
      <c r="B564" s="12" t="s">
        <v>60</v>
      </c>
      <c r="C564" s="12" t="s">
        <v>15</v>
      </c>
      <c r="D564" s="12">
        <v>0</v>
      </c>
      <c r="E564" s="12">
        <v>0</v>
      </c>
      <c r="F564" s="12">
        <v>20</v>
      </c>
      <c r="G564" s="12">
        <v>0</v>
      </c>
      <c r="H564" s="12">
        <v>0</v>
      </c>
      <c r="I564" s="12" t="s">
        <v>77</v>
      </c>
      <c r="J564" s="12">
        <v>46229</v>
      </c>
      <c r="K564">
        <v>46229</v>
      </c>
    </row>
    <row r="565" spans="1:11" hidden="1" x14ac:dyDescent="0.25">
      <c r="A565" s="12" t="s">
        <v>63</v>
      </c>
      <c r="B565" s="12" t="s">
        <v>60</v>
      </c>
      <c r="C565" s="12" t="s">
        <v>14</v>
      </c>
      <c r="D565" s="12">
        <v>3.1774912809962848</v>
      </c>
      <c r="E565" s="12">
        <v>2.8499999999999996</v>
      </c>
      <c r="F565" s="12">
        <v>20</v>
      </c>
      <c r="G565" s="12">
        <v>2.8499999999999996</v>
      </c>
      <c r="H565" s="12">
        <v>0</v>
      </c>
      <c r="I565" s="12" t="s">
        <v>79</v>
      </c>
      <c r="J565" s="12">
        <v>46229</v>
      </c>
      <c r="K565">
        <v>46229</v>
      </c>
    </row>
    <row r="566" spans="1:11" hidden="1" x14ac:dyDescent="0.25">
      <c r="A566" s="12" t="s">
        <v>63</v>
      </c>
      <c r="B566" s="12" t="s">
        <v>37</v>
      </c>
      <c r="C566" s="12" t="s">
        <v>14</v>
      </c>
      <c r="D566" s="12">
        <v>11.816295701204936</v>
      </c>
      <c r="E566" s="12">
        <v>7.6</v>
      </c>
      <c r="F566" s="12">
        <v>20</v>
      </c>
      <c r="G566" s="12">
        <v>7.6</v>
      </c>
      <c r="H566" s="12">
        <v>8.6051470588235244</v>
      </c>
      <c r="I566" s="12" t="s">
        <v>79</v>
      </c>
      <c r="J566" s="12">
        <v>46229</v>
      </c>
      <c r="K566">
        <v>46229</v>
      </c>
    </row>
    <row r="567" spans="1:11" hidden="1" x14ac:dyDescent="0.25">
      <c r="A567" s="12" t="s">
        <v>63</v>
      </c>
      <c r="B567" s="12" t="s">
        <v>38</v>
      </c>
      <c r="C567" s="12" t="s">
        <v>14</v>
      </c>
      <c r="D567" s="12">
        <v>3.3711289800323794</v>
      </c>
      <c r="E567" s="12">
        <v>5.6999999999999993</v>
      </c>
      <c r="F567" s="12">
        <v>20</v>
      </c>
      <c r="G567" s="12">
        <v>5.6999999999999993</v>
      </c>
      <c r="H567" s="12">
        <v>2.0484429065743948</v>
      </c>
      <c r="I567" s="12" t="s">
        <v>79</v>
      </c>
      <c r="J567" s="12">
        <v>46229</v>
      </c>
      <c r="K567">
        <v>46229</v>
      </c>
    </row>
    <row r="568" spans="1:11" x14ac:dyDescent="0.25">
      <c r="A568" s="12" t="s">
        <v>63</v>
      </c>
      <c r="B568" s="12" t="s">
        <v>60</v>
      </c>
      <c r="C568" s="12" t="s">
        <v>13</v>
      </c>
      <c r="D568" s="12">
        <v>3.6011567851291222</v>
      </c>
      <c r="E568" s="12">
        <v>0</v>
      </c>
      <c r="F568" s="12">
        <v>20</v>
      </c>
      <c r="G568" s="12">
        <v>0</v>
      </c>
      <c r="H568" s="12">
        <v>0</v>
      </c>
      <c r="I568" s="12" t="s">
        <v>78</v>
      </c>
      <c r="J568" s="12">
        <v>46229</v>
      </c>
      <c r="K568">
        <v>46229</v>
      </c>
    </row>
    <row r="569" spans="1:11" hidden="1" x14ac:dyDescent="0.25">
      <c r="A569" s="12" t="s">
        <v>63</v>
      </c>
      <c r="B569" s="12" t="s">
        <v>37</v>
      </c>
      <c r="C569" s="12" t="s">
        <v>14</v>
      </c>
      <c r="D569" s="12">
        <v>10.972274579690296</v>
      </c>
      <c r="E569" s="12">
        <v>6.6499999999999995</v>
      </c>
      <c r="F569" s="12">
        <v>20</v>
      </c>
      <c r="G569" s="12">
        <v>6.6499999999999995</v>
      </c>
      <c r="H569" s="12">
        <v>6.9254901960784299</v>
      </c>
      <c r="I569" s="12" t="s">
        <v>80</v>
      </c>
      <c r="J569" s="12">
        <v>46230</v>
      </c>
      <c r="K569">
        <v>46230</v>
      </c>
    </row>
    <row r="570" spans="1:11" x14ac:dyDescent="0.25">
      <c r="A570" s="12" t="s">
        <v>63</v>
      </c>
      <c r="B570" s="12" t="s">
        <v>60</v>
      </c>
      <c r="C570" s="12" t="s">
        <v>13</v>
      </c>
      <c r="D570" s="12">
        <v>3.6011567851291222</v>
      </c>
      <c r="E570" s="12">
        <v>0</v>
      </c>
      <c r="F570" s="12">
        <v>20</v>
      </c>
      <c r="G570" s="12">
        <v>0</v>
      </c>
      <c r="H570" s="12">
        <v>0.82352941176470595</v>
      </c>
      <c r="I570" s="12" t="s">
        <v>82</v>
      </c>
      <c r="J570" s="12">
        <v>46230</v>
      </c>
      <c r="K570">
        <v>46230</v>
      </c>
    </row>
    <row r="571" spans="1:11" hidden="1" x14ac:dyDescent="0.25">
      <c r="A571" s="12" t="s">
        <v>63</v>
      </c>
      <c r="B571" s="12" t="s">
        <v>60</v>
      </c>
      <c r="C571" s="12" t="s">
        <v>14</v>
      </c>
      <c r="D571" s="12">
        <v>3.1774912809962848</v>
      </c>
      <c r="E571" s="12">
        <v>0.95</v>
      </c>
      <c r="F571" s="12">
        <v>20</v>
      </c>
      <c r="G571" s="12">
        <v>0.95</v>
      </c>
      <c r="H571" s="12">
        <v>0.16608996539792387</v>
      </c>
      <c r="I571" s="12" t="s">
        <v>80</v>
      </c>
      <c r="J571" s="12">
        <v>46230</v>
      </c>
      <c r="K571">
        <v>46230</v>
      </c>
    </row>
    <row r="572" spans="1:11" hidden="1" x14ac:dyDescent="0.25">
      <c r="A572" s="12" t="s">
        <v>63</v>
      </c>
      <c r="B572" s="12" t="s">
        <v>38</v>
      </c>
      <c r="C572" s="12" t="s">
        <v>14</v>
      </c>
      <c r="D572" s="12">
        <v>3.3711289800323794</v>
      </c>
      <c r="E572" s="12">
        <v>7.6</v>
      </c>
      <c r="F572" s="12">
        <v>20</v>
      </c>
      <c r="G572" s="12">
        <v>7.6</v>
      </c>
      <c r="H572" s="12">
        <v>1.7162629757785473</v>
      </c>
      <c r="I572" s="12" t="s">
        <v>80</v>
      </c>
      <c r="J572" s="12">
        <v>46230</v>
      </c>
      <c r="K572">
        <v>46230</v>
      </c>
    </row>
    <row r="573" spans="1:11" x14ac:dyDescent="0.25">
      <c r="A573" s="12" t="s">
        <v>63</v>
      </c>
      <c r="B573" s="12" t="s">
        <v>38</v>
      </c>
      <c r="C573" s="12" t="s">
        <v>13</v>
      </c>
      <c r="D573" s="12">
        <v>3.5072031966743116</v>
      </c>
      <c r="E573" s="12">
        <v>0</v>
      </c>
      <c r="F573" s="12">
        <v>20</v>
      </c>
      <c r="G573" s="12">
        <v>0</v>
      </c>
      <c r="H573" s="12">
        <v>0.1176470588235294</v>
      </c>
      <c r="I573" s="12" t="s">
        <v>82</v>
      </c>
      <c r="J573" s="12">
        <v>46230</v>
      </c>
      <c r="K573">
        <v>46230</v>
      </c>
    </row>
    <row r="574" spans="1:11" hidden="1" x14ac:dyDescent="0.25">
      <c r="A574" s="12" t="s">
        <v>63</v>
      </c>
      <c r="B574" s="12" t="s">
        <v>60</v>
      </c>
      <c r="C574" s="12" t="s">
        <v>15</v>
      </c>
      <c r="D574" s="12">
        <v>0</v>
      </c>
      <c r="E574" s="12">
        <v>0</v>
      </c>
      <c r="F574" s="12">
        <v>20</v>
      </c>
      <c r="G574" s="12">
        <v>0</v>
      </c>
      <c r="H574" s="12">
        <v>0</v>
      </c>
      <c r="I574" s="12" t="s">
        <v>81</v>
      </c>
      <c r="J574" s="12">
        <v>46230</v>
      </c>
      <c r="K574">
        <v>46230</v>
      </c>
    </row>
    <row r="575" spans="1:11" hidden="1" x14ac:dyDescent="0.25">
      <c r="A575" s="12" t="s">
        <v>63</v>
      </c>
      <c r="B575" s="12" t="s">
        <v>38</v>
      </c>
      <c r="C575" s="12" t="s">
        <v>15</v>
      </c>
      <c r="D575" s="12">
        <v>1.2735376146788988</v>
      </c>
      <c r="E575" s="12">
        <v>0</v>
      </c>
      <c r="F575" s="12">
        <v>20</v>
      </c>
      <c r="G575" s="12">
        <v>0</v>
      </c>
      <c r="H575" s="12">
        <v>6.2745098039215685E-2</v>
      </c>
      <c r="I575" s="12" t="s">
        <v>81</v>
      </c>
      <c r="J575" s="12">
        <v>46230</v>
      </c>
      <c r="K575">
        <v>46230</v>
      </c>
    </row>
    <row r="576" spans="1:11" hidden="1" x14ac:dyDescent="0.25">
      <c r="A576" s="12" t="s">
        <v>63</v>
      </c>
      <c r="B576" s="12" t="s">
        <v>37</v>
      </c>
      <c r="C576" s="12" t="s">
        <v>15</v>
      </c>
      <c r="D576" s="12">
        <v>4.220105607573192</v>
      </c>
      <c r="E576" s="12">
        <v>4.75</v>
      </c>
      <c r="F576" s="12">
        <v>20</v>
      </c>
      <c r="G576" s="12">
        <v>4.75</v>
      </c>
      <c r="H576" s="12">
        <v>4.0588235294117636</v>
      </c>
      <c r="I576" s="12" t="s">
        <v>81</v>
      </c>
      <c r="J576" s="12">
        <v>46230</v>
      </c>
      <c r="K576">
        <v>46230</v>
      </c>
    </row>
    <row r="577" spans="1:11" x14ac:dyDescent="0.25">
      <c r="A577" s="12" t="s">
        <v>63</v>
      </c>
      <c r="B577" s="12" t="s">
        <v>37</v>
      </c>
      <c r="C577" s="12" t="s">
        <v>13</v>
      </c>
      <c r="D577" s="12">
        <v>11.872563775972576</v>
      </c>
      <c r="E577" s="12">
        <v>36.1</v>
      </c>
      <c r="F577" s="12">
        <v>20</v>
      </c>
      <c r="G577" s="12">
        <v>36.1</v>
      </c>
      <c r="H577" s="12">
        <v>7.4715686274509761</v>
      </c>
      <c r="I577" s="12" t="s">
        <v>82</v>
      </c>
      <c r="J577" s="12">
        <v>46230</v>
      </c>
      <c r="K577">
        <v>46230</v>
      </c>
    </row>
    <row r="578" spans="1:11" hidden="1" x14ac:dyDescent="0.25">
      <c r="A578" s="12" t="s">
        <v>63</v>
      </c>
      <c r="B578" s="12" t="s">
        <v>38</v>
      </c>
      <c r="C578" s="12" t="s">
        <v>14</v>
      </c>
      <c r="D578" s="12">
        <v>3.3711289800323794</v>
      </c>
      <c r="E578" s="12">
        <v>6.6499999999999995</v>
      </c>
      <c r="F578" s="12">
        <v>20</v>
      </c>
      <c r="G578" s="12">
        <v>6.6499999999999995</v>
      </c>
      <c r="H578" s="12">
        <v>1.7162629757785468</v>
      </c>
      <c r="I578" s="12" t="s">
        <v>84</v>
      </c>
      <c r="J578" s="12">
        <v>46231</v>
      </c>
      <c r="K578">
        <v>46231</v>
      </c>
    </row>
    <row r="579" spans="1:11" hidden="1" x14ac:dyDescent="0.25">
      <c r="A579" s="12" t="s">
        <v>63</v>
      </c>
      <c r="B579" s="12" t="s">
        <v>60</v>
      </c>
      <c r="C579" s="12" t="s">
        <v>14</v>
      </c>
      <c r="D579" s="12">
        <v>3.1774912809962848</v>
      </c>
      <c r="E579" s="12">
        <v>0</v>
      </c>
      <c r="F579" s="12">
        <v>20</v>
      </c>
      <c r="G579" s="12">
        <v>0</v>
      </c>
      <c r="H579" s="12">
        <v>0.33217993079584773</v>
      </c>
      <c r="I579" s="12" t="s">
        <v>84</v>
      </c>
      <c r="J579" s="12">
        <v>46231</v>
      </c>
      <c r="K579">
        <v>46231</v>
      </c>
    </row>
    <row r="580" spans="1:11" hidden="1" x14ac:dyDescent="0.25">
      <c r="A580" s="12" t="s">
        <v>63</v>
      </c>
      <c r="B580" s="12" t="s">
        <v>38</v>
      </c>
      <c r="C580" s="12" t="s">
        <v>15</v>
      </c>
      <c r="D580" s="12">
        <v>1.2735376146788988</v>
      </c>
      <c r="E580" s="12">
        <v>1.9</v>
      </c>
      <c r="F580" s="12">
        <v>20</v>
      </c>
      <c r="G580" s="12">
        <v>1.9</v>
      </c>
      <c r="H580" s="12">
        <v>6.2745098039215685E-2</v>
      </c>
      <c r="I580" s="12" t="s">
        <v>136</v>
      </c>
      <c r="J580" s="12">
        <v>46231</v>
      </c>
      <c r="K580">
        <v>46231</v>
      </c>
    </row>
    <row r="581" spans="1:11" hidden="1" x14ac:dyDescent="0.25">
      <c r="A581" s="12" t="s">
        <v>63</v>
      </c>
      <c r="B581" s="12" t="s">
        <v>37</v>
      </c>
      <c r="C581" s="12" t="s">
        <v>14</v>
      </c>
      <c r="D581" s="12">
        <v>10.972274579690296</v>
      </c>
      <c r="E581" s="12">
        <v>6.6499999999999995</v>
      </c>
      <c r="F581" s="12">
        <v>20</v>
      </c>
      <c r="G581" s="12">
        <v>6.6499999999999995</v>
      </c>
      <c r="H581" s="12">
        <v>6.6598039215686242</v>
      </c>
      <c r="I581" s="12" t="s">
        <v>84</v>
      </c>
      <c r="J581" s="12">
        <v>46231</v>
      </c>
      <c r="K581">
        <v>46231</v>
      </c>
    </row>
    <row r="582" spans="1:11" hidden="1" x14ac:dyDescent="0.25">
      <c r="A582" s="12" t="s">
        <v>63</v>
      </c>
      <c r="B582" s="12" t="s">
        <v>37</v>
      </c>
      <c r="C582" s="12" t="s">
        <v>15</v>
      </c>
      <c r="D582" s="12">
        <v>4.220105607573192</v>
      </c>
      <c r="E582" s="12">
        <v>3.8</v>
      </c>
      <c r="F582" s="12">
        <v>20</v>
      </c>
      <c r="G582" s="12">
        <v>3.8</v>
      </c>
      <c r="H582" s="12">
        <v>3.9411764705882346</v>
      </c>
      <c r="I582" s="12" t="s">
        <v>136</v>
      </c>
      <c r="J582" s="12">
        <v>46231</v>
      </c>
      <c r="K582">
        <v>46231</v>
      </c>
    </row>
    <row r="583" spans="1:11" x14ac:dyDescent="0.25">
      <c r="A583" s="12" t="s">
        <v>63</v>
      </c>
      <c r="B583" s="12" t="s">
        <v>38</v>
      </c>
      <c r="C583" s="12" t="s">
        <v>13</v>
      </c>
      <c r="D583" s="12">
        <v>7.014406393348624</v>
      </c>
      <c r="E583" s="12">
        <v>0.95</v>
      </c>
      <c r="F583" s="12">
        <v>20</v>
      </c>
      <c r="G583" s="12">
        <v>0.95</v>
      </c>
      <c r="H583" s="12">
        <v>2.6176470588235294</v>
      </c>
      <c r="I583" s="12" t="s">
        <v>83</v>
      </c>
      <c r="J583" s="12">
        <v>46231</v>
      </c>
      <c r="K583">
        <v>46231</v>
      </c>
    </row>
    <row r="584" spans="1:11" x14ac:dyDescent="0.25">
      <c r="A584" s="12" t="s">
        <v>63</v>
      </c>
      <c r="B584" s="12" t="s">
        <v>60</v>
      </c>
      <c r="C584" s="12" t="s">
        <v>13</v>
      </c>
      <c r="D584" s="12">
        <v>3.6011567851291222</v>
      </c>
      <c r="E584" s="12">
        <v>1.9</v>
      </c>
      <c r="F584" s="12">
        <v>20</v>
      </c>
      <c r="G584" s="12">
        <v>1.9</v>
      </c>
      <c r="H584" s="12">
        <v>1.6470588235294119</v>
      </c>
      <c r="I584" s="12" t="s">
        <v>83</v>
      </c>
      <c r="J584" s="12">
        <v>46231</v>
      </c>
      <c r="K584">
        <v>46231</v>
      </c>
    </row>
    <row r="585" spans="1:11" hidden="1" x14ac:dyDescent="0.25">
      <c r="A585" s="12" t="s">
        <v>63</v>
      </c>
      <c r="B585" s="12" t="s">
        <v>60</v>
      </c>
      <c r="C585" s="12" t="s">
        <v>15</v>
      </c>
      <c r="D585" s="12">
        <v>0</v>
      </c>
      <c r="E585" s="12">
        <v>1.9</v>
      </c>
      <c r="F585" s="12">
        <v>20</v>
      </c>
      <c r="G585" s="12">
        <v>1.9</v>
      </c>
      <c r="H585" s="12">
        <v>0</v>
      </c>
      <c r="I585" s="12" t="s">
        <v>136</v>
      </c>
      <c r="J585" s="12">
        <v>46231</v>
      </c>
      <c r="K585">
        <v>46231</v>
      </c>
    </row>
    <row r="586" spans="1:11" x14ac:dyDescent="0.25">
      <c r="A586" s="12" t="s">
        <v>63</v>
      </c>
      <c r="B586" s="12" t="s">
        <v>37</v>
      </c>
      <c r="C586" s="12" t="s">
        <v>13</v>
      </c>
      <c r="D586" s="12">
        <v>11.731893589053469</v>
      </c>
      <c r="E586" s="12">
        <v>14.25</v>
      </c>
      <c r="F586" s="12">
        <v>20</v>
      </c>
      <c r="G586" s="12">
        <v>14.25</v>
      </c>
      <c r="H586" s="12">
        <v>8.6490196078431296</v>
      </c>
      <c r="I586" s="12" t="s">
        <v>83</v>
      </c>
      <c r="J586" s="12">
        <v>46231</v>
      </c>
      <c r="K586">
        <v>46231</v>
      </c>
    </row>
    <row r="587" spans="1:11" hidden="1" x14ac:dyDescent="0.25">
      <c r="A587" s="12" t="s">
        <v>63</v>
      </c>
      <c r="B587" s="12" t="s">
        <v>37</v>
      </c>
      <c r="C587" s="12" t="s">
        <v>14</v>
      </c>
      <c r="D587" s="12">
        <v>10.80347035538737</v>
      </c>
      <c r="E587" s="12">
        <v>4.75</v>
      </c>
      <c r="F587" s="12">
        <v>20</v>
      </c>
      <c r="G587" s="12">
        <v>4.75</v>
      </c>
      <c r="H587" s="12">
        <v>5.3514705882352898</v>
      </c>
      <c r="I587" s="12" t="s">
        <v>85</v>
      </c>
      <c r="J587" s="12">
        <v>46232</v>
      </c>
      <c r="K587">
        <v>46232</v>
      </c>
    </row>
    <row r="588" spans="1:11" hidden="1" x14ac:dyDescent="0.25">
      <c r="A588" s="12" t="s">
        <v>63</v>
      </c>
      <c r="B588" s="12" t="s">
        <v>38</v>
      </c>
      <c r="C588" s="12" t="s">
        <v>14</v>
      </c>
      <c r="D588" s="12">
        <v>2.2474193200215864</v>
      </c>
      <c r="E588" s="12">
        <v>1.9</v>
      </c>
      <c r="F588" s="12">
        <v>20</v>
      </c>
      <c r="G588" s="12">
        <v>1.9</v>
      </c>
      <c r="H588" s="12">
        <v>2.0484429065743943</v>
      </c>
      <c r="I588" s="12" t="s">
        <v>85</v>
      </c>
      <c r="J588" s="12">
        <v>46232</v>
      </c>
      <c r="K588">
        <v>46232</v>
      </c>
    </row>
    <row r="589" spans="1:11" hidden="1" x14ac:dyDescent="0.25">
      <c r="A589" s="12" t="s">
        <v>63</v>
      </c>
      <c r="B589" s="12" t="s">
        <v>60</v>
      </c>
      <c r="C589" s="12" t="s">
        <v>15</v>
      </c>
      <c r="D589" s="12">
        <v>0</v>
      </c>
      <c r="E589" s="12">
        <v>0</v>
      </c>
      <c r="F589" s="12">
        <v>20</v>
      </c>
      <c r="G589" s="12">
        <v>0</v>
      </c>
      <c r="H589" s="12">
        <v>0</v>
      </c>
      <c r="I589" s="12" t="s">
        <v>87</v>
      </c>
      <c r="J589" s="12">
        <v>46232</v>
      </c>
      <c r="K589">
        <v>46232</v>
      </c>
    </row>
    <row r="590" spans="1:11" hidden="1" x14ac:dyDescent="0.25">
      <c r="A590" s="12" t="s">
        <v>63</v>
      </c>
      <c r="B590" s="12" t="s">
        <v>60</v>
      </c>
      <c r="C590" s="12" t="s">
        <v>14</v>
      </c>
      <c r="D590" s="12">
        <v>3.1774912809962848</v>
      </c>
      <c r="E590" s="12">
        <v>2.8499999999999996</v>
      </c>
      <c r="F590" s="12">
        <v>20</v>
      </c>
      <c r="G590" s="12">
        <v>2.8499999999999996</v>
      </c>
      <c r="H590" s="12">
        <v>1.523159108844776</v>
      </c>
      <c r="I590" s="12" t="s">
        <v>85</v>
      </c>
      <c r="J590" s="12">
        <v>46232</v>
      </c>
      <c r="K590">
        <v>46232</v>
      </c>
    </row>
    <row r="591" spans="1:11" hidden="1" x14ac:dyDescent="0.25">
      <c r="A591" s="12" t="s">
        <v>63</v>
      </c>
      <c r="B591" s="12" t="s">
        <v>37</v>
      </c>
      <c r="C591" s="12" t="s">
        <v>15</v>
      </c>
      <c r="D591" s="12">
        <v>4.220105607573192</v>
      </c>
      <c r="E591" s="12">
        <v>2.8499999999999996</v>
      </c>
      <c r="F591" s="12">
        <v>20</v>
      </c>
      <c r="G591" s="12">
        <v>2.8499999999999996</v>
      </c>
      <c r="H591" s="12">
        <v>3.0882352941176467</v>
      </c>
      <c r="I591" s="12" t="s">
        <v>87</v>
      </c>
      <c r="J591" s="12">
        <v>46232</v>
      </c>
      <c r="K591">
        <v>46232</v>
      </c>
    </row>
    <row r="592" spans="1:11" x14ac:dyDescent="0.25">
      <c r="A592" s="12" t="s">
        <v>63</v>
      </c>
      <c r="B592" s="12" t="s">
        <v>38</v>
      </c>
      <c r="C592" s="12" t="s">
        <v>13</v>
      </c>
      <c r="D592" s="12">
        <v>5.8204648795871572</v>
      </c>
      <c r="E592" s="12">
        <v>4.75</v>
      </c>
      <c r="F592" s="12">
        <v>20</v>
      </c>
      <c r="G592" s="12">
        <v>4.75</v>
      </c>
      <c r="H592" s="12">
        <v>1.7647058823529416</v>
      </c>
      <c r="I592" s="12" t="s">
        <v>86</v>
      </c>
      <c r="J592" s="12">
        <v>46232</v>
      </c>
      <c r="K592">
        <v>46232</v>
      </c>
    </row>
    <row r="593" spans="1:11" x14ac:dyDescent="0.25">
      <c r="A593" s="12" t="s">
        <v>63</v>
      </c>
      <c r="B593" s="12" t="s">
        <v>60</v>
      </c>
      <c r="C593" s="12" t="s">
        <v>13</v>
      </c>
      <c r="D593" s="12">
        <v>3.6011567851291235</v>
      </c>
      <c r="E593" s="12">
        <v>0.95</v>
      </c>
      <c r="F593" s="12">
        <v>20</v>
      </c>
      <c r="G593" s="12">
        <v>0.95</v>
      </c>
      <c r="H593" s="12">
        <v>2.4441434468524257</v>
      </c>
      <c r="I593" s="12" t="s">
        <v>86</v>
      </c>
      <c r="J593" s="12">
        <v>46232</v>
      </c>
      <c r="K593">
        <v>46232</v>
      </c>
    </row>
    <row r="594" spans="1:11" hidden="1" x14ac:dyDescent="0.25">
      <c r="A594" s="12" t="s">
        <v>63</v>
      </c>
      <c r="B594" s="12" t="s">
        <v>38</v>
      </c>
      <c r="C594" s="12" t="s">
        <v>15</v>
      </c>
      <c r="D594" s="12">
        <v>1.2735376146788988</v>
      </c>
      <c r="E594" s="12">
        <v>0</v>
      </c>
      <c r="F594" s="12">
        <v>20</v>
      </c>
      <c r="G594" s="12">
        <v>0</v>
      </c>
      <c r="H594" s="12">
        <v>6.2745098039215685E-2</v>
      </c>
      <c r="I594" s="12" t="s">
        <v>87</v>
      </c>
      <c r="J594" s="12">
        <v>46232</v>
      </c>
      <c r="K594">
        <v>46232</v>
      </c>
    </row>
    <row r="595" spans="1:11" x14ac:dyDescent="0.25">
      <c r="A595" s="12" t="s">
        <v>63</v>
      </c>
      <c r="B595" s="12" t="s">
        <v>37</v>
      </c>
      <c r="C595" s="12" t="s">
        <v>13</v>
      </c>
      <c r="D595" s="12">
        <v>12.57591471056811</v>
      </c>
      <c r="E595" s="12">
        <v>8.5499999999999989</v>
      </c>
      <c r="F595" s="12">
        <v>20</v>
      </c>
      <c r="G595" s="12">
        <v>8.5499999999999989</v>
      </c>
      <c r="H595" s="12">
        <v>8.5823529411764667</v>
      </c>
      <c r="I595" s="12" t="s">
        <v>86</v>
      </c>
      <c r="J595" s="12">
        <v>46232</v>
      </c>
      <c r="K595">
        <v>46232</v>
      </c>
    </row>
    <row r="596" spans="1:11" hidden="1" x14ac:dyDescent="0.25">
      <c r="A596" s="12" t="s">
        <v>63</v>
      </c>
      <c r="B596" s="12" t="s">
        <v>60</v>
      </c>
      <c r="C596" s="12" t="s">
        <v>14</v>
      </c>
      <c r="D596" s="12">
        <v>3.1774912809962848</v>
      </c>
      <c r="E596" s="12">
        <v>0.95</v>
      </c>
      <c r="F596" s="12">
        <v>20</v>
      </c>
      <c r="G596" s="12">
        <v>0.95</v>
      </c>
      <c r="H596" s="12">
        <v>0.61081770169368066</v>
      </c>
      <c r="I596" s="12" t="s">
        <v>88</v>
      </c>
      <c r="J596" s="12">
        <v>46233</v>
      </c>
      <c r="K596">
        <v>46233</v>
      </c>
    </row>
    <row r="597" spans="1:11" hidden="1" x14ac:dyDescent="0.25">
      <c r="A597" s="12" t="s">
        <v>63</v>
      </c>
      <c r="B597" s="12" t="s">
        <v>38</v>
      </c>
      <c r="C597" s="12" t="s">
        <v>14</v>
      </c>
      <c r="D597" s="12">
        <v>3.3711289800323794</v>
      </c>
      <c r="E597" s="12">
        <v>1.9</v>
      </c>
      <c r="F597" s="12">
        <v>20</v>
      </c>
      <c r="G597" s="12">
        <v>1.9</v>
      </c>
      <c r="H597" s="12">
        <v>2.0635813148788924</v>
      </c>
      <c r="I597" s="12" t="s">
        <v>88</v>
      </c>
      <c r="J597" s="12">
        <v>46233</v>
      </c>
      <c r="K597">
        <v>46233</v>
      </c>
    </row>
    <row r="598" spans="1:11" hidden="1" x14ac:dyDescent="0.25">
      <c r="A598" s="12" t="s">
        <v>63</v>
      </c>
      <c r="B598" s="12" t="s">
        <v>38</v>
      </c>
      <c r="C598" s="12" t="s">
        <v>15</v>
      </c>
      <c r="D598" s="12">
        <v>1.2735376146788988</v>
      </c>
      <c r="E598" s="12">
        <v>0</v>
      </c>
      <c r="F598" s="12">
        <v>20</v>
      </c>
      <c r="G598" s="12">
        <v>0</v>
      </c>
      <c r="H598" s="12">
        <v>1.0127450980392154</v>
      </c>
      <c r="I598" s="12" t="s">
        <v>89</v>
      </c>
      <c r="J598" s="12">
        <v>46233</v>
      </c>
      <c r="K598">
        <v>46233</v>
      </c>
    </row>
    <row r="599" spans="1:11" hidden="1" x14ac:dyDescent="0.25">
      <c r="A599" s="12" t="s">
        <v>63</v>
      </c>
      <c r="B599" s="12" t="s">
        <v>37</v>
      </c>
      <c r="C599" s="12" t="s">
        <v>14</v>
      </c>
      <c r="D599" s="12">
        <v>10.972274579690296</v>
      </c>
      <c r="E599" s="12">
        <v>6.6499999999999995</v>
      </c>
      <c r="F599" s="12">
        <v>20</v>
      </c>
      <c r="G599" s="12">
        <v>6.6499999999999995</v>
      </c>
      <c r="H599" s="12">
        <v>8.1009803921568597</v>
      </c>
      <c r="I599" s="12" t="s">
        <v>88</v>
      </c>
      <c r="J599" s="12">
        <v>46233</v>
      </c>
      <c r="K599">
        <v>46233</v>
      </c>
    </row>
    <row r="600" spans="1:11" x14ac:dyDescent="0.25">
      <c r="A600" s="12" t="s">
        <v>63</v>
      </c>
      <c r="B600" s="12" t="s">
        <v>60</v>
      </c>
      <c r="C600" s="12" t="s">
        <v>13</v>
      </c>
      <c r="D600" s="12">
        <v>3.6011567851291222</v>
      </c>
      <c r="E600" s="12">
        <v>1.9</v>
      </c>
      <c r="F600" s="12">
        <v>20</v>
      </c>
      <c r="G600" s="12">
        <v>1.9</v>
      </c>
      <c r="H600" s="12">
        <v>2.4760061919504648</v>
      </c>
      <c r="I600" s="12" t="s">
        <v>90</v>
      </c>
      <c r="J600" s="12">
        <v>46233</v>
      </c>
      <c r="K600">
        <v>46233</v>
      </c>
    </row>
    <row r="601" spans="1:11" x14ac:dyDescent="0.25">
      <c r="A601" s="12" t="s">
        <v>63</v>
      </c>
      <c r="B601" s="12" t="s">
        <v>38</v>
      </c>
      <c r="C601" s="12" t="s">
        <v>13</v>
      </c>
      <c r="D601" s="12">
        <v>5.7458435349770651</v>
      </c>
      <c r="E601" s="12">
        <v>2.8499999999999996</v>
      </c>
      <c r="F601" s="12">
        <v>20</v>
      </c>
      <c r="G601" s="12">
        <v>2.8499999999999996</v>
      </c>
      <c r="H601" s="12">
        <v>1.6470588235294119</v>
      </c>
      <c r="I601" s="12" t="s">
        <v>90</v>
      </c>
      <c r="J601" s="12">
        <v>46233</v>
      </c>
      <c r="K601">
        <v>46233</v>
      </c>
    </row>
    <row r="602" spans="1:11" x14ac:dyDescent="0.25">
      <c r="A602" s="12" t="s">
        <v>63</v>
      </c>
      <c r="B602" s="12" t="s">
        <v>37</v>
      </c>
      <c r="C602" s="12" t="s">
        <v>13</v>
      </c>
      <c r="D602" s="12">
        <v>10.887872467538832</v>
      </c>
      <c r="E602" s="12">
        <v>21.85</v>
      </c>
      <c r="F602" s="12">
        <v>20</v>
      </c>
      <c r="G602" s="12">
        <v>21.85</v>
      </c>
      <c r="H602" s="12">
        <v>9.3254901960784284</v>
      </c>
      <c r="I602" s="12" t="s">
        <v>90</v>
      </c>
      <c r="J602" s="12">
        <v>46233</v>
      </c>
      <c r="K602">
        <v>46233</v>
      </c>
    </row>
    <row r="603" spans="1:11" hidden="1" x14ac:dyDescent="0.25">
      <c r="A603" s="12" t="s">
        <v>63</v>
      </c>
      <c r="B603" s="12" t="s">
        <v>60</v>
      </c>
      <c r="C603" s="12" t="s">
        <v>15</v>
      </c>
      <c r="D603" s="12">
        <v>0</v>
      </c>
      <c r="E603" s="12">
        <v>0.95</v>
      </c>
      <c r="F603" s="12">
        <v>20</v>
      </c>
      <c r="G603" s="12">
        <v>0.95</v>
      </c>
      <c r="H603" s="12">
        <v>0</v>
      </c>
      <c r="I603" s="12" t="s">
        <v>89</v>
      </c>
      <c r="J603" s="12">
        <v>46233</v>
      </c>
      <c r="K603">
        <v>46233</v>
      </c>
    </row>
    <row r="604" spans="1:11" hidden="1" x14ac:dyDescent="0.25">
      <c r="A604" s="12" t="s">
        <v>63</v>
      </c>
      <c r="B604" s="12" t="s">
        <v>37</v>
      </c>
      <c r="C604" s="12" t="s">
        <v>15</v>
      </c>
      <c r="D604" s="12">
        <v>4.220105607573192</v>
      </c>
      <c r="E604" s="12">
        <v>1.9</v>
      </c>
      <c r="F604" s="12">
        <v>20</v>
      </c>
      <c r="G604" s="12">
        <v>1.9</v>
      </c>
      <c r="H604" s="12">
        <v>2.4705882352941178</v>
      </c>
      <c r="I604" s="12" t="s">
        <v>89</v>
      </c>
      <c r="J604" s="12">
        <v>46233</v>
      </c>
      <c r="K604">
        <v>46233</v>
      </c>
    </row>
    <row r="605" spans="1:11" x14ac:dyDescent="0.25">
      <c r="A605" s="12" t="s">
        <v>63</v>
      </c>
      <c r="B605" s="12" t="s">
        <v>60</v>
      </c>
      <c r="C605" s="12" t="s">
        <v>13</v>
      </c>
      <c r="D605" s="12">
        <v>3.6011567851291235</v>
      </c>
      <c r="E605" s="12">
        <v>1.9</v>
      </c>
      <c r="F605" s="12">
        <v>20</v>
      </c>
      <c r="G605" s="12">
        <v>1.9</v>
      </c>
      <c r="H605" s="12">
        <v>1.6470588235294119</v>
      </c>
      <c r="I605" s="12" t="s">
        <v>91</v>
      </c>
      <c r="J605" s="12">
        <v>46234</v>
      </c>
      <c r="K605">
        <v>46234</v>
      </c>
    </row>
    <row r="606" spans="1:11" x14ac:dyDescent="0.25">
      <c r="A606" s="12" t="s">
        <v>63</v>
      </c>
      <c r="B606" s="12" t="s">
        <v>37</v>
      </c>
      <c r="C606" s="12" t="s">
        <v>13</v>
      </c>
      <c r="D606" s="12">
        <v>10.972274579690298</v>
      </c>
      <c r="E606" s="12">
        <v>22.799999999999997</v>
      </c>
      <c r="F606" s="12">
        <v>20</v>
      </c>
      <c r="G606" s="12">
        <v>22.799999999999997</v>
      </c>
      <c r="H606" s="12">
        <v>9.7367647058823472</v>
      </c>
      <c r="I606" s="12" t="s">
        <v>91</v>
      </c>
      <c r="J606" s="12">
        <v>46234</v>
      </c>
      <c r="K606">
        <v>46234</v>
      </c>
    </row>
    <row r="607" spans="1:11" x14ac:dyDescent="0.25">
      <c r="A607" s="12" t="s">
        <v>63</v>
      </c>
      <c r="B607" s="12" t="s">
        <v>38</v>
      </c>
      <c r="C607" s="12" t="s">
        <v>13</v>
      </c>
      <c r="D607" s="12">
        <v>4.5519020212155965</v>
      </c>
      <c r="E607" s="12">
        <v>4.75</v>
      </c>
      <c r="F607" s="12">
        <v>20</v>
      </c>
      <c r="G607" s="12">
        <v>4.75</v>
      </c>
      <c r="H607" s="12">
        <v>1.9131433823529425</v>
      </c>
      <c r="I607" s="12" t="s">
        <v>91</v>
      </c>
      <c r="J607" s="12">
        <v>46234</v>
      </c>
      <c r="K607">
        <v>46234</v>
      </c>
    </row>
    <row r="608" spans="1:11" hidden="1" x14ac:dyDescent="0.25">
      <c r="A608" s="12" t="s">
        <v>63</v>
      </c>
      <c r="B608" s="12" t="s">
        <v>37</v>
      </c>
      <c r="C608" s="12" t="s">
        <v>15</v>
      </c>
      <c r="D608" s="12">
        <v>4.220105607573192</v>
      </c>
      <c r="E608" s="12">
        <v>4.75</v>
      </c>
      <c r="F608" s="12">
        <v>20</v>
      </c>
      <c r="G608" s="12">
        <v>4.75</v>
      </c>
      <c r="H608" s="12">
        <v>3.3235294117647056</v>
      </c>
      <c r="I608" s="12" t="s">
        <v>92</v>
      </c>
      <c r="J608" s="12">
        <v>46234</v>
      </c>
      <c r="K608">
        <v>46234</v>
      </c>
    </row>
    <row r="609" spans="1:11" hidden="1" x14ac:dyDescent="0.25">
      <c r="A609" s="12" t="s">
        <v>63</v>
      </c>
      <c r="B609" s="12" t="s">
        <v>60</v>
      </c>
      <c r="C609" s="12" t="s">
        <v>15</v>
      </c>
      <c r="D609" s="12">
        <v>0</v>
      </c>
      <c r="E609" s="12">
        <v>0</v>
      </c>
      <c r="F609" s="12">
        <v>20</v>
      </c>
      <c r="G609" s="12">
        <v>0</v>
      </c>
      <c r="H609" s="12">
        <v>0</v>
      </c>
      <c r="I609" s="12" t="s">
        <v>92</v>
      </c>
      <c r="J609" s="12">
        <v>46234</v>
      </c>
      <c r="K609">
        <v>46234</v>
      </c>
    </row>
    <row r="610" spans="1:11" hidden="1" x14ac:dyDescent="0.25">
      <c r="A610" s="12" t="s">
        <v>63</v>
      </c>
      <c r="B610" s="12" t="s">
        <v>38</v>
      </c>
      <c r="C610" s="12" t="s">
        <v>15</v>
      </c>
      <c r="D610" s="12">
        <v>1.2735376146788988</v>
      </c>
      <c r="E610" s="12">
        <v>0.95</v>
      </c>
      <c r="F610" s="12">
        <v>20</v>
      </c>
      <c r="G610" s="12">
        <v>0.95</v>
      </c>
      <c r="H610" s="12">
        <v>1.0127450980392154</v>
      </c>
      <c r="I610" s="12" t="s">
        <v>92</v>
      </c>
      <c r="J610" s="12">
        <v>46234</v>
      </c>
      <c r="K610">
        <v>46234</v>
      </c>
    </row>
    <row r="611" spans="1:11" hidden="1" x14ac:dyDescent="0.25">
      <c r="A611" s="12" t="s">
        <v>63</v>
      </c>
      <c r="B611" s="12" t="s">
        <v>38</v>
      </c>
      <c r="C611" s="12" t="s">
        <v>14</v>
      </c>
      <c r="D611" s="12">
        <v>2.2474193200215864</v>
      </c>
      <c r="E611" s="12">
        <v>1.9</v>
      </c>
      <c r="F611" s="12">
        <v>20</v>
      </c>
      <c r="G611" s="12">
        <v>1.9</v>
      </c>
      <c r="H611" s="12">
        <v>2.188148788927335</v>
      </c>
      <c r="I611" s="12" t="s">
        <v>93</v>
      </c>
      <c r="J611" s="12">
        <v>46234</v>
      </c>
      <c r="K611">
        <v>46234</v>
      </c>
    </row>
    <row r="612" spans="1:11" hidden="1" x14ac:dyDescent="0.25">
      <c r="A612" s="12" t="s">
        <v>63</v>
      </c>
      <c r="B612" s="12" t="s">
        <v>37</v>
      </c>
      <c r="C612" s="12" t="s">
        <v>14</v>
      </c>
      <c r="D612" s="12">
        <v>11.028542654457937</v>
      </c>
      <c r="E612" s="12">
        <v>6.6499999999999995</v>
      </c>
      <c r="F612" s="12">
        <v>20</v>
      </c>
      <c r="G612" s="12">
        <v>6.6499999999999995</v>
      </c>
      <c r="H612" s="12">
        <v>8.5426470588235226</v>
      </c>
      <c r="I612" s="12" t="s">
        <v>93</v>
      </c>
      <c r="J612" s="12">
        <v>46234</v>
      </c>
      <c r="K612">
        <v>46234</v>
      </c>
    </row>
    <row r="613" spans="1:11" hidden="1" x14ac:dyDescent="0.25">
      <c r="A613" s="12" t="s">
        <v>63</v>
      </c>
      <c r="B613" s="12" t="s">
        <v>60</v>
      </c>
      <c r="C613" s="12" t="s">
        <v>14</v>
      </c>
      <c r="D613" s="12">
        <v>3.1774912809962848</v>
      </c>
      <c r="E613" s="12">
        <v>0</v>
      </c>
      <c r="F613" s="12">
        <v>20</v>
      </c>
      <c r="G613" s="12">
        <v>0</v>
      </c>
      <c r="H613" s="12">
        <v>0.33217993079584773</v>
      </c>
      <c r="I613" s="12" t="s">
        <v>93</v>
      </c>
      <c r="J613" s="12">
        <v>46234</v>
      </c>
      <c r="K613">
        <v>46234</v>
      </c>
    </row>
    <row r="614" spans="1:11" x14ac:dyDescent="0.25">
      <c r="A614" s="12" t="s">
        <v>63</v>
      </c>
      <c r="B614" s="12" t="s">
        <v>37</v>
      </c>
      <c r="C614" s="12" t="s">
        <v>13</v>
      </c>
      <c r="D614" s="12">
        <v>11.028542654457937</v>
      </c>
      <c r="E614" s="12">
        <v>24.7</v>
      </c>
      <c r="F614" s="12">
        <v>20</v>
      </c>
      <c r="G614" s="12">
        <v>24.7</v>
      </c>
      <c r="H614" s="12">
        <v>10.700490196078425</v>
      </c>
      <c r="I614" s="12" t="s">
        <v>94</v>
      </c>
      <c r="J614" s="12">
        <v>46235</v>
      </c>
      <c r="K614">
        <v>46235</v>
      </c>
    </row>
    <row r="615" spans="1:11" hidden="1" x14ac:dyDescent="0.25">
      <c r="A615" s="12" t="s">
        <v>63</v>
      </c>
      <c r="B615" s="12" t="s">
        <v>60</v>
      </c>
      <c r="C615" s="12" t="s">
        <v>14</v>
      </c>
      <c r="D615" s="12">
        <v>3.2304494690128904</v>
      </c>
      <c r="E615" s="12">
        <v>0</v>
      </c>
      <c r="F615" s="12">
        <v>20</v>
      </c>
      <c r="G615" s="12">
        <v>0</v>
      </c>
      <c r="H615" s="12">
        <v>0</v>
      </c>
      <c r="I615" s="12" t="s">
        <v>95</v>
      </c>
      <c r="J615" s="12">
        <v>46235</v>
      </c>
      <c r="K615">
        <v>46235</v>
      </c>
    </row>
    <row r="616" spans="1:11" hidden="1" x14ac:dyDescent="0.25">
      <c r="A616" s="12" t="s">
        <v>63</v>
      </c>
      <c r="B616" s="12" t="s">
        <v>37</v>
      </c>
      <c r="C616" s="12" t="s">
        <v>14</v>
      </c>
      <c r="D616" s="12">
        <v>10.972274579690296</v>
      </c>
      <c r="E616" s="12">
        <v>6.6499999999999995</v>
      </c>
      <c r="F616" s="12">
        <v>20</v>
      </c>
      <c r="G616" s="12">
        <v>6.6499999999999995</v>
      </c>
      <c r="H616" s="12">
        <v>8.1009803921568615</v>
      </c>
      <c r="I616" s="12" t="s">
        <v>95</v>
      </c>
      <c r="J616" s="12">
        <v>46235</v>
      </c>
      <c r="K616">
        <v>46235</v>
      </c>
    </row>
    <row r="617" spans="1:11" hidden="1" x14ac:dyDescent="0.25">
      <c r="A617" s="12" t="s">
        <v>63</v>
      </c>
      <c r="B617" s="12" t="s">
        <v>60</v>
      </c>
      <c r="C617" s="12" t="s">
        <v>15</v>
      </c>
      <c r="D617" s="12">
        <v>0</v>
      </c>
      <c r="E617" s="12">
        <v>0.95</v>
      </c>
      <c r="F617" s="12">
        <v>20</v>
      </c>
      <c r="G617" s="12">
        <v>0.95</v>
      </c>
      <c r="H617" s="12">
        <v>0</v>
      </c>
      <c r="I617" s="12" t="s">
        <v>137</v>
      </c>
      <c r="J617" s="12">
        <v>46235</v>
      </c>
      <c r="K617">
        <v>46235</v>
      </c>
    </row>
    <row r="618" spans="1:11" hidden="1" x14ac:dyDescent="0.25">
      <c r="A618" s="12" t="s">
        <v>63</v>
      </c>
      <c r="B618" s="12" t="s">
        <v>38</v>
      </c>
      <c r="C618" s="12" t="s">
        <v>15</v>
      </c>
      <c r="D618" s="12">
        <v>1.2735376146788988</v>
      </c>
      <c r="E618" s="12">
        <v>0.95</v>
      </c>
      <c r="F618" s="12">
        <v>20</v>
      </c>
      <c r="G618" s="12">
        <v>0.95</v>
      </c>
      <c r="H618" s="12">
        <v>1.0127450980392154</v>
      </c>
      <c r="I618" s="12" t="s">
        <v>137</v>
      </c>
      <c r="J618" s="12">
        <v>46235</v>
      </c>
      <c r="K618">
        <v>46235</v>
      </c>
    </row>
    <row r="619" spans="1:11" hidden="1" x14ac:dyDescent="0.25">
      <c r="A619" s="12" t="s">
        <v>63</v>
      </c>
      <c r="B619" s="12" t="s">
        <v>37</v>
      </c>
      <c r="C619" s="12" t="s">
        <v>15</v>
      </c>
      <c r="D619" s="12">
        <v>4.220105607573192</v>
      </c>
      <c r="E619" s="12">
        <v>2.8499999999999996</v>
      </c>
      <c r="F619" s="12">
        <v>20</v>
      </c>
      <c r="G619" s="12">
        <v>2.8499999999999996</v>
      </c>
      <c r="H619" s="12">
        <v>2.4705882352941178</v>
      </c>
      <c r="I619" s="12" t="s">
        <v>137</v>
      </c>
      <c r="J619" s="12">
        <v>46235</v>
      </c>
      <c r="K619">
        <v>46235</v>
      </c>
    </row>
    <row r="620" spans="1:11" x14ac:dyDescent="0.25">
      <c r="A620" s="12" t="s">
        <v>63</v>
      </c>
      <c r="B620" s="12" t="s">
        <v>60</v>
      </c>
      <c r="C620" s="12" t="s">
        <v>13</v>
      </c>
      <c r="D620" s="12">
        <v>3.6011567851291222</v>
      </c>
      <c r="E620" s="12">
        <v>0.95</v>
      </c>
      <c r="F620" s="12">
        <v>20</v>
      </c>
      <c r="G620" s="12">
        <v>0.95</v>
      </c>
      <c r="H620" s="12">
        <v>0</v>
      </c>
      <c r="I620" s="12" t="s">
        <v>94</v>
      </c>
      <c r="J620" s="12">
        <v>46235</v>
      </c>
      <c r="K620">
        <v>46235</v>
      </c>
    </row>
    <row r="621" spans="1:11" x14ac:dyDescent="0.25">
      <c r="A621" s="12" t="s">
        <v>63</v>
      </c>
      <c r="B621" s="12" t="s">
        <v>38</v>
      </c>
      <c r="C621" s="12" t="s">
        <v>13</v>
      </c>
      <c r="D621" s="12">
        <v>5.3727368119266048</v>
      </c>
      <c r="E621" s="12">
        <v>0.95</v>
      </c>
      <c r="F621" s="12">
        <v>20</v>
      </c>
      <c r="G621" s="12">
        <v>0.95</v>
      </c>
      <c r="H621" s="12">
        <v>1.9131433823529425</v>
      </c>
      <c r="I621" s="12" t="s">
        <v>94</v>
      </c>
      <c r="J621" s="12">
        <v>46235</v>
      </c>
      <c r="K621">
        <v>46235</v>
      </c>
    </row>
    <row r="622" spans="1:11" hidden="1" x14ac:dyDescent="0.25">
      <c r="A622" s="12" t="s">
        <v>63</v>
      </c>
      <c r="B622" s="12" t="s">
        <v>38</v>
      </c>
      <c r="C622" s="12" t="s">
        <v>14</v>
      </c>
      <c r="D622" s="12">
        <v>2.2474193200215868</v>
      </c>
      <c r="E622" s="12">
        <v>1.9</v>
      </c>
      <c r="F622" s="12">
        <v>20</v>
      </c>
      <c r="G622" s="12">
        <v>1.9</v>
      </c>
      <c r="H622" s="12">
        <v>2.188148788927335</v>
      </c>
      <c r="I622" s="12" t="s">
        <v>95</v>
      </c>
      <c r="J622" s="12">
        <v>46235</v>
      </c>
      <c r="K622">
        <v>46235</v>
      </c>
    </row>
    <row r="623" spans="1:11" hidden="1" x14ac:dyDescent="0.25">
      <c r="A623" s="12" t="s">
        <v>63</v>
      </c>
      <c r="B623" s="12" t="s">
        <v>60</v>
      </c>
      <c r="C623" s="12" t="s">
        <v>14</v>
      </c>
      <c r="D623" s="12">
        <v>3.1774912809962856</v>
      </c>
      <c r="E623" s="12">
        <v>0.95</v>
      </c>
      <c r="F623" s="12">
        <v>20</v>
      </c>
      <c r="G623" s="12">
        <v>0.95</v>
      </c>
      <c r="H623" s="12">
        <v>0</v>
      </c>
      <c r="I623" s="12" t="s">
        <v>96</v>
      </c>
      <c r="J623" s="12">
        <v>46236</v>
      </c>
      <c r="K623">
        <v>46236</v>
      </c>
    </row>
    <row r="624" spans="1:11" hidden="1" x14ac:dyDescent="0.25">
      <c r="A624" s="12" t="s">
        <v>63</v>
      </c>
      <c r="B624" s="12" t="s">
        <v>38</v>
      </c>
      <c r="C624" s="12" t="s">
        <v>14</v>
      </c>
      <c r="D624" s="12">
        <v>2.2474193200215868</v>
      </c>
      <c r="E624" s="12">
        <v>5.6999999999999993</v>
      </c>
      <c r="F624" s="12">
        <v>20</v>
      </c>
      <c r="G624" s="12">
        <v>5.6999999999999993</v>
      </c>
      <c r="H624" s="12">
        <v>1.8823529411764703</v>
      </c>
      <c r="I624" s="12" t="s">
        <v>96</v>
      </c>
      <c r="J624" s="12">
        <v>46236</v>
      </c>
      <c r="K624">
        <v>46236</v>
      </c>
    </row>
    <row r="625" spans="1:11" x14ac:dyDescent="0.25">
      <c r="A625" s="12" t="s">
        <v>63</v>
      </c>
      <c r="B625" s="12" t="s">
        <v>60</v>
      </c>
      <c r="C625" s="12" t="s">
        <v>13</v>
      </c>
      <c r="D625" s="12">
        <v>3.6011567851291222</v>
      </c>
      <c r="E625" s="12">
        <v>0</v>
      </c>
      <c r="F625" s="12">
        <v>20</v>
      </c>
      <c r="G625" s="12">
        <v>0</v>
      </c>
      <c r="H625" s="12">
        <v>0</v>
      </c>
      <c r="I625" s="12" t="s">
        <v>97</v>
      </c>
      <c r="J625" s="12">
        <v>46236</v>
      </c>
      <c r="K625">
        <v>46236</v>
      </c>
    </row>
    <row r="626" spans="1:11" hidden="1" x14ac:dyDescent="0.25">
      <c r="A626" s="12" t="s">
        <v>63</v>
      </c>
      <c r="B626" s="12" t="s">
        <v>37</v>
      </c>
      <c r="C626" s="12" t="s">
        <v>14</v>
      </c>
      <c r="D626" s="12">
        <v>10.972274579690296</v>
      </c>
      <c r="E626" s="12">
        <v>6.6499999999999995</v>
      </c>
      <c r="F626" s="12">
        <v>20</v>
      </c>
      <c r="G626" s="12">
        <v>6.6499999999999995</v>
      </c>
      <c r="H626" s="12">
        <v>8.6009803921568544</v>
      </c>
      <c r="I626" s="12" t="s">
        <v>96</v>
      </c>
      <c r="J626" s="12">
        <v>46236</v>
      </c>
      <c r="K626">
        <v>46236</v>
      </c>
    </row>
    <row r="627" spans="1:11" hidden="1" x14ac:dyDescent="0.25">
      <c r="A627" s="12" t="s">
        <v>63</v>
      </c>
      <c r="B627" s="12" t="s">
        <v>60</v>
      </c>
      <c r="C627" s="12" t="s">
        <v>15</v>
      </c>
      <c r="D627" s="12">
        <v>0</v>
      </c>
      <c r="E627" s="12">
        <v>0.95</v>
      </c>
      <c r="F627" s="12">
        <v>20</v>
      </c>
      <c r="G627" s="12">
        <v>0.95</v>
      </c>
      <c r="H627" s="12">
        <v>0</v>
      </c>
      <c r="I627" s="12" t="s">
        <v>98</v>
      </c>
      <c r="J627" s="12">
        <v>46236</v>
      </c>
      <c r="K627">
        <v>46236</v>
      </c>
    </row>
    <row r="628" spans="1:11" hidden="1" x14ac:dyDescent="0.25">
      <c r="A628" s="12" t="s">
        <v>63</v>
      </c>
      <c r="B628" s="12" t="s">
        <v>38</v>
      </c>
      <c r="C628" s="12" t="s">
        <v>15</v>
      </c>
      <c r="D628" s="12">
        <v>1.2735376146788988</v>
      </c>
      <c r="E628" s="12">
        <v>0</v>
      </c>
      <c r="F628" s="12">
        <v>20</v>
      </c>
      <c r="G628" s="12">
        <v>0</v>
      </c>
      <c r="H628" s="12">
        <v>6.2745098039215685E-2</v>
      </c>
      <c r="I628" s="12" t="s">
        <v>98</v>
      </c>
      <c r="J628" s="12">
        <v>46236</v>
      </c>
      <c r="K628">
        <v>46236</v>
      </c>
    </row>
    <row r="629" spans="1:11" hidden="1" x14ac:dyDescent="0.25">
      <c r="A629" s="12" t="s">
        <v>63</v>
      </c>
      <c r="B629" s="12" t="s">
        <v>37</v>
      </c>
      <c r="C629" s="12" t="s">
        <v>15</v>
      </c>
      <c r="D629" s="12">
        <v>4.220105607573192</v>
      </c>
      <c r="E629" s="12">
        <v>3.8</v>
      </c>
      <c r="F629" s="12">
        <v>20</v>
      </c>
      <c r="G629" s="12">
        <v>3.8</v>
      </c>
      <c r="H629" s="12">
        <v>2.5</v>
      </c>
      <c r="I629" s="12" t="s">
        <v>98</v>
      </c>
      <c r="J629" s="12">
        <v>46236</v>
      </c>
      <c r="K629">
        <v>46236</v>
      </c>
    </row>
    <row r="630" spans="1:11" x14ac:dyDescent="0.25">
      <c r="A630" s="12" t="s">
        <v>63</v>
      </c>
      <c r="B630" s="12" t="s">
        <v>38</v>
      </c>
      <c r="C630" s="12" t="s">
        <v>13</v>
      </c>
      <c r="D630" s="12">
        <v>3.5818245412844019</v>
      </c>
      <c r="E630" s="12">
        <v>0.95</v>
      </c>
      <c r="F630" s="12">
        <v>20</v>
      </c>
      <c r="G630" s="12">
        <v>0.95</v>
      </c>
      <c r="H630" s="12">
        <v>1.0896139705882353</v>
      </c>
      <c r="I630" s="12" t="s">
        <v>97</v>
      </c>
      <c r="J630" s="12">
        <v>46236</v>
      </c>
      <c r="K630">
        <v>46236</v>
      </c>
    </row>
    <row r="631" spans="1:11" x14ac:dyDescent="0.25">
      <c r="A631" s="12" t="s">
        <v>63</v>
      </c>
      <c r="B631" s="12" t="s">
        <v>37</v>
      </c>
      <c r="C631" s="12" t="s">
        <v>13</v>
      </c>
      <c r="D631" s="12">
        <v>10.972274579690296</v>
      </c>
      <c r="E631" s="12">
        <v>26.6</v>
      </c>
      <c r="F631" s="12">
        <v>20</v>
      </c>
      <c r="G631" s="12">
        <v>26.6</v>
      </c>
      <c r="H631" s="12">
        <v>10.553431372549014</v>
      </c>
      <c r="I631" s="12" t="s">
        <v>97</v>
      </c>
      <c r="J631" s="12">
        <v>46236</v>
      </c>
      <c r="K631">
        <v>46236</v>
      </c>
    </row>
    <row r="632" spans="1:11" x14ac:dyDescent="0.25">
      <c r="A632" s="12" t="s">
        <v>63</v>
      </c>
      <c r="B632" s="12" t="s">
        <v>38</v>
      </c>
      <c r="C632" s="12" t="s">
        <v>13</v>
      </c>
      <c r="D632" s="12">
        <v>5.8204648795871554</v>
      </c>
      <c r="E632" s="12">
        <v>0.95</v>
      </c>
      <c r="F632" s="12">
        <v>20</v>
      </c>
      <c r="G632" s="12">
        <v>0.95</v>
      </c>
      <c r="H632" s="12">
        <v>2.5882352941176476</v>
      </c>
      <c r="I632" s="12" t="s">
        <v>101</v>
      </c>
      <c r="J632" s="12">
        <v>46237</v>
      </c>
      <c r="K632">
        <v>46237</v>
      </c>
    </row>
    <row r="633" spans="1:11" x14ac:dyDescent="0.25">
      <c r="A633" s="12" t="s">
        <v>63</v>
      </c>
      <c r="B633" s="12" t="s">
        <v>37</v>
      </c>
      <c r="C633" s="12" t="s">
        <v>13</v>
      </c>
      <c r="D633" s="12">
        <v>11.872563775972576</v>
      </c>
      <c r="E633" s="12">
        <v>25.65</v>
      </c>
      <c r="F633" s="12">
        <v>20</v>
      </c>
      <c r="G633" s="12">
        <v>25.65</v>
      </c>
      <c r="H633" s="12">
        <v>9.1049019607843089</v>
      </c>
      <c r="I633" s="12" t="s">
        <v>101</v>
      </c>
      <c r="J633" s="12">
        <v>46237</v>
      </c>
      <c r="K633">
        <v>46237</v>
      </c>
    </row>
    <row r="634" spans="1:11" hidden="1" x14ac:dyDescent="0.25">
      <c r="A634" s="12" t="s">
        <v>63</v>
      </c>
      <c r="B634" s="12" t="s">
        <v>60</v>
      </c>
      <c r="C634" s="12" t="s">
        <v>15</v>
      </c>
      <c r="D634" s="12">
        <v>0</v>
      </c>
      <c r="E634" s="12">
        <v>0</v>
      </c>
      <c r="F634" s="12">
        <v>20</v>
      </c>
      <c r="G634" s="12">
        <v>0</v>
      </c>
      <c r="H634" s="12">
        <v>0</v>
      </c>
      <c r="I634" s="12" t="s">
        <v>100</v>
      </c>
      <c r="J634" s="12">
        <v>46237</v>
      </c>
      <c r="K634">
        <v>46237</v>
      </c>
    </row>
    <row r="635" spans="1:11" x14ac:dyDescent="0.25">
      <c r="A635" s="12" t="s">
        <v>63</v>
      </c>
      <c r="B635" s="12" t="s">
        <v>60</v>
      </c>
      <c r="C635" s="12" t="s">
        <v>13</v>
      </c>
      <c r="D635" s="12">
        <v>3.6011567851291222</v>
      </c>
      <c r="E635" s="12">
        <v>0.95</v>
      </c>
      <c r="F635" s="12">
        <v>20</v>
      </c>
      <c r="G635" s="12">
        <v>0.95</v>
      </c>
      <c r="H635" s="12">
        <v>0.82352941176470595</v>
      </c>
      <c r="I635" s="12" t="s">
        <v>101</v>
      </c>
      <c r="J635" s="12">
        <v>46237</v>
      </c>
      <c r="K635">
        <v>46237</v>
      </c>
    </row>
    <row r="636" spans="1:11" hidden="1" x14ac:dyDescent="0.25">
      <c r="A636" s="12" t="s">
        <v>63</v>
      </c>
      <c r="B636" s="12" t="s">
        <v>38</v>
      </c>
      <c r="C636" s="12" t="s">
        <v>15</v>
      </c>
      <c r="D636" s="12">
        <v>1.2735376146788988</v>
      </c>
      <c r="E636" s="12">
        <v>0</v>
      </c>
      <c r="F636" s="12">
        <v>20</v>
      </c>
      <c r="G636" s="12">
        <v>0</v>
      </c>
      <c r="H636" s="12">
        <v>6.2745098039215685E-2</v>
      </c>
      <c r="I636" s="12" t="s">
        <v>100</v>
      </c>
      <c r="J636" s="12">
        <v>46237</v>
      </c>
      <c r="K636">
        <v>46237</v>
      </c>
    </row>
    <row r="637" spans="1:11" hidden="1" x14ac:dyDescent="0.25">
      <c r="A637" s="12" t="s">
        <v>63</v>
      </c>
      <c r="B637" s="12" t="s">
        <v>38</v>
      </c>
      <c r="C637" s="12" t="s">
        <v>14</v>
      </c>
      <c r="D637" s="12">
        <v>3.3711289800323794</v>
      </c>
      <c r="E637" s="12">
        <v>1.9</v>
      </c>
      <c r="F637" s="12">
        <v>20</v>
      </c>
      <c r="G637" s="12">
        <v>1.9</v>
      </c>
      <c r="H637" s="12">
        <v>2.214532871972319</v>
      </c>
      <c r="I637" s="12" t="s">
        <v>99</v>
      </c>
      <c r="J637" s="12">
        <v>46237</v>
      </c>
      <c r="K637">
        <v>46237</v>
      </c>
    </row>
    <row r="638" spans="1:11" hidden="1" x14ac:dyDescent="0.25">
      <c r="A638" s="12" t="s">
        <v>63</v>
      </c>
      <c r="B638" s="12" t="s">
        <v>60</v>
      </c>
      <c r="C638" s="12" t="s">
        <v>14</v>
      </c>
      <c r="D638" s="12">
        <v>3.1774912809962848</v>
      </c>
      <c r="E638" s="12">
        <v>0</v>
      </c>
      <c r="F638" s="12">
        <v>20</v>
      </c>
      <c r="G638" s="12">
        <v>0</v>
      </c>
      <c r="H638" s="12">
        <v>0.16608996539792387</v>
      </c>
      <c r="I638" s="12" t="s">
        <v>99</v>
      </c>
      <c r="J638" s="12">
        <v>46237</v>
      </c>
      <c r="K638">
        <v>46237</v>
      </c>
    </row>
    <row r="639" spans="1:11" hidden="1" x14ac:dyDescent="0.25">
      <c r="A639" s="12" t="s">
        <v>63</v>
      </c>
      <c r="B639" s="12" t="s">
        <v>37</v>
      </c>
      <c r="C639" s="12" t="s">
        <v>14</v>
      </c>
      <c r="D639" s="12">
        <v>10.972274579690296</v>
      </c>
      <c r="E639" s="12">
        <v>4.75</v>
      </c>
      <c r="F639" s="12">
        <v>20</v>
      </c>
      <c r="G639" s="12">
        <v>4.75</v>
      </c>
      <c r="H639" s="12">
        <v>7.1745098039215671</v>
      </c>
      <c r="I639" s="12" t="s">
        <v>99</v>
      </c>
      <c r="J639" s="12">
        <v>46237</v>
      </c>
      <c r="K639">
        <v>46237</v>
      </c>
    </row>
    <row r="640" spans="1:11" hidden="1" x14ac:dyDescent="0.25">
      <c r="A640" s="12" t="s">
        <v>63</v>
      </c>
      <c r="B640" s="12" t="s">
        <v>37</v>
      </c>
      <c r="C640" s="12" t="s">
        <v>15</v>
      </c>
      <c r="D640" s="12">
        <v>4.220105607573192</v>
      </c>
      <c r="E640" s="12">
        <v>3.8</v>
      </c>
      <c r="F640" s="12">
        <v>20</v>
      </c>
      <c r="G640" s="12">
        <v>3.8</v>
      </c>
      <c r="H640" s="12">
        <v>4.1764705882352935</v>
      </c>
      <c r="I640" s="12" t="s">
        <v>100</v>
      </c>
      <c r="J640" s="12">
        <v>46237</v>
      </c>
      <c r="K640">
        <v>46237</v>
      </c>
    </row>
    <row r="641" spans="1:11" hidden="1" x14ac:dyDescent="0.25">
      <c r="A641" s="12" t="s">
        <v>63</v>
      </c>
      <c r="B641" s="12" t="s">
        <v>37</v>
      </c>
      <c r="C641" s="12" t="s">
        <v>14</v>
      </c>
      <c r="D641" s="12">
        <v>10.972274579690296</v>
      </c>
      <c r="E641" s="12">
        <v>5.6999999999999993</v>
      </c>
      <c r="F641" s="12">
        <v>20</v>
      </c>
      <c r="G641" s="12">
        <v>5.6999999999999993</v>
      </c>
      <c r="H641" s="12">
        <v>8.0426470588235297</v>
      </c>
      <c r="I641" s="12" t="s">
        <v>102</v>
      </c>
      <c r="J641" s="12">
        <v>46238</v>
      </c>
      <c r="K641">
        <v>46238</v>
      </c>
    </row>
    <row r="642" spans="1:11" hidden="1" x14ac:dyDescent="0.25">
      <c r="A642" s="12" t="s">
        <v>63</v>
      </c>
      <c r="B642" s="12" t="s">
        <v>60</v>
      </c>
      <c r="C642" s="12" t="s">
        <v>14</v>
      </c>
      <c r="D642" s="12">
        <v>3.23044946901289</v>
      </c>
      <c r="E642" s="12">
        <v>0</v>
      </c>
      <c r="F642" s="12">
        <v>20</v>
      </c>
      <c r="G642" s="12">
        <v>0</v>
      </c>
      <c r="H642" s="12">
        <v>0.16608996539792387</v>
      </c>
      <c r="I642" s="12" t="s">
        <v>102</v>
      </c>
      <c r="J642" s="12">
        <v>46238</v>
      </c>
      <c r="K642">
        <v>46238</v>
      </c>
    </row>
    <row r="643" spans="1:11" hidden="1" x14ac:dyDescent="0.25">
      <c r="A643" s="12" t="s">
        <v>63</v>
      </c>
      <c r="B643" s="12" t="s">
        <v>38</v>
      </c>
      <c r="C643" s="12" t="s">
        <v>14</v>
      </c>
      <c r="D643" s="12">
        <v>3.3711289800323794</v>
      </c>
      <c r="E643" s="12">
        <v>2.8499999999999996</v>
      </c>
      <c r="F643" s="12">
        <v>20</v>
      </c>
      <c r="G643" s="12">
        <v>2.8499999999999996</v>
      </c>
      <c r="H643" s="12">
        <v>1.5501730103806233</v>
      </c>
      <c r="I643" s="12" t="s">
        <v>102</v>
      </c>
      <c r="J643" s="12">
        <v>46238</v>
      </c>
      <c r="K643">
        <v>46238</v>
      </c>
    </row>
    <row r="644" spans="1:11" hidden="1" x14ac:dyDescent="0.25">
      <c r="A644" s="12" t="s">
        <v>63</v>
      </c>
      <c r="B644" s="12" t="s">
        <v>38</v>
      </c>
      <c r="C644" s="12" t="s">
        <v>15</v>
      </c>
      <c r="D644" s="12">
        <v>1.2735376146788988</v>
      </c>
      <c r="E644" s="12">
        <v>0</v>
      </c>
      <c r="F644" s="12">
        <v>20</v>
      </c>
      <c r="G644" s="12">
        <v>0</v>
      </c>
      <c r="H644" s="12">
        <v>6.2745098039215685E-2</v>
      </c>
      <c r="I644" s="12" t="s">
        <v>103</v>
      </c>
      <c r="J644" s="12">
        <v>46238</v>
      </c>
      <c r="K644">
        <v>46238</v>
      </c>
    </row>
    <row r="645" spans="1:11" hidden="1" x14ac:dyDescent="0.25">
      <c r="A645" s="12" t="s">
        <v>63</v>
      </c>
      <c r="B645" s="12" t="s">
        <v>37</v>
      </c>
      <c r="C645" s="12" t="s">
        <v>15</v>
      </c>
      <c r="D645" s="12">
        <v>4.220105607573192</v>
      </c>
      <c r="E645" s="12">
        <v>4.75</v>
      </c>
      <c r="F645" s="12">
        <v>20</v>
      </c>
      <c r="G645" s="12">
        <v>4.75</v>
      </c>
      <c r="H645" s="12">
        <v>4.1764705882352935</v>
      </c>
      <c r="I645" s="12" t="s">
        <v>103</v>
      </c>
      <c r="J645" s="12">
        <v>46238</v>
      </c>
      <c r="K645">
        <v>46238</v>
      </c>
    </row>
    <row r="646" spans="1:11" x14ac:dyDescent="0.25">
      <c r="A646" s="12" t="s">
        <v>63</v>
      </c>
      <c r="B646" s="12" t="s">
        <v>60</v>
      </c>
      <c r="C646" s="12" t="s">
        <v>13</v>
      </c>
      <c r="D646" s="12">
        <v>3.6011567851291222</v>
      </c>
      <c r="E646" s="12">
        <v>0.95</v>
      </c>
      <c r="F646" s="12">
        <v>20</v>
      </c>
      <c r="G646" s="12">
        <v>0.95</v>
      </c>
      <c r="H646" s="12">
        <v>0.82352941176470595</v>
      </c>
      <c r="I646" s="12" t="s">
        <v>104</v>
      </c>
      <c r="J646" s="12">
        <v>46238</v>
      </c>
      <c r="K646">
        <v>46238</v>
      </c>
    </row>
    <row r="647" spans="1:11" x14ac:dyDescent="0.25">
      <c r="A647" s="12" t="s">
        <v>63</v>
      </c>
      <c r="B647" s="12" t="s">
        <v>38</v>
      </c>
      <c r="C647" s="12" t="s">
        <v>13</v>
      </c>
      <c r="D647" s="12">
        <v>5.8204648795871554</v>
      </c>
      <c r="E647" s="12">
        <v>0.95</v>
      </c>
      <c r="F647" s="12">
        <v>20</v>
      </c>
      <c r="G647" s="12">
        <v>0.95</v>
      </c>
      <c r="H647" s="12">
        <v>3.2941176470588225</v>
      </c>
      <c r="I647" s="12" t="s">
        <v>104</v>
      </c>
      <c r="J647" s="12">
        <v>46238</v>
      </c>
      <c r="K647">
        <v>46238</v>
      </c>
    </row>
    <row r="648" spans="1:11" x14ac:dyDescent="0.25">
      <c r="A648" s="12" t="s">
        <v>63</v>
      </c>
      <c r="B648" s="12" t="s">
        <v>37</v>
      </c>
      <c r="C648" s="12" t="s">
        <v>13</v>
      </c>
      <c r="D648" s="12">
        <v>13.026059308709248</v>
      </c>
      <c r="E648" s="12">
        <v>27.549999999999997</v>
      </c>
      <c r="F648" s="12">
        <v>20</v>
      </c>
      <c r="G648" s="12">
        <v>27.549999999999997</v>
      </c>
      <c r="H648" s="12">
        <v>9.4058823529411733</v>
      </c>
      <c r="I648" s="12" t="s">
        <v>104</v>
      </c>
      <c r="J648" s="12">
        <v>46238</v>
      </c>
      <c r="K648">
        <v>46238</v>
      </c>
    </row>
    <row r="649" spans="1:11" hidden="1" x14ac:dyDescent="0.25">
      <c r="A649" s="12" t="s">
        <v>63</v>
      </c>
      <c r="B649" s="12" t="s">
        <v>60</v>
      </c>
      <c r="C649" s="12" t="s">
        <v>15</v>
      </c>
      <c r="D649" s="12">
        <v>0</v>
      </c>
      <c r="E649" s="12">
        <v>2.8499999999999996</v>
      </c>
      <c r="F649" s="12">
        <v>20</v>
      </c>
      <c r="G649" s="12">
        <v>2.8499999999999996</v>
      </c>
      <c r="H649" s="12">
        <v>0</v>
      </c>
      <c r="I649" s="12" t="s">
        <v>103</v>
      </c>
      <c r="J649" s="12">
        <v>46238</v>
      </c>
      <c r="K649">
        <v>46238</v>
      </c>
    </row>
    <row r="650" spans="1:11" hidden="1" x14ac:dyDescent="0.25">
      <c r="A650" s="12" t="s">
        <v>63</v>
      </c>
      <c r="B650" s="12" t="s">
        <v>38</v>
      </c>
      <c r="C650" s="12" t="s">
        <v>15</v>
      </c>
      <c r="D650" s="12">
        <v>1.2735376146788988</v>
      </c>
      <c r="E650" s="12">
        <v>0.95</v>
      </c>
      <c r="F650" s="12">
        <v>20</v>
      </c>
      <c r="G650" s="12">
        <v>0.95</v>
      </c>
      <c r="H650" s="12">
        <v>6.2745098039215685E-2</v>
      </c>
      <c r="I650" s="12" t="s">
        <v>106</v>
      </c>
      <c r="J650" s="12">
        <v>46239</v>
      </c>
      <c r="K650">
        <v>46239</v>
      </c>
    </row>
    <row r="651" spans="1:11" hidden="1" x14ac:dyDescent="0.25">
      <c r="A651" s="12" t="s">
        <v>63</v>
      </c>
      <c r="B651" s="12" t="s">
        <v>37</v>
      </c>
      <c r="C651" s="12" t="s">
        <v>15</v>
      </c>
      <c r="D651" s="12">
        <v>4.220105607573192</v>
      </c>
      <c r="E651" s="12">
        <v>2.8499999999999996</v>
      </c>
      <c r="F651" s="12">
        <v>20</v>
      </c>
      <c r="G651" s="12">
        <v>2.8499999999999996</v>
      </c>
      <c r="H651" s="12">
        <v>2.4705882352941178</v>
      </c>
      <c r="I651" s="12" t="s">
        <v>106</v>
      </c>
      <c r="J651" s="12">
        <v>46239</v>
      </c>
      <c r="K651">
        <v>46239</v>
      </c>
    </row>
    <row r="652" spans="1:11" hidden="1" x14ac:dyDescent="0.25">
      <c r="A652" s="12" t="s">
        <v>63</v>
      </c>
      <c r="B652" s="12" t="s">
        <v>60</v>
      </c>
      <c r="C652" s="12" t="s">
        <v>15</v>
      </c>
      <c r="D652" s="12">
        <v>0</v>
      </c>
      <c r="E652" s="12">
        <v>0</v>
      </c>
      <c r="F652" s="12">
        <v>20</v>
      </c>
      <c r="G652" s="12">
        <v>0</v>
      </c>
      <c r="H652" s="12">
        <v>0</v>
      </c>
      <c r="I652" s="12" t="s">
        <v>106</v>
      </c>
      <c r="J652" s="12">
        <v>46239</v>
      </c>
      <c r="K652">
        <v>46239</v>
      </c>
    </row>
    <row r="653" spans="1:11" hidden="1" x14ac:dyDescent="0.25">
      <c r="A653" s="12" t="s">
        <v>63</v>
      </c>
      <c r="B653" s="12" t="s">
        <v>38</v>
      </c>
      <c r="C653" s="12" t="s">
        <v>14</v>
      </c>
      <c r="D653" s="12">
        <v>3.9329838100377761</v>
      </c>
      <c r="E653" s="12">
        <v>2.8499999999999996</v>
      </c>
      <c r="F653" s="12">
        <v>20</v>
      </c>
      <c r="G653" s="12">
        <v>2.8499999999999996</v>
      </c>
      <c r="H653" s="12">
        <v>2.2113388341762041</v>
      </c>
      <c r="I653" s="12" t="s">
        <v>107</v>
      </c>
      <c r="J653" s="12">
        <v>46239</v>
      </c>
      <c r="K653">
        <v>46239</v>
      </c>
    </row>
    <row r="654" spans="1:11" x14ac:dyDescent="0.25">
      <c r="A654" s="12" t="s">
        <v>63</v>
      </c>
      <c r="B654" s="12" t="s">
        <v>38</v>
      </c>
      <c r="C654" s="12" t="s">
        <v>13</v>
      </c>
      <c r="D654" s="12">
        <v>4.6265233658256877</v>
      </c>
      <c r="E654" s="12">
        <v>4.75</v>
      </c>
      <c r="F654" s="12">
        <v>20</v>
      </c>
      <c r="G654" s="12">
        <v>4.75</v>
      </c>
      <c r="H654" s="12">
        <v>2.3416289592760191</v>
      </c>
      <c r="I654" s="12" t="s">
        <v>105</v>
      </c>
      <c r="J654" s="12">
        <v>46239</v>
      </c>
      <c r="K654">
        <v>46239</v>
      </c>
    </row>
    <row r="655" spans="1:11" x14ac:dyDescent="0.25">
      <c r="A655" s="12" t="s">
        <v>63</v>
      </c>
      <c r="B655" s="12" t="s">
        <v>37</v>
      </c>
      <c r="C655" s="12" t="s">
        <v>13</v>
      </c>
      <c r="D655" s="12">
        <v>12.575914710568108</v>
      </c>
      <c r="E655" s="12">
        <v>8.5499999999999989</v>
      </c>
      <c r="F655" s="12">
        <v>20</v>
      </c>
      <c r="G655" s="12">
        <v>8.5499999999999989</v>
      </c>
      <c r="H655" s="12">
        <v>9.4058823529411679</v>
      </c>
      <c r="I655" s="12" t="s">
        <v>105</v>
      </c>
      <c r="J655" s="12">
        <v>46239</v>
      </c>
      <c r="K655">
        <v>46239</v>
      </c>
    </row>
    <row r="656" spans="1:11" hidden="1" x14ac:dyDescent="0.25">
      <c r="A656" s="12" t="s">
        <v>63</v>
      </c>
      <c r="B656" s="12" t="s">
        <v>37</v>
      </c>
      <c r="C656" s="12" t="s">
        <v>14</v>
      </c>
      <c r="D656" s="12">
        <v>10.803470355387372</v>
      </c>
      <c r="E656" s="12">
        <v>5.6999999999999993</v>
      </c>
      <c r="F656" s="12">
        <v>20</v>
      </c>
      <c r="G656" s="12">
        <v>5.6999999999999993</v>
      </c>
      <c r="H656" s="12">
        <v>7.2926470588235279</v>
      </c>
      <c r="I656" s="12" t="s">
        <v>107</v>
      </c>
      <c r="J656" s="12">
        <v>46239</v>
      </c>
      <c r="K656">
        <v>46239</v>
      </c>
    </row>
    <row r="657" spans="1:11" x14ac:dyDescent="0.25">
      <c r="A657" s="12" t="s">
        <v>63</v>
      </c>
      <c r="B657" s="12" t="s">
        <v>60</v>
      </c>
      <c r="C657" s="12" t="s">
        <v>13</v>
      </c>
      <c r="D657" s="12">
        <v>3.6011567851291222</v>
      </c>
      <c r="E657" s="12">
        <v>0.95</v>
      </c>
      <c r="F657" s="12">
        <v>20</v>
      </c>
      <c r="G657" s="12">
        <v>0.95</v>
      </c>
      <c r="H657" s="12">
        <v>1.6524767801857587</v>
      </c>
      <c r="I657" s="12" t="s">
        <v>105</v>
      </c>
      <c r="J657" s="12">
        <v>46239</v>
      </c>
      <c r="K657">
        <v>46239</v>
      </c>
    </row>
    <row r="658" spans="1:11" hidden="1" x14ac:dyDescent="0.25">
      <c r="A658" s="12" t="s">
        <v>63</v>
      </c>
      <c r="B658" s="12" t="s">
        <v>60</v>
      </c>
      <c r="C658" s="12" t="s">
        <v>14</v>
      </c>
      <c r="D658" s="12">
        <v>3.1774912809962848</v>
      </c>
      <c r="E658" s="12">
        <v>1.9</v>
      </c>
      <c r="F658" s="12">
        <v>20</v>
      </c>
      <c r="G658" s="12">
        <v>1.9</v>
      </c>
      <c r="H658" s="12">
        <v>1.1506100892369333</v>
      </c>
      <c r="I658" s="12" t="s">
        <v>107</v>
      </c>
      <c r="J658" s="12">
        <v>46239</v>
      </c>
      <c r="K658">
        <v>46239</v>
      </c>
    </row>
    <row r="659" spans="1:11" hidden="1" x14ac:dyDescent="0.25">
      <c r="A659" s="12" t="s">
        <v>63</v>
      </c>
      <c r="B659" s="12" t="s">
        <v>38</v>
      </c>
      <c r="C659" s="12" t="s">
        <v>15</v>
      </c>
      <c r="D659" s="12">
        <v>1.2735376146788988</v>
      </c>
      <c r="E659" s="12">
        <v>0</v>
      </c>
      <c r="F659" s="12">
        <v>20</v>
      </c>
      <c r="G659" s="12">
        <v>0</v>
      </c>
      <c r="H659" s="12">
        <v>6.2745098039215685E-2</v>
      </c>
      <c r="I659" s="12" t="s">
        <v>109</v>
      </c>
      <c r="J659" s="12">
        <v>46240</v>
      </c>
      <c r="K659">
        <v>46240</v>
      </c>
    </row>
    <row r="660" spans="1:11" x14ac:dyDescent="0.25">
      <c r="A660" s="12" t="s">
        <v>63</v>
      </c>
      <c r="B660" s="12" t="s">
        <v>60</v>
      </c>
      <c r="C660" s="12" t="s">
        <v>13</v>
      </c>
      <c r="D660" s="12">
        <v>3.6011567851291222</v>
      </c>
      <c r="E660" s="12">
        <v>0.95</v>
      </c>
      <c r="F660" s="12">
        <v>20</v>
      </c>
      <c r="G660" s="12">
        <v>0.95</v>
      </c>
      <c r="H660" s="12">
        <v>1.6524767801857585</v>
      </c>
      <c r="I660" s="12" t="s">
        <v>108</v>
      </c>
      <c r="J660" s="12">
        <v>46240</v>
      </c>
      <c r="K660">
        <v>46240</v>
      </c>
    </row>
    <row r="661" spans="1:11" x14ac:dyDescent="0.25">
      <c r="A661" s="12" t="s">
        <v>63</v>
      </c>
      <c r="B661" s="12" t="s">
        <v>37</v>
      </c>
      <c r="C661" s="12" t="s">
        <v>13</v>
      </c>
      <c r="D661" s="12">
        <v>11.731893589053469</v>
      </c>
      <c r="E661" s="12">
        <v>15.2</v>
      </c>
      <c r="F661" s="12">
        <v>20</v>
      </c>
      <c r="G661" s="12">
        <v>15.2</v>
      </c>
      <c r="H661" s="12">
        <v>9.9284313725490154</v>
      </c>
      <c r="I661" s="12" t="s">
        <v>108</v>
      </c>
      <c r="J661" s="12">
        <v>46240</v>
      </c>
      <c r="K661">
        <v>46240</v>
      </c>
    </row>
    <row r="662" spans="1:11" x14ac:dyDescent="0.25">
      <c r="A662" s="12" t="s">
        <v>63</v>
      </c>
      <c r="B662" s="12" t="s">
        <v>38</v>
      </c>
      <c r="C662" s="12" t="s">
        <v>13</v>
      </c>
      <c r="D662" s="12">
        <v>5.9697075688073395</v>
      </c>
      <c r="E662" s="12">
        <v>0.95</v>
      </c>
      <c r="F662" s="12">
        <v>20</v>
      </c>
      <c r="G662" s="12">
        <v>0.95</v>
      </c>
      <c r="H662" s="12">
        <v>2.514705882352942</v>
      </c>
      <c r="I662" s="12" t="s">
        <v>108</v>
      </c>
      <c r="J662" s="12">
        <v>46240</v>
      </c>
      <c r="K662">
        <v>46240</v>
      </c>
    </row>
    <row r="663" spans="1:11" hidden="1" x14ac:dyDescent="0.25">
      <c r="A663" s="12" t="s">
        <v>63</v>
      </c>
      <c r="B663" s="12" t="s">
        <v>37</v>
      </c>
      <c r="C663" s="12" t="s">
        <v>15</v>
      </c>
      <c r="D663" s="12">
        <v>4.220105607573192</v>
      </c>
      <c r="E663" s="12">
        <v>2.8499999999999996</v>
      </c>
      <c r="F663" s="12">
        <v>20</v>
      </c>
      <c r="G663" s="12">
        <v>2.8499999999999996</v>
      </c>
      <c r="H663" s="12">
        <v>3.0882352941176467</v>
      </c>
      <c r="I663" s="12" t="s">
        <v>109</v>
      </c>
      <c r="J663" s="12">
        <v>46240</v>
      </c>
      <c r="K663">
        <v>46240</v>
      </c>
    </row>
    <row r="664" spans="1:11" hidden="1" x14ac:dyDescent="0.25">
      <c r="A664" s="12" t="s">
        <v>63</v>
      </c>
      <c r="B664" s="12" t="s">
        <v>60</v>
      </c>
      <c r="C664" s="12" t="s">
        <v>15</v>
      </c>
      <c r="D664" s="12">
        <v>0</v>
      </c>
      <c r="E664" s="12">
        <v>0.95</v>
      </c>
      <c r="F664" s="12">
        <v>20</v>
      </c>
      <c r="G664" s="12">
        <v>0.95</v>
      </c>
      <c r="H664" s="12">
        <v>0</v>
      </c>
      <c r="I664" s="12" t="s">
        <v>109</v>
      </c>
      <c r="J664" s="12">
        <v>46240</v>
      </c>
      <c r="K664">
        <v>46240</v>
      </c>
    </row>
    <row r="665" spans="1:11" hidden="1" x14ac:dyDescent="0.25">
      <c r="A665" s="12" t="s">
        <v>63</v>
      </c>
      <c r="B665" s="12" t="s">
        <v>38</v>
      </c>
      <c r="C665" s="12" t="s">
        <v>14</v>
      </c>
      <c r="D665" s="12">
        <v>3.5115926875337284</v>
      </c>
      <c r="E665" s="12">
        <v>2.8499999999999996</v>
      </c>
      <c r="F665" s="12">
        <v>20</v>
      </c>
      <c r="G665" s="12">
        <v>2.8499999999999996</v>
      </c>
      <c r="H665" s="12">
        <v>2.0484429065743943</v>
      </c>
      <c r="I665" s="12" t="s">
        <v>110</v>
      </c>
      <c r="J665" s="12">
        <v>46240</v>
      </c>
      <c r="K665">
        <v>46240</v>
      </c>
    </row>
    <row r="666" spans="1:11" hidden="1" x14ac:dyDescent="0.25">
      <c r="A666" s="12" t="s">
        <v>63</v>
      </c>
      <c r="B666" s="12" t="s">
        <v>37</v>
      </c>
      <c r="C666" s="12" t="s">
        <v>14</v>
      </c>
      <c r="D666" s="12">
        <v>10.972274579690296</v>
      </c>
      <c r="E666" s="12">
        <v>4.75</v>
      </c>
      <c r="F666" s="12">
        <v>20</v>
      </c>
      <c r="G666" s="12">
        <v>4.75</v>
      </c>
      <c r="H666" s="12">
        <v>5.5862745098039195</v>
      </c>
      <c r="I666" s="12" t="s">
        <v>110</v>
      </c>
      <c r="J666" s="12">
        <v>46240</v>
      </c>
      <c r="K666">
        <v>46240</v>
      </c>
    </row>
    <row r="667" spans="1:11" hidden="1" x14ac:dyDescent="0.25">
      <c r="A667" s="12" t="s">
        <v>63</v>
      </c>
      <c r="B667" s="12" t="s">
        <v>60</v>
      </c>
      <c r="C667" s="12" t="s">
        <v>14</v>
      </c>
      <c r="D667" s="12">
        <v>3.1774912809962848</v>
      </c>
      <c r="E667" s="12">
        <v>0.95</v>
      </c>
      <c r="F667" s="12">
        <v>20</v>
      </c>
      <c r="G667" s="12">
        <v>0.95</v>
      </c>
      <c r="H667" s="12">
        <v>0.44472773629575663</v>
      </c>
      <c r="I667" s="12" t="s">
        <v>110</v>
      </c>
      <c r="J667" s="12">
        <v>46240</v>
      </c>
      <c r="K667">
        <v>46240</v>
      </c>
    </row>
    <row r="668" spans="1:11" hidden="1" x14ac:dyDescent="0.25">
      <c r="A668" s="12" t="s">
        <v>63</v>
      </c>
      <c r="B668" s="12" t="s">
        <v>38</v>
      </c>
      <c r="C668" s="12" t="s">
        <v>14</v>
      </c>
      <c r="D668" s="12">
        <v>2.2474193200215868</v>
      </c>
      <c r="E668" s="12">
        <v>1.9</v>
      </c>
      <c r="F668" s="12">
        <v>20</v>
      </c>
      <c r="G668" s="12">
        <v>1.9</v>
      </c>
      <c r="H668" s="12">
        <v>2.269896193771626</v>
      </c>
      <c r="I668" s="12" t="s">
        <v>111</v>
      </c>
      <c r="J668" s="12">
        <v>46241</v>
      </c>
      <c r="K668">
        <v>46241</v>
      </c>
    </row>
    <row r="669" spans="1:11" hidden="1" x14ac:dyDescent="0.25">
      <c r="A669" s="12" t="s">
        <v>63</v>
      </c>
      <c r="B669" s="12" t="s">
        <v>60</v>
      </c>
      <c r="C669" s="12" t="s">
        <v>14</v>
      </c>
      <c r="D669" s="12">
        <v>3.1774912809962856</v>
      </c>
      <c r="E669" s="12">
        <v>0.95</v>
      </c>
      <c r="F669" s="12">
        <v>20</v>
      </c>
      <c r="G669" s="12">
        <v>0.95</v>
      </c>
      <c r="H669" s="12">
        <v>0</v>
      </c>
      <c r="I669" s="12" t="s">
        <v>111</v>
      </c>
      <c r="J669" s="12">
        <v>46241</v>
      </c>
      <c r="K669">
        <v>46241</v>
      </c>
    </row>
    <row r="670" spans="1:11" hidden="1" x14ac:dyDescent="0.25">
      <c r="A670" s="12" t="s">
        <v>63</v>
      </c>
      <c r="B670" s="12" t="s">
        <v>38</v>
      </c>
      <c r="C670" s="12" t="s">
        <v>15</v>
      </c>
      <c r="D670" s="12">
        <v>1.2735376146788988</v>
      </c>
      <c r="E670" s="12">
        <v>0</v>
      </c>
      <c r="F670" s="12">
        <v>20</v>
      </c>
      <c r="G670" s="12">
        <v>0</v>
      </c>
      <c r="H670" s="12">
        <v>6.2745098039215685E-2</v>
      </c>
      <c r="I670" s="12" t="s">
        <v>138</v>
      </c>
      <c r="J670" s="12">
        <v>46241</v>
      </c>
      <c r="K670">
        <v>46241</v>
      </c>
    </row>
    <row r="671" spans="1:11" hidden="1" x14ac:dyDescent="0.25">
      <c r="A671" s="12" t="s">
        <v>63</v>
      </c>
      <c r="B671" s="12" t="s">
        <v>60</v>
      </c>
      <c r="C671" s="12" t="s">
        <v>15</v>
      </c>
      <c r="D671" s="12">
        <v>0</v>
      </c>
      <c r="E671" s="12">
        <v>0.95</v>
      </c>
      <c r="F671" s="12">
        <v>20</v>
      </c>
      <c r="G671" s="12">
        <v>0.95</v>
      </c>
      <c r="H671" s="12">
        <v>0</v>
      </c>
      <c r="I671" s="12" t="s">
        <v>138</v>
      </c>
      <c r="J671" s="12">
        <v>46241</v>
      </c>
      <c r="K671">
        <v>46241</v>
      </c>
    </row>
    <row r="672" spans="1:11" hidden="1" x14ac:dyDescent="0.25">
      <c r="A672" s="12" t="s">
        <v>63</v>
      </c>
      <c r="B672" s="12" t="s">
        <v>37</v>
      </c>
      <c r="C672" s="12" t="s">
        <v>14</v>
      </c>
      <c r="D672" s="12">
        <v>11.028542654457937</v>
      </c>
      <c r="E672" s="12">
        <v>5.6999999999999993</v>
      </c>
      <c r="F672" s="12">
        <v>20</v>
      </c>
      <c r="G672" s="12">
        <v>5.6999999999999993</v>
      </c>
      <c r="H672" s="12">
        <v>6.2779411764705886</v>
      </c>
      <c r="I672" s="12" t="s">
        <v>111</v>
      </c>
      <c r="J672" s="12">
        <v>46241</v>
      </c>
      <c r="K672">
        <v>46241</v>
      </c>
    </row>
    <row r="673" spans="1:11" x14ac:dyDescent="0.25">
      <c r="A673" s="12" t="s">
        <v>63</v>
      </c>
      <c r="B673" s="12" t="s">
        <v>60</v>
      </c>
      <c r="C673" s="12" t="s">
        <v>13</v>
      </c>
      <c r="D673" s="12">
        <v>3.6011567851291222</v>
      </c>
      <c r="E673" s="12">
        <v>0</v>
      </c>
      <c r="F673" s="12">
        <v>20</v>
      </c>
      <c r="G673" s="12">
        <v>0</v>
      </c>
      <c r="H673" s="12">
        <v>0</v>
      </c>
      <c r="I673" s="12" t="s">
        <v>112</v>
      </c>
      <c r="J673" s="12">
        <v>46241</v>
      </c>
      <c r="K673">
        <v>46241</v>
      </c>
    </row>
    <row r="674" spans="1:11" x14ac:dyDescent="0.25">
      <c r="A674" s="12" t="s">
        <v>63</v>
      </c>
      <c r="B674" s="12" t="s">
        <v>37</v>
      </c>
      <c r="C674" s="12" t="s">
        <v>13</v>
      </c>
      <c r="D674" s="12">
        <v>10.972274579690296</v>
      </c>
      <c r="E674" s="12">
        <v>8.5499999999999989</v>
      </c>
      <c r="F674" s="12">
        <v>20</v>
      </c>
      <c r="G674" s="12">
        <v>8.5499999999999989</v>
      </c>
      <c r="H674" s="12">
        <v>9.2588235294117602</v>
      </c>
      <c r="I674" s="12" t="s">
        <v>112</v>
      </c>
      <c r="J674" s="12">
        <v>46241</v>
      </c>
      <c r="K674">
        <v>46241</v>
      </c>
    </row>
    <row r="675" spans="1:11" x14ac:dyDescent="0.25">
      <c r="A675" s="12" t="s">
        <v>63</v>
      </c>
      <c r="B675" s="12" t="s">
        <v>38</v>
      </c>
      <c r="C675" s="12" t="s">
        <v>13</v>
      </c>
      <c r="D675" s="12">
        <v>4.7757660550458709</v>
      </c>
      <c r="E675" s="12">
        <v>4.75</v>
      </c>
      <c r="F675" s="12">
        <v>20</v>
      </c>
      <c r="G675" s="12">
        <v>4.75</v>
      </c>
      <c r="H675" s="12">
        <v>4.0294117647058805</v>
      </c>
      <c r="I675" s="12" t="s">
        <v>112</v>
      </c>
      <c r="J675" s="12">
        <v>46241</v>
      </c>
      <c r="K675">
        <v>46241</v>
      </c>
    </row>
    <row r="676" spans="1:11" hidden="1" x14ac:dyDescent="0.25">
      <c r="A676" s="12" t="s">
        <v>63</v>
      </c>
      <c r="B676" s="12" t="s">
        <v>37</v>
      </c>
      <c r="C676" s="12" t="s">
        <v>15</v>
      </c>
      <c r="D676" s="12">
        <v>4.220105607573192</v>
      </c>
      <c r="E676" s="12">
        <v>3.8</v>
      </c>
      <c r="F676" s="12">
        <v>20</v>
      </c>
      <c r="G676" s="12">
        <v>3.8</v>
      </c>
      <c r="H676" s="12">
        <v>3.0882352941176467</v>
      </c>
      <c r="I676" s="12" t="s">
        <v>138</v>
      </c>
      <c r="J676" s="12">
        <v>46241</v>
      </c>
      <c r="K676">
        <v>46241</v>
      </c>
    </row>
    <row r="677" spans="1:11" hidden="1" x14ac:dyDescent="0.25">
      <c r="A677" s="12" t="s">
        <v>63</v>
      </c>
      <c r="B677" s="12" t="s">
        <v>37</v>
      </c>
      <c r="C677" s="12" t="s">
        <v>14</v>
      </c>
      <c r="D677" s="12">
        <v>10.972274579690296</v>
      </c>
      <c r="E677" s="12">
        <v>6.6499999999999995</v>
      </c>
      <c r="F677" s="12">
        <v>20</v>
      </c>
      <c r="G677" s="12">
        <v>6.6499999999999995</v>
      </c>
      <c r="H677" s="12">
        <v>7.2926470588235297</v>
      </c>
      <c r="I677" s="12" t="s">
        <v>114</v>
      </c>
      <c r="J677" s="12">
        <v>46242</v>
      </c>
      <c r="K677">
        <v>46242</v>
      </c>
    </row>
    <row r="678" spans="1:11" hidden="1" x14ac:dyDescent="0.25">
      <c r="A678" s="12" t="s">
        <v>63</v>
      </c>
      <c r="B678" s="12" t="s">
        <v>38</v>
      </c>
      <c r="C678" s="12" t="s">
        <v>14</v>
      </c>
      <c r="D678" s="12">
        <v>3.3711289800323798</v>
      </c>
      <c r="E678" s="12">
        <v>2.8499999999999996</v>
      </c>
      <c r="F678" s="12">
        <v>20</v>
      </c>
      <c r="G678" s="12">
        <v>2.8499999999999996</v>
      </c>
      <c r="H678" s="12">
        <v>1.9238754325259515</v>
      </c>
      <c r="I678" s="12" t="s">
        <v>114</v>
      </c>
      <c r="J678" s="12">
        <v>46242</v>
      </c>
      <c r="K678">
        <v>46242</v>
      </c>
    </row>
    <row r="679" spans="1:11" hidden="1" x14ac:dyDescent="0.25">
      <c r="A679" s="12" t="s">
        <v>63</v>
      </c>
      <c r="B679" s="12" t="s">
        <v>60</v>
      </c>
      <c r="C679" s="12" t="s">
        <v>14</v>
      </c>
      <c r="D679" s="12">
        <v>3.1774912809962856</v>
      </c>
      <c r="E679" s="12">
        <v>0</v>
      </c>
      <c r="F679" s="12">
        <v>20</v>
      </c>
      <c r="G679" s="12">
        <v>0</v>
      </c>
      <c r="H679" s="12">
        <v>0</v>
      </c>
      <c r="I679" s="12" t="s">
        <v>114</v>
      </c>
      <c r="J679" s="12">
        <v>46242</v>
      </c>
      <c r="K679">
        <v>46242</v>
      </c>
    </row>
    <row r="680" spans="1:11" hidden="1" x14ac:dyDescent="0.25">
      <c r="A680" s="12" t="s">
        <v>63</v>
      </c>
      <c r="B680" s="12" t="s">
        <v>37</v>
      </c>
      <c r="C680" s="12" t="s">
        <v>15</v>
      </c>
      <c r="D680" s="12">
        <v>4.220105607573192</v>
      </c>
      <c r="E680" s="12">
        <v>3.8</v>
      </c>
      <c r="F680" s="12">
        <v>20</v>
      </c>
      <c r="G680" s="12">
        <v>3.8</v>
      </c>
      <c r="H680" s="12">
        <v>4.1764705882352935</v>
      </c>
      <c r="I680" s="12" t="s">
        <v>113</v>
      </c>
      <c r="J680" s="12">
        <v>46242</v>
      </c>
      <c r="K680">
        <v>46242</v>
      </c>
    </row>
    <row r="681" spans="1:11" hidden="1" x14ac:dyDescent="0.25">
      <c r="A681" s="12" t="s">
        <v>63</v>
      </c>
      <c r="B681" s="12" t="s">
        <v>38</v>
      </c>
      <c r="C681" s="12" t="s">
        <v>15</v>
      </c>
      <c r="D681" s="12">
        <v>1.2735376146788988</v>
      </c>
      <c r="E681" s="12">
        <v>0</v>
      </c>
      <c r="F681" s="12">
        <v>20</v>
      </c>
      <c r="G681" s="12">
        <v>0</v>
      </c>
      <c r="H681" s="12">
        <v>6.2745098039215685E-2</v>
      </c>
      <c r="I681" s="12" t="s">
        <v>113</v>
      </c>
      <c r="J681" s="12">
        <v>46242</v>
      </c>
      <c r="K681">
        <v>46242</v>
      </c>
    </row>
    <row r="682" spans="1:11" x14ac:dyDescent="0.25">
      <c r="A682" s="12" t="s">
        <v>63</v>
      </c>
      <c r="B682" s="12" t="s">
        <v>38</v>
      </c>
      <c r="C682" s="12" t="s">
        <v>13</v>
      </c>
      <c r="D682" s="12">
        <v>2.3878830275229355</v>
      </c>
      <c r="E682" s="12">
        <v>0.95</v>
      </c>
      <c r="F682" s="12">
        <v>20</v>
      </c>
      <c r="G682" s="12">
        <v>0.95</v>
      </c>
      <c r="H682" s="12">
        <v>1.6470588235294119</v>
      </c>
      <c r="I682" s="12" t="s">
        <v>139</v>
      </c>
      <c r="J682" s="12">
        <v>46242</v>
      </c>
      <c r="K682">
        <v>46242</v>
      </c>
    </row>
    <row r="683" spans="1:11" x14ac:dyDescent="0.25">
      <c r="A683" s="12" t="s">
        <v>63</v>
      </c>
      <c r="B683" s="12" t="s">
        <v>37</v>
      </c>
      <c r="C683" s="12" t="s">
        <v>13</v>
      </c>
      <c r="D683" s="12">
        <v>11.028542654457937</v>
      </c>
      <c r="E683" s="12">
        <v>23.75</v>
      </c>
      <c r="F683" s="12">
        <v>20</v>
      </c>
      <c r="G683" s="12">
        <v>23.75</v>
      </c>
      <c r="H683" s="12">
        <v>9.258823529411762</v>
      </c>
      <c r="I683" s="12" t="s">
        <v>139</v>
      </c>
      <c r="J683" s="12">
        <v>46242</v>
      </c>
      <c r="K683">
        <v>46242</v>
      </c>
    </row>
    <row r="684" spans="1:11" x14ac:dyDescent="0.25">
      <c r="A684" s="12" t="s">
        <v>63</v>
      </c>
      <c r="B684" s="12" t="s">
        <v>60</v>
      </c>
      <c r="C684" s="12" t="s">
        <v>13</v>
      </c>
      <c r="D684" s="12">
        <v>3.6011567851291222</v>
      </c>
      <c r="E684" s="12">
        <v>0</v>
      </c>
      <c r="F684" s="12">
        <v>20</v>
      </c>
      <c r="G684" s="12">
        <v>0</v>
      </c>
      <c r="H684" s="12">
        <v>0</v>
      </c>
      <c r="I684" s="12" t="s">
        <v>139</v>
      </c>
      <c r="J684" s="12">
        <v>46242</v>
      </c>
      <c r="K684">
        <v>46242</v>
      </c>
    </row>
    <row r="685" spans="1:11" hidden="1" x14ac:dyDescent="0.25">
      <c r="A685" s="12" t="s">
        <v>63</v>
      </c>
      <c r="B685" s="12" t="s">
        <v>60</v>
      </c>
      <c r="C685" s="12" t="s">
        <v>15</v>
      </c>
      <c r="D685" s="12">
        <v>0</v>
      </c>
      <c r="E685" s="12">
        <v>1.9</v>
      </c>
      <c r="F685" s="12">
        <v>20</v>
      </c>
      <c r="G685" s="12">
        <v>1.9</v>
      </c>
      <c r="H685" s="12">
        <v>0</v>
      </c>
      <c r="I685" s="12" t="s">
        <v>113</v>
      </c>
      <c r="J685" s="12">
        <v>46242</v>
      </c>
      <c r="K685">
        <v>46242</v>
      </c>
    </row>
    <row r="686" spans="1:11" hidden="1" x14ac:dyDescent="0.25">
      <c r="A686" s="12" t="s">
        <v>63</v>
      </c>
      <c r="B686" s="12" t="s">
        <v>60</v>
      </c>
      <c r="C686" s="12" t="s">
        <v>14</v>
      </c>
      <c r="D686" s="12">
        <v>3.1774912809962856</v>
      </c>
      <c r="E686" s="12">
        <v>0</v>
      </c>
      <c r="F686" s="12">
        <v>20</v>
      </c>
      <c r="G686" s="12">
        <v>0</v>
      </c>
      <c r="H686" s="12">
        <v>0.16608996539792387</v>
      </c>
      <c r="I686" s="12" t="s">
        <v>140</v>
      </c>
      <c r="J686" s="12">
        <v>46243</v>
      </c>
      <c r="K686">
        <v>46243</v>
      </c>
    </row>
    <row r="687" spans="1:11" hidden="1" x14ac:dyDescent="0.25">
      <c r="A687" s="12" t="s">
        <v>63</v>
      </c>
      <c r="B687" s="12" t="s">
        <v>60</v>
      </c>
      <c r="C687" s="12" t="s">
        <v>15</v>
      </c>
      <c r="D687" s="12">
        <v>0</v>
      </c>
      <c r="E687" s="12">
        <v>0</v>
      </c>
      <c r="F687" s="12">
        <v>20</v>
      </c>
      <c r="G687" s="12">
        <v>0</v>
      </c>
      <c r="H687" s="12">
        <v>0</v>
      </c>
      <c r="I687" s="12" t="s">
        <v>141</v>
      </c>
      <c r="J687" s="12">
        <v>46243</v>
      </c>
      <c r="K687">
        <v>46243</v>
      </c>
    </row>
    <row r="688" spans="1:11" x14ac:dyDescent="0.25">
      <c r="A688" s="12" t="s">
        <v>63</v>
      </c>
      <c r="B688" s="12" t="s">
        <v>60</v>
      </c>
      <c r="C688" s="12" t="s">
        <v>13</v>
      </c>
      <c r="D688" s="12">
        <v>3.6011567851291222</v>
      </c>
      <c r="E688" s="12">
        <v>0.95</v>
      </c>
      <c r="F688" s="12">
        <v>20</v>
      </c>
      <c r="G688" s="12">
        <v>0.95</v>
      </c>
      <c r="H688" s="12">
        <v>0.82352941176470595</v>
      </c>
      <c r="I688" s="12" t="s">
        <v>115</v>
      </c>
      <c r="J688" s="12">
        <v>46243</v>
      </c>
      <c r="K688">
        <v>46243</v>
      </c>
    </row>
    <row r="689" spans="1:11" x14ac:dyDescent="0.25">
      <c r="A689" s="12" t="s">
        <v>63</v>
      </c>
      <c r="B689" s="12" t="s">
        <v>38</v>
      </c>
      <c r="C689" s="12" t="s">
        <v>13</v>
      </c>
      <c r="D689" s="12">
        <v>3.507203196674312</v>
      </c>
      <c r="E689" s="12">
        <v>0.95</v>
      </c>
      <c r="F689" s="12">
        <v>20</v>
      </c>
      <c r="G689" s="12">
        <v>0.95</v>
      </c>
      <c r="H689" s="12">
        <v>1.6911764705882355</v>
      </c>
      <c r="I689" s="12" t="s">
        <v>115</v>
      </c>
      <c r="J689" s="12">
        <v>46243</v>
      </c>
      <c r="K689">
        <v>46243</v>
      </c>
    </row>
    <row r="690" spans="1:11" x14ac:dyDescent="0.25">
      <c r="A690" s="12" t="s">
        <v>63</v>
      </c>
      <c r="B690" s="12" t="s">
        <v>37</v>
      </c>
      <c r="C690" s="12" t="s">
        <v>13</v>
      </c>
      <c r="D690" s="12">
        <v>10.972274579690296</v>
      </c>
      <c r="E690" s="12">
        <v>19.95</v>
      </c>
      <c r="F690" s="12">
        <v>20</v>
      </c>
      <c r="G690" s="12">
        <v>19.95</v>
      </c>
      <c r="H690" s="12">
        <v>8.582352941176465</v>
      </c>
      <c r="I690" s="12" t="s">
        <v>115</v>
      </c>
      <c r="J690" s="12">
        <v>46243</v>
      </c>
      <c r="K690">
        <v>46243</v>
      </c>
    </row>
    <row r="691" spans="1:11" hidden="1" x14ac:dyDescent="0.25">
      <c r="A691" s="12" t="s">
        <v>63</v>
      </c>
      <c r="B691" s="12" t="s">
        <v>38</v>
      </c>
      <c r="C691" s="12" t="s">
        <v>15</v>
      </c>
      <c r="D691" s="12">
        <v>1.2735376146788988</v>
      </c>
      <c r="E691" s="12">
        <v>0</v>
      </c>
      <c r="F691" s="12">
        <v>20</v>
      </c>
      <c r="G691" s="12">
        <v>0</v>
      </c>
      <c r="H691" s="12">
        <v>6.2745098039215685E-2</v>
      </c>
      <c r="I691" s="12" t="s">
        <v>141</v>
      </c>
      <c r="J691" s="12">
        <v>46243</v>
      </c>
      <c r="K691">
        <v>46243</v>
      </c>
    </row>
    <row r="692" spans="1:11" hidden="1" x14ac:dyDescent="0.25">
      <c r="A692" s="12" t="s">
        <v>63</v>
      </c>
      <c r="B692" s="12" t="s">
        <v>37</v>
      </c>
      <c r="C692" s="12" t="s">
        <v>15</v>
      </c>
      <c r="D692" s="12">
        <v>4.220105607573192</v>
      </c>
      <c r="E692" s="12">
        <v>4.75</v>
      </c>
      <c r="F692" s="12">
        <v>20</v>
      </c>
      <c r="G692" s="12">
        <v>4.75</v>
      </c>
      <c r="H692" s="12">
        <v>4.0588235294117636</v>
      </c>
      <c r="I692" s="12" t="s">
        <v>141</v>
      </c>
      <c r="J692" s="12">
        <v>46243</v>
      </c>
      <c r="K692">
        <v>46243</v>
      </c>
    </row>
    <row r="693" spans="1:11" hidden="1" x14ac:dyDescent="0.25">
      <c r="A693" s="12" t="s">
        <v>63</v>
      </c>
      <c r="B693" s="12" t="s">
        <v>38</v>
      </c>
      <c r="C693" s="12" t="s">
        <v>14</v>
      </c>
      <c r="D693" s="12">
        <v>3.3711289800323798</v>
      </c>
      <c r="E693" s="12">
        <v>2.8499999999999996</v>
      </c>
      <c r="F693" s="12">
        <v>20</v>
      </c>
      <c r="G693" s="12">
        <v>2.8499999999999996</v>
      </c>
      <c r="H693" s="12">
        <v>1.882352941176471</v>
      </c>
      <c r="I693" s="12" t="s">
        <v>140</v>
      </c>
      <c r="J693" s="12">
        <v>46243</v>
      </c>
      <c r="K693">
        <v>46243</v>
      </c>
    </row>
    <row r="694" spans="1:11" hidden="1" x14ac:dyDescent="0.25">
      <c r="A694" s="12" t="s">
        <v>63</v>
      </c>
      <c r="B694" s="12" t="s">
        <v>37</v>
      </c>
      <c r="C694" s="12" t="s">
        <v>14</v>
      </c>
      <c r="D694" s="12">
        <v>11.816295701204936</v>
      </c>
      <c r="E694" s="12">
        <v>6.6499999999999995</v>
      </c>
      <c r="F694" s="12">
        <v>20</v>
      </c>
      <c r="G694" s="12">
        <v>6.6499999999999995</v>
      </c>
      <c r="H694" s="12">
        <v>6.9838235294117634</v>
      </c>
      <c r="I694" s="12" t="s">
        <v>140</v>
      </c>
      <c r="J694" s="12">
        <v>46243</v>
      </c>
      <c r="K694">
        <v>46243</v>
      </c>
    </row>
    <row r="695" spans="1:11" x14ac:dyDescent="0.25">
      <c r="A695" s="12" t="s">
        <v>63</v>
      </c>
      <c r="B695" s="12" t="s">
        <v>60</v>
      </c>
      <c r="C695" s="12" t="s">
        <v>13</v>
      </c>
      <c r="D695" s="12">
        <v>3.6011567851291222</v>
      </c>
      <c r="E695" s="12">
        <v>0</v>
      </c>
      <c r="F695" s="12">
        <v>20</v>
      </c>
      <c r="G695" s="12">
        <v>0</v>
      </c>
      <c r="H695" s="12">
        <v>0.82352941176470595</v>
      </c>
      <c r="I695" s="12" t="s">
        <v>142</v>
      </c>
      <c r="J695" s="12">
        <v>46244</v>
      </c>
      <c r="K695">
        <v>46244</v>
      </c>
    </row>
    <row r="696" spans="1:11" x14ac:dyDescent="0.25">
      <c r="A696" s="12" t="s">
        <v>63</v>
      </c>
      <c r="B696" s="12" t="s">
        <v>38</v>
      </c>
      <c r="C696" s="12" t="s">
        <v>13</v>
      </c>
      <c r="D696" s="12">
        <v>3.507203196674312</v>
      </c>
      <c r="E696" s="12">
        <v>0.95</v>
      </c>
      <c r="F696" s="12">
        <v>20</v>
      </c>
      <c r="G696" s="12">
        <v>0.95</v>
      </c>
      <c r="H696" s="12">
        <v>3.2205882352941169</v>
      </c>
      <c r="I696" s="12" t="s">
        <v>142</v>
      </c>
      <c r="J696" s="12">
        <v>46244</v>
      </c>
      <c r="K696">
        <v>46244</v>
      </c>
    </row>
    <row r="697" spans="1:11" hidden="1" x14ac:dyDescent="0.25">
      <c r="A697" s="12" t="s">
        <v>63</v>
      </c>
      <c r="B697" s="12" t="s">
        <v>60</v>
      </c>
      <c r="C697" s="12" t="s">
        <v>15</v>
      </c>
      <c r="D697" s="12">
        <v>0</v>
      </c>
      <c r="E697" s="12">
        <v>0.95</v>
      </c>
      <c r="F697" s="12">
        <v>20</v>
      </c>
      <c r="G697" s="12">
        <v>0.95</v>
      </c>
      <c r="H697" s="12">
        <v>0</v>
      </c>
      <c r="I697" s="12" t="s">
        <v>117</v>
      </c>
      <c r="J697" s="12">
        <v>46244</v>
      </c>
      <c r="K697">
        <v>46244</v>
      </c>
    </row>
    <row r="698" spans="1:11" hidden="1" x14ac:dyDescent="0.25">
      <c r="A698" s="12" t="s">
        <v>63</v>
      </c>
      <c r="B698" s="12" t="s">
        <v>37</v>
      </c>
      <c r="C698" s="12" t="s">
        <v>15</v>
      </c>
      <c r="D698" s="12">
        <v>4.220105607573192</v>
      </c>
      <c r="E698" s="12">
        <v>4.75</v>
      </c>
      <c r="F698" s="12">
        <v>20</v>
      </c>
      <c r="G698" s="12">
        <v>4.75</v>
      </c>
      <c r="H698" s="12">
        <v>4.1764705882352935</v>
      </c>
      <c r="I698" s="12" t="s">
        <v>117</v>
      </c>
      <c r="J698" s="12">
        <v>46244</v>
      </c>
      <c r="K698">
        <v>46244</v>
      </c>
    </row>
    <row r="699" spans="1:11" hidden="1" x14ac:dyDescent="0.25">
      <c r="A699" s="12" t="s">
        <v>63</v>
      </c>
      <c r="B699" s="12" t="s">
        <v>38</v>
      </c>
      <c r="C699" s="12" t="s">
        <v>15</v>
      </c>
      <c r="D699" s="12">
        <v>1.2735376146788988</v>
      </c>
      <c r="E699" s="12">
        <v>0</v>
      </c>
      <c r="F699" s="12">
        <v>20</v>
      </c>
      <c r="G699" s="12">
        <v>0</v>
      </c>
      <c r="H699" s="12">
        <v>6.2745098039215685E-2</v>
      </c>
      <c r="I699" s="12" t="s">
        <v>117</v>
      </c>
      <c r="J699" s="12">
        <v>46244</v>
      </c>
      <c r="K699">
        <v>46244</v>
      </c>
    </row>
    <row r="700" spans="1:11" hidden="1" x14ac:dyDescent="0.25">
      <c r="A700" s="12" t="s">
        <v>63</v>
      </c>
      <c r="B700" s="12" t="s">
        <v>60</v>
      </c>
      <c r="C700" s="12" t="s">
        <v>14</v>
      </c>
      <c r="D700" s="12">
        <v>3.1774912809962848</v>
      </c>
      <c r="E700" s="12">
        <v>0</v>
      </c>
      <c r="F700" s="12">
        <v>20</v>
      </c>
      <c r="G700" s="12">
        <v>0</v>
      </c>
      <c r="H700" s="12">
        <v>0.16608996539792387</v>
      </c>
      <c r="I700" s="12" t="s">
        <v>116</v>
      </c>
      <c r="J700" s="12">
        <v>46244</v>
      </c>
      <c r="K700">
        <v>46244</v>
      </c>
    </row>
    <row r="701" spans="1:11" hidden="1" x14ac:dyDescent="0.25">
      <c r="A701" s="12" t="s">
        <v>63</v>
      </c>
      <c r="B701" s="12" t="s">
        <v>37</v>
      </c>
      <c r="C701" s="12" t="s">
        <v>14</v>
      </c>
      <c r="D701" s="12">
        <v>10.972274579690296</v>
      </c>
      <c r="E701" s="12">
        <v>6.6499999999999995</v>
      </c>
      <c r="F701" s="12">
        <v>20</v>
      </c>
      <c r="G701" s="12">
        <v>6.6499999999999995</v>
      </c>
      <c r="H701" s="12">
        <v>7.984313725490197</v>
      </c>
      <c r="I701" s="12" t="s">
        <v>116</v>
      </c>
      <c r="J701" s="12">
        <v>46244</v>
      </c>
      <c r="K701">
        <v>46244</v>
      </c>
    </row>
    <row r="702" spans="1:11" hidden="1" x14ac:dyDescent="0.25">
      <c r="A702" s="12" t="s">
        <v>63</v>
      </c>
      <c r="B702" s="12" t="s">
        <v>38</v>
      </c>
      <c r="C702" s="12" t="s">
        <v>14</v>
      </c>
      <c r="D702" s="12">
        <v>3.3711289800323794</v>
      </c>
      <c r="E702" s="12">
        <v>2.8499999999999996</v>
      </c>
      <c r="F702" s="12">
        <v>20</v>
      </c>
      <c r="G702" s="12">
        <v>2.8499999999999996</v>
      </c>
      <c r="H702" s="12">
        <v>1.3840830449826986</v>
      </c>
      <c r="I702" s="12" t="s">
        <v>116</v>
      </c>
      <c r="J702" s="12">
        <v>46244</v>
      </c>
      <c r="K702">
        <v>46244</v>
      </c>
    </row>
    <row r="703" spans="1:11" x14ac:dyDescent="0.25">
      <c r="A703" s="12" t="s">
        <v>63</v>
      </c>
      <c r="B703" s="12" t="s">
        <v>37</v>
      </c>
      <c r="C703" s="12" t="s">
        <v>13</v>
      </c>
      <c r="D703" s="12">
        <v>11.872563775972576</v>
      </c>
      <c r="E703" s="12">
        <v>24.7</v>
      </c>
      <c r="F703" s="12">
        <v>20</v>
      </c>
      <c r="G703" s="12">
        <v>24.7</v>
      </c>
      <c r="H703" s="12">
        <v>8.5892156862745086</v>
      </c>
      <c r="I703" s="12" t="s">
        <v>142</v>
      </c>
      <c r="J703" s="12">
        <v>46244</v>
      </c>
      <c r="K703">
        <v>46244</v>
      </c>
    </row>
    <row r="704" spans="1:11" hidden="1" x14ac:dyDescent="0.25">
      <c r="A704" s="12" t="s">
        <v>63</v>
      </c>
      <c r="B704" s="12" t="s">
        <v>60</v>
      </c>
      <c r="C704" s="12" t="s">
        <v>14</v>
      </c>
      <c r="D704" s="12">
        <v>3.1774912809962848</v>
      </c>
      <c r="E704" s="12">
        <v>0</v>
      </c>
      <c r="F704" s="12">
        <v>20</v>
      </c>
      <c r="G704" s="12">
        <v>0</v>
      </c>
      <c r="H704" s="12">
        <v>0.16608996539792387</v>
      </c>
      <c r="I704" s="12" t="s">
        <v>119</v>
      </c>
      <c r="J704" s="12">
        <v>46245</v>
      </c>
      <c r="K704">
        <v>46245</v>
      </c>
    </row>
    <row r="705" spans="1:11" hidden="1" x14ac:dyDescent="0.25">
      <c r="A705" s="12" t="s">
        <v>63</v>
      </c>
      <c r="B705" s="12" t="s">
        <v>37</v>
      </c>
      <c r="C705" s="12" t="s">
        <v>14</v>
      </c>
      <c r="D705" s="12">
        <v>10.972274579690296</v>
      </c>
      <c r="E705" s="12">
        <v>5.6999999999999993</v>
      </c>
      <c r="F705" s="12">
        <v>20</v>
      </c>
      <c r="G705" s="12">
        <v>5.6999999999999993</v>
      </c>
      <c r="H705" s="12">
        <v>6.4102941176470569</v>
      </c>
      <c r="I705" s="12" t="s">
        <v>119</v>
      </c>
      <c r="J705" s="12">
        <v>46245</v>
      </c>
      <c r="K705">
        <v>46245</v>
      </c>
    </row>
    <row r="706" spans="1:11" hidden="1" x14ac:dyDescent="0.25">
      <c r="A706" s="12" t="s">
        <v>63</v>
      </c>
      <c r="B706" s="12" t="s">
        <v>38</v>
      </c>
      <c r="C706" s="12" t="s">
        <v>14</v>
      </c>
      <c r="D706" s="12">
        <v>3.3711289800323794</v>
      </c>
      <c r="E706" s="12">
        <v>1.9</v>
      </c>
      <c r="F706" s="12">
        <v>20</v>
      </c>
      <c r="G706" s="12">
        <v>1.9</v>
      </c>
      <c r="H706" s="12">
        <v>1.2179930795847749</v>
      </c>
      <c r="I706" s="12" t="s">
        <v>119</v>
      </c>
      <c r="J706" s="12">
        <v>46245</v>
      </c>
      <c r="K706">
        <v>46245</v>
      </c>
    </row>
    <row r="707" spans="1:11" x14ac:dyDescent="0.25">
      <c r="A707" s="12" t="s">
        <v>63</v>
      </c>
      <c r="B707" s="12" t="s">
        <v>60</v>
      </c>
      <c r="C707" s="12" t="s">
        <v>13</v>
      </c>
      <c r="D707" s="12">
        <v>3.6011567851291222</v>
      </c>
      <c r="E707" s="12">
        <v>0.95</v>
      </c>
      <c r="F707" s="12">
        <v>20</v>
      </c>
      <c r="G707" s="12">
        <v>0.95</v>
      </c>
      <c r="H707" s="12">
        <v>0.82352941176470595</v>
      </c>
      <c r="I707" s="12" t="s">
        <v>118</v>
      </c>
      <c r="J707" s="12">
        <v>46245</v>
      </c>
      <c r="K707">
        <v>46245</v>
      </c>
    </row>
    <row r="708" spans="1:11" hidden="1" x14ac:dyDescent="0.25">
      <c r="A708" s="12" t="s">
        <v>63</v>
      </c>
      <c r="B708" s="12" t="s">
        <v>37</v>
      </c>
      <c r="C708" s="12" t="s">
        <v>15</v>
      </c>
      <c r="D708" s="12">
        <v>4.220105607573192</v>
      </c>
      <c r="E708" s="12">
        <v>4.75</v>
      </c>
      <c r="F708" s="12">
        <v>20</v>
      </c>
      <c r="G708" s="12">
        <v>4.75</v>
      </c>
      <c r="H708" s="12">
        <v>4.0588235294117636</v>
      </c>
      <c r="I708" s="12" t="s">
        <v>120</v>
      </c>
      <c r="J708" s="12">
        <v>46245</v>
      </c>
      <c r="K708">
        <v>46245</v>
      </c>
    </row>
    <row r="709" spans="1:11" hidden="1" x14ac:dyDescent="0.25">
      <c r="A709" s="12" t="s">
        <v>63</v>
      </c>
      <c r="B709" s="12" t="s">
        <v>38</v>
      </c>
      <c r="C709" s="12" t="s">
        <v>15</v>
      </c>
      <c r="D709" s="12">
        <v>1.2735376146788988</v>
      </c>
      <c r="E709" s="12">
        <v>0</v>
      </c>
      <c r="F709" s="12">
        <v>20</v>
      </c>
      <c r="G709" s="12">
        <v>0</v>
      </c>
      <c r="H709" s="12">
        <v>6.2745098039215685E-2</v>
      </c>
      <c r="I709" s="12" t="s">
        <v>120</v>
      </c>
      <c r="J709" s="12">
        <v>46245</v>
      </c>
      <c r="K709">
        <v>46245</v>
      </c>
    </row>
    <row r="710" spans="1:11" x14ac:dyDescent="0.25">
      <c r="A710" s="12" t="s">
        <v>63</v>
      </c>
      <c r="B710" s="12" t="s">
        <v>38</v>
      </c>
      <c r="C710" s="12" t="s">
        <v>13</v>
      </c>
      <c r="D710" s="12">
        <v>7.014406393348624</v>
      </c>
      <c r="E710" s="12">
        <v>0.95</v>
      </c>
      <c r="F710" s="12">
        <v>20</v>
      </c>
      <c r="G710" s="12">
        <v>0.95</v>
      </c>
      <c r="H710" s="12">
        <v>3.1470588235294112</v>
      </c>
      <c r="I710" s="12" t="s">
        <v>118</v>
      </c>
      <c r="J710" s="12">
        <v>46245</v>
      </c>
      <c r="K710">
        <v>46245</v>
      </c>
    </row>
    <row r="711" spans="1:11" hidden="1" x14ac:dyDescent="0.25">
      <c r="A711" s="12" t="s">
        <v>63</v>
      </c>
      <c r="B711" s="12" t="s">
        <v>60</v>
      </c>
      <c r="C711" s="12" t="s">
        <v>15</v>
      </c>
      <c r="D711" s="12">
        <v>0</v>
      </c>
      <c r="E711" s="12">
        <v>0.95</v>
      </c>
      <c r="F711" s="12">
        <v>20</v>
      </c>
      <c r="G711" s="12">
        <v>0.95</v>
      </c>
      <c r="H711" s="12">
        <v>0</v>
      </c>
      <c r="I711" s="12" t="s">
        <v>120</v>
      </c>
      <c r="J711" s="12">
        <v>46245</v>
      </c>
      <c r="K711">
        <v>46245</v>
      </c>
    </row>
    <row r="712" spans="1:11" x14ac:dyDescent="0.25">
      <c r="A712" s="12" t="s">
        <v>63</v>
      </c>
      <c r="B712" s="12" t="s">
        <v>37</v>
      </c>
      <c r="C712" s="12" t="s">
        <v>13</v>
      </c>
      <c r="D712" s="12">
        <v>11.731893589053469</v>
      </c>
      <c r="E712" s="12">
        <v>24.7</v>
      </c>
      <c r="F712" s="12">
        <v>20</v>
      </c>
      <c r="G712" s="12">
        <v>24.7</v>
      </c>
      <c r="H712" s="12">
        <v>9.4058823529411768</v>
      </c>
      <c r="I712" s="12" t="s">
        <v>118</v>
      </c>
      <c r="J712" s="12">
        <v>46245</v>
      </c>
      <c r="K712">
        <v>46245</v>
      </c>
    </row>
    <row r="713" spans="1:11" x14ac:dyDescent="0.25">
      <c r="A713" s="12" t="s">
        <v>63</v>
      </c>
      <c r="B713" s="12" t="s">
        <v>38</v>
      </c>
      <c r="C713" s="12" t="s">
        <v>13</v>
      </c>
      <c r="D713" s="12">
        <v>5.8204648795871554</v>
      </c>
      <c r="E713" s="12">
        <v>2.8499999999999996</v>
      </c>
      <c r="F713" s="12">
        <v>20</v>
      </c>
      <c r="G713" s="12">
        <v>2.8499999999999996</v>
      </c>
      <c r="H713" s="12">
        <v>3.2205882352941169</v>
      </c>
      <c r="I713" s="12" t="s">
        <v>121</v>
      </c>
      <c r="J713" s="12">
        <v>46246</v>
      </c>
      <c r="K713">
        <v>46246</v>
      </c>
    </row>
    <row r="714" spans="1:11" x14ac:dyDescent="0.25">
      <c r="A714" s="12" t="s">
        <v>63</v>
      </c>
      <c r="B714" s="12" t="s">
        <v>37</v>
      </c>
      <c r="C714" s="12" t="s">
        <v>13</v>
      </c>
      <c r="D714" s="12">
        <v>12.575914710568108</v>
      </c>
      <c r="E714" s="12">
        <v>40.85</v>
      </c>
      <c r="F714" s="12">
        <v>20</v>
      </c>
      <c r="G714" s="12">
        <v>40.85</v>
      </c>
      <c r="H714" s="12">
        <v>7.8392156862745086</v>
      </c>
      <c r="I714" s="12" t="s">
        <v>121</v>
      </c>
      <c r="J714" s="12">
        <v>46246</v>
      </c>
      <c r="K714">
        <v>46246</v>
      </c>
    </row>
    <row r="715" spans="1:11" x14ac:dyDescent="0.25">
      <c r="A715" s="12" t="s">
        <v>63</v>
      </c>
      <c r="B715" s="12" t="s">
        <v>60</v>
      </c>
      <c r="C715" s="12" t="s">
        <v>13</v>
      </c>
      <c r="D715" s="12">
        <v>3.6011567851291222</v>
      </c>
      <c r="E715" s="12">
        <v>1.9</v>
      </c>
      <c r="F715" s="12">
        <v>20</v>
      </c>
      <c r="G715" s="12">
        <v>1.9</v>
      </c>
      <c r="H715" s="12">
        <v>1.6470588235294119</v>
      </c>
      <c r="I715" s="12" t="s">
        <v>121</v>
      </c>
      <c r="J715" s="12">
        <v>46246</v>
      </c>
      <c r="K715">
        <v>46246</v>
      </c>
    </row>
    <row r="716" spans="1:11" hidden="1" x14ac:dyDescent="0.25">
      <c r="A716" s="12" t="s">
        <v>63</v>
      </c>
      <c r="B716" s="12" t="s">
        <v>38</v>
      </c>
      <c r="C716" s="12" t="s">
        <v>15</v>
      </c>
      <c r="D716" s="12">
        <v>1.2735376146788988</v>
      </c>
      <c r="E716" s="12">
        <v>0</v>
      </c>
      <c r="F716" s="12">
        <v>20</v>
      </c>
      <c r="G716" s="12">
        <v>0</v>
      </c>
      <c r="H716" s="12">
        <v>6.2745098039215685E-2</v>
      </c>
      <c r="I716" s="12" t="s">
        <v>122</v>
      </c>
      <c r="J716" s="12">
        <v>46246</v>
      </c>
      <c r="K716">
        <v>46246</v>
      </c>
    </row>
    <row r="717" spans="1:11" hidden="1" x14ac:dyDescent="0.25">
      <c r="A717" s="12" t="s">
        <v>63</v>
      </c>
      <c r="B717" s="12" t="s">
        <v>37</v>
      </c>
      <c r="C717" s="12" t="s">
        <v>15</v>
      </c>
      <c r="D717" s="12">
        <v>4.220105607573192</v>
      </c>
      <c r="E717" s="12">
        <v>2.8499999999999996</v>
      </c>
      <c r="F717" s="12">
        <v>20</v>
      </c>
      <c r="G717" s="12">
        <v>2.8499999999999996</v>
      </c>
      <c r="H717" s="12">
        <v>3.0882352941176467</v>
      </c>
      <c r="I717" s="12" t="s">
        <v>122</v>
      </c>
      <c r="J717" s="12">
        <v>46246</v>
      </c>
      <c r="K717">
        <v>46246</v>
      </c>
    </row>
    <row r="718" spans="1:11" hidden="1" x14ac:dyDescent="0.25">
      <c r="A718" s="12" t="s">
        <v>63</v>
      </c>
      <c r="B718" s="12" t="s">
        <v>60</v>
      </c>
      <c r="C718" s="12" t="s">
        <v>15</v>
      </c>
      <c r="D718" s="12">
        <v>0</v>
      </c>
      <c r="E718" s="12">
        <v>0</v>
      </c>
      <c r="F718" s="12">
        <v>20</v>
      </c>
      <c r="G718" s="12">
        <v>0</v>
      </c>
      <c r="H718" s="12">
        <v>0</v>
      </c>
      <c r="I718" s="12" t="s">
        <v>122</v>
      </c>
      <c r="J718" s="12">
        <v>46246</v>
      </c>
      <c r="K718">
        <v>46246</v>
      </c>
    </row>
    <row r="719" spans="1:11" hidden="1" x14ac:dyDescent="0.25">
      <c r="A719" s="12" t="s">
        <v>63</v>
      </c>
      <c r="B719" s="12" t="s">
        <v>38</v>
      </c>
      <c r="C719" s="12" t="s">
        <v>14</v>
      </c>
      <c r="D719" s="12">
        <v>2.2474193200215864</v>
      </c>
      <c r="E719" s="12">
        <v>0.95</v>
      </c>
      <c r="F719" s="12">
        <v>20</v>
      </c>
      <c r="G719" s="12">
        <v>0.95</v>
      </c>
      <c r="H719" s="12">
        <v>1.3840830449826986</v>
      </c>
      <c r="I719" s="12" t="s">
        <v>123</v>
      </c>
      <c r="J719" s="12">
        <v>46246</v>
      </c>
      <c r="K719">
        <v>46246</v>
      </c>
    </row>
    <row r="720" spans="1:11" hidden="1" x14ac:dyDescent="0.25">
      <c r="A720" s="12" t="s">
        <v>63</v>
      </c>
      <c r="B720" s="12" t="s">
        <v>60</v>
      </c>
      <c r="C720" s="12" t="s">
        <v>14</v>
      </c>
      <c r="D720" s="12">
        <v>3.1774912809962848</v>
      </c>
      <c r="E720" s="12">
        <v>0.95</v>
      </c>
      <c r="F720" s="12">
        <v>20</v>
      </c>
      <c r="G720" s="12">
        <v>0.95</v>
      </c>
      <c r="H720" s="12">
        <v>1.0380622837370239</v>
      </c>
      <c r="I720" s="12" t="s">
        <v>123</v>
      </c>
      <c r="J720" s="12">
        <v>46246</v>
      </c>
      <c r="K720">
        <v>46246</v>
      </c>
    </row>
    <row r="721" spans="1:11" hidden="1" x14ac:dyDescent="0.25">
      <c r="A721" s="12" t="s">
        <v>63</v>
      </c>
      <c r="B721" s="12" t="s">
        <v>37</v>
      </c>
      <c r="C721" s="12" t="s">
        <v>14</v>
      </c>
      <c r="D721" s="12">
        <v>10.80347035538737</v>
      </c>
      <c r="E721" s="12">
        <v>4.75</v>
      </c>
      <c r="F721" s="12">
        <v>20</v>
      </c>
      <c r="G721" s="12">
        <v>4.75</v>
      </c>
      <c r="H721" s="12">
        <v>5.4696078431372541</v>
      </c>
      <c r="I721" s="12" t="s">
        <v>123</v>
      </c>
      <c r="J721" s="12">
        <v>46246</v>
      </c>
      <c r="K721">
        <v>46246</v>
      </c>
    </row>
    <row r="722" spans="1:11" hidden="1" x14ac:dyDescent="0.25">
      <c r="A722" s="12" t="s">
        <v>63</v>
      </c>
      <c r="B722" s="12" t="s">
        <v>37</v>
      </c>
      <c r="C722" s="12" t="s">
        <v>14</v>
      </c>
      <c r="D722" s="12">
        <v>10.972274579690296</v>
      </c>
      <c r="E722" s="12">
        <v>5.6999999999999993</v>
      </c>
      <c r="F722" s="12">
        <v>20</v>
      </c>
      <c r="G722" s="12">
        <v>5.6999999999999993</v>
      </c>
      <c r="H722" s="12">
        <v>6.4686274509803905</v>
      </c>
      <c r="I722" s="12" t="s">
        <v>124</v>
      </c>
      <c r="J722" s="12">
        <v>46247</v>
      </c>
      <c r="K722">
        <v>46247</v>
      </c>
    </row>
    <row r="723" spans="1:11" hidden="1" x14ac:dyDescent="0.25">
      <c r="A723" s="12" t="s">
        <v>63</v>
      </c>
      <c r="B723" s="12" t="s">
        <v>38</v>
      </c>
      <c r="C723" s="12" t="s">
        <v>14</v>
      </c>
      <c r="D723" s="12">
        <v>3.3711289800323794</v>
      </c>
      <c r="E723" s="12">
        <v>1.9</v>
      </c>
      <c r="F723" s="12">
        <v>20</v>
      </c>
      <c r="G723" s="12">
        <v>1.9</v>
      </c>
      <c r="H723" s="12">
        <v>3.0449826989619377</v>
      </c>
      <c r="I723" s="12" t="s">
        <v>124</v>
      </c>
      <c r="J723" s="12">
        <v>46247</v>
      </c>
      <c r="K723">
        <v>46247</v>
      </c>
    </row>
    <row r="724" spans="1:11" hidden="1" x14ac:dyDescent="0.25">
      <c r="A724" s="12" t="s">
        <v>63</v>
      </c>
      <c r="B724" s="12" t="s">
        <v>60</v>
      </c>
      <c r="C724" s="12" t="s">
        <v>14</v>
      </c>
      <c r="D724" s="12">
        <v>3.1774912809962848</v>
      </c>
      <c r="E724" s="12">
        <v>0</v>
      </c>
      <c r="F724" s="12">
        <v>20</v>
      </c>
      <c r="G724" s="12">
        <v>0</v>
      </c>
      <c r="H724" s="12">
        <v>0.33217993079584773</v>
      </c>
      <c r="I724" s="12" t="s">
        <v>124</v>
      </c>
      <c r="J724" s="12">
        <v>46247</v>
      </c>
      <c r="K724">
        <v>46247</v>
      </c>
    </row>
    <row r="725" spans="1:11" hidden="1" x14ac:dyDescent="0.25">
      <c r="A725" s="12" t="s">
        <v>63</v>
      </c>
      <c r="B725" s="12" t="s">
        <v>38</v>
      </c>
      <c r="C725" s="12" t="s">
        <v>15</v>
      </c>
      <c r="D725" s="12">
        <v>1.2735376146788988</v>
      </c>
      <c r="E725" s="12">
        <v>0</v>
      </c>
      <c r="F725" s="12">
        <v>20</v>
      </c>
      <c r="G725" s="12">
        <v>0</v>
      </c>
      <c r="H725" s="12">
        <v>6.2745098039215685E-2</v>
      </c>
      <c r="I725" s="12" t="s">
        <v>125</v>
      </c>
      <c r="J725" s="12">
        <v>46247</v>
      </c>
      <c r="K725">
        <v>46247</v>
      </c>
    </row>
    <row r="726" spans="1:11" hidden="1" x14ac:dyDescent="0.25">
      <c r="A726" s="12" t="s">
        <v>63</v>
      </c>
      <c r="B726" s="12" t="s">
        <v>60</v>
      </c>
      <c r="C726" s="12" t="s">
        <v>15</v>
      </c>
      <c r="D726" s="12">
        <v>0</v>
      </c>
      <c r="E726" s="12">
        <v>0.95</v>
      </c>
      <c r="F726" s="12">
        <v>20</v>
      </c>
      <c r="G726" s="12">
        <v>0.95</v>
      </c>
      <c r="H726" s="12">
        <v>0</v>
      </c>
      <c r="I726" s="12" t="s">
        <v>125</v>
      </c>
      <c r="J726" s="12">
        <v>46247</v>
      </c>
      <c r="K726">
        <v>46247</v>
      </c>
    </row>
    <row r="727" spans="1:11" x14ac:dyDescent="0.25">
      <c r="A727" s="12" t="s">
        <v>63</v>
      </c>
      <c r="B727" s="12" t="s">
        <v>37</v>
      </c>
      <c r="C727" s="12" t="s">
        <v>13</v>
      </c>
      <c r="D727" s="12">
        <v>10.887872467538832</v>
      </c>
      <c r="E727" s="12">
        <v>26.6</v>
      </c>
      <c r="F727" s="12">
        <v>20</v>
      </c>
      <c r="G727" s="12">
        <v>26.6</v>
      </c>
      <c r="H727" s="12">
        <v>10.075490196078428</v>
      </c>
      <c r="I727" s="12" t="s">
        <v>126</v>
      </c>
      <c r="J727" s="12">
        <v>46247</v>
      </c>
      <c r="K727">
        <v>46247</v>
      </c>
    </row>
    <row r="728" spans="1:11" x14ac:dyDescent="0.25">
      <c r="A728" s="12" t="s">
        <v>63</v>
      </c>
      <c r="B728" s="12" t="s">
        <v>60</v>
      </c>
      <c r="C728" s="12" t="s">
        <v>13</v>
      </c>
      <c r="D728" s="12">
        <v>3.6011567851291222</v>
      </c>
      <c r="E728" s="12">
        <v>1.9</v>
      </c>
      <c r="F728" s="12">
        <v>20</v>
      </c>
      <c r="G728" s="12">
        <v>1.9</v>
      </c>
      <c r="H728" s="12">
        <v>1.6470588235294119</v>
      </c>
      <c r="I728" s="12" t="s">
        <v>126</v>
      </c>
      <c r="J728" s="12">
        <v>46247</v>
      </c>
      <c r="K728">
        <v>46247</v>
      </c>
    </row>
    <row r="729" spans="1:11" hidden="1" x14ac:dyDescent="0.25">
      <c r="A729" s="12" t="s">
        <v>63</v>
      </c>
      <c r="B729" s="12" t="s">
        <v>37</v>
      </c>
      <c r="C729" s="12" t="s">
        <v>15</v>
      </c>
      <c r="D729" s="12">
        <v>4.220105607573192</v>
      </c>
      <c r="E729" s="12">
        <v>3.8</v>
      </c>
      <c r="F729" s="12">
        <v>20</v>
      </c>
      <c r="G729" s="12">
        <v>3.8</v>
      </c>
      <c r="H729" s="12">
        <v>3.2058823529411757</v>
      </c>
      <c r="I729" s="12" t="s">
        <v>125</v>
      </c>
      <c r="J729" s="12">
        <v>46247</v>
      </c>
      <c r="K729">
        <v>46247</v>
      </c>
    </row>
    <row r="730" spans="1:11" x14ac:dyDescent="0.25">
      <c r="A730" s="12" t="s">
        <v>63</v>
      </c>
      <c r="B730" s="12" t="s">
        <v>38</v>
      </c>
      <c r="C730" s="12" t="s">
        <v>13</v>
      </c>
      <c r="D730" s="12">
        <v>5.7458435349770651</v>
      </c>
      <c r="E730" s="12">
        <v>3.8</v>
      </c>
      <c r="F730" s="12">
        <v>20</v>
      </c>
      <c r="G730" s="12">
        <v>3.8</v>
      </c>
      <c r="H730" s="12">
        <v>2.7058823529411775</v>
      </c>
      <c r="I730" s="12" t="s">
        <v>126</v>
      </c>
      <c r="J730" s="12">
        <v>46247</v>
      </c>
      <c r="K730">
        <v>46247</v>
      </c>
    </row>
    <row r="731" spans="1:11" hidden="1" x14ac:dyDescent="0.25">
      <c r="A731" s="12" t="s">
        <v>63</v>
      </c>
      <c r="B731" s="12" t="s">
        <v>38</v>
      </c>
      <c r="C731" s="12" t="s">
        <v>14</v>
      </c>
      <c r="D731" s="12">
        <v>2.2474193200215864</v>
      </c>
      <c r="E731" s="12">
        <v>2.8499999999999996</v>
      </c>
      <c r="F731" s="12">
        <v>20</v>
      </c>
      <c r="G731" s="12">
        <v>2.8499999999999996</v>
      </c>
      <c r="H731" s="12">
        <v>3.1003460207612448</v>
      </c>
      <c r="I731" s="12" t="s">
        <v>127</v>
      </c>
      <c r="J731" s="12">
        <v>46248</v>
      </c>
      <c r="K731">
        <v>46248</v>
      </c>
    </row>
    <row r="732" spans="1:11" hidden="1" x14ac:dyDescent="0.25">
      <c r="A732" s="12" t="s">
        <v>63</v>
      </c>
      <c r="B732" s="12" t="s">
        <v>60</v>
      </c>
      <c r="C732" s="12" t="s">
        <v>14</v>
      </c>
      <c r="D732" s="12">
        <v>3.1774912809962848</v>
      </c>
      <c r="E732" s="12">
        <v>0</v>
      </c>
      <c r="F732" s="12">
        <v>20</v>
      </c>
      <c r="G732" s="12">
        <v>0</v>
      </c>
      <c r="H732" s="12">
        <v>0.16608996539792387</v>
      </c>
      <c r="I732" s="12" t="s">
        <v>127</v>
      </c>
      <c r="J732" s="12">
        <v>46248</v>
      </c>
      <c r="K732">
        <v>46248</v>
      </c>
    </row>
    <row r="733" spans="1:11" hidden="1" x14ac:dyDescent="0.25">
      <c r="A733" s="12" t="s">
        <v>63</v>
      </c>
      <c r="B733" s="12" t="s">
        <v>37</v>
      </c>
      <c r="C733" s="12" t="s">
        <v>14</v>
      </c>
      <c r="D733" s="12">
        <v>11.028542654457937</v>
      </c>
      <c r="E733" s="12">
        <v>6.6499999999999995</v>
      </c>
      <c r="F733" s="12">
        <v>20</v>
      </c>
      <c r="G733" s="12">
        <v>6.6499999999999995</v>
      </c>
      <c r="H733" s="12">
        <v>7.1602941176470605</v>
      </c>
      <c r="I733" s="12" t="s">
        <v>127</v>
      </c>
      <c r="J733" s="12">
        <v>46248</v>
      </c>
      <c r="K733">
        <v>46248</v>
      </c>
    </row>
    <row r="734" spans="1:11" hidden="1" x14ac:dyDescent="0.25">
      <c r="A734" s="12" t="s">
        <v>63</v>
      </c>
      <c r="B734" s="12" t="s">
        <v>37</v>
      </c>
      <c r="C734" s="12" t="s">
        <v>15</v>
      </c>
      <c r="D734" s="12">
        <v>4.220105607573192</v>
      </c>
      <c r="E734" s="12">
        <v>3.8</v>
      </c>
      <c r="F734" s="12">
        <v>20</v>
      </c>
      <c r="G734" s="12">
        <v>3.8</v>
      </c>
      <c r="H734" s="12">
        <v>3.2058823529411757</v>
      </c>
      <c r="I734" s="12" t="s">
        <v>129</v>
      </c>
      <c r="J734" s="12">
        <v>46248</v>
      </c>
      <c r="K734">
        <v>46248</v>
      </c>
    </row>
    <row r="735" spans="1:11" hidden="1" x14ac:dyDescent="0.25">
      <c r="A735" s="12" t="s">
        <v>63</v>
      </c>
      <c r="B735" s="12" t="s">
        <v>38</v>
      </c>
      <c r="C735" s="12" t="s">
        <v>15</v>
      </c>
      <c r="D735" s="12">
        <v>1.2735376146788988</v>
      </c>
      <c r="E735" s="12">
        <v>0</v>
      </c>
      <c r="F735" s="12">
        <v>20</v>
      </c>
      <c r="G735" s="12">
        <v>0</v>
      </c>
      <c r="H735" s="12">
        <v>6.2745098039215685E-2</v>
      </c>
      <c r="I735" s="12" t="s">
        <v>129</v>
      </c>
      <c r="J735" s="12">
        <v>46248</v>
      </c>
      <c r="K735">
        <v>46248</v>
      </c>
    </row>
    <row r="736" spans="1:11" x14ac:dyDescent="0.25">
      <c r="A736" s="12" t="s">
        <v>63</v>
      </c>
      <c r="B736" s="12" t="s">
        <v>37</v>
      </c>
      <c r="C736" s="12" t="s">
        <v>13</v>
      </c>
      <c r="D736" s="12">
        <v>10.972274579690296</v>
      </c>
      <c r="E736" s="12">
        <v>23.75</v>
      </c>
      <c r="F736" s="12">
        <v>20</v>
      </c>
      <c r="G736" s="12">
        <v>23.75</v>
      </c>
      <c r="H736" s="12">
        <v>9.258823529411762</v>
      </c>
      <c r="I736" s="12" t="s">
        <v>128</v>
      </c>
      <c r="J736" s="12">
        <v>46248</v>
      </c>
      <c r="K736">
        <v>46248</v>
      </c>
    </row>
    <row r="737" spans="1:11" x14ac:dyDescent="0.25">
      <c r="A737" s="12" t="s">
        <v>63</v>
      </c>
      <c r="B737" s="12" t="s">
        <v>60</v>
      </c>
      <c r="C737" s="12" t="s">
        <v>13</v>
      </c>
      <c r="D737" s="12">
        <v>3.6011567851291222</v>
      </c>
      <c r="E737" s="12">
        <v>0.95</v>
      </c>
      <c r="F737" s="12">
        <v>20</v>
      </c>
      <c r="G737" s="12">
        <v>0.95</v>
      </c>
      <c r="H737" s="12">
        <v>0.82352941176470595</v>
      </c>
      <c r="I737" s="12" t="s">
        <v>128</v>
      </c>
      <c r="J737" s="12">
        <v>46248</v>
      </c>
      <c r="K737">
        <v>46248</v>
      </c>
    </row>
    <row r="738" spans="1:11" hidden="1" x14ac:dyDescent="0.25">
      <c r="A738" s="12" t="s">
        <v>63</v>
      </c>
      <c r="B738" s="12" t="s">
        <v>60</v>
      </c>
      <c r="C738" s="12" t="s">
        <v>15</v>
      </c>
      <c r="D738" s="12">
        <v>0</v>
      </c>
      <c r="E738" s="12">
        <v>0</v>
      </c>
      <c r="F738" s="12">
        <v>20</v>
      </c>
      <c r="G738" s="12">
        <v>0</v>
      </c>
      <c r="H738" s="12">
        <v>0</v>
      </c>
      <c r="I738" s="12" t="s">
        <v>129</v>
      </c>
      <c r="J738" s="12">
        <v>46248</v>
      </c>
      <c r="K738">
        <v>46248</v>
      </c>
    </row>
    <row r="739" spans="1:11" x14ac:dyDescent="0.25">
      <c r="A739" s="12" t="s">
        <v>63</v>
      </c>
      <c r="B739" s="12" t="s">
        <v>38</v>
      </c>
      <c r="C739" s="12" t="s">
        <v>13</v>
      </c>
      <c r="D739" s="12">
        <v>4.5519020212155956</v>
      </c>
      <c r="E739" s="12">
        <v>3.8</v>
      </c>
      <c r="F739" s="12">
        <v>20</v>
      </c>
      <c r="G739" s="12">
        <v>3.8</v>
      </c>
      <c r="H739" s="12">
        <v>3.3970588235294112</v>
      </c>
      <c r="I739" s="12" t="s">
        <v>128</v>
      </c>
      <c r="J739" s="12">
        <v>46248</v>
      </c>
      <c r="K739">
        <v>46248</v>
      </c>
    </row>
    <row r="740" spans="1:11" hidden="1" x14ac:dyDescent="0.25">
      <c r="A740" s="12" t="s">
        <v>63</v>
      </c>
      <c r="B740" s="12" t="s">
        <v>38</v>
      </c>
      <c r="C740" s="12" t="s">
        <v>14</v>
      </c>
      <c r="D740" s="12">
        <v>2.2474193200215868</v>
      </c>
      <c r="E740" s="12">
        <v>4.75</v>
      </c>
      <c r="F740" s="12">
        <v>20</v>
      </c>
      <c r="G740" s="12">
        <v>4.75</v>
      </c>
      <c r="H740" s="12">
        <v>1.882352941176471</v>
      </c>
      <c r="I740" s="12" t="s">
        <v>130</v>
      </c>
      <c r="J740" s="12">
        <v>46249</v>
      </c>
      <c r="K740">
        <v>46249</v>
      </c>
    </row>
    <row r="741" spans="1:11" hidden="1" x14ac:dyDescent="0.25">
      <c r="A741" s="12" t="s">
        <v>63</v>
      </c>
      <c r="B741" s="12" t="s">
        <v>60</v>
      </c>
      <c r="C741" s="12" t="s">
        <v>14</v>
      </c>
      <c r="D741" s="12">
        <v>3.2304494690128904</v>
      </c>
      <c r="E741" s="12">
        <v>0</v>
      </c>
      <c r="F741" s="12">
        <v>20</v>
      </c>
      <c r="G741" s="12">
        <v>0</v>
      </c>
      <c r="H741" s="12">
        <v>0</v>
      </c>
      <c r="I741" s="12" t="s">
        <v>130</v>
      </c>
      <c r="J741" s="12">
        <v>46249</v>
      </c>
      <c r="K741">
        <v>46249</v>
      </c>
    </row>
    <row r="742" spans="1:11" hidden="1" x14ac:dyDescent="0.25">
      <c r="A742" s="12" t="s">
        <v>63</v>
      </c>
      <c r="B742" s="12" t="s">
        <v>37</v>
      </c>
      <c r="C742" s="12" t="s">
        <v>14</v>
      </c>
      <c r="D742" s="12">
        <v>10.972274579690296</v>
      </c>
      <c r="E742" s="12">
        <v>6.6499999999999995</v>
      </c>
      <c r="F742" s="12">
        <v>20</v>
      </c>
      <c r="G742" s="12">
        <v>6.6499999999999995</v>
      </c>
      <c r="H742" s="12">
        <v>7.1014705882352924</v>
      </c>
      <c r="I742" s="12" t="s">
        <v>130</v>
      </c>
      <c r="J742" s="12">
        <v>46249</v>
      </c>
      <c r="K742">
        <v>46249</v>
      </c>
    </row>
    <row r="743" spans="1:11" hidden="1" x14ac:dyDescent="0.25">
      <c r="A743" s="12" t="s">
        <v>63</v>
      </c>
      <c r="B743" s="12" t="s">
        <v>60</v>
      </c>
      <c r="C743" s="12" t="s">
        <v>15</v>
      </c>
      <c r="D743" s="12">
        <v>0</v>
      </c>
      <c r="E743" s="12">
        <v>0</v>
      </c>
      <c r="F743" s="12">
        <v>20</v>
      </c>
      <c r="G743" s="12">
        <v>0</v>
      </c>
      <c r="H743" s="12">
        <v>0</v>
      </c>
      <c r="I743" s="12" t="s">
        <v>131</v>
      </c>
      <c r="J743" s="12">
        <v>46249</v>
      </c>
      <c r="K743">
        <v>46249</v>
      </c>
    </row>
    <row r="744" spans="1:11" hidden="1" x14ac:dyDescent="0.25">
      <c r="A744" s="12" t="s">
        <v>63</v>
      </c>
      <c r="B744" s="12" t="s">
        <v>37</v>
      </c>
      <c r="C744" s="12" t="s">
        <v>15</v>
      </c>
      <c r="D744" s="12">
        <v>4.220105607573192</v>
      </c>
      <c r="E744" s="12">
        <v>2.8499999999999996</v>
      </c>
      <c r="F744" s="12">
        <v>20</v>
      </c>
      <c r="G744" s="12">
        <v>2.8499999999999996</v>
      </c>
      <c r="H744" s="12">
        <v>3.2647058823529398</v>
      </c>
      <c r="I744" s="12" t="s">
        <v>131</v>
      </c>
      <c r="J744" s="12">
        <v>46249</v>
      </c>
      <c r="K744">
        <v>46249</v>
      </c>
    </row>
    <row r="745" spans="1:11" x14ac:dyDescent="0.25">
      <c r="A745" s="12" t="s">
        <v>63</v>
      </c>
      <c r="B745" s="12" t="s">
        <v>38</v>
      </c>
      <c r="C745" s="12" t="s">
        <v>13</v>
      </c>
      <c r="D745" s="12">
        <v>5.3727368119266048</v>
      </c>
      <c r="E745" s="12">
        <v>0.95</v>
      </c>
      <c r="F745" s="12">
        <v>20</v>
      </c>
      <c r="G745" s="12">
        <v>0.95</v>
      </c>
      <c r="H745" s="12">
        <v>1.6911764705882355</v>
      </c>
      <c r="I745" s="12" t="s">
        <v>143</v>
      </c>
      <c r="J745" s="12">
        <v>46249</v>
      </c>
      <c r="K745">
        <v>46249</v>
      </c>
    </row>
    <row r="746" spans="1:11" x14ac:dyDescent="0.25">
      <c r="A746" s="12" t="s">
        <v>63</v>
      </c>
      <c r="B746" s="12" t="s">
        <v>60</v>
      </c>
      <c r="C746" s="12" t="s">
        <v>13</v>
      </c>
      <c r="D746" s="12">
        <v>3.6011567851291222</v>
      </c>
      <c r="E746" s="12">
        <v>2.8499999999999996</v>
      </c>
      <c r="F746" s="12">
        <v>20</v>
      </c>
      <c r="G746" s="12">
        <v>2.8499999999999996</v>
      </c>
      <c r="H746" s="12">
        <v>0</v>
      </c>
      <c r="I746" s="12" t="s">
        <v>143</v>
      </c>
      <c r="J746" s="12">
        <v>46249</v>
      </c>
      <c r="K746">
        <v>46249</v>
      </c>
    </row>
    <row r="747" spans="1:11" x14ac:dyDescent="0.25">
      <c r="A747" s="12" t="s">
        <v>63</v>
      </c>
      <c r="B747" s="12" t="s">
        <v>37</v>
      </c>
      <c r="C747" s="12" t="s">
        <v>13</v>
      </c>
      <c r="D747" s="12">
        <v>11.028542654457937</v>
      </c>
      <c r="E747" s="12">
        <v>27.549999999999997</v>
      </c>
      <c r="F747" s="12">
        <v>20</v>
      </c>
      <c r="G747" s="12">
        <v>27.549999999999997</v>
      </c>
      <c r="H747" s="12">
        <v>9.2588235294117602</v>
      </c>
      <c r="I747" s="12" t="s">
        <v>143</v>
      </c>
      <c r="J747" s="12">
        <v>46249</v>
      </c>
      <c r="K747">
        <v>46249</v>
      </c>
    </row>
    <row r="748" spans="1:11" hidden="1" x14ac:dyDescent="0.25">
      <c r="A748" s="12" t="s">
        <v>63</v>
      </c>
      <c r="B748" s="12" t="s">
        <v>38</v>
      </c>
      <c r="C748" s="12" t="s">
        <v>15</v>
      </c>
      <c r="D748" s="12">
        <v>1.2735376146788988</v>
      </c>
      <c r="E748" s="12">
        <v>0</v>
      </c>
      <c r="F748" s="12">
        <v>20</v>
      </c>
      <c r="G748" s="12">
        <v>0</v>
      </c>
      <c r="H748" s="12">
        <v>6.2745098039215685E-2</v>
      </c>
      <c r="I748" s="12" t="s">
        <v>131</v>
      </c>
      <c r="J748" s="12">
        <v>46249</v>
      </c>
      <c r="K748">
        <v>46249</v>
      </c>
    </row>
    <row r="749" spans="1:11" x14ac:dyDescent="0.25">
      <c r="A749" s="12" t="s">
        <v>63</v>
      </c>
      <c r="B749" s="12" t="s">
        <v>38</v>
      </c>
      <c r="C749" s="12" t="s">
        <v>13</v>
      </c>
      <c r="D749" s="12">
        <v>3.5818245412844032</v>
      </c>
      <c r="E749" s="12">
        <v>1.9</v>
      </c>
      <c r="F749" s="12">
        <v>20</v>
      </c>
      <c r="G749" s="12">
        <v>1.9</v>
      </c>
      <c r="H749" s="12">
        <v>1.7647058823529416</v>
      </c>
      <c r="I749" s="12" t="s">
        <v>132</v>
      </c>
      <c r="J749" s="12">
        <v>46250</v>
      </c>
      <c r="K749">
        <v>46250</v>
      </c>
    </row>
    <row r="750" spans="1:11" x14ac:dyDescent="0.25">
      <c r="A750" s="12" t="s">
        <v>63</v>
      </c>
      <c r="B750" s="12" t="s">
        <v>37</v>
      </c>
      <c r="C750" s="12" t="s">
        <v>13</v>
      </c>
      <c r="D750" s="12">
        <v>10.972274579690296</v>
      </c>
      <c r="E750" s="12">
        <v>34.199999999999996</v>
      </c>
      <c r="F750" s="12">
        <v>20</v>
      </c>
      <c r="G750" s="12">
        <v>34.199999999999996</v>
      </c>
      <c r="H750" s="12">
        <v>8.4421568627450938</v>
      </c>
      <c r="I750" s="12" t="s">
        <v>132</v>
      </c>
      <c r="J750" s="12">
        <v>46250</v>
      </c>
      <c r="K750">
        <v>46250</v>
      </c>
    </row>
    <row r="751" spans="1:11" hidden="1" x14ac:dyDescent="0.25">
      <c r="A751" s="12" t="s">
        <v>63</v>
      </c>
      <c r="B751" s="12" t="s">
        <v>38</v>
      </c>
      <c r="C751" s="12" t="s">
        <v>15</v>
      </c>
      <c r="D751" s="12">
        <v>1.2735376146788988</v>
      </c>
      <c r="E751" s="12">
        <v>0</v>
      </c>
      <c r="F751" s="12">
        <v>20</v>
      </c>
      <c r="G751" s="12">
        <v>0</v>
      </c>
      <c r="H751" s="12">
        <v>6.2745098039215685E-2</v>
      </c>
      <c r="I751" s="12" t="s">
        <v>133</v>
      </c>
      <c r="J751" s="12">
        <v>46250</v>
      </c>
      <c r="K751">
        <v>46250</v>
      </c>
    </row>
    <row r="752" spans="1:11" hidden="1" x14ac:dyDescent="0.25">
      <c r="A752" s="12" t="s">
        <v>63</v>
      </c>
      <c r="B752" s="12" t="s">
        <v>60</v>
      </c>
      <c r="C752" s="12" t="s">
        <v>15</v>
      </c>
      <c r="D752" s="12">
        <v>0</v>
      </c>
      <c r="E752" s="12">
        <v>1.9</v>
      </c>
      <c r="F752" s="12">
        <v>20</v>
      </c>
      <c r="G752" s="12">
        <v>1.9</v>
      </c>
      <c r="H752" s="12">
        <v>0</v>
      </c>
      <c r="I752" s="12" t="s">
        <v>133</v>
      </c>
      <c r="J752" s="12">
        <v>46250</v>
      </c>
      <c r="K752">
        <v>46250</v>
      </c>
    </row>
    <row r="753" spans="1:11" hidden="1" x14ac:dyDescent="0.25">
      <c r="A753" s="12" t="s">
        <v>63</v>
      </c>
      <c r="B753" s="12" t="s">
        <v>37</v>
      </c>
      <c r="C753" s="12" t="s">
        <v>15</v>
      </c>
      <c r="D753" s="12">
        <v>4.220105607573192</v>
      </c>
      <c r="E753" s="12">
        <v>4.75</v>
      </c>
      <c r="F753" s="12">
        <v>20</v>
      </c>
      <c r="G753" s="12">
        <v>4.75</v>
      </c>
      <c r="H753" s="12">
        <v>3.3235294117647056</v>
      </c>
      <c r="I753" s="12" t="s">
        <v>133</v>
      </c>
      <c r="J753" s="12">
        <v>46250</v>
      </c>
      <c r="K753">
        <v>46250</v>
      </c>
    </row>
    <row r="754" spans="1:11" hidden="1" x14ac:dyDescent="0.25">
      <c r="A754" s="12" t="s">
        <v>63</v>
      </c>
      <c r="B754" s="12" t="s">
        <v>38</v>
      </c>
      <c r="C754" s="12" t="s">
        <v>14</v>
      </c>
      <c r="D754" s="12">
        <v>2.2474193200215868</v>
      </c>
      <c r="E754" s="12">
        <v>4.75</v>
      </c>
      <c r="F754" s="12">
        <v>20</v>
      </c>
      <c r="G754" s="12">
        <v>4.75</v>
      </c>
      <c r="H754" s="12">
        <v>2.0484429065743948</v>
      </c>
      <c r="I754" s="12" t="s">
        <v>144</v>
      </c>
      <c r="J754" s="12">
        <v>46250</v>
      </c>
      <c r="K754">
        <v>46250</v>
      </c>
    </row>
    <row r="755" spans="1:11" hidden="1" x14ac:dyDescent="0.25">
      <c r="A755" s="12" t="s">
        <v>63</v>
      </c>
      <c r="B755" s="12" t="s">
        <v>60</v>
      </c>
      <c r="C755" s="12" t="s">
        <v>14</v>
      </c>
      <c r="D755" s="12">
        <v>3.1774912809962856</v>
      </c>
      <c r="E755" s="12">
        <v>0.95</v>
      </c>
      <c r="F755" s="12">
        <v>20</v>
      </c>
      <c r="G755" s="12">
        <v>0.95</v>
      </c>
      <c r="H755" s="12">
        <v>0</v>
      </c>
      <c r="I755" s="12" t="s">
        <v>144</v>
      </c>
      <c r="J755" s="12">
        <v>46250</v>
      </c>
      <c r="K755">
        <v>46250</v>
      </c>
    </row>
    <row r="756" spans="1:11" hidden="1" x14ac:dyDescent="0.25">
      <c r="A756" s="12" t="s">
        <v>63</v>
      </c>
      <c r="B756" s="12" t="s">
        <v>37</v>
      </c>
      <c r="C756" s="12" t="s">
        <v>14</v>
      </c>
      <c r="D756" s="12">
        <v>10.972274579690296</v>
      </c>
      <c r="E756" s="12">
        <v>6.6499999999999995</v>
      </c>
      <c r="F756" s="12">
        <v>20</v>
      </c>
      <c r="G756" s="12">
        <v>6.6499999999999995</v>
      </c>
      <c r="H756" s="12">
        <v>7.984313725490197</v>
      </c>
      <c r="I756" s="12" t="s">
        <v>144</v>
      </c>
      <c r="J756" s="12">
        <v>46250</v>
      </c>
      <c r="K756">
        <v>46250</v>
      </c>
    </row>
    <row r="757" spans="1:11" x14ac:dyDescent="0.25">
      <c r="A757" s="12" t="s">
        <v>63</v>
      </c>
      <c r="B757" s="12" t="s">
        <v>60</v>
      </c>
      <c r="C757" s="12" t="s">
        <v>13</v>
      </c>
      <c r="D757" s="12">
        <v>3.6011567851291222</v>
      </c>
      <c r="E757" s="12">
        <v>0</v>
      </c>
      <c r="F757" s="12">
        <v>20</v>
      </c>
      <c r="G757" s="12">
        <v>0</v>
      </c>
      <c r="H757" s="12">
        <v>0</v>
      </c>
      <c r="I757" s="12" t="s">
        <v>132</v>
      </c>
      <c r="J757" s="12">
        <v>46250</v>
      </c>
      <c r="K757">
        <v>46250</v>
      </c>
    </row>
  </sheetData>
  <conditionalFormatting sqref="N2:N44">
    <cfRule type="cellIs" dxfId="11" priority="2" operator="lessThan">
      <formula>-0.4</formula>
    </cfRule>
  </conditionalFormatting>
  <conditionalFormatting sqref="O2:O44">
    <cfRule type="cellIs" dxfId="10" priority="1" operator="greaterThan">
      <formula>0.4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1417-0AB6-4BD8-A0AB-87DB0A788339}">
  <dimension ref="A1:T757"/>
  <sheetViews>
    <sheetView tabSelected="1" workbookViewId="0">
      <selection activeCell="L279" sqref="L279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2" bestFit="1" customWidth="1"/>
    <col min="5" max="5" width="10.7109375" bestFit="1" customWidth="1"/>
    <col min="6" max="6" width="17.140625" bestFit="1" customWidth="1"/>
    <col min="7" max="7" width="11.85546875" bestFit="1" customWidth="1"/>
    <col min="8" max="8" width="12.28515625" bestFit="1" customWidth="1"/>
    <col min="9" max="9" width="16.42578125" bestFit="1" customWidth="1"/>
    <col min="10" max="10" width="9.7109375" bestFit="1" customWidth="1"/>
    <col min="11" max="11" width="8.5703125" bestFit="1" customWidth="1"/>
    <col min="12" max="20" width="12" bestFit="1" customWidth="1"/>
    <col min="21" max="25" width="12" customWidth="1"/>
    <col min="26" max="26" width="5.5703125" bestFit="1" customWidth="1"/>
    <col min="27" max="27" width="12" customWidth="1"/>
    <col min="28" max="28" width="12" bestFit="1" customWidth="1"/>
    <col min="29" max="29" width="6" bestFit="1" customWidth="1"/>
    <col min="30" max="30" width="5.5703125" bestFit="1" customWidth="1"/>
  </cols>
  <sheetData>
    <row r="1" spans="1:20" x14ac:dyDescent="0.25">
      <c r="A1" t="s">
        <v>22</v>
      </c>
      <c r="B1" t="s">
        <v>1</v>
      </c>
      <c r="C1" t="s">
        <v>21</v>
      </c>
      <c r="D1" t="s">
        <v>3</v>
      </c>
      <c r="E1" t="s">
        <v>4</v>
      </c>
      <c r="F1" t="s">
        <v>19</v>
      </c>
      <c r="G1" t="s">
        <v>5</v>
      </c>
      <c r="H1" t="s">
        <v>2</v>
      </c>
      <c r="I1" t="s">
        <v>20</v>
      </c>
      <c r="J1" t="s">
        <v>0</v>
      </c>
      <c r="K1" t="s">
        <v>39</v>
      </c>
      <c r="L1" t="s">
        <v>6</v>
      </c>
      <c r="M1" t="s">
        <v>7</v>
      </c>
      <c r="N1" t="s">
        <v>8</v>
      </c>
      <c r="O1" t="s">
        <v>9</v>
      </c>
      <c r="P1" t="s">
        <v>10</v>
      </c>
      <c r="Q1" t="s">
        <v>11</v>
      </c>
      <c r="R1" t="s">
        <v>17</v>
      </c>
      <c r="S1" t="s">
        <v>12</v>
      </c>
      <c r="T1" t="s">
        <v>16</v>
      </c>
    </row>
    <row r="2" spans="1:20" x14ac:dyDescent="0.25">
      <c r="A2" s="12" t="s">
        <v>61</v>
      </c>
      <c r="B2" s="12" t="s">
        <v>37</v>
      </c>
      <c r="C2" s="12" t="s">
        <v>15</v>
      </c>
      <c r="D2" s="12">
        <v>4.220105607573192</v>
      </c>
      <c r="E2" s="12">
        <v>32.299999999999997</v>
      </c>
      <c r="F2" s="12">
        <v>20</v>
      </c>
      <c r="G2" s="12">
        <v>32.299999999999997</v>
      </c>
      <c r="H2" s="12">
        <v>5.6041666666666661</v>
      </c>
      <c r="I2" s="12" t="s">
        <v>134</v>
      </c>
      <c r="J2" s="6">
        <v>46223</v>
      </c>
      <c r="K2">
        <v>46223</v>
      </c>
      <c r="L2">
        <v>7.6538368949904996</v>
      </c>
      <c r="M2">
        <v>7.6538368949904996</v>
      </c>
      <c r="N2">
        <v>1.327968346718553</v>
      </c>
      <c r="O2">
        <v>0.13065342438307098</v>
      </c>
      <c r="P2">
        <v>0.13065342438307098</v>
      </c>
      <c r="Q2">
        <v>0.17350361197110423</v>
      </c>
      <c r="R2">
        <v>5.7635687732342005</v>
      </c>
      <c r="S2">
        <v>5.7635687732342005</v>
      </c>
      <c r="T2">
        <v>0.75302999689038375</v>
      </c>
    </row>
    <row r="3" spans="1:20" x14ac:dyDescent="0.25">
      <c r="A3" s="12" t="s">
        <v>61</v>
      </c>
      <c r="B3" s="12" t="s">
        <v>37</v>
      </c>
      <c r="C3" s="12" t="s">
        <v>14</v>
      </c>
      <c r="D3" s="12">
        <v>10.972274579690296</v>
      </c>
      <c r="E3" s="12">
        <v>19.95</v>
      </c>
      <c r="F3" s="12">
        <v>20</v>
      </c>
      <c r="G3" s="12">
        <v>19.95</v>
      </c>
      <c r="H3" s="12">
        <v>10.407781862745098</v>
      </c>
      <c r="I3" s="12" t="s">
        <v>65</v>
      </c>
      <c r="J3" s="6">
        <v>46223</v>
      </c>
      <c r="K3">
        <v>46223</v>
      </c>
      <c r="L3">
        <v>1.8182191718868841</v>
      </c>
      <c r="M3">
        <v>1.8182191718868841</v>
      </c>
      <c r="N3">
        <v>0.94855280800299369</v>
      </c>
      <c r="O3">
        <v>0.54998870073635575</v>
      </c>
      <c r="P3">
        <v>0.54998870073635575</v>
      </c>
      <c r="Q3">
        <v>0.5216933264533884</v>
      </c>
      <c r="R3">
        <v>1.9168349474551822</v>
      </c>
      <c r="S3">
        <v>1.9168349474551822</v>
      </c>
      <c r="T3">
        <v>1.0542375622769165</v>
      </c>
    </row>
    <row r="4" spans="1:20" x14ac:dyDescent="0.25">
      <c r="A4" s="12" t="s">
        <v>61</v>
      </c>
      <c r="B4" s="12" t="s">
        <v>37</v>
      </c>
      <c r="C4" s="12" t="s">
        <v>13</v>
      </c>
      <c r="D4" s="12">
        <v>11.872563775972576</v>
      </c>
      <c r="E4" s="12">
        <v>15.2</v>
      </c>
      <c r="F4" s="12">
        <v>20</v>
      </c>
      <c r="G4" s="12">
        <v>15.2</v>
      </c>
      <c r="H4" s="12">
        <v>10.316176470588236</v>
      </c>
      <c r="I4" s="12" t="s">
        <v>64</v>
      </c>
      <c r="J4" s="6">
        <v>46223</v>
      </c>
      <c r="K4">
        <v>46223</v>
      </c>
      <c r="L4">
        <v>1.2802626531904939</v>
      </c>
      <c r="M4">
        <v>1.2802626531904939</v>
      </c>
      <c r="N4">
        <v>0.86890891177741059</v>
      </c>
      <c r="O4">
        <v>0.78108972210345906</v>
      </c>
      <c r="P4">
        <v>0.78108972210345906</v>
      </c>
      <c r="Q4">
        <v>0.67869582043343657</v>
      </c>
      <c r="R4">
        <v>1.4734141126158231</v>
      </c>
      <c r="S4">
        <v>1.4734141126158231</v>
      </c>
      <c r="T4">
        <v>1.150868619766408</v>
      </c>
    </row>
    <row r="5" spans="1:20" x14ac:dyDescent="0.25">
      <c r="A5" s="12" t="s">
        <v>61</v>
      </c>
      <c r="B5" s="12" t="s">
        <v>37</v>
      </c>
      <c r="C5" s="12" t="s">
        <v>14</v>
      </c>
      <c r="D5" s="12">
        <v>10.972274579690296</v>
      </c>
      <c r="E5" s="12">
        <v>1.9</v>
      </c>
      <c r="F5" s="12">
        <v>20</v>
      </c>
      <c r="G5" s="12">
        <v>1.9</v>
      </c>
      <c r="H5" s="12">
        <v>13.104166666666664</v>
      </c>
      <c r="I5" s="12" t="s">
        <v>68</v>
      </c>
      <c r="J5" s="6">
        <v>46224</v>
      </c>
      <c r="K5">
        <v>46224</v>
      </c>
      <c r="L5">
        <v>0.17316373065589372</v>
      </c>
      <c r="M5">
        <v>0.17316373065589372</v>
      </c>
      <c r="N5">
        <v>1.194298098492951</v>
      </c>
      <c r="O5">
        <v>5.7748813577317355</v>
      </c>
      <c r="P5">
        <v>5.7748813577317355</v>
      </c>
      <c r="Q5">
        <v>6.8969298245614024</v>
      </c>
      <c r="R5">
        <v>0.14499205087440384</v>
      </c>
      <c r="S5">
        <v>0.14499205087440384</v>
      </c>
      <c r="T5">
        <v>0.83731189161388608</v>
      </c>
    </row>
    <row r="6" spans="1:20" x14ac:dyDescent="0.25">
      <c r="A6" s="12" t="s">
        <v>61</v>
      </c>
      <c r="B6" s="12" t="s">
        <v>37</v>
      </c>
      <c r="C6" s="12" t="s">
        <v>15</v>
      </c>
      <c r="D6" s="12">
        <v>4.220105607573192</v>
      </c>
      <c r="E6" s="12">
        <v>28.5</v>
      </c>
      <c r="F6" s="12">
        <v>20</v>
      </c>
      <c r="G6" s="12">
        <v>28.5</v>
      </c>
      <c r="H6" s="12">
        <v>5.6041666666666661</v>
      </c>
      <c r="I6" s="12" t="s">
        <v>67</v>
      </c>
      <c r="J6" s="6">
        <v>46224</v>
      </c>
      <c r="K6">
        <v>46224</v>
      </c>
      <c r="L6">
        <v>6.7533854955798533</v>
      </c>
      <c r="M6">
        <v>6.7533854955798533</v>
      </c>
      <c r="N6">
        <v>1.327968346718553</v>
      </c>
      <c r="O6">
        <v>0.14807388096748042</v>
      </c>
      <c r="P6">
        <v>0.14807388096748042</v>
      </c>
      <c r="Q6">
        <v>0.19663742690058478</v>
      </c>
      <c r="R6">
        <v>5.0855018587360599</v>
      </c>
      <c r="S6">
        <v>5.0855018587360599</v>
      </c>
      <c r="T6">
        <v>0.75302999689038375</v>
      </c>
    </row>
    <row r="7" spans="1:20" x14ac:dyDescent="0.25">
      <c r="A7" s="12" t="s">
        <v>61</v>
      </c>
      <c r="B7" s="12" t="s">
        <v>37</v>
      </c>
      <c r="C7" s="12" t="s">
        <v>13</v>
      </c>
      <c r="D7" s="12">
        <v>13.02605930870925</v>
      </c>
      <c r="E7" s="12">
        <v>15.2</v>
      </c>
      <c r="F7" s="12">
        <v>20</v>
      </c>
      <c r="G7" s="12">
        <v>15.2</v>
      </c>
      <c r="H7" s="12">
        <v>13.041666666666664</v>
      </c>
      <c r="I7" s="12" t="s">
        <v>66</v>
      </c>
      <c r="J7" s="6">
        <v>46224</v>
      </c>
      <c r="K7">
        <v>46224</v>
      </c>
      <c r="L7">
        <v>1.1668916623032146</v>
      </c>
      <c r="M7">
        <v>1.1668916623032146</v>
      </c>
      <c r="N7">
        <v>1.0011981642020453</v>
      </c>
      <c r="O7">
        <v>0.85697758609929287</v>
      </c>
      <c r="P7">
        <v>0.85697758609929287</v>
      </c>
      <c r="Q7">
        <v>0.85800438596491213</v>
      </c>
      <c r="R7">
        <v>1.1654952076677318</v>
      </c>
      <c r="S7">
        <v>1.1654952076677318</v>
      </c>
      <c r="T7">
        <v>0.99880326967738675</v>
      </c>
    </row>
    <row r="8" spans="1:20" x14ac:dyDescent="0.25">
      <c r="A8" s="12" t="s">
        <v>61</v>
      </c>
      <c r="B8" s="12" t="s">
        <v>37</v>
      </c>
      <c r="C8" s="12" t="s">
        <v>13</v>
      </c>
      <c r="D8" s="12">
        <v>12.57591471056811</v>
      </c>
      <c r="E8" s="12">
        <v>4.75</v>
      </c>
      <c r="F8" s="12">
        <v>20</v>
      </c>
      <c r="G8" s="12">
        <v>4.75</v>
      </c>
      <c r="H8" s="12">
        <v>12.225490196078432</v>
      </c>
      <c r="I8" s="12" t="s">
        <v>69</v>
      </c>
      <c r="J8" s="6">
        <v>46225</v>
      </c>
      <c r="K8">
        <v>46225</v>
      </c>
      <c r="L8">
        <v>0.3777061239138621</v>
      </c>
      <c r="M8">
        <v>0.3777061239138621</v>
      </c>
      <c r="N8">
        <v>0.97213526629635927</v>
      </c>
      <c r="O8">
        <v>2.6475609916985494</v>
      </c>
      <c r="P8">
        <v>2.6475609916985494</v>
      </c>
      <c r="Q8">
        <v>2.5737874097007225</v>
      </c>
      <c r="R8">
        <v>0.38853247794707296</v>
      </c>
      <c r="S8">
        <v>0.38853247794707296</v>
      </c>
      <c r="T8">
        <v>1.0286634326206472</v>
      </c>
    </row>
    <row r="9" spans="1:20" x14ac:dyDescent="0.25">
      <c r="A9" s="12" t="s">
        <v>61</v>
      </c>
      <c r="B9" s="12" t="s">
        <v>37</v>
      </c>
      <c r="C9" s="12" t="s">
        <v>14</v>
      </c>
      <c r="D9" s="12">
        <v>10.80347035538737</v>
      </c>
      <c r="E9" s="12">
        <v>10.45</v>
      </c>
      <c r="F9" s="12">
        <v>20</v>
      </c>
      <c r="G9" s="12">
        <v>10.45</v>
      </c>
      <c r="H9" s="12">
        <v>13.09891456582633</v>
      </c>
      <c r="I9" s="12" t="s">
        <v>71</v>
      </c>
      <c r="J9" s="6">
        <v>46225</v>
      </c>
      <c r="K9">
        <v>46225</v>
      </c>
      <c r="L9">
        <v>0.96728177671065618</v>
      </c>
      <c r="M9">
        <v>0.96728177671065618</v>
      </c>
      <c r="N9">
        <v>1.2124728568625442</v>
      </c>
      <c r="O9">
        <v>1.033824914391136</v>
      </c>
      <c r="P9">
        <v>1.033824914391136</v>
      </c>
      <c r="Q9">
        <v>1.2534846474474959</v>
      </c>
      <c r="R9">
        <v>0.79777602544740112</v>
      </c>
      <c r="S9">
        <v>0.79777602544740112</v>
      </c>
      <c r="T9">
        <v>0.8247607312114601</v>
      </c>
    </row>
    <row r="10" spans="1:20" x14ac:dyDescent="0.25">
      <c r="A10" s="12" t="s">
        <v>61</v>
      </c>
      <c r="B10" s="12" t="s">
        <v>37</v>
      </c>
      <c r="C10" s="12" t="s">
        <v>15</v>
      </c>
      <c r="D10" s="12">
        <v>4.2201056075731911</v>
      </c>
      <c r="E10" s="12">
        <v>18.05</v>
      </c>
      <c r="F10" s="12">
        <v>20</v>
      </c>
      <c r="G10" s="12">
        <v>18.05</v>
      </c>
      <c r="H10" s="12">
        <v>5.6532738095238084</v>
      </c>
      <c r="I10" s="12" t="s">
        <v>70</v>
      </c>
      <c r="J10" s="6">
        <v>46225</v>
      </c>
      <c r="K10">
        <v>46225</v>
      </c>
      <c r="L10">
        <v>4.2771441472005751</v>
      </c>
      <c r="M10">
        <v>4.2771441472005751</v>
      </c>
      <c r="N10">
        <v>1.3396048192203354</v>
      </c>
      <c r="O10">
        <v>0.23380086468549535</v>
      </c>
      <c r="P10">
        <v>0.23380086468549535</v>
      </c>
      <c r="Q10">
        <v>0.3132007650705711</v>
      </c>
      <c r="R10">
        <v>3.1928402211108193</v>
      </c>
      <c r="S10">
        <v>3.1928402211108193</v>
      </c>
      <c r="T10">
        <v>0.74648880449833777</v>
      </c>
    </row>
    <row r="11" spans="1:20" x14ac:dyDescent="0.25">
      <c r="A11" s="12" t="s">
        <v>61</v>
      </c>
      <c r="B11" s="12" t="s">
        <v>37</v>
      </c>
      <c r="C11" s="12" t="s">
        <v>14</v>
      </c>
      <c r="D11" s="12">
        <v>10.972274579690296</v>
      </c>
      <c r="E11" s="12">
        <v>38</v>
      </c>
      <c r="F11" s="12">
        <v>20</v>
      </c>
      <c r="G11" s="12">
        <v>38</v>
      </c>
      <c r="H11" s="12">
        <v>12.225260416666666</v>
      </c>
      <c r="I11" s="12" t="s">
        <v>72</v>
      </c>
      <c r="J11" s="6">
        <v>46226</v>
      </c>
      <c r="K11">
        <v>46226</v>
      </c>
      <c r="L11">
        <v>3.4632746131178744</v>
      </c>
      <c r="M11">
        <v>3.4632746131178744</v>
      </c>
      <c r="N11">
        <v>1.1141956326262241</v>
      </c>
      <c r="O11">
        <v>0.28874406788658674</v>
      </c>
      <c r="P11">
        <v>0.28874406788658674</v>
      </c>
      <c r="Q11">
        <v>0.3217173793859649</v>
      </c>
      <c r="R11">
        <v>3.1083182447544999</v>
      </c>
      <c r="S11">
        <v>3.1083182447544999</v>
      </c>
      <c r="T11">
        <v>0.89750845427650949</v>
      </c>
    </row>
    <row r="12" spans="1:20" x14ac:dyDescent="0.25">
      <c r="A12" s="12" t="s">
        <v>61</v>
      </c>
      <c r="B12" s="12" t="s">
        <v>37</v>
      </c>
      <c r="C12" s="12" t="s">
        <v>13</v>
      </c>
      <c r="D12" s="12">
        <v>11.731893589053469</v>
      </c>
      <c r="E12" s="12">
        <v>2.8499999999999996</v>
      </c>
      <c r="F12" s="12">
        <v>20</v>
      </c>
      <c r="G12" s="12">
        <v>2.8499999999999996</v>
      </c>
      <c r="H12" s="12">
        <v>11.220238095238097</v>
      </c>
      <c r="I12" s="12" t="s">
        <v>74</v>
      </c>
      <c r="J12" s="6">
        <v>46226</v>
      </c>
      <c r="K12">
        <v>46226</v>
      </c>
      <c r="L12">
        <v>0.24292753581222501</v>
      </c>
      <c r="M12">
        <v>0.24292753581222501</v>
      </c>
      <c r="N12">
        <v>0.95638764621145422</v>
      </c>
      <c r="O12">
        <v>4.1164538908959543</v>
      </c>
      <c r="P12">
        <v>4.1164538908959543</v>
      </c>
      <c r="Q12">
        <v>3.936925647451964</v>
      </c>
      <c r="R12">
        <v>0.25400530503978774</v>
      </c>
      <c r="S12">
        <v>0.25400530503978774</v>
      </c>
      <c r="T12">
        <v>1.0456011262392479</v>
      </c>
    </row>
    <row r="13" spans="1:20" x14ac:dyDescent="0.25">
      <c r="A13" s="12" t="s">
        <v>61</v>
      </c>
      <c r="B13" s="12" t="s">
        <v>37</v>
      </c>
      <c r="C13" s="12" t="s">
        <v>15</v>
      </c>
      <c r="D13" s="12">
        <v>4.220105607573192</v>
      </c>
      <c r="E13" s="12">
        <v>1.9</v>
      </c>
      <c r="F13" s="12">
        <v>20</v>
      </c>
      <c r="G13" s="12">
        <v>1.9</v>
      </c>
      <c r="H13" s="12">
        <v>3.7291666666666665</v>
      </c>
      <c r="I13" s="12" t="s">
        <v>73</v>
      </c>
      <c r="J13" s="6">
        <v>46226</v>
      </c>
      <c r="K13">
        <v>46226</v>
      </c>
      <c r="L13">
        <v>0.45022569970532356</v>
      </c>
      <c r="M13">
        <v>0.45022569970532356</v>
      </c>
      <c r="N13">
        <v>0.88366666937777316</v>
      </c>
      <c r="O13">
        <v>2.2211082145122063</v>
      </c>
      <c r="P13">
        <v>2.2211082145122063</v>
      </c>
      <c r="Q13">
        <v>1.9627192982456141</v>
      </c>
      <c r="R13">
        <v>0.50949720670391063</v>
      </c>
      <c r="S13">
        <v>0.50949720670391063</v>
      </c>
      <c r="T13">
        <v>1.1316484310810795</v>
      </c>
    </row>
    <row r="14" spans="1:20" x14ac:dyDescent="0.25">
      <c r="A14" s="12" t="s">
        <v>61</v>
      </c>
      <c r="B14" s="12" t="s">
        <v>37</v>
      </c>
      <c r="C14" s="12" t="s">
        <v>13</v>
      </c>
      <c r="D14" s="12">
        <v>10.972274579690296</v>
      </c>
      <c r="E14" s="12">
        <v>12.35</v>
      </c>
      <c r="F14" s="12">
        <v>20</v>
      </c>
      <c r="G14" s="12">
        <v>12.35</v>
      </c>
      <c r="H14" s="12">
        <v>11.229166666666668</v>
      </c>
      <c r="I14" s="12" t="s">
        <v>56</v>
      </c>
      <c r="J14" s="6">
        <v>46227</v>
      </c>
      <c r="K14">
        <v>46227</v>
      </c>
      <c r="L14">
        <v>1.1255642492633091</v>
      </c>
      <c r="M14">
        <v>1.1255642492633091</v>
      </c>
      <c r="N14">
        <v>1.0234128379772667</v>
      </c>
      <c r="O14">
        <v>0.8884432858048823</v>
      </c>
      <c r="P14">
        <v>0.8884432858048823</v>
      </c>
      <c r="Q14">
        <v>0.90924426450742257</v>
      </c>
      <c r="R14">
        <v>1.0998144712430424</v>
      </c>
      <c r="S14">
        <v>1.0998144712430424</v>
      </c>
      <c r="T14">
        <v>0.97712278260692798</v>
      </c>
    </row>
    <row r="15" spans="1:20" x14ac:dyDescent="0.25">
      <c r="A15" s="12" t="s">
        <v>61</v>
      </c>
      <c r="B15" s="12" t="s">
        <v>37</v>
      </c>
      <c r="C15" s="12" t="s">
        <v>15</v>
      </c>
      <c r="D15" s="12">
        <v>4.220105607573192</v>
      </c>
      <c r="E15" s="12">
        <v>29.45</v>
      </c>
      <c r="F15" s="12">
        <v>20</v>
      </c>
      <c r="G15" s="12">
        <v>29.45</v>
      </c>
      <c r="H15" s="12">
        <v>6.532738095238094</v>
      </c>
      <c r="I15" s="12" t="s">
        <v>57</v>
      </c>
      <c r="J15" s="6">
        <v>46227</v>
      </c>
      <c r="K15">
        <v>46227</v>
      </c>
      <c r="L15">
        <v>6.9784983454325156</v>
      </c>
      <c r="M15">
        <v>6.9784983454325156</v>
      </c>
      <c r="N15">
        <v>1.5480034631158914</v>
      </c>
      <c r="O15">
        <v>0.14329730416207784</v>
      </c>
      <c r="P15">
        <v>0.14329730416207784</v>
      </c>
      <c r="Q15">
        <v>0.22182472309806772</v>
      </c>
      <c r="R15">
        <v>4.5080637813211855</v>
      </c>
      <c r="S15">
        <v>4.5080637813211855</v>
      </c>
      <c r="T15">
        <v>0.64599338685402863</v>
      </c>
    </row>
    <row r="16" spans="1:20" x14ac:dyDescent="0.25">
      <c r="A16" s="12" t="s">
        <v>61</v>
      </c>
      <c r="B16" s="12" t="s">
        <v>37</v>
      </c>
      <c r="C16" s="12" t="s">
        <v>14</v>
      </c>
      <c r="D16" s="12">
        <v>11.028542654457937</v>
      </c>
      <c r="E16" s="12">
        <v>0.95</v>
      </c>
      <c r="F16" s="12">
        <v>20</v>
      </c>
      <c r="G16" s="12">
        <v>0.95</v>
      </c>
      <c r="H16" s="12">
        <v>12.157738095238097</v>
      </c>
      <c r="I16" s="12" t="s">
        <v>58</v>
      </c>
      <c r="J16" s="6">
        <v>46227</v>
      </c>
      <c r="K16">
        <v>46227</v>
      </c>
      <c r="L16">
        <v>8.6140121117090004E-2</v>
      </c>
      <c r="M16">
        <v>8.6140121117090004E-2</v>
      </c>
      <c r="N16">
        <v>1.1023884547722831</v>
      </c>
      <c r="O16">
        <v>11.608992267850461</v>
      </c>
      <c r="P16">
        <v>11.608992267850461</v>
      </c>
      <c r="Q16">
        <v>12.797619047619049</v>
      </c>
      <c r="R16">
        <v>7.8139534883720912E-2</v>
      </c>
      <c r="S16">
        <v>7.8139534883720912E-2</v>
      </c>
      <c r="T16">
        <v>0.90712125627854745</v>
      </c>
    </row>
    <row r="17" spans="1:20" x14ac:dyDescent="0.25">
      <c r="A17" s="12" t="s">
        <v>61</v>
      </c>
      <c r="B17" s="12" t="s">
        <v>37</v>
      </c>
      <c r="C17" s="12" t="s">
        <v>13</v>
      </c>
      <c r="D17" s="12">
        <v>11.028542654457937</v>
      </c>
      <c r="E17" s="12">
        <v>45.599999999999994</v>
      </c>
      <c r="F17" s="12">
        <v>20</v>
      </c>
      <c r="G17" s="12">
        <v>45.599999999999994</v>
      </c>
      <c r="H17" s="12">
        <v>13.2250306372549</v>
      </c>
      <c r="I17" s="12" t="s">
        <v>135</v>
      </c>
      <c r="J17" s="6">
        <v>46228</v>
      </c>
      <c r="K17">
        <v>46228</v>
      </c>
      <c r="L17">
        <v>4.13472581362032</v>
      </c>
      <c r="M17">
        <v>4.13472581362032</v>
      </c>
      <c r="N17">
        <v>1.199163937758277</v>
      </c>
      <c r="O17">
        <v>0.24185400558021794</v>
      </c>
      <c r="P17">
        <v>0.24185400558021794</v>
      </c>
      <c r="Q17">
        <v>0.29002260169418642</v>
      </c>
      <c r="R17">
        <v>3.4480071351626842</v>
      </c>
      <c r="S17">
        <v>3.4480071351626842</v>
      </c>
      <c r="T17">
        <v>0.83391433690826711</v>
      </c>
    </row>
    <row r="18" spans="1:20" x14ac:dyDescent="0.25">
      <c r="A18" s="12" t="s">
        <v>61</v>
      </c>
      <c r="B18" s="12" t="s">
        <v>37</v>
      </c>
      <c r="C18" s="12" t="s">
        <v>15</v>
      </c>
      <c r="D18" s="12">
        <v>4.220105607573192</v>
      </c>
      <c r="E18" s="12">
        <v>3.8</v>
      </c>
      <c r="F18" s="12">
        <v>20</v>
      </c>
      <c r="G18" s="12">
        <v>3.8</v>
      </c>
      <c r="H18" s="12">
        <v>4.6874999999999991</v>
      </c>
      <c r="I18" s="12" t="s">
        <v>75</v>
      </c>
      <c r="J18" s="6">
        <v>46228</v>
      </c>
      <c r="K18">
        <v>46228</v>
      </c>
      <c r="L18">
        <v>0.90045139941064711</v>
      </c>
      <c r="M18">
        <v>0.90045139941064711</v>
      </c>
      <c r="N18">
        <v>1.1107541933519494</v>
      </c>
      <c r="O18">
        <v>1.1105541072561032</v>
      </c>
      <c r="P18">
        <v>1.1105541072561032</v>
      </c>
      <c r="Q18">
        <v>1.2335526315789471</v>
      </c>
      <c r="R18">
        <v>0.81066666666666676</v>
      </c>
      <c r="S18">
        <v>0.81066666666666676</v>
      </c>
      <c r="T18">
        <v>0.9002891962822811</v>
      </c>
    </row>
    <row r="19" spans="1:20" x14ac:dyDescent="0.25">
      <c r="A19" s="12" t="s">
        <v>61</v>
      </c>
      <c r="B19" s="12" t="s">
        <v>37</v>
      </c>
      <c r="C19" s="12" t="s">
        <v>14</v>
      </c>
      <c r="D19" s="12">
        <v>10.972274579690296</v>
      </c>
      <c r="E19" s="12">
        <v>13.3</v>
      </c>
      <c r="F19" s="12">
        <v>20</v>
      </c>
      <c r="G19" s="12">
        <v>13.3</v>
      </c>
      <c r="H19" s="12">
        <v>12.304917279411764</v>
      </c>
      <c r="I19" s="12" t="s">
        <v>76</v>
      </c>
      <c r="J19" s="6">
        <v>46228</v>
      </c>
      <c r="K19">
        <v>46228</v>
      </c>
      <c r="L19">
        <v>1.212146114591256</v>
      </c>
      <c r="M19">
        <v>1.212146114591256</v>
      </c>
      <c r="N19">
        <v>1.1214554639553218</v>
      </c>
      <c r="O19">
        <v>0.82498305110453363</v>
      </c>
      <c r="P19">
        <v>0.82498305110453363</v>
      </c>
      <c r="Q19">
        <v>0.92518175033171168</v>
      </c>
      <c r="R19">
        <v>1.0808687045993539</v>
      </c>
      <c r="S19">
        <v>1.0808687045993539</v>
      </c>
      <c r="T19">
        <v>0.89169836176377981</v>
      </c>
    </row>
    <row r="20" spans="1:20" x14ac:dyDescent="0.25">
      <c r="A20" s="12" t="s">
        <v>61</v>
      </c>
      <c r="B20" s="12" t="s">
        <v>37</v>
      </c>
      <c r="C20" s="12" t="s">
        <v>13</v>
      </c>
      <c r="D20" s="12">
        <v>10.972274579690298</v>
      </c>
      <c r="E20" s="12">
        <v>12.35</v>
      </c>
      <c r="F20" s="12">
        <v>20</v>
      </c>
      <c r="G20" s="12">
        <v>12.35</v>
      </c>
      <c r="H20" s="12">
        <v>11.25</v>
      </c>
      <c r="I20" s="12" t="s">
        <v>78</v>
      </c>
      <c r="J20" s="6">
        <v>46229</v>
      </c>
      <c r="K20">
        <v>46229</v>
      </c>
      <c r="L20">
        <v>1.1255642492633089</v>
      </c>
      <c r="M20">
        <v>1.1255642492633089</v>
      </c>
      <c r="N20">
        <v>1.0253115630941074</v>
      </c>
      <c r="O20">
        <v>0.88844328580488241</v>
      </c>
      <c r="P20">
        <v>0.88844328580488241</v>
      </c>
      <c r="Q20">
        <v>0.91093117408906887</v>
      </c>
      <c r="R20">
        <v>1.0977777777777777</v>
      </c>
      <c r="S20">
        <v>1.0977777777777777</v>
      </c>
      <c r="T20">
        <v>0.97531329597247096</v>
      </c>
    </row>
    <row r="21" spans="1:20" x14ac:dyDescent="0.25">
      <c r="A21" s="12" t="s">
        <v>61</v>
      </c>
      <c r="B21" s="12" t="s">
        <v>37</v>
      </c>
      <c r="C21" s="12" t="s">
        <v>15</v>
      </c>
      <c r="D21" s="12">
        <v>4.220105607573192</v>
      </c>
      <c r="E21" s="12">
        <v>31.35</v>
      </c>
      <c r="F21" s="12">
        <v>20</v>
      </c>
      <c r="G21" s="12">
        <v>31.35</v>
      </c>
      <c r="H21" s="12">
        <v>4.6874999999999991</v>
      </c>
      <c r="I21" s="12" t="s">
        <v>77</v>
      </c>
      <c r="J21" s="6">
        <v>46229</v>
      </c>
      <c r="K21">
        <v>46229</v>
      </c>
      <c r="L21">
        <v>7.4287240451378382</v>
      </c>
      <c r="M21">
        <v>7.4287240451378382</v>
      </c>
      <c r="N21">
        <v>1.1107541933519494</v>
      </c>
      <c r="O21">
        <v>0.13461261906134583</v>
      </c>
      <c r="P21">
        <v>0.13461261906134583</v>
      </c>
      <c r="Q21">
        <v>0.14952153110047844</v>
      </c>
      <c r="R21">
        <v>6.6880000000000006</v>
      </c>
      <c r="S21">
        <v>6.6880000000000006</v>
      </c>
      <c r="T21">
        <v>0.9002891962822811</v>
      </c>
    </row>
    <row r="22" spans="1:20" x14ac:dyDescent="0.25">
      <c r="A22" s="12" t="s">
        <v>61</v>
      </c>
      <c r="B22" s="12" t="s">
        <v>37</v>
      </c>
      <c r="C22" s="12" t="s">
        <v>14</v>
      </c>
      <c r="D22" s="12">
        <v>11.816295701204936</v>
      </c>
      <c r="E22" s="12">
        <v>1.9</v>
      </c>
      <c r="F22" s="12">
        <v>20</v>
      </c>
      <c r="G22" s="12">
        <v>1.9</v>
      </c>
      <c r="H22" s="12">
        <v>12.932291666666668</v>
      </c>
      <c r="I22" s="12" t="s">
        <v>79</v>
      </c>
      <c r="J22" s="6">
        <v>46229</v>
      </c>
      <c r="K22">
        <v>46229</v>
      </c>
      <c r="L22">
        <v>0.16079489275190129</v>
      </c>
      <c r="M22">
        <v>0.16079489275190129</v>
      </c>
      <c r="N22">
        <v>1.0944455008305125</v>
      </c>
      <c r="O22">
        <v>6.2191030006341768</v>
      </c>
      <c r="P22">
        <v>6.2191030006341768</v>
      </c>
      <c r="Q22">
        <v>6.8064692982456148</v>
      </c>
      <c r="R22">
        <v>0.14691904953685056</v>
      </c>
      <c r="S22">
        <v>0.14691904953685056</v>
      </c>
      <c r="T22">
        <v>0.91370470182494867</v>
      </c>
    </row>
    <row r="23" spans="1:20" x14ac:dyDescent="0.25">
      <c r="A23" s="12" t="s">
        <v>61</v>
      </c>
      <c r="B23" s="12" t="s">
        <v>37</v>
      </c>
      <c r="C23" s="12" t="s">
        <v>14</v>
      </c>
      <c r="D23" s="12">
        <v>10.972274579690296</v>
      </c>
      <c r="E23" s="12">
        <v>10.45</v>
      </c>
      <c r="F23" s="12">
        <v>20</v>
      </c>
      <c r="G23" s="12">
        <v>10.45</v>
      </c>
      <c r="H23" s="12">
        <v>10.348958333333332</v>
      </c>
      <c r="I23" s="12" t="s">
        <v>80</v>
      </c>
      <c r="J23" s="6">
        <v>46230</v>
      </c>
      <c r="K23">
        <v>46230</v>
      </c>
      <c r="L23">
        <v>0.95240051860741537</v>
      </c>
      <c r="M23">
        <v>0.95240051860741537</v>
      </c>
      <c r="N23">
        <v>0.94319170179073686</v>
      </c>
      <c r="O23">
        <v>1.0499784286784972</v>
      </c>
      <c r="P23">
        <v>1.0499784286784972</v>
      </c>
      <c r="Q23">
        <v>0.99033094098883567</v>
      </c>
      <c r="R23">
        <v>1.009763462506291</v>
      </c>
      <c r="S23">
        <v>1.009763462506291</v>
      </c>
      <c r="T23">
        <v>1.060229853699314</v>
      </c>
    </row>
    <row r="24" spans="1:20" x14ac:dyDescent="0.25">
      <c r="A24" s="12" t="s">
        <v>61</v>
      </c>
      <c r="B24" s="12" t="s">
        <v>37</v>
      </c>
      <c r="C24" s="12" t="s">
        <v>15</v>
      </c>
      <c r="D24" s="12">
        <v>4.220105607573192</v>
      </c>
      <c r="E24" s="12">
        <v>20.9</v>
      </c>
      <c r="F24" s="12">
        <v>20</v>
      </c>
      <c r="G24" s="12">
        <v>20.9</v>
      </c>
      <c r="H24" s="12">
        <v>5.6041666666666661</v>
      </c>
      <c r="I24" s="12" t="s">
        <v>81</v>
      </c>
      <c r="J24" s="6">
        <v>46230</v>
      </c>
      <c r="K24">
        <v>46230</v>
      </c>
      <c r="L24">
        <v>4.9524826967585591</v>
      </c>
      <c r="M24">
        <v>4.9524826967585591</v>
      </c>
      <c r="N24">
        <v>1.327968346718553</v>
      </c>
      <c r="O24">
        <v>0.20191892859201876</v>
      </c>
      <c r="P24">
        <v>0.20191892859201876</v>
      </c>
      <c r="Q24">
        <v>0.26814194577352474</v>
      </c>
      <c r="R24">
        <v>3.7293680297397769</v>
      </c>
      <c r="S24">
        <v>3.7293680297397769</v>
      </c>
      <c r="T24">
        <v>0.75302999689038375</v>
      </c>
    </row>
    <row r="25" spans="1:20" x14ac:dyDescent="0.25">
      <c r="A25" s="12" t="s">
        <v>61</v>
      </c>
      <c r="B25" s="12" t="s">
        <v>37</v>
      </c>
      <c r="C25" s="12" t="s">
        <v>13</v>
      </c>
      <c r="D25" s="12">
        <v>11.872563775972576</v>
      </c>
      <c r="E25" s="12">
        <v>4.75</v>
      </c>
      <c r="F25" s="12">
        <v>20</v>
      </c>
      <c r="G25" s="12">
        <v>4.75</v>
      </c>
      <c r="H25" s="12">
        <v>11.229166666666666</v>
      </c>
      <c r="I25" s="12" t="s">
        <v>82</v>
      </c>
      <c r="J25" s="6">
        <v>46230</v>
      </c>
      <c r="K25">
        <v>46230</v>
      </c>
      <c r="L25">
        <v>0.40008207912202937</v>
      </c>
      <c r="M25">
        <v>0.40008207912202937</v>
      </c>
      <c r="N25">
        <v>0.94580807301216585</v>
      </c>
      <c r="O25">
        <v>2.4994871107310686</v>
      </c>
      <c r="P25">
        <v>2.4994871107310686</v>
      </c>
      <c r="Q25">
        <v>2.3640350877192979</v>
      </c>
      <c r="R25">
        <v>0.42300556586270877</v>
      </c>
      <c r="S25">
        <v>0.42300556586270877</v>
      </c>
      <c r="T25">
        <v>1.0572969596413426</v>
      </c>
    </row>
    <row r="26" spans="1:20" x14ac:dyDescent="0.25">
      <c r="A26" s="12" t="s">
        <v>61</v>
      </c>
      <c r="B26" s="12" t="s">
        <v>37</v>
      </c>
      <c r="C26" s="12" t="s">
        <v>14</v>
      </c>
      <c r="D26" s="12">
        <v>10.972274579690296</v>
      </c>
      <c r="E26" s="12">
        <v>21.85</v>
      </c>
      <c r="F26" s="12">
        <v>20</v>
      </c>
      <c r="G26" s="12">
        <v>21.85</v>
      </c>
      <c r="H26" s="12">
        <v>11.25</v>
      </c>
      <c r="I26" s="12" t="s">
        <v>84</v>
      </c>
      <c r="J26" s="6">
        <v>46231</v>
      </c>
      <c r="K26">
        <v>46231</v>
      </c>
      <c r="L26">
        <v>1.9913829025427776</v>
      </c>
      <c r="M26">
        <v>1.9913829025427776</v>
      </c>
      <c r="N26">
        <v>1.0253115630941076</v>
      </c>
      <c r="O26">
        <v>0.5021635963244987</v>
      </c>
      <c r="P26">
        <v>0.5021635963244987</v>
      </c>
      <c r="Q26">
        <v>0.51487414187643021</v>
      </c>
      <c r="R26">
        <v>1.9422222222222221</v>
      </c>
      <c r="S26">
        <v>1.9422222222222221</v>
      </c>
      <c r="T26">
        <v>0.97531329597247074</v>
      </c>
    </row>
    <row r="27" spans="1:20" x14ac:dyDescent="0.25">
      <c r="A27" s="12" t="s">
        <v>61</v>
      </c>
      <c r="B27" s="12" t="s">
        <v>37</v>
      </c>
      <c r="C27" s="12" t="s">
        <v>15</v>
      </c>
      <c r="D27" s="12">
        <v>4.220105607573192</v>
      </c>
      <c r="E27" s="12">
        <v>31.35</v>
      </c>
      <c r="F27" s="12">
        <v>20</v>
      </c>
      <c r="G27" s="12">
        <v>31.35</v>
      </c>
      <c r="H27" s="12">
        <v>4.6874999999999991</v>
      </c>
      <c r="I27" s="12" t="s">
        <v>136</v>
      </c>
      <c r="J27" s="6">
        <v>46231</v>
      </c>
      <c r="K27">
        <v>46231</v>
      </c>
      <c r="L27">
        <v>7.4287240451378382</v>
      </c>
      <c r="M27">
        <v>7.4287240451378382</v>
      </c>
      <c r="N27">
        <v>1.1107541933519494</v>
      </c>
      <c r="O27">
        <v>0.13461261906134583</v>
      </c>
      <c r="P27">
        <v>0.13461261906134583</v>
      </c>
      <c r="Q27">
        <v>0.14952153110047844</v>
      </c>
      <c r="R27">
        <v>6.6880000000000006</v>
      </c>
      <c r="S27">
        <v>6.6880000000000006</v>
      </c>
      <c r="T27">
        <v>0.9002891962822811</v>
      </c>
    </row>
    <row r="28" spans="1:20" x14ac:dyDescent="0.25">
      <c r="A28" s="12" t="s">
        <v>61</v>
      </c>
      <c r="B28" s="12" t="s">
        <v>37</v>
      </c>
      <c r="C28" s="12" t="s">
        <v>13</v>
      </c>
      <c r="D28" s="12">
        <v>11.731893589053469</v>
      </c>
      <c r="E28" s="12">
        <v>9.5</v>
      </c>
      <c r="F28" s="12">
        <v>20</v>
      </c>
      <c r="G28" s="12">
        <v>9.5</v>
      </c>
      <c r="H28" s="12">
        <v>8.5546875</v>
      </c>
      <c r="I28" s="12" t="s">
        <v>83</v>
      </c>
      <c r="J28" s="6">
        <v>46231</v>
      </c>
      <c r="K28">
        <v>46231</v>
      </c>
      <c r="L28">
        <v>0.80975845270741686</v>
      </c>
      <c r="M28">
        <v>0.80975845270741686</v>
      </c>
      <c r="N28">
        <v>0.72918215930478736</v>
      </c>
      <c r="O28">
        <v>1.2349361672687862</v>
      </c>
      <c r="P28">
        <v>1.2349361672687862</v>
      </c>
      <c r="Q28">
        <v>0.90049342105263153</v>
      </c>
      <c r="R28">
        <v>1.1105022831050229</v>
      </c>
      <c r="S28">
        <v>1.1105022831050229</v>
      </c>
      <c r="T28">
        <v>1.3713994332409534</v>
      </c>
    </row>
    <row r="29" spans="1:20" x14ac:dyDescent="0.25">
      <c r="A29" s="12" t="s">
        <v>61</v>
      </c>
      <c r="B29" s="12" t="s">
        <v>37</v>
      </c>
      <c r="C29" s="12" t="s">
        <v>14</v>
      </c>
      <c r="D29" s="12">
        <v>10.80347035538737</v>
      </c>
      <c r="E29" s="12">
        <v>5.6999999999999993</v>
      </c>
      <c r="F29" s="12">
        <v>20</v>
      </c>
      <c r="G29" s="12">
        <v>5.6999999999999993</v>
      </c>
      <c r="H29" s="12">
        <v>12.191176470588236</v>
      </c>
      <c r="I29" s="12" t="s">
        <v>85</v>
      </c>
      <c r="J29" s="6">
        <v>46232</v>
      </c>
      <c r="K29">
        <v>46232</v>
      </c>
      <c r="L29">
        <v>0.52760824184217603</v>
      </c>
      <c r="M29">
        <v>0.52760824184217603</v>
      </c>
      <c r="N29">
        <v>1.1284500322166253</v>
      </c>
      <c r="O29">
        <v>1.8953456763837493</v>
      </c>
      <c r="P29">
        <v>1.8953456763837493</v>
      </c>
      <c r="Q29">
        <v>2.1388028895768838</v>
      </c>
      <c r="R29">
        <v>0.4675512665862484</v>
      </c>
      <c r="S29">
        <v>0.4675512665862484</v>
      </c>
      <c r="T29">
        <v>0.88617127161199172</v>
      </c>
    </row>
    <row r="30" spans="1:20" x14ac:dyDescent="0.25">
      <c r="A30" s="12" t="s">
        <v>61</v>
      </c>
      <c r="B30" s="12" t="s">
        <v>37</v>
      </c>
      <c r="C30" s="12" t="s">
        <v>15</v>
      </c>
      <c r="D30" s="12">
        <v>4.220105607573192</v>
      </c>
      <c r="E30" s="12">
        <v>30.4</v>
      </c>
      <c r="F30" s="12">
        <v>20</v>
      </c>
      <c r="G30" s="12">
        <v>30.4</v>
      </c>
      <c r="H30" s="12">
        <v>4.6874999999999991</v>
      </c>
      <c r="I30" s="12" t="s">
        <v>87</v>
      </c>
      <c r="J30" s="6">
        <v>46232</v>
      </c>
      <c r="K30">
        <v>46232</v>
      </c>
      <c r="L30">
        <v>7.2036111952851769</v>
      </c>
      <c r="M30">
        <v>7.2036111952851769</v>
      </c>
      <c r="N30">
        <v>1.1107541933519494</v>
      </c>
      <c r="O30">
        <v>0.13881926340701289</v>
      </c>
      <c r="P30">
        <v>0.13881926340701289</v>
      </c>
      <c r="Q30">
        <v>0.15419407894736839</v>
      </c>
      <c r="R30">
        <v>6.4853333333333341</v>
      </c>
      <c r="S30">
        <v>6.4853333333333341</v>
      </c>
      <c r="T30">
        <v>0.9002891962822811</v>
      </c>
    </row>
    <row r="31" spans="1:20" x14ac:dyDescent="0.25">
      <c r="A31" s="12" t="s">
        <v>61</v>
      </c>
      <c r="B31" s="12" t="s">
        <v>37</v>
      </c>
      <c r="C31" s="12" t="s">
        <v>13</v>
      </c>
      <c r="D31" s="12">
        <v>12.57591471056811</v>
      </c>
      <c r="E31" s="12">
        <v>6.6499999999999995</v>
      </c>
      <c r="F31" s="12">
        <v>20</v>
      </c>
      <c r="G31" s="12">
        <v>6.6499999999999995</v>
      </c>
      <c r="H31" s="12">
        <v>12.246323529411764</v>
      </c>
      <c r="I31" s="12" t="s">
        <v>86</v>
      </c>
      <c r="J31" s="6">
        <v>46232</v>
      </c>
      <c r="K31">
        <v>46232</v>
      </c>
      <c r="L31">
        <v>0.52878857347940689</v>
      </c>
      <c r="M31">
        <v>0.52878857347940689</v>
      </c>
      <c r="N31">
        <v>0.973791872102999</v>
      </c>
      <c r="O31">
        <v>1.8911149940703926</v>
      </c>
      <c r="P31">
        <v>1.8911149940703926</v>
      </c>
      <c r="Q31">
        <v>1.8415524104378596</v>
      </c>
      <c r="R31">
        <v>0.54302011407985584</v>
      </c>
      <c r="S31">
        <v>0.54302011407985584</v>
      </c>
      <c r="T31">
        <v>1.0269134798182307</v>
      </c>
    </row>
    <row r="32" spans="1:20" x14ac:dyDescent="0.25">
      <c r="A32" s="12" t="s">
        <v>61</v>
      </c>
      <c r="B32" s="12" t="s">
        <v>37</v>
      </c>
      <c r="C32" s="12" t="s">
        <v>14</v>
      </c>
      <c r="D32" s="12">
        <v>10.972274579690296</v>
      </c>
      <c r="E32" s="12">
        <v>7.6</v>
      </c>
      <c r="F32" s="12">
        <v>20</v>
      </c>
      <c r="G32" s="12">
        <v>7.6</v>
      </c>
      <c r="H32" s="12">
        <v>12.1875</v>
      </c>
      <c r="I32" s="12" t="s">
        <v>88</v>
      </c>
      <c r="J32" s="6">
        <v>46233</v>
      </c>
      <c r="K32">
        <v>46233</v>
      </c>
      <c r="L32">
        <v>0.69265492262357486</v>
      </c>
      <c r="M32">
        <v>0.69265492262357486</v>
      </c>
      <c r="N32">
        <v>1.1107541933519498</v>
      </c>
      <c r="O32">
        <v>1.4437203394329339</v>
      </c>
      <c r="P32">
        <v>1.4437203394329339</v>
      </c>
      <c r="Q32">
        <v>1.6036184210526316</v>
      </c>
      <c r="R32">
        <v>0.62358974358974351</v>
      </c>
      <c r="S32">
        <v>0.62358974358974351</v>
      </c>
      <c r="T32">
        <v>0.90028919628228077</v>
      </c>
    </row>
    <row r="33" spans="1:20" x14ac:dyDescent="0.25">
      <c r="A33" s="12" t="s">
        <v>61</v>
      </c>
      <c r="B33" s="12" t="s">
        <v>37</v>
      </c>
      <c r="C33" s="12" t="s">
        <v>13</v>
      </c>
      <c r="D33" s="12">
        <v>10.887872467538832</v>
      </c>
      <c r="E33" s="12">
        <v>7.6</v>
      </c>
      <c r="F33" s="12">
        <v>20</v>
      </c>
      <c r="G33" s="12">
        <v>7.6</v>
      </c>
      <c r="H33" s="12">
        <v>11.25</v>
      </c>
      <c r="I33" s="12" t="s">
        <v>90</v>
      </c>
      <c r="J33" s="6">
        <v>46233</v>
      </c>
      <c r="K33">
        <v>46233</v>
      </c>
      <c r="L33">
        <v>0.69802434062840879</v>
      </c>
      <c r="M33">
        <v>0.69802434062840879</v>
      </c>
      <c r="N33">
        <v>1.0332597147459999</v>
      </c>
      <c r="O33">
        <v>1.4326147983603728</v>
      </c>
      <c r="P33">
        <v>1.4326147983603728</v>
      </c>
      <c r="Q33">
        <v>1.4802631578947369</v>
      </c>
      <c r="R33">
        <v>0.67555555555555558</v>
      </c>
      <c r="S33">
        <v>0.67555555555555558</v>
      </c>
      <c r="T33">
        <v>0.96781088600345178</v>
      </c>
    </row>
    <row r="34" spans="1:20" x14ac:dyDescent="0.25">
      <c r="A34" s="12" t="s">
        <v>61</v>
      </c>
      <c r="B34" s="12" t="s">
        <v>37</v>
      </c>
      <c r="C34" s="12" t="s">
        <v>15</v>
      </c>
      <c r="D34" s="12">
        <v>4.220105607573192</v>
      </c>
      <c r="E34" s="12">
        <v>19.95</v>
      </c>
      <c r="F34" s="12">
        <v>20</v>
      </c>
      <c r="G34" s="12">
        <v>19.95</v>
      </c>
      <c r="H34" s="12">
        <v>4.6874999999999991</v>
      </c>
      <c r="I34" s="12" t="s">
        <v>89</v>
      </c>
      <c r="J34" s="6">
        <v>46233</v>
      </c>
      <c r="K34">
        <v>46233</v>
      </c>
      <c r="L34">
        <v>4.7273698469058969</v>
      </c>
      <c r="M34">
        <v>4.7273698469058969</v>
      </c>
      <c r="N34">
        <v>1.1107541933519494</v>
      </c>
      <c r="O34">
        <v>0.21153411566782918</v>
      </c>
      <c r="P34">
        <v>0.21153411566782918</v>
      </c>
      <c r="Q34">
        <v>0.23496240601503757</v>
      </c>
      <c r="R34">
        <v>4.2560000000000002</v>
      </c>
      <c r="S34">
        <v>4.2560000000000002</v>
      </c>
      <c r="T34">
        <v>0.9002891962822811</v>
      </c>
    </row>
    <row r="35" spans="1:20" x14ac:dyDescent="0.25">
      <c r="A35" s="12" t="s">
        <v>61</v>
      </c>
      <c r="B35" s="12" t="s">
        <v>37</v>
      </c>
      <c r="C35" s="12" t="s">
        <v>13</v>
      </c>
      <c r="D35" s="12">
        <v>10.972274579690298</v>
      </c>
      <c r="E35" s="12">
        <v>4.75</v>
      </c>
      <c r="F35" s="12">
        <v>20</v>
      </c>
      <c r="G35" s="12">
        <v>4.75</v>
      </c>
      <c r="H35" s="12">
        <v>12.246323529411764</v>
      </c>
      <c r="I35" s="12" t="s">
        <v>91</v>
      </c>
      <c r="J35" s="6">
        <v>46234</v>
      </c>
      <c r="K35">
        <v>46234</v>
      </c>
      <c r="L35">
        <v>0.43290932663973425</v>
      </c>
      <c r="M35">
        <v>0.43290932663973425</v>
      </c>
      <c r="N35">
        <v>1.1161152995642065</v>
      </c>
      <c r="O35">
        <v>2.3099525430926944</v>
      </c>
      <c r="P35">
        <v>2.3099525430926944</v>
      </c>
      <c r="Q35">
        <v>2.5781733746130029</v>
      </c>
      <c r="R35">
        <v>0.38787151005703996</v>
      </c>
      <c r="S35">
        <v>0.38787151005703996</v>
      </c>
      <c r="T35">
        <v>0.89596478104946298</v>
      </c>
    </row>
    <row r="36" spans="1:20" x14ac:dyDescent="0.25">
      <c r="A36" s="12" t="s">
        <v>61</v>
      </c>
      <c r="B36" s="12" t="s">
        <v>37</v>
      </c>
      <c r="C36" s="12" t="s">
        <v>15</v>
      </c>
      <c r="D36" s="12">
        <v>4.220105607573192</v>
      </c>
      <c r="E36" s="12">
        <v>19.95</v>
      </c>
      <c r="F36" s="12">
        <v>20</v>
      </c>
      <c r="G36" s="12">
        <v>19.95</v>
      </c>
      <c r="H36" s="12">
        <v>5.6160714285714279</v>
      </c>
      <c r="I36" s="12" t="s">
        <v>92</v>
      </c>
      <c r="J36" s="6">
        <v>46234</v>
      </c>
      <c r="K36">
        <v>46234</v>
      </c>
      <c r="L36">
        <v>4.7273698469058969</v>
      </c>
      <c r="M36">
        <v>4.7273698469058969</v>
      </c>
      <c r="N36">
        <v>1.330789309749288</v>
      </c>
      <c r="O36">
        <v>0.21153411566782918</v>
      </c>
      <c r="P36">
        <v>0.21153411566782918</v>
      </c>
      <c r="Q36">
        <v>0.28150733977801645</v>
      </c>
      <c r="R36">
        <v>3.5523052464228937</v>
      </c>
      <c r="S36">
        <v>3.5523052464228937</v>
      </c>
      <c r="T36">
        <v>0.75143374888425685</v>
      </c>
    </row>
    <row r="37" spans="1:20" x14ac:dyDescent="0.25">
      <c r="A37" s="12" t="s">
        <v>61</v>
      </c>
      <c r="B37" s="12" t="s">
        <v>37</v>
      </c>
      <c r="C37" s="12" t="s">
        <v>14</v>
      </c>
      <c r="D37" s="12">
        <v>11.028542654457937</v>
      </c>
      <c r="E37" s="12">
        <v>8.5499999999999989</v>
      </c>
      <c r="F37" s="12">
        <v>20</v>
      </c>
      <c r="G37" s="12">
        <v>8.5499999999999989</v>
      </c>
      <c r="H37" s="12">
        <v>12.182247899159664</v>
      </c>
      <c r="I37" s="12" t="s">
        <v>93</v>
      </c>
      <c r="J37" s="6">
        <v>46234</v>
      </c>
      <c r="K37">
        <v>46234</v>
      </c>
      <c r="L37">
        <v>0.77526109005380994</v>
      </c>
      <c r="M37">
        <v>0.77526109005380994</v>
      </c>
      <c r="N37">
        <v>1.104610852117925</v>
      </c>
      <c r="O37">
        <v>1.2898880297611623</v>
      </c>
      <c r="P37">
        <v>1.2898880297611623</v>
      </c>
      <c r="Q37">
        <v>1.4248243156911891</v>
      </c>
      <c r="R37">
        <v>0.70184091399008397</v>
      </c>
      <c r="S37">
        <v>0.70184091399008397</v>
      </c>
      <c r="T37">
        <v>0.90529619375244275</v>
      </c>
    </row>
    <row r="38" spans="1:20" x14ac:dyDescent="0.25">
      <c r="A38" s="12" t="s">
        <v>61</v>
      </c>
      <c r="B38" s="12" t="s">
        <v>37</v>
      </c>
      <c r="C38" s="12" t="s">
        <v>13</v>
      </c>
      <c r="D38" s="12">
        <v>11.028542654457937</v>
      </c>
      <c r="E38" s="12">
        <v>5.6999999999999993</v>
      </c>
      <c r="F38" s="12">
        <v>20</v>
      </c>
      <c r="G38" s="12">
        <v>5.6999999999999993</v>
      </c>
      <c r="H38" s="12">
        <v>12.21126575630252</v>
      </c>
      <c r="I38" s="12" t="s">
        <v>94</v>
      </c>
      <c r="J38" s="6">
        <v>46235</v>
      </c>
      <c r="K38">
        <v>46235</v>
      </c>
      <c r="L38">
        <v>0.51684072670254</v>
      </c>
      <c r="M38">
        <v>0.51684072670254</v>
      </c>
      <c r="N38">
        <v>1.1072420118324977</v>
      </c>
      <c r="O38">
        <v>1.9348320446417435</v>
      </c>
      <c r="P38">
        <v>1.9348320446417435</v>
      </c>
      <c r="Q38">
        <v>2.1423273256671092</v>
      </c>
      <c r="R38">
        <v>0.46678207761206864</v>
      </c>
      <c r="S38">
        <v>0.46678207761206864</v>
      </c>
      <c r="T38">
        <v>0.90314492162827986</v>
      </c>
    </row>
    <row r="39" spans="1:20" x14ac:dyDescent="0.25">
      <c r="A39" s="12" t="s">
        <v>61</v>
      </c>
      <c r="B39" s="12" t="s">
        <v>37</v>
      </c>
      <c r="C39" s="12" t="s">
        <v>14</v>
      </c>
      <c r="D39" s="12">
        <v>10.972274579690296</v>
      </c>
      <c r="E39" s="12">
        <v>24.7</v>
      </c>
      <c r="F39" s="12">
        <v>20</v>
      </c>
      <c r="G39" s="12">
        <v>24.7</v>
      </c>
      <c r="H39" s="12">
        <v>11.308823529411764</v>
      </c>
      <c r="I39" s="12" t="s">
        <v>95</v>
      </c>
      <c r="J39" s="6">
        <v>46235</v>
      </c>
      <c r="K39">
        <v>46235</v>
      </c>
      <c r="L39">
        <v>2.2511284985266182</v>
      </c>
      <c r="M39">
        <v>2.2511284985266182</v>
      </c>
      <c r="N39">
        <v>1.0306726693063644</v>
      </c>
      <c r="O39">
        <v>0.44422164290244115</v>
      </c>
      <c r="P39">
        <v>0.44422164290244115</v>
      </c>
      <c r="Q39">
        <v>0.45784710645391763</v>
      </c>
      <c r="R39">
        <v>2.1841352405721715</v>
      </c>
      <c r="S39">
        <v>2.1841352405721715</v>
      </c>
      <c r="T39">
        <v>0.97024014488808863</v>
      </c>
    </row>
    <row r="40" spans="1:20" x14ac:dyDescent="0.25">
      <c r="A40" s="12" t="s">
        <v>61</v>
      </c>
      <c r="B40" s="12" t="s">
        <v>37</v>
      </c>
      <c r="C40" s="12" t="s">
        <v>15</v>
      </c>
      <c r="D40" s="12">
        <v>4.220105607573192</v>
      </c>
      <c r="E40" s="12">
        <v>27.549999999999997</v>
      </c>
      <c r="F40" s="12">
        <v>20</v>
      </c>
      <c r="G40" s="12">
        <v>27.549999999999997</v>
      </c>
      <c r="H40" s="12">
        <v>4.6874999999999991</v>
      </c>
      <c r="I40" s="12" t="s">
        <v>137</v>
      </c>
      <c r="J40" s="6">
        <v>46235</v>
      </c>
      <c r="K40">
        <v>46235</v>
      </c>
      <c r="L40">
        <v>6.5282726457271911</v>
      </c>
      <c r="M40">
        <v>6.5282726457271911</v>
      </c>
      <c r="N40">
        <v>1.1107541933519494</v>
      </c>
      <c r="O40">
        <v>0.15317987686291079</v>
      </c>
      <c r="P40">
        <v>0.15317987686291079</v>
      </c>
      <c r="Q40">
        <v>0.1701451905626134</v>
      </c>
      <c r="R40">
        <v>5.8773333333333335</v>
      </c>
      <c r="S40">
        <v>5.8773333333333335</v>
      </c>
      <c r="T40">
        <v>0.9002891962822811</v>
      </c>
    </row>
    <row r="41" spans="1:20" x14ac:dyDescent="0.25">
      <c r="A41" s="12" t="s">
        <v>61</v>
      </c>
      <c r="B41" s="12" t="s">
        <v>37</v>
      </c>
      <c r="C41" s="12" t="s">
        <v>14</v>
      </c>
      <c r="D41" s="12">
        <v>10.972274579690296</v>
      </c>
      <c r="E41" s="12">
        <v>0.95</v>
      </c>
      <c r="F41" s="12">
        <v>20</v>
      </c>
      <c r="G41" s="12">
        <v>0.95</v>
      </c>
      <c r="H41" s="12">
        <v>11.25</v>
      </c>
      <c r="I41" s="12" t="s">
        <v>96</v>
      </c>
      <c r="J41" s="6">
        <v>46236</v>
      </c>
      <c r="K41">
        <v>46236</v>
      </c>
      <c r="L41">
        <v>8.6581865327946858E-2</v>
      </c>
      <c r="M41">
        <v>8.6581865327946858E-2</v>
      </c>
      <c r="N41">
        <v>1.0253115630941076</v>
      </c>
      <c r="O41">
        <v>11.549762715463471</v>
      </c>
      <c r="P41">
        <v>11.549762715463471</v>
      </c>
      <c r="Q41">
        <v>11.842105263157896</v>
      </c>
      <c r="R41">
        <v>8.4444444444444447E-2</v>
      </c>
      <c r="S41">
        <v>8.4444444444444447E-2</v>
      </c>
      <c r="T41">
        <v>0.97531329597247074</v>
      </c>
    </row>
    <row r="42" spans="1:20" x14ac:dyDescent="0.25">
      <c r="A42" s="12" t="s">
        <v>61</v>
      </c>
      <c r="B42" s="12" t="s">
        <v>37</v>
      </c>
      <c r="C42" s="12" t="s">
        <v>15</v>
      </c>
      <c r="D42" s="12">
        <v>4.220105607573192</v>
      </c>
      <c r="E42" s="12">
        <v>19</v>
      </c>
      <c r="F42" s="12">
        <v>20</v>
      </c>
      <c r="G42" s="12">
        <v>19</v>
      </c>
      <c r="H42" s="12">
        <v>4.6874999999999991</v>
      </c>
      <c r="I42" s="12" t="s">
        <v>98</v>
      </c>
      <c r="J42" s="6">
        <v>46236</v>
      </c>
      <c r="K42">
        <v>46236</v>
      </c>
      <c r="L42">
        <v>4.5022569970532356</v>
      </c>
      <c r="M42">
        <v>4.5022569970532356</v>
      </c>
      <c r="N42">
        <v>1.1107541933519494</v>
      </c>
      <c r="O42">
        <v>0.22211082145122063</v>
      </c>
      <c r="P42">
        <v>0.22211082145122063</v>
      </c>
      <c r="Q42">
        <v>0.24671052631578944</v>
      </c>
      <c r="R42">
        <v>4.0533333333333337</v>
      </c>
      <c r="S42">
        <v>4.0533333333333337</v>
      </c>
      <c r="T42">
        <v>0.9002891962822811</v>
      </c>
    </row>
    <row r="43" spans="1:20" x14ac:dyDescent="0.25">
      <c r="A43" s="12" t="s">
        <v>61</v>
      </c>
      <c r="B43" s="12" t="s">
        <v>37</v>
      </c>
      <c r="C43" s="12" t="s">
        <v>13</v>
      </c>
      <c r="D43" s="12">
        <v>10.972274579690296</v>
      </c>
      <c r="E43" s="12">
        <v>24.7</v>
      </c>
      <c r="F43" s="12">
        <v>20</v>
      </c>
      <c r="G43" s="12">
        <v>24.7</v>
      </c>
      <c r="H43" s="12">
        <v>12.1875</v>
      </c>
      <c r="I43" s="12" t="s">
        <v>97</v>
      </c>
      <c r="J43" s="6">
        <v>46236</v>
      </c>
      <c r="K43">
        <v>46236</v>
      </c>
      <c r="L43">
        <v>2.2511284985266182</v>
      </c>
      <c r="M43">
        <v>2.2511284985266182</v>
      </c>
      <c r="N43">
        <v>1.1107541933519498</v>
      </c>
      <c r="O43">
        <v>0.44422164290244115</v>
      </c>
      <c r="P43">
        <v>0.44422164290244115</v>
      </c>
      <c r="Q43">
        <v>0.49342105263157898</v>
      </c>
      <c r="R43">
        <v>2.0266666666666664</v>
      </c>
      <c r="S43">
        <v>2.0266666666666664</v>
      </c>
      <c r="T43">
        <v>0.90028919628228077</v>
      </c>
    </row>
    <row r="44" spans="1:20" x14ac:dyDescent="0.25">
      <c r="A44" s="12" t="s">
        <v>61</v>
      </c>
      <c r="B44" s="12" t="s">
        <v>37</v>
      </c>
      <c r="C44" s="12" t="s">
        <v>13</v>
      </c>
      <c r="D44" s="12">
        <v>11.872563775972576</v>
      </c>
      <c r="E44" s="12">
        <v>4.75</v>
      </c>
      <c r="F44" s="12">
        <v>20</v>
      </c>
      <c r="G44" s="12">
        <v>4.75</v>
      </c>
      <c r="H44" s="12">
        <v>12.191176470588236</v>
      </c>
      <c r="I44" s="12" t="s">
        <v>101</v>
      </c>
      <c r="J44" s="6">
        <v>46237</v>
      </c>
      <c r="K44">
        <v>46237</v>
      </c>
      <c r="L44">
        <v>0.40008207912202937</v>
      </c>
      <c r="M44">
        <v>0.40008207912202937</v>
      </c>
      <c r="N44">
        <v>1.0268360482729484</v>
      </c>
      <c r="O44">
        <v>2.4994871107310686</v>
      </c>
      <c r="P44">
        <v>2.4994871107310686</v>
      </c>
      <c r="Q44">
        <v>2.5665634674922599</v>
      </c>
      <c r="R44">
        <v>0.3896260554885404</v>
      </c>
      <c r="S44">
        <v>0.3896260554885404</v>
      </c>
      <c r="T44">
        <v>0.97386530369859492</v>
      </c>
    </row>
    <row r="45" spans="1:20" x14ac:dyDescent="0.25">
      <c r="A45" s="12" t="s">
        <v>61</v>
      </c>
      <c r="B45" s="12" t="s">
        <v>37</v>
      </c>
      <c r="C45" s="12" t="s">
        <v>14</v>
      </c>
      <c r="D45" s="12">
        <v>10.972274579690296</v>
      </c>
      <c r="E45" s="12">
        <v>15.2</v>
      </c>
      <c r="F45" s="12">
        <v>20</v>
      </c>
      <c r="G45" s="12">
        <v>15.2</v>
      </c>
      <c r="H45" s="12">
        <v>11.308823529411764</v>
      </c>
      <c r="I45" s="12" t="s">
        <v>99</v>
      </c>
      <c r="J45" s="6">
        <v>46237</v>
      </c>
      <c r="K45">
        <v>46237</v>
      </c>
      <c r="L45">
        <v>1.3853098452471497</v>
      </c>
      <c r="M45">
        <v>1.3853098452471497</v>
      </c>
      <c r="N45">
        <v>1.0306726693063644</v>
      </c>
      <c r="O45">
        <v>0.72186016971646694</v>
      </c>
      <c r="P45">
        <v>0.72186016971646694</v>
      </c>
      <c r="Q45">
        <v>0.74400154798761609</v>
      </c>
      <c r="R45">
        <v>1.3440832249674901</v>
      </c>
      <c r="S45">
        <v>1.3440832249674901</v>
      </c>
      <c r="T45">
        <v>0.97024014488808863</v>
      </c>
    </row>
    <row r="46" spans="1:20" x14ac:dyDescent="0.25">
      <c r="A46" s="12" t="s">
        <v>61</v>
      </c>
      <c r="B46" s="12" t="s">
        <v>37</v>
      </c>
      <c r="C46" s="12" t="s">
        <v>15</v>
      </c>
      <c r="D46" s="12">
        <v>4.220105607573192</v>
      </c>
      <c r="E46" s="12">
        <v>20.9</v>
      </c>
      <c r="F46" s="12">
        <v>20</v>
      </c>
      <c r="G46" s="12">
        <v>20.9</v>
      </c>
      <c r="H46" s="12">
        <v>4.6874999999999991</v>
      </c>
      <c r="I46" s="12" t="s">
        <v>100</v>
      </c>
      <c r="J46" s="6">
        <v>46237</v>
      </c>
      <c r="K46">
        <v>46237</v>
      </c>
      <c r="L46">
        <v>4.9524826967585591</v>
      </c>
      <c r="M46">
        <v>4.9524826967585591</v>
      </c>
      <c r="N46">
        <v>1.1107541933519494</v>
      </c>
      <c r="O46">
        <v>0.20191892859201876</v>
      </c>
      <c r="P46">
        <v>0.20191892859201876</v>
      </c>
      <c r="Q46">
        <v>0.22428229665071767</v>
      </c>
      <c r="R46">
        <v>4.4586666666666668</v>
      </c>
      <c r="S46">
        <v>4.4586666666666668</v>
      </c>
      <c r="T46">
        <v>0.9002891962822811</v>
      </c>
    </row>
    <row r="47" spans="1:20" x14ac:dyDescent="0.25">
      <c r="A47" s="12" t="s">
        <v>61</v>
      </c>
      <c r="B47" s="12" t="s">
        <v>37</v>
      </c>
      <c r="C47" s="12" t="s">
        <v>14</v>
      </c>
      <c r="D47" s="12">
        <v>10.972274579690296</v>
      </c>
      <c r="E47" s="12">
        <v>24.7</v>
      </c>
      <c r="F47" s="12">
        <v>20</v>
      </c>
      <c r="G47" s="12">
        <v>24.7</v>
      </c>
      <c r="H47" s="12">
        <v>12.1875</v>
      </c>
      <c r="I47" s="12" t="s">
        <v>102</v>
      </c>
      <c r="J47" s="6">
        <v>46238</v>
      </c>
      <c r="K47">
        <v>46238</v>
      </c>
      <c r="L47">
        <v>2.2511284985266182</v>
      </c>
      <c r="M47">
        <v>2.2511284985266182</v>
      </c>
      <c r="N47">
        <v>1.1107541933519498</v>
      </c>
      <c r="O47">
        <v>0.44422164290244115</v>
      </c>
      <c r="P47">
        <v>0.44422164290244115</v>
      </c>
      <c r="Q47">
        <v>0.49342105263157898</v>
      </c>
      <c r="R47">
        <v>2.0266666666666664</v>
      </c>
      <c r="S47">
        <v>2.0266666666666664</v>
      </c>
      <c r="T47">
        <v>0.90028919628228077</v>
      </c>
    </row>
    <row r="48" spans="1:20" x14ac:dyDescent="0.25">
      <c r="A48" s="12" t="s">
        <v>61</v>
      </c>
      <c r="B48" s="12" t="s">
        <v>37</v>
      </c>
      <c r="C48" s="12" t="s">
        <v>15</v>
      </c>
      <c r="D48" s="12">
        <v>4.220105607573192</v>
      </c>
      <c r="E48" s="12">
        <v>30.4</v>
      </c>
      <c r="F48" s="12">
        <v>20</v>
      </c>
      <c r="G48" s="12">
        <v>30.4</v>
      </c>
      <c r="H48" s="12">
        <v>4.6874999999999991</v>
      </c>
      <c r="I48" s="12" t="s">
        <v>103</v>
      </c>
      <c r="J48" s="6">
        <v>46238</v>
      </c>
      <c r="K48">
        <v>46238</v>
      </c>
      <c r="L48">
        <v>7.2036111952851769</v>
      </c>
      <c r="M48">
        <v>7.2036111952851769</v>
      </c>
      <c r="N48">
        <v>1.1107541933519494</v>
      </c>
      <c r="O48">
        <v>0.13881926340701289</v>
      </c>
      <c r="P48">
        <v>0.13881926340701289</v>
      </c>
      <c r="Q48">
        <v>0.15419407894736839</v>
      </c>
      <c r="R48">
        <v>6.4853333333333341</v>
      </c>
      <c r="S48">
        <v>6.4853333333333341</v>
      </c>
      <c r="T48">
        <v>0.9002891962822811</v>
      </c>
    </row>
    <row r="49" spans="1:20" x14ac:dyDescent="0.25">
      <c r="A49" s="12" t="s">
        <v>61</v>
      </c>
      <c r="B49" s="12" t="s">
        <v>37</v>
      </c>
      <c r="C49" s="12" t="s">
        <v>13</v>
      </c>
      <c r="D49" s="12">
        <v>13.026059308709248</v>
      </c>
      <c r="E49" s="12">
        <v>9.5</v>
      </c>
      <c r="F49" s="12">
        <v>20</v>
      </c>
      <c r="G49" s="12">
        <v>9.5</v>
      </c>
      <c r="H49" s="12">
        <v>13.125</v>
      </c>
      <c r="I49" s="12" t="s">
        <v>104</v>
      </c>
      <c r="J49" s="6">
        <v>46238</v>
      </c>
      <c r="K49">
        <v>46238</v>
      </c>
      <c r="L49">
        <v>0.72930728893950925</v>
      </c>
      <c r="M49">
        <v>0.72930728893950925</v>
      </c>
      <c r="N49">
        <v>1.007595596561164</v>
      </c>
      <c r="O49">
        <v>1.3711641377588684</v>
      </c>
      <c r="P49">
        <v>1.3711641377588684</v>
      </c>
      <c r="Q49">
        <v>1.381578947368421</v>
      </c>
      <c r="R49">
        <v>0.72380952380952379</v>
      </c>
      <c r="S49">
        <v>0.72380952380952379</v>
      </c>
      <c r="T49">
        <v>0.99246166161594274</v>
      </c>
    </row>
    <row r="50" spans="1:20" x14ac:dyDescent="0.25">
      <c r="A50" s="12" t="s">
        <v>61</v>
      </c>
      <c r="B50" s="12" t="s">
        <v>37</v>
      </c>
      <c r="C50" s="12" t="s">
        <v>15</v>
      </c>
      <c r="D50" s="12">
        <v>4.220105607573192</v>
      </c>
      <c r="E50" s="12">
        <v>19</v>
      </c>
      <c r="F50" s="12">
        <v>20</v>
      </c>
      <c r="G50" s="12">
        <v>19</v>
      </c>
      <c r="H50" s="12">
        <v>5.6041666666666661</v>
      </c>
      <c r="I50" s="12" t="s">
        <v>106</v>
      </c>
      <c r="J50" s="6">
        <v>46239</v>
      </c>
      <c r="K50">
        <v>46239</v>
      </c>
      <c r="L50">
        <v>4.5022569970532356</v>
      </c>
      <c r="M50">
        <v>4.5022569970532356</v>
      </c>
      <c r="N50">
        <v>1.327968346718553</v>
      </c>
      <c r="O50">
        <v>0.22211082145122063</v>
      </c>
      <c r="P50">
        <v>0.22211082145122063</v>
      </c>
      <c r="Q50">
        <v>0.29495614035087714</v>
      </c>
      <c r="R50">
        <v>3.3903345724907066</v>
      </c>
      <c r="S50">
        <v>3.3903345724907066</v>
      </c>
      <c r="T50">
        <v>0.75302999689038375</v>
      </c>
    </row>
    <row r="51" spans="1:20" x14ac:dyDescent="0.25">
      <c r="A51" s="12" t="s">
        <v>61</v>
      </c>
      <c r="B51" s="12" t="s">
        <v>37</v>
      </c>
      <c r="C51" s="12" t="s">
        <v>13</v>
      </c>
      <c r="D51" s="12">
        <v>12.575914710568108</v>
      </c>
      <c r="E51" s="12">
        <v>12.35</v>
      </c>
      <c r="F51" s="12">
        <v>20</v>
      </c>
      <c r="G51" s="12">
        <v>12.35</v>
      </c>
      <c r="H51" s="12">
        <v>12.715073529411764</v>
      </c>
      <c r="I51" s="12" t="s">
        <v>105</v>
      </c>
      <c r="J51" s="6">
        <v>46239</v>
      </c>
      <c r="K51">
        <v>46239</v>
      </c>
      <c r="L51">
        <v>0.98203592217604163</v>
      </c>
      <c r="M51">
        <v>0.98203592217604163</v>
      </c>
      <c r="N51">
        <v>1.0110655027523934</v>
      </c>
      <c r="O51">
        <v>1.0182926891148265</v>
      </c>
      <c r="P51">
        <v>1.0182926891148265</v>
      </c>
      <c r="Q51">
        <v>1.0295606096689689</v>
      </c>
      <c r="R51">
        <v>0.97128813069249675</v>
      </c>
      <c r="S51">
        <v>0.97128813069249675</v>
      </c>
      <c r="T51">
        <v>0.9890556025081757</v>
      </c>
    </row>
    <row r="52" spans="1:20" x14ac:dyDescent="0.25">
      <c r="A52" s="12" t="s">
        <v>61</v>
      </c>
      <c r="B52" s="12" t="s">
        <v>37</v>
      </c>
      <c r="C52" s="12" t="s">
        <v>14</v>
      </c>
      <c r="D52" s="12">
        <v>10.803470355387372</v>
      </c>
      <c r="E52" s="12">
        <v>4.75</v>
      </c>
      <c r="F52" s="12">
        <v>20</v>
      </c>
      <c r="G52" s="12">
        <v>4.75</v>
      </c>
      <c r="H52" s="12">
        <v>12.055759803921568</v>
      </c>
      <c r="I52" s="12" t="s">
        <v>107</v>
      </c>
      <c r="J52" s="6">
        <v>46239</v>
      </c>
      <c r="K52">
        <v>46239</v>
      </c>
      <c r="L52">
        <v>0.43967353486848004</v>
      </c>
      <c r="M52">
        <v>0.43967353486848004</v>
      </c>
      <c r="N52">
        <v>1.1159154796874799</v>
      </c>
      <c r="O52">
        <v>2.2744148116604994</v>
      </c>
      <c r="P52">
        <v>2.2744148116604994</v>
      </c>
      <c r="Q52">
        <v>2.5380546955624355</v>
      </c>
      <c r="R52">
        <v>0.39400254129606105</v>
      </c>
      <c r="S52">
        <v>0.39400254129606105</v>
      </c>
      <c r="T52">
        <v>0.89612521575563875</v>
      </c>
    </row>
    <row r="53" spans="1:20" x14ac:dyDescent="0.25">
      <c r="A53" s="12" t="s">
        <v>61</v>
      </c>
      <c r="B53" s="12" t="s">
        <v>37</v>
      </c>
      <c r="C53" s="12" t="s">
        <v>13</v>
      </c>
      <c r="D53" s="12">
        <v>11.731893589053469</v>
      </c>
      <c r="E53" s="12">
        <v>20.9</v>
      </c>
      <c r="F53" s="12">
        <v>20</v>
      </c>
      <c r="G53" s="12">
        <v>20.9</v>
      </c>
      <c r="H53" s="12">
        <v>12.166666666666666</v>
      </c>
      <c r="I53" s="12" t="s">
        <v>108</v>
      </c>
      <c r="J53" s="6">
        <v>46240</v>
      </c>
      <c r="K53">
        <v>46240</v>
      </c>
      <c r="L53">
        <v>1.781468595956317</v>
      </c>
      <c r="M53">
        <v>1.781468595956317</v>
      </c>
      <c r="N53">
        <v>1.0370590710112531</v>
      </c>
      <c r="O53">
        <v>0.56133462148581192</v>
      </c>
      <c r="P53">
        <v>0.56133462148581192</v>
      </c>
      <c r="Q53">
        <v>0.58213716108452951</v>
      </c>
      <c r="R53">
        <v>1.7178082191780821</v>
      </c>
      <c r="S53">
        <v>1.7178082191780821</v>
      </c>
      <c r="T53">
        <v>0.96426522649754542</v>
      </c>
    </row>
    <row r="54" spans="1:20" x14ac:dyDescent="0.25">
      <c r="A54" s="12" t="s">
        <v>61</v>
      </c>
      <c r="B54" s="12" t="s">
        <v>37</v>
      </c>
      <c r="C54" s="12" t="s">
        <v>15</v>
      </c>
      <c r="D54" s="12">
        <v>4.220105607573192</v>
      </c>
      <c r="E54" s="12">
        <v>19.95</v>
      </c>
      <c r="F54" s="12">
        <v>20</v>
      </c>
      <c r="G54" s="12">
        <v>19.95</v>
      </c>
      <c r="H54" s="12">
        <v>5.6041666666666661</v>
      </c>
      <c r="I54" s="12" t="s">
        <v>109</v>
      </c>
      <c r="J54" s="6">
        <v>46240</v>
      </c>
      <c r="K54">
        <v>46240</v>
      </c>
      <c r="L54">
        <v>4.7273698469058969</v>
      </c>
      <c r="M54">
        <v>4.7273698469058969</v>
      </c>
      <c r="N54">
        <v>1.327968346718553</v>
      </c>
      <c r="O54">
        <v>0.21153411566782918</v>
      </c>
      <c r="P54">
        <v>0.21153411566782918</v>
      </c>
      <c r="Q54">
        <v>0.28091060985797828</v>
      </c>
      <c r="R54">
        <v>3.5598513011152417</v>
      </c>
      <c r="S54">
        <v>3.5598513011152417</v>
      </c>
      <c r="T54">
        <v>0.75302999689038375</v>
      </c>
    </row>
    <row r="55" spans="1:20" x14ac:dyDescent="0.25">
      <c r="A55" s="12" t="s">
        <v>61</v>
      </c>
      <c r="B55" s="12" t="s">
        <v>37</v>
      </c>
      <c r="C55" s="12" t="s">
        <v>14</v>
      </c>
      <c r="D55" s="12">
        <v>10.972274579690296</v>
      </c>
      <c r="E55" s="12">
        <v>1.9</v>
      </c>
      <c r="F55" s="12">
        <v>20</v>
      </c>
      <c r="G55" s="12">
        <v>1.9</v>
      </c>
      <c r="H55" s="12">
        <v>13.104166666666666</v>
      </c>
      <c r="I55" s="12" t="s">
        <v>110</v>
      </c>
      <c r="J55" s="6">
        <v>46240</v>
      </c>
      <c r="K55">
        <v>46240</v>
      </c>
      <c r="L55">
        <v>0.17316373065589372</v>
      </c>
      <c r="M55">
        <v>0.17316373065589372</v>
      </c>
      <c r="N55">
        <v>1.1942980984929512</v>
      </c>
      <c r="O55">
        <v>5.7748813577317355</v>
      </c>
      <c r="P55">
        <v>5.7748813577317355</v>
      </c>
      <c r="Q55">
        <v>6.8969298245614032</v>
      </c>
      <c r="R55">
        <v>0.14499205087440381</v>
      </c>
      <c r="S55">
        <v>0.14499205087440381</v>
      </c>
      <c r="T55">
        <v>0.83731189161388597</v>
      </c>
    </row>
    <row r="56" spans="1:20" x14ac:dyDescent="0.25">
      <c r="A56" s="12" t="s">
        <v>61</v>
      </c>
      <c r="B56" s="12" t="s">
        <v>37</v>
      </c>
      <c r="C56" s="12" t="s">
        <v>14</v>
      </c>
      <c r="D56" s="12">
        <v>11.028542654457937</v>
      </c>
      <c r="E56" s="12">
        <v>23.75</v>
      </c>
      <c r="F56" s="12">
        <v>20</v>
      </c>
      <c r="G56" s="12">
        <v>23.75</v>
      </c>
      <c r="H56" s="12">
        <v>13.107843137254903</v>
      </c>
      <c r="I56" s="12" t="s">
        <v>111</v>
      </c>
      <c r="J56" s="6">
        <v>46241</v>
      </c>
      <c r="K56">
        <v>46241</v>
      </c>
      <c r="L56">
        <v>2.15350302792725</v>
      </c>
      <c r="M56">
        <v>2.15350302792725</v>
      </c>
      <c r="N56">
        <v>1.1885381004494258</v>
      </c>
      <c r="O56">
        <v>0.46435969071401839</v>
      </c>
      <c r="P56">
        <v>0.46435969071401839</v>
      </c>
      <c r="Q56">
        <v>0.55190918472652228</v>
      </c>
      <c r="R56">
        <v>1.8118922961854897</v>
      </c>
      <c r="S56">
        <v>1.8118922961854897</v>
      </c>
      <c r="T56">
        <v>0.84136974626380656</v>
      </c>
    </row>
    <row r="57" spans="1:20" x14ac:dyDescent="0.25">
      <c r="A57" s="12" t="s">
        <v>61</v>
      </c>
      <c r="B57" s="12" t="s">
        <v>37</v>
      </c>
      <c r="C57" s="12" t="s">
        <v>13</v>
      </c>
      <c r="D57" s="12">
        <v>10.972274579690296</v>
      </c>
      <c r="E57" s="12">
        <v>11.4</v>
      </c>
      <c r="F57" s="12">
        <v>20</v>
      </c>
      <c r="G57" s="12">
        <v>11.4</v>
      </c>
      <c r="H57" s="12">
        <v>13.162990196078432</v>
      </c>
      <c r="I57" s="12" t="s">
        <v>112</v>
      </c>
      <c r="J57" s="6">
        <v>46241</v>
      </c>
      <c r="K57">
        <v>46241</v>
      </c>
      <c r="L57">
        <v>1.0389823839353622</v>
      </c>
      <c r="M57">
        <v>1.0389823839353622</v>
      </c>
      <c r="N57">
        <v>1.1996592047052081</v>
      </c>
      <c r="O57">
        <v>0.96248022628862262</v>
      </c>
      <c r="P57">
        <v>0.96248022628862262</v>
      </c>
      <c r="Q57">
        <v>1.1546482628138977</v>
      </c>
      <c r="R57">
        <v>0.86606461223349762</v>
      </c>
      <c r="S57">
        <v>0.86606461223349762</v>
      </c>
      <c r="T57">
        <v>0.83357006396306499</v>
      </c>
    </row>
    <row r="58" spans="1:20" x14ac:dyDescent="0.25">
      <c r="A58" s="12" t="s">
        <v>61</v>
      </c>
      <c r="B58" s="12" t="s">
        <v>37</v>
      </c>
      <c r="C58" s="12" t="s">
        <v>15</v>
      </c>
      <c r="D58" s="12">
        <v>4.220105607573192</v>
      </c>
      <c r="E58" s="12">
        <v>31.35</v>
      </c>
      <c r="F58" s="12">
        <v>20</v>
      </c>
      <c r="G58" s="12">
        <v>31.35</v>
      </c>
      <c r="H58" s="12">
        <v>5.6041666666666661</v>
      </c>
      <c r="I58" s="12" t="s">
        <v>138</v>
      </c>
      <c r="J58" s="6">
        <v>46241</v>
      </c>
      <c r="K58">
        <v>46241</v>
      </c>
      <c r="L58">
        <v>7.4287240451378382</v>
      </c>
      <c r="M58">
        <v>7.4287240451378382</v>
      </c>
      <c r="N58">
        <v>1.327968346718553</v>
      </c>
      <c r="O58">
        <v>0.13461261906134583</v>
      </c>
      <c r="P58">
        <v>0.13461261906134583</v>
      </c>
      <c r="Q58">
        <v>0.17876129718234982</v>
      </c>
      <c r="R58">
        <v>5.5940520446096658</v>
      </c>
      <c r="S58">
        <v>5.5940520446096658</v>
      </c>
      <c r="T58">
        <v>0.75302999689038375</v>
      </c>
    </row>
    <row r="59" spans="1:20" x14ac:dyDescent="0.25">
      <c r="A59" s="12" t="s">
        <v>61</v>
      </c>
      <c r="B59" s="12" t="s">
        <v>37</v>
      </c>
      <c r="C59" s="12" t="s">
        <v>14</v>
      </c>
      <c r="D59" s="12">
        <v>10.972274579690296</v>
      </c>
      <c r="E59" s="12">
        <v>11.4</v>
      </c>
      <c r="F59" s="12">
        <v>20</v>
      </c>
      <c r="G59" s="12">
        <v>11.4</v>
      </c>
      <c r="H59" s="12">
        <v>13.162990196078432</v>
      </c>
      <c r="I59" s="12" t="s">
        <v>114</v>
      </c>
      <c r="J59" s="6">
        <v>46242</v>
      </c>
      <c r="K59">
        <v>46242</v>
      </c>
      <c r="L59">
        <v>1.0389823839353622</v>
      </c>
      <c r="M59">
        <v>1.0389823839353622</v>
      </c>
      <c r="N59">
        <v>1.1996592047052081</v>
      </c>
      <c r="O59">
        <v>0.96248022628862262</v>
      </c>
      <c r="P59">
        <v>0.96248022628862262</v>
      </c>
      <c r="Q59">
        <v>1.1546482628138977</v>
      </c>
      <c r="R59">
        <v>0.86606461223349762</v>
      </c>
      <c r="S59">
        <v>0.86606461223349762</v>
      </c>
      <c r="T59">
        <v>0.83357006396306499</v>
      </c>
    </row>
    <row r="60" spans="1:20" x14ac:dyDescent="0.25">
      <c r="A60" s="12" t="s">
        <v>61</v>
      </c>
      <c r="B60" s="12" t="s">
        <v>37</v>
      </c>
      <c r="C60" s="12" t="s">
        <v>15</v>
      </c>
      <c r="D60" s="12">
        <v>4.220105607573192</v>
      </c>
      <c r="E60" s="12">
        <v>4.75</v>
      </c>
      <c r="F60" s="12">
        <v>20</v>
      </c>
      <c r="G60" s="12">
        <v>4.75</v>
      </c>
      <c r="H60" s="12">
        <v>5.6041666666666661</v>
      </c>
      <c r="I60" s="12" t="s">
        <v>113</v>
      </c>
      <c r="J60" s="6">
        <v>46242</v>
      </c>
      <c r="K60">
        <v>46242</v>
      </c>
      <c r="L60">
        <v>1.1255642492633089</v>
      </c>
      <c r="M60">
        <v>1.1255642492633089</v>
      </c>
      <c r="N60">
        <v>1.327968346718553</v>
      </c>
      <c r="O60">
        <v>0.88844328580488252</v>
      </c>
      <c r="P60">
        <v>0.88844328580488252</v>
      </c>
      <c r="Q60">
        <v>1.1798245614035086</v>
      </c>
      <c r="R60">
        <v>0.84758364312267664</v>
      </c>
      <c r="S60">
        <v>0.84758364312267664</v>
      </c>
      <c r="T60">
        <v>0.75302999689038375</v>
      </c>
    </row>
    <row r="61" spans="1:20" x14ac:dyDescent="0.25">
      <c r="A61" s="12" t="s">
        <v>61</v>
      </c>
      <c r="B61" s="12" t="s">
        <v>37</v>
      </c>
      <c r="C61" s="12" t="s">
        <v>13</v>
      </c>
      <c r="D61" s="12">
        <v>11.028542654457937</v>
      </c>
      <c r="E61" s="12">
        <v>47.5</v>
      </c>
      <c r="F61" s="12">
        <v>20</v>
      </c>
      <c r="G61" s="12">
        <v>47.5</v>
      </c>
      <c r="H61" s="12">
        <v>13.1078431372549</v>
      </c>
      <c r="I61" s="12" t="s">
        <v>139</v>
      </c>
      <c r="J61" s="6">
        <v>46242</v>
      </c>
      <c r="K61">
        <v>46242</v>
      </c>
      <c r="L61">
        <v>4.3070060558545</v>
      </c>
      <c r="M61">
        <v>4.3070060558545</v>
      </c>
      <c r="N61">
        <v>1.1885381004494253</v>
      </c>
      <c r="O61">
        <v>0.2321798453570092</v>
      </c>
      <c r="P61">
        <v>0.2321798453570092</v>
      </c>
      <c r="Q61">
        <v>0.27595459236326103</v>
      </c>
      <c r="R61">
        <v>3.6237845923709804</v>
      </c>
      <c r="S61">
        <v>3.6237845923709804</v>
      </c>
      <c r="T61">
        <v>0.84136974626380678</v>
      </c>
    </row>
    <row r="62" spans="1:20" x14ac:dyDescent="0.25">
      <c r="A62" s="12" t="s">
        <v>61</v>
      </c>
      <c r="B62" s="12" t="s">
        <v>37</v>
      </c>
      <c r="C62" s="12" t="s">
        <v>13</v>
      </c>
      <c r="D62" s="12">
        <v>10.972274579690296</v>
      </c>
      <c r="E62" s="12">
        <v>15.2</v>
      </c>
      <c r="F62" s="12">
        <v>20</v>
      </c>
      <c r="G62" s="12">
        <v>15.2</v>
      </c>
      <c r="H62" s="12">
        <v>13.104166666666666</v>
      </c>
      <c r="I62" s="12" t="s">
        <v>115</v>
      </c>
      <c r="J62" s="6">
        <v>46243</v>
      </c>
      <c r="K62">
        <v>46243</v>
      </c>
      <c r="L62">
        <v>1.3853098452471497</v>
      </c>
      <c r="M62">
        <v>1.3853098452471497</v>
      </c>
      <c r="N62">
        <v>1.1942980984929512</v>
      </c>
      <c r="O62">
        <v>0.72186016971646694</v>
      </c>
      <c r="P62">
        <v>0.72186016971646694</v>
      </c>
      <c r="Q62">
        <v>0.86211622807017541</v>
      </c>
      <c r="R62">
        <v>1.1599364069952305</v>
      </c>
      <c r="S62">
        <v>1.1599364069952305</v>
      </c>
      <c r="T62">
        <v>0.83731189161388597</v>
      </c>
    </row>
    <row r="63" spans="1:20" x14ac:dyDescent="0.25">
      <c r="A63" s="12" t="s">
        <v>61</v>
      </c>
      <c r="B63" s="12" t="s">
        <v>37</v>
      </c>
      <c r="C63" s="12" t="s">
        <v>15</v>
      </c>
      <c r="D63" s="12">
        <v>4.220105607573192</v>
      </c>
      <c r="E63" s="12">
        <v>23.75</v>
      </c>
      <c r="F63" s="12">
        <v>20</v>
      </c>
      <c r="G63" s="12">
        <v>23.75</v>
      </c>
      <c r="H63" s="12">
        <v>4.6874999999999991</v>
      </c>
      <c r="I63" s="12" t="s">
        <v>141</v>
      </c>
      <c r="J63" s="6">
        <v>46243</v>
      </c>
      <c r="K63">
        <v>46243</v>
      </c>
      <c r="L63">
        <v>5.6278212463165449</v>
      </c>
      <c r="M63">
        <v>5.6278212463165449</v>
      </c>
      <c r="N63">
        <v>1.1107541933519494</v>
      </c>
      <c r="O63">
        <v>0.17768865716097651</v>
      </c>
      <c r="P63">
        <v>0.17768865716097651</v>
      </c>
      <c r="Q63">
        <v>0.19736842105263155</v>
      </c>
      <c r="R63">
        <v>5.0666666666666673</v>
      </c>
      <c r="S63">
        <v>5.0666666666666673</v>
      </c>
      <c r="T63">
        <v>0.9002891962822811</v>
      </c>
    </row>
    <row r="64" spans="1:20" x14ac:dyDescent="0.25">
      <c r="A64" s="12" t="s">
        <v>61</v>
      </c>
      <c r="B64" s="12" t="s">
        <v>37</v>
      </c>
      <c r="C64" s="12" t="s">
        <v>14</v>
      </c>
      <c r="D64" s="12">
        <v>11.816295701204936</v>
      </c>
      <c r="E64" s="12">
        <v>33.25</v>
      </c>
      <c r="F64" s="12">
        <v>20</v>
      </c>
      <c r="G64" s="12">
        <v>33.25</v>
      </c>
      <c r="H64" s="12">
        <v>13.18359375</v>
      </c>
      <c r="I64" s="12" t="s">
        <v>140</v>
      </c>
      <c r="J64" s="6">
        <v>46243</v>
      </c>
      <c r="K64">
        <v>46243</v>
      </c>
      <c r="L64">
        <v>2.8139106231582725</v>
      </c>
      <c r="M64">
        <v>2.8139106231582725</v>
      </c>
      <c r="N64">
        <v>1.1157129174294138</v>
      </c>
      <c r="O64">
        <v>0.35537731432195296</v>
      </c>
      <c r="P64">
        <v>0.35537731432195296</v>
      </c>
      <c r="Q64">
        <v>0.39649906015037595</v>
      </c>
      <c r="R64">
        <v>2.5220740740740739</v>
      </c>
      <c r="S64">
        <v>2.5220740740740739</v>
      </c>
      <c r="T64">
        <v>0.89628791096547067</v>
      </c>
    </row>
    <row r="65" spans="1:20" x14ac:dyDescent="0.25">
      <c r="A65" s="12" t="s">
        <v>61</v>
      </c>
      <c r="B65" s="12" t="s">
        <v>37</v>
      </c>
      <c r="C65" s="12" t="s">
        <v>15</v>
      </c>
      <c r="D65" s="12">
        <v>4.220105607573192</v>
      </c>
      <c r="E65" s="12">
        <v>12.35</v>
      </c>
      <c r="F65" s="12">
        <v>20</v>
      </c>
      <c r="G65" s="12">
        <v>12.35</v>
      </c>
      <c r="H65" s="12">
        <v>4.6874999999999991</v>
      </c>
      <c r="I65" s="12" t="s">
        <v>117</v>
      </c>
      <c r="J65" s="6">
        <v>46244</v>
      </c>
      <c r="K65">
        <v>46244</v>
      </c>
      <c r="L65">
        <v>2.9264670480846031</v>
      </c>
      <c r="M65">
        <v>2.9264670480846031</v>
      </c>
      <c r="N65">
        <v>1.1107541933519494</v>
      </c>
      <c r="O65">
        <v>0.34170895607880097</v>
      </c>
      <c r="P65">
        <v>0.34170895607880097</v>
      </c>
      <c r="Q65">
        <v>0.37955465587044529</v>
      </c>
      <c r="R65">
        <v>2.6346666666666669</v>
      </c>
      <c r="S65">
        <v>2.6346666666666669</v>
      </c>
      <c r="T65">
        <v>0.9002891962822811</v>
      </c>
    </row>
    <row r="66" spans="1:20" x14ac:dyDescent="0.25">
      <c r="A66" s="12" t="s">
        <v>61</v>
      </c>
      <c r="B66" s="12" t="s">
        <v>37</v>
      </c>
      <c r="C66" s="12" t="s">
        <v>14</v>
      </c>
      <c r="D66" s="12">
        <v>10.972274579690296</v>
      </c>
      <c r="E66" s="12">
        <v>16.149999999999999</v>
      </c>
      <c r="F66" s="12">
        <v>20</v>
      </c>
      <c r="G66" s="12">
        <v>16.149999999999999</v>
      </c>
      <c r="H66" s="12">
        <v>12.246323529411764</v>
      </c>
      <c r="I66" s="12" t="s">
        <v>116</v>
      </c>
      <c r="J66" s="6">
        <v>46244</v>
      </c>
      <c r="K66">
        <v>46244</v>
      </c>
      <c r="L66">
        <v>1.4718917105750966</v>
      </c>
      <c r="M66">
        <v>1.4718917105750966</v>
      </c>
      <c r="N66">
        <v>1.1161152995642067</v>
      </c>
      <c r="O66">
        <v>0.67939780679196882</v>
      </c>
      <c r="P66">
        <v>0.67939780679196882</v>
      </c>
      <c r="Q66">
        <v>0.75828628665088327</v>
      </c>
      <c r="R66">
        <v>1.3187631341939356</v>
      </c>
      <c r="S66">
        <v>1.3187631341939356</v>
      </c>
      <c r="T66">
        <v>0.89596478104946287</v>
      </c>
    </row>
    <row r="67" spans="1:20" x14ac:dyDescent="0.25">
      <c r="A67" s="12" t="s">
        <v>61</v>
      </c>
      <c r="B67" s="12" t="s">
        <v>37</v>
      </c>
      <c r="C67" s="12" t="s">
        <v>13</v>
      </c>
      <c r="D67" s="12">
        <v>11.872563775972576</v>
      </c>
      <c r="E67" s="12">
        <v>47.5</v>
      </c>
      <c r="F67" s="12">
        <v>20</v>
      </c>
      <c r="G67" s="12">
        <v>47.5</v>
      </c>
      <c r="H67" s="12">
        <v>12.191176470588236</v>
      </c>
      <c r="I67" s="12" t="s">
        <v>142</v>
      </c>
      <c r="J67" s="6">
        <v>46244</v>
      </c>
      <c r="K67">
        <v>46244</v>
      </c>
      <c r="L67">
        <v>4.0008207912202938</v>
      </c>
      <c r="M67">
        <v>4.0008207912202938</v>
      </c>
      <c r="N67">
        <v>1.0268360482729484</v>
      </c>
      <c r="O67">
        <v>0.24994871107310687</v>
      </c>
      <c r="P67">
        <v>0.24994871107310687</v>
      </c>
      <c r="Q67">
        <v>0.25665634674922599</v>
      </c>
      <c r="R67">
        <v>3.8962605548854041</v>
      </c>
      <c r="S67">
        <v>3.8962605548854041</v>
      </c>
      <c r="T67">
        <v>0.97386530369859492</v>
      </c>
    </row>
    <row r="68" spans="1:20" x14ac:dyDescent="0.25">
      <c r="A68" s="12" t="s">
        <v>61</v>
      </c>
      <c r="B68" s="12" t="s">
        <v>37</v>
      </c>
      <c r="C68" s="12" t="s">
        <v>14</v>
      </c>
      <c r="D68" s="12">
        <v>10.972274579690296</v>
      </c>
      <c r="E68" s="12">
        <v>10.45</v>
      </c>
      <c r="F68" s="12">
        <v>20</v>
      </c>
      <c r="G68" s="12">
        <v>10.45</v>
      </c>
      <c r="H68" s="12">
        <v>12.1875</v>
      </c>
      <c r="I68" s="12" t="s">
        <v>119</v>
      </c>
      <c r="J68" s="6">
        <v>46245</v>
      </c>
      <c r="K68">
        <v>46245</v>
      </c>
      <c r="L68">
        <v>0.95240051860741537</v>
      </c>
      <c r="M68">
        <v>0.95240051860741537</v>
      </c>
      <c r="N68">
        <v>1.1107541933519498</v>
      </c>
      <c r="O68">
        <v>1.0499784286784972</v>
      </c>
      <c r="P68">
        <v>1.0499784286784972</v>
      </c>
      <c r="Q68">
        <v>1.1662679425837321</v>
      </c>
      <c r="R68">
        <v>0.85743589743589743</v>
      </c>
      <c r="S68">
        <v>0.85743589743589743</v>
      </c>
      <c r="T68">
        <v>0.90028919628228077</v>
      </c>
    </row>
    <row r="69" spans="1:20" x14ac:dyDescent="0.25">
      <c r="A69" s="12" t="s">
        <v>61</v>
      </c>
      <c r="B69" s="12" t="s">
        <v>37</v>
      </c>
      <c r="C69" s="12" t="s">
        <v>15</v>
      </c>
      <c r="D69" s="12">
        <v>4.220105607573192</v>
      </c>
      <c r="E69" s="12">
        <v>31.35</v>
      </c>
      <c r="F69" s="12">
        <v>20</v>
      </c>
      <c r="G69" s="12">
        <v>31.35</v>
      </c>
      <c r="H69" s="12">
        <v>4.6874999999999991</v>
      </c>
      <c r="I69" s="12" t="s">
        <v>120</v>
      </c>
      <c r="J69" s="6">
        <v>46245</v>
      </c>
      <c r="K69">
        <v>46245</v>
      </c>
      <c r="L69">
        <v>7.4287240451378382</v>
      </c>
      <c r="M69">
        <v>7.4287240451378382</v>
      </c>
      <c r="N69">
        <v>1.1107541933519494</v>
      </c>
      <c r="O69">
        <v>0.13461261906134583</v>
      </c>
      <c r="P69">
        <v>0.13461261906134583</v>
      </c>
      <c r="Q69">
        <v>0.14952153110047844</v>
      </c>
      <c r="R69">
        <v>6.6880000000000006</v>
      </c>
      <c r="S69">
        <v>6.6880000000000006</v>
      </c>
      <c r="T69">
        <v>0.9002891962822811</v>
      </c>
    </row>
    <row r="70" spans="1:20" x14ac:dyDescent="0.25">
      <c r="A70" s="12" t="s">
        <v>61</v>
      </c>
      <c r="B70" s="12" t="s">
        <v>37</v>
      </c>
      <c r="C70" s="12" t="s">
        <v>13</v>
      </c>
      <c r="D70" s="12">
        <v>11.731893589053469</v>
      </c>
      <c r="E70" s="12">
        <v>5.6999999999999993</v>
      </c>
      <c r="F70" s="12">
        <v>20</v>
      </c>
      <c r="G70" s="12">
        <v>5.6999999999999993</v>
      </c>
      <c r="H70" s="12">
        <v>11.25</v>
      </c>
      <c r="I70" s="12" t="s">
        <v>118</v>
      </c>
      <c r="J70" s="6">
        <v>46245</v>
      </c>
      <c r="K70">
        <v>46245</v>
      </c>
      <c r="L70">
        <v>0.48585507162445002</v>
      </c>
      <c r="M70">
        <v>0.48585507162445002</v>
      </c>
      <c r="N70">
        <v>0.95892448346930947</v>
      </c>
      <c r="O70">
        <v>2.0582269454479771</v>
      </c>
      <c r="P70">
        <v>2.0582269454479771</v>
      </c>
      <c r="Q70">
        <v>1.9736842105263159</v>
      </c>
      <c r="R70">
        <v>0.5066666666666666</v>
      </c>
      <c r="S70">
        <v>0.5066666666666666</v>
      </c>
      <c r="T70">
        <v>1.0428349856936416</v>
      </c>
    </row>
    <row r="71" spans="1:20" x14ac:dyDescent="0.25">
      <c r="A71" s="12" t="s">
        <v>61</v>
      </c>
      <c r="B71" s="12" t="s">
        <v>37</v>
      </c>
      <c r="C71" s="12" t="s">
        <v>13</v>
      </c>
      <c r="D71" s="12">
        <v>12.575914710568108</v>
      </c>
      <c r="E71" s="12">
        <v>10.45</v>
      </c>
      <c r="F71" s="12">
        <v>20</v>
      </c>
      <c r="G71" s="12">
        <v>10.45</v>
      </c>
      <c r="H71" s="12">
        <v>11.308823529411764</v>
      </c>
      <c r="I71" s="12" t="s">
        <v>121</v>
      </c>
      <c r="J71" s="6">
        <v>46246</v>
      </c>
      <c r="K71">
        <v>46246</v>
      </c>
      <c r="L71">
        <v>0.83095347261049668</v>
      </c>
      <c r="M71">
        <v>0.83095347261049668</v>
      </c>
      <c r="N71">
        <v>0.89924461080421048</v>
      </c>
      <c r="O71">
        <v>1.2034368144084315</v>
      </c>
      <c r="P71">
        <v>1.2034368144084315</v>
      </c>
      <c r="Q71">
        <v>1.082184069800169</v>
      </c>
      <c r="R71">
        <v>0.92405721716514955</v>
      </c>
      <c r="S71">
        <v>0.92405721716514955</v>
      </c>
      <c r="T71">
        <v>1.1120444737563477</v>
      </c>
    </row>
    <row r="72" spans="1:20" x14ac:dyDescent="0.25">
      <c r="A72" s="12" t="s">
        <v>61</v>
      </c>
      <c r="B72" s="12" t="s">
        <v>37</v>
      </c>
      <c r="C72" s="12" t="s">
        <v>15</v>
      </c>
      <c r="D72" s="12">
        <v>4.220105607573192</v>
      </c>
      <c r="E72" s="12">
        <v>30.4</v>
      </c>
      <c r="F72" s="12">
        <v>20</v>
      </c>
      <c r="G72" s="12">
        <v>30.4</v>
      </c>
      <c r="H72" s="12">
        <v>5.6041666666666661</v>
      </c>
      <c r="I72" s="12" t="s">
        <v>122</v>
      </c>
      <c r="J72" s="6">
        <v>46246</v>
      </c>
      <c r="K72">
        <v>46246</v>
      </c>
      <c r="L72">
        <v>7.2036111952851769</v>
      </c>
      <c r="M72">
        <v>7.2036111952851769</v>
      </c>
      <c r="N72">
        <v>1.327968346718553</v>
      </c>
      <c r="O72">
        <v>0.13881926340701289</v>
      </c>
      <c r="P72">
        <v>0.13881926340701289</v>
      </c>
      <c r="Q72">
        <v>0.18434758771929824</v>
      </c>
      <c r="R72">
        <v>5.4245353159851302</v>
      </c>
      <c r="S72">
        <v>5.4245353159851302</v>
      </c>
      <c r="T72">
        <v>0.75302999689038375</v>
      </c>
    </row>
    <row r="73" spans="1:20" x14ac:dyDescent="0.25">
      <c r="A73" s="12" t="s">
        <v>61</v>
      </c>
      <c r="B73" s="12" t="s">
        <v>37</v>
      </c>
      <c r="C73" s="12" t="s">
        <v>14</v>
      </c>
      <c r="D73" s="12">
        <v>10.80347035538737</v>
      </c>
      <c r="E73" s="12">
        <v>9.5</v>
      </c>
      <c r="F73" s="12">
        <v>20</v>
      </c>
      <c r="G73" s="12">
        <v>9.5</v>
      </c>
      <c r="H73" s="12">
        <v>12.055759803921568</v>
      </c>
      <c r="I73" s="12" t="s">
        <v>123</v>
      </c>
      <c r="J73" s="6">
        <v>46246</v>
      </c>
      <c r="K73">
        <v>46246</v>
      </c>
      <c r="L73">
        <v>0.8793470697369602</v>
      </c>
      <c r="M73">
        <v>0.8793470697369602</v>
      </c>
      <c r="N73">
        <v>1.1159154796874799</v>
      </c>
      <c r="O73">
        <v>1.1372074058302495</v>
      </c>
      <c r="P73">
        <v>1.1372074058302495</v>
      </c>
      <c r="Q73">
        <v>1.2690273477812177</v>
      </c>
      <c r="R73">
        <v>0.7880050825921221</v>
      </c>
      <c r="S73">
        <v>0.7880050825921221</v>
      </c>
      <c r="T73">
        <v>0.89612521575563864</v>
      </c>
    </row>
    <row r="74" spans="1:20" x14ac:dyDescent="0.25">
      <c r="A74" s="12" t="s">
        <v>61</v>
      </c>
      <c r="B74" s="12" t="s">
        <v>37</v>
      </c>
      <c r="C74" s="12" t="s">
        <v>14</v>
      </c>
      <c r="D74" s="12">
        <v>10.972274579690296</v>
      </c>
      <c r="E74" s="12">
        <v>1.9</v>
      </c>
      <c r="F74" s="12">
        <v>20</v>
      </c>
      <c r="G74" s="12">
        <v>1.9</v>
      </c>
      <c r="H74" s="12">
        <v>12.24609375</v>
      </c>
      <c r="I74" s="12" t="s">
        <v>124</v>
      </c>
      <c r="J74" s="6">
        <v>46247</v>
      </c>
      <c r="K74">
        <v>46247</v>
      </c>
      <c r="L74">
        <v>0.17316373065589372</v>
      </c>
      <c r="M74">
        <v>0.17316373065589372</v>
      </c>
      <c r="N74">
        <v>1.1160943577430651</v>
      </c>
      <c r="O74">
        <v>5.7748813577317355</v>
      </c>
      <c r="P74">
        <v>5.7748813577317355</v>
      </c>
      <c r="Q74">
        <v>6.4453125</v>
      </c>
      <c r="R74">
        <v>0.15515151515151515</v>
      </c>
      <c r="S74">
        <v>0.15515151515151515</v>
      </c>
      <c r="T74">
        <v>0.89598159247231768</v>
      </c>
    </row>
    <row r="75" spans="1:20" x14ac:dyDescent="0.25">
      <c r="A75" s="12" t="s">
        <v>61</v>
      </c>
      <c r="B75" s="12" t="s">
        <v>37</v>
      </c>
      <c r="C75" s="12" t="s">
        <v>13</v>
      </c>
      <c r="D75" s="12">
        <v>10.887872467538832</v>
      </c>
      <c r="E75" s="12">
        <v>15.2</v>
      </c>
      <c r="F75" s="12">
        <v>20</v>
      </c>
      <c r="G75" s="12">
        <v>15.2</v>
      </c>
      <c r="H75" s="12">
        <v>12.166666666666668</v>
      </c>
      <c r="I75" s="12" t="s">
        <v>126</v>
      </c>
      <c r="J75" s="6">
        <v>46247</v>
      </c>
      <c r="K75">
        <v>46247</v>
      </c>
      <c r="L75">
        <v>1.3960486812568176</v>
      </c>
      <c r="M75">
        <v>1.3960486812568176</v>
      </c>
      <c r="N75">
        <v>1.1174512470586371</v>
      </c>
      <c r="O75">
        <v>0.71630739918018638</v>
      </c>
      <c r="P75">
        <v>0.71630739918018638</v>
      </c>
      <c r="Q75">
        <v>0.80043859649122817</v>
      </c>
      <c r="R75">
        <v>1.2493150684931504</v>
      </c>
      <c r="S75">
        <v>1.2493150684931504</v>
      </c>
      <c r="T75">
        <v>0.89489362746894507</v>
      </c>
    </row>
    <row r="76" spans="1:20" x14ac:dyDescent="0.25">
      <c r="A76" s="12" t="s">
        <v>61</v>
      </c>
      <c r="B76" s="12" t="s">
        <v>37</v>
      </c>
      <c r="C76" s="12" t="s">
        <v>15</v>
      </c>
      <c r="D76" s="12">
        <v>4.220105607573192</v>
      </c>
      <c r="E76" s="12">
        <v>30.4</v>
      </c>
      <c r="F76" s="12">
        <v>20</v>
      </c>
      <c r="G76" s="12">
        <v>30.4</v>
      </c>
      <c r="H76" s="12">
        <v>4.6874999999999991</v>
      </c>
      <c r="I76" s="12" t="s">
        <v>125</v>
      </c>
      <c r="J76" s="6">
        <v>46247</v>
      </c>
      <c r="K76">
        <v>46247</v>
      </c>
      <c r="L76">
        <v>7.2036111952851769</v>
      </c>
      <c r="M76">
        <v>7.2036111952851769</v>
      </c>
      <c r="N76">
        <v>1.1107541933519494</v>
      </c>
      <c r="O76">
        <v>0.13881926340701289</v>
      </c>
      <c r="P76">
        <v>0.13881926340701289</v>
      </c>
      <c r="Q76">
        <v>0.15419407894736839</v>
      </c>
      <c r="R76">
        <v>6.4853333333333341</v>
      </c>
      <c r="S76">
        <v>6.4853333333333341</v>
      </c>
      <c r="T76">
        <v>0.9002891962822811</v>
      </c>
    </row>
    <row r="77" spans="1:20" x14ac:dyDescent="0.25">
      <c r="A77" s="12" t="s">
        <v>61</v>
      </c>
      <c r="B77" s="12" t="s">
        <v>37</v>
      </c>
      <c r="C77" s="12" t="s">
        <v>14</v>
      </c>
      <c r="D77" s="12">
        <v>11.028542654457937</v>
      </c>
      <c r="E77" s="12">
        <v>4.75</v>
      </c>
      <c r="F77" s="12">
        <v>20</v>
      </c>
      <c r="G77" s="12">
        <v>4.75</v>
      </c>
      <c r="H77" s="12">
        <v>12.191176470588236</v>
      </c>
      <c r="I77" s="12" t="s">
        <v>127</v>
      </c>
      <c r="J77" s="6">
        <v>46248</v>
      </c>
      <c r="K77">
        <v>46248</v>
      </c>
      <c r="L77">
        <v>0.43070060558545004</v>
      </c>
      <c r="M77">
        <v>0.43070060558545004</v>
      </c>
      <c r="N77">
        <v>1.105420439722409</v>
      </c>
      <c r="O77">
        <v>2.321798453570092</v>
      </c>
      <c r="P77">
        <v>2.321798453570092</v>
      </c>
      <c r="Q77">
        <v>2.5665634674922599</v>
      </c>
      <c r="R77">
        <v>0.3896260554885404</v>
      </c>
      <c r="S77">
        <v>0.3896260554885404</v>
      </c>
      <c r="T77">
        <v>0.90463317310390789</v>
      </c>
    </row>
    <row r="78" spans="1:20" x14ac:dyDescent="0.25">
      <c r="A78" s="12" t="s">
        <v>61</v>
      </c>
      <c r="B78" s="12" t="s">
        <v>37</v>
      </c>
      <c r="C78" s="12" t="s">
        <v>15</v>
      </c>
      <c r="D78" s="12">
        <v>4.220105607573192</v>
      </c>
      <c r="E78" s="12">
        <v>30.4</v>
      </c>
      <c r="F78" s="12">
        <v>20</v>
      </c>
      <c r="G78" s="12">
        <v>30.4</v>
      </c>
      <c r="H78" s="12">
        <v>3.7499999999999991</v>
      </c>
      <c r="I78" s="12" t="s">
        <v>129</v>
      </c>
      <c r="J78" s="6">
        <v>46248</v>
      </c>
      <c r="K78">
        <v>46248</v>
      </c>
      <c r="L78">
        <v>7.2036111952851769</v>
      </c>
      <c r="M78">
        <v>7.2036111952851769</v>
      </c>
      <c r="N78">
        <v>0.88860335468155949</v>
      </c>
      <c r="O78">
        <v>0.13881926340701289</v>
      </c>
      <c r="P78">
        <v>0.13881926340701289</v>
      </c>
      <c r="Q78">
        <v>0.12335526315789472</v>
      </c>
      <c r="R78">
        <v>8.1066666666666674</v>
      </c>
      <c r="S78">
        <v>8.1066666666666674</v>
      </c>
      <c r="T78">
        <v>1.1253614953528515</v>
      </c>
    </row>
    <row r="79" spans="1:20" x14ac:dyDescent="0.25">
      <c r="A79" s="12" t="s">
        <v>61</v>
      </c>
      <c r="B79" s="12" t="s">
        <v>37</v>
      </c>
      <c r="C79" s="12" t="s">
        <v>13</v>
      </c>
      <c r="D79" s="12">
        <v>10.972274579690296</v>
      </c>
      <c r="E79" s="12">
        <v>22.799999999999997</v>
      </c>
      <c r="F79" s="12">
        <v>20</v>
      </c>
      <c r="G79" s="12">
        <v>22.799999999999997</v>
      </c>
      <c r="H79" s="12">
        <v>10.371323529411764</v>
      </c>
      <c r="I79" s="12" t="s">
        <v>128</v>
      </c>
      <c r="J79" s="6">
        <v>46248</v>
      </c>
      <c r="K79">
        <v>46248</v>
      </c>
      <c r="L79">
        <v>2.0779647678707245</v>
      </c>
      <c r="M79">
        <v>2.0779647678707245</v>
      </c>
      <c r="N79">
        <v>0.94523003904852199</v>
      </c>
      <c r="O79">
        <v>0.48124011314431131</v>
      </c>
      <c r="P79">
        <v>0.48124011314431131</v>
      </c>
      <c r="Q79">
        <v>0.45488261093911253</v>
      </c>
      <c r="R79">
        <v>2.1983693725629205</v>
      </c>
      <c r="S79">
        <v>2.1983693725629205</v>
      </c>
      <c r="T79">
        <v>1.0579435255851686</v>
      </c>
    </row>
    <row r="80" spans="1:20" x14ac:dyDescent="0.25">
      <c r="A80" s="12" t="s">
        <v>61</v>
      </c>
      <c r="B80" s="12" t="s">
        <v>37</v>
      </c>
      <c r="C80" s="12" t="s">
        <v>14</v>
      </c>
      <c r="D80" s="12">
        <v>10.972274579690296</v>
      </c>
      <c r="E80" s="12">
        <v>17.099999999999998</v>
      </c>
      <c r="F80" s="12">
        <v>20</v>
      </c>
      <c r="G80" s="12">
        <v>17.099999999999998</v>
      </c>
      <c r="H80" s="12">
        <v>12.246323529411764</v>
      </c>
      <c r="I80" s="12" t="s">
        <v>130</v>
      </c>
      <c r="J80" s="6">
        <v>46249</v>
      </c>
      <c r="K80">
        <v>46249</v>
      </c>
      <c r="L80">
        <v>1.5584735759030433</v>
      </c>
      <c r="M80">
        <v>1.5584735759030433</v>
      </c>
      <c r="N80">
        <v>1.1161152995642067</v>
      </c>
      <c r="O80">
        <v>0.64165348419241508</v>
      </c>
      <c r="P80">
        <v>0.64165348419241508</v>
      </c>
      <c r="Q80">
        <v>0.7161592707258343</v>
      </c>
      <c r="R80">
        <v>1.3963374362053436</v>
      </c>
      <c r="S80">
        <v>1.3963374362053436</v>
      </c>
      <c r="T80">
        <v>0.89596478104946287</v>
      </c>
    </row>
    <row r="81" spans="1:20" x14ac:dyDescent="0.25">
      <c r="A81" s="12" t="s">
        <v>61</v>
      </c>
      <c r="B81" s="12" t="s">
        <v>37</v>
      </c>
      <c r="C81" s="12" t="s">
        <v>15</v>
      </c>
      <c r="D81" s="12">
        <v>4.220105607573192</v>
      </c>
      <c r="E81" s="12">
        <v>7.6</v>
      </c>
      <c r="F81" s="12">
        <v>20</v>
      </c>
      <c r="G81" s="12">
        <v>7.6</v>
      </c>
      <c r="H81" s="12">
        <v>4.7460937499999991</v>
      </c>
      <c r="I81" s="12" t="s">
        <v>131</v>
      </c>
      <c r="J81" s="6">
        <v>46249</v>
      </c>
      <c r="K81">
        <v>46249</v>
      </c>
      <c r="L81">
        <v>1.8009027988212942</v>
      </c>
      <c r="M81">
        <v>1.8009027988212942</v>
      </c>
      <c r="N81">
        <v>1.1246386207688488</v>
      </c>
      <c r="O81">
        <v>0.55527705362805158</v>
      </c>
      <c r="P81">
        <v>0.55527705362805158</v>
      </c>
      <c r="Q81">
        <v>0.62448601973684204</v>
      </c>
      <c r="R81">
        <v>1.6013168724279838</v>
      </c>
      <c r="S81">
        <v>1.6013168724279838</v>
      </c>
      <c r="T81">
        <v>0.88917451484669741</v>
      </c>
    </row>
    <row r="82" spans="1:20" x14ac:dyDescent="0.25">
      <c r="A82" s="12" t="s">
        <v>61</v>
      </c>
      <c r="B82" s="12" t="s">
        <v>37</v>
      </c>
      <c r="C82" s="12" t="s">
        <v>13</v>
      </c>
      <c r="D82" s="12">
        <v>11.028542654457937</v>
      </c>
      <c r="E82" s="12">
        <v>45.599999999999994</v>
      </c>
      <c r="F82" s="12">
        <v>20</v>
      </c>
      <c r="G82" s="12">
        <v>45.599999999999994</v>
      </c>
      <c r="H82" s="12">
        <v>12.191176470588236</v>
      </c>
      <c r="I82" s="12" t="s">
        <v>143</v>
      </c>
      <c r="J82" s="6">
        <v>46249</v>
      </c>
      <c r="K82">
        <v>46249</v>
      </c>
      <c r="L82">
        <v>4.13472581362032</v>
      </c>
      <c r="M82">
        <v>4.13472581362032</v>
      </c>
      <c r="N82">
        <v>1.105420439722409</v>
      </c>
      <c r="O82">
        <v>0.24185400558021794</v>
      </c>
      <c r="P82">
        <v>0.24185400558021794</v>
      </c>
      <c r="Q82">
        <v>0.26735036119711048</v>
      </c>
      <c r="R82">
        <v>3.7404101326899872</v>
      </c>
      <c r="S82">
        <v>3.7404101326899872</v>
      </c>
      <c r="T82">
        <v>0.90463317310390789</v>
      </c>
    </row>
    <row r="83" spans="1:20" x14ac:dyDescent="0.25">
      <c r="A83" s="12" t="s">
        <v>61</v>
      </c>
      <c r="B83" s="12" t="s">
        <v>37</v>
      </c>
      <c r="C83" s="12" t="s">
        <v>13</v>
      </c>
      <c r="D83" s="12">
        <v>10.972274579690296</v>
      </c>
      <c r="E83" s="12">
        <v>9.5</v>
      </c>
      <c r="F83" s="12">
        <v>20</v>
      </c>
      <c r="G83" s="12">
        <v>9.5</v>
      </c>
      <c r="H83" s="12">
        <v>12.1875</v>
      </c>
      <c r="I83" s="12" t="s">
        <v>132</v>
      </c>
      <c r="J83" s="6">
        <v>46250</v>
      </c>
      <c r="K83">
        <v>46250</v>
      </c>
      <c r="L83">
        <v>0.86581865327946861</v>
      </c>
      <c r="M83">
        <v>0.86581865327946861</v>
      </c>
      <c r="N83">
        <v>1.1107541933519498</v>
      </c>
      <c r="O83">
        <v>1.154976271546347</v>
      </c>
      <c r="P83">
        <v>1.154976271546347</v>
      </c>
      <c r="Q83">
        <v>1.2828947368421053</v>
      </c>
      <c r="R83">
        <v>0.77948717948717949</v>
      </c>
      <c r="S83">
        <v>0.77948717948717949</v>
      </c>
      <c r="T83">
        <v>0.90028919628228077</v>
      </c>
    </row>
    <row r="84" spans="1:20" x14ac:dyDescent="0.25">
      <c r="A84" s="12" t="s">
        <v>61</v>
      </c>
      <c r="B84" s="12" t="s">
        <v>37</v>
      </c>
      <c r="C84" s="12" t="s">
        <v>15</v>
      </c>
      <c r="D84" s="12">
        <v>4.220105607573192</v>
      </c>
      <c r="E84" s="12">
        <v>8.5499999999999989</v>
      </c>
      <c r="F84" s="12">
        <v>20</v>
      </c>
      <c r="G84" s="12">
        <v>8.5499999999999989</v>
      </c>
      <c r="H84" s="12">
        <v>4.7460937499999991</v>
      </c>
      <c r="I84" s="12" t="s">
        <v>133</v>
      </c>
      <c r="J84" s="6">
        <v>46250</v>
      </c>
      <c r="K84">
        <v>46250</v>
      </c>
      <c r="L84">
        <v>2.026015648673956</v>
      </c>
      <c r="M84">
        <v>2.026015648673956</v>
      </c>
      <c r="N84">
        <v>1.1246386207688488</v>
      </c>
      <c r="O84">
        <v>0.49357960322493477</v>
      </c>
      <c r="P84">
        <v>0.49357960322493477</v>
      </c>
      <c r="Q84">
        <v>0.55509868421052633</v>
      </c>
      <c r="R84">
        <v>1.8014814814814817</v>
      </c>
      <c r="S84">
        <v>1.8014814814814817</v>
      </c>
      <c r="T84">
        <v>0.88917451484669741</v>
      </c>
    </row>
    <row r="85" spans="1:20" x14ac:dyDescent="0.25">
      <c r="A85" s="12" t="s">
        <v>61</v>
      </c>
      <c r="B85" s="12" t="s">
        <v>37</v>
      </c>
      <c r="C85" s="12" t="s">
        <v>14</v>
      </c>
      <c r="D85" s="12">
        <v>10.972274579690296</v>
      </c>
      <c r="E85" s="12">
        <v>45.599999999999994</v>
      </c>
      <c r="F85" s="12">
        <v>20</v>
      </c>
      <c r="G85" s="12">
        <v>45.599999999999994</v>
      </c>
      <c r="H85" s="12">
        <v>12.1875</v>
      </c>
      <c r="I85" s="12" t="s">
        <v>144</v>
      </c>
      <c r="J85" s="6">
        <v>46250</v>
      </c>
      <c r="K85">
        <v>46250</v>
      </c>
      <c r="L85">
        <v>4.155929535741449</v>
      </c>
      <c r="M85">
        <v>4.155929535741449</v>
      </c>
      <c r="N85">
        <v>1.1107541933519498</v>
      </c>
      <c r="O85">
        <v>0.24062005657215566</v>
      </c>
      <c r="P85">
        <v>0.24062005657215566</v>
      </c>
      <c r="Q85">
        <v>0.26726973684210531</v>
      </c>
      <c r="R85">
        <v>3.741538461538461</v>
      </c>
      <c r="S85">
        <v>3.741538461538461</v>
      </c>
      <c r="T85">
        <v>0.90028919628228077</v>
      </c>
    </row>
    <row r="86" spans="1:20" x14ac:dyDescent="0.25">
      <c r="A86" s="12" t="s">
        <v>62</v>
      </c>
      <c r="B86" s="12" t="s">
        <v>37</v>
      </c>
      <c r="C86" s="12" t="s">
        <v>15</v>
      </c>
      <c r="D86" s="12">
        <v>4.440974877503046</v>
      </c>
      <c r="E86" s="12">
        <v>4.75</v>
      </c>
      <c r="F86" s="12">
        <v>20</v>
      </c>
      <c r="G86" s="12">
        <v>4.75</v>
      </c>
      <c r="H86" s="12">
        <v>7.5522129524886878</v>
      </c>
      <c r="I86" s="12" t="s">
        <v>134</v>
      </c>
      <c r="J86" s="6">
        <v>46223</v>
      </c>
      <c r="K86">
        <v>46223</v>
      </c>
      <c r="L86">
        <v>1.0695849742502268</v>
      </c>
      <c r="M86">
        <v>1.0695849742502268</v>
      </c>
      <c r="N86">
        <v>1.7005754729094407</v>
      </c>
      <c r="O86">
        <v>0.9349420794743255</v>
      </c>
      <c r="P86">
        <v>0.9349420794743255</v>
      </c>
      <c r="Q86">
        <v>1.5899395689449869</v>
      </c>
      <c r="R86">
        <v>0.62895472226252946</v>
      </c>
      <c r="S86">
        <v>0.62895472226252946</v>
      </c>
      <c r="T86">
        <v>0.58803623592732612</v>
      </c>
    </row>
    <row r="87" spans="1:20" x14ac:dyDescent="0.25">
      <c r="A87" s="12" t="s">
        <v>62</v>
      </c>
      <c r="B87" s="12" t="s">
        <v>37</v>
      </c>
      <c r="C87" s="12" t="s">
        <v>14</v>
      </c>
      <c r="D87" s="12">
        <v>8.1223093154332009</v>
      </c>
      <c r="E87" s="12">
        <v>6.6499999999999995</v>
      </c>
      <c r="F87" s="12">
        <v>20</v>
      </c>
      <c r="G87" s="12">
        <v>6.6499999999999995</v>
      </c>
      <c r="H87" s="12">
        <v>6.975779398297778</v>
      </c>
      <c r="I87" s="12" t="s">
        <v>65</v>
      </c>
      <c r="J87" s="6">
        <v>46223</v>
      </c>
      <c r="K87">
        <v>46223</v>
      </c>
      <c r="L87">
        <v>0.81873267093686442</v>
      </c>
      <c r="M87">
        <v>0.81873267093686442</v>
      </c>
      <c r="N87">
        <v>0.85884187949393886</v>
      </c>
      <c r="O87">
        <v>1.2213998970576243</v>
      </c>
      <c r="P87">
        <v>1.2213998970576243</v>
      </c>
      <c r="Q87">
        <v>1.0489893832026735</v>
      </c>
      <c r="R87">
        <v>0.95329849473490014</v>
      </c>
      <c r="S87">
        <v>0.95329849473490014</v>
      </c>
      <c r="T87">
        <v>1.1643586833343953</v>
      </c>
    </row>
    <row r="88" spans="1:20" x14ac:dyDescent="0.25">
      <c r="A88" s="12" t="s">
        <v>62</v>
      </c>
      <c r="B88" s="12" t="s">
        <v>37</v>
      </c>
      <c r="C88" s="12" t="s">
        <v>13</v>
      </c>
      <c r="D88" s="12">
        <v>9.9337595944147097</v>
      </c>
      <c r="E88" s="12">
        <v>34.199999999999996</v>
      </c>
      <c r="F88" s="12">
        <v>20</v>
      </c>
      <c r="G88" s="12">
        <v>34.199999999999996</v>
      </c>
      <c r="H88" s="12">
        <v>3.3244791666666664</v>
      </c>
      <c r="I88" s="12" t="s">
        <v>64</v>
      </c>
      <c r="J88" s="6">
        <v>46223</v>
      </c>
      <c r="K88">
        <v>46223</v>
      </c>
      <c r="L88">
        <v>3.4428052818219057</v>
      </c>
      <c r="M88">
        <v>3.4428052818219057</v>
      </c>
      <c r="N88">
        <v>0.33466474954113712</v>
      </c>
      <c r="O88">
        <v>0.29046080685423131</v>
      </c>
      <c r="P88">
        <v>0.29046080685423131</v>
      </c>
      <c r="Q88">
        <v>9.7206993177387915E-2</v>
      </c>
      <c r="R88">
        <v>10.287325708914302</v>
      </c>
      <c r="S88">
        <v>10.287325708914302</v>
      </c>
      <c r="T88">
        <v>2.9880649257835254</v>
      </c>
    </row>
    <row r="89" spans="1:20" x14ac:dyDescent="0.25">
      <c r="A89" s="12" t="s">
        <v>62</v>
      </c>
      <c r="B89" s="12" t="s">
        <v>37</v>
      </c>
      <c r="C89" s="12" t="s">
        <v>14</v>
      </c>
      <c r="D89" s="12">
        <v>8.0638754354660556</v>
      </c>
      <c r="E89" s="12">
        <v>6.6499999999999995</v>
      </c>
      <c r="F89" s="12">
        <v>20</v>
      </c>
      <c r="G89" s="12">
        <v>6.6499999999999995</v>
      </c>
      <c r="H89" s="12">
        <v>10.080191836349917</v>
      </c>
      <c r="I89" s="12" t="s">
        <v>68</v>
      </c>
      <c r="J89" s="6">
        <v>46224</v>
      </c>
      <c r="K89">
        <v>46224</v>
      </c>
      <c r="L89">
        <v>0.82466551637843588</v>
      </c>
      <c r="M89">
        <v>0.82466551637843588</v>
      </c>
      <c r="N89">
        <v>1.2500430986341653</v>
      </c>
      <c r="O89">
        <v>1.2126128474385047</v>
      </c>
      <c r="P89">
        <v>1.2126128474385047</v>
      </c>
      <c r="Q89">
        <v>1.5158183212556267</v>
      </c>
      <c r="R89">
        <v>0.65970966703427292</v>
      </c>
      <c r="S89">
        <v>0.65970966703427292</v>
      </c>
      <c r="T89">
        <v>0.79997241782513751</v>
      </c>
    </row>
    <row r="90" spans="1:20" x14ac:dyDescent="0.25">
      <c r="A90" s="12" t="s">
        <v>62</v>
      </c>
      <c r="B90" s="12" t="s">
        <v>37</v>
      </c>
      <c r="C90" s="12" t="s">
        <v>15</v>
      </c>
      <c r="D90" s="12">
        <v>4.440974877503046</v>
      </c>
      <c r="E90" s="12">
        <v>3.8</v>
      </c>
      <c r="F90" s="12">
        <v>20</v>
      </c>
      <c r="G90" s="12">
        <v>3.8</v>
      </c>
      <c r="H90" s="12">
        <v>10.308623208898943</v>
      </c>
      <c r="I90" s="12" t="s">
        <v>67</v>
      </c>
      <c r="J90" s="6">
        <v>46224</v>
      </c>
      <c r="K90">
        <v>46224</v>
      </c>
      <c r="L90">
        <v>0.85566797940018147</v>
      </c>
      <c r="M90">
        <v>0.85566797940018147</v>
      </c>
      <c r="N90">
        <v>2.321252313567467</v>
      </c>
      <c r="O90">
        <v>1.1686775993429068</v>
      </c>
      <c r="P90">
        <v>1.1686775993429068</v>
      </c>
      <c r="Q90">
        <v>2.7127955812891957</v>
      </c>
      <c r="R90">
        <v>0.36862342555304967</v>
      </c>
      <c r="S90">
        <v>0.36862342555304967</v>
      </c>
      <c r="T90">
        <v>0.43080194003689687</v>
      </c>
    </row>
    <row r="91" spans="1:20" x14ac:dyDescent="0.25">
      <c r="A91" s="12" t="s">
        <v>62</v>
      </c>
      <c r="B91" s="12" t="s">
        <v>37</v>
      </c>
      <c r="C91" s="12" t="s">
        <v>13</v>
      </c>
      <c r="D91" s="12">
        <v>9.9337595944147097</v>
      </c>
      <c r="E91" s="12">
        <v>36.1</v>
      </c>
      <c r="F91" s="12">
        <v>20</v>
      </c>
      <c r="G91" s="12">
        <v>36.1</v>
      </c>
      <c r="H91" s="12">
        <v>8.2912141779788833</v>
      </c>
      <c r="I91" s="12" t="s">
        <v>66</v>
      </c>
      <c r="J91" s="6">
        <v>46224</v>
      </c>
      <c r="K91">
        <v>46224</v>
      </c>
      <c r="L91">
        <v>3.6340722419231235</v>
      </c>
      <c r="M91">
        <v>3.6340722419231235</v>
      </c>
      <c r="N91">
        <v>0.83465017440533262</v>
      </c>
      <c r="O91">
        <v>0.27517339596716645</v>
      </c>
      <c r="P91">
        <v>0.27517339596716645</v>
      </c>
      <c r="Q91">
        <v>0.22967352293570312</v>
      </c>
      <c r="R91">
        <v>4.3540064488841796</v>
      </c>
      <c r="S91">
        <v>4.3540064488841796</v>
      </c>
      <c r="T91">
        <v>1.1981067406024026</v>
      </c>
    </row>
    <row r="92" spans="1:20" x14ac:dyDescent="0.25">
      <c r="A92" s="12" t="s">
        <v>62</v>
      </c>
      <c r="B92" s="12" t="s">
        <v>37</v>
      </c>
      <c r="C92" s="12" t="s">
        <v>13</v>
      </c>
      <c r="D92" s="12">
        <v>9.9337595944147079</v>
      </c>
      <c r="E92" s="12">
        <v>47.5</v>
      </c>
      <c r="F92" s="12">
        <v>20</v>
      </c>
      <c r="G92" s="12">
        <v>47.5</v>
      </c>
      <c r="H92" s="12">
        <v>11.047624434389142</v>
      </c>
      <c r="I92" s="12" t="s">
        <v>69</v>
      </c>
      <c r="J92" s="6">
        <v>46225</v>
      </c>
      <c r="K92">
        <v>46225</v>
      </c>
      <c r="L92">
        <v>4.7816740025304263</v>
      </c>
      <c r="M92">
        <v>4.7816740025304263</v>
      </c>
      <c r="N92">
        <v>1.1121292325818624</v>
      </c>
      <c r="O92">
        <v>0.20913178093504647</v>
      </c>
      <c r="P92">
        <v>0.20913178093504647</v>
      </c>
      <c r="Q92">
        <v>0.23258156703977143</v>
      </c>
      <c r="R92">
        <v>4.2995668690674878</v>
      </c>
      <c r="S92">
        <v>4.2995668690674878</v>
      </c>
      <c r="T92">
        <v>0.8991760765774055</v>
      </c>
    </row>
    <row r="93" spans="1:20" x14ac:dyDescent="0.25">
      <c r="A93" s="12" t="s">
        <v>62</v>
      </c>
      <c r="B93" s="12" t="s">
        <v>37</v>
      </c>
      <c r="C93" s="12" t="s">
        <v>14</v>
      </c>
      <c r="D93" s="12">
        <v>8.0638754354660556</v>
      </c>
      <c r="E93" s="12">
        <v>7.6</v>
      </c>
      <c r="F93" s="12">
        <v>20</v>
      </c>
      <c r="G93" s="12">
        <v>7.6</v>
      </c>
      <c r="H93" s="12">
        <v>12.910862085218705</v>
      </c>
      <c r="I93" s="12" t="s">
        <v>71</v>
      </c>
      <c r="J93" s="6">
        <v>46225</v>
      </c>
      <c r="K93">
        <v>46225</v>
      </c>
      <c r="L93">
        <v>0.94247487586106959</v>
      </c>
      <c r="M93">
        <v>0.94247487586106959</v>
      </c>
      <c r="N93">
        <v>1.6010740975034066</v>
      </c>
      <c r="O93">
        <v>1.0610362415086916</v>
      </c>
      <c r="P93">
        <v>1.0610362415086916</v>
      </c>
      <c r="Q93">
        <v>1.6987976427919349</v>
      </c>
      <c r="R93">
        <v>0.58865162913489977</v>
      </c>
      <c r="S93">
        <v>0.58865162913489977</v>
      </c>
      <c r="T93">
        <v>0.62458071213526223</v>
      </c>
    </row>
    <row r="94" spans="1:20" x14ac:dyDescent="0.25">
      <c r="A94" s="12" t="s">
        <v>62</v>
      </c>
      <c r="B94" s="12" t="s">
        <v>37</v>
      </c>
      <c r="C94" s="12" t="s">
        <v>15</v>
      </c>
      <c r="D94" s="12">
        <v>4.440974877503046</v>
      </c>
      <c r="E94" s="12">
        <v>4.75</v>
      </c>
      <c r="F94" s="12">
        <v>20</v>
      </c>
      <c r="G94" s="12">
        <v>4.75</v>
      </c>
      <c r="H94" s="12">
        <v>11.42887443438914</v>
      </c>
      <c r="I94" s="12" t="s">
        <v>70</v>
      </c>
      <c r="J94" s="6">
        <v>46225</v>
      </c>
      <c r="K94">
        <v>46225</v>
      </c>
      <c r="L94">
        <v>1.0695849742502268</v>
      </c>
      <c r="M94">
        <v>1.0695849742502268</v>
      </c>
      <c r="N94">
        <v>2.5735057616031969</v>
      </c>
      <c r="O94">
        <v>0.9349420794743255</v>
      </c>
      <c r="P94">
        <v>0.9349420794743255</v>
      </c>
      <c r="Q94">
        <v>2.4060788282924506</v>
      </c>
      <c r="R94">
        <v>0.41561398082276524</v>
      </c>
      <c r="S94">
        <v>0.41561398082276524</v>
      </c>
      <c r="T94">
        <v>0.38857499948903856</v>
      </c>
    </row>
    <row r="95" spans="1:20" x14ac:dyDescent="0.25">
      <c r="A95" s="12" t="s">
        <v>62</v>
      </c>
      <c r="B95" s="12" t="s">
        <v>37</v>
      </c>
      <c r="C95" s="12" t="s">
        <v>14</v>
      </c>
      <c r="D95" s="12">
        <v>8.005441555498912</v>
      </c>
      <c r="E95" s="12">
        <v>6.6499999999999995</v>
      </c>
      <c r="F95" s="12">
        <v>20</v>
      </c>
      <c r="G95" s="12">
        <v>6.6499999999999995</v>
      </c>
      <c r="H95" s="12">
        <v>12.06515172939806</v>
      </c>
      <c r="I95" s="12" t="s">
        <v>72</v>
      </c>
      <c r="J95" s="6">
        <v>46226</v>
      </c>
      <c r="K95">
        <v>46226</v>
      </c>
      <c r="L95">
        <v>0.83068497270236596</v>
      </c>
      <c r="M95">
        <v>0.83068497270236596</v>
      </c>
      <c r="N95">
        <v>1.5071188323285611</v>
      </c>
      <c r="O95">
        <v>1.2038257978193854</v>
      </c>
      <c r="P95">
        <v>1.2038257978193854</v>
      </c>
      <c r="Q95">
        <v>1.8143085307365505</v>
      </c>
      <c r="R95">
        <v>0.55117417079774866</v>
      </c>
      <c r="S95">
        <v>0.55117417079774866</v>
      </c>
      <c r="T95">
        <v>0.66351768589803795</v>
      </c>
    </row>
    <row r="96" spans="1:20" x14ac:dyDescent="0.25">
      <c r="A96" s="12" t="s">
        <v>62</v>
      </c>
      <c r="B96" s="12" t="s">
        <v>37</v>
      </c>
      <c r="C96" s="12" t="s">
        <v>13</v>
      </c>
      <c r="D96" s="12">
        <v>9.9337595944147079</v>
      </c>
      <c r="E96" s="12">
        <v>23.75</v>
      </c>
      <c r="F96" s="12">
        <v>20</v>
      </c>
      <c r="G96" s="12">
        <v>23.75</v>
      </c>
      <c r="H96" s="12">
        <v>11.15179110105581</v>
      </c>
      <c r="I96" s="12" t="s">
        <v>74</v>
      </c>
      <c r="J96" s="6">
        <v>46226</v>
      </c>
      <c r="K96">
        <v>46226</v>
      </c>
      <c r="L96">
        <v>2.3908370012652131</v>
      </c>
      <c r="M96">
        <v>2.3908370012652131</v>
      </c>
      <c r="N96">
        <v>1.1226153597803943</v>
      </c>
      <c r="O96">
        <v>0.41826356187009295</v>
      </c>
      <c r="P96">
        <v>0.41826356187009295</v>
      </c>
      <c r="Q96">
        <v>0.46954909899182357</v>
      </c>
      <c r="R96">
        <v>2.1297027342765986</v>
      </c>
      <c r="S96">
        <v>2.1297027342765986</v>
      </c>
      <c r="T96">
        <v>0.89077705136300633</v>
      </c>
    </row>
    <row r="97" spans="1:20" x14ac:dyDescent="0.25">
      <c r="A97" s="12" t="s">
        <v>62</v>
      </c>
      <c r="B97" s="12" t="s">
        <v>37</v>
      </c>
      <c r="C97" s="12" t="s">
        <v>15</v>
      </c>
      <c r="D97" s="12">
        <v>4.440974877503046</v>
      </c>
      <c r="E97" s="12">
        <v>2.8499999999999996</v>
      </c>
      <c r="F97" s="12">
        <v>20</v>
      </c>
      <c r="G97" s="12">
        <v>2.8499999999999996</v>
      </c>
      <c r="H97" s="12">
        <v>12.054594302756067</v>
      </c>
      <c r="I97" s="12" t="s">
        <v>73</v>
      </c>
      <c r="J97" s="6">
        <v>46226</v>
      </c>
      <c r="K97">
        <v>46226</v>
      </c>
      <c r="L97">
        <v>0.64175098455013602</v>
      </c>
      <c r="M97">
        <v>0.64175098455013602</v>
      </c>
      <c r="N97">
        <v>2.7144027235600587</v>
      </c>
      <c r="O97">
        <v>1.5582367991238759</v>
      </c>
      <c r="P97">
        <v>1.5582367991238759</v>
      </c>
      <c r="Q97">
        <v>4.2296822114933574</v>
      </c>
      <c r="R97">
        <v>0.23642438131230997</v>
      </c>
      <c r="S97">
        <v>0.23642438131230997</v>
      </c>
      <c r="T97">
        <v>0.36840517117093657</v>
      </c>
    </row>
    <row r="98" spans="1:20" x14ac:dyDescent="0.25">
      <c r="A98" s="12" t="s">
        <v>62</v>
      </c>
      <c r="B98" s="12" t="s">
        <v>37</v>
      </c>
      <c r="C98" s="12" t="s">
        <v>13</v>
      </c>
      <c r="D98" s="12">
        <v>9.9337595944147079</v>
      </c>
      <c r="E98" s="12">
        <v>8.5499999999999989</v>
      </c>
      <c r="F98" s="12">
        <v>20</v>
      </c>
      <c r="G98" s="12">
        <v>8.5499999999999989</v>
      </c>
      <c r="H98" s="12">
        <v>12.144228698180909</v>
      </c>
      <c r="I98" s="12" t="s">
        <v>56</v>
      </c>
      <c r="J98" s="6">
        <v>46227</v>
      </c>
      <c r="K98">
        <v>46227</v>
      </c>
      <c r="L98">
        <v>0.86070132045547665</v>
      </c>
      <c r="M98">
        <v>0.86070132045547665</v>
      </c>
      <c r="N98">
        <v>1.2225208978289595</v>
      </c>
      <c r="O98">
        <v>1.161843227416925</v>
      </c>
      <c r="P98">
        <v>1.161843227416925</v>
      </c>
      <c r="Q98">
        <v>1.4203776255182352</v>
      </c>
      <c r="R98">
        <v>0.70403812481567551</v>
      </c>
      <c r="S98">
        <v>0.70403812481567551</v>
      </c>
      <c r="T98">
        <v>0.8179819271604043</v>
      </c>
    </row>
    <row r="99" spans="1:20" x14ac:dyDescent="0.25">
      <c r="A99" s="12" t="s">
        <v>62</v>
      </c>
      <c r="B99" s="12" t="s">
        <v>37</v>
      </c>
      <c r="C99" s="12" t="s">
        <v>15</v>
      </c>
      <c r="D99" s="12">
        <v>4.440974877503046</v>
      </c>
      <c r="E99" s="12">
        <v>3.8</v>
      </c>
      <c r="F99" s="12">
        <v>20</v>
      </c>
      <c r="G99" s="12">
        <v>3.8</v>
      </c>
      <c r="H99" s="12">
        <v>14.947830768580642</v>
      </c>
      <c r="I99" s="12" t="s">
        <v>57</v>
      </c>
      <c r="J99" s="6">
        <v>46227</v>
      </c>
      <c r="K99">
        <v>46227</v>
      </c>
      <c r="L99">
        <v>0.85566797940018147</v>
      </c>
      <c r="M99">
        <v>0.85566797940018147</v>
      </c>
      <c r="N99">
        <v>3.3658895132019109</v>
      </c>
      <c r="O99">
        <v>1.1686775993429068</v>
      </c>
      <c r="P99">
        <v>1.1686775993429068</v>
      </c>
      <c r="Q99">
        <v>3.9336396759422745</v>
      </c>
      <c r="R99">
        <v>0.25421748873337191</v>
      </c>
      <c r="S99">
        <v>0.25421748873337191</v>
      </c>
      <c r="T99">
        <v>0.29709828444389957</v>
      </c>
    </row>
    <row r="100" spans="1:20" x14ac:dyDescent="0.25">
      <c r="A100" s="12" t="s">
        <v>62</v>
      </c>
      <c r="B100" s="12" t="s">
        <v>37</v>
      </c>
      <c r="C100" s="12" t="s">
        <v>14</v>
      </c>
      <c r="D100" s="12">
        <v>8.0638754354660538</v>
      </c>
      <c r="E100" s="12">
        <v>6.6499999999999995</v>
      </c>
      <c r="F100" s="12">
        <v>20</v>
      </c>
      <c r="G100" s="12">
        <v>6.6499999999999995</v>
      </c>
      <c r="H100" s="12">
        <v>16.244212339103296</v>
      </c>
      <c r="I100" s="12" t="s">
        <v>58</v>
      </c>
      <c r="J100" s="6">
        <v>46227</v>
      </c>
      <c r="K100">
        <v>46227</v>
      </c>
      <c r="L100">
        <v>0.8246655163784361</v>
      </c>
      <c r="M100">
        <v>0.8246655163784361</v>
      </c>
      <c r="N100">
        <v>2.0144423694417419</v>
      </c>
      <c r="O100">
        <v>1.2126128474385045</v>
      </c>
      <c r="P100">
        <v>1.2126128474385045</v>
      </c>
      <c r="Q100">
        <v>2.4427386976095185</v>
      </c>
      <c r="R100">
        <v>0.40937657432561542</v>
      </c>
      <c r="S100">
        <v>0.40937657432561542</v>
      </c>
      <c r="T100">
        <v>0.49641529346760505</v>
      </c>
    </row>
    <row r="101" spans="1:20" x14ac:dyDescent="0.25">
      <c r="A101" s="12" t="s">
        <v>62</v>
      </c>
      <c r="B101" s="12" t="s">
        <v>37</v>
      </c>
      <c r="C101" s="12" t="s">
        <v>13</v>
      </c>
      <c r="D101" s="12">
        <v>9.9337595944147079</v>
      </c>
      <c r="E101" s="12">
        <v>8.5499999999999989</v>
      </c>
      <c r="F101" s="12">
        <v>20</v>
      </c>
      <c r="G101" s="12">
        <v>8.5499999999999989</v>
      </c>
      <c r="H101" s="12">
        <v>14.025719386312222</v>
      </c>
      <c r="I101" s="12" t="s">
        <v>135</v>
      </c>
      <c r="J101" s="6">
        <v>46228</v>
      </c>
      <c r="K101">
        <v>46228</v>
      </c>
      <c r="L101">
        <v>0.86070132045547665</v>
      </c>
      <c r="M101">
        <v>0.86070132045547665</v>
      </c>
      <c r="N101">
        <v>1.411924584343498</v>
      </c>
      <c r="O101">
        <v>1.161843227416925</v>
      </c>
      <c r="P101">
        <v>1.161843227416925</v>
      </c>
      <c r="Q101">
        <v>1.6404350159429502</v>
      </c>
      <c r="R101">
        <v>0.60959440043724189</v>
      </c>
      <c r="S101">
        <v>0.60959440043724189</v>
      </c>
      <c r="T101">
        <v>0.70825312561929044</v>
      </c>
    </row>
    <row r="102" spans="1:20" x14ac:dyDescent="0.25">
      <c r="A102" s="12" t="s">
        <v>62</v>
      </c>
      <c r="B102" s="12" t="s">
        <v>37</v>
      </c>
      <c r="C102" s="12" t="s">
        <v>15</v>
      </c>
      <c r="D102" s="12">
        <v>4.440974877503046</v>
      </c>
      <c r="E102" s="12">
        <v>1.9</v>
      </c>
      <c r="F102" s="12">
        <v>20</v>
      </c>
      <c r="G102" s="12">
        <v>1.9</v>
      </c>
      <c r="H102" s="12">
        <v>13.178414875565611</v>
      </c>
      <c r="I102" s="12" t="s">
        <v>75</v>
      </c>
      <c r="J102" s="6">
        <v>46228</v>
      </c>
      <c r="K102">
        <v>46228</v>
      </c>
      <c r="L102">
        <v>0.42783398970009073</v>
      </c>
      <c r="M102">
        <v>0.42783398970009073</v>
      </c>
      <c r="N102">
        <v>2.9674599021769792</v>
      </c>
      <c r="O102">
        <v>2.3373551986858137</v>
      </c>
      <c r="P102">
        <v>2.3373551986858137</v>
      </c>
      <c r="Q102">
        <v>6.9360078292450584</v>
      </c>
      <c r="R102">
        <v>0.14417515444310619</v>
      </c>
      <c r="S102">
        <v>0.14417515444310619</v>
      </c>
      <c r="T102">
        <v>0.33698854675892431</v>
      </c>
    </row>
    <row r="103" spans="1:20" x14ac:dyDescent="0.25">
      <c r="A103" s="12" t="s">
        <v>62</v>
      </c>
      <c r="B103" s="12" t="s">
        <v>37</v>
      </c>
      <c r="C103" s="12" t="s">
        <v>14</v>
      </c>
      <c r="D103" s="12">
        <v>8.1223093154331991</v>
      </c>
      <c r="E103" s="12">
        <v>6.6499999999999995</v>
      </c>
      <c r="F103" s="12">
        <v>20</v>
      </c>
      <c r="G103" s="12">
        <v>6.6499999999999995</v>
      </c>
      <c r="H103" s="12">
        <v>14.246687641402699</v>
      </c>
      <c r="I103" s="12" t="s">
        <v>76</v>
      </c>
      <c r="J103" s="6">
        <v>46228</v>
      </c>
      <c r="K103">
        <v>46228</v>
      </c>
      <c r="L103">
        <v>0.81873267093686464</v>
      </c>
      <c r="M103">
        <v>0.81873267093686464</v>
      </c>
      <c r="N103">
        <v>1.754019342052459</v>
      </c>
      <c r="O103">
        <v>1.2213998970576241</v>
      </c>
      <c r="P103">
        <v>1.2213998970576241</v>
      </c>
      <c r="Q103">
        <v>2.1423590438199551</v>
      </c>
      <c r="R103">
        <v>0.46677516678854158</v>
      </c>
      <c r="S103">
        <v>0.46677516678854158</v>
      </c>
      <c r="T103">
        <v>0.57011914066458003</v>
      </c>
    </row>
    <row r="104" spans="1:20" x14ac:dyDescent="0.25">
      <c r="A104" s="12" t="s">
        <v>62</v>
      </c>
      <c r="B104" s="12" t="s">
        <v>37</v>
      </c>
      <c r="C104" s="12" t="s">
        <v>13</v>
      </c>
      <c r="D104" s="12">
        <v>9.9337595944147079</v>
      </c>
      <c r="E104" s="12">
        <v>18.05</v>
      </c>
      <c r="F104" s="12">
        <v>20</v>
      </c>
      <c r="G104" s="12">
        <v>18.05</v>
      </c>
      <c r="H104" s="12">
        <v>12.967936934389144</v>
      </c>
      <c r="I104" s="12" t="s">
        <v>78</v>
      </c>
      <c r="J104" s="6">
        <v>46229</v>
      </c>
      <c r="K104">
        <v>46229</v>
      </c>
      <c r="L104">
        <v>1.817036120961562</v>
      </c>
      <c r="M104">
        <v>1.817036120961562</v>
      </c>
      <c r="N104">
        <v>1.3054409874867934</v>
      </c>
      <c r="O104">
        <v>0.55034679193433278</v>
      </c>
      <c r="P104">
        <v>0.55034679193433278</v>
      </c>
      <c r="Q104">
        <v>0.71844525952294425</v>
      </c>
      <c r="R104">
        <v>1.3918944926493235</v>
      </c>
      <c r="S104">
        <v>1.3918944926493235</v>
      </c>
      <c r="T104">
        <v>0.76602466874062103</v>
      </c>
    </row>
    <row r="105" spans="1:20" x14ac:dyDescent="0.25">
      <c r="A105" s="12" t="s">
        <v>62</v>
      </c>
      <c r="B105" s="12" t="s">
        <v>37</v>
      </c>
      <c r="C105" s="12" t="s">
        <v>15</v>
      </c>
      <c r="D105" s="12">
        <v>4.440974877503046</v>
      </c>
      <c r="E105" s="12">
        <v>3.8</v>
      </c>
      <c r="F105" s="12">
        <v>20</v>
      </c>
      <c r="G105" s="12">
        <v>3.8</v>
      </c>
      <c r="H105" s="12">
        <v>14.023727375565608</v>
      </c>
      <c r="I105" s="12" t="s">
        <v>77</v>
      </c>
      <c r="J105" s="6">
        <v>46229</v>
      </c>
      <c r="K105">
        <v>46229</v>
      </c>
      <c r="L105">
        <v>0.85566797940018147</v>
      </c>
      <c r="M105">
        <v>0.85566797940018147</v>
      </c>
      <c r="N105">
        <v>3.1578038071340089</v>
      </c>
      <c r="O105">
        <v>1.1686775993429068</v>
      </c>
      <c r="P105">
        <v>1.1686775993429068</v>
      </c>
      <c r="Q105">
        <v>3.6904545725172655</v>
      </c>
      <c r="R105">
        <v>0.27096932921136008</v>
      </c>
      <c r="S105">
        <v>0.27096932921136008</v>
      </c>
      <c r="T105">
        <v>0.31667578515829009</v>
      </c>
    </row>
    <row r="106" spans="1:20" x14ac:dyDescent="0.25">
      <c r="A106" s="12" t="s">
        <v>62</v>
      </c>
      <c r="B106" s="12" t="s">
        <v>37</v>
      </c>
      <c r="C106" s="12" t="s">
        <v>14</v>
      </c>
      <c r="D106" s="12">
        <v>8.1223093154331991</v>
      </c>
      <c r="E106" s="12">
        <v>7.6</v>
      </c>
      <c r="F106" s="12">
        <v>20</v>
      </c>
      <c r="G106" s="12">
        <v>7.6</v>
      </c>
      <c r="H106" s="12">
        <v>14.013925810708892</v>
      </c>
      <c r="I106" s="12" t="s">
        <v>79</v>
      </c>
      <c r="J106" s="6">
        <v>46229</v>
      </c>
      <c r="K106">
        <v>46229</v>
      </c>
      <c r="L106">
        <v>0.93569448107070241</v>
      </c>
      <c r="M106">
        <v>0.93569448107070241</v>
      </c>
      <c r="N106">
        <v>1.7253622420019186</v>
      </c>
      <c r="O106">
        <v>1.068724909925421</v>
      </c>
      <c r="P106">
        <v>1.068724909925421</v>
      </c>
      <c r="Q106">
        <v>1.8439376066722228</v>
      </c>
      <c r="R106">
        <v>0.54231769902709048</v>
      </c>
      <c r="S106">
        <v>0.54231769902709048</v>
      </c>
      <c r="T106">
        <v>0.57958843404368876</v>
      </c>
    </row>
    <row r="107" spans="1:20" x14ac:dyDescent="0.25">
      <c r="A107" s="12" t="s">
        <v>62</v>
      </c>
      <c r="B107" s="12" t="s">
        <v>37</v>
      </c>
      <c r="C107" s="12" t="s">
        <v>14</v>
      </c>
      <c r="D107" s="12">
        <v>8.1807431954003462</v>
      </c>
      <c r="E107" s="12">
        <v>6.6499999999999995</v>
      </c>
      <c r="F107" s="12">
        <v>20</v>
      </c>
      <c r="G107" s="12">
        <v>6.6499999999999995</v>
      </c>
      <c r="H107" s="12">
        <v>12.399842100301662</v>
      </c>
      <c r="I107" s="12" t="s">
        <v>80</v>
      </c>
      <c r="J107" s="6">
        <v>46230</v>
      </c>
      <c r="K107">
        <v>46230</v>
      </c>
      <c r="L107">
        <v>0.81288458043017253</v>
      </c>
      <c r="M107">
        <v>0.81288458043017253</v>
      </c>
      <c r="N107">
        <v>1.5157354049780611</v>
      </c>
      <c r="O107">
        <v>1.2301869466767439</v>
      </c>
      <c r="P107">
        <v>1.2301869466767439</v>
      </c>
      <c r="Q107">
        <v>1.8646379098197989</v>
      </c>
      <c r="R107">
        <v>0.53629715170632852</v>
      </c>
      <c r="S107">
        <v>0.53629715170632852</v>
      </c>
      <c r="T107">
        <v>0.6597457555690428</v>
      </c>
    </row>
    <row r="108" spans="1:20" x14ac:dyDescent="0.25">
      <c r="A108" s="12" t="s">
        <v>62</v>
      </c>
      <c r="B108" s="12" t="s">
        <v>37</v>
      </c>
      <c r="C108" s="12" t="s">
        <v>15</v>
      </c>
      <c r="D108" s="12">
        <v>4.440974877503046</v>
      </c>
      <c r="E108" s="12">
        <v>4.75</v>
      </c>
      <c r="F108" s="12">
        <v>20</v>
      </c>
      <c r="G108" s="12">
        <v>4.75</v>
      </c>
      <c r="H108" s="12">
        <v>12.987129996229257</v>
      </c>
      <c r="I108" s="12" t="s">
        <v>81</v>
      </c>
      <c r="J108" s="6">
        <v>46230</v>
      </c>
      <c r="K108">
        <v>46230</v>
      </c>
      <c r="L108">
        <v>1.0695849742502268</v>
      </c>
      <c r="M108">
        <v>1.0695849742502268</v>
      </c>
      <c r="N108">
        <v>2.9243871794949934</v>
      </c>
      <c r="O108">
        <v>0.9349420794743255</v>
      </c>
      <c r="P108">
        <v>0.9349420794743255</v>
      </c>
      <c r="Q108">
        <v>2.7341326307851066</v>
      </c>
      <c r="R108">
        <v>0.36574670472838394</v>
      </c>
      <c r="S108">
        <v>0.36574670472838394</v>
      </c>
      <c r="T108">
        <v>0.34195198467963739</v>
      </c>
    </row>
    <row r="109" spans="1:20" x14ac:dyDescent="0.25">
      <c r="A109" s="12" t="s">
        <v>62</v>
      </c>
      <c r="B109" s="12" t="s">
        <v>37</v>
      </c>
      <c r="C109" s="12" t="s">
        <v>13</v>
      </c>
      <c r="D109" s="12">
        <v>9.9337595944147079</v>
      </c>
      <c r="E109" s="12">
        <v>43.7</v>
      </c>
      <c r="F109" s="12">
        <v>20</v>
      </c>
      <c r="G109" s="12">
        <v>43.7</v>
      </c>
      <c r="H109" s="12">
        <v>13.149317142722481</v>
      </c>
      <c r="I109" s="12" t="s">
        <v>82</v>
      </c>
      <c r="J109" s="6">
        <v>46230</v>
      </c>
      <c r="K109">
        <v>46230</v>
      </c>
      <c r="L109">
        <v>4.3991400823279916</v>
      </c>
      <c r="M109">
        <v>4.3991400823279916</v>
      </c>
      <c r="N109">
        <v>1.3236999564712368</v>
      </c>
      <c r="O109">
        <v>0.22731715319026793</v>
      </c>
      <c r="P109">
        <v>0.22731715319026793</v>
      </c>
      <c r="Q109">
        <v>0.30089970578312314</v>
      </c>
      <c r="R109">
        <v>3.3233664931555675</v>
      </c>
      <c r="S109">
        <v>3.3233664931555675</v>
      </c>
      <c r="T109">
        <v>0.75545821023204762</v>
      </c>
    </row>
    <row r="110" spans="1:20" x14ac:dyDescent="0.25">
      <c r="A110" s="12" t="s">
        <v>62</v>
      </c>
      <c r="B110" s="12" t="s">
        <v>37</v>
      </c>
      <c r="C110" s="12" t="s">
        <v>14</v>
      </c>
      <c r="D110" s="12">
        <v>8.1807431954003444</v>
      </c>
      <c r="E110" s="12">
        <v>6.6499999999999995</v>
      </c>
      <c r="F110" s="12">
        <v>20</v>
      </c>
      <c r="G110" s="12">
        <v>6.6499999999999995</v>
      </c>
      <c r="H110" s="12">
        <v>12.357263386123677</v>
      </c>
      <c r="I110" s="12" t="s">
        <v>84</v>
      </c>
      <c r="J110" s="6">
        <v>46231</v>
      </c>
      <c r="K110">
        <v>46231</v>
      </c>
      <c r="L110">
        <v>0.81288458043017275</v>
      </c>
      <c r="M110">
        <v>0.81288458043017275</v>
      </c>
      <c r="N110">
        <v>1.5105306560743279</v>
      </c>
      <c r="O110">
        <v>1.2301869466767437</v>
      </c>
      <c r="P110">
        <v>1.2301869466767437</v>
      </c>
      <c r="Q110">
        <v>1.8582350956576958</v>
      </c>
      <c r="R110">
        <v>0.53814504006343944</v>
      </c>
      <c r="S110">
        <v>0.53814504006343944</v>
      </c>
      <c r="T110">
        <v>0.66201900370487643</v>
      </c>
    </row>
    <row r="111" spans="1:20" x14ac:dyDescent="0.25">
      <c r="A111" s="12" t="s">
        <v>62</v>
      </c>
      <c r="B111" s="12" t="s">
        <v>37</v>
      </c>
      <c r="C111" s="12" t="s">
        <v>15</v>
      </c>
      <c r="D111" s="12">
        <v>4.440974877503046</v>
      </c>
      <c r="E111" s="12">
        <v>4.75</v>
      </c>
      <c r="F111" s="12">
        <v>20</v>
      </c>
      <c r="G111" s="12">
        <v>4.75</v>
      </c>
      <c r="H111" s="12">
        <v>11.283208427601808</v>
      </c>
      <c r="I111" s="12" t="s">
        <v>136</v>
      </c>
      <c r="J111" s="6">
        <v>46231</v>
      </c>
      <c r="K111">
        <v>46231</v>
      </c>
      <c r="L111">
        <v>1.0695849742502268</v>
      </c>
      <c r="M111">
        <v>1.0695849742502268</v>
      </c>
      <c r="N111">
        <v>2.5407053043150363</v>
      </c>
      <c r="O111">
        <v>0.9349420794743255</v>
      </c>
      <c r="P111">
        <v>0.9349420794743255</v>
      </c>
      <c r="Q111">
        <v>2.3754123005477492</v>
      </c>
      <c r="R111">
        <v>0.42097954943207494</v>
      </c>
      <c r="S111">
        <v>0.42097954943207494</v>
      </c>
      <c r="T111">
        <v>0.39359149536218874</v>
      </c>
    </row>
    <row r="112" spans="1:20" x14ac:dyDescent="0.25">
      <c r="A112" s="12" t="s">
        <v>62</v>
      </c>
      <c r="B112" s="12" t="s">
        <v>37</v>
      </c>
      <c r="C112" s="12" t="s">
        <v>13</v>
      </c>
      <c r="D112" s="12">
        <v>9.9337595944147079</v>
      </c>
      <c r="E112" s="12">
        <v>28.5</v>
      </c>
      <c r="F112" s="12">
        <v>20</v>
      </c>
      <c r="G112" s="12">
        <v>28.5</v>
      </c>
      <c r="H112" s="12">
        <v>13.914090780542988</v>
      </c>
      <c r="I112" s="12" t="s">
        <v>83</v>
      </c>
      <c r="J112" s="6">
        <v>46231</v>
      </c>
      <c r="K112">
        <v>46231</v>
      </c>
      <c r="L112">
        <v>2.8690044015182559</v>
      </c>
      <c r="M112">
        <v>2.8690044015182559</v>
      </c>
      <c r="N112">
        <v>1.4006872874562251</v>
      </c>
      <c r="O112">
        <v>0.34855296822507748</v>
      </c>
      <c r="P112">
        <v>0.34855296822507748</v>
      </c>
      <c r="Q112">
        <v>0.48821371159799959</v>
      </c>
      <c r="R112">
        <v>2.0482833157775189</v>
      </c>
      <c r="S112">
        <v>2.0482833157775189</v>
      </c>
      <c r="T112">
        <v>0.71393522948015786</v>
      </c>
    </row>
    <row r="113" spans="1:20" x14ac:dyDescent="0.25">
      <c r="A113" s="12" t="s">
        <v>62</v>
      </c>
      <c r="B113" s="12" t="s">
        <v>37</v>
      </c>
      <c r="C113" s="12" t="s">
        <v>14</v>
      </c>
      <c r="D113" s="12">
        <v>8.1807431954003444</v>
      </c>
      <c r="E113" s="12">
        <v>4.75</v>
      </c>
      <c r="F113" s="12">
        <v>20</v>
      </c>
      <c r="G113" s="12">
        <v>4.75</v>
      </c>
      <c r="H113" s="12">
        <v>14.536392345399705</v>
      </c>
      <c r="I113" s="12" t="s">
        <v>85</v>
      </c>
      <c r="J113" s="6">
        <v>46232</v>
      </c>
      <c r="K113">
        <v>46232</v>
      </c>
      <c r="L113">
        <v>0.58063184316440908</v>
      </c>
      <c r="M113">
        <v>0.58063184316440908</v>
      </c>
      <c r="N113">
        <v>1.7769036379937766</v>
      </c>
      <c r="O113">
        <v>1.722261725347441</v>
      </c>
      <c r="P113">
        <v>1.722261725347441</v>
      </c>
      <c r="Q113">
        <v>3.060293125347306</v>
      </c>
      <c r="R113">
        <v>0.32676608384907968</v>
      </c>
      <c r="S113">
        <v>0.32676608384907968</v>
      </c>
      <c r="T113">
        <v>0.56277671935494256</v>
      </c>
    </row>
    <row r="114" spans="1:20" x14ac:dyDescent="0.25">
      <c r="A114" s="12" t="s">
        <v>62</v>
      </c>
      <c r="B114" s="12" t="s">
        <v>37</v>
      </c>
      <c r="C114" s="12" t="s">
        <v>15</v>
      </c>
      <c r="D114" s="12">
        <v>4.440974877503046</v>
      </c>
      <c r="E114" s="12">
        <v>2.8499999999999996</v>
      </c>
      <c r="F114" s="12">
        <v>20</v>
      </c>
      <c r="G114" s="12">
        <v>2.8499999999999996</v>
      </c>
      <c r="H114" s="12">
        <v>13.21769419306184</v>
      </c>
      <c r="I114" s="12" t="s">
        <v>87</v>
      </c>
      <c r="J114" s="6">
        <v>46232</v>
      </c>
      <c r="K114">
        <v>46232</v>
      </c>
      <c r="L114">
        <v>0.64175098455013602</v>
      </c>
      <c r="M114">
        <v>0.64175098455013602</v>
      </c>
      <c r="N114">
        <v>2.9763046532912467</v>
      </c>
      <c r="O114">
        <v>1.5582367991238759</v>
      </c>
      <c r="P114">
        <v>1.5582367991238759</v>
      </c>
      <c r="Q114">
        <v>4.6377874361620499</v>
      </c>
      <c r="R114">
        <v>0.21562005886745406</v>
      </c>
      <c r="S114">
        <v>0.21562005886745406</v>
      </c>
      <c r="T114">
        <v>0.33598711035652334</v>
      </c>
    </row>
    <row r="115" spans="1:20" x14ac:dyDescent="0.25">
      <c r="A115" s="12" t="s">
        <v>62</v>
      </c>
      <c r="B115" s="12" t="s">
        <v>37</v>
      </c>
      <c r="C115" s="12" t="s">
        <v>13</v>
      </c>
      <c r="D115" s="12">
        <v>9.9337595944147079</v>
      </c>
      <c r="E115" s="12">
        <v>9.5</v>
      </c>
      <c r="F115" s="12">
        <v>20</v>
      </c>
      <c r="G115" s="12">
        <v>9.5</v>
      </c>
      <c r="H115" s="12">
        <v>12.181278280542983</v>
      </c>
      <c r="I115" s="12" t="s">
        <v>86</v>
      </c>
      <c r="J115" s="6">
        <v>46232</v>
      </c>
      <c r="K115">
        <v>46232</v>
      </c>
      <c r="L115">
        <v>0.95633480050608521</v>
      </c>
      <c r="M115">
        <v>0.95633480050608521</v>
      </c>
      <c r="N115">
        <v>1.2262505615086507</v>
      </c>
      <c r="O115">
        <v>1.0456589046752325</v>
      </c>
      <c r="P115">
        <v>1.0456589046752325</v>
      </c>
      <c r="Q115">
        <v>1.2822398190045246</v>
      </c>
      <c r="R115">
        <v>0.77988531098367908</v>
      </c>
      <c r="S115">
        <v>0.77988531098367908</v>
      </c>
      <c r="T115">
        <v>0.81549402005549687</v>
      </c>
    </row>
    <row r="116" spans="1:20" x14ac:dyDescent="0.25">
      <c r="A116" s="12" t="s">
        <v>62</v>
      </c>
      <c r="B116" s="12" t="s">
        <v>37</v>
      </c>
      <c r="C116" s="12" t="s">
        <v>14</v>
      </c>
      <c r="D116" s="12">
        <v>8.1223093154332009</v>
      </c>
      <c r="E116" s="12">
        <v>6.6499999999999995</v>
      </c>
      <c r="F116" s="12">
        <v>20</v>
      </c>
      <c r="G116" s="12">
        <v>6.6499999999999995</v>
      </c>
      <c r="H116" s="12">
        <v>14.730962481146298</v>
      </c>
      <c r="I116" s="12" t="s">
        <v>88</v>
      </c>
      <c r="J116" s="6">
        <v>46233</v>
      </c>
      <c r="K116">
        <v>46233</v>
      </c>
      <c r="L116">
        <v>0.81873267093686442</v>
      </c>
      <c r="M116">
        <v>0.81873267093686442</v>
      </c>
      <c r="N116">
        <v>1.8136421440089698</v>
      </c>
      <c r="O116">
        <v>1.2213998970576243</v>
      </c>
      <c r="P116">
        <v>1.2213998970576243</v>
      </c>
      <c r="Q116">
        <v>2.2151823279919247</v>
      </c>
      <c r="R116">
        <v>0.45143010909919351</v>
      </c>
      <c r="S116">
        <v>0.45143010909919351</v>
      </c>
      <c r="T116">
        <v>0.55137668878246704</v>
      </c>
    </row>
    <row r="117" spans="1:20" x14ac:dyDescent="0.25">
      <c r="A117" s="12" t="s">
        <v>62</v>
      </c>
      <c r="B117" s="12" t="s">
        <v>37</v>
      </c>
      <c r="C117" s="12" t="s">
        <v>13</v>
      </c>
      <c r="D117" s="12">
        <v>9.9337595944147097</v>
      </c>
      <c r="E117" s="12">
        <v>34.199999999999996</v>
      </c>
      <c r="F117" s="12">
        <v>20</v>
      </c>
      <c r="G117" s="12">
        <v>34.199999999999996</v>
      </c>
      <c r="H117" s="12">
        <v>13.842967571644042</v>
      </c>
      <c r="I117" s="12" t="s">
        <v>90</v>
      </c>
      <c r="J117" s="6">
        <v>46233</v>
      </c>
      <c r="K117">
        <v>46233</v>
      </c>
      <c r="L117">
        <v>3.4428052818219057</v>
      </c>
      <c r="M117">
        <v>3.4428052818219057</v>
      </c>
      <c r="N117">
        <v>1.3935275401095168</v>
      </c>
      <c r="O117">
        <v>0.29046080685423131</v>
      </c>
      <c r="P117">
        <v>0.29046080685423131</v>
      </c>
      <c r="Q117">
        <v>0.40476513367380246</v>
      </c>
      <c r="R117">
        <v>2.4705685267987865</v>
      </c>
      <c r="S117">
        <v>2.4705685267987865</v>
      </c>
      <c r="T117">
        <v>0.71760332768264512</v>
      </c>
    </row>
    <row r="118" spans="1:20" x14ac:dyDescent="0.25">
      <c r="A118" s="12" t="s">
        <v>62</v>
      </c>
      <c r="B118" s="12" t="s">
        <v>37</v>
      </c>
      <c r="C118" s="12" t="s">
        <v>15</v>
      </c>
      <c r="D118" s="12">
        <v>4.440974877503046</v>
      </c>
      <c r="E118" s="12">
        <v>1.9</v>
      </c>
      <c r="F118" s="12">
        <v>20</v>
      </c>
      <c r="G118" s="12">
        <v>1.9</v>
      </c>
      <c r="H118" s="12">
        <v>13.236908465309201</v>
      </c>
      <c r="I118" s="12" t="s">
        <v>89</v>
      </c>
      <c r="J118" s="6">
        <v>46233</v>
      </c>
      <c r="K118">
        <v>46233</v>
      </c>
      <c r="L118">
        <v>0.42783398970009073</v>
      </c>
      <c r="M118">
        <v>0.42783398970009073</v>
      </c>
      <c r="N118">
        <v>2.9806312421095478</v>
      </c>
      <c r="O118">
        <v>2.3373551986858137</v>
      </c>
      <c r="P118">
        <v>2.3373551986858137</v>
      </c>
      <c r="Q118">
        <v>6.9667939291101062</v>
      </c>
      <c r="R118">
        <v>0.14353804779865703</v>
      </c>
      <c r="S118">
        <v>0.14353804779865703</v>
      </c>
      <c r="T118">
        <v>0.33549940223140384</v>
      </c>
    </row>
    <row r="119" spans="1:20" x14ac:dyDescent="0.25">
      <c r="A119" s="12" t="s">
        <v>62</v>
      </c>
      <c r="B119" s="12" t="s">
        <v>37</v>
      </c>
      <c r="C119" s="12" t="s">
        <v>13</v>
      </c>
      <c r="D119" s="12">
        <v>9.9337595944147097</v>
      </c>
      <c r="E119" s="12">
        <v>30.4</v>
      </c>
      <c r="F119" s="12">
        <v>20</v>
      </c>
      <c r="G119" s="12">
        <v>30.4</v>
      </c>
      <c r="H119" s="12">
        <v>12.303129713423832</v>
      </c>
      <c r="I119" s="12" t="s">
        <v>91</v>
      </c>
      <c r="J119" s="6">
        <v>46234</v>
      </c>
      <c r="K119">
        <v>46234</v>
      </c>
      <c r="L119">
        <v>3.0602713616194719</v>
      </c>
      <c r="M119">
        <v>3.0602713616194719</v>
      </c>
      <c r="N119">
        <v>1.238516957903965</v>
      </c>
      <c r="O119">
        <v>0.32676840771101018</v>
      </c>
      <c r="P119">
        <v>0.32676840771101018</v>
      </c>
      <c r="Q119">
        <v>0.40470821425736292</v>
      </c>
      <c r="R119">
        <v>2.470915995206556</v>
      </c>
      <c r="S119">
        <v>2.470915995206556</v>
      </c>
      <c r="T119">
        <v>0.80741728534131241</v>
      </c>
    </row>
    <row r="120" spans="1:20" x14ac:dyDescent="0.25">
      <c r="A120" s="12" t="s">
        <v>62</v>
      </c>
      <c r="B120" s="12" t="s">
        <v>37</v>
      </c>
      <c r="C120" s="12" t="s">
        <v>15</v>
      </c>
      <c r="D120" s="12">
        <v>4.440974877503046</v>
      </c>
      <c r="E120" s="12">
        <v>4.75</v>
      </c>
      <c r="F120" s="12">
        <v>20</v>
      </c>
      <c r="G120" s="12">
        <v>4.75</v>
      </c>
      <c r="H120" s="12">
        <v>12.965033465309196</v>
      </c>
      <c r="I120" s="12" t="s">
        <v>92</v>
      </c>
      <c r="J120" s="6">
        <v>46234</v>
      </c>
      <c r="K120">
        <v>46234</v>
      </c>
      <c r="L120">
        <v>1.0695849742502268</v>
      </c>
      <c r="M120">
        <v>1.0695849742502268</v>
      </c>
      <c r="N120">
        <v>2.9194115758202246</v>
      </c>
      <c r="O120">
        <v>0.9349420794743255</v>
      </c>
      <c r="P120">
        <v>0.9349420794743255</v>
      </c>
      <c r="Q120">
        <v>2.729480729538778</v>
      </c>
      <c r="R120">
        <v>0.366370053167211</v>
      </c>
      <c r="S120">
        <v>0.366370053167211</v>
      </c>
      <c r="T120">
        <v>0.34253477936527144</v>
      </c>
    </row>
    <row r="121" spans="1:20" x14ac:dyDescent="0.25">
      <c r="A121" s="12" t="s">
        <v>62</v>
      </c>
      <c r="B121" s="12" t="s">
        <v>37</v>
      </c>
      <c r="C121" s="12" t="s">
        <v>14</v>
      </c>
      <c r="D121" s="12">
        <v>8.0638754354660556</v>
      </c>
      <c r="E121" s="12">
        <v>6.6499999999999995</v>
      </c>
      <c r="F121" s="12">
        <v>20</v>
      </c>
      <c r="G121" s="12">
        <v>6.6499999999999995</v>
      </c>
      <c r="H121" s="12">
        <v>12.2105887066365</v>
      </c>
      <c r="I121" s="12" t="s">
        <v>93</v>
      </c>
      <c r="J121" s="6">
        <v>46234</v>
      </c>
      <c r="K121">
        <v>46234</v>
      </c>
      <c r="L121">
        <v>0.82466551637843588</v>
      </c>
      <c r="M121">
        <v>0.82466551637843588</v>
      </c>
      <c r="N121">
        <v>1.5142332994049756</v>
      </c>
      <c r="O121">
        <v>1.2126128474385047</v>
      </c>
      <c r="P121">
        <v>1.2126128474385047</v>
      </c>
      <c r="Q121">
        <v>1.8361787528776694</v>
      </c>
      <c r="R121">
        <v>0.54460928623250571</v>
      </c>
      <c r="S121">
        <v>0.54460928623250571</v>
      </c>
      <c r="T121">
        <v>0.66040021731985044</v>
      </c>
    </row>
    <row r="122" spans="1:20" x14ac:dyDescent="0.25">
      <c r="A122" s="12" t="s">
        <v>62</v>
      </c>
      <c r="B122" s="12" t="s">
        <v>37</v>
      </c>
      <c r="C122" s="12" t="s">
        <v>13</v>
      </c>
      <c r="D122" s="12">
        <v>9.9337595944147097</v>
      </c>
      <c r="E122" s="12">
        <v>35.15</v>
      </c>
      <c r="F122" s="12">
        <v>20</v>
      </c>
      <c r="G122" s="12">
        <v>35.15</v>
      </c>
      <c r="H122" s="12">
        <v>13.820701357466072</v>
      </c>
      <c r="I122" s="12" t="s">
        <v>94</v>
      </c>
      <c r="J122" s="6">
        <v>46235</v>
      </c>
      <c r="K122">
        <v>46235</v>
      </c>
      <c r="L122">
        <v>3.5384387618725146</v>
      </c>
      <c r="M122">
        <v>3.5384387618725146</v>
      </c>
      <c r="N122">
        <v>1.3912860711101573</v>
      </c>
      <c r="O122">
        <v>0.28261051477708993</v>
      </c>
      <c r="P122">
        <v>0.28261051477708993</v>
      </c>
      <c r="Q122">
        <v>0.39319207275863649</v>
      </c>
      <c r="R122">
        <v>2.5432862696951077</v>
      </c>
      <c r="S122">
        <v>2.5432862696951077</v>
      </c>
      <c r="T122">
        <v>0.71875944190403906</v>
      </c>
    </row>
    <row r="123" spans="1:20" x14ac:dyDescent="0.25">
      <c r="A123" s="12" t="s">
        <v>62</v>
      </c>
      <c r="B123" s="12" t="s">
        <v>37</v>
      </c>
      <c r="C123" s="12" t="s">
        <v>14</v>
      </c>
      <c r="D123" s="12">
        <v>8.1223093154331991</v>
      </c>
      <c r="E123" s="12">
        <v>6.6499999999999995</v>
      </c>
      <c r="F123" s="12">
        <v>20</v>
      </c>
      <c r="G123" s="12">
        <v>6.6499999999999995</v>
      </c>
      <c r="H123" s="12">
        <v>13.98854402337858</v>
      </c>
      <c r="I123" s="12" t="s">
        <v>95</v>
      </c>
      <c r="J123" s="6">
        <v>46235</v>
      </c>
      <c r="K123">
        <v>46235</v>
      </c>
      <c r="L123">
        <v>0.81873267093686464</v>
      </c>
      <c r="M123">
        <v>0.81873267093686464</v>
      </c>
      <c r="N123">
        <v>1.7222372948539337</v>
      </c>
      <c r="O123">
        <v>1.2213998970576241</v>
      </c>
      <c r="P123">
        <v>1.2213998970576241</v>
      </c>
      <c r="Q123">
        <v>2.1035404546433956</v>
      </c>
      <c r="R123">
        <v>0.47538900323622529</v>
      </c>
      <c r="S123">
        <v>0.47538900323622529</v>
      </c>
      <c r="T123">
        <v>0.58064007961505204</v>
      </c>
    </row>
    <row r="124" spans="1:20" x14ac:dyDescent="0.25">
      <c r="A124" s="12" t="s">
        <v>62</v>
      </c>
      <c r="B124" s="12" t="s">
        <v>37</v>
      </c>
      <c r="C124" s="12" t="s">
        <v>15</v>
      </c>
      <c r="D124" s="12">
        <v>4.3241071175687553</v>
      </c>
      <c r="E124" s="12">
        <v>2.8499999999999996</v>
      </c>
      <c r="F124" s="12">
        <v>20</v>
      </c>
      <c r="G124" s="12">
        <v>2.8499999999999996</v>
      </c>
      <c r="H124" s="12">
        <v>13.950556184012065</v>
      </c>
      <c r="I124" s="12" t="s">
        <v>137</v>
      </c>
      <c r="J124" s="6">
        <v>46235</v>
      </c>
      <c r="K124">
        <v>46235</v>
      </c>
      <c r="L124">
        <v>0.65909560575419379</v>
      </c>
      <c r="M124">
        <v>0.65909560575419379</v>
      </c>
      <c r="N124">
        <v>3.2262281679681921</v>
      </c>
      <c r="O124">
        <v>1.5172305675679845</v>
      </c>
      <c r="P124">
        <v>1.5172305675679845</v>
      </c>
      <c r="Q124">
        <v>4.8949319943901992</v>
      </c>
      <c r="R124">
        <v>0.20429293014612721</v>
      </c>
      <c r="S124">
        <v>0.20429293014612721</v>
      </c>
      <c r="T124">
        <v>0.30995947835573517</v>
      </c>
    </row>
    <row r="125" spans="1:20" x14ac:dyDescent="0.25">
      <c r="A125" s="12" t="s">
        <v>62</v>
      </c>
      <c r="B125" s="12" t="s">
        <v>37</v>
      </c>
      <c r="C125" s="12" t="s">
        <v>14</v>
      </c>
      <c r="D125" s="12">
        <v>8.1223093154331991</v>
      </c>
      <c r="E125" s="12">
        <v>6.6499999999999995</v>
      </c>
      <c r="F125" s="12">
        <v>20</v>
      </c>
      <c r="G125" s="12">
        <v>6.6499999999999995</v>
      </c>
      <c r="H125" s="12">
        <v>14.110338895173454</v>
      </c>
      <c r="I125" s="12" t="s">
        <v>96</v>
      </c>
      <c r="J125" s="6">
        <v>46236</v>
      </c>
      <c r="K125">
        <v>46236</v>
      </c>
      <c r="L125">
        <v>0.81873267093686464</v>
      </c>
      <c r="M125">
        <v>0.81873267093686464</v>
      </c>
      <c r="N125">
        <v>1.7372323987172467</v>
      </c>
      <c r="O125">
        <v>1.2213998970576241</v>
      </c>
      <c r="P125">
        <v>1.2213998970576241</v>
      </c>
      <c r="Q125">
        <v>2.1218554729584143</v>
      </c>
      <c r="R125">
        <v>0.47128563313774707</v>
      </c>
      <c r="S125">
        <v>0.47128563313774707</v>
      </c>
      <c r="T125">
        <v>0.57562822379918144</v>
      </c>
    </row>
    <row r="126" spans="1:20" x14ac:dyDescent="0.25">
      <c r="A126" s="12" t="s">
        <v>62</v>
      </c>
      <c r="B126" s="12" t="s">
        <v>37</v>
      </c>
      <c r="C126" s="12" t="s">
        <v>15</v>
      </c>
      <c r="D126" s="12">
        <v>4.440974877503046</v>
      </c>
      <c r="E126" s="12">
        <v>3.8</v>
      </c>
      <c r="F126" s="12">
        <v>20</v>
      </c>
      <c r="G126" s="12">
        <v>3.8</v>
      </c>
      <c r="H126" s="12">
        <v>15.633283842383102</v>
      </c>
      <c r="I126" s="12" t="s">
        <v>98</v>
      </c>
      <c r="J126" s="6">
        <v>46236</v>
      </c>
      <c r="K126">
        <v>46236</v>
      </c>
      <c r="L126">
        <v>0.85566797940018147</v>
      </c>
      <c r="M126">
        <v>0.85566797940018147</v>
      </c>
      <c r="N126">
        <v>3.5202369465266985</v>
      </c>
      <c r="O126">
        <v>1.1686775993429068</v>
      </c>
      <c r="P126">
        <v>1.1686775993429068</v>
      </c>
      <c r="Q126">
        <v>4.1140220637850273</v>
      </c>
      <c r="R126">
        <v>0.24307113197151139</v>
      </c>
      <c r="S126">
        <v>0.24307113197151139</v>
      </c>
      <c r="T126">
        <v>0.28407178698202884</v>
      </c>
    </row>
    <row r="127" spans="1:20" x14ac:dyDescent="0.25">
      <c r="A127" s="12" t="s">
        <v>62</v>
      </c>
      <c r="B127" s="12" t="s">
        <v>37</v>
      </c>
      <c r="C127" s="12" t="s">
        <v>13</v>
      </c>
      <c r="D127" s="12">
        <v>9.9337595944147097</v>
      </c>
      <c r="E127" s="12">
        <v>33.25</v>
      </c>
      <c r="F127" s="12">
        <v>20</v>
      </c>
      <c r="G127" s="12">
        <v>33.25</v>
      </c>
      <c r="H127" s="12">
        <v>14.750188536953251</v>
      </c>
      <c r="I127" s="12" t="s">
        <v>97</v>
      </c>
      <c r="J127" s="6">
        <v>46236</v>
      </c>
      <c r="K127">
        <v>46236</v>
      </c>
      <c r="L127">
        <v>3.3471718017712977</v>
      </c>
      <c r="M127">
        <v>3.3471718017712977</v>
      </c>
      <c r="N127">
        <v>1.4848545907278243</v>
      </c>
      <c r="O127">
        <v>0.29875968705006645</v>
      </c>
      <c r="P127">
        <v>0.29875968705006645</v>
      </c>
      <c r="Q127">
        <v>0.44361469284069927</v>
      </c>
      <c r="R127">
        <v>2.2542084744679478</v>
      </c>
      <c r="S127">
        <v>2.2542084744679478</v>
      </c>
      <c r="T127">
        <v>0.67346661837765187</v>
      </c>
    </row>
    <row r="128" spans="1:20" x14ac:dyDescent="0.25">
      <c r="A128" s="12" t="s">
        <v>62</v>
      </c>
      <c r="B128" s="12" t="s">
        <v>37</v>
      </c>
      <c r="C128" s="12" t="s">
        <v>13</v>
      </c>
      <c r="D128" s="12">
        <v>9.9337595944147079</v>
      </c>
      <c r="E128" s="12">
        <v>34.199999999999996</v>
      </c>
      <c r="F128" s="12">
        <v>20</v>
      </c>
      <c r="G128" s="12">
        <v>34.199999999999996</v>
      </c>
      <c r="H128" s="12">
        <v>15.628193344645547</v>
      </c>
      <c r="I128" s="12" t="s">
        <v>101</v>
      </c>
      <c r="J128" s="6">
        <v>46237</v>
      </c>
      <c r="K128">
        <v>46237</v>
      </c>
      <c r="L128">
        <v>3.4428052818219066</v>
      </c>
      <c r="M128">
        <v>3.4428052818219066</v>
      </c>
      <c r="N128">
        <v>1.5732405436339083</v>
      </c>
      <c r="O128">
        <v>0.29046080685423126</v>
      </c>
      <c r="P128">
        <v>0.29046080685423126</v>
      </c>
      <c r="Q128">
        <v>0.45696471767969443</v>
      </c>
      <c r="R128">
        <v>2.1883527574681194</v>
      </c>
      <c r="S128">
        <v>2.1883527574681194</v>
      </c>
      <c r="T128">
        <v>0.63563070761587182</v>
      </c>
    </row>
    <row r="129" spans="1:20" x14ac:dyDescent="0.25">
      <c r="A129" s="12" t="s">
        <v>62</v>
      </c>
      <c r="B129" s="12" t="s">
        <v>37</v>
      </c>
      <c r="C129" s="12" t="s">
        <v>14</v>
      </c>
      <c r="D129" s="12">
        <v>8.1223093154332009</v>
      </c>
      <c r="E129" s="12">
        <v>4.75</v>
      </c>
      <c r="F129" s="12">
        <v>20</v>
      </c>
      <c r="G129" s="12">
        <v>4.75</v>
      </c>
      <c r="H129" s="12">
        <v>15.636651583710409</v>
      </c>
      <c r="I129" s="12" t="s">
        <v>99</v>
      </c>
      <c r="J129" s="6">
        <v>46237</v>
      </c>
      <c r="K129">
        <v>46237</v>
      </c>
      <c r="L129">
        <v>0.58480905066918898</v>
      </c>
      <c r="M129">
        <v>0.58480905066918898</v>
      </c>
      <c r="N129">
        <v>1.9251484985925376</v>
      </c>
      <c r="O129">
        <v>1.7099598558806739</v>
      </c>
      <c r="P129">
        <v>1.7099598558806739</v>
      </c>
      <c r="Q129">
        <v>3.2919266492021912</v>
      </c>
      <c r="R129">
        <v>0.30377347570680324</v>
      </c>
      <c r="S129">
        <v>0.30377347570680324</v>
      </c>
      <c r="T129">
        <v>0.51944044873997663</v>
      </c>
    </row>
    <row r="130" spans="1:20" x14ac:dyDescent="0.25">
      <c r="A130" s="12" t="s">
        <v>62</v>
      </c>
      <c r="B130" s="12" t="s">
        <v>37</v>
      </c>
      <c r="C130" s="12" t="s">
        <v>15</v>
      </c>
      <c r="D130" s="12">
        <v>4.440974877503046</v>
      </c>
      <c r="E130" s="12">
        <v>3.8</v>
      </c>
      <c r="F130" s="12">
        <v>20</v>
      </c>
      <c r="G130" s="12">
        <v>3.8</v>
      </c>
      <c r="H130" s="12">
        <v>16.704237368024128</v>
      </c>
      <c r="I130" s="12" t="s">
        <v>100</v>
      </c>
      <c r="J130" s="6">
        <v>46237</v>
      </c>
      <c r="K130">
        <v>46237</v>
      </c>
      <c r="L130">
        <v>0.85566797940018147</v>
      </c>
      <c r="M130">
        <v>0.85566797940018147</v>
      </c>
      <c r="N130">
        <v>3.7613897463468979</v>
      </c>
      <c r="O130">
        <v>1.1686775993429068</v>
      </c>
      <c r="P130">
        <v>1.1686775993429068</v>
      </c>
      <c r="Q130">
        <v>4.3958519389537178</v>
      </c>
      <c r="R130">
        <v>0.22748718880600327</v>
      </c>
      <c r="S130">
        <v>0.22748718880600327</v>
      </c>
      <c r="T130">
        <v>0.2658591816950665</v>
      </c>
    </row>
    <row r="131" spans="1:20" x14ac:dyDescent="0.25">
      <c r="A131" s="12" t="s">
        <v>62</v>
      </c>
      <c r="B131" s="12" t="s">
        <v>37</v>
      </c>
      <c r="C131" s="12" t="s">
        <v>14</v>
      </c>
      <c r="D131" s="12">
        <v>8.0638754354660556</v>
      </c>
      <c r="E131" s="12">
        <v>5.6999999999999993</v>
      </c>
      <c r="F131" s="12">
        <v>20</v>
      </c>
      <c r="G131" s="12">
        <v>5.6999999999999993</v>
      </c>
      <c r="H131" s="12">
        <v>13.413765554298646</v>
      </c>
      <c r="I131" s="12" t="s">
        <v>102</v>
      </c>
      <c r="J131" s="6">
        <v>46238</v>
      </c>
      <c r="K131">
        <v>46238</v>
      </c>
      <c r="L131">
        <v>0.70685615689580217</v>
      </c>
      <c r="M131">
        <v>0.70685615689580217</v>
      </c>
      <c r="N131">
        <v>1.6634390823180407</v>
      </c>
      <c r="O131">
        <v>1.4147149886782555</v>
      </c>
      <c r="P131">
        <v>1.4147149886782555</v>
      </c>
      <c r="Q131">
        <v>2.3532922025085345</v>
      </c>
      <c r="R131">
        <v>0.42493660537948996</v>
      </c>
      <c r="S131">
        <v>0.42493660537948996</v>
      </c>
      <c r="T131">
        <v>0.60116418486842149</v>
      </c>
    </row>
    <row r="132" spans="1:20" x14ac:dyDescent="0.25">
      <c r="A132" s="12" t="s">
        <v>62</v>
      </c>
      <c r="B132" s="12" t="s">
        <v>37</v>
      </c>
      <c r="C132" s="12" t="s">
        <v>15</v>
      </c>
      <c r="D132" s="12">
        <v>4.440974877503046</v>
      </c>
      <c r="E132" s="12">
        <v>4.75</v>
      </c>
      <c r="F132" s="12">
        <v>20</v>
      </c>
      <c r="G132" s="12">
        <v>4.75</v>
      </c>
      <c r="H132" s="12">
        <v>14.697362839366512</v>
      </c>
      <c r="I132" s="12" t="s">
        <v>103</v>
      </c>
      <c r="J132" s="6">
        <v>46238</v>
      </c>
      <c r="K132">
        <v>46238</v>
      </c>
      <c r="L132">
        <v>1.0695849742502268</v>
      </c>
      <c r="M132">
        <v>1.0695849742502268</v>
      </c>
      <c r="N132">
        <v>3.309490200861068</v>
      </c>
      <c r="O132">
        <v>0.9349420794743255</v>
      </c>
      <c r="P132">
        <v>0.9349420794743255</v>
      </c>
      <c r="Q132">
        <v>3.09418165039295</v>
      </c>
      <c r="R132">
        <v>0.3231872310641502</v>
      </c>
      <c r="S132">
        <v>0.3231872310641502</v>
      </c>
      <c r="T132">
        <v>0.3021613418706659</v>
      </c>
    </row>
    <row r="133" spans="1:20" x14ac:dyDescent="0.25">
      <c r="A133" s="12" t="s">
        <v>62</v>
      </c>
      <c r="B133" s="12" t="s">
        <v>37</v>
      </c>
      <c r="C133" s="12" t="s">
        <v>13</v>
      </c>
      <c r="D133" s="12">
        <v>9.9337595944147079</v>
      </c>
      <c r="E133" s="12">
        <v>37.049999999999997</v>
      </c>
      <c r="F133" s="12">
        <v>20</v>
      </c>
      <c r="G133" s="12">
        <v>37.049999999999997</v>
      </c>
      <c r="H133" s="12">
        <v>15.904485411953241</v>
      </c>
      <c r="I133" s="12" t="s">
        <v>104</v>
      </c>
      <c r="J133" s="6">
        <v>46238</v>
      </c>
      <c r="K133">
        <v>46238</v>
      </c>
      <c r="L133">
        <v>3.7297057219737324</v>
      </c>
      <c r="M133">
        <v>3.7297057219737324</v>
      </c>
      <c r="N133">
        <v>1.6010539877465522</v>
      </c>
      <c r="O133">
        <v>0.26811766786544422</v>
      </c>
      <c r="P133">
        <v>0.26811766786544422</v>
      </c>
      <c r="Q133">
        <v>0.42927086132127507</v>
      </c>
      <c r="R133">
        <v>2.3295315151884477</v>
      </c>
      <c r="S133">
        <v>2.3295315151884477</v>
      </c>
      <c r="T133">
        <v>0.62458855707138128</v>
      </c>
    </row>
    <row r="134" spans="1:20" x14ac:dyDescent="0.25">
      <c r="A134" s="12" t="s">
        <v>62</v>
      </c>
      <c r="B134" s="12" t="s">
        <v>37</v>
      </c>
      <c r="C134" s="12" t="s">
        <v>15</v>
      </c>
      <c r="D134" s="12">
        <v>4.440974877503046</v>
      </c>
      <c r="E134" s="12">
        <v>2.8499999999999996</v>
      </c>
      <c r="F134" s="12">
        <v>20</v>
      </c>
      <c r="G134" s="12">
        <v>2.8499999999999996</v>
      </c>
      <c r="H134" s="12">
        <v>16.663198372297632</v>
      </c>
      <c r="I134" s="12" t="s">
        <v>106</v>
      </c>
      <c r="J134" s="6">
        <v>46239</v>
      </c>
      <c r="K134">
        <v>46239</v>
      </c>
      <c r="L134">
        <v>0.64175098455013602</v>
      </c>
      <c r="M134">
        <v>0.64175098455013602</v>
      </c>
      <c r="N134">
        <v>3.7521487583074498</v>
      </c>
      <c r="O134">
        <v>1.5582367991238759</v>
      </c>
      <c r="P134">
        <v>1.5582367991238759</v>
      </c>
      <c r="Q134">
        <v>5.8467362709816264</v>
      </c>
      <c r="R134">
        <v>0.17103559210686051</v>
      </c>
      <c r="S134">
        <v>0.17103559210686051</v>
      </c>
      <c r="T134">
        <v>0.26651395358085117</v>
      </c>
    </row>
    <row r="135" spans="1:20" x14ac:dyDescent="0.25">
      <c r="A135" s="12" t="s">
        <v>62</v>
      </c>
      <c r="B135" s="12" t="s">
        <v>37</v>
      </c>
      <c r="C135" s="12" t="s">
        <v>13</v>
      </c>
      <c r="D135" s="12">
        <v>9.9337595944147079</v>
      </c>
      <c r="E135" s="12">
        <v>8.5499999999999989</v>
      </c>
      <c r="F135" s="12">
        <v>20</v>
      </c>
      <c r="G135" s="12">
        <v>8.5499999999999989</v>
      </c>
      <c r="H135" s="12">
        <v>14.030410224987424</v>
      </c>
      <c r="I135" s="12" t="s">
        <v>105</v>
      </c>
      <c r="J135" s="6">
        <v>46239</v>
      </c>
      <c r="K135">
        <v>46239</v>
      </c>
      <c r="L135">
        <v>0.86070132045547665</v>
      </c>
      <c r="M135">
        <v>0.86070132045547665</v>
      </c>
      <c r="N135">
        <v>1.4123967961612514</v>
      </c>
      <c r="O135">
        <v>1.161843227416925</v>
      </c>
      <c r="P135">
        <v>1.161843227416925</v>
      </c>
      <c r="Q135">
        <v>1.6409836520453129</v>
      </c>
      <c r="R135">
        <v>0.60939059249835037</v>
      </c>
      <c r="S135">
        <v>0.60939059249835037</v>
      </c>
      <c r="T135">
        <v>0.70801633274579556</v>
      </c>
    </row>
    <row r="136" spans="1:20" x14ac:dyDescent="0.25">
      <c r="A136" s="12" t="s">
        <v>62</v>
      </c>
      <c r="B136" s="12" t="s">
        <v>37</v>
      </c>
      <c r="C136" s="12" t="s">
        <v>14</v>
      </c>
      <c r="D136" s="12">
        <v>8.0638754354660556</v>
      </c>
      <c r="E136" s="12">
        <v>5.6999999999999993</v>
      </c>
      <c r="F136" s="12">
        <v>20</v>
      </c>
      <c r="G136" s="12">
        <v>5.6999999999999993</v>
      </c>
      <c r="H136" s="12">
        <v>15.087403374811467</v>
      </c>
      <c r="I136" s="12" t="s">
        <v>107</v>
      </c>
      <c r="J136" s="6">
        <v>46239</v>
      </c>
      <c r="K136">
        <v>46239</v>
      </c>
      <c r="L136">
        <v>0.70685615689580217</v>
      </c>
      <c r="M136">
        <v>0.70685615689580217</v>
      </c>
      <c r="N136">
        <v>1.870986660887016</v>
      </c>
      <c r="O136">
        <v>1.4147149886782555</v>
      </c>
      <c r="P136">
        <v>1.4147149886782555</v>
      </c>
      <c r="Q136">
        <v>2.6469128727739419</v>
      </c>
      <c r="R136">
        <v>0.37779860844154217</v>
      </c>
      <c r="S136">
        <v>0.37779860844154217</v>
      </c>
      <c r="T136">
        <v>0.53447735406403707</v>
      </c>
    </row>
    <row r="137" spans="1:20" x14ac:dyDescent="0.25">
      <c r="A137" s="12" t="s">
        <v>62</v>
      </c>
      <c r="B137" s="12" t="s">
        <v>37</v>
      </c>
      <c r="C137" s="12" t="s">
        <v>13</v>
      </c>
      <c r="D137" s="12">
        <v>9.9337595944147079</v>
      </c>
      <c r="E137" s="12">
        <v>24.7</v>
      </c>
      <c r="F137" s="12">
        <v>20</v>
      </c>
      <c r="G137" s="12">
        <v>24.7</v>
      </c>
      <c r="H137" s="12">
        <v>14.412468184389139</v>
      </c>
      <c r="I137" s="12" t="s">
        <v>108</v>
      </c>
      <c r="J137" s="6">
        <v>46240</v>
      </c>
      <c r="K137">
        <v>46240</v>
      </c>
      <c r="L137">
        <v>2.4864704813158216</v>
      </c>
      <c r="M137">
        <v>2.4864704813158216</v>
      </c>
      <c r="N137">
        <v>1.4508573564124303</v>
      </c>
      <c r="O137">
        <v>0.40217650179816633</v>
      </c>
      <c r="P137">
        <v>0.40217650179816633</v>
      </c>
      <c r="Q137">
        <v>0.58350073621008658</v>
      </c>
      <c r="R137">
        <v>1.7137938959514094</v>
      </c>
      <c r="S137">
        <v>1.7137938959514094</v>
      </c>
      <c r="T137">
        <v>0.68924763387678845</v>
      </c>
    </row>
    <row r="138" spans="1:20" x14ac:dyDescent="0.25">
      <c r="A138" s="12" t="s">
        <v>62</v>
      </c>
      <c r="B138" s="12" t="s">
        <v>37</v>
      </c>
      <c r="C138" s="12" t="s">
        <v>15</v>
      </c>
      <c r="D138" s="12">
        <v>4.440974877503046</v>
      </c>
      <c r="E138" s="12">
        <v>2.8499999999999996</v>
      </c>
      <c r="F138" s="12">
        <v>20</v>
      </c>
      <c r="G138" s="12">
        <v>2.8499999999999996</v>
      </c>
      <c r="H138" s="12">
        <v>15.745997517596781</v>
      </c>
      <c r="I138" s="12" t="s">
        <v>109</v>
      </c>
      <c r="J138" s="6">
        <v>46240</v>
      </c>
      <c r="K138">
        <v>46240</v>
      </c>
      <c r="L138">
        <v>0.64175098455013602</v>
      </c>
      <c r="M138">
        <v>0.64175098455013602</v>
      </c>
      <c r="N138">
        <v>3.5456173367163979</v>
      </c>
      <c r="O138">
        <v>1.5582367991238759</v>
      </c>
      <c r="P138">
        <v>1.5582367991238759</v>
      </c>
      <c r="Q138">
        <v>5.5249114096830816</v>
      </c>
      <c r="R138">
        <v>0.18099837732192012</v>
      </c>
      <c r="S138">
        <v>0.18099837732192012</v>
      </c>
      <c r="T138">
        <v>0.28203833212472434</v>
      </c>
    </row>
    <row r="139" spans="1:20" x14ac:dyDescent="0.25">
      <c r="A139" s="12" t="s">
        <v>62</v>
      </c>
      <c r="B139" s="12" t="s">
        <v>37</v>
      </c>
      <c r="C139" s="12" t="s">
        <v>14</v>
      </c>
      <c r="D139" s="12">
        <v>8.005441555498912</v>
      </c>
      <c r="E139" s="12">
        <v>4.75</v>
      </c>
      <c r="F139" s="12">
        <v>20</v>
      </c>
      <c r="G139" s="12">
        <v>4.75</v>
      </c>
      <c r="H139" s="12">
        <v>14.166951043237813</v>
      </c>
      <c r="I139" s="12" t="s">
        <v>110</v>
      </c>
      <c r="J139" s="6">
        <v>46240</v>
      </c>
      <c r="K139">
        <v>46240</v>
      </c>
      <c r="L139">
        <v>0.59334640907311853</v>
      </c>
      <c r="M139">
        <v>0.59334640907311853</v>
      </c>
      <c r="N139">
        <v>1.7696651640041741</v>
      </c>
      <c r="O139">
        <v>1.6853561169471394</v>
      </c>
      <c r="P139">
        <v>1.6853561169471394</v>
      </c>
      <c r="Q139">
        <v>2.9825160091026972</v>
      </c>
      <c r="R139">
        <v>0.33528738720864543</v>
      </c>
      <c r="S139">
        <v>0.33528738720864543</v>
      </c>
      <c r="T139">
        <v>0.56507864896731463</v>
      </c>
    </row>
    <row r="140" spans="1:20" x14ac:dyDescent="0.25">
      <c r="A140" s="12" t="s">
        <v>62</v>
      </c>
      <c r="B140" s="12" t="s">
        <v>37</v>
      </c>
      <c r="C140" s="12" t="s">
        <v>14</v>
      </c>
      <c r="D140" s="12">
        <v>8.0638754354660556</v>
      </c>
      <c r="E140" s="12">
        <v>5.6999999999999993</v>
      </c>
      <c r="F140" s="12">
        <v>20</v>
      </c>
      <c r="G140" s="12">
        <v>5.6999999999999993</v>
      </c>
      <c r="H140" s="12">
        <v>12.182257887129213</v>
      </c>
      <c r="I140" s="12" t="s">
        <v>111</v>
      </c>
      <c r="J140" s="6">
        <v>46241</v>
      </c>
      <c r="K140">
        <v>46241</v>
      </c>
      <c r="L140">
        <v>0.70685615689580217</v>
      </c>
      <c r="M140">
        <v>0.70685615689580217</v>
      </c>
      <c r="N140">
        <v>1.5107199986683739</v>
      </c>
      <c r="O140">
        <v>1.4147149886782555</v>
      </c>
      <c r="P140">
        <v>1.4147149886782555</v>
      </c>
      <c r="Q140">
        <v>2.1372382258121427</v>
      </c>
      <c r="R140">
        <v>0.46789355904394025</v>
      </c>
      <c r="S140">
        <v>0.46789355904394025</v>
      </c>
      <c r="T140">
        <v>0.66193603108547661</v>
      </c>
    </row>
    <row r="141" spans="1:20" x14ac:dyDescent="0.25">
      <c r="A141" s="12" t="s">
        <v>62</v>
      </c>
      <c r="B141" s="12" t="s">
        <v>37</v>
      </c>
      <c r="C141" s="12" t="s">
        <v>13</v>
      </c>
      <c r="D141" s="12">
        <v>9.9337595944147079</v>
      </c>
      <c r="E141" s="12">
        <v>8.5499999999999989</v>
      </c>
      <c r="F141" s="12">
        <v>20</v>
      </c>
      <c r="G141" s="12">
        <v>8.5499999999999989</v>
      </c>
      <c r="H141" s="12">
        <v>13.489513024761193</v>
      </c>
      <c r="I141" s="12" t="s">
        <v>112</v>
      </c>
      <c r="J141" s="6">
        <v>46241</v>
      </c>
      <c r="K141">
        <v>46241</v>
      </c>
      <c r="L141">
        <v>0.86070132045547665</v>
      </c>
      <c r="M141">
        <v>0.86070132045547665</v>
      </c>
      <c r="N141">
        <v>1.357946394469393</v>
      </c>
      <c r="O141">
        <v>1.161843227416925</v>
      </c>
      <c r="P141">
        <v>1.161843227416925</v>
      </c>
      <c r="Q141">
        <v>1.5777208216094964</v>
      </c>
      <c r="R141">
        <v>0.63382569736251548</v>
      </c>
      <c r="S141">
        <v>0.63382569736251548</v>
      </c>
      <c r="T141">
        <v>0.73640609384344824</v>
      </c>
    </row>
    <row r="142" spans="1:20" x14ac:dyDescent="0.25">
      <c r="A142" s="12" t="s">
        <v>62</v>
      </c>
      <c r="B142" s="12" t="s">
        <v>37</v>
      </c>
      <c r="C142" s="12" t="s">
        <v>15</v>
      </c>
      <c r="D142" s="12">
        <v>4.440974877503046</v>
      </c>
      <c r="E142" s="12">
        <v>3.8</v>
      </c>
      <c r="F142" s="12">
        <v>20</v>
      </c>
      <c r="G142" s="12">
        <v>3.8</v>
      </c>
      <c r="H142" s="12">
        <v>13.83473950477627</v>
      </c>
      <c r="I142" s="12" t="s">
        <v>138</v>
      </c>
      <c r="J142" s="6">
        <v>46241</v>
      </c>
      <c r="K142">
        <v>46241</v>
      </c>
      <c r="L142">
        <v>0.85566797940018147</v>
      </c>
      <c r="M142">
        <v>0.85566797940018147</v>
      </c>
      <c r="N142">
        <v>3.1152483151525732</v>
      </c>
      <c r="O142">
        <v>1.1686775993429068</v>
      </c>
      <c r="P142">
        <v>1.1686775993429068</v>
      </c>
      <c r="Q142">
        <v>3.6407209223095447</v>
      </c>
      <c r="R142">
        <v>0.27467087462601647</v>
      </c>
      <c r="S142">
        <v>0.27467087462601647</v>
      </c>
      <c r="T142">
        <v>0.32100169836734949</v>
      </c>
    </row>
    <row r="143" spans="1:20" x14ac:dyDescent="0.25">
      <c r="A143" s="12" t="s">
        <v>62</v>
      </c>
      <c r="B143" s="12" t="s">
        <v>37</v>
      </c>
      <c r="C143" s="12" t="s">
        <v>14</v>
      </c>
      <c r="D143" s="12">
        <v>8.1223093154332009</v>
      </c>
      <c r="E143" s="12">
        <v>6.6499999999999995</v>
      </c>
      <c r="F143" s="12">
        <v>20</v>
      </c>
      <c r="G143" s="12">
        <v>6.6499999999999995</v>
      </c>
      <c r="H143" s="12">
        <v>12.363614949184802</v>
      </c>
      <c r="I143" s="12" t="s">
        <v>114</v>
      </c>
      <c r="J143" s="6">
        <v>46242</v>
      </c>
      <c r="K143">
        <v>46242</v>
      </c>
      <c r="L143">
        <v>0.81873267093686442</v>
      </c>
      <c r="M143">
        <v>0.81873267093686442</v>
      </c>
      <c r="N143">
        <v>1.5221797728994013</v>
      </c>
      <c r="O143">
        <v>1.2213998970576243</v>
      </c>
      <c r="P143">
        <v>1.2213998970576243</v>
      </c>
      <c r="Q143">
        <v>1.8591902179225268</v>
      </c>
      <c r="R143">
        <v>0.53786857867475635</v>
      </c>
      <c r="S143">
        <v>0.53786857867475635</v>
      </c>
      <c r="T143">
        <v>0.6569526266238781</v>
      </c>
    </row>
    <row r="144" spans="1:20" x14ac:dyDescent="0.25">
      <c r="A144" s="12" t="s">
        <v>62</v>
      </c>
      <c r="B144" s="12" t="s">
        <v>37</v>
      </c>
      <c r="C144" s="12" t="s">
        <v>15</v>
      </c>
      <c r="D144" s="12">
        <v>4.440974877503046</v>
      </c>
      <c r="E144" s="12">
        <v>3.8</v>
      </c>
      <c r="F144" s="12">
        <v>20</v>
      </c>
      <c r="G144" s="12">
        <v>3.8</v>
      </c>
      <c r="H144" s="12">
        <v>13.825681314192339</v>
      </c>
      <c r="I144" s="12" t="s">
        <v>113</v>
      </c>
      <c r="J144" s="6">
        <v>46242</v>
      </c>
      <c r="K144">
        <v>46242</v>
      </c>
      <c r="L144">
        <v>0.85566797940018147</v>
      </c>
      <c r="M144">
        <v>0.85566797940018147</v>
      </c>
      <c r="N144">
        <v>3.113208629985738</v>
      </c>
      <c r="O144">
        <v>1.1686775993429068</v>
      </c>
      <c r="P144">
        <v>1.1686775993429068</v>
      </c>
      <c r="Q144">
        <v>3.6383371879453525</v>
      </c>
      <c r="R144">
        <v>0.27485083111956471</v>
      </c>
      <c r="S144">
        <v>0.27485083111956471</v>
      </c>
      <c r="T144">
        <v>0.32121200949021561</v>
      </c>
    </row>
    <row r="145" spans="1:20" x14ac:dyDescent="0.25">
      <c r="A145" s="12" t="s">
        <v>62</v>
      </c>
      <c r="B145" s="12" t="s">
        <v>37</v>
      </c>
      <c r="C145" s="12" t="s">
        <v>13</v>
      </c>
      <c r="D145" s="12">
        <v>9.9337595944147097</v>
      </c>
      <c r="E145" s="12">
        <v>30.4</v>
      </c>
      <c r="F145" s="12">
        <v>20</v>
      </c>
      <c r="G145" s="12">
        <v>30.4</v>
      </c>
      <c r="H145" s="12">
        <v>13.231808175994754</v>
      </c>
      <c r="I145" s="12" t="s">
        <v>139</v>
      </c>
      <c r="J145" s="6">
        <v>46242</v>
      </c>
      <c r="K145">
        <v>46242</v>
      </c>
      <c r="L145">
        <v>3.0602713616194719</v>
      </c>
      <c r="M145">
        <v>3.0602713616194719</v>
      </c>
      <c r="N145">
        <v>1.3320040665604977</v>
      </c>
      <c r="O145">
        <v>0.32676840771101018</v>
      </c>
      <c r="P145">
        <v>0.32676840771101018</v>
      </c>
      <c r="Q145">
        <v>0.43525684789456431</v>
      </c>
      <c r="R145">
        <v>2.2974940080488704</v>
      </c>
      <c r="S145">
        <v>2.2974940080488704</v>
      </c>
      <c r="T145">
        <v>0.75074845873571616</v>
      </c>
    </row>
    <row r="146" spans="1:20" x14ac:dyDescent="0.25">
      <c r="A146" s="12" t="s">
        <v>62</v>
      </c>
      <c r="B146" s="12" t="s">
        <v>37</v>
      </c>
      <c r="C146" s="12" t="s">
        <v>13</v>
      </c>
      <c r="D146" s="12">
        <v>9.9337595944147079</v>
      </c>
      <c r="E146" s="12">
        <v>27.549999999999997</v>
      </c>
      <c r="F146" s="12">
        <v>20</v>
      </c>
      <c r="G146" s="12">
        <v>27.549999999999997</v>
      </c>
      <c r="H146" s="12">
        <v>13.97985564017274</v>
      </c>
      <c r="I146" s="12" t="s">
        <v>115</v>
      </c>
      <c r="J146" s="6">
        <v>46243</v>
      </c>
      <c r="K146">
        <v>46243</v>
      </c>
      <c r="L146">
        <v>2.773370921467647</v>
      </c>
      <c r="M146">
        <v>2.773370921467647</v>
      </c>
      <c r="N146">
        <v>1.4073076268156282</v>
      </c>
      <c r="O146">
        <v>0.36057203609490779</v>
      </c>
      <c r="P146">
        <v>0.36057203609490779</v>
      </c>
      <c r="Q146">
        <v>0.50743577641280369</v>
      </c>
      <c r="R146">
        <v>1.9706927388314275</v>
      </c>
      <c r="S146">
        <v>1.9706927388314275</v>
      </c>
      <c r="T146">
        <v>0.71057669335789808</v>
      </c>
    </row>
    <row r="147" spans="1:20" x14ac:dyDescent="0.25">
      <c r="A147" s="12" t="s">
        <v>62</v>
      </c>
      <c r="B147" s="12" t="s">
        <v>37</v>
      </c>
      <c r="C147" s="12" t="s">
        <v>15</v>
      </c>
      <c r="D147" s="12">
        <v>4.440974877503046</v>
      </c>
      <c r="E147" s="12">
        <v>4.75</v>
      </c>
      <c r="F147" s="12">
        <v>20</v>
      </c>
      <c r="G147" s="12">
        <v>4.75</v>
      </c>
      <c r="H147" s="12">
        <v>13.813776552287578</v>
      </c>
      <c r="I147" s="12" t="s">
        <v>141</v>
      </c>
      <c r="J147" s="6">
        <v>46243</v>
      </c>
      <c r="K147">
        <v>46243</v>
      </c>
      <c r="L147">
        <v>1.0695849742502268</v>
      </c>
      <c r="M147">
        <v>1.0695849742502268</v>
      </c>
      <c r="N147">
        <v>3.1105279658898732</v>
      </c>
      <c r="O147">
        <v>0.9349420794743255</v>
      </c>
      <c r="P147">
        <v>0.9349420794743255</v>
      </c>
      <c r="Q147">
        <v>2.9081634846921216</v>
      </c>
      <c r="R147">
        <v>0.34385962318272728</v>
      </c>
      <c r="S147">
        <v>0.34385962318272728</v>
      </c>
      <c r="T147">
        <v>0.32148883114571702</v>
      </c>
    </row>
    <row r="148" spans="1:20" x14ac:dyDescent="0.25">
      <c r="A148" s="12" t="s">
        <v>62</v>
      </c>
      <c r="B148" s="12" t="s">
        <v>37</v>
      </c>
      <c r="C148" s="12" t="s">
        <v>14</v>
      </c>
      <c r="D148" s="12">
        <v>8.1223093154331991</v>
      </c>
      <c r="E148" s="12">
        <v>6.6499999999999995</v>
      </c>
      <c r="F148" s="12">
        <v>20</v>
      </c>
      <c r="G148" s="12">
        <v>6.6499999999999995</v>
      </c>
      <c r="H148" s="12">
        <v>12.353644374416428</v>
      </c>
      <c r="I148" s="12" t="s">
        <v>140</v>
      </c>
      <c r="J148" s="6">
        <v>46243</v>
      </c>
      <c r="K148">
        <v>46243</v>
      </c>
      <c r="L148">
        <v>0.81873267093686464</v>
      </c>
      <c r="M148">
        <v>0.81873267093686464</v>
      </c>
      <c r="N148">
        <v>1.5209522187173135</v>
      </c>
      <c r="O148">
        <v>1.2213998970576241</v>
      </c>
      <c r="P148">
        <v>1.2213998970576241</v>
      </c>
      <c r="Q148">
        <v>1.8576908833708916</v>
      </c>
      <c r="R148">
        <v>0.53830269015770804</v>
      </c>
      <c r="S148">
        <v>0.53830269015770804</v>
      </c>
      <c r="T148">
        <v>0.65748285034446674</v>
      </c>
    </row>
    <row r="149" spans="1:20" x14ac:dyDescent="0.25">
      <c r="A149" s="12" t="s">
        <v>62</v>
      </c>
      <c r="B149" s="12" t="s">
        <v>37</v>
      </c>
      <c r="C149" s="12" t="s">
        <v>15</v>
      </c>
      <c r="D149" s="12">
        <v>4.440974877503046</v>
      </c>
      <c r="E149" s="12">
        <v>4.75</v>
      </c>
      <c r="F149" s="12">
        <v>20</v>
      </c>
      <c r="G149" s="12">
        <v>4.75</v>
      </c>
      <c r="H149" s="12">
        <v>14.947637789089994</v>
      </c>
      <c r="I149" s="12" t="s">
        <v>117</v>
      </c>
      <c r="J149" s="6">
        <v>46244</v>
      </c>
      <c r="K149">
        <v>46244</v>
      </c>
      <c r="L149">
        <v>1.0695849742502268</v>
      </c>
      <c r="M149">
        <v>1.0695849742502268</v>
      </c>
      <c r="N149">
        <v>3.3658460588937977</v>
      </c>
      <c r="O149">
        <v>0.9349420794743255</v>
      </c>
      <c r="P149">
        <v>0.9349420794743255</v>
      </c>
      <c r="Q149">
        <v>3.1468711134926304</v>
      </c>
      <c r="R149">
        <v>0.31777596346808307</v>
      </c>
      <c r="S149">
        <v>0.31777596346808307</v>
      </c>
      <c r="T149">
        <v>0.29710212009180686</v>
      </c>
    </row>
    <row r="150" spans="1:20" x14ac:dyDescent="0.25">
      <c r="A150" s="12" t="s">
        <v>62</v>
      </c>
      <c r="B150" s="12" t="s">
        <v>37</v>
      </c>
      <c r="C150" s="12" t="s">
        <v>14</v>
      </c>
      <c r="D150" s="12">
        <v>8.180743195400348</v>
      </c>
      <c r="E150" s="12">
        <v>6.6499999999999995</v>
      </c>
      <c r="F150" s="12">
        <v>20</v>
      </c>
      <c r="G150" s="12">
        <v>6.6499999999999995</v>
      </c>
      <c r="H150" s="12">
        <v>15.707439353946713</v>
      </c>
      <c r="I150" s="12" t="s">
        <v>116</v>
      </c>
      <c r="J150" s="6">
        <v>46244</v>
      </c>
      <c r="K150">
        <v>46244</v>
      </c>
      <c r="L150">
        <v>0.81288458043017231</v>
      </c>
      <c r="M150">
        <v>0.81288458043017231</v>
      </c>
      <c r="N150">
        <v>1.9200504133632108</v>
      </c>
      <c r="O150">
        <v>1.2301869466767441</v>
      </c>
      <c r="P150">
        <v>1.2301869466767441</v>
      </c>
      <c r="Q150">
        <v>2.362020955480709</v>
      </c>
      <c r="R150">
        <v>0.42336626932951327</v>
      </c>
      <c r="S150">
        <v>0.42336626932951327</v>
      </c>
      <c r="T150">
        <v>0.52081965819239806</v>
      </c>
    </row>
    <row r="151" spans="1:20" x14ac:dyDescent="0.25">
      <c r="A151" s="12" t="s">
        <v>62</v>
      </c>
      <c r="B151" s="12" t="s">
        <v>37</v>
      </c>
      <c r="C151" s="12" t="s">
        <v>13</v>
      </c>
      <c r="D151" s="12">
        <v>9.9337595944147079</v>
      </c>
      <c r="E151" s="12">
        <v>33.25</v>
      </c>
      <c r="F151" s="12">
        <v>20</v>
      </c>
      <c r="G151" s="12">
        <v>33.25</v>
      </c>
      <c r="H151" s="12">
        <v>13.92407066993464</v>
      </c>
      <c r="I151" s="12" t="s">
        <v>142</v>
      </c>
      <c r="J151" s="6">
        <v>46244</v>
      </c>
      <c r="K151">
        <v>46244</v>
      </c>
      <c r="L151">
        <v>3.3471718017712986</v>
      </c>
      <c r="M151">
        <v>3.3471718017712986</v>
      </c>
      <c r="N151">
        <v>1.4016919311962712</v>
      </c>
      <c r="O151">
        <v>0.29875968705006639</v>
      </c>
      <c r="P151">
        <v>0.29875968705006639</v>
      </c>
      <c r="Q151">
        <v>0.4187690427048012</v>
      </c>
      <c r="R151">
        <v>2.3879511091389825</v>
      </c>
      <c r="S151">
        <v>2.3879511091389825</v>
      </c>
      <c r="T151">
        <v>0.71342352605722137</v>
      </c>
    </row>
    <row r="152" spans="1:20" x14ac:dyDescent="0.25">
      <c r="A152" s="12" t="s">
        <v>62</v>
      </c>
      <c r="B152" s="12" t="s">
        <v>37</v>
      </c>
      <c r="C152" s="12" t="s">
        <v>14</v>
      </c>
      <c r="D152" s="12">
        <v>8.180743195400348</v>
      </c>
      <c r="E152" s="12">
        <v>5.6999999999999993</v>
      </c>
      <c r="F152" s="12">
        <v>20</v>
      </c>
      <c r="G152" s="12">
        <v>5.6999999999999993</v>
      </c>
      <c r="H152" s="12">
        <v>15.890631284565108</v>
      </c>
      <c r="I152" s="12" t="s">
        <v>119</v>
      </c>
      <c r="J152" s="6">
        <v>46245</v>
      </c>
      <c r="K152">
        <v>46245</v>
      </c>
      <c r="L152">
        <v>0.69675821179729058</v>
      </c>
      <c r="M152">
        <v>0.69675821179729058</v>
      </c>
      <c r="N152">
        <v>1.9424434803795909</v>
      </c>
      <c r="O152">
        <v>1.4352181044562016</v>
      </c>
      <c r="P152">
        <v>1.4352181044562016</v>
      </c>
      <c r="Q152">
        <v>2.7878300499237034</v>
      </c>
      <c r="R152">
        <v>0.35870192303414178</v>
      </c>
      <c r="S152">
        <v>0.35870192303414178</v>
      </c>
      <c r="T152">
        <v>0.51481549404185534</v>
      </c>
    </row>
    <row r="153" spans="1:20" x14ac:dyDescent="0.25">
      <c r="A153" s="12" t="s">
        <v>62</v>
      </c>
      <c r="B153" s="12" t="s">
        <v>37</v>
      </c>
      <c r="C153" s="12" t="s">
        <v>15</v>
      </c>
      <c r="D153" s="12">
        <v>4.440974877503046</v>
      </c>
      <c r="E153" s="12">
        <v>4.75</v>
      </c>
      <c r="F153" s="12">
        <v>20</v>
      </c>
      <c r="G153" s="12">
        <v>4.75</v>
      </c>
      <c r="H153" s="12">
        <v>15.885012097787827</v>
      </c>
      <c r="I153" s="12" t="s">
        <v>120</v>
      </c>
      <c r="J153" s="6">
        <v>46245</v>
      </c>
      <c r="K153">
        <v>46245</v>
      </c>
      <c r="L153">
        <v>1.0695849742502268</v>
      </c>
      <c r="M153">
        <v>1.0695849742502268</v>
      </c>
      <c r="N153">
        <v>3.5769200538056709</v>
      </c>
      <c r="O153">
        <v>0.9349420794743255</v>
      </c>
      <c r="P153">
        <v>0.9349420794743255</v>
      </c>
      <c r="Q153">
        <v>3.3442130732184898</v>
      </c>
      <c r="R153">
        <v>0.29902400896890047</v>
      </c>
      <c r="S153">
        <v>0.29902400896890047</v>
      </c>
      <c r="T153">
        <v>0.2795701287581332</v>
      </c>
    </row>
    <row r="154" spans="1:20" x14ac:dyDescent="0.25">
      <c r="A154" s="12" t="s">
        <v>62</v>
      </c>
      <c r="B154" s="12" t="s">
        <v>37</v>
      </c>
      <c r="C154" s="12" t="s">
        <v>13</v>
      </c>
      <c r="D154" s="12">
        <v>9.9337595944147079</v>
      </c>
      <c r="E154" s="12">
        <v>31.35</v>
      </c>
      <c r="F154" s="12">
        <v>20</v>
      </c>
      <c r="G154" s="12">
        <v>31.35</v>
      </c>
      <c r="H154" s="12">
        <v>14.935658622423333</v>
      </c>
      <c r="I154" s="12" t="s">
        <v>118</v>
      </c>
      <c r="J154" s="6">
        <v>46245</v>
      </c>
      <c r="K154">
        <v>46245</v>
      </c>
      <c r="L154">
        <v>3.1559048416700812</v>
      </c>
      <c r="M154">
        <v>3.1559048416700812</v>
      </c>
      <c r="N154">
        <v>1.5035252746423378</v>
      </c>
      <c r="O154">
        <v>0.31686633475007042</v>
      </c>
      <c r="P154">
        <v>0.31686633475007042</v>
      </c>
      <c r="Q154">
        <v>0.47641654298001063</v>
      </c>
      <c r="R154">
        <v>2.0990035185280242</v>
      </c>
      <c r="S154">
        <v>2.0990035185280242</v>
      </c>
      <c r="T154">
        <v>0.66510355154347667</v>
      </c>
    </row>
    <row r="155" spans="1:20" x14ac:dyDescent="0.25">
      <c r="A155" s="12" t="s">
        <v>62</v>
      </c>
      <c r="B155" s="12" t="s">
        <v>37</v>
      </c>
      <c r="C155" s="12" t="s">
        <v>13</v>
      </c>
      <c r="D155" s="12">
        <v>9.9337595944147079</v>
      </c>
      <c r="E155" s="12">
        <v>49.4</v>
      </c>
      <c r="F155" s="12">
        <v>20</v>
      </c>
      <c r="G155" s="12">
        <v>49.4</v>
      </c>
      <c r="H155" s="12">
        <v>13.917936934389145</v>
      </c>
      <c r="I155" s="12" t="s">
        <v>121</v>
      </c>
      <c r="J155" s="6">
        <v>46246</v>
      </c>
      <c r="K155">
        <v>46246</v>
      </c>
      <c r="L155">
        <v>4.9729409626316432</v>
      </c>
      <c r="M155">
        <v>4.9729409626316432</v>
      </c>
      <c r="N155">
        <v>1.4010744675374021</v>
      </c>
      <c r="O155">
        <v>0.20108825089908317</v>
      </c>
      <c r="P155">
        <v>0.20108825089908317</v>
      </c>
      <c r="Q155">
        <v>0.28173961405646042</v>
      </c>
      <c r="R155">
        <v>3.5493766233370385</v>
      </c>
      <c r="S155">
        <v>3.5493766233370385</v>
      </c>
      <c r="T155">
        <v>0.71373793696893906</v>
      </c>
    </row>
    <row r="156" spans="1:20" x14ac:dyDescent="0.25">
      <c r="A156" s="12" t="s">
        <v>62</v>
      </c>
      <c r="B156" s="12" t="s">
        <v>37</v>
      </c>
      <c r="C156" s="12" t="s">
        <v>15</v>
      </c>
      <c r="D156" s="12">
        <v>4.440974877503046</v>
      </c>
      <c r="E156" s="12">
        <v>2.8499999999999996</v>
      </c>
      <c r="F156" s="12">
        <v>20</v>
      </c>
      <c r="G156" s="12">
        <v>2.8499999999999996</v>
      </c>
      <c r="H156" s="12">
        <v>15.038053827300146</v>
      </c>
      <c r="I156" s="12" t="s">
        <v>122</v>
      </c>
      <c r="J156" s="6">
        <v>46246</v>
      </c>
      <c r="K156">
        <v>46246</v>
      </c>
      <c r="L156">
        <v>0.64175098455013602</v>
      </c>
      <c r="M156">
        <v>0.64175098455013602</v>
      </c>
      <c r="N156">
        <v>3.3862055611887061</v>
      </c>
      <c r="O156">
        <v>1.5582367991238759</v>
      </c>
      <c r="P156">
        <v>1.5582367991238759</v>
      </c>
      <c r="Q156">
        <v>5.2765101148421572</v>
      </c>
      <c r="R156">
        <v>0.18951920459455315</v>
      </c>
      <c r="S156">
        <v>0.18951920459455315</v>
      </c>
      <c r="T156">
        <v>0.29531579873991948</v>
      </c>
    </row>
    <row r="157" spans="1:20" x14ac:dyDescent="0.25">
      <c r="A157" s="12" t="s">
        <v>62</v>
      </c>
      <c r="B157" s="12" t="s">
        <v>37</v>
      </c>
      <c r="C157" s="12" t="s">
        <v>14</v>
      </c>
      <c r="D157" s="12">
        <v>8.1807431954003462</v>
      </c>
      <c r="E157" s="12">
        <v>4.75</v>
      </c>
      <c r="F157" s="12">
        <v>20</v>
      </c>
      <c r="G157" s="12">
        <v>4.75</v>
      </c>
      <c r="H157" s="12">
        <v>15.827889328808451</v>
      </c>
      <c r="I157" s="12" t="s">
        <v>123</v>
      </c>
      <c r="J157" s="6">
        <v>46246</v>
      </c>
      <c r="K157">
        <v>46246</v>
      </c>
      <c r="L157">
        <v>0.58063184316440897</v>
      </c>
      <c r="M157">
        <v>0.58063184316440897</v>
      </c>
      <c r="N157">
        <v>1.934774011450175</v>
      </c>
      <c r="O157">
        <v>1.7222617253474413</v>
      </c>
      <c r="P157">
        <v>1.7222617253474413</v>
      </c>
      <c r="Q157">
        <v>3.3321872271175685</v>
      </c>
      <c r="R157">
        <v>0.30010318503772276</v>
      </c>
      <c r="S157">
        <v>0.30010318503772276</v>
      </c>
      <c r="T157">
        <v>0.51685622924533081</v>
      </c>
    </row>
    <row r="158" spans="1:20" x14ac:dyDescent="0.25">
      <c r="A158" s="12" t="s">
        <v>62</v>
      </c>
      <c r="B158" s="12" t="s">
        <v>37</v>
      </c>
      <c r="C158" s="12" t="s">
        <v>14</v>
      </c>
      <c r="D158" s="12">
        <v>8.1223093154332009</v>
      </c>
      <c r="E158" s="12">
        <v>5.6999999999999993</v>
      </c>
      <c r="F158" s="12">
        <v>20</v>
      </c>
      <c r="G158" s="12">
        <v>5.6999999999999993</v>
      </c>
      <c r="H158" s="12">
        <v>12.070343137254902</v>
      </c>
      <c r="I158" s="12" t="s">
        <v>124</v>
      </c>
      <c r="J158" s="6">
        <v>46247</v>
      </c>
      <c r="K158">
        <v>46247</v>
      </c>
      <c r="L158">
        <v>0.70177086080302664</v>
      </c>
      <c r="M158">
        <v>0.70177086080302664</v>
      </c>
      <c r="N158">
        <v>1.4860728234419787</v>
      </c>
      <c r="O158">
        <v>1.4249665465672283</v>
      </c>
      <c r="P158">
        <v>1.4249665465672283</v>
      </c>
      <c r="Q158">
        <v>2.1176040591675269</v>
      </c>
      <c r="R158">
        <v>0.47223181107478623</v>
      </c>
      <c r="S158">
        <v>0.47223181107478623</v>
      </c>
      <c r="T158">
        <v>0.67291453300642601</v>
      </c>
    </row>
    <row r="159" spans="1:20" x14ac:dyDescent="0.25">
      <c r="A159" s="12" t="s">
        <v>62</v>
      </c>
      <c r="B159" s="12" t="s">
        <v>37</v>
      </c>
      <c r="C159" s="12" t="s">
        <v>13</v>
      </c>
      <c r="D159" s="12">
        <v>9.9337595944147079</v>
      </c>
      <c r="E159" s="12">
        <v>27.549999999999997</v>
      </c>
      <c r="F159" s="12">
        <v>20</v>
      </c>
      <c r="G159" s="12">
        <v>27.549999999999997</v>
      </c>
      <c r="H159" s="12">
        <v>14.177251838235303</v>
      </c>
      <c r="I159" s="12" t="s">
        <v>126</v>
      </c>
      <c r="J159" s="6">
        <v>46247</v>
      </c>
      <c r="K159">
        <v>46247</v>
      </c>
      <c r="L159">
        <v>2.773370921467647</v>
      </c>
      <c r="M159">
        <v>2.773370921467647</v>
      </c>
      <c r="N159">
        <v>1.4271788745729779</v>
      </c>
      <c r="O159">
        <v>0.36057203609490779</v>
      </c>
      <c r="P159">
        <v>0.36057203609490779</v>
      </c>
      <c r="Q159">
        <v>0.51460079267641756</v>
      </c>
      <c r="R159">
        <v>1.9432539052243605</v>
      </c>
      <c r="S159">
        <v>1.9432539052243605</v>
      </c>
      <c r="T159">
        <v>0.70068301725612858</v>
      </c>
    </row>
    <row r="160" spans="1:20" x14ac:dyDescent="0.25">
      <c r="A160" s="12" t="s">
        <v>62</v>
      </c>
      <c r="B160" s="12" t="s">
        <v>37</v>
      </c>
      <c r="C160" s="12" t="s">
        <v>15</v>
      </c>
      <c r="D160" s="12">
        <v>4.440974877503046</v>
      </c>
      <c r="E160" s="12">
        <v>4.75</v>
      </c>
      <c r="F160" s="12">
        <v>20</v>
      </c>
      <c r="G160" s="12">
        <v>4.75</v>
      </c>
      <c r="H160" s="12">
        <v>13.770465686274507</v>
      </c>
      <c r="I160" s="12" t="s">
        <v>125</v>
      </c>
      <c r="J160" s="6">
        <v>46247</v>
      </c>
      <c r="K160">
        <v>46247</v>
      </c>
      <c r="L160">
        <v>1.0695849742502268</v>
      </c>
      <c r="M160">
        <v>1.0695849742502268</v>
      </c>
      <c r="N160">
        <v>3.1007754076773795</v>
      </c>
      <c r="O160">
        <v>0.9349420794743255</v>
      </c>
      <c r="P160">
        <v>0.9349420794743255</v>
      </c>
      <c r="Q160">
        <v>2.8990454076367382</v>
      </c>
      <c r="R160">
        <v>0.34494113040305435</v>
      </c>
      <c r="S160">
        <v>0.34494113040305435</v>
      </c>
      <c r="T160">
        <v>0.32249997775525607</v>
      </c>
    </row>
    <row r="161" spans="1:20" x14ac:dyDescent="0.25">
      <c r="A161" s="12" t="s">
        <v>62</v>
      </c>
      <c r="B161" s="12" t="s">
        <v>37</v>
      </c>
      <c r="C161" s="12" t="s">
        <v>14</v>
      </c>
      <c r="D161" s="12">
        <v>8.0638754354660556</v>
      </c>
      <c r="E161" s="12">
        <v>6.6499999999999995</v>
      </c>
      <c r="F161" s="12">
        <v>20</v>
      </c>
      <c r="G161" s="12">
        <v>6.6499999999999995</v>
      </c>
      <c r="H161" s="12">
        <v>8.7304227941176471</v>
      </c>
      <c r="I161" s="12" t="s">
        <v>127</v>
      </c>
      <c r="J161" s="6">
        <v>46248</v>
      </c>
      <c r="K161">
        <v>46248</v>
      </c>
      <c r="L161">
        <v>0.82466551637843588</v>
      </c>
      <c r="M161">
        <v>0.82466551637843588</v>
      </c>
      <c r="N161">
        <v>1.0826584393553529</v>
      </c>
      <c r="O161">
        <v>1.2126128474385047</v>
      </c>
      <c r="P161">
        <v>1.2126128474385047</v>
      </c>
      <c r="Q161">
        <v>1.3128455329500222</v>
      </c>
      <c r="R161">
        <v>0.76170423321086034</v>
      </c>
      <c r="S161">
        <v>0.76170423321086034</v>
      </c>
      <c r="T161">
        <v>0.92365233913978417</v>
      </c>
    </row>
    <row r="162" spans="1:20" x14ac:dyDescent="0.25">
      <c r="A162" s="12" t="s">
        <v>62</v>
      </c>
      <c r="B162" s="12" t="s">
        <v>37</v>
      </c>
      <c r="C162" s="12" t="s">
        <v>15</v>
      </c>
      <c r="D162" s="12">
        <v>4.440974877503046</v>
      </c>
      <c r="E162" s="12">
        <v>3.8</v>
      </c>
      <c r="F162" s="12">
        <v>20</v>
      </c>
      <c r="G162" s="12">
        <v>3.8</v>
      </c>
      <c r="H162" s="12">
        <v>8.4963235294117627</v>
      </c>
      <c r="I162" s="12" t="s">
        <v>129</v>
      </c>
      <c r="J162" s="6">
        <v>46248</v>
      </c>
      <c r="K162">
        <v>46248</v>
      </c>
      <c r="L162">
        <v>0.85566797940018147</v>
      </c>
      <c r="M162">
        <v>0.85566797940018147</v>
      </c>
      <c r="N162">
        <v>1.9131663123005216</v>
      </c>
      <c r="O162">
        <v>1.1686775993429068</v>
      </c>
      <c r="P162">
        <v>1.1686775993429068</v>
      </c>
      <c r="Q162">
        <v>2.2358746130030958</v>
      </c>
      <c r="R162">
        <v>0.44725227174383392</v>
      </c>
      <c r="S162">
        <v>0.44725227174383392</v>
      </c>
      <c r="T162">
        <v>0.52269371124224528</v>
      </c>
    </row>
    <row r="163" spans="1:20" x14ac:dyDescent="0.25">
      <c r="A163" s="12" t="s">
        <v>62</v>
      </c>
      <c r="B163" s="12" t="s">
        <v>37</v>
      </c>
      <c r="C163" s="12" t="s">
        <v>13</v>
      </c>
      <c r="D163" s="12">
        <v>9.9337595944147079</v>
      </c>
      <c r="E163" s="12">
        <v>32.299999999999997</v>
      </c>
      <c r="F163" s="12">
        <v>20</v>
      </c>
      <c r="G163" s="12">
        <v>32.299999999999997</v>
      </c>
      <c r="H163" s="12">
        <v>10.510845588235297</v>
      </c>
      <c r="I163" s="12" t="s">
        <v>128</v>
      </c>
      <c r="J163" s="6">
        <v>46248</v>
      </c>
      <c r="K163">
        <v>46248</v>
      </c>
      <c r="L163">
        <v>3.2515383217206897</v>
      </c>
      <c r="M163">
        <v>3.2515383217206897</v>
      </c>
      <c r="N163">
        <v>1.0580934125026598</v>
      </c>
      <c r="O163">
        <v>0.30754673666918603</v>
      </c>
      <c r="P163">
        <v>0.30754673666918603</v>
      </c>
      <c r="Q163">
        <v>0.32541317610635595</v>
      </c>
      <c r="R163">
        <v>3.0730163171793832</v>
      </c>
      <c r="S163">
        <v>3.0730163171793832</v>
      </c>
      <c r="T163">
        <v>0.94509614007967957</v>
      </c>
    </row>
    <row r="164" spans="1:20" x14ac:dyDescent="0.25">
      <c r="A164" s="12" t="s">
        <v>62</v>
      </c>
      <c r="B164" s="12" t="s">
        <v>37</v>
      </c>
      <c r="C164" s="12" t="s">
        <v>14</v>
      </c>
      <c r="D164" s="12">
        <v>8.1223093154331991</v>
      </c>
      <c r="E164" s="12">
        <v>6.6499999999999995</v>
      </c>
      <c r="F164" s="12">
        <v>20</v>
      </c>
      <c r="G164" s="12">
        <v>6.6499999999999995</v>
      </c>
      <c r="H164" s="12">
        <v>8.8282569758672693</v>
      </c>
      <c r="I164" s="12" t="s">
        <v>130</v>
      </c>
      <c r="J164" s="6">
        <v>46249</v>
      </c>
      <c r="K164">
        <v>46249</v>
      </c>
      <c r="L164">
        <v>0.81873267093686464</v>
      </c>
      <c r="M164">
        <v>0.81873267093686464</v>
      </c>
      <c r="N164">
        <v>1.086914648656965</v>
      </c>
      <c r="O164">
        <v>1.2213998970576241</v>
      </c>
      <c r="P164">
        <v>1.2213998970576241</v>
      </c>
      <c r="Q164">
        <v>1.3275574399800405</v>
      </c>
      <c r="R164">
        <v>0.75326307539283177</v>
      </c>
      <c r="S164">
        <v>0.75326307539283177</v>
      </c>
      <c r="T164">
        <v>0.92003544274211391</v>
      </c>
    </row>
    <row r="165" spans="1:20" x14ac:dyDescent="0.25">
      <c r="A165" s="12" t="s">
        <v>62</v>
      </c>
      <c r="B165" s="12" t="s">
        <v>37</v>
      </c>
      <c r="C165" s="12" t="s">
        <v>15</v>
      </c>
      <c r="D165" s="12">
        <v>4.3241071175687553</v>
      </c>
      <c r="E165" s="12">
        <v>2.8499999999999996</v>
      </c>
      <c r="F165" s="12">
        <v>20</v>
      </c>
      <c r="G165" s="12">
        <v>2.8499999999999996</v>
      </c>
      <c r="H165" s="12">
        <v>8.4487815799396682</v>
      </c>
      <c r="I165" s="12" t="s">
        <v>131</v>
      </c>
      <c r="J165" s="6">
        <v>46249</v>
      </c>
      <c r="K165">
        <v>46249</v>
      </c>
      <c r="L165">
        <v>0.65909560575419379</v>
      </c>
      <c r="M165">
        <v>0.65909560575419379</v>
      </c>
      <c r="N165">
        <v>1.9538788818649862</v>
      </c>
      <c r="O165">
        <v>1.5172305675679845</v>
      </c>
      <c r="P165">
        <v>1.5172305675679845</v>
      </c>
      <c r="Q165">
        <v>2.9644847648911119</v>
      </c>
      <c r="R165">
        <v>0.33732674623366832</v>
      </c>
      <c r="S165">
        <v>0.33732674623366832</v>
      </c>
      <c r="T165">
        <v>0.51180245064397001</v>
      </c>
    </row>
    <row r="166" spans="1:20" x14ac:dyDescent="0.25">
      <c r="A166" s="12" t="s">
        <v>62</v>
      </c>
      <c r="B166" s="12" t="s">
        <v>37</v>
      </c>
      <c r="C166" s="12" t="s">
        <v>13</v>
      </c>
      <c r="D166" s="12">
        <v>9.9337595944147079</v>
      </c>
      <c r="E166" s="12">
        <v>37.049999999999997</v>
      </c>
      <c r="F166" s="12">
        <v>20</v>
      </c>
      <c r="G166" s="12">
        <v>37.049999999999997</v>
      </c>
      <c r="H166" s="12">
        <v>9.3051164215686271</v>
      </c>
      <c r="I166" s="12" t="s">
        <v>143</v>
      </c>
      <c r="J166" s="6">
        <v>46249</v>
      </c>
      <c r="K166">
        <v>46249</v>
      </c>
      <c r="L166">
        <v>3.7297057219737324</v>
      </c>
      <c r="M166">
        <v>3.7297057219737324</v>
      </c>
      <c r="N166">
        <v>0.93671649017965586</v>
      </c>
      <c r="O166">
        <v>0.26811766786544422</v>
      </c>
      <c r="P166">
        <v>0.26811766786544422</v>
      </c>
      <c r="Q166">
        <v>0.25115024079807363</v>
      </c>
      <c r="R166">
        <v>3.981680434875658</v>
      </c>
      <c r="S166">
        <v>3.981680434875658</v>
      </c>
      <c r="T166">
        <v>1.0675588723843292</v>
      </c>
    </row>
    <row r="167" spans="1:20" x14ac:dyDescent="0.25">
      <c r="A167" s="12" t="s">
        <v>62</v>
      </c>
      <c r="B167" s="12" t="s">
        <v>37</v>
      </c>
      <c r="C167" s="12" t="s">
        <v>13</v>
      </c>
      <c r="D167" s="12">
        <v>9.9337595944147079</v>
      </c>
      <c r="E167" s="12">
        <v>43.7</v>
      </c>
      <c r="F167" s="12">
        <v>20</v>
      </c>
      <c r="G167" s="12">
        <v>43.7</v>
      </c>
      <c r="H167" s="12">
        <v>8.3536835407239813</v>
      </c>
      <c r="I167" s="12" t="s">
        <v>132</v>
      </c>
      <c r="J167" s="6">
        <v>46250</v>
      </c>
      <c r="K167">
        <v>46250</v>
      </c>
      <c r="L167">
        <v>4.3991400823279916</v>
      </c>
      <c r="M167">
        <v>4.3991400823279916</v>
      </c>
      <c r="N167">
        <v>0.84093876656939337</v>
      </c>
      <c r="O167">
        <v>0.22731715319026793</v>
      </c>
      <c r="P167">
        <v>0.22731715319026793</v>
      </c>
      <c r="Q167">
        <v>0.19115980642388974</v>
      </c>
      <c r="R167">
        <v>5.2312252178291985</v>
      </c>
      <c r="S167">
        <v>5.2312252178291985</v>
      </c>
      <c r="T167">
        <v>1.1891472242140726</v>
      </c>
    </row>
    <row r="168" spans="1:20" x14ac:dyDescent="0.25">
      <c r="A168" s="12" t="s">
        <v>62</v>
      </c>
      <c r="B168" s="12" t="s">
        <v>37</v>
      </c>
      <c r="C168" s="12" t="s">
        <v>15</v>
      </c>
      <c r="D168" s="12">
        <v>4.440974877503046</v>
      </c>
      <c r="E168" s="12">
        <v>4.75</v>
      </c>
      <c r="F168" s="12">
        <v>20</v>
      </c>
      <c r="G168" s="12">
        <v>4.75</v>
      </c>
      <c r="H168" s="12">
        <v>2.9820772058823524</v>
      </c>
      <c r="I168" s="12" t="s">
        <v>133</v>
      </c>
      <c r="J168" s="6">
        <v>46250</v>
      </c>
      <c r="K168">
        <v>46250</v>
      </c>
      <c r="L168">
        <v>1.0695849742502268</v>
      </c>
      <c r="M168">
        <v>1.0695849742502268</v>
      </c>
      <c r="N168">
        <v>0.67149157294018202</v>
      </c>
      <c r="O168">
        <v>0.9349420794743255</v>
      </c>
      <c r="P168">
        <v>0.9349420794743255</v>
      </c>
      <c r="Q168">
        <v>0.6278057275541794</v>
      </c>
      <c r="R168">
        <v>1.592849437509632</v>
      </c>
      <c r="S168">
        <v>1.592849437509632</v>
      </c>
      <c r="T168">
        <v>1.4892219653947649</v>
      </c>
    </row>
    <row r="169" spans="1:20" x14ac:dyDescent="0.25">
      <c r="A169" s="12" t="s">
        <v>62</v>
      </c>
      <c r="B169" s="12" t="s">
        <v>37</v>
      </c>
      <c r="C169" s="12" t="s">
        <v>14</v>
      </c>
      <c r="D169" s="12">
        <v>8.1223093154331991</v>
      </c>
      <c r="E169" s="12">
        <v>7.6</v>
      </c>
      <c r="F169" s="12">
        <v>20</v>
      </c>
      <c r="G169" s="12">
        <v>7.6</v>
      </c>
      <c r="H169" s="12">
        <v>4.9663084464555052</v>
      </c>
      <c r="I169" s="12" t="s">
        <v>144</v>
      </c>
      <c r="J169" s="6">
        <v>46250</v>
      </c>
      <c r="K169">
        <v>46250</v>
      </c>
      <c r="L169">
        <v>0.93569448107070241</v>
      </c>
      <c r="M169">
        <v>0.93569448107070241</v>
      </c>
      <c r="N169">
        <v>0.61144044797937247</v>
      </c>
      <c r="O169">
        <v>1.068724909925421</v>
      </c>
      <c r="P169">
        <v>1.068724909925421</v>
      </c>
      <c r="Q169">
        <v>0.65346163769151389</v>
      </c>
      <c r="R169">
        <v>1.5303117158226816</v>
      </c>
      <c r="S169">
        <v>1.5303117158226816</v>
      </c>
      <c r="T169">
        <v>1.6354822506504116</v>
      </c>
    </row>
    <row r="170" spans="1:20" x14ac:dyDescent="0.25">
      <c r="A170" s="12" t="s">
        <v>63</v>
      </c>
      <c r="B170" s="12" t="s">
        <v>37</v>
      </c>
      <c r="C170" s="12" t="s">
        <v>15</v>
      </c>
      <c r="D170" s="12">
        <v>4.220105607573192</v>
      </c>
      <c r="E170" s="12">
        <v>4.75</v>
      </c>
      <c r="F170" s="12">
        <v>20</v>
      </c>
      <c r="G170" s="12">
        <v>4.75</v>
      </c>
      <c r="H170" s="12">
        <v>4.1764705882352935</v>
      </c>
      <c r="I170" s="12" t="s">
        <v>134</v>
      </c>
      <c r="J170" s="6">
        <v>46223</v>
      </c>
      <c r="K170">
        <v>46223</v>
      </c>
      <c r="L170">
        <v>1.1255642492633089</v>
      </c>
      <c r="M170">
        <v>1.1255642492633089</v>
      </c>
      <c r="N170">
        <v>0.98966020678259969</v>
      </c>
      <c r="O170">
        <v>0.88844328580488252</v>
      </c>
      <c r="P170">
        <v>0.88844328580488252</v>
      </c>
      <c r="Q170">
        <v>0.87925696594427227</v>
      </c>
      <c r="R170">
        <v>1.137323943661972</v>
      </c>
      <c r="S170">
        <v>1.137323943661972</v>
      </c>
      <c r="T170">
        <v>1.0104478215316095</v>
      </c>
    </row>
    <row r="171" spans="1:20" x14ac:dyDescent="0.25">
      <c r="A171" s="12" t="s">
        <v>63</v>
      </c>
      <c r="B171" s="12" t="s">
        <v>37</v>
      </c>
      <c r="C171" s="12" t="s">
        <v>14</v>
      </c>
      <c r="D171" s="12">
        <v>10.972274579690296</v>
      </c>
      <c r="E171" s="12">
        <v>6.6499999999999995</v>
      </c>
      <c r="F171" s="12">
        <v>20</v>
      </c>
      <c r="G171" s="12">
        <v>6.6499999999999995</v>
      </c>
      <c r="H171" s="12">
        <v>8.3768907563025117</v>
      </c>
      <c r="I171" s="12" t="s">
        <v>65</v>
      </c>
      <c r="J171" s="6">
        <v>46223</v>
      </c>
      <c r="K171">
        <v>46223</v>
      </c>
      <c r="L171">
        <v>0.60607305729562799</v>
      </c>
      <c r="M171">
        <v>0.60607305729562799</v>
      </c>
      <c r="N171">
        <v>0.76345981824116527</v>
      </c>
      <c r="O171">
        <v>1.6499661022090673</v>
      </c>
      <c r="P171">
        <v>1.6499661022090673</v>
      </c>
      <c r="Q171">
        <v>1.2596828204966184</v>
      </c>
      <c r="R171">
        <v>0.79385062948287188</v>
      </c>
      <c r="S171">
        <v>0.79385062948287188</v>
      </c>
      <c r="T171">
        <v>1.3098266288640685</v>
      </c>
    </row>
    <row r="172" spans="1:20" x14ac:dyDescent="0.25">
      <c r="A172" s="12" t="s">
        <v>63</v>
      </c>
      <c r="B172" s="12" t="s">
        <v>37</v>
      </c>
      <c r="C172" s="12" t="s">
        <v>13</v>
      </c>
      <c r="D172" s="12">
        <v>11.872563775972576</v>
      </c>
      <c r="E172" s="12">
        <v>26.6</v>
      </c>
      <c r="F172" s="12">
        <v>20</v>
      </c>
      <c r="G172" s="12">
        <v>26.6</v>
      </c>
      <c r="H172" s="12">
        <v>8.7959033613445357</v>
      </c>
      <c r="I172" s="12" t="s">
        <v>64</v>
      </c>
      <c r="J172" s="6">
        <v>46223</v>
      </c>
      <c r="K172">
        <v>46223</v>
      </c>
      <c r="L172">
        <v>2.2404596430833643</v>
      </c>
      <c r="M172">
        <v>2.2404596430833643</v>
      </c>
      <c r="N172">
        <v>0.74085964306593022</v>
      </c>
      <c r="O172">
        <v>0.44633698405911942</v>
      </c>
      <c r="P172">
        <v>0.44633698405911942</v>
      </c>
      <c r="Q172">
        <v>0.33067305869716301</v>
      </c>
      <c r="R172">
        <v>3.0241350896258528</v>
      </c>
      <c r="S172">
        <v>3.0241350896258528</v>
      </c>
      <c r="T172">
        <v>1.3497833352909581</v>
      </c>
    </row>
    <row r="173" spans="1:20" x14ac:dyDescent="0.25">
      <c r="A173" s="12" t="s">
        <v>63</v>
      </c>
      <c r="B173" s="12" t="s">
        <v>37</v>
      </c>
      <c r="C173" s="12" t="s">
        <v>14</v>
      </c>
      <c r="D173" s="12">
        <v>10.972274579690296</v>
      </c>
      <c r="E173" s="12">
        <v>7.6</v>
      </c>
      <c r="F173" s="12">
        <v>20</v>
      </c>
      <c r="G173" s="12">
        <v>7.6</v>
      </c>
      <c r="H173" s="12">
        <v>7.6602941176470525</v>
      </c>
      <c r="I173" s="12" t="s">
        <v>68</v>
      </c>
      <c r="J173" s="6">
        <v>46224</v>
      </c>
      <c r="K173">
        <v>46224</v>
      </c>
      <c r="L173">
        <v>0.69265492262357486</v>
      </c>
      <c r="M173">
        <v>0.69265492262357486</v>
      </c>
      <c r="N173">
        <v>0.69815005649113748</v>
      </c>
      <c r="O173">
        <v>1.4437203394329339</v>
      </c>
      <c r="P173">
        <v>1.4437203394329339</v>
      </c>
      <c r="Q173">
        <v>1.007933436532507</v>
      </c>
      <c r="R173">
        <v>0.99212900748704247</v>
      </c>
      <c r="S173">
        <v>0.99212900748704247</v>
      </c>
      <c r="T173">
        <v>1.4323568274504526</v>
      </c>
    </row>
    <row r="174" spans="1:20" x14ac:dyDescent="0.25">
      <c r="A174" s="12" t="s">
        <v>63</v>
      </c>
      <c r="B174" s="12" t="s">
        <v>37</v>
      </c>
      <c r="C174" s="12" t="s">
        <v>15</v>
      </c>
      <c r="D174" s="12">
        <v>4.220105607573192</v>
      </c>
      <c r="E174" s="12">
        <v>3.8</v>
      </c>
      <c r="F174" s="12">
        <v>20</v>
      </c>
      <c r="G174" s="12">
        <v>3.8</v>
      </c>
      <c r="H174" s="12">
        <v>3.2058823529411757</v>
      </c>
      <c r="I174" s="12" t="s">
        <v>67</v>
      </c>
      <c r="J174" s="6">
        <v>46224</v>
      </c>
      <c r="K174">
        <v>46224</v>
      </c>
      <c r="L174">
        <v>0.90045139941064711</v>
      </c>
      <c r="M174">
        <v>0.90045139941064711</v>
      </c>
      <c r="N174">
        <v>0.75966875027678415</v>
      </c>
      <c r="O174">
        <v>1.1105541072561032</v>
      </c>
      <c r="P174">
        <v>1.1105541072561032</v>
      </c>
      <c r="Q174">
        <v>0.84365325077399367</v>
      </c>
      <c r="R174">
        <v>1.1853211009174314</v>
      </c>
      <c r="S174">
        <v>1.1853211009174314</v>
      </c>
      <c r="T174">
        <v>1.3163632170411794</v>
      </c>
    </row>
    <row r="175" spans="1:20" x14ac:dyDescent="0.25">
      <c r="A175" s="12" t="s">
        <v>63</v>
      </c>
      <c r="B175" s="12" t="s">
        <v>37</v>
      </c>
      <c r="C175" s="12" t="s">
        <v>13</v>
      </c>
      <c r="D175" s="12">
        <v>13.02605930870925</v>
      </c>
      <c r="E175" s="12">
        <v>25.65</v>
      </c>
      <c r="F175" s="12">
        <v>20</v>
      </c>
      <c r="G175" s="12">
        <v>25.65</v>
      </c>
      <c r="H175" s="12">
        <v>9.4058823529411733</v>
      </c>
      <c r="I175" s="12" t="s">
        <v>66</v>
      </c>
      <c r="J175" s="6">
        <v>46224</v>
      </c>
      <c r="K175">
        <v>46224</v>
      </c>
      <c r="L175">
        <v>1.9691296801366747</v>
      </c>
      <c r="M175">
        <v>1.9691296801366747</v>
      </c>
      <c r="N175">
        <v>0.72208195356921034</v>
      </c>
      <c r="O175">
        <v>0.50783856954032169</v>
      </c>
      <c r="P175">
        <v>0.50783856954032169</v>
      </c>
      <c r="Q175">
        <v>0.36670106639146877</v>
      </c>
      <c r="R175">
        <v>2.7270168855534718</v>
      </c>
      <c r="S175">
        <v>2.7270168855534718</v>
      </c>
      <c r="T175">
        <v>1.3848843542717781</v>
      </c>
    </row>
    <row r="176" spans="1:20" x14ac:dyDescent="0.25">
      <c r="A176" s="12" t="s">
        <v>63</v>
      </c>
      <c r="B176" s="12" t="s">
        <v>37</v>
      </c>
      <c r="C176" s="12" t="s">
        <v>13</v>
      </c>
      <c r="D176" s="12">
        <v>12.57591471056811</v>
      </c>
      <c r="E176" s="12">
        <v>38</v>
      </c>
      <c r="F176" s="12">
        <v>20</v>
      </c>
      <c r="G176" s="12">
        <v>38</v>
      </c>
      <c r="H176" s="12">
        <v>7.4758738277919807</v>
      </c>
      <c r="I176" s="12" t="s">
        <v>69</v>
      </c>
      <c r="J176" s="6">
        <v>46225</v>
      </c>
      <c r="K176">
        <v>46225</v>
      </c>
      <c r="L176">
        <v>3.0216489913108968</v>
      </c>
      <c r="M176">
        <v>3.0216489913108968</v>
      </c>
      <c r="N176">
        <v>0.59445964765566239</v>
      </c>
      <c r="O176">
        <v>0.33094512396231868</v>
      </c>
      <c r="P176">
        <v>0.33094512396231868</v>
      </c>
      <c r="Q176">
        <v>0.1967335217839995</v>
      </c>
      <c r="R176">
        <v>5.0830178351503026</v>
      </c>
      <c r="S176">
        <v>5.0830178351503026</v>
      </c>
      <c r="T176">
        <v>1.6821999675564936</v>
      </c>
    </row>
    <row r="177" spans="1:20" x14ac:dyDescent="0.25">
      <c r="A177" s="12" t="s">
        <v>63</v>
      </c>
      <c r="B177" s="12" t="s">
        <v>37</v>
      </c>
      <c r="C177" s="12" t="s">
        <v>14</v>
      </c>
      <c r="D177" s="12">
        <v>10.80347035538737</v>
      </c>
      <c r="E177" s="12">
        <v>6.6499999999999995</v>
      </c>
      <c r="F177" s="12">
        <v>20</v>
      </c>
      <c r="G177" s="12">
        <v>6.6499999999999995</v>
      </c>
      <c r="H177" s="12">
        <v>6.6307438192668346</v>
      </c>
      <c r="I177" s="12" t="s">
        <v>71</v>
      </c>
      <c r="J177" s="6">
        <v>46225</v>
      </c>
      <c r="K177">
        <v>46225</v>
      </c>
      <c r="L177">
        <v>0.61554294881587213</v>
      </c>
      <c r="M177">
        <v>0.61554294881587213</v>
      </c>
      <c r="N177">
        <v>0.6137605418577633</v>
      </c>
      <c r="O177">
        <v>1.624582008328928</v>
      </c>
      <c r="P177">
        <v>1.624582008328928</v>
      </c>
      <c r="Q177">
        <v>0.99710433372433616</v>
      </c>
      <c r="R177">
        <v>1.0029040755091778</v>
      </c>
      <c r="S177">
        <v>1.0029040755091778</v>
      </c>
      <c r="T177">
        <v>1.6292999171519669</v>
      </c>
    </row>
    <row r="178" spans="1:20" x14ac:dyDescent="0.25">
      <c r="A178" s="12" t="s">
        <v>63</v>
      </c>
      <c r="B178" s="12" t="s">
        <v>37</v>
      </c>
      <c r="C178" s="12" t="s">
        <v>15</v>
      </c>
      <c r="D178" s="12">
        <v>4.2201056075731911</v>
      </c>
      <c r="E178" s="12">
        <v>4.75</v>
      </c>
      <c r="F178" s="12">
        <v>20</v>
      </c>
      <c r="G178" s="12">
        <v>4.75</v>
      </c>
      <c r="H178" s="12">
        <v>3.2058823529411757</v>
      </c>
      <c r="I178" s="12" t="s">
        <v>70</v>
      </c>
      <c r="J178" s="6">
        <v>46225</v>
      </c>
      <c r="K178">
        <v>46225</v>
      </c>
      <c r="L178">
        <v>1.1255642492633091</v>
      </c>
      <c r="M178">
        <v>1.1255642492633091</v>
      </c>
      <c r="N178">
        <v>0.75966875027678438</v>
      </c>
      <c r="O178">
        <v>0.8884432858048823</v>
      </c>
      <c r="P178">
        <v>0.8884432858048823</v>
      </c>
      <c r="Q178">
        <v>0.67492260061919485</v>
      </c>
      <c r="R178">
        <v>1.4816513761467893</v>
      </c>
      <c r="S178">
        <v>1.4816513761467893</v>
      </c>
      <c r="T178">
        <v>1.3163632170411792</v>
      </c>
    </row>
    <row r="179" spans="1:20" x14ac:dyDescent="0.25">
      <c r="A179" s="12" t="s">
        <v>63</v>
      </c>
      <c r="B179" s="12" t="s">
        <v>37</v>
      </c>
      <c r="C179" s="12" t="s">
        <v>14</v>
      </c>
      <c r="D179" s="12">
        <v>10.972274579690296</v>
      </c>
      <c r="E179" s="12">
        <v>6.6499999999999995</v>
      </c>
      <c r="F179" s="12">
        <v>20</v>
      </c>
      <c r="G179" s="12">
        <v>6.6499999999999995</v>
      </c>
      <c r="H179" s="12">
        <v>6.159803921568626</v>
      </c>
      <c r="I179" s="12" t="s">
        <v>72</v>
      </c>
      <c r="J179" s="6">
        <v>46226</v>
      </c>
      <c r="K179">
        <v>46226</v>
      </c>
      <c r="L179">
        <v>0.60607305729562799</v>
      </c>
      <c r="M179">
        <v>0.60607305729562799</v>
      </c>
      <c r="N179">
        <v>0.56139717219348817</v>
      </c>
      <c r="O179">
        <v>1.6499661022090673</v>
      </c>
      <c r="P179">
        <v>1.6499661022090673</v>
      </c>
      <c r="Q179">
        <v>0.92628630399528222</v>
      </c>
      <c r="R179">
        <v>1.0795798185580139</v>
      </c>
      <c r="S179">
        <v>1.0795798185580139</v>
      </c>
      <c r="T179">
        <v>1.7812701052497382</v>
      </c>
    </row>
    <row r="180" spans="1:20" x14ac:dyDescent="0.25">
      <c r="A180" s="12" t="s">
        <v>63</v>
      </c>
      <c r="B180" s="12" t="s">
        <v>37</v>
      </c>
      <c r="C180" s="12" t="s">
        <v>13</v>
      </c>
      <c r="D180" s="12">
        <v>11.731893589053469</v>
      </c>
      <c r="E180" s="12">
        <v>14.25</v>
      </c>
      <c r="F180" s="12">
        <v>20</v>
      </c>
      <c r="G180" s="12">
        <v>14.25</v>
      </c>
      <c r="H180" s="12">
        <v>9.1269607843137184</v>
      </c>
      <c r="I180" s="12" t="s">
        <v>74</v>
      </c>
      <c r="J180" s="6">
        <v>46226</v>
      </c>
      <c r="K180">
        <v>46226</v>
      </c>
      <c r="L180">
        <v>1.2146376790611253</v>
      </c>
      <c r="M180">
        <v>1.2146376790611253</v>
      </c>
      <c r="N180">
        <v>0.77796143606601564</v>
      </c>
      <c r="O180">
        <v>0.82329077817919083</v>
      </c>
      <c r="P180">
        <v>0.82329077817919083</v>
      </c>
      <c r="Q180">
        <v>0.64048847609219073</v>
      </c>
      <c r="R180">
        <v>1.5613083409420496</v>
      </c>
      <c r="S180">
        <v>1.5613083409420496</v>
      </c>
      <c r="T180">
        <v>1.2854107589918413</v>
      </c>
    </row>
    <row r="181" spans="1:20" x14ac:dyDescent="0.25">
      <c r="A181" s="12" t="s">
        <v>63</v>
      </c>
      <c r="B181" s="12" t="s">
        <v>37</v>
      </c>
      <c r="C181" s="12" t="s">
        <v>15</v>
      </c>
      <c r="D181" s="12">
        <v>4.220105607573192</v>
      </c>
      <c r="E181" s="12">
        <v>2.8499999999999996</v>
      </c>
      <c r="F181" s="12">
        <v>20</v>
      </c>
      <c r="G181" s="12">
        <v>2.8499999999999996</v>
      </c>
      <c r="H181" s="12">
        <v>2.235294117647058</v>
      </c>
      <c r="I181" s="12" t="s">
        <v>73</v>
      </c>
      <c r="J181" s="6">
        <v>46226</v>
      </c>
      <c r="K181">
        <v>46226</v>
      </c>
      <c r="L181">
        <v>0.67533854955798522</v>
      </c>
      <c r="M181">
        <v>0.67533854955798522</v>
      </c>
      <c r="N181">
        <v>0.52967729377096873</v>
      </c>
      <c r="O181">
        <v>1.4807388096748044</v>
      </c>
      <c r="P181">
        <v>1.4807388096748044</v>
      </c>
      <c r="Q181">
        <v>0.78431372549019585</v>
      </c>
      <c r="R181">
        <v>1.2750000000000004</v>
      </c>
      <c r="S181">
        <v>1.2750000000000004</v>
      </c>
      <c r="T181">
        <v>1.887941982335376</v>
      </c>
    </row>
    <row r="182" spans="1:20" x14ac:dyDescent="0.25">
      <c r="A182" s="12" t="s">
        <v>63</v>
      </c>
      <c r="B182" s="12" t="s">
        <v>37</v>
      </c>
      <c r="C182" s="12" t="s">
        <v>13</v>
      </c>
      <c r="D182" s="12">
        <v>10.972274579690296</v>
      </c>
      <c r="E182" s="12">
        <v>22.799999999999997</v>
      </c>
      <c r="F182" s="12">
        <v>20</v>
      </c>
      <c r="G182" s="12">
        <v>22.799999999999997</v>
      </c>
      <c r="H182" s="12">
        <v>8.2882352941176443</v>
      </c>
      <c r="I182" s="12" t="s">
        <v>56</v>
      </c>
      <c r="J182" s="6">
        <v>46227</v>
      </c>
      <c r="K182">
        <v>46227</v>
      </c>
      <c r="L182">
        <v>2.0779647678707245</v>
      </c>
      <c r="M182">
        <v>2.0779647678707245</v>
      </c>
      <c r="N182">
        <v>0.75537986530697887</v>
      </c>
      <c r="O182">
        <v>0.48124011314431131</v>
      </c>
      <c r="P182">
        <v>0.48124011314431131</v>
      </c>
      <c r="Q182">
        <v>0.36351909184726516</v>
      </c>
      <c r="R182">
        <v>2.7508871540099369</v>
      </c>
      <c r="S182">
        <v>2.7508871540099369</v>
      </c>
      <c r="T182">
        <v>1.3238372452429745</v>
      </c>
    </row>
    <row r="183" spans="1:20" x14ac:dyDescent="0.25">
      <c r="A183" s="12" t="s">
        <v>63</v>
      </c>
      <c r="B183" s="12" t="s">
        <v>37</v>
      </c>
      <c r="C183" s="12" t="s">
        <v>15</v>
      </c>
      <c r="D183" s="12">
        <v>4.220105607573192</v>
      </c>
      <c r="E183" s="12">
        <v>3.8</v>
      </c>
      <c r="F183" s="12">
        <v>20</v>
      </c>
      <c r="G183" s="12">
        <v>3.8</v>
      </c>
      <c r="H183" s="12">
        <v>3.2058823529411757</v>
      </c>
      <c r="I183" s="12" t="s">
        <v>57</v>
      </c>
      <c r="J183" s="6">
        <v>46227</v>
      </c>
      <c r="K183">
        <v>46227</v>
      </c>
      <c r="L183">
        <v>0.90045139941064711</v>
      </c>
      <c r="M183">
        <v>0.90045139941064711</v>
      </c>
      <c r="N183">
        <v>0.75966875027678415</v>
      </c>
      <c r="O183">
        <v>1.1105541072561032</v>
      </c>
      <c r="P183">
        <v>1.1105541072561032</v>
      </c>
      <c r="Q183">
        <v>0.84365325077399367</v>
      </c>
      <c r="R183">
        <v>1.1853211009174314</v>
      </c>
      <c r="S183">
        <v>1.1853211009174314</v>
      </c>
      <c r="T183">
        <v>1.3163632170411794</v>
      </c>
    </row>
    <row r="184" spans="1:20" x14ac:dyDescent="0.25">
      <c r="A184" s="12" t="s">
        <v>63</v>
      </c>
      <c r="B184" s="12" t="s">
        <v>37</v>
      </c>
      <c r="C184" s="12" t="s">
        <v>14</v>
      </c>
      <c r="D184" s="12">
        <v>11.028542654457937</v>
      </c>
      <c r="E184" s="12">
        <v>6.6499999999999995</v>
      </c>
      <c r="F184" s="12">
        <v>20</v>
      </c>
      <c r="G184" s="12">
        <v>6.6499999999999995</v>
      </c>
      <c r="H184" s="12">
        <v>7.4838235294117599</v>
      </c>
      <c r="I184" s="12" t="s">
        <v>58</v>
      </c>
      <c r="J184" s="6">
        <v>46227</v>
      </c>
      <c r="K184">
        <v>46227</v>
      </c>
      <c r="L184">
        <v>0.60298084781963002</v>
      </c>
      <c r="M184">
        <v>0.60298084781963002</v>
      </c>
      <c r="N184">
        <v>0.6785868055183758</v>
      </c>
      <c r="O184">
        <v>1.6584274668357801</v>
      </c>
      <c r="P184">
        <v>1.6584274668357801</v>
      </c>
      <c r="Q184">
        <v>1.1253869969040242</v>
      </c>
      <c r="R184">
        <v>0.88858321870701562</v>
      </c>
      <c r="S184">
        <v>0.88858321870701562</v>
      </c>
      <c r="T184">
        <v>1.47365081647306</v>
      </c>
    </row>
    <row r="185" spans="1:20" x14ac:dyDescent="0.25">
      <c r="A185" s="12" t="s">
        <v>63</v>
      </c>
      <c r="B185" s="12" t="s">
        <v>37</v>
      </c>
      <c r="C185" s="12" t="s">
        <v>13</v>
      </c>
      <c r="D185" s="12">
        <v>11.028542654457937</v>
      </c>
      <c r="E185" s="12">
        <v>8.5499999999999989</v>
      </c>
      <c r="F185" s="12">
        <v>20</v>
      </c>
      <c r="G185" s="12">
        <v>8.5499999999999989</v>
      </c>
      <c r="H185" s="12">
        <v>9.8422385620914934</v>
      </c>
      <c r="I185" s="12" t="s">
        <v>135</v>
      </c>
      <c r="J185" s="6">
        <v>46228</v>
      </c>
      <c r="K185">
        <v>46228</v>
      </c>
      <c r="L185">
        <v>0.77526109005380994</v>
      </c>
      <c r="M185">
        <v>0.77526109005380994</v>
      </c>
      <c r="N185">
        <v>0.89243328610721584</v>
      </c>
      <c r="O185">
        <v>1.2898880297611623</v>
      </c>
      <c r="P185">
        <v>1.2898880297611623</v>
      </c>
      <c r="Q185">
        <v>1.1511390131101162</v>
      </c>
      <c r="R185">
        <v>0.86870481202633121</v>
      </c>
      <c r="S185">
        <v>0.86870481202633121</v>
      </c>
      <c r="T185">
        <v>1.1205319384286851</v>
      </c>
    </row>
    <row r="186" spans="1:20" x14ac:dyDescent="0.25">
      <c r="A186" s="12" t="s">
        <v>63</v>
      </c>
      <c r="B186" s="12" t="s">
        <v>37</v>
      </c>
      <c r="C186" s="12" t="s">
        <v>15</v>
      </c>
      <c r="D186" s="12">
        <v>4.220105607573192</v>
      </c>
      <c r="E186" s="12">
        <v>1.9</v>
      </c>
      <c r="F186" s="12">
        <v>20</v>
      </c>
      <c r="G186" s="12">
        <v>1.9</v>
      </c>
      <c r="H186" s="12">
        <v>1.5294117647058818</v>
      </c>
      <c r="I186" s="12" t="s">
        <v>75</v>
      </c>
      <c r="J186" s="6">
        <v>46228</v>
      </c>
      <c r="K186">
        <v>46228</v>
      </c>
      <c r="L186">
        <v>0.45022569970532356</v>
      </c>
      <c r="M186">
        <v>0.45022569970532356</v>
      </c>
      <c r="N186">
        <v>0.36241077994855753</v>
      </c>
      <c r="O186">
        <v>2.2211082145122063</v>
      </c>
      <c r="P186">
        <v>2.2211082145122063</v>
      </c>
      <c r="Q186">
        <v>0.80495356037151677</v>
      </c>
      <c r="R186">
        <v>1.2423076923076928</v>
      </c>
      <c r="S186">
        <v>1.2423076923076928</v>
      </c>
      <c r="T186">
        <v>2.7592998203363188</v>
      </c>
    </row>
    <row r="187" spans="1:20" x14ac:dyDescent="0.25">
      <c r="A187" s="12" t="s">
        <v>63</v>
      </c>
      <c r="B187" s="12" t="s">
        <v>37</v>
      </c>
      <c r="C187" s="12" t="s">
        <v>14</v>
      </c>
      <c r="D187" s="12">
        <v>10.972274579690296</v>
      </c>
      <c r="E187" s="12">
        <v>6.6499999999999995</v>
      </c>
      <c r="F187" s="12">
        <v>20</v>
      </c>
      <c r="G187" s="12">
        <v>6.6499999999999995</v>
      </c>
      <c r="H187" s="12">
        <v>8.3967320261437859</v>
      </c>
      <c r="I187" s="12" t="s">
        <v>76</v>
      </c>
      <c r="J187" s="6">
        <v>46228</v>
      </c>
      <c r="K187">
        <v>46228</v>
      </c>
      <c r="L187">
        <v>0.60607305729562799</v>
      </c>
      <c r="M187">
        <v>0.60607305729562799</v>
      </c>
      <c r="N187">
        <v>0.76526812787625231</v>
      </c>
      <c r="O187">
        <v>1.6499661022090673</v>
      </c>
      <c r="P187">
        <v>1.6499661022090673</v>
      </c>
      <c r="Q187">
        <v>1.26266647009681</v>
      </c>
      <c r="R187">
        <v>0.79197478010430489</v>
      </c>
      <c r="S187">
        <v>0.79197478010430489</v>
      </c>
      <c r="T187">
        <v>1.3067315409765832</v>
      </c>
    </row>
    <row r="188" spans="1:20" x14ac:dyDescent="0.25">
      <c r="A188" s="12" t="s">
        <v>63</v>
      </c>
      <c r="B188" s="12" t="s">
        <v>37</v>
      </c>
      <c r="C188" s="12" t="s">
        <v>13</v>
      </c>
      <c r="D188" s="12">
        <v>10.972274579690298</v>
      </c>
      <c r="E188" s="12">
        <v>14.25</v>
      </c>
      <c r="F188" s="12">
        <v>20</v>
      </c>
      <c r="G188" s="12">
        <v>14.25</v>
      </c>
      <c r="H188" s="12">
        <v>9.0272058823529377</v>
      </c>
      <c r="I188" s="12" t="s">
        <v>78</v>
      </c>
      <c r="J188" s="6">
        <v>46229</v>
      </c>
      <c r="K188">
        <v>46229</v>
      </c>
      <c r="L188">
        <v>1.2987279799192026</v>
      </c>
      <c r="M188">
        <v>1.2987279799192026</v>
      </c>
      <c r="N188">
        <v>0.82272876209845436</v>
      </c>
      <c r="O188">
        <v>0.76998418103089816</v>
      </c>
      <c r="P188">
        <v>0.76998418103089816</v>
      </c>
      <c r="Q188">
        <v>0.63348813209494303</v>
      </c>
      <c r="R188">
        <v>1.5785615378349767</v>
      </c>
      <c r="S188">
        <v>1.5785615378349767</v>
      </c>
      <c r="T188">
        <v>1.2154674129167395</v>
      </c>
    </row>
    <row r="189" spans="1:20" x14ac:dyDescent="0.25">
      <c r="A189" s="12" t="s">
        <v>63</v>
      </c>
      <c r="B189" s="12" t="s">
        <v>37</v>
      </c>
      <c r="C189" s="12" t="s">
        <v>15</v>
      </c>
      <c r="D189" s="12">
        <v>4.220105607573192</v>
      </c>
      <c r="E189" s="12">
        <v>3.8</v>
      </c>
      <c r="F189" s="12">
        <v>20</v>
      </c>
      <c r="G189" s="12">
        <v>3.8</v>
      </c>
      <c r="H189" s="12">
        <v>2.5294117647058822</v>
      </c>
      <c r="I189" s="12" t="s">
        <v>77</v>
      </c>
      <c r="J189" s="6">
        <v>46229</v>
      </c>
      <c r="K189">
        <v>46229</v>
      </c>
      <c r="L189">
        <v>0.90045139941064711</v>
      </c>
      <c r="M189">
        <v>0.90045139941064711</v>
      </c>
      <c r="N189">
        <v>0.59937167453030693</v>
      </c>
      <c r="O189">
        <v>1.1105541072561032</v>
      </c>
      <c r="P189">
        <v>1.1105541072561032</v>
      </c>
      <c r="Q189">
        <v>0.66563467492260064</v>
      </c>
      <c r="R189">
        <v>1.5023255813953489</v>
      </c>
      <c r="S189">
        <v>1.5023255813953489</v>
      </c>
      <c r="T189">
        <v>1.6684138448545178</v>
      </c>
    </row>
    <row r="190" spans="1:20" x14ac:dyDescent="0.25">
      <c r="A190" s="12" t="s">
        <v>63</v>
      </c>
      <c r="B190" s="12" t="s">
        <v>37</v>
      </c>
      <c r="C190" s="12" t="s">
        <v>14</v>
      </c>
      <c r="D190" s="12">
        <v>11.816295701204936</v>
      </c>
      <c r="E190" s="12">
        <v>7.6</v>
      </c>
      <c r="F190" s="12">
        <v>20</v>
      </c>
      <c r="G190" s="12">
        <v>7.6</v>
      </c>
      <c r="H190" s="12">
        <v>8.6051470588235244</v>
      </c>
      <c r="I190" s="12" t="s">
        <v>79</v>
      </c>
      <c r="J190" s="6">
        <v>46229</v>
      </c>
      <c r="K190">
        <v>46229</v>
      </c>
      <c r="L190">
        <v>0.64317957100760514</v>
      </c>
      <c r="M190">
        <v>0.64317957100760514</v>
      </c>
      <c r="N190">
        <v>0.72824405180940388</v>
      </c>
      <c r="O190">
        <v>1.5547757501585442</v>
      </c>
      <c r="P190">
        <v>1.5547757501585442</v>
      </c>
      <c r="Q190">
        <v>1.1322561919504639</v>
      </c>
      <c r="R190">
        <v>0.88319234384345946</v>
      </c>
      <c r="S190">
        <v>0.88319234384345946</v>
      </c>
      <c r="T190">
        <v>1.3731660389334976</v>
      </c>
    </row>
    <row r="191" spans="1:20" x14ac:dyDescent="0.25">
      <c r="A191" s="12" t="s">
        <v>63</v>
      </c>
      <c r="B191" s="12" t="s">
        <v>37</v>
      </c>
      <c r="C191" s="12" t="s">
        <v>14</v>
      </c>
      <c r="D191" s="12">
        <v>10.972274579690296</v>
      </c>
      <c r="E191" s="12">
        <v>6.6499999999999995</v>
      </c>
      <c r="F191" s="12">
        <v>20</v>
      </c>
      <c r="G191" s="12">
        <v>6.6499999999999995</v>
      </c>
      <c r="H191" s="12">
        <v>6.9254901960784299</v>
      </c>
      <c r="I191" s="12" t="s">
        <v>80</v>
      </c>
      <c r="J191" s="6">
        <v>46230</v>
      </c>
      <c r="K191">
        <v>46230</v>
      </c>
      <c r="L191">
        <v>0.60607305729562799</v>
      </c>
      <c r="M191">
        <v>0.60607305729562799</v>
      </c>
      <c r="N191">
        <v>0.63118090472303046</v>
      </c>
      <c r="O191">
        <v>1.6499661022090673</v>
      </c>
      <c r="P191">
        <v>1.6499661022090673</v>
      </c>
      <c r="Q191">
        <v>1.0414270971546511</v>
      </c>
      <c r="R191">
        <v>0.96022083805209524</v>
      </c>
      <c r="S191">
        <v>0.96022083805209524</v>
      </c>
      <c r="T191">
        <v>1.5843318334207397</v>
      </c>
    </row>
    <row r="192" spans="1:20" x14ac:dyDescent="0.25">
      <c r="A192" s="12" t="s">
        <v>63</v>
      </c>
      <c r="B192" s="12" t="s">
        <v>37</v>
      </c>
      <c r="C192" s="12" t="s">
        <v>15</v>
      </c>
      <c r="D192" s="12">
        <v>4.220105607573192</v>
      </c>
      <c r="E192" s="12">
        <v>4.75</v>
      </c>
      <c r="F192" s="12">
        <v>20</v>
      </c>
      <c r="G192" s="12">
        <v>4.75</v>
      </c>
      <c r="H192" s="12">
        <v>4.0588235294117636</v>
      </c>
      <c r="I192" s="12" t="s">
        <v>81</v>
      </c>
      <c r="J192" s="6">
        <v>46230</v>
      </c>
      <c r="K192">
        <v>46230</v>
      </c>
      <c r="L192">
        <v>1.1255642492633089</v>
      </c>
      <c r="M192">
        <v>1.1255642492633089</v>
      </c>
      <c r="N192">
        <v>0.96178245447886435</v>
      </c>
      <c r="O192">
        <v>0.88844328580488252</v>
      </c>
      <c r="P192">
        <v>0.88844328580488252</v>
      </c>
      <c r="Q192">
        <v>0.85448916408668707</v>
      </c>
      <c r="R192">
        <v>1.1702898550724641</v>
      </c>
      <c r="S192">
        <v>1.1702898550724641</v>
      </c>
      <c r="T192">
        <v>1.0397361641846998</v>
      </c>
    </row>
    <row r="193" spans="1:20" x14ac:dyDescent="0.25">
      <c r="A193" s="12" t="s">
        <v>63</v>
      </c>
      <c r="B193" s="12" t="s">
        <v>37</v>
      </c>
      <c r="C193" s="12" t="s">
        <v>13</v>
      </c>
      <c r="D193" s="12">
        <v>11.872563775972576</v>
      </c>
      <c r="E193" s="12">
        <v>36.1</v>
      </c>
      <c r="F193" s="12">
        <v>20</v>
      </c>
      <c r="G193" s="12">
        <v>36.1</v>
      </c>
      <c r="H193" s="12">
        <v>7.4715686274509761</v>
      </c>
      <c r="I193" s="12" t="s">
        <v>82</v>
      </c>
      <c r="J193" s="6">
        <v>46230</v>
      </c>
      <c r="K193">
        <v>46230</v>
      </c>
      <c r="L193">
        <v>3.0406238013274232</v>
      </c>
      <c r="M193">
        <v>3.0406238013274232</v>
      </c>
      <c r="N193">
        <v>0.62931383384705553</v>
      </c>
      <c r="O193">
        <v>0.32887988299093007</v>
      </c>
      <c r="P193">
        <v>0.32887988299093007</v>
      </c>
      <c r="Q193">
        <v>0.20696866004019324</v>
      </c>
      <c r="R193">
        <v>4.8316493898438555</v>
      </c>
      <c r="S193">
        <v>4.8316493898438555</v>
      </c>
      <c r="T193">
        <v>1.5890322859850459</v>
      </c>
    </row>
    <row r="194" spans="1:20" x14ac:dyDescent="0.25">
      <c r="A194" s="12" t="s">
        <v>63</v>
      </c>
      <c r="B194" s="12" t="s">
        <v>37</v>
      </c>
      <c r="C194" s="12" t="s">
        <v>14</v>
      </c>
      <c r="D194" s="12">
        <v>10.972274579690296</v>
      </c>
      <c r="E194" s="12">
        <v>6.6499999999999995</v>
      </c>
      <c r="F194" s="12">
        <v>20</v>
      </c>
      <c r="G194" s="12">
        <v>6.6499999999999995</v>
      </c>
      <c r="H194" s="12">
        <v>6.6598039215686242</v>
      </c>
      <c r="I194" s="12" t="s">
        <v>84</v>
      </c>
      <c r="J194" s="6">
        <v>46231</v>
      </c>
      <c r="K194">
        <v>46231</v>
      </c>
      <c r="L194">
        <v>0.60607305729562799</v>
      </c>
      <c r="M194">
        <v>0.60607305729562799</v>
      </c>
      <c r="N194">
        <v>0.60696657499767059</v>
      </c>
      <c r="O194">
        <v>1.6499661022090673</v>
      </c>
      <c r="P194">
        <v>1.6499661022090673</v>
      </c>
      <c r="Q194">
        <v>1.0014742739200939</v>
      </c>
      <c r="R194">
        <v>0.99852789636390438</v>
      </c>
      <c r="S194">
        <v>0.99852789636390438</v>
      </c>
      <c r="T194">
        <v>1.6475371811105708</v>
      </c>
    </row>
    <row r="195" spans="1:20" x14ac:dyDescent="0.25">
      <c r="A195" s="12" t="s">
        <v>63</v>
      </c>
      <c r="B195" s="12" t="s">
        <v>37</v>
      </c>
      <c r="C195" s="12" t="s">
        <v>15</v>
      </c>
      <c r="D195" s="12">
        <v>4.220105607573192</v>
      </c>
      <c r="E195" s="12">
        <v>3.8</v>
      </c>
      <c r="F195" s="12">
        <v>20</v>
      </c>
      <c r="G195" s="12">
        <v>3.8</v>
      </c>
      <c r="H195" s="12">
        <v>3.9411764705882346</v>
      </c>
      <c r="I195" s="12" t="s">
        <v>136</v>
      </c>
      <c r="J195" s="6">
        <v>46231</v>
      </c>
      <c r="K195">
        <v>46231</v>
      </c>
      <c r="L195">
        <v>0.90045139941064711</v>
      </c>
      <c r="M195">
        <v>0.90045139941064711</v>
      </c>
      <c r="N195">
        <v>0.93390470217512922</v>
      </c>
      <c r="O195">
        <v>1.1105541072561032</v>
      </c>
      <c r="P195">
        <v>1.1105541072561032</v>
      </c>
      <c r="Q195">
        <v>1.0371517027863775</v>
      </c>
      <c r="R195">
        <v>0.96417910447761201</v>
      </c>
      <c r="S195">
        <v>0.96417910447761201</v>
      </c>
      <c r="T195">
        <v>1.0707730646081235</v>
      </c>
    </row>
    <row r="196" spans="1:20" x14ac:dyDescent="0.25">
      <c r="A196" s="12" t="s">
        <v>63</v>
      </c>
      <c r="B196" s="12" t="s">
        <v>37</v>
      </c>
      <c r="C196" s="12" t="s">
        <v>13</v>
      </c>
      <c r="D196" s="12">
        <v>11.731893589053469</v>
      </c>
      <c r="E196" s="12">
        <v>14.25</v>
      </c>
      <c r="F196" s="12">
        <v>20</v>
      </c>
      <c r="G196" s="12">
        <v>14.25</v>
      </c>
      <c r="H196" s="12">
        <v>8.6490196078431296</v>
      </c>
      <c r="I196" s="12" t="s">
        <v>83</v>
      </c>
      <c r="J196" s="6">
        <v>46231</v>
      </c>
      <c r="K196">
        <v>46231</v>
      </c>
      <c r="L196">
        <v>1.2146376790611253</v>
      </c>
      <c r="M196">
        <v>1.2146376790611253</v>
      </c>
      <c r="N196">
        <v>0.73722281421928015</v>
      </c>
      <c r="O196">
        <v>0.82329077817919083</v>
      </c>
      <c r="P196">
        <v>0.82329077817919083</v>
      </c>
      <c r="Q196">
        <v>0.60694874441004421</v>
      </c>
      <c r="R196">
        <v>1.6475855815007949</v>
      </c>
      <c r="S196">
        <v>1.6475855815007949</v>
      </c>
      <c r="T196">
        <v>1.3564420155106041</v>
      </c>
    </row>
    <row r="197" spans="1:20" x14ac:dyDescent="0.25">
      <c r="A197" s="12" t="s">
        <v>63</v>
      </c>
      <c r="B197" s="12" t="s">
        <v>37</v>
      </c>
      <c r="C197" s="12" t="s">
        <v>14</v>
      </c>
      <c r="D197" s="12">
        <v>10.80347035538737</v>
      </c>
      <c r="E197" s="12">
        <v>4.75</v>
      </c>
      <c r="F197" s="12">
        <v>20</v>
      </c>
      <c r="G197" s="12">
        <v>4.75</v>
      </c>
      <c r="H197" s="12">
        <v>5.3514705882352898</v>
      </c>
      <c r="I197" s="12" t="s">
        <v>85</v>
      </c>
      <c r="J197" s="6">
        <v>46232</v>
      </c>
      <c r="K197">
        <v>46232</v>
      </c>
      <c r="L197">
        <v>0.4396735348684801</v>
      </c>
      <c r="M197">
        <v>0.4396735348684801</v>
      </c>
      <c r="N197">
        <v>0.49534736637349774</v>
      </c>
      <c r="O197">
        <v>2.274414811660499</v>
      </c>
      <c r="P197">
        <v>2.274414811660499</v>
      </c>
      <c r="Q197">
        <v>1.1266253869969032</v>
      </c>
      <c r="R197">
        <v>0.88760648529815955</v>
      </c>
      <c r="S197">
        <v>0.88760648529815955</v>
      </c>
      <c r="T197">
        <v>2.0187853370880511</v>
      </c>
    </row>
    <row r="198" spans="1:20" x14ac:dyDescent="0.25">
      <c r="A198" s="12" t="s">
        <v>63</v>
      </c>
      <c r="B198" s="12" t="s">
        <v>37</v>
      </c>
      <c r="C198" s="12" t="s">
        <v>15</v>
      </c>
      <c r="D198" s="12">
        <v>4.220105607573192</v>
      </c>
      <c r="E198" s="12">
        <v>2.8499999999999996</v>
      </c>
      <c r="F198" s="12">
        <v>20</v>
      </c>
      <c r="G198" s="12">
        <v>2.8499999999999996</v>
      </c>
      <c r="H198" s="12">
        <v>3.0882352941176467</v>
      </c>
      <c r="I198" s="12" t="s">
        <v>87</v>
      </c>
      <c r="J198" s="6">
        <v>46232</v>
      </c>
      <c r="K198">
        <v>46232</v>
      </c>
      <c r="L198">
        <v>0.67533854955798522</v>
      </c>
      <c r="M198">
        <v>0.67533854955798522</v>
      </c>
      <c r="N198">
        <v>0.73179099797304903</v>
      </c>
      <c r="O198">
        <v>1.4807388096748044</v>
      </c>
      <c r="P198">
        <v>1.4807388096748044</v>
      </c>
      <c r="Q198">
        <v>1.0835913312693499</v>
      </c>
      <c r="R198">
        <v>0.92285714285714282</v>
      </c>
      <c r="S198">
        <v>0.92285714285714282</v>
      </c>
      <c r="T198">
        <v>1.3665103872141766</v>
      </c>
    </row>
    <row r="199" spans="1:20" x14ac:dyDescent="0.25">
      <c r="A199" s="12" t="s">
        <v>63</v>
      </c>
      <c r="B199" s="12" t="s">
        <v>37</v>
      </c>
      <c r="C199" s="12" t="s">
        <v>13</v>
      </c>
      <c r="D199" s="12">
        <v>12.57591471056811</v>
      </c>
      <c r="E199" s="12">
        <v>8.5499999999999989</v>
      </c>
      <c r="F199" s="12">
        <v>20</v>
      </c>
      <c r="G199" s="12">
        <v>8.5499999999999989</v>
      </c>
      <c r="H199" s="12">
        <v>8.5823529411764667</v>
      </c>
      <c r="I199" s="12" t="s">
        <v>86</v>
      </c>
      <c r="J199" s="6">
        <v>46232</v>
      </c>
      <c r="K199">
        <v>46232</v>
      </c>
      <c r="L199">
        <v>0.67987102304495173</v>
      </c>
      <c r="M199">
        <v>0.67987102304495173</v>
      </c>
      <c r="N199">
        <v>0.68244363441526268</v>
      </c>
      <c r="O199">
        <v>1.4708672176103055</v>
      </c>
      <c r="P199">
        <v>1.4708672176103055</v>
      </c>
      <c r="Q199">
        <v>1.0037839697282418</v>
      </c>
      <c r="R199">
        <v>0.99623029472241298</v>
      </c>
      <c r="S199">
        <v>0.99623029472241298</v>
      </c>
      <c r="T199">
        <v>1.4653224816974502</v>
      </c>
    </row>
    <row r="200" spans="1:20" x14ac:dyDescent="0.25">
      <c r="A200" s="12" t="s">
        <v>63</v>
      </c>
      <c r="B200" s="12" t="s">
        <v>37</v>
      </c>
      <c r="C200" s="12" t="s">
        <v>14</v>
      </c>
      <c r="D200" s="12">
        <v>10.972274579690296</v>
      </c>
      <c r="E200" s="12">
        <v>6.6499999999999995</v>
      </c>
      <c r="F200" s="12">
        <v>20</v>
      </c>
      <c r="G200" s="12">
        <v>6.6499999999999995</v>
      </c>
      <c r="H200" s="12">
        <v>8.1009803921568597</v>
      </c>
      <c r="I200" s="12" t="s">
        <v>88</v>
      </c>
      <c r="J200" s="6">
        <v>46233</v>
      </c>
      <c r="K200">
        <v>46233</v>
      </c>
      <c r="L200">
        <v>0.60607305729562799</v>
      </c>
      <c r="M200">
        <v>0.60607305729562799</v>
      </c>
      <c r="N200">
        <v>0.73831367719796148</v>
      </c>
      <c r="O200">
        <v>1.6499661022090673</v>
      </c>
      <c r="P200">
        <v>1.6499661022090673</v>
      </c>
      <c r="Q200">
        <v>1.2181925401739639</v>
      </c>
      <c r="R200">
        <v>0.82088829722860968</v>
      </c>
      <c r="S200">
        <v>0.82088829722860968</v>
      </c>
      <c r="T200">
        <v>1.3544378641273274</v>
      </c>
    </row>
    <row r="201" spans="1:20" x14ac:dyDescent="0.25">
      <c r="A201" s="12" t="s">
        <v>63</v>
      </c>
      <c r="B201" s="12" t="s">
        <v>37</v>
      </c>
      <c r="C201" s="12" t="s">
        <v>13</v>
      </c>
      <c r="D201" s="12">
        <v>10.887872467538832</v>
      </c>
      <c r="E201" s="12">
        <v>21.85</v>
      </c>
      <c r="F201" s="12">
        <v>20</v>
      </c>
      <c r="G201" s="12">
        <v>21.85</v>
      </c>
      <c r="H201" s="12">
        <v>9.3254901960784284</v>
      </c>
      <c r="I201" s="12" t="s">
        <v>90</v>
      </c>
      <c r="J201" s="6">
        <v>46233</v>
      </c>
      <c r="K201">
        <v>46233</v>
      </c>
      <c r="L201">
        <v>2.006819979306675</v>
      </c>
      <c r="M201">
        <v>2.006819979306675</v>
      </c>
      <c r="N201">
        <v>0.85650251909925468</v>
      </c>
      <c r="O201">
        <v>0.49830079942969491</v>
      </c>
      <c r="P201">
        <v>0.49830079942969491</v>
      </c>
      <c r="Q201">
        <v>0.42679588998070617</v>
      </c>
      <c r="R201">
        <v>2.3430403700588736</v>
      </c>
      <c r="S201">
        <v>2.3430403700588736</v>
      </c>
      <c r="T201">
        <v>1.1675388894963847</v>
      </c>
    </row>
    <row r="202" spans="1:20" x14ac:dyDescent="0.25">
      <c r="A202" s="12" t="s">
        <v>63</v>
      </c>
      <c r="B202" s="12" t="s">
        <v>37</v>
      </c>
      <c r="C202" s="12" t="s">
        <v>15</v>
      </c>
      <c r="D202" s="12">
        <v>4.220105607573192</v>
      </c>
      <c r="E202" s="12">
        <v>1.9</v>
      </c>
      <c r="F202" s="12">
        <v>20</v>
      </c>
      <c r="G202" s="12">
        <v>1.9</v>
      </c>
      <c r="H202" s="12">
        <v>2.4705882352941178</v>
      </c>
      <c r="I202" s="12" t="s">
        <v>89</v>
      </c>
      <c r="J202" s="6">
        <v>46233</v>
      </c>
      <c r="K202">
        <v>46233</v>
      </c>
      <c r="L202">
        <v>0.45022569970532356</v>
      </c>
      <c r="M202">
        <v>0.45022569970532356</v>
      </c>
      <c r="N202">
        <v>0.58543279837843931</v>
      </c>
      <c r="O202">
        <v>2.2211082145122063</v>
      </c>
      <c r="P202">
        <v>2.2211082145122063</v>
      </c>
      <c r="Q202">
        <v>1.30030959752322</v>
      </c>
      <c r="R202">
        <v>0.76904761904761898</v>
      </c>
      <c r="S202">
        <v>0.76904761904761898</v>
      </c>
      <c r="T202">
        <v>1.7081379840177204</v>
      </c>
    </row>
    <row r="203" spans="1:20" x14ac:dyDescent="0.25">
      <c r="A203" s="12" t="s">
        <v>63</v>
      </c>
      <c r="B203" s="12" t="s">
        <v>37</v>
      </c>
      <c r="C203" s="12" t="s">
        <v>13</v>
      </c>
      <c r="D203" s="12">
        <v>10.972274579690298</v>
      </c>
      <c r="E203" s="12">
        <v>22.799999999999997</v>
      </c>
      <c r="F203" s="12">
        <v>20</v>
      </c>
      <c r="G203" s="12">
        <v>22.799999999999997</v>
      </c>
      <c r="H203" s="12">
        <v>9.7367647058823472</v>
      </c>
      <c r="I203" s="12" t="s">
        <v>91</v>
      </c>
      <c r="J203" s="6">
        <v>46234</v>
      </c>
      <c r="K203">
        <v>46234</v>
      </c>
      <c r="L203">
        <v>2.077964767870724</v>
      </c>
      <c r="M203">
        <v>2.077964767870724</v>
      </c>
      <c r="N203">
        <v>0.88739710578380149</v>
      </c>
      <c r="O203">
        <v>0.48124011314431137</v>
      </c>
      <c r="P203">
        <v>0.48124011314431137</v>
      </c>
      <c r="Q203">
        <v>0.42705108359133109</v>
      </c>
      <c r="R203">
        <v>2.3416402356139567</v>
      </c>
      <c r="S203">
        <v>2.3416402356139567</v>
      </c>
      <c r="T203">
        <v>1.1268912119301324</v>
      </c>
    </row>
    <row r="204" spans="1:20" x14ac:dyDescent="0.25">
      <c r="A204" s="12" t="s">
        <v>63</v>
      </c>
      <c r="B204" s="12" t="s">
        <v>37</v>
      </c>
      <c r="C204" s="12" t="s">
        <v>15</v>
      </c>
      <c r="D204" s="12">
        <v>4.220105607573192</v>
      </c>
      <c r="E204" s="12">
        <v>4.75</v>
      </c>
      <c r="F204" s="12">
        <v>20</v>
      </c>
      <c r="G204" s="12">
        <v>4.75</v>
      </c>
      <c r="H204" s="12">
        <v>3.3235294117647056</v>
      </c>
      <c r="I204" s="12" t="s">
        <v>92</v>
      </c>
      <c r="J204" s="6">
        <v>46234</v>
      </c>
      <c r="K204">
        <v>46234</v>
      </c>
      <c r="L204">
        <v>1.1255642492633089</v>
      </c>
      <c r="M204">
        <v>1.1255642492633089</v>
      </c>
      <c r="N204">
        <v>0.7875465025805195</v>
      </c>
      <c r="O204">
        <v>0.88844328580488252</v>
      </c>
      <c r="P204">
        <v>0.88844328580488252</v>
      </c>
      <c r="Q204">
        <v>0.69969040247678016</v>
      </c>
      <c r="R204">
        <v>1.429203539823009</v>
      </c>
      <c r="S204">
        <v>1.429203539823009</v>
      </c>
      <c r="T204">
        <v>1.2697662890043233</v>
      </c>
    </row>
    <row r="205" spans="1:20" x14ac:dyDescent="0.25">
      <c r="A205" s="12" t="s">
        <v>63</v>
      </c>
      <c r="B205" s="12" t="s">
        <v>37</v>
      </c>
      <c r="C205" s="12" t="s">
        <v>14</v>
      </c>
      <c r="D205" s="12">
        <v>11.028542654457937</v>
      </c>
      <c r="E205" s="12">
        <v>6.6499999999999995</v>
      </c>
      <c r="F205" s="12">
        <v>20</v>
      </c>
      <c r="G205" s="12">
        <v>6.6499999999999995</v>
      </c>
      <c r="H205" s="12">
        <v>8.5426470588235226</v>
      </c>
      <c r="I205" s="12" t="s">
        <v>93</v>
      </c>
      <c r="J205" s="6">
        <v>46234</v>
      </c>
      <c r="K205">
        <v>46234</v>
      </c>
      <c r="L205">
        <v>0.60298084781963002</v>
      </c>
      <c r="M205">
        <v>0.60298084781963002</v>
      </c>
      <c r="N205">
        <v>0.77459437085011684</v>
      </c>
      <c r="O205">
        <v>1.6584274668357801</v>
      </c>
      <c r="P205">
        <v>1.6584274668357801</v>
      </c>
      <c r="Q205">
        <v>1.284608580274214</v>
      </c>
      <c r="R205">
        <v>0.77844723704596375</v>
      </c>
      <c r="S205">
        <v>0.77844723704596375</v>
      </c>
      <c r="T205">
        <v>1.2909982793994497</v>
      </c>
    </row>
    <row r="206" spans="1:20" x14ac:dyDescent="0.25">
      <c r="A206" s="12" t="s">
        <v>63</v>
      </c>
      <c r="B206" s="12" t="s">
        <v>37</v>
      </c>
      <c r="C206" s="12" t="s">
        <v>13</v>
      </c>
      <c r="D206" s="12">
        <v>11.028542654457937</v>
      </c>
      <c r="E206" s="12">
        <v>24.7</v>
      </c>
      <c r="F206" s="12">
        <v>20</v>
      </c>
      <c r="G206" s="12">
        <v>24.7</v>
      </c>
      <c r="H206" s="12">
        <v>10.700490196078425</v>
      </c>
      <c r="I206" s="12" t="s">
        <v>94</v>
      </c>
      <c r="J206" s="6">
        <v>46235</v>
      </c>
      <c r="K206">
        <v>46235</v>
      </c>
      <c r="L206">
        <v>2.23964314904434</v>
      </c>
      <c r="M206">
        <v>2.23964314904434</v>
      </c>
      <c r="N206">
        <v>0.97025423316045234</v>
      </c>
      <c r="O206">
        <v>0.44649970260963306</v>
      </c>
      <c r="P206">
        <v>0.44649970260963306</v>
      </c>
      <c r="Q206">
        <v>0.43321822656187958</v>
      </c>
      <c r="R206">
        <v>2.3083054652068364</v>
      </c>
      <c r="S206">
        <v>2.3083054652068364</v>
      </c>
      <c r="T206">
        <v>1.030657703747043</v>
      </c>
    </row>
    <row r="207" spans="1:20" x14ac:dyDescent="0.25">
      <c r="A207" s="12" t="s">
        <v>63</v>
      </c>
      <c r="B207" s="12" t="s">
        <v>37</v>
      </c>
      <c r="C207" s="12" t="s">
        <v>14</v>
      </c>
      <c r="D207" s="12">
        <v>10.972274579690296</v>
      </c>
      <c r="E207" s="12">
        <v>6.6499999999999995</v>
      </c>
      <c r="F207" s="12">
        <v>20</v>
      </c>
      <c r="G207" s="12">
        <v>6.6499999999999995</v>
      </c>
      <c r="H207" s="12">
        <v>8.1009803921568615</v>
      </c>
      <c r="I207" s="12" t="s">
        <v>95</v>
      </c>
      <c r="J207" s="6">
        <v>46235</v>
      </c>
      <c r="K207">
        <v>46235</v>
      </c>
      <c r="L207">
        <v>0.60607305729562799</v>
      </c>
      <c r="M207">
        <v>0.60607305729562799</v>
      </c>
      <c r="N207">
        <v>0.73831367719796159</v>
      </c>
      <c r="O207">
        <v>1.6499661022090673</v>
      </c>
      <c r="P207">
        <v>1.6499661022090673</v>
      </c>
      <c r="Q207">
        <v>1.2181925401739642</v>
      </c>
      <c r="R207">
        <v>0.82088829722860956</v>
      </c>
      <c r="S207">
        <v>0.82088829722860956</v>
      </c>
      <c r="T207">
        <v>1.3544378641273271</v>
      </c>
    </row>
    <row r="208" spans="1:20" x14ac:dyDescent="0.25">
      <c r="A208" s="12" t="s">
        <v>63</v>
      </c>
      <c r="B208" s="12" t="s">
        <v>37</v>
      </c>
      <c r="C208" s="12" t="s">
        <v>15</v>
      </c>
      <c r="D208" s="12">
        <v>4.220105607573192</v>
      </c>
      <c r="E208" s="12">
        <v>2.8499999999999996</v>
      </c>
      <c r="F208" s="12">
        <v>20</v>
      </c>
      <c r="G208" s="12">
        <v>2.8499999999999996</v>
      </c>
      <c r="H208" s="12">
        <v>2.4705882352941178</v>
      </c>
      <c r="I208" s="12" t="s">
        <v>137</v>
      </c>
      <c r="J208" s="6">
        <v>46235</v>
      </c>
      <c r="K208">
        <v>46235</v>
      </c>
      <c r="L208">
        <v>0.67533854955798522</v>
      </c>
      <c r="M208">
        <v>0.67533854955798522</v>
      </c>
      <c r="N208">
        <v>0.58543279837843931</v>
      </c>
      <c r="O208">
        <v>1.4807388096748044</v>
      </c>
      <c r="P208">
        <v>1.4807388096748044</v>
      </c>
      <c r="Q208">
        <v>0.86687306501548</v>
      </c>
      <c r="R208">
        <v>1.1535714285714285</v>
      </c>
      <c r="S208">
        <v>1.1535714285714285</v>
      </c>
      <c r="T208">
        <v>1.7081379840177204</v>
      </c>
    </row>
    <row r="209" spans="1:20" x14ac:dyDescent="0.25">
      <c r="A209" s="12" t="s">
        <v>63</v>
      </c>
      <c r="B209" s="12" t="s">
        <v>37</v>
      </c>
      <c r="C209" s="12" t="s">
        <v>14</v>
      </c>
      <c r="D209" s="12">
        <v>10.972274579690296</v>
      </c>
      <c r="E209" s="12">
        <v>6.6499999999999995</v>
      </c>
      <c r="F209" s="12">
        <v>20</v>
      </c>
      <c r="G209" s="12">
        <v>6.6499999999999995</v>
      </c>
      <c r="H209" s="12">
        <v>8.6009803921568544</v>
      </c>
      <c r="I209" s="12" t="s">
        <v>96</v>
      </c>
      <c r="J209" s="6">
        <v>46236</v>
      </c>
      <c r="K209">
        <v>46236</v>
      </c>
      <c r="L209">
        <v>0.60607305729562799</v>
      </c>
      <c r="M209">
        <v>0.60607305729562799</v>
      </c>
      <c r="N209">
        <v>0.78388308000214357</v>
      </c>
      <c r="O209">
        <v>1.6499661022090673</v>
      </c>
      <c r="P209">
        <v>1.6499661022090673</v>
      </c>
      <c r="Q209">
        <v>1.2933805100987752</v>
      </c>
      <c r="R209">
        <v>0.77316767354382832</v>
      </c>
      <c r="S209">
        <v>0.77316767354382832</v>
      </c>
      <c r="T209">
        <v>1.2757004526711631</v>
      </c>
    </row>
    <row r="210" spans="1:20" x14ac:dyDescent="0.25">
      <c r="A210" s="12" t="s">
        <v>63</v>
      </c>
      <c r="B210" s="12" t="s">
        <v>37</v>
      </c>
      <c r="C210" s="12" t="s">
        <v>15</v>
      </c>
      <c r="D210" s="12">
        <v>4.220105607573192</v>
      </c>
      <c r="E210" s="12">
        <v>3.8</v>
      </c>
      <c r="F210" s="12">
        <v>20</v>
      </c>
      <c r="G210" s="12">
        <v>3.8</v>
      </c>
      <c r="H210" s="12">
        <v>2.5</v>
      </c>
      <c r="I210" s="12" t="s">
        <v>98</v>
      </c>
      <c r="J210" s="6">
        <v>46236</v>
      </c>
      <c r="K210">
        <v>46236</v>
      </c>
      <c r="L210">
        <v>0.90045139941064711</v>
      </c>
      <c r="M210">
        <v>0.90045139941064711</v>
      </c>
      <c r="N210">
        <v>0.59240223645437307</v>
      </c>
      <c r="O210">
        <v>1.1105541072561032</v>
      </c>
      <c r="P210">
        <v>1.1105541072561032</v>
      </c>
      <c r="Q210">
        <v>0.65789473684210531</v>
      </c>
      <c r="R210">
        <v>1.52</v>
      </c>
      <c r="S210">
        <v>1.52</v>
      </c>
      <c r="T210">
        <v>1.6880422430292767</v>
      </c>
    </row>
    <row r="211" spans="1:20" x14ac:dyDescent="0.25">
      <c r="A211" s="12" t="s">
        <v>63</v>
      </c>
      <c r="B211" s="12" t="s">
        <v>37</v>
      </c>
      <c r="C211" s="12" t="s">
        <v>13</v>
      </c>
      <c r="D211" s="12">
        <v>10.972274579690296</v>
      </c>
      <c r="E211" s="12">
        <v>26.6</v>
      </c>
      <c r="F211" s="12">
        <v>20</v>
      </c>
      <c r="G211" s="12">
        <v>26.6</v>
      </c>
      <c r="H211" s="12">
        <v>10.553431372549014</v>
      </c>
      <c r="I211" s="12" t="s">
        <v>97</v>
      </c>
      <c r="J211" s="6">
        <v>46236</v>
      </c>
      <c r="K211">
        <v>46236</v>
      </c>
      <c r="L211">
        <v>2.424292229182512</v>
      </c>
      <c r="M211">
        <v>2.424292229182512</v>
      </c>
      <c r="N211">
        <v>0.96182713036396639</v>
      </c>
      <c r="O211">
        <v>0.41249152555226681</v>
      </c>
      <c r="P211">
        <v>0.41249152555226681</v>
      </c>
      <c r="Q211">
        <v>0.39674554032139153</v>
      </c>
      <c r="R211">
        <v>2.5205072228157381</v>
      </c>
      <c r="S211">
        <v>2.5205072228157381</v>
      </c>
      <c r="T211">
        <v>1.0396878695047711</v>
      </c>
    </row>
    <row r="212" spans="1:20" x14ac:dyDescent="0.25">
      <c r="A212" s="12" t="s">
        <v>63</v>
      </c>
      <c r="B212" s="12" t="s">
        <v>37</v>
      </c>
      <c r="C212" s="12" t="s">
        <v>13</v>
      </c>
      <c r="D212" s="12">
        <v>11.872563775972576</v>
      </c>
      <c r="E212" s="12">
        <v>25.65</v>
      </c>
      <c r="F212" s="12">
        <v>20</v>
      </c>
      <c r="G212" s="12">
        <v>25.65</v>
      </c>
      <c r="H212" s="12">
        <v>9.1049019607843089</v>
      </c>
      <c r="I212" s="12" t="s">
        <v>101</v>
      </c>
      <c r="J212" s="6">
        <v>46237</v>
      </c>
      <c r="K212">
        <v>46237</v>
      </c>
      <c r="L212">
        <v>2.1604432272589587</v>
      </c>
      <c r="M212">
        <v>2.1604432272589587</v>
      </c>
      <c r="N212">
        <v>0.76688591719427956</v>
      </c>
      <c r="O212">
        <v>0.46286798346871644</v>
      </c>
      <c r="P212">
        <v>0.46286798346871644</v>
      </c>
      <c r="Q212">
        <v>0.35496693804227325</v>
      </c>
      <c r="R212">
        <v>2.8171637773231413</v>
      </c>
      <c r="S212">
        <v>2.8171637773231413</v>
      </c>
      <c r="T212">
        <v>1.3039749167106744</v>
      </c>
    </row>
    <row r="213" spans="1:20" x14ac:dyDescent="0.25">
      <c r="A213" s="12" t="s">
        <v>63</v>
      </c>
      <c r="B213" s="12" t="s">
        <v>37</v>
      </c>
      <c r="C213" s="12" t="s">
        <v>14</v>
      </c>
      <c r="D213" s="12">
        <v>10.972274579690296</v>
      </c>
      <c r="E213" s="12">
        <v>4.75</v>
      </c>
      <c r="F213" s="12">
        <v>20</v>
      </c>
      <c r="G213" s="12">
        <v>4.75</v>
      </c>
      <c r="H213" s="12">
        <v>7.1745098039215671</v>
      </c>
      <c r="I213" s="12" t="s">
        <v>99</v>
      </c>
      <c r="J213" s="6">
        <v>46237</v>
      </c>
      <c r="K213">
        <v>46237</v>
      </c>
      <c r="L213">
        <v>0.4329093266397343</v>
      </c>
      <c r="M213">
        <v>0.4329093266397343</v>
      </c>
      <c r="N213">
        <v>0.65387625435491747</v>
      </c>
      <c r="O213">
        <v>2.3099525430926939</v>
      </c>
      <c r="P213">
        <v>2.3099525430926939</v>
      </c>
      <c r="Q213">
        <v>1.5104231166150668</v>
      </c>
      <c r="R213">
        <v>0.66206613828915017</v>
      </c>
      <c r="S213">
        <v>0.66206613828915017</v>
      </c>
      <c r="T213">
        <v>1.5293413598365817</v>
      </c>
    </row>
    <row r="214" spans="1:20" x14ac:dyDescent="0.25">
      <c r="A214" s="12" t="s">
        <v>63</v>
      </c>
      <c r="B214" s="12" t="s">
        <v>37</v>
      </c>
      <c r="C214" s="12" t="s">
        <v>15</v>
      </c>
      <c r="D214" s="12">
        <v>4.220105607573192</v>
      </c>
      <c r="E214" s="12">
        <v>3.8</v>
      </c>
      <c r="F214" s="12">
        <v>20</v>
      </c>
      <c r="G214" s="12">
        <v>3.8</v>
      </c>
      <c r="H214" s="12">
        <v>4.1764705882352935</v>
      </c>
      <c r="I214" s="12" t="s">
        <v>100</v>
      </c>
      <c r="J214" s="6">
        <v>46237</v>
      </c>
      <c r="K214">
        <v>46237</v>
      </c>
      <c r="L214">
        <v>0.90045139941064711</v>
      </c>
      <c r="M214">
        <v>0.90045139941064711</v>
      </c>
      <c r="N214">
        <v>0.98966020678259969</v>
      </c>
      <c r="O214">
        <v>1.1105541072561032</v>
      </c>
      <c r="P214">
        <v>1.1105541072561032</v>
      </c>
      <c r="Q214">
        <v>1.0990712074303404</v>
      </c>
      <c r="R214">
        <v>0.90985915492957758</v>
      </c>
      <c r="S214">
        <v>0.90985915492957758</v>
      </c>
      <c r="T214">
        <v>1.0104478215316095</v>
      </c>
    </row>
    <row r="215" spans="1:20" x14ac:dyDescent="0.25">
      <c r="A215" s="12" t="s">
        <v>63</v>
      </c>
      <c r="B215" s="12" t="s">
        <v>37</v>
      </c>
      <c r="C215" s="12" t="s">
        <v>14</v>
      </c>
      <c r="D215" s="12">
        <v>10.972274579690296</v>
      </c>
      <c r="E215" s="12">
        <v>5.6999999999999993</v>
      </c>
      <c r="F215" s="12">
        <v>20</v>
      </c>
      <c r="G215" s="12">
        <v>5.6999999999999993</v>
      </c>
      <c r="H215" s="12">
        <v>8.0426470588235297</v>
      </c>
      <c r="I215" s="12" t="s">
        <v>102</v>
      </c>
      <c r="J215" s="6">
        <v>46238</v>
      </c>
      <c r="K215">
        <v>46238</v>
      </c>
      <c r="L215">
        <v>0.51949119196768112</v>
      </c>
      <c r="M215">
        <v>0.51949119196768112</v>
      </c>
      <c r="N215">
        <v>0.73299724687080714</v>
      </c>
      <c r="O215">
        <v>1.9249604525772452</v>
      </c>
      <c r="P215">
        <v>1.9249604525772452</v>
      </c>
      <c r="Q215">
        <v>1.4109907120743037</v>
      </c>
      <c r="R215">
        <v>0.70872188699945138</v>
      </c>
      <c r="S215">
        <v>0.70872188699945138</v>
      </c>
      <c r="T215">
        <v>1.364261604349863</v>
      </c>
    </row>
    <row r="216" spans="1:20" x14ac:dyDescent="0.25">
      <c r="A216" s="12" t="s">
        <v>63</v>
      </c>
      <c r="B216" s="12" t="s">
        <v>37</v>
      </c>
      <c r="C216" s="12" t="s">
        <v>15</v>
      </c>
      <c r="D216" s="12">
        <v>4.220105607573192</v>
      </c>
      <c r="E216" s="12">
        <v>4.75</v>
      </c>
      <c r="F216" s="12">
        <v>20</v>
      </c>
      <c r="G216" s="12">
        <v>4.75</v>
      </c>
      <c r="H216" s="12">
        <v>4.1764705882352935</v>
      </c>
      <c r="I216" s="12" t="s">
        <v>103</v>
      </c>
      <c r="J216" s="6">
        <v>46238</v>
      </c>
      <c r="K216">
        <v>46238</v>
      </c>
      <c r="L216">
        <v>1.1255642492633089</v>
      </c>
      <c r="M216">
        <v>1.1255642492633089</v>
      </c>
      <c r="N216">
        <v>0.98966020678259969</v>
      </c>
      <c r="O216">
        <v>0.88844328580488252</v>
      </c>
      <c r="P216">
        <v>0.88844328580488252</v>
      </c>
      <c r="Q216">
        <v>0.87925696594427227</v>
      </c>
      <c r="R216">
        <v>1.137323943661972</v>
      </c>
      <c r="S216">
        <v>1.137323943661972</v>
      </c>
      <c r="T216">
        <v>1.0104478215316095</v>
      </c>
    </row>
    <row r="217" spans="1:20" x14ac:dyDescent="0.25">
      <c r="A217" s="12" t="s">
        <v>63</v>
      </c>
      <c r="B217" s="12" t="s">
        <v>37</v>
      </c>
      <c r="C217" s="12" t="s">
        <v>13</v>
      </c>
      <c r="D217" s="12">
        <v>13.026059308709248</v>
      </c>
      <c r="E217" s="12">
        <v>27.549999999999997</v>
      </c>
      <c r="F217" s="12">
        <v>20</v>
      </c>
      <c r="G217" s="12">
        <v>27.549999999999997</v>
      </c>
      <c r="H217" s="12">
        <v>9.4058823529411733</v>
      </c>
      <c r="I217" s="12" t="s">
        <v>104</v>
      </c>
      <c r="J217" s="6">
        <v>46238</v>
      </c>
      <c r="K217">
        <v>46238</v>
      </c>
      <c r="L217">
        <v>2.1149911379245765</v>
      </c>
      <c r="M217">
        <v>2.1149911379245765</v>
      </c>
      <c r="N217">
        <v>0.72208195356921046</v>
      </c>
      <c r="O217">
        <v>0.47281521991685116</v>
      </c>
      <c r="P217">
        <v>0.47281521991685116</v>
      </c>
      <c r="Q217">
        <v>0.34141133767481574</v>
      </c>
      <c r="R217">
        <v>2.9290181363352104</v>
      </c>
      <c r="S217">
        <v>2.9290181363352104</v>
      </c>
      <c r="T217">
        <v>1.3848843542717779</v>
      </c>
    </row>
    <row r="218" spans="1:20" x14ac:dyDescent="0.25">
      <c r="A218" s="12" t="s">
        <v>63</v>
      </c>
      <c r="B218" s="12" t="s">
        <v>37</v>
      </c>
      <c r="C218" s="12" t="s">
        <v>15</v>
      </c>
      <c r="D218" s="12">
        <v>4.220105607573192</v>
      </c>
      <c r="E218" s="12">
        <v>2.8499999999999996</v>
      </c>
      <c r="F218" s="12">
        <v>20</v>
      </c>
      <c r="G218" s="12">
        <v>2.8499999999999996</v>
      </c>
      <c r="H218" s="12">
        <v>2.4705882352941178</v>
      </c>
      <c r="I218" s="12" t="s">
        <v>106</v>
      </c>
      <c r="J218" s="6">
        <v>46239</v>
      </c>
      <c r="K218">
        <v>46239</v>
      </c>
      <c r="L218">
        <v>0.67533854955798522</v>
      </c>
      <c r="M218">
        <v>0.67533854955798522</v>
      </c>
      <c r="N218">
        <v>0.58543279837843931</v>
      </c>
      <c r="O218">
        <v>1.4807388096748044</v>
      </c>
      <c r="P218">
        <v>1.4807388096748044</v>
      </c>
      <c r="Q218">
        <v>0.86687306501548</v>
      </c>
      <c r="R218">
        <v>1.1535714285714285</v>
      </c>
      <c r="S218">
        <v>1.1535714285714285</v>
      </c>
      <c r="T218">
        <v>1.7081379840177204</v>
      </c>
    </row>
    <row r="219" spans="1:20" x14ac:dyDescent="0.25">
      <c r="A219" s="12" t="s">
        <v>63</v>
      </c>
      <c r="B219" s="12" t="s">
        <v>37</v>
      </c>
      <c r="C219" s="12" t="s">
        <v>13</v>
      </c>
      <c r="D219" s="12">
        <v>12.575914710568108</v>
      </c>
      <c r="E219" s="12">
        <v>8.5499999999999989</v>
      </c>
      <c r="F219" s="12">
        <v>20</v>
      </c>
      <c r="G219" s="12">
        <v>8.5499999999999989</v>
      </c>
      <c r="H219" s="12">
        <v>9.4058823529411679</v>
      </c>
      <c r="I219" s="12" t="s">
        <v>105</v>
      </c>
      <c r="J219" s="6">
        <v>46239</v>
      </c>
      <c r="K219">
        <v>46239</v>
      </c>
      <c r="L219">
        <v>0.67987102304495184</v>
      </c>
      <c r="M219">
        <v>0.67987102304495184</v>
      </c>
      <c r="N219">
        <v>0.74792828747772766</v>
      </c>
      <c r="O219">
        <v>1.4708672176103053</v>
      </c>
      <c r="P219">
        <v>1.4708672176103053</v>
      </c>
      <c r="Q219">
        <v>1.1001031991744057</v>
      </c>
      <c r="R219">
        <v>0.9090056285178244</v>
      </c>
      <c r="S219">
        <v>0.9090056285178244</v>
      </c>
      <c r="T219">
        <v>1.3370265796101191</v>
      </c>
    </row>
    <row r="220" spans="1:20" x14ac:dyDescent="0.25">
      <c r="A220" s="12" t="s">
        <v>63</v>
      </c>
      <c r="B220" s="12" t="s">
        <v>37</v>
      </c>
      <c r="C220" s="12" t="s">
        <v>14</v>
      </c>
      <c r="D220" s="12">
        <v>10.803470355387372</v>
      </c>
      <c r="E220" s="12">
        <v>5.6999999999999993</v>
      </c>
      <c r="F220" s="12">
        <v>20</v>
      </c>
      <c r="G220" s="12">
        <v>5.6999999999999993</v>
      </c>
      <c r="H220" s="12">
        <v>7.2926470588235279</v>
      </c>
      <c r="I220" s="12" t="s">
        <v>107</v>
      </c>
      <c r="J220" s="6">
        <v>46239</v>
      </c>
      <c r="K220">
        <v>46239</v>
      </c>
      <c r="L220">
        <v>0.52760824184217592</v>
      </c>
      <c r="M220">
        <v>0.52760824184217592</v>
      </c>
      <c r="N220">
        <v>0.67502819176866624</v>
      </c>
      <c r="O220">
        <v>1.8953456763837497</v>
      </c>
      <c r="P220">
        <v>1.8953456763837497</v>
      </c>
      <c r="Q220">
        <v>1.2794117647058822</v>
      </c>
      <c r="R220">
        <v>0.7816091954022989</v>
      </c>
      <c r="S220">
        <v>0.7816091954022989</v>
      </c>
      <c r="T220">
        <v>1.4814196091275287</v>
      </c>
    </row>
    <row r="221" spans="1:20" x14ac:dyDescent="0.25">
      <c r="A221" s="12" t="s">
        <v>63</v>
      </c>
      <c r="B221" s="12" t="s">
        <v>37</v>
      </c>
      <c r="C221" s="12" t="s">
        <v>13</v>
      </c>
      <c r="D221" s="12">
        <v>11.731893589053469</v>
      </c>
      <c r="E221" s="12">
        <v>15.2</v>
      </c>
      <c r="F221" s="12">
        <v>20</v>
      </c>
      <c r="G221" s="12">
        <v>15.2</v>
      </c>
      <c r="H221" s="12">
        <v>9.9284313725490154</v>
      </c>
      <c r="I221" s="12" t="s">
        <v>108</v>
      </c>
      <c r="J221" s="6">
        <v>46240</v>
      </c>
      <c r="K221">
        <v>46240</v>
      </c>
      <c r="L221">
        <v>1.2956135243318669</v>
      </c>
      <c r="M221">
        <v>1.2956135243318669</v>
      </c>
      <c r="N221">
        <v>0.84627697116284906</v>
      </c>
      <c r="O221">
        <v>0.77183510454299142</v>
      </c>
      <c r="P221">
        <v>0.77183510454299142</v>
      </c>
      <c r="Q221">
        <v>0.65318627450980371</v>
      </c>
      <c r="R221">
        <v>1.5309568480300193</v>
      </c>
      <c r="S221">
        <v>1.5309568480300193</v>
      </c>
      <c r="T221">
        <v>1.1816462388500586</v>
      </c>
    </row>
    <row r="222" spans="1:20" x14ac:dyDescent="0.25">
      <c r="A222" s="12" t="s">
        <v>63</v>
      </c>
      <c r="B222" s="12" t="s">
        <v>37</v>
      </c>
      <c r="C222" s="12" t="s">
        <v>15</v>
      </c>
      <c r="D222" s="12">
        <v>4.220105607573192</v>
      </c>
      <c r="E222" s="12">
        <v>2.8499999999999996</v>
      </c>
      <c r="F222" s="12">
        <v>20</v>
      </c>
      <c r="G222" s="12">
        <v>2.8499999999999996</v>
      </c>
      <c r="H222" s="12">
        <v>3.0882352941176467</v>
      </c>
      <c r="I222" s="12" t="s">
        <v>109</v>
      </c>
      <c r="J222" s="6">
        <v>46240</v>
      </c>
      <c r="K222">
        <v>46240</v>
      </c>
      <c r="L222">
        <v>0.67533854955798522</v>
      </c>
      <c r="M222">
        <v>0.67533854955798522</v>
      </c>
      <c r="N222">
        <v>0.73179099797304903</v>
      </c>
      <c r="O222">
        <v>1.4807388096748044</v>
      </c>
      <c r="P222">
        <v>1.4807388096748044</v>
      </c>
      <c r="Q222">
        <v>1.0835913312693499</v>
      </c>
      <c r="R222">
        <v>0.92285714285714282</v>
      </c>
      <c r="S222">
        <v>0.92285714285714282</v>
      </c>
      <c r="T222">
        <v>1.3665103872141766</v>
      </c>
    </row>
    <row r="223" spans="1:20" x14ac:dyDescent="0.25">
      <c r="A223" s="12" t="s">
        <v>63</v>
      </c>
      <c r="B223" s="12" t="s">
        <v>37</v>
      </c>
      <c r="C223" s="12" t="s">
        <v>14</v>
      </c>
      <c r="D223" s="12">
        <v>10.972274579690296</v>
      </c>
      <c r="E223" s="12">
        <v>4.75</v>
      </c>
      <c r="F223" s="12">
        <v>20</v>
      </c>
      <c r="G223" s="12">
        <v>4.75</v>
      </c>
      <c r="H223" s="12">
        <v>5.5862745098039195</v>
      </c>
      <c r="I223" s="12" t="s">
        <v>110</v>
      </c>
      <c r="J223" s="6">
        <v>46240</v>
      </c>
      <c r="K223">
        <v>46240</v>
      </c>
      <c r="L223">
        <v>0.4329093266397343</v>
      </c>
      <c r="M223">
        <v>0.4329093266397343</v>
      </c>
      <c r="N223">
        <v>0.50912638662398457</v>
      </c>
      <c r="O223">
        <v>2.3099525430926939</v>
      </c>
      <c r="P223">
        <v>2.3099525430926939</v>
      </c>
      <c r="Q223">
        <v>1.1760577915376673</v>
      </c>
      <c r="R223">
        <v>0.85029835029835066</v>
      </c>
      <c r="S223">
        <v>0.85029835029835066</v>
      </c>
      <c r="T223">
        <v>1.9641488366591973</v>
      </c>
    </row>
    <row r="224" spans="1:20" x14ac:dyDescent="0.25">
      <c r="A224" s="12" t="s">
        <v>63</v>
      </c>
      <c r="B224" s="12" t="s">
        <v>37</v>
      </c>
      <c r="C224" s="12" t="s">
        <v>14</v>
      </c>
      <c r="D224" s="12">
        <v>11.028542654457937</v>
      </c>
      <c r="E224" s="12">
        <v>5.6999999999999993</v>
      </c>
      <c r="F224" s="12">
        <v>20</v>
      </c>
      <c r="G224" s="12">
        <v>5.6999999999999993</v>
      </c>
      <c r="H224" s="12">
        <v>6.2779411764705886</v>
      </c>
      <c r="I224" s="12" t="s">
        <v>111</v>
      </c>
      <c r="J224" s="6">
        <v>46241</v>
      </c>
      <c r="K224">
        <v>46241</v>
      </c>
      <c r="L224">
        <v>0.51684072670254</v>
      </c>
      <c r="M224">
        <v>0.51684072670254</v>
      </c>
      <c r="N224">
        <v>0.56924485611278219</v>
      </c>
      <c r="O224">
        <v>1.9348320446417435</v>
      </c>
      <c r="P224">
        <v>1.9348320446417435</v>
      </c>
      <c r="Q224">
        <v>1.1013931888544894</v>
      </c>
      <c r="R224">
        <v>0.90794096978215022</v>
      </c>
      <c r="S224">
        <v>0.90794096978215022</v>
      </c>
      <c r="T224">
        <v>1.7567132829776051</v>
      </c>
    </row>
    <row r="225" spans="1:20" x14ac:dyDescent="0.25">
      <c r="A225" s="12" t="s">
        <v>63</v>
      </c>
      <c r="B225" s="12" t="s">
        <v>37</v>
      </c>
      <c r="C225" s="12" t="s">
        <v>13</v>
      </c>
      <c r="D225" s="12">
        <v>10.972274579690296</v>
      </c>
      <c r="E225" s="12">
        <v>8.5499999999999989</v>
      </c>
      <c r="F225" s="12">
        <v>20</v>
      </c>
      <c r="G225" s="12">
        <v>8.5499999999999989</v>
      </c>
      <c r="H225" s="12">
        <v>9.2588235294117602</v>
      </c>
      <c r="I225" s="12" t="s">
        <v>112</v>
      </c>
      <c r="J225" s="6">
        <v>46241</v>
      </c>
      <c r="K225">
        <v>46241</v>
      </c>
      <c r="L225">
        <v>0.77923678795152163</v>
      </c>
      <c r="M225">
        <v>0.77923678795152163</v>
      </c>
      <c r="N225">
        <v>0.84383811780921547</v>
      </c>
      <c r="O225">
        <v>1.2833069683848302</v>
      </c>
      <c r="P225">
        <v>1.2833069683848302</v>
      </c>
      <c r="Q225">
        <v>1.0829033367733054</v>
      </c>
      <c r="R225">
        <v>0.92344345616264323</v>
      </c>
      <c r="S225">
        <v>0.92344345616264323</v>
      </c>
      <c r="T225">
        <v>1.1850614222028915</v>
      </c>
    </row>
    <row r="226" spans="1:20" x14ac:dyDescent="0.25">
      <c r="A226" s="12" t="s">
        <v>63</v>
      </c>
      <c r="B226" s="12" t="s">
        <v>37</v>
      </c>
      <c r="C226" s="12" t="s">
        <v>15</v>
      </c>
      <c r="D226" s="12">
        <v>4.220105607573192</v>
      </c>
      <c r="E226" s="12">
        <v>3.8</v>
      </c>
      <c r="F226" s="12">
        <v>20</v>
      </c>
      <c r="G226" s="12">
        <v>3.8</v>
      </c>
      <c r="H226" s="12">
        <v>3.0882352941176467</v>
      </c>
      <c r="I226" s="12" t="s">
        <v>138</v>
      </c>
      <c r="J226" s="6">
        <v>46241</v>
      </c>
      <c r="K226">
        <v>46241</v>
      </c>
      <c r="L226">
        <v>0.90045139941064711</v>
      </c>
      <c r="M226">
        <v>0.90045139941064711</v>
      </c>
      <c r="N226">
        <v>0.73179099797304903</v>
      </c>
      <c r="O226">
        <v>1.1105541072561032</v>
      </c>
      <c r="P226">
        <v>1.1105541072561032</v>
      </c>
      <c r="Q226">
        <v>0.81269349845201233</v>
      </c>
      <c r="R226">
        <v>1.2304761904761905</v>
      </c>
      <c r="S226">
        <v>1.2304761904761905</v>
      </c>
      <c r="T226">
        <v>1.3665103872141766</v>
      </c>
    </row>
    <row r="227" spans="1:20" x14ac:dyDescent="0.25">
      <c r="A227" s="12" t="s">
        <v>63</v>
      </c>
      <c r="B227" s="12" t="s">
        <v>37</v>
      </c>
      <c r="C227" s="12" t="s">
        <v>14</v>
      </c>
      <c r="D227" s="12">
        <v>10.972274579690296</v>
      </c>
      <c r="E227" s="12">
        <v>6.6499999999999995</v>
      </c>
      <c r="F227" s="12">
        <v>20</v>
      </c>
      <c r="G227" s="12">
        <v>6.6499999999999995</v>
      </c>
      <c r="H227" s="12">
        <v>7.2926470588235297</v>
      </c>
      <c r="I227" s="12" t="s">
        <v>114</v>
      </c>
      <c r="J227" s="6">
        <v>46242</v>
      </c>
      <c r="K227">
        <v>46242</v>
      </c>
      <c r="L227">
        <v>0.60607305729562799</v>
      </c>
      <c r="M227">
        <v>0.60607305729562799</v>
      </c>
      <c r="N227">
        <v>0.66464314266453328</v>
      </c>
      <c r="O227">
        <v>1.6499661022090673</v>
      </c>
      <c r="P227">
        <v>1.6499661022090673</v>
      </c>
      <c r="Q227">
        <v>1.096638655462185</v>
      </c>
      <c r="R227">
        <v>0.91187739463601525</v>
      </c>
      <c r="S227">
        <v>0.91187739463601525</v>
      </c>
      <c r="T227">
        <v>1.5045667905201454</v>
      </c>
    </row>
    <row r="228" spans="1:20" x14ac:dyDescent="0.25">
      <c r="A228" s="12" t="s">
        <v>63</v>
      </c>
      <c r="B228" s="12" t="s">
        <v>37</v>
      </c>
      <c r="C228" s="12" t="s">
        <v>15</v>
      </c>
      <c r="D228" s="12">
        <v>4.220105607573192</v>
      </c>
      <c r="E228" s="12">
        <v>3.8</v>
      </c>
      <c r="F228" s="12">
        <v>20</v>
      </c>
      <c r="G228" s="12">
        <v>3.8</v>
      </c>
      <c r="H228" s="12">
        <v>4.1764705882352935</v>
      </c>
      <c r="I228" s="12" t="s">
        <v>113</v>
      </c>
      <c r="J228" s="6">
        <v>46242</v>
      </c>
      <c r="K228">
        <v>46242</v>
      </c>
      <c r="L228">
        <v>0.90045139941064711</v>
      </c>
      <c r="M228">
        <v>0.90045139941064711</v>
      </c>
      <c r="N228">
        <v>0.98966020678259969</v>
      </c>
      <c r="O228">
        <v>1.1105541072561032</v>
      </c>
      <c r="P228">
        <v>1.1105541072561032</v>
      </c>
      <c r="Q228">
        <v>1.0990712074303404</v>
      </c>
      <c r="R228">
        <v>0.90985915492957758</v>
      </c>
      <c r="S228">
        <v>0.90985915492957758</v>
      </c>
      <c r="T228">
        <v>1.0104478215316095</v>
      </c>
    </row>
    <row r="229" spans="1:20" x14ac:dyDescent="0.25">
      <c r="A229" s="12" t="s">
        <v>63</v>
      </c>
      <c r="B229" s="12" t="s">
        <v>37</v>
      </c>
      <c r="C229" s="12" t="s">
        <v>13</v>
      </c>
      <c r="D229" s="12">
        <v>11.028542654457937</v>
      </c>
      <c r="E229" s="12">
        <v>23.75</v>
      </c>
      <c r="F229" s="12">
        <v>20</v>
      </c>
      <c r="G229" s="12">
        <v>23.75</v>
      </c>
      <c r="H229" s="12">
        <v>9.258823529411762</v>
      </c>
      <c r="I229" s="12" t="s">
        <v>139</v>
      </c>
      <c r="J229" s="6">
        <v>46242</v>
      </c>
      <c r="K229">
        <v>46242</v>
      </c>
      <c r="L229">
        <v>2.15350302792725</v>
      </c>
      <c r="M229">
        <v>2.15350302792725</v>
      </c>
      <c r="N229">
        <v>0.83953282128978102</v>
      </c>
      <c r="O229">
        <v>0.46435969071401839</v>
      </c>
      <c r="P229">
        <v>0.46435969071401839</v>
      </c>
      <c r="Q229">
        <v>0.38984520123839</v>
      </c>
      <c r="R229">
        <v>2.5651207115628978</v>
      </c>
      <c r="S229">
        <v>2.5651207115628978</v>
      </c>
      <c r="T229">
        <v>1.1911386602654699</v>
      </c>
    </row>
    <row r="230" spans="1:20" x14ac:dyDescent="0.25">
      <c r="A230" s="12" t="s">
        <v>63</v>
      </c>
      <c r="B230" s="12" t="s">
        <v>37</v>
      </c>
      <c r="C230" s="12" t="s">
        <v>13</v>
      </c>
      <c r="D230" s="12">
        <v>10.972274579690296</v>
      </c>
      <c r="E230" s="12">
        <v>19.95</v>
      </c>
      <c r="F230" s="12">
        <v>20</v>
      </c>
      <c r="G230" s="12">
        <v>19.95</v>
      </c>
      <c r="H230" s="12">
        <v>8.582352941176465</v>
      </c>
      <c r="I230" s="12" t="s">
        <v>115</v>
      </c>
      <c r="J230" s="6">
        <v>46243</v>
      </c>
      <c r="K230">
        <v>46243</v>
      </c>
      <c r="L230">
        <v>1.8182191718868841</v>
      </c>
      <c r="M230">
        <v>1.8182191718868841</v>
      </c>
      <c r="N230">
        <v>0.78218539636826245</v>
      </c>
      <c r="O230">
        <v>0.54998870073635575</v>
      </c>
      <c r="P230">
        <v>0.54998870073635575</v>
      </c>
      <c r="Q230">
        <v>0.43019312988353209</v>
      </c>
      <c r="R230">
        <v>2.3245373543522976</v>
      </c>
      <c r="S230">
        <v>2.3245373543522976</v>
      </c>
      <c r="T230">
        <v>1.2784692793333459</v>
      </c>
    </row>
    <row r="231" spans="1:20" x14ac:dyDescent="0.25">
      <c r="A231" s="12" t="s">
        <v>63</v>
      </c>
      <c r="B231" s="12" t="s">
        <v>37</v>
      </c>
      <c r="C231" s="12" t="s">
        <v>15</v>
      </c>
      <c r="D231" s="12">
        <v>4.220105607573192</v>
      </c>
      <c r="E231" s="12">
        <v>4.75</v>
      </c>
      <c r="F231" s="12">
        <v>20</v>
      </c>
      <c r="G231" s="12">
        <v>4.75</v>
      </c>
      <c r="H231" s="12">
        <v>4.0588235294117636</v>
      </c>
      <c r="I231" s="12" t="s">
        <v>141</v>
      </c>
      <c r="J231" s="6">
        <v>46243</v>
      </c>
      <c r="K231">
        <v>46243</v>
      </c>
      <c r="L231">
        <v>1.1255642492633089</v>
      </c>
      <c r="M231">
        <v>1.1255642492633089</v>
      </c>
      <c r="N231">
        <v>0.96178245447886435</v>
      </c>
      <c r="O231">
        <v>0.88844328580488252</v>
      </c>
      <c r="P231">
        <v>0.88844328580488252</v>
      </c>
      <c r="Q231">
        <v>0.85448916408668707</v>
      </c>
      <c r="R231">
        <v>1.1702898550724641</v>
      </c>
      <c r="S231">
        <v>1.1702898550724641</v>
      </c>
      <c r="T231">
        <v>1.0397361641846998</v>
      </c>
    </row>
    <row r="232" spans="1:20" x14ac:dyDescent="0.25">
      <c r="A232" s="12" t="s">
        <v>63</v>
      </c>
      <c r="B232" s="12" t="s">
        <v>37</v>
      </c>
      <c r="C232" s="12" t="s">
        <v>14</v>
      </c>
      <c r="D232" s="12">
        <v>11.816295701204936</v>
      </c>
      <c r="E232" s="12">
        <v>6.6499999999999995</v>
      </c>
      <c r="F232" s="12">
        <v>20</v>
      </c>
      <c r="G232" s="12">
        <v>6.6499999999999995</v>
      </c>
      <c r="H232" s="12">
        <v>6.9838235294117634</v>
      </c>
      <c r="I232" s="12" t="s">
        <v>140</v>
      </c>
      <c r="J232" s="6">
        <v>46243</v>
      </c>
      <c r="K232">
        <v>46243</v>
      </c>
      <c r="L232">
        <v>0.56278212463165445</v>
      </c>
      <c r="M232">
        <v>0.56278212463165445</v>
      </c>
      <c r="N232">
        <v>0.59103323968945753</v>
      </c>
      <c r="O232">
        <v>1.776886571609765</v>
      </c>
      <c r="P232">
        <v>1.776886571609765</v>
      </c>
      <c r="Q232">
        <v>1.0501990269792125</v>
      </c>
      <c r="R232">
        <v>0.95220046325542229</v>
      </c>
      <c r="S232">
        <v>0.95220046325542229</v>
      </c>
      <c r="T232">
        <v>1.6919522166391574</v>
      </c>
    </row>
    <row r="233" spans="1:20" x14ac:dyDescent="0.25">
      <c r="A233" s="12" t="s">
        <v>63</v>
      </c>
      <c r="B233" s="12" t="s">
        <v>37</v>
      </c>
      <c r="C233" s="12" t="s">
        <v>15</v>
      </c>
      <c r="D233" s="12">
        <v>4.220105607573192</v>
      </c>
      <c r="E233" s="12">
        <v>4.75</v>
      </c>
      <c r="F233" s="12">
        <v>20</v>
      </c>
      <c r="G233" s="12">
        <v>4.75</v>
      </c>
      <c r="H233" s="12">
        <v>4.1764705882352935</v>
      </c>
      <c r="I233" s="12" t="s">
        <v>117</v>
      </c>
      <c r="J233" s="6">
        <v>46244</v>
      </c>
      <c r="K233">
        <v>46244</v>
      </c>
      <c r="L233">
        <v>1.1255642492633089</v>
      </c>
      <c r="M233">
        <v>1.1255642492633089</v>
      </c>
      <c r="N233">
        <v>0.98966020678259969</v>
      </c>
      <c r="O233">
        <v>0.88844328580488252</v>
      </c>
      <c r="P233">
        <v>0.88844328580488252</v>
      </c>
      <c r="Q233">
        <v>0.87925696594427227</v>
      </c>
      <c r="R233">
        <v>1.137323943661972</v>
      </c>
      <c r="S233">
        <v>1.137323943661972</v>
      </c>
      <c r="T233">
        <v>1.0104478215316095</v>
      </c>
    </row>
    <row r="234" spans="1:20" x14ac:dyDescent="0.25">
      <c r="A234" s="12" t="s">
        <v>63</v>
      </c>
      <c r="B234" s="12" t="s">
        <v>37</v>
      </c>
      <c r="C234" s="12" t="s">
        <v>14</v>
      </c>
      <c r="D234" s="12">
        <v>10.972274579690296</v>
      </c>
      <c r="E234" s="12">
        <v>6.6499999999999995</v>
      </c>
      <c r="F234" s="12">
        <v>20</v>
      </c>
      <c r="G234" s="12">
        <v>6.6499999999999995</v>
      </c>
      <c r="H234" s="12">
        <v>7.984313725490197</v>
      </c>
      <c r="I234" s="12" t="s">
        <v>116</v>
      </c>
      <c r="J234" s="6">
        <v>46244</v>
      </c>
      <c r="K234">
        <v>46244</v>
      </c>
      <c r="L234">
        <v>0.60607305729562799</v>
      </c>
      <c r="M234">
        <v>0.60607305729562799</v>
      </c>
      <c r="N234">
        <v>0.72768081654365258</v>
      </c>
      <c r="O234">
        <v>1.6499661022090673</v>
      </c>
      <c r="P234">
        <v>1.6499661022090673</v>
      </c>
      <c r="Q234">
        <v>1.2006486805248417</v>
      </c>
      <c r="R234">
        <v>0.83288310412573663</v>
      </c>
      <c r="S234">
        <v>0.83288310412573663</v>
      </c>
      <c r="T234">
        <v>1.3742288889101302</v>
      </c>
    </row>
    <row r="235" spans="1:20" x14ac:dyDescent="0.25">
      <c r="A235" s="12" t="s">
        <v>63</v>
      </c>
      <c r="B235" s="12" t="s">
        <v>37</v>
      </c>
      <c r="C235" s="12" t="s">
        <v>13</v>
      </c>
      <c r="D235" s="12">
        <v>11.872563775972576</v>
      </c>
      <c r="E235" s="12">
        <v>24.7</v>
      </c>
      <c r="F235" s="12">
        <v>20</v>
      </c>
      <c r="G235" s="12">
        <v>24.7</v>
      </c>
      <c r="H235" s="12">
        <v>8.5892156862745086</v>
      </c>
      <c r="I235" s="12" t="s">
        <v>142</v>
      </c>
      <c r="J235" s="6">
        <v>46244</v>
      </c>
      <c r="K235">
        <v>46244</v>
      </c>
      <c r="L235">
        <v>2.0804268114345525</v>
      </c>
      <c r="M235">
        <v>2.0804268114345525</v>
      </c>
      <c r="N235">
        <v>0.72345079364047449</v>
      </c>
      <c r="O235">
        <v>0.48067059821751323</v>
      </c>
      <c r="P235">
        <v>0.48067059821751323</v>
      </c>
      <c r="Q235">
        <v>0.34774152576010159</v>
      </c>
      <c r="R235">
        <v>2.8756991211048972</v>
      </c>
      <c r="S235">
        <v>2.8756991211048972</v>
      </c>
      <c r="T235">
        <v>1.3822640168350679</v>
      </c>
    </row>
    <row r="236" spans="1:20" x14ac:dyDescent="0.25">
      <c r="A236" s="12" t="s">
        <v>63</v>
      </c>
      <c r="B236" s="12" t="s">
        <v>37</v>
      </c>
      <c r="C236" s="12" t="s">
        <v>14</v>
      </c>
      <c r="D236" s="12">
        <v>10.972274579690296</v>
      </c>
      <c r="E236" s="12">
        <v>5.6999999999999993</v>
      </c>
      <c r="F236" s="12">
        <v>20</v>
      </c>
      <c r="G236" s="12">
        <v>5.6999999999999993</v>
      </c>
      <c r="H236" s="12">
        <v>6.4102941176470569</v>
      </c>
      <c r="I236" s="12" t="s">
        <v>119</v>
      </c>
      <c r="J236" s="6">
        <v>46245</v>
      </c>
      <c r="K236">
        <v>46245</v>
      </c>
      <c r="L236">
        <v>0.51949119196768112</v>
      </c>
      <c r="M236">
        <v>0.51949119196768112</v>
      </c>
      <c r="N236">
        <v>0.58422654948068153</v>
      </c>
      <c r="O236">
        <v>1.9249604525772452</v>
      </c>
      <c r="P236">
        <v>1.9249604525772452</v>
      </c>
      <c r="Q236">
        <v>1.1246130030959751</v>
      </c>
      <c r="R236">
        <v>0.88919476944253284</v>
      </c>
      <c r="S236">
        <v>0.88919476944253284</v>
      </c>
      <c r="T236">
        <v>1.7116647658154172</v>
      </c>
    </row>
    <row r="237" spans="1:20" x14ac:dyDescent="0.25">
      <c r="A237" s="12" t="s">
        <v>63</v>
      </c>
      <c r="B237" s="12" t="s">
        <v>37</v>
      </c>
      <c r="C237" s="12" t="s">
        <v>15</v>
      </c>
      <c r="D237" s="12">
        <v>4.220105607573192</v>
      </c>
      <c r="E237" s="12">
        <v>4.75</v>
      </c>
      <c r="F237" s="12">
        <v>20</v>
      </c>
      <c r="G237" s="12">
        <v>4.75</v>
      </c>
      <c r="H237" s="12">
        <v>4.0588235294117636</v>
      </c>
      <c r="I237" s="12" t="s">
        <v>120</v>
      </c>
      <c r="J237" s="6">
        <v>46245</v>
      </c>
      <c r="K237">
        <v>46245</v>
      </c>
      <c r="L237">
        <v>1.1255642492633089</v>
      </c>
      <c r="M237">
        <v>1.1255642492633089</v>
      </c>
      <c r="N237">
        <v>0.96178245447886435</v>
      </c>
      <c r="O237">
        <v>0.88844328580488252</v>
      </c>
      <c r="P237">
        <v>0.88844328580488252</v>
      </c>
      <c r="Q237">
        <v>0.85448916408668707</v>
      </c>
      <c r="R237">
        <v>1.1702898550724641</v>
      </c>
      <c r="S237">
        <v>1.1702898550724641</v>
      </c>
      <c r="T237">
        <v>1.0397361641846998</v>
      </c>
    </row>
    <row r="238" spans="1:20" x14ac:dyDescent="0.25">
      <c r="A238" s="12" t="s">
        <v>63</v>
      </c>
      <c r="B238" s="12" t="s">
        <v>37</v>
      </c>
      <c r="C238" s="12" t="s">
        <v>13</v>
      </c>
      <c r="D238" s="12">
        <v>11.731893589053469</v>
      </c>
      <c r="E238" s="12">
        <v>24.7</v>
      </c>
      <c r="F238" s="12">
        <v>20</v>
      </c>
      <c r="G238" s="12">
        <v>24.7</v>
      </c>
      <c r="H238" s="12">
        <v>9.4058823529411768</v>
      </c>
      <c r="I238" s="12" t="s">
        <v>118</v>
      </c>
      <c r="J238" s="6">
        <v>46245</v>
      </c>
      <c r="K238">
        <v>46245</v>
      </c>
      <c r="L238">
        <v>2.1053719770392836</v>
      </c>
      <c r="M238">
        <v>2.1053719770392836</v>
      </c>
      <c r="N238">
        <v>0.80173607794375201</v>
      </c>
      <c r="O238">
        <v>0.47497544894953314</v>
      </c>
      <c r="P238">
        <v>0.47497544894953314</v>
      </c>
      <c r="Q238">
        <v>0.38080495356037153</v>
      </c>
      <c r="R238">
        <v>2.6260162601626016</v>
      </c>
      <c r="S238">
        <v>2.6260162601626016</v>
      </c>
      <c r="T238">
        <v>1.2472932521195057</v>
      </c>
    </row>
    <row r="239" spans="1:20" x14ac:dyDescent="0.25">
      <c r="A239" s="12" t="s">
        <v>63</v>
      </c>
      <c r="B239" s="12" t="s">
        <v>37</v>
      </c>
      <c r="C239" s="12" t="s">
        <v>13</v>
      </c>
      <c r="D239" s="12">
        <v>12.575914710568108</v>
      </c>
      <c r="E239" s="12">
        <v>40.85</v>
      </c>
      <c r="F239" s="12">
        <v>20</v>
      </c>
      <c r="G239" s="12">
        <v>40.85</v>
      </c>
      <c r="H239" s="12">
        <v>7.8392156862745086</v>
      </c>
      <c r="I239" s="12" t="s">
        <v>121</v>
      </c>
      <c r="J239" s="6">
        <v>46246</v>
      </c>
      <c r="K239">
        <v>46246</v>
      </c>
      <c r="L239">
        <v>3.2482726656592149</v>
      </c>
      <c r="M239">
        <v>3.2482726656592149</v>
      </c>
      <c r="N239">
        <v>0.62335153081841932</v>
      </c>
      <c r="O239">
        <v>0.30785592926727312</v>
      </c>
      <c r="P239">
        <v>0.30785592926727312</v>
      </c>
      <c r="Q239">
        <v>0.19190246478028172</v>
      </c>
      <c r="R239">
        <v>5.2109804902451238</v>
      </c>
      <c r="S239">
        <v>5.2109804902451238</v>
      </c>
      <c r="T239">
        <v>1.6042312412180431</v>
      </c>
    </row>
    <row r="240" spans="1:20" x14ac:dyDescent="0.25">
      <c r="A240" s="12" t="s">
        <v>63</v>
      </c>
      <c r="B240" s="12" t="s">
        <v>37</v>
      </c>
      <c r="C240" s="12" t="s">
        <v>15</v>
      </c>
      <c r="D240" s="12">
        <v>4.220105607573192</v>
      </c>
      <c r="E240" s="12">
        <v>2.8499999999999996</v>
      </c>
      <c r="F240" s="12">
        <v>20</v>
      </c>
      <c r="G240" s="12">
        <v>2.8499999999999996</v>
      </c>
      <c r="H240" s="12">
        <v>3.0882352941176467</v>
      </c>
      <c r="I240" s="12" t="s">
        <v>122</v>
      </c>
      <c r="J240" s="6">
        <v>46246</v>
      </c>
      <c r="K240">
        <v>46246</v>
      </c>
      <c r="L240">
        <v>0.67533854955798522</v>
      </c>
      <c r="M240">
        <v>0.67533854955798522</v>
      </c>
      <c r="N240">
        <v>0.73179099797304903</v>
      </c>
      <c r="O240">
        <v>1.4807388096748044</v>
      </c>
      <c r="P240">
        <v>1.4807388096748044</v>
      </c>
      <c r="Q240">
        <v>1.0835913312693499</v>
      </c>
      <c r="R240">
        <v>0.92285714285714282</v>
      </c>
      <c r="S240">
        <v>0.92285714285714282</v>
      </c>
      <c r="T240">
        <v>1.3665103872141766</v>
      </c>
    </row>
    <row r="241" spans="1:20" x14ac:dyDescent="0.25">
      <c r="A241" s="12" t="s">
        <v>63</v>
      </c>
      <c r="B241" s="12" t="s">
        <v>37</v>
      </c>
      <c r="C241" s="12" t="s">
        <v>14</v>
      </c>
      <c r="D241" s="12">
        <v>10.80347035538737</v>
      </c>
      <c r="E241" s="12">
        <v>4.75</v>
      </c>
      <c r="F241" s="12">
        <v>20</v>
      </c>
      <c r="G241" s="12">
        <v>4.75</v>
      </c>
      <c r="H241" s="12">
        <v>5.4696078431372541</v>
      </c>
      <c r="I241" s="12" t="s">
        <v>123</v>
      </c>
      <c r="J241" s="6">
        <v>46246</v>
      </c>
      <c r="K241">
        <v>46246</v>
      </c>
      <c r="L241">
        <v>0.4396735348684801</v>
      </c>
      <c r="M241">
        <v>0.4396735348684801</v>
      </c>
      <c r="N241">
        <v>0.50628248731295156</v>
      </c>
      <c r="O241">
        <v>2.274414811660499</v>
      </c>
      <c r="P241">
        <v>2.274414811660499</v>
      </c>
      <c r="Q241">
        <v>1.1514963880288955</v>
      </c>
      <c r="R241">
        <v>0.86843520344147707</v>
      </c>
      <c r="S241">
        <v>0.86843520344147707</v>
      </c>
      <c r="T241">
        <v>1.9751818896746942</v>
      </c>
    </row>
    <row r="242" spans="1:20" x14ac:dyDescent="0.25">
      <c r="A242" s="12" t="s">
        <v>63</v>
      </c>
      <c r="B242" s="12" t="s">
        <v>37</v>
      </c>
      <c r="C242" s="12" t="s">
        <v>14</v>
      </c>
      <c r="D242" s="12">
        <v>10.972274579690296</v>
      </c>
      <c r="E242" s="12">
        <v>5.6999999999999993</v>
      </c>
      <c r="F242" s="12">
        <v>20</v>
      </c>
      <c r="G242" s="12">
        <v>5.6999999999999993</v>
      </c>
      <c r="H242" s="12">
        <v>6.4686274509803905</v>
      </c>
      <c r="I242" s="12" t="s">
        <v>124</v>
      </c>
      <c r="J242" s="6">
        <v>46247</v>
      </c>
      <c r="K242">
        <v>46247</v>
      </c>
      <c r="L242">
        <v>0.51949119196768112</v>
      </c>
      <c r="M242">
        <v>0.51949119196768112</v>
      </c>
      <c r="N242">
        <v>0.58954297980783621</v>
      </c>
      <c r="O242">
        <v>1.9249604525772452</v>
      </c>
      <c r="P242">
        <v>1.9249604525772452</v>
      </c>
      <c r="Q242">
        <v>1.1348469212246302</v>
      </c>
      <c r="R242">
        <v>0.88117611397393159</v>
      </c>
      <c r="S242">
        <v>0.88117611397393159</v>
      </c>
      <c r="T242">
        <v>1.6962291711555175</v>
      </c>
    </row>
    <row r="243" spans="1:20" x14ac:dyDescent="0.25">
      <c r="A243" s="12" t="s">
        <v>63</v>
      </c>
      <c r="B243" s="12" t="s">
        <v>37</v>
      </c>
      <c r="C243" s="12" t="s">
        <v>13</v>
      </c>
      <c r="D243" s="12">
        <v>10.887872467538832</v>
      </c>
      <c r="E243" s="12">
        <v>26.6</v>
      </c>
      <c r="F243" s="12">
        <v>20</v>
      </c>
      <c r="G243" s="12">
        <v>26.6</v>
      </c>
      <c r="H243" s="12">
        <v>10.075490196078428</v>
      </c>
      <c r="I243" s="12" t="s">
        <v>126</v>
      </c>
      <c r="J243" s="6">
        <v>46247</v>
      </c>
      <c r="K243">
        <v>46247</v>
      </c>
      <c r="L243">
        <v>2.4430851921994305</v>
      </c>
      <c r="M243">
        <v>2.4430851921994305</v>
      </c>
      <c r="N243">
        <v>0.92538650008232137</v>
      </c>
      <c r="O243">
        <v>0.40931851381724937</v>
      </c>
      <c r="P243">
        <v>0.40931851381724937</v>
      </c>
      <c r="Q243">
        <v>0.3787778269202417</v>
      </c>
      <c r="R243">
        <v>2.6400700593558435</v>
      </c>
      <c r="S243">
        <v>2.6400700593558435</v>
      </c>
      <c r="T243">
        <v>1.0806295530689514</v>
      </c>
    </row>
    <row r="244" spans="1:20" x14ac:dyDescent="0.25">
      <c r="A244" s="12" t="s">
        <v>63</v>
      </c>
      <c r="B244" s="12" t="s">
        <v>37</v>
      </c>
      <c r="C244" s="12" t="s">
        <v>15</v>
      </c>
      <c r="D244" s="12">
        <v>4.220105607573192</v>
      </c>
      <c r="E244" s="12">
        <v>3.8</v>
      </c>
      <c r="F244" s="12">
        <v>20</v>
      </c>
      <c r="G244" s="12">
        <v>3.8</v>
      </c>
      <c r="H244" s="12">
        <v>3.2058823529411757</v>
      </c>
      <c r="I244" s="12" t="s">
        <v>125</v>
      </c>
      <c r="J244" s="6">
        <v>46247</v>
      </c>
      <c r="K244">
        <v>46247</v>
      </c>
      <c r="L244">
        <v>0.90045139941064711</v>
      </c>
      <c r="M244">
        <v>0.90045139941064711</v>
      </c>
      <c r="N244">
        <v>0.75966875027678415</v>
      </c>
      <c r="O244">
        <v>1.1105541072561032</v>
      </c>
      <c r="P244">
        <v>1.1105541072561032</v>
      </c>
      <c r="Q244">
        <v>0.84365325077399367</v>
      </c>
      <c r="R244">
        <v>1.1853211009174314</v>
      </c>
      <c r="S244">
        <v>1.1853211009174314</v>
      </c>
      <c r="T244">
        <v>1.3163632170411794</v>
      </c>
    </row>
    <row r="245" spans="1:20" x14ac:dyDescent="0.25">
      <c r="A245" s="12" t="s">
        <v>63</v>
      </c>
      <c r="B245" s="12" t="s">
        <v>37</v>
      </c>
      <c r="C245" s="12" t="s">
        <v>14</v>
      </c>
      <c r="D245" s="12">
        <v>11.028542654457937</v>
      </c>
      <c r="E245" s="12">
        <v>6.6499999999999995</v>
      </c>
      <c r="F245" s="12">
        <v>20</v>
      </c>
      <c r="G245" s="12">
        <v>6.6499999999999995</v>
      </c>
      <c r="H245" s="12">
        <v>7.1602941176470605</v>
      </c>
      <c r="I245" s="12" t="s">
        <v>127</v>
      </c>
      <c r="J245" s="6">
        <v>46248</v>
      </c>
      <c r="K245">
        <v>46248</v>
      </c>
      <c r="L245">
        <v>0.60298084781963002</v>
      </c>
      <c r="M245">
        <v>0.60298084781963002</v>
      </c>
      <c r="N245">
        <v>0.64925116055589993</v>
      </c>
      <c r="O245">
        <v>1.6584274668357801</v>
      </c>
      <c r="P245">
        <v>1.6584274668357801</v>
      </c>
      <c r="Q245">
        <v>1.0767359575409114</v>
      </c>
      <c r="R245">
        <v>0.92873279934278052</v>
      </c>
      <c r="S245">
        <v>0.92873279934278052</v>
      </c>
      <c r="T245">
        <v>1.5402359837813504</v>
      </c>
    </row>
    <row r="246" spans="1:20" x14ac:dyDescent="0.25">
      <c r="A246" s="12" t="s">
        <v>63</v>
      </c>
      <c r="B246" s="12" t="s">
        <v>37</v>
      </c>
      <c r="C246" s="12" t="s">
        <v>15</v>
      </c>
      <c r="D246" s="12">
        <v>4.220105607573192</v>
      </c>
      <c r="E246" s="12">
        <v>3.8</v>
      </c>
      <c r="F246" s="12">
        <v>20</v>
      </c>
      <c r="G246" s="12">
        <v>3.8</v>
      </c>
      <c r="H246" s="12">
        <v>3.2058823529411757</v>
      </c>
      <c r="I246" s="12" t="s">
        <v>129</v>
      </c>
      <c r="J246" s="6">
        <v>46248</v>
      </c>
      <c r="K246">
        <v>46248</v>
      </c>
      <c r="L246">
        <v>0.90045139941064711</v>
      </c>
      <c r="M246">
        <v>0.90045139941064711</v>
      </c>
      <c r="N246">
        <v>0.75966875027678415</v>
      </c>
      <c r="O246">
        <v>1.1105541072561032</v>
      </c>
      <c r="P246">
        <v>1.1105541072561032</v>
      </c>
      <c r="Q246">
        <v>0.84365325077399367</v>
      </c>
      <c r="R246">
        <v>1.1853211009174314</v>
      </c>
      <c r="S246">
        <v>1.1853211009174314</v>
      </c>
      <c r="T246">
        <v>1.3163632170411794</v>
      </c>
    </row>
    <row r="247" spans="1:20" x14ac:dyDescent="0.25">
      <c r="A247" s="12" t="s">
        <v>63</v>
      </c>
      <c r="B247" s="12" t="s">
        <v>37</v>
      </c>
      <c r="C247" s="12" t="s">
        <v>13</v>
      </c>
      <c r="D247" s="12">
        <v>10.972274579690296</v>
      </c>
      <c r="E247" s="12">
        <v>23.75</v>
      </c>
      <c r="F247" s="12">
        <v>20</v>
      </c>
      <c r="G247" s="12">
        <v>23.75</v>
      </c>
      <c r="H247" s="12">
        <v>9.258823529411762</v>
      </c>
      <c r="I247" s="12" t="s">
        <v>128</v>
      </c>
      <c r="J247" s="6">
        <v>46248</v>
      </c>
      <c r="K247">
        <v>46248</v>
      </c>
      <c r="L247">
        <v>2.1645466331986714</v>
      </c>
      <c r="M247">
        <v>2.1645466331986714</v>
      </c>
      <c r="N247">
        <v>0.84383811780921558</v>
      </c>
      <c r="O247">
        <v>0.4619905086185388</v>
      </c>
      <c r="P247">
        <v>0.4619905086185388</v>
      </c>
      <c r="Q247">
        <v>0.38984520123839</v>
      </c>
      <c r="R247">
        <v>2.5651207115628978</v>
      </c>
      <c r="S247">
        <v>2.5651207115628978</v>
      </c>
      <c r="T247">
        <v>1.1850614222028912</v>
      </c>
    </row>
    <row r="248" spans="1:20" x14ac:dyDescent="0.25">
      <c r="A248" s="12" t="s">
        <v>63</v>
      </c>
      <c r="B248" s="12" t="s">
        <v>37</v>
      </c>
      <c r="C248" s="12" t="s">
        <v>14</v>
      </c>
      <c r="D248" s="12">
        <v>10.972274579690296</v>
      </c>
      <c r="E248" s="12">
        <v>6.6499999999999995</v>
      </c>
      <c r="F248" s="12">
        <v>20</v>
      </c>
      <c r="G248" s="12">
        <v>6.6499999999999995</v>
      </c>
      <c r="H248" s="12">
        <v>7.1014705882352924</v>
      </c>
      <c r="I248" s="12" t="s">
        <v>130</v>
      </c>
      <c r="J248" s="6">
        <v>46249</v>
      </c>
      <c r="K248">
        <v>46249</v>
      </c>
      <c r="L248">
        <v>0.60607305729562799</v>
      </c>
      <c r="M248">
        <v>0.60607305729562799</v>
      </c>
      <c r="N248">
        <v>0.64721954747469856</v>
      </c>
      <c r="O248">
        <v>1.6499661022090673</v>
      </c>
      <c r="P248">
        <v>1.6499661022090673</v>
      </c>
      <c r="Q248">
        <v>1.0678903140203448</v>
      </c>
      <c r="R248">
        <v>0.93642576102712793</v>
      </c>
      <c r="S248">
        <v>0.93642576102712793</v>
      </c>
      <c r="T248">
        <v>1.5450707629300897</v>
      </c>
    </row>
    <row r="249" spans="1:20" x14ac:dyDescent="0.25">
      <c r="A249" s="12" t="s">
        <v>63</v>
      </c>
      <c r="B249" s="12" t="s">
        <v>37</v>
      </c>
      <c r="C249" s="12" t="s">
        <v>15</v>
      </c>
      <c r="D249" s="12">
        <v>4.220105607573192</v>
      </c>
      <c r="E249" s="12">
        <v>2.8499999999999996</v>
      </c>
      <c r="F249" s="12">
        <v>20</v>
      </c>
      <c r="G249" s="12">
        <v>2.8499999999999996</v>
      </c>
      <c r="H249" s="12">
        <v>3.2647058823529398</v>
      </c>
      <c r="I249" s="12" t="s">
        <v>131</v>
      </c>
      <c r="J249" s="6">
        <v>46249</v>
      </c>
      <c r="K249">
        <v>46249</v>
      </c>
      <c r="L249">
        <v>0.67533854955798522</v>
      </c>
      <c r="M249">
        <v>0.67533854955798522</v>
      </c>
      <c r="N249">
        <v>0.77360762642865166</v>
      </c>
      <c r="O249">
        <v>1.4807388096748044</v>
      </c>
      <c r="P249">
        <v>1.4807388096748044</v>
      </c>
      <c r="Q249">
        <v>1.1455108359133124</v>
      </c>
      <c r="R249">
        <v>0.87297297297297327</v>
      </c>
      <c r="S249">
        <v>0.87297297297297327</v>
      </c>
      <c r="T249">
        <v>1.2926449608782755</v>
      </c>
    </row>
    <row r="250" spans="1:20" x14ac:dyDescent="0.25">
      <c r="A250" s="12" t="s">
        <v>63</v>
      </c>
      <c r="B250" s="12" t="s">
        <v>37</v>
      </c>
      <c r="C250" s="12" t="s">
        <v>13</v>
      </c>
      <c r="D250" s="12">
        <v>11.028542654457937</v>
      </c>
      <c r="E250" s="12">
        <v>27.549999999999997</v>
      </c>
      <c r="F250" s="12">
        <v>20</v>
      </c>
      <c r="G250" s="12">
        <v>27.549999999999997</v>
      </c>
      <c r="H250" s="12">
        <v>9.2588235294117602</v>
      </c>
      <c r="I250" s="12" t="s">
        <v>143</v>
      </c>
      <c r="J250" s="6">
        <v>46249</v>
      </c>
      <c r="K250">
        <v>46249</v>
      </c>
      <c r="L250">
        <v>2.4980635123956101</v>
      </c>
      <c r="M250">
        <v>2.4980635123956101</v>
      </c>
      <c r="N250">
        <v>0.83953282128978091</v>
      </c>
      <c r="O250">
        <v>0.40031007820174003</v>
      </c>
      <c r="P250">
        <v>0.40031007820174003</v>
      </c>
      <c r="Q250">
        <v>0.33607344934343963</v>
      </c>
      <c r="R250">
        <v>2.9755400254129616</v>
      </c>
      <c r="S250">
        <v>2.9755400254129616</v>
      </c>
      <c r="T250">
        <v>1.1911386602654703</v>
      </c>
    </row>
    <row r="251" spans="1:20" x14ac:dyDescent="0.25">
      <c r="A251" s="12" t="s">
        <v>63</v>
      </c>
      <c r="B251" s="12" t="s">
        <v>37</v>
      </c>
      <c r="C251" s="12" t="s">
        <v>13</v>
      </c>
      <c r="D251" s="12">
        <v>10.972274579690296</v>
      </c>
      <c r="E251" s="12">
        <v>34.199999999999996</v>
      </c>
      <c r="F251" s="12">
        <v>20</v>
      </c>
      <c r="G251" s="12">
        <v>34.199999999999996</v>
      </c>
      <c r="H251" s="12">
        <v>8.4421568627450938</v>
      </c>
      <c r="I251" s="12" t="s">
        <v>132</v>
      </c>
      <c r="J251" s="6">
        <v>46250</v>
      </c>
      <c r="K251">
        <v>46250</v>
      </c>
      <c r="L251">
        <v>3.1169471518060865</v>
      </c>
      <c r="M251">
        <v>3.1169471518060865</v>
      </c>
      <c r="N251">
        <v>0.76940809322905068</v>
      </c>
      <c r="O251">
        <v>0.32082674209620754</v>
      </c>
      <c r="P251">
        <v>0.32082674209620754</v>
      </c>
      <c r="Q251">
        <v>0.24684669189313144</v>
      </c>
      <c r="R251">
        <v>4.051097433515273</v>
      </c>
      <c r="S251">
        <v>4.051097433515273</v>
      </c>
      <c r="T251">
        <v>1.2997003915090126</v>
      </c>
    </row>
    <row r="252" spans="1:20" x14ac:dyDescent="0.25">
      <c r="A252" s="12" t="s">
        <v>63</v>
      </c>
      <c r="B252" s="12" t="s">
        <v>37</v>
      </c>
      <c r="C252" s="12" t="s">
        <v>15</v>
      </c>
      <c r="D252" s="12">
        <v>4.220105607573192</v>
      </c>
      <c r="E252" s="12">
        <v>4.75</v>
      </c>
      <c r="F252" s="12">
        <v>20</v>
      </c>
      <c r="G252" s="12">
        <v>4.75</v>
      </c>
      <c r="H252" s="12">
        <v>3.3235294117647056</v>
      </c>
      <c r="I252" s="12" t="s">
        <v>133</v>
      </c>
      <c r="J252" s="6">
        <v>46250</v>
      </c>
      <c r="K252">
        <v>46250</v>
      </c>
      <c r="L252">
        <v>1.1255642492633089</v>
      </c>
      <c r="M252">
        <v>1.1255642492633089</v>
      </c>
      <c r="N252">
        <v>0.7875465025805195</v>
      </c>
      <c r="O252">
        <v>0.88844328580488252</v>
      </c>
      <c r="P252">
        <v>0.88844328580488252</v>
      </c>
      <c r="Q252">
        <v>0.69969040247678016</v>
      </c>
      <c r="R252">
        <v>1.429203539823009</v>
      </c>
      <c r="S252">
        <v>1.429203539823009</v>
      </c>
      <c r="T252">
        <v>1.2697662890043233</v>
      </c>
    </row>
    <row r="253" spans="1:20" x14ac:dyDescent="0.25">
      <c r="A253" s="12" t="s">
        <v>63</v>
      </c>
      <c r="B253" s="12" t="s">
        <v>37</v>
      </c>
      <c r="C253" s="12" t="s">
        <v>14</v>
      </c>
      <c r="D253" s="12">
        <v>10.972274579690296</v>
      </c>
      <c r="E253" s="12">
        <v>6.6499999999999995</v>
      </c>
      <c r="F253" s="12">
        <v>20</v>
      </c>
      <c r="G253" s="12">
        <v>6.6499999999999995</v>
      </c>
      <c r="H253" s="12">
        <v>7.984313725490197</v>
      </c>
      <c r="I253" s="12" t="s">
        <v>144</v>
      </c>
      <c r="J253" s="6">
        <v>46250</v>
      </c>
      <c r="K253">
        <v>46250</v>
      </c>
      <c r="L253">
        <v>0.60607305729562799</v>
      </c>
      <c r="M253">
        <v>0.60607305729562799</v>
      </c>
      <c r="N253">
        <v>0.72768081654365258</v>
      </c>
      <c r="O253">
        <v>1.6499661022090673</v>
      </c>
      <c r="P253">
        <v>1.6499661022090673</v>
      </c>
      <c r="Q253">
        <v>1.2006486805248417</v>
      </c>
      <c r="R253">
        <v>0.83288310412573663</v>
      </c>
      <c r="S253">
        <v>0.83288310412573663</v>
      </c>
      <c r="T253">
        <v>1.3742288889101302</v>
      </c>
    </row>
    <row r="254" spans="1:20" x14ac:dyDescent="0.25">
      <c r="A254" s="12" t="s">
        <v>61</v>
      </c>
      <c r="B254" s="12" t="s">
        <v>60</v>
      </c>
      <c r="C254" s="12" t="s">
        <v>14</v>
      </c>
      <c r="D254" s="12">
        <v>3.1774912809962848</v>
      </c>
      <c r="E254" s="12">
        <v>2.8499999999999996</v>
      </c>
      <c r="F254" s="12">
        <v>20</v>
      </c>
      <c r="G254" s="12">
        <v>2.8499999999999996</v>
      </c>
      <c r="H254" s="12">
        <v>2.8131487889273359</v>
      </c>
      <c r="I254" s="12" t="s">
        <v>65</v>
      </c>
      <c r="J254" s="6">
        <v>46223</v>
      </c>
      <c r="K254">
        <v>46223</v>
      </c>
      <c r="L254">
        <v>0.89693401113169946</v>
      </c>
      <c r="M254">
        <v>0.89693401113169946</v>
      </c>
      <c r="N254">
        <v>0.88533643058346601</v>
      </c>
      <c r="O254">
        <v>1.1149092214022054</v>
      </c>
      <c r="P254">
        <v>1.1149092214022054</v>
      </c>
      <c r="Q254">
        <v>0.98706975050081969</v>
      </c>
      <c r="R254">
        <v>1.0130996309963098</v>
      </c>
      <c r="S254">
        <v>1.0130996309963098</v>
      </c>
      <c r="T254">
        <v>1.1295141207969572</v>
      </c>
    </row>
    <row r="255" spans="1:20" x14ac:dyDescent="0.25">
      <c r="A255" s="12" t="s">
        <v>61</v>
      </c>
      <c r="B255" s="12" t="s">
        <v>60</v>
      </c>
      <c r="C255" s="12" t="s">
        <v>13</v>
      </c>
      <c r="D255" s="12">
        <v>3.6011567851291222</v>
      </c>
      <c r="E255" s="12">
        <v>2.8499999999999996</v>
      </c>
      <c r="F255" s="12">
        <v>20</v>
      </c>
      <c r="G255" s="12">
        <v>2.8499999999999996</v>
      </c>
      <c r="H255" s="12">
        <v>2.823529411764707</v>
      </c>
      <c r="I255" s="12" t="s">
        <v>64</v>
      </c>
      <c r="J255" s="6">
        <v>46223</v>
      </c>
      <c r="K255">
        <v>46223</v>
      </c>
      <c r="L255">
        <v>0.79141236276326432</v>
      </c>
      <c r="M255">
        <v>0.79141236276326432</v>
      </c>
      <c r="N255">
        <v>0.78406178354255329</v>
      </c>
      <c r="O255">
        <v>1.2635637842558325</v>
      </c>
      <c r="P255">
        <v>1.2635637842558325</v>
      </c>
      <c r="Q255">
        <v>0.99071207430340602</v>
      </c>
      <c r="R255">
        <v>1.0093749999999995</v>
      </c>
      <c r="S255">
        <v>1.0093749999999995</v>
      </c>
      <c r="T255">
        <v>1.2754096947332303</v>
      </c>
    </row>
    <row r="256" spans="1:20" x14ac:dyDescent="0.25">
      <c r="A256" s="12" t="s">
        <v>61</v>
      </c>
      <c r="B256" s="12" t="s">
        <v>60</v>
      </c>
      <c r="C256" s="12" t="s">
        <v>15</v>
      </c>
      <c r="D256" s="12">
        <v>0</v>
      </c>
      <c r="E256" s="12">
        <v>10.45</v>
      </c>
      <c r="F256" s="12">
        <v>20</v>
      </c>
      <c r="G256" s="12">
        <v>10.45</v>
      </c>
      <c r="H256" s="12">
        <v>0</v>
      </c>
      <c r="I256" s="12" t="s">
        <v>134</v>
      </c>
      <c r="J256" s="6">
        <v>46223</v>
      </c>
      <c r="K256">
        <v>46223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</row>
    <row r="257" spans="1:20" x14ac:dyDescent="0.25">
      <c r="A257" s="12" t="s">
        <v>61</v>
      </c>
      <c r="B257" s="12" t="s">
        <v>60</v>
      </c>
      <c r="C257" s="12" t="s">
        <v>13</v>
      </c>
      <c r="D257" s="12">
        <v>3.6011567851291235</v>
      </c>
      <c r="E257" s="12">
        <v>2.8499999999999996</v>
      </c>
      <c r="F257" s="12">
        <v>20</v>
      </c>
      <c r="G257" s="12">
        <v>2.8499999999999996</v>
      </c>
      <c r="H257" s="12">
        <v>3.8807773109243682</v>
      </c>
      <c r="I257" s="12" t="s">
        <v>66</v>
      </c>
      <c r="J257" s="6">
        <v>46224</v>
      </c>
      <c r="K257">
        <v>46224</v>
      </c>
      <c r="L257">
        <v>0.7914123627632641</v>
      </c>
      <c r="M257">
        <v>0.7914123627632641</v>
      </c>
      <c r="N257">
        <v>1.0776474178935862</v>
      </c>
      <c r="O257">
        <v>1.2635637842558329</v>
      </c>
      <c r="P257">
        <v>1.2635637842558329</v>
      </c>
      <c r="Q257">
        <v>1.3616762494471468</v>
      </c>
      <c r="R257">
        <v>0.7343889565570445</v>
      </c>
      <c r="S257">
        <v>0.7343889565570445</v>
      </c>
      <c r="T257">
        <v>0.92794728906291157</v>
      </c>
    </row>
    <row r="258" spans="1:20" x14ac:dyDescent="0.25">
      <c r="A258" s="12" t="s">
        <v>61</v>
      </c>
      <c r="B258" s="12" t="s">
        <v>60</v>
      </c>
      <c r="C258" s="12" t="s">
        <v>14</v>
      </c>
      <c r="D258" s="12">
        <v>3.23044946901289</v>
      </c>
      <c r="E258" s="12">
        <v>0.95</v>
      </c>
      <c r="F258" s="12">
        <v>20</v>
      </c>
      <c r="G258" s="12">
        <v>0.95</v>
      </c>
      <c r="H258" s="12">
        <v>3.5239742956005928</v>
      </c>
      <c r="I258" s="12" t="s">
        <v>68</v>
      </c>
      <c r="J258" s="6">
        <v>46224</v>
      </c>
      <c r="K258">
        <v>46224</v>
      </c>
      <c r="L258">
        <v>0.2940767249612129</v>
      </c>
      <c r="M258">
        <v>0.2940767249612129</v>
      </c>
      <c r="N258">
        <v>1.0908619154712837</v>
      </c>
      <c r="O258">
        <v>3.4004731252767266</v>
      </c>
      <c r="P258">
        <v>3.4004731252767266</v>
      </c>
      <c r="Q258">
        <v>3.7094466269479924</v>
      </c>
      <c r="R258">
        <v>0.26958198905877406</v>
      </c>
      <c r="S258">
        <v>0.26958198905877406</v>
      </c>
      <c r="T258">
        <v>0.91670630885300564</v>
      </c>
    </row>
    <row r="259" spans="1:20" x14ac:dyDescent="0.25">
      <c r="A259" s="12" t="s">
        <v>61</v>
      </c>
      <c r="B259" s="12" t="s">
        <v>60</v>
      </c>
      <c r="C259" s="12" t="s">
        <v>15</v>
      </c>
      <c r="D259" s="12">
        <v>0</v>
      </c>
      <c r="E259" s="12">
        <v>11.4</v>
      </c>
      <c r="F259" s="12">
        <v>20</v>
      </c>
      <c r="G259" s="12">
        <v>11.4</v>
      </c>
      <c r="H259" s="12">
        <v>0</v>
      </c>
      <c r="I259" s="12" t="s">
        <v>67</v>
      </c>
      <c r="J259" s="6">
        <v>46224</v>
      </c>
      <c r="K259">
        <v>46224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</row>
    <row r="260" spans="1:20" x14ac:dyDescent="0.25">
      <c r="A260" s="12" t="s">
        <v>61</v>
      </c>
      <c r="B260" s="12" t="s">
        <v>60</v>
      </c>
      <c r="C260" s="12" t="s">
        <v>13</v>
      </c>
      <c r="D260" s="12">
        <v>3.6011567851291222</v>
      </c>
      <c r="E260" s="12">
        <v>0.95</v>
      </c>
      <c r="F260" s="12">
        <v>20</v>
      </c>
      <c r="G260" s="12">
        <v>0.95</v>
      </c>
      <c r="H260" s="12">
        <v>3.7647058823529398</v>
      </c>
      <c r="I260" s="12" t="s">
        <v>69</v>
      </c>
      <c r="J260" s="6">
        <v>46225</v>
      </c>
      <c r="K260">
        <v>46225</v>
      </c>
      <c r="L260">
        <v>0.26380412092108813</v>
      </c>
      <c r="M260">
        <v>0.26380412092108813</v>
      </c>
      <c r="N260">
        <v>1.0454157113900704</v>
      </c>
      <c r="O260">
        <v>3.7906913527674972</v>
      </c>
      <c r="P260">
        <v>3.7906913527674972</v>
      </c>
      <c r="Q260">
        <v>3.962848297213621</v>
      </c>
      <c r="R260">
        <v>0.25234375000000009</v>
      </c>
      <c r="S260">
        <v>0.25234375000000009</v>
      </c>
      <c r="T260">
        <v>0.95655727104992339</v>
      </c>
    </row>
    <row r="261" spans="1:20" x14ac:dyDescent="0.25">
      <c r="A261" s="12" t="s">
        <v>61</v>
      </c>
      <c r="B261" s="12" t="s">
        <v>60</v>
      </c>
      <c r="C261" s="12" t="s">
        <v>14</v>
      </c>
      <c r="D261" s="12">
        <v>3.1774912809962848</v>
      </c>
      <c r="E261" s="12">
        <v>2.8499999999999996</v>
      </c>
      <c r="F261" s="12">
        <v>20</v>
      </c>
      <c r="G261" s="12">
        <v>2.8499999999999996</v>
      </c>
      <c r="H261" s="12">
        <v>3.7508650519031144</v>
      </c>
      <c r="I261" s="12" t="s">
        <v>71</v>
      </c>
      <c r="J261" s="6">
        <v>46225</v>
      </c>
      <c r="K261">
        <v>46225</v>
      </c>
      <c r="L261">
        <v>0.89693401113169946</v>
      </c>
      <c r="M261">
        <v>0.89693401113169946</v>
      </c>
      <c r="N261">
        <v>1.180448574111288</v>
      </c>
      <c r="O261">
        <v>1.1149092214022054</v>
      </c>
      <c r="P261">
        <v>1.1149092214022054</v>
      </c>
      <c r="Q261">
        <v>1.3160930006677596</v>
      </c>
      <c r="R261">
        <v>0.75982472324723238</v>
      </c>
      <c r="S261">
        <v>0.75982472324723238</v>
      </c>
      <c r="T261">
        <v>0.84713559059771792</v>
      </c>
    </row>
    <row r="262" spans="1:20" x14ac:dyDescent="0.25">
      <c r="A262" s="12" t="s">
        <v>61</v>
      </c>
      <c r="B262" s="12" t="s">
        <v>60</v>
      </c>
      <c r="C262" s="12" t="s">
        <v>15</v>
      </c>
      <c r="D262" s="12">
        <v>0</v>
      </c>
      <c r="E262" s="12">
        <v>2.8499999999999996</v>
      </c>
      <c r="F262" s="12">
        <v>20</v>
      </c>
      <c r="G262" s="12">
        <v>2.8499999999999996</v>
      </c>
      <c r="H262" s="12">
        <v>0</v>
      </c>
      <c r="I262" s="12" t="s">
        <v>70</v>
      </c>
      <c r="J262" s="6">
        <v>46225</v>
      </c>
      <c r="K262">
        <v>46225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</row>
    <row r="263" spans="1:20" x14ac:dyDescent="0.25">
      <c r="A263" s="12" t="s">
        <v>61</v>
      </c>
      <c r="B263" s="12" t="s">
        <v>60</v>
      </c>
      <c r="C263" s="12" t="s">
        <v>14</v>
      </c>
      <c r="D263" s="12">
        <v>3.1774912809962856</v>
      </c>
      <c r="E263" s="12">
        <v>3.8</v>
      </c>
      <c r="F263" s="12">
        <v>20</v>
      </c>
      <c r="G263" s="12">
        <v>3.8</v>
      </c>
      <c r="H263" s="12">
        <v>3.7508650519031144</v>
      </c>
      <c r="I263" s="12" t="s">
        <v>72</v>
      </c>
      <c r="J263" s="6">
        <v>46226</v>
      </c>
      <c r="K263">
        <v>46226</v>
      </c>
      <c r="L263">
        <v>1.1959120148422657</v>
      </c>
      <c r="M263">
        <v>1.1959120148422657</v>
      </c>
      <c r="N263">
        <v>1.1804485741112878</v>
      </c>
      <c r="O263">
        <v>0.83618191605165415</v>
      </c>
      <c r="P263">
        <v>0.83618191605165415</v>
      </c>
      <c r="Q263">
        <v>0.98706975050081958</v>
      </c>
      <c r="R263">
        <v>1.0130996309963098</v>
      </c>
      <c r="S263">
        <v>1.0130996309963098</v>
      </c>
      <c r="T263">
        <v>0.84713559059771815</v>
      </c>
    </row>
    <row r="264" spans="1:20" x14ac:dyDescent="0.25">
      <c r="A264" s="12" t="s">
        <v>61</v>
      </c>
      <c r="B264" s="12" t="s">
        <v>60</v>
      </c>
      <c r="C264" s="12" t="s">
        <v>15</v>
      </c>
      <c r="D264" s="12">
        <v>0</v>
      </c>
      <c r="E264" s="12">
        <v>10.45</v>
      </c>
      <c r="F264" s="12">
        <v>20</v>
      </c>
      <c r="G264" s="12">
        <v>10.45</v>
      </c>
      <c r="H264" s="12">
        <v>0</v>
      </c>
      <c r="I264" s="12" t="s">
        <v>73</v>
      </c>
      <c r="J264" s="6">
        <v>46226</v>
      </c>
      <c r="K264">
        <v>46226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</row>
    <row r="265" spans="1:20" x14ac:dyDescent="0.25">
      <c r="A265" s="12" t="s">
        <v>61</v>
      </c>
      <c r="B265" s="12" t="s">
        <v>60</v>
      </c>
      <c r="C265" s="12" t="s">
        <v>13</v>
      </c>
      <c r="D265" s="12">
        <v>3.6011567851291222</v>
      </c>
      <c r="E265" s="12">
        <v>0.95</v>
      </c>
      <c r="F265" s="12">
        <v>20</v>
      </c>
      <c r="G265" s="12">
        <v>0.95</v>
      </c>
      <c r="H265" s="12">
        <v>3.7647058823529398</v>
      </c>
      <c r="I265" s="12" t="s">
        <v>74</v>
      </c>
      <c r="J265" s="6">
        <v>46226</v>
      </c>
      <c r="K265">
        <v>46226</v>
      </c>
      <c r="L265">
        <v>0.26380412092108813</v>
      </c>
      <c r="M265">
        <v>0.26380412092108813</v>
      </c>
      <c r="N265">
        <v>1.0454157113900704</v>
      </c>
      <c r="O265">
        <v>3.7906913527674972</v>
      </c>
      <c r="P265">
        <v>3.7906913527674972</v>
      </c>
      <c r="Q265">
        <v>3.962848297213621</v>
      </c>
      <c r="R265">
        <v>0.25234375000000009</v>
      </c>
      <c r="S265">
        <v>0.25234375000000009</v>
      </c>
      <c r="T265">
        <v>0.95655727104992339</v>
      </c>
    </row>
    <row r="266" spans="1:20" x14ac:dyDescent="0.25">
      <c r="A266" s="12" t="s">
        <v>61</v>
      </c>
      <c r="B266" s="12" t="s">
        <v>60</v>
      </c>
      <c r="C266" s="12" t="s">
        <v>14</v>
      </c>
      <c r="D266" s="12">
        <v>3.1774912809962848</v>
      </c>
      <c r="E266" s="12">
        <v>0.95</v>
      </c>
      <c r="F266" s="12">
        <v>20</v>
      </c>
      <c r="G266" s="12">
        <v>0.95</v>
      </c>
      <c r="H266" s="12">
        <v>2.8685121107266438</v>
      </c>
      <c r="I266" s="12" t="s">
        <v>58</v>
      </c>
      <c r="J266" s="6">
        <v>46227</v>
      </c>
      <c r="K266">
        <v>46227</v>
      </c>
      <c r="L266">
        <v>0.29897800371056649</v>
      </c>
      <c r="M266">
        <v>0.29897800371056649</v>
      </c>
      <c r="N266">
        <v>0.9027600257733005</v>
      </c>
      <c r="O266">
        <v>3.3447276642066157</v>
      </c>
      <c r="P266">
        <v>3.3447276642066157</v>
      </c>
      <c r="Q266">
        <v>3.0194864323438355</v>
      </c>
      <c r="R266">
        <v>0.33118214716525929</v>
      </c>
      <c r="S266">
        <v>0.33118214716525929</v>
      </c>
      <c r="T266">
        <v>1.1077140895149895</v>
      </c>
    </row>
    <row r="267" spans="1:20" x14ac:dyDescent="0.25">
      <c r="A267" s="12" t="s">
        <v>61</v>
      </c>
      <c r="B267" s="12" t="s">
        <v>60</v>
      </c>
      <c r="C267" s="12" t="s">
        <v>13</v>
      </c>
      <c r="D267" s="12">
        <v>3.6011567851291222</v>
      </c>
      <c r="E267" s="12">
        <v>2.8499999999999996</v>
      </c>
      <c r="F267" s="12">
        <v>20</v>
      </c>
      <c r="G267" s="12">
        <v>2.8499999999999996</v>
      </c>
      <c r="H267" s="12">
        <v>3.7647058823529393</v>
      </c>
      <c r="I267" s="12" t="s">
        <v>56</v>
      </c>
      <c r="J267" s="6">
        <v>46227</v>
      </c>
      <c r="K267">
        <v>46227</v>
      </c>
      <c r="L267">
        <v>0.79141236276326432</v>
      </c>
      <c r="M267">
        <v>0.79141236276326432</v>
      </c>
      <c r="N267">
        <v>1.0454157113900702</v>
      </c>
      <c r="O267">
        <v>1.2635637842558325</v>
      </c>
      <c r="P267">
        <v>1.2635637842558325</v>
      </c>
      <c r="Q267">
        <v>1.3209494324045403</v>
      </c>
      <c r="R267">
        <v>0.75703125000000027</v>
      </c>
      <c r="S267">
        <v>0.75703125000000027</v>
      </c>
      <c r="T267">
        <v>0.9565572710499235</v>
      </c>
    </row>
    <row r="268" spans="1:20" x14ac:dyDescent="0.25">
      <c r="A268" s="12" t="s">
        <v>61</v>
      </c>
      <c r="B268" s="12" t="s">
        <v>60</v>
      </c>
      <c r="C268" s="12" t="s">
        <v>15</v>
      </c>
      <c r="D268" s="12">
        <v>0</v>
      </c>
      <c r="E268" s="12">
        <v>0.95</v>
      </c>
      <c r="F268" s="12">
        <v>20</v>
      </c>
      <c r="G268" s="12">
        <v>0.95</v>
      </c>
      <c r="H268" s="12">
        <v>0</v>
      </c>
      <c r="I268" s="12" t="s">
        <v>57</v>
      </c>
      <c r="J268" s="6">
        <v>46227</v>
      </c>
      <c r="K268">
        <v>46227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</row>
    <row r="269" spans="1:20" x14ac:dyDescent="0.25">
      <c r="A269" s="12" t="s">
        <v>61</v>
      </c>
      <c r="B269" s="12" t="s">
        <v>60</v>
      </c>
      <c r="C269" s="12" t="s">
        <v>13</v>
      </c>
      <c r="D269" s="12">
        <v>3.6011567851291222</v>
      </c>
      <c r="E269" s="12">
        <v>6.6499999999999995</v>
      </c>
      <c r="F269" s="12">
        <v>20</v>
      </c>
      <c r="G269" s="12">
        <v>6.6499999999999995</v>
      </c>
      <c r="H269" s="12">
        <v>2.882352941176471</v>
      </c>
      <c r="I269" s="12" t="s">
        <v>135</v>
      </c>
      <c r="J269" s="6">
        <v>46228</v>
      </c>
      <c r="K269">
        <v>46228</v>
      </c>
      <c r="L269">
        <v>1.8466288464476168</v>
      </c>
      <c r="M269">
        <v>1.8466288464476168</v>
      </c>
      <c r="N269">
        <v>0.80039640403302303</v>
      </c>
      <c r="O269">
        <v>0.54152733610964243</v>
      </c>
      <c r="P269">
        <v>0.54152733610964243</v>
      </c>
      <c r="Q269">
        <v>0.43343653250774006</v>
      </c>
      <c r="R269">
        <v>2.3071428571428565</v>
      </c>
      <c r="S269">
        <v>2.3071428571428565</v>
      </c>
      <c r="T269">
        <v>1.2493809254529606</v>
      </c>
    </row>
    <row r="270" spans="1:20" x14ac:dyDescent="0.25">
      <c r="A270" s="12" t="s">
        <v>61</v>
      </c>
      <c r="B270" s="12" t="s">
        <v>60</v>
      </c>
      <c r="C270" s="12" t="s">
        <v>15</v>
      </c>
      <c r="D270" s="12">
        <v>0</v>
      </c>
      <c r="E270" s="12">
        <v>0.95</v>
      </c>
      <c r="F270" s="12">
        <v>20</v>
      </c>
      <c r="G270" s="12">
        <v>0.95</v>
      </c>
      <c r="H270" s="12">
        <v>0</v>
      </c>
      <c r="I270" s="12" t="s">
        <v>75</v>
      </c>
      <c r="J270" s="6">
        <v>46228</v>
      </c>
      <c r="K270">
        <v>46228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</row>
    <row r="271" spans="1:20" x14ac:dyDescent="0.25">
      <c r="A271" s="12" t="s">
        <v>61</v>
      </c>
      <c r="B271" s="12" t="s">
        <v>60</v>
      </c>
      <c r="C271" s="12" t="s">
        <v>14</v>
      </c>
      <c r="D271" s="12">
        <v>3.1774912809962856</v>
      </c>
      <c r="E271" s="12">
        <v>3.8</v>
      </c>
      <c r="F271" s="12">
        <v>20</v>
      </c>
      <c r="G271" s="12">
        <v>3.8</v>
      </c>
      <c r="H271" s="12">
        <v>3.6989619377162626</v>
      </c>
      <c r="I271" s="12" t="s">
        <v>76</v>
      </c>
      <c r="J271" s="6">
        <v>46228</v>
      </c>
      <c r="K271">
        <v>46228</v>
      </c>
      <c r="L271">
        <v>1.1959120148422657</v>
      </c>
      <c r="M271">
        <v>1.1959120148422657</v>
      </c>
      <c r="N271">
        <v>1.1641139536208176</v>
      </c>
      <c r="O271">
        <v>0.83618191605165415</v>
      </c>
      <c r="P271">
        <v>0.83618191605165415</v>
      </c>
      <c r="Q271">
        <v>0.9734110362411218</v>
      </c>
      <c r="R271">
        <v>1.0273152478952292</v>
      </c>
      <c r="S271">
        <v>1.0273152478952292</v>
      </c>
      <c r="T271">
        <v>0.85902243237411291</v>
      </c>
    </row>
    <row r="272" spans="1:20" x14ac:dyDescent="0.25">
      <c r="A272" s="12" t="s">
        <v>61</v>
      </c>
      <c r="B272" s="12" t="s">
        <v>60</v>
      </c>
      <c r="C272" s="12" t="s">
        <v>15</v>
      </c>
      <c r="D272" s="12">
        <v>0</v>
      </c>
      <c r="E272" s="12">
        <v>10.45</v>
      </c>
      <c r="F272" s="12">
        <v>20</v>
      </c>
      <c r="G272" s="12">
        <v>10.45</v>
      </c>
      <c r="H272" s="12">
        <v>0</v>
      </c>
      <c r="I272" s="12" t="s">
        <v>77</v>
      </c>
      <c r="J272" s="6">
        <v>46229</v>
      </c>
      <c r="K272">
        <v>46229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</row>
    <row r="273" spans="1:20" x14ac:dyDescent="0.25">
      <c r="A273" s="12" t="s">
        <v>61</v>
      </c>
      <c r="B273" s="12" t="s">
        <v>60</v>
      </c>
      <c r="C273" s="12" t="s">
        <v>14</v>
      </c>
      <c r="D273" s="12">
        <v>3.1774912809962848</v>
      </c>
      <c r="E273" s="12">
        <v>0</v>
      </c>
      <c r="F273" s="12">
        <v>20</v>
      </c>
      <c r="G273" s="12">
        <v>0</v>
      </c>
      <c r="H273" s="12">
        <v>3.7543252595155705</v>
      </c>
      <c r="I273" s="12" t="s">
        <v>79</v>
      </c>
      <c r="J273" s="6">
        <v>46229</v>
      </c>
      <c r="K273">
        <v>46229</v>
      </c>
      <c r="L273">
        <v>0</v>
      </c>
      <c r="M273">
        <v>0</v>
      </c>
      <c r="N273">
        <v>1.1815375488106525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0.84635482046813493</v>
      </c>
    </row>
    <row r="274" spans="1:20" x14ac:dyDescent="0.25">
      <c r="A274" s="12" t="s">
        <v>61</v>
      </c>
      <c r="B274" s="12" t="s">
        <v>60</v>
      </c>
      <c r="C274" s="12" t="s">
        <v>13</v>
      </c>
      <c r="D274" s="12">
        <v>3.6011567851291222</v>
      </c>
      <c r="E274" s="12">
        <v>2.8499999999999996</v>
      </c>
      <c r="F274" s="12">
        <v>20</v>
      </c>
      <c r="G274" s="12">
        <v>2.8499999999999996</v>
      </c>
      <c r="H274" s="12">
        <v>3.8235294117647038</v>
      </c>
      <c r="I274" s="12" t="s">
        <v>78</v>
      </c>
      <c r="J274" s="6">
        <v>46229</v>
      </c>
      <c r="K274">
        <v>46229</v>
      </c>
      <c r="L274">
        <v>0.79141236276326432</v>
      </c>
      <c r="M274">
        <v>0.79141236276326432</v>
      </c>
      <c r="N274">
        <v>1.0617503318805399</v>
      </c>
      <c r="O274">
        <v>1.2635637842558325</v>
      </c>
      <c r="P274">
        <v>1.2635637842558325</v>
      </c>
      <c r="Q274">
        <v>1.3415892672858611</v>
      </c>
      <c r="R274">
        <v>0.74538461538461565</v>
      </c>
      <c r="S274">
        <v>0.74538461538461565</v>
      </c>
      <c r="T274">
        <v>0.9418410053414632</v>
      </c>
    </row>
    <row r="275" spans="1:20" x14ac:dyDescent="0.25">
      <c r="A275" s="12" t="s">
        <v>61</v>
      </c>
      <c r="B275" s="12" t="s">
        <v>60</v>
      </c>
      <c r="C275" s="12" t="s">
        <v>13</v>
      </c>
      <c r="D275" s="12">
        <v>3.6011567851291222</v>
      </c>
      <c r="E275" s="12">
        <v>0.95</v>
      </c>
      <c r="F275" s="12">
        <v>20</v>
      </c>
      <c r="G275" s="12">
        <v>0.95</v>
      </c>
      <c r="H275" s="12">
        <v>4.705882352941174</v>
      </c>
      <c r="I275" s="12" t="s">
        <v>82</v>
      </c>
      <c r="J275" s="6">
        <v>46230</v>
      </c>
      <c r="K275">
        <v>46230</v>
      </c>
      <c r="L275">
        <v>0.26380412092108813</v>
      </c>
      <c r="M275">
        <v>0.26380412092108813</v>
      </c>
      <c r="N275">
        <v>1.3067696392375876</v>
      </c>
      <c r="O275">
        <v>3.7906913527674972</v>
      </c>
      <c r="P275">
        <v>3.7906913527674972</v>
      </c>
      <c r="Q275">
        <v>4.9535603715170256</v>
      </c>
      <c r="R275">
        <v>0.20187500000000011</v>
      </c>
      <c r="S275">
        <v>0.20187500000000011</v>
      </c>
      <c r="T275">
        <v>0.76524581683993886</v>
      </c>
    </row>
    <row r="276" spans="1:20" x14ac:dyDescent="0.25">
      <c r="A276" s="12" t="s">
        <v>61</v>
      </c>
      <c r="B276" s="12" t="s">
        <v>60</v>
      </c>
      <c r="C276" s="12" t="s">
        <v>14</v>
      </c>
      <c r="D276" s="12">
        <v>3.1774912809962848</v>
      </c>
      <c r="E276" s="12">
        <v>2.8499999999999996</v>
      </c>
      <c r="F276" s="12">
        <v>20</v>
      </c>
      <c r="G276" s="12">
        <v>2.8499999999999996</v>
      </c>
      <c r="H276" s="12">
        <v>3.8062283737024223</v>
      </c>
      <c r="I276" s="12" t="s">
        <v>80</v>
      </c>
      <c r="J276" s="6">
        <v>46230</v>
      </c>
      <c r="K276">
        <v>46230</v>
      </c>
      <c r="L276">
        <v>0.89693401113169946</v>
      </c>
      <c r="M276">
        <v>0.89693401113169946</v>
      </c>
      <c r="N276">
        <v>1.1978721693011225</v>
      </c>
      <c r="O276">
        <v>1.1149092214022054</v>
      </c>
      <c r="P276">
        <v>1.1149092214022054</v>
      </c>
      <c r="Q276">
        <v>1.3355187276148852</v>
      </c>
      <c r="R276">
        <v>0.74877272727272715</v>
      </c>
      <c r="S276">
        <v>0.74877272727272715</v>
      </c>
      <c r="T276">
        <v>0.834813618370842</v>
      </c>
    </row>
    <row r="277" spans="1:20" x14ac:dyDescent="0.25">
      <c r="A277" s="12" t="s">
        <v>61</v>
      </c>
      <c r="B277" s="12" t="s">
        <v>60</v>
      </c>
      <c r="C277" s="12" t="s">
        <v>15</v>
      </c>
      <c r="D277" s="12">
        <v>0</v>
      </c>
      <c r="E277" s="12">
        <v>1.9</v>
      </c>
      <c r="F277" s="12">
        <v>20</v>
      </c>
      <c r="G277" s="12">
        <v>1.9</v>
      </c>
      <c r="H277" s="12">
        <v>0</v>
      </c>
      <c r="I277" s="12" t="s">
        <v>81</v>
      </c>
      <c r="J277" s="6">
        <v>46230</v>
      </c>
      <c r="K277">
        <v>46230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</row>
    <row r="278" spans="1:20" x14ac:dyDescent="0.25">
      <c r="A278" s="12" t="s">
        <v>61</v>
      </c>
      <c r="B278" s="12" t="s">
        <v>60</v>
      </c>
      <c r="C278" s="12" t="s">
        <v>14</v>
      </c>
      <c r="D278" s="12">
        <v>3.1774912809962848</v>
      </c>
      <c r="E278" s="12">
        <v>2.8499999999999996</v>
      </c>
      <c r="F278" s="12">
        <v>20</v>
      </c>
      <c r="G278" s="12">
        <v>2.8499999999999996</v>
      </c>
      <c r="H278" s="12">
        <v>3.8062283737024223</v>
      </c>
      <c r="I278" s="12" t="s">
        <v>84</v>
      </c>
      <c r="J278" s="6">
        <v>46231</v>
      </c>
      <c r="K278">
        <v>46231</v>
      </c>
      <c r="L278">
        <v>0.89693401113169946</v>
      </c>
      <c r="M278">
        <v>0.89693401113169946</v>
      </c>
      <c r="N278">
        <v>1.1978721693011225</v>
      </c>
      <c r="O278">
        <v>1.1149092214022054</v>
      </c>
      <c r="P278">
        <v>1.1149092214022054</v>
      </c>
      <c r="Q278">
        <v>1.3355187276148852</v>
      </c>
      <c r="R278">
        <v>0.74877272727272715</v>
      </c>
      <c r="S278">
        <v>0.74877272727272715</v>
      </c>
      <c r="T278">
        <v>0.834813618370842</v>
      </c>
    </row>
    <row r="279" spans="1:20" x14ac:dyDescent="0.25">
      <c r="A279" s="12" t="s">
        <v>61</v>
      </c>
      <c r="B279" s="12" t="s">
        <v>60</v>
      </c>
      <c r="C279" s="12" t="s">
        <v>13</v>
      </c>
      <c r="D279" s="12">
        <v>3.6011567851291222</v>
      </c>
      <c r="E279" s="12">
        <v>1.9</v>
      </c>
      <c r="F279" s="12">
        <v>20</v>
      </c>
      <c r="G279" s="12">
        <v>1.9</v>
      </c>
      <c r="H279" s="12">
        <v>4.7058823529411731</v>
      </c>
      <c r="I279" s="12" t="s">
        <v>83</v>
      </c>
      <c r="J279" s="6">
        <v>46231</v>
      </c>
      <c r="K279">
        <v>46231</v>
      </c>
      <c r="L279">
        <v>0.52760824184217625</v>
      </c>
      <c r="M279">
        <v>0.52760824184217625</v>
      </c>
      <c r="N279">
        <v>1.3067696392375874</v>
      </c>
      <c r="O279">
        <v>1.8953456763837486</v>
      </c>
      <c r="P279">
        <v>1.8953456763837486</v>
      </c>
      <c r="Q279">
        <v>2.4767801857585123</v>
      </c>
      <c r="R279">
        <v>0.40375000000000028</v>
      </c>
      <c r="S279">
        <v>0.40375000000000028</v>
      </c>
      <c r="T279">
        <v>0.76524581683993897</v>
      </c>
    </row>
    <row r="280" spans="1:20" x14ac:dyDescent="0.25">
      <c r="A280" s="12" t="s">
        <v>61</v>
      </c>
      <c r="B280" s="12" t="s">
        <v>60</v>
      </c>
      <c r="C280" s="12" t="s">
        <v>15</v>
      </c>
      <c r="D280" s="12">
        <v>0</v>
      </c>
      <c r="E280" s="12">
        <v>10.45</v>
      </c>
      <c r="F280" s="12">
        <v>20</v>
      </c>
      <c r="G280" s="12">
        <v>10.45</v>
      </c>
      <c r="H280" s="12">
        <v>0</v>
      </c>
      <c r="I280" s="12" t="s">
        <v>136</v>
      </c>
      <c r="J280" s="6">
        <v>46231</v>
      </c>
      <c r="K280">
        <v>46231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</row>
    <row r="281" spans="1:20" x14ac:dyDescent="0.25">
      <c r="A281" s="12" t="s">
        <v>61</v>
      </c>
      <c r="B281" s="12" t="s">
        <v>60</v>
      </c>
      <c r="C281" s="12" t="s">
        <v>15</v>
      </c>
      <c r="D281" s="12">
        <v>0</v>
      </c>
      <c r="E281" s="12">
        <v>12.35</v>
      </c>
      <c r="F281" s="12">
        <v>20</v>
      </c>
      <c r="G281" s="12">
        <v>12.35</v>
      </c>
      <c r="H281" s="12">
        <v>0</v>
      </c>
      <c r="I281" s="12" t="s">
        <v>87</v>
      </c>
      <c r="J281" s="6">
        <v>46232</v>
      </c>
      <c r="K281">
        <v>46232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</row>
    <row r="282" spans="1:20" x14ac:dyDescent="0.25">
      <c r="A282" s="12" t="s">
        <v>61</v>
      </c>
      <c r="B282" s="12" t="s">
        <v>60</v>
      </c>
      <c r="C282" s="12" t="s">
        <v>14</v>
      </c>
      <c r="D282" s="12">
        <v>3.1774912809962848</v>
      </c>
      <c r="E282" s="12">
        <v>1.9</v>
      </c>
      <c r="F282" s="12">
        <v>20</v>
      </c>
      <c r="G282" s="12">
        <v>1.9</v>
      </c>
      <c r="H282" s="12">
        <v>3.7508650519031144</v>
      </c>
      <c r="I282" s="12" t="s">
        <v>85</v>
      </c>
      <c r="J282" s="6">
        <v>46232</v>
      </c>
      <c r="K282">
        <v>46232</v>
      </c>
      <c r="L282">
        <v>0.59795600742113297</v>
      </c>
      <c r="M282">
        <v>0.59795600742113297</v>
      </c>
      <c r="N282">
        <v>1.180448574111288</v>
      </c>
      <c r="O282">
        <v>1.6723638321033079</v>
      </c>
      <c r="P282">
        <v>1.6723638321033079</v>
      </c>
      <c r="Q282">
        <v>1.9741395010016392</v>
      </c>
      <c r="R282">
        <v>0.50654981549815492</v>
      </c>
      <c r="S282">
        <v>0.50654981549815492</v>
      </c>
      <c r="T282">
        <v>0.84713559059771792</v>
      </c>
    </row>
    <row r="283" spans="1:20" x14ac:dyDescent="0.25">
      <c r="A283" s="12" t="s">
        <v>61</v>
      </c>
      <c r="B283" s="12" t="s">
        <v>60</v>
      </c>
      <c r="C283" s="12" t="s">
        <v>13</v>
      </c>
      <c r="D283" s="12">
        <v>3.6011567851291235</v>
      </c>
      <c r="E283" s="12">
        <v>1.9</v>
      </c>
      <c r="F283" s="12">
        <v>20</v>
      </c>
      <c r="G283" s="12">
        <v>1.9</v>
      </c>
      <c r="H283" s="12">
        <v>3.7647058823529393</v>
      </c>
      <c r="I283" s="12" t="s">
        <v>86</v>
      </c>
      <c r="J283" s="6">
        <v>46232</v>
      </c>
      <c r="K283">
        <v>46232</v>
      </c>
      <c r="L283">
        <v>0.52760824184217603</v>
      </c>
      <c r="M283">
        <v>0.52760824184217603</v>
      </c>
      <c r="N283">
        <v>1.0454157113900697</v>
      </c>
      <c r="O283">
        <v>1.8953456763837493</v>
      </c>
      <c r="P283">
        <v>1.8953456763837493</v>
      </c>
      <c r="Q283">
        <v>1.9814241486068103</v>
      </c>
      <c r="R283">
        <v>0.50468750000000018</v>
      </c>
      <c r="S283">
        <v>0.50468750000000018</v>
      </c>
      <c r="T283">
        <v>0.95655727104992394</v>
      </c>
    </row>
    <row r="284" spans="1:20" x14ac:dyDescent="0.25">
      <c r="A284" s="12" t="s">
        <v>61</v>
      </c>
      <c r="B284" s="12" t="s">
        <v>60</v>
      </c>
      <c r="C284" s="12" t="s">
        <v>14</v>
      </c>
      <c r="D284" s="12">
        <v>3.1774912809962848</v>
      </c>
      <c r="E284" s="12">
        <v>2.8499999999999996</v>
      </c>
      <c r="F284" s="12">
        <v>20</v>
      </c>
      <c r="G284" s="12">
        <v>2.8499999999999996</v>
      </c>
      <c r="H284" s="12">
        <v>3.8062283737024223</v>
      </c>
      <c r="I284" s="12" t="s">
        <v>88</v>
      </c>
      <c r="J284" s="6">
        <v>46233</v>
      </c>
      <c r="K284">
        <v>46233</v>
      </c>
      <c r="L284">
        <v>0.89693401113169946</v>
      </c>
      <c r="M284">
        <v>0.89693401113169946</v>
      </c>
      <c r="N284">
        <v>1.1978721693011225</v>
      </c>
      <c r="O284">
        <v>1.1149092214022054</v>
      </c>
      <c r="P284">
        <v>1.1149092214022054</v>
      </c>
      <c r="Q284">
        <v>1.3355187276148852</v>
      </c>
      <c r="R284">
        <v>0.74877272727272715</v>
      </c>
      <c r="S284">
        <v>0.74877272727272715</v>
      </c>
      <c r="T284">
        <v>0.834813618370842</v>
      </c>
    </row>
    <row r="285" spans="1:20" x14ac:dyDescent="0.25">
      <c r="A285" s="12" t="s">
        <v>61</v>
      </c>
      <c r="B285" s="12" t="s">
        <v>60</v>
      </c>
      <c r="C285" s="12" t="s">
        <v>13</v>
      </c>
      <c r="D285" s="12">
        <v>3.6011567851291222</v>
      </c>
      <c r="E285" s="12">
        <v>0.95</v>
      </c>
      <c r="F285" s="12">
        <v>20</v>
      </c>
      <c r="G285" s="12">
        <v>0.95</v>
      </c>
      <c r="H285" s="12">
        <v>4.7058823529411749</v>
      </c>
      <c r="I285" s="12" t="s">
        <v>90</v>
      </c>
      <c r="J285" s="6">
        <v>46233</v>
      </c>
      <c r="K285">
        <v>46233</v>
      </c>
      <c r="L285">
        <v>0.26380412092108813</v>
      </c>
      <c r="M285">
        <v>0.26380412092108813</v>
      </c>
      <c r="N285">
        <v>1.3067696392375878</v>
      </c>
      <c r="O285">
        <v>3.7906913527674972</v>
      </c>
      <c r="P285">
        <v>3.7906913527674972</v>
      </c>
      <c r="Q285">
        <v>4.9535603715170264</v>
      </c>
      <c r="R285">
        <v>0.20187500000000005</v>
      </c>
      <c r="S285">
        <v>0.20187500000000005</v>
      </c>
      <c r="T285">
        <v>0.76524581683993875</v>
      </c>
    </row>
    <row r="286" spans="1:20" x14ac:dyDescent="0.25">
      <c r="A286" s="12" t="s">
        <v>61</v>
      </c>
      <c r="B286" s="12" t="s">
        <v>60</v>
      </c>
      <c r="C286" s="12" t="s">
        <v>15</v>
      </c>
      <c r="D286" s="12">
        <v>0</v>
      </c>
      <c r="E286" s="12">
        <v>2.8499999999999996</v>
      </c>
      <c r="F286" s="12">
        <v>20</v>
      </c>
      <c r="G286" s="12">
        <v>2.8499999999999996</v>
      </c>
      <c r="H286" s="12">
        <v>0</v>
      </c>
      <c r="I286" s="12" t="s">
        <v>89</v>
      </c>
      <c r="J286" s="6">
        <v>46233</v>
      </c>
      <c r="K286">
        <v>46233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</row>
    <row r="287" spans="1:20" x14ac:dyDescent="0.25">
      <c r="A287" s="12" t="s">
        <v>61</v>
      </c>
      <c r="B287" s="12" t="s">
        <v>60</v>
      </c>
      <c r="C287" s="12" t="s">
        <v>13</v>
      </c>
      <c r="D287" s="12">
        <v>3.6011567851291235</v>
      </c>
      <c r="E287" s="12">
        <v>0.95</v>
      </c>
      <c r="F287" s="12">
        <v>20</v>
      </c>
      <c r="G287" s="12">
        <v>0.95</v>
      </c>
      <c r="H287" s="12">
        <v>3.8235294117647038</v>
      </c>
      <c r="I287" s="12" t="s">
        <v>91</v>
      </c>
      <c r="J287" s="6">
        <v>46234</v>
      </c>
      <c r="K287">
        <v>46234</v>
      </c>
      <c r="L287">
        <v>0.26380412092108801</v>
      </c>
      <c r="M287">
        <v>0.26380412092108801</v>
      </c>
      <c r="N287">
        <v>1.0617503318805395</v>
      </c>
      <c r="O287">
        <v>3.7906913527674986</v>
      </c>
      <c r="P287">
        <v>3.7906913527674986</v>
      </c>
      <c r="Q287">
        <v>4.0247678018575828</v>
      </c>
      <c r="R287">
        <v>0.24846153846153859</v>
      </c>
      <c r="S287">
        <v>0.24846153846153859</v>
      </c>
      <c r="T287">
        <v>0.94184100534146353</v>
      </c>
    </row>
    <row r="288" spans="1:20" x14ac:dyDescent="0.25">
      <c r="A288" s="12" t="s">
        <v>61</v>
      </c>
      <c r="B288" s="12" t="s">
        <v>60</v>
      </c>
      <c r="C288" s="12" t="s">
        <v>15</v>
      </c>
      <c r="D288" s="12">
        <v>0</v>
      </c>
      <c r="E288" s="12">
        <v>2.8499999999999996</v>
      </c>
      <c r="F288" s="12">
        <v>20</v>
      </c>
      <c r="G288" s="12">
        <v>2.8499999999999996</v>
      </c>
      <c r="H288" s="12">
        <v>0</v>
      </c>
      <c r="I288" s="12" t="s">
        <v>92</v>
      </c>
      <c r="J288" s="6">
        <v>46234</v>
      </c>
      <c r="K288">
        <v>46234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</row>
    <row r="289" spans="1:20" x14ac:dyDescent="0.25">
      <c r="A289" s="12" t="s">
        <v>61</v>
      </c>
      <c r="B289" s="12" t="s">
        <v>60</v>
      </c>
      <c r="C289" s="12" t="s">
        <v>14</v>
      </c>
      <c r="D289" s="12">
        <v>3.1774912809962848</v>
      </c>
      <c r="E289" s="12">
        <v>2.8499999999999996</v>
      </c>
      <c r="F289" s="12">
        <v>20</v>
      </c>
      <c r="G289" s="12">
        <v>2.8499999999999996</v>
      </c>
      <c r="H289" s="12">
        <v>3.7543252595155705</v>
      </c>
      <c r="I289" s="12" t="s">
        <v>93</v>
      </c>
      <c r="J289" s="6">
        <v>46234</v>
      </c>
      <c r="K289">
        <v>46234</v>
      </c>
      <c r="L289">
        <v>0.89693401113169946</v>
      </c>
      <c r="M289">
        <v>0.89693401113169946</v>
      </c>
      <c r="N289">
        <v>1.1815375488106525</v>
      </c>
      <c r="O289">
        <v>1.1149092214022054</v>
      </c>
      <c r="P289">
        <v>1.1149092214022054</v>
      </c>
      <c r="Q289">
        <v>1.3173071086019548</v>
      </c>
      <c r="R289">
        <v>0.75912442396313362</v>
      </c>
      <c r="S289">
        <v>0.75912442396313362</v>
      </c>
      <c r="T289">
        <v>0.84635482046813493</v>
      </c>
    </row>
    <row r="290" spans="1:20" x14ac:dyDescent="0.25">
      <c r="A290" s="12" t="s">
        <v>61</v>
      </c>
      <c r="B290" s="12" t="s">
        <v>60</v>
      </c>
      <c r="C290" s="12" t="s">
        <v>14</v>
      </c>
      <c r="D290" s="12">
        <v>3.2304494690128904</v>
      </c>
      <c r="E290" s="12">
        <v>3.8</v>
      </c>
      <c r="F290" s="12">
        <v>20</v>
      </c>
      <c r="G290" s="12">
        <v>3.8</v>
      </c>
      <c r="H290" s="12">
        <v>3.7508650519031144</v>
      </c>
      <c r="I290" s="12" t="s">
        <v>95</v>
      </c>
      <c r="J290" s="6">
        <v>46235</v>
      </c>
      <c r="K290">
        <v>46235</v>
      </c>
      <c r="L290">
        <v>1.1763068998448516</v>
      </c>
      <c r="M290">
        <v>1.1763068998448516</v>
      </c>
      <c r="N290">
        <v>1.1610969581422501</v>
      </c>
      <c r="O290">
        <v>0.85011828131918177</v>
      </c>
      <c r="P290">
        <v>0.85011828131918177</v>
      </c>
      <c r="Q290">
        <v>0.98706975050081958</v>
      </c>
      <c r="R290">
        <v>1.0130996309963098</v>
      </c>
      <c r="S290">
        <v>1.0130996309963098</v>
      </c>
      <c r="T290">
        <v>0.8612545171076802</v>
      </c>
    </row>
    <row r="291" spans="1:20" x14ac:dyDescent="0.25">
      <c r="A291" s="12" t="s">
        <v>61</v>
      </c>
      <c r="B291" s="12" t="s">
        <v>60</v>
      </c>
      <c r="C291" s="12" t="s">
        <v>15</v>
      </c>
      <c r="D291" s="12">
        <v>0</v>
      </c>
      <c r="E291" s="12">
        <v>9.5</v>
      </c>
      <c r="F291" s="12">
        <v>20</v>
      </c>
      <c r="G291" s="12">
        <v>9.5</v>
      </c>
      <c r="H291" s="12">
        <v>0</v>
      </c>
      <c r="I291" s="12" t="s">
        <v>137</v>
      </c>
      <c r="J291" s="6">
        <v>46235</v>
      </c>
      <c r="K291">
        <v>46235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</row>
    <row r="292" spans="1:20" x14ac:dyDescent="0.25">
      <c r="A292" s="12" t="s">
        <v>61</v>
      </c>
      <c r="B292" s="12" t="s">
        <v>60</v>
      </c>
      <c r="C292" s="12" t="s">
        <v>13</v>
      </c>
      <c r="D292" s="12">
        <v>3.6011567851291222</v>
      </c>
      <c r="E292" s="12">
        <v>1.9</v>
      </c>
      <c r="F292" s="12">
        <v>20</v>
      </c>
      <c r="G292" s="12">
        <v>1.9</v>
      </c>
      <c r="H292" s="12">
        <v>3.7647058823529393</v>
      </c>
      <c r="I292" s="12" t="s">
        <v>94</v>
      </c>
      <c r="J292" s="6">
        <v>46235</v>
      </c>
      <c r="K292">
        <v>46235</v>
      </c>
      <c r="L292">
        <v>0.52760824184217625</v>
      </c>
      <c r="M292">
        <v>0.52760824184217625</v>
      </c>
      <c r="N292">
        <v>1.0454157113900702</v>
      </c>
      <c r="O292">
        <v>1.8953456763837486</v>
      </c>
      <c r="P292">
        <v>1.8953456763837486</v>
      </c>
      <c r="Q292">
        <v>1.9814241486068103</v>
      </c>
      <c r="R292">
        <v>0.50468750000000018</v>
      </c>
      <c r="S292">
        <v>0.50468750000000018</v>
      </c>
      <c r="T292">
        <v>0.9565572710499235</v>
      </c>
    </row>
    <row r="293" spans="1:20" x14ac:dyDescent="0.25">
      <c r="A293" s="12" t="s">
        <v>61</v>
      </c>
      <c r="B293" s="12" t="s">
        <v>60</v>
      </c>
      <c r="C293" s="12" t="s">
        <v>14</v>
      </c>
      <c r="D293" s="12">
        <v>3.1774912809962856</v>
      </c>
      <c r="E293" s="12">
        <v>0</v>
      </c>
      <c r="F293" s="12">
        <v>20</v>
      </c>
      <c r="G293" s="12">
        <v>0</v>
      </c>
      <c r="H293" s="12">
        <v>3.7543252595155714</v>
      </c>
      <c r="I293" s="12" t="s">
        <v>96</v>
      </c>
      <c r="J293" s="6">
        <v>46236</v>
      </c>
      <c r="K293">
        <v>46236</v>
      </c>
      <c r="L293">
        <v>0</v>
      </c>
      <c r="M293">
        <v>0</v>
      </c>
      <c r="N293">
        <v>1.1815375488106525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0.84635482046813493</v>
      </c>
    </row>
    <row r="294" spans="1:20" x14ac:dyDescent="0.25">
      <c r="A294" s="12" t="s">
        <v>61</v>
      </c>
      <c r="B294" s="12" t="s">
        <v>60</v>
      </c>
      <c r="C294" s="12" t="s">
        <v>13</v>
      </c>
      <c r="D294" s="12">
        <v>3.6011567851291222</v>
      </c>
      <c r="E294" s="12">
        <v>2.8499999999999996</v>
      </c>
      <c r="F294" s="12">
        <v>20</v>
      </c>
      <c r="G294" s="12">
        <v>2.8499999999999996</v>
      </c>
      <c r="H294" s="12">
        <v>3.8235294117647038</v>
      </c>
      <c r="I294" s="12" t="s">
        <v>97</v>
      </c>
      <c r="J294" s="6">
        <v>46236</v>
      </c>
      <c r="K294">
        <v>46236</v>
      </c>
      <c r="L294">
        <v>0.79141236276326432</v>
      </c>
      <c r="M294">
        <v>0.79141236276326432</v>
      </c>
      <c r="N294">
        <v>1.0617503318805399</v>
      </c>
      <c r="O294">
        <v>1.2635637842558325</v>
      </c>
      <c r="P294">
        <v>1.2635637842558325</v>
      </c>
      <c r="Q294">
        <v>1.3415892672858611</v>
      </c>
      <c r="R294">
        <v>0.74538461538461565</v>
      </c>
      <c r="S294">
        <v>0.74538461538461565</v>
      </c>
      <c r="T294">
        <v>0.9418410053414632</v>
      </c>
    </row>
    <row r="295" spans="1:20" x14ac:dyDescent="0.25">
      <c r="A295" s="12" t="s">
        <v>61</v>
      </c>
      <c r="B295" s="12" t="s">
        <v>60</v>
      </c>
      <c r="C295" s="12" t="s">
        <v>15</v>
      </c>
      <c r="D295" s="12">
        <v>0</v>
      </c>
      <c r="E295" s="12">
        <v>2.8499999999999996</v>
      </c>
      <c r="F295" s="12">
        <v>20</v>
      </c>
      <c r="G295" s="12">
        <v>2.8499999999999996</v>
      </c>
      <c r="H295" s="12">
        <v>0</v>
      </c>
      <c r="I295" s="12" t="s">
        <v>98</v>
      </c>
      <c r="J295" s="6">
        <v>46236</v>
      </c>
      <c r="K295">
        <v>46236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</row>
    <row r="296" spans="1:20" x14ac:dyDescent="0.25">
      <c r="A296" s="12" t="s">
        <v>61</v>
      </c>
      <c r="B296" s="12" t="s">
        <v>60</v>
      </c>
      <c r="C296" s="12" t="s">
        <v>15</v>
      </c>
      <c r="D296" s="12">
        <v>0</v>
      </c>
      <c r="E296" s="12">
        <v>0</v>
      </c>
      <c r="F296" s="12">
        <v>20</v>
      </c>
      <c r="G296" s="12">
        <v>0</v>
      </c>
      <c r="H296" s="12">
        <v>0</v>
      </c>
      <c r="I296" s="12" t="s">
        <v>100</v>
      </c>
      <c r="J296" s="6">
        <v>46237</v>
      </c>
      <c r="K296">
        <v>46237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</row>
    <row r="297" spans="1:20" x14ac:dyDescent="0.25">
      <c r="A297" s="12" t="s">
        <v>61</v>
      </c>
      <c r="B297" s="12" t="s">
        <v>60</v>
      </c>
      <c r="C297" s="12" t="s">
        <v>13</v>
      </c>
      <c r="D297" s="12">
        <v>3.6011567851291222</v>
      </c>
      <c r="E297" s="12">
        <v>0.95</v>
      </c>
      <c r="F297" s="12">
        <v>20</v>
      </c>
      <c r="G297" s="12">
        <v>0.95</v>
      </c>
      <c r="H297" s="12">
        <v>3.7647058823529393</v>
      </c>
      <c r="I297" s="12" t="s">
        <v>101</v>
      </c>
      <c r="J297" s="6">
        <v>46237</v>
      </c>
      <c r="K297">
        <v>46237</v>
      </c>
      <c r="L297">
        <v>0.26380412092108813</v>
      </c>
      <c r="M297">
        <v>0.26380412092108813</v>
      </c>
      <c r="N297">
        <v>1.0454157113900702</v>
      </c>
      <c r="O297">
        <v>3.7906913527674972</v>
      </c>
      <c r="P297">
        <v>3.7906913527674972</v>
      </c>
      <c r="Q297">
        <v>3.9628482972136205</v>
      </c>
      <c r="R297">
        <v>0.25234375000000009</v>
      </c>
      <c r="S297">
        <v>0.25234375000000009</v>
      </c>
      <c r="T297">
        <v>0.9565572710499235</v>
      </c>
    </row>
    <row r="298" spans="1:20" x14ac:dyDescent="0.25">
      <c r="A298" s="12" t="s">
        <v>61</v>
      </c>
      <c r="B298" s="12" t="s">
        <v>60</v>
      </c>
      <c r="C298" s="12" t="s">
        <v>14</v>
      </c>
      <c r="D298" s="12">
        <v>3.1774912809962848</v>
      </c>
      <c r="E298" s="12">
        <v>5.6999999999999993</v>
      </c>
      <c r="F298" s="12">
        <v>20</v>
      </c>
      <c r="G298" s="12">
        <v>5.6999999999999993</v>
      </c>
      <c r="H298" s="12">
        <v>3.7508650519031144</v>
      </c>
      <c r="I298" s="12" t="s">
        <v>99</v>
      </c>
      <c r="J298" s="6">
        <v>46237</v>
      </c>
      <c r="K298">
        <v>46237</v>
      </c>
      <c r="L298">
        <v>1.7938680222633989</v>
      </c>
      <c r="M298">
        <v>1.7938680222633989</v>
      </c>
      <c r="N298">
        <v>1.180448574111288</v>
      </c>
      <c r="O298">
        <v>0.55745461070110269</v>
      </c>
      <c r="P298">
        <v>0.55745461070110269</v>
      </c>
      <c r="Q298">
        <v>0.65804650033387979</v>
      </c>
      <c r="R298">
        <v>1.5196494464944648</v>
      </c>
      <c r="S298">
        <v>1.5196494464944648</v>
      </c>
      <c r="T298">
        <v>0.84713559059771792</v>
      </c>
    </row>
    <row r="299" spans="1:20" x14ac:dyDescent="0.25">
      <c r="A299" s="12" t="s">
        <v>61</v>
      </c>
      <c r="B299" s="12" t="s">
        <v>60</v>
      </c>
      <c r="C299" s="12" t="s">
        <v>14</v>
      </c>
      <c r="D299" s="12">
        <v>3.23044946901289</v>
      </c>
      <c r="E299" s="12">
        <v>2.8499999999999996</v>
      </c>
      <c r="F299" s="12">
        <v>20</v>
      </c>
      <c r="G299" s="12">
        <v>2.8499999999999996</v>
      </c>
      <c r="H299" s="12">
        <v>2.8685121107266438</v>
      </c>
      <c r="I299" s="12" t="s">
        <v>102</v>
      </c>
      <c r="J299" s="6">
        <v>46238</v>
      </c>
      <c r="K299">
        <v>46238</v>
      </c>
      <c r="L299">
        <v>0.88223017488363864</v>
      </c>
      <c r="M299">
        <v>0.88223017488363864</v>
      </c>
      <c r="N299">
        <v>0.88796068108849224</v>
      </c>
      <c r="O299">
        <v>1.1334910417589088</v>
      </c>
      <c r="P299">
        <v>1.1334910417589088</v>
      </c>
      <c r="Q299">
        <v>1.0064954774479453</v>
      </c>
      <c r="R299">
        <v>0.99354644149577787</v>
      </c>
      <c r="S299">
        <v>0.99354644149577787</v>
      </c>
      <c r="T299">
        <v>1.126175991006906</v>
      </c>
    </row>
    <row r="300" spans="1:20" x14ac:dyDescent="0.25">
      <c r="A300" s="12" t="s">
        <v>61</v>
      </c>
      <c r="B300" s="12" t="s">
        <v>60</v>
      </c>
      <c r="C300" s="12" t="s">
        <v>13</v>
      </c>
      <c r="D300" s="12">
        <v>3.6011567851291222</v>
      </c>
      <c r="E300" s="12">
        <v>1.9</v>
      </c>
      <c r="F300" s="12">
        <v>20</v>
      </c>
      <c r="G300" s="12">
        <v>1.9</v>
      </c>
      <c r="H300" s="12">
        <v>3.7647058823529398</v>
      </c>
      <c r="I300" s="12" t="s">
        <v>104</v>
      </c>
      <c r="J300" s="6">
        <v>46238</v>
      </c>
      <c r="K300">
        <v>46238</v>
      </c>
      <c r="L300">
        <v>0.52760824184217625</v>
      </c>
      <c r="M300">
        <v>0.52760824184217625</v>
      </c>
      <c r="N300">
        <v>1.0454157113900704</v>
      </c>
      <c r="O300">
        <v>1.8953456763837486</v>
      </c>
      <c r="P300">
        <v>1.8953456763837486</v>
      </c>
      <c r="Q300">
        <v>1.9814241486068105</v>
      </c>
      <c r="R300">
        <v>0.50468750000000018</v>
      </c>
      <c r="S300">
        <v>0.50468750000000018</v>
      </c>
      <c r="T300">
        <v>0.95655727104992339</v>
      </c>
    </row>
    <row r="301" spans="1:20" x14ac:dyDescent="0.25">
      <c r="A301" s="12" t="s">
        <v>61</v>
      </c>
      <c r="B301" s="12" t="s">
        <v>60</v>
      </c>
      <c r="C301" s="12" t="s">
        <v>15</v>
      </c>
      <c r="D301" s="12">
        <v>0</v>
      </c>
      <c r="E301" s="12">
        <v>12.35</v>
      </c>
      <c r="F301" s="12">
        <v>20</v>
      </c>
      <c r="G301" s="12">
        <v>12.35</v>
      </c>
      <c r="H301" s="12">
        <v>0</v>
      </c>
      <c r="I301" s="12" t="s">
        <v>103</v>
      </c>
      <c r="J301" s="6">
        <v>46238</v>
      </c>
      <c r="K301">
        <v>46238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</row>
    <row r="302" spans="1:20" x14ac:dyDescent="0.25">
      <c r="A302" s="12" t="s">
        <v>61</v>
      </c>
      <c r="B302" s="12" t="s">
        <v>60</v>
      </c>
      <c r="C302" s="12" t="s">
        <v>15</v>
      </c>
      <c r="D302" s="12">
        <v>0</v>
      </c>
      <c r="E302" s="12">
        <v>5.6999999999999993</v>
      </c>
      <c r="F302" s="12">
        <v>20</v>
      </c>
      <c r="G302" s="12">
        <v>5.6999999999999993</v>
      </c>
      <c r="H302" s="12">
        <v>0</v>
      </c>
      <c r="I302" s="12" t="s">
        <v>106</v>
      </c>
      <c r="J302" s="6">
        <v>46239</v>
      </c>
      <c r="K302">
        <v>46239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</row>
    <row r="303" spans="1:20" x14ac:dyDescent="0.25">
      <c r="A303" s="12" t="s">
        <v>61</v>
      </c>
      <c r="B303" s="12" t="s">
        <v>60</v>
      </c>
      <c r="C303" s="12" t="s">
        <v>13</v>
      </c>
      <c r="D303" s="12">
        <v>3.6011567851291222</v>
      </c>
      <c r="E303" s="12">
        <v>2.8499999999999996</v>
      </c>
      <c r="F303" s="12">
        <v>20</v>
      </c>
      <c r="G303" s="12">
        <v>2.8499999999999996</v>
      </c>
      <c r="H303" s="12">
        <v>3.7647058823529393</v>
      </c>
      <c r="I303" s="12" t="s">
        <v>105</v>
      </c>
      <c r="J303" s="6">
        <v>46239</v>
      </c>
      <c r="K303">
        <v>46239</v>
      </c>
      <c r="L303">
        <v>0.79141236276326432</v>
      </c>
      <c r="M303">
        <v>0.79141236276326432</v>
      </c>
      <c r="N303">
        <v>1.0454157113900702</v>
      </c>
      <c r="O303">
        <v>1.2635637842558325</v>
      </c>
      <c r="P303">
        <v>1.2635637842558325</v>
      </c>
      <c r="Q303">
        <v>1.3209494324045403</v>
      </c>
      <c r="R303">
        <v>0.75703125000000027</v>
      </c>
      <c r="S303">
        <v>0.75703125000000027</v>
      </c>
      <c r="T303">
        <v>0.9565572710499235</v>
      </c>
    </row>
    <row r="304" spans="1:20" x14ac:dyDescent="0.25">
      <c r="A304" s="12" t="s">
        <v>61</v>
      </c>
      <c r="B304" s="12" t="s">
        <v>60</v>
      </c>
      <c r="C304" s="12" t="s">
        <v>14</v>
      </c>
      <c r="D304" s="12">
        <v>3.1774912809962848</v>
      </c>
      <c r="E304" s="12">
        <v>0.95</v>
      </c>
      <c r="F304" s="12">
        <v>20</v>
      </c>
      <c r="G304" s="12">
        <v>0.95</v>
      </c>
      <c r="H304" s="12">
        <v>3.7508650519031144</v>
      </c>
      <c r="I304" s="12" t="s">
        <v>107</v>
      </c>
      <c r="J304" s="6">
        <v>46239</v>
      </c>
      <c r="K304">
        <v>46239</v>
      </c>
      <c r="L304">
        <v>0.29897800371056649</v>
      </c>
      <c r="M304">
        <v>0.29897800371056649</v>
      </c>
      <c r="N304">
        <v>1.180448574111288</v>
      </c>
      <c r="O304">
        <v>3.3447276642066157</v>
      </c>
      <c r="P304">
        <v>3.3447276642066157</v>
      </c>
      <c r="Q304">
        <v>3.9482790020032783</v>
      </c>
      <c r="R304">
        <v>0.25327490774907746</v>
      </c>
      <c r="S304">
        <v>0.25327490774907746</v>
      </c>
      <c r="T304">
        <v>0.84713559059771792</v>
      </c>
    </row>
    <row r="305" spans="1:20" x14ac:dyDescent="0.25">
      <c r="A305" s="12" t="s">
        <v>61</v>
      </c>
      <c r="B305" s="12" t="s">
        <v>60</v>
      </c>
      <c r="C305" s="12" t="s">
        <v>13</v>
      </c>
      <c r="D305" s="12">
        <v>3.6011567851291222</v>
      </c>
      <c r="E305" s="12">
        <v>1.9</v>
      </c>
      <c r="F305" s="12">
        <v>20</v>
      </c>
      <c r="G305" s="12">
        <v>1.9</v>
      </c>
      <c r="H305" s="12">
        <v>3.7647058823529393</v>
      </c>
      <c r="I305" s="12" t="s">
        <v>108</v>
      </c>
      <c r="J305" s="6">
        <v>46240</v>
      </c>
      <c r="K305">
        <v>46240</v>
      </c>
      <c r="L305">
        <v>0.52760824184217625</v>
      </c>
      <c r="M305">
        <v>0.52760824184217625</v>
      </c>
      <c r="N305">
        <v>1.0454157113900702</v>
      </c>
      <c r="O305">
        <v>1.8953456763837486</v>
      </c>
      <c r="P305">
        <v>1.8953456763837486</v>
      </c>
      <c r="Q305">
        <v>1.9814241486068103</v>
      </c>
      <c r="R305">
        <v>0.50468750000000018</v>
      </c>
      <c r="S305">
        <v>0.50468750000000018</v>
      </c>
      <c r="T305">
        <v>0.9565572710499235</v>
      </c>
    </row>
    <row r="306" spans="1:20" x14ac:dyDescent="0.25">
      <c r="A306" s="12" t="s">
        <v>61</v>
      </c>
      <c r="B306" s="12" t="s">
        <v>60</v>
      </c>
      <c r="C306" s="12" t="s">
        <v>15</v>
      </c>
      <c r="D306" s="12">
        <v>0</v>
      </c>
      <c r="E306" s="12">
        <v>3.8</v>
      </c>
      <c r="F306" s="12">
        <v>20</v>
      </c>
      <c r="G306" s="12">
        <v>3.8</v>
      </c>
      <c r="H306" s="12">
        <v>0</v>
      </c>
      <c r="I306" s="12" t="s">
        <v>109</v>
      </c>
      <c r="J306" s="6">
        <v>46240</v>
      </c>
      <c r="K306">
        <v>46240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</row>
    <row r="307" spans="1:20" x14ac:dyDescent="0.25">
      <c r="A307" s="12" t="s">
        <v>61</v>
      </c>
      <c r="B307" s="12" t="s">
        <v>60</v>
      </c>
      <c r="C307" s="12" t="s">
        <v>14</v>
      </c>
      <c r="D307" s="12">
        <v>3.1774912809962848</v>
      </c>
      <c r="E307" s="12">
        <v>0.95</v>
      </c>
      <c r="F307" s="12">
        <v>20</v>
      </c>
      <c r="G307" s="12">
        <v>0.95</v>
      </c>
      <c r="H307" s="12">
        <v>3.7508650519031144</v>
      </c>
      <c r="I307" s="12" t="s">
        <v>110</v>
      </c>
      <c r="J307" s="6">
        <v>46240</v>
      </c>
      <c r="K307">
        <v>46240</v>
      </c>
      <c r="L307">
        <v>0.29897800371056649</v>
      </c>
      <c r="M307">
        <v>0.29897800371056649</v>
      </c>
      <c r="N307">
        <v>1.180448574111288</v>
      </c>
      <c r="O307">
        <v>3.3447276642066157</v>
      </c>
      <c r="P307">
        <v>3.3447276642066157</v>
      </c>
      <c r="Q307">
        <v>3.9482790020032783</v>
      </c>
      <c r="R307">
        <v>0.25327490774907746</v>
      </c>
      <c r="S307">
        <v>0.25327490774907746</v>
      </c>
      <c r="T307">
        <v>0.84713559059771792</v>
      </c>
    </row>
    <row r="308" spans="1:20" x14ac:dyDescent="0.25">
      <c r="A308" s="12" t="s">
        <v>61</v>
      </c>
      <c r="B308" s="12" t="s">
        <v>60</v>
      </c>
      <c r="C308" s="12" t="s">
        <v>14</v>
      </c>
      <c r="D308" s="12">
        <v>3.1774912809962856</v>
      </c>
      <c r="E308" s="12">
        <v>2.8499999999999996</v>
      </c>
      <c r="F308" s="12">
        <v>20</v>
      </c>
      <c r="G308" s="12">
        <v>2.8499999999999996</v>
      </c>
      <c r="H308" s="12">
        <v>3.7508650519031144</v>
      </c>
      <c r="I308" s="12" t="s">
        <v>111</v>
      </c>
      <c r="J308" s="6">
        <v>46241</v>
      </c>
      <c r="K308">
        <v>46241</v>
      </c>
      <c r="L308">
        <v>0.89693401113169924</v>
      </c>
      <c r="M308">
        <v>0.89693401113169924</v>
      </c>
      <c r="N308">
        <v>1.1804485741112878</v>
      </c>
      <c r="O308">
        <v>1.1149092214022056</v>
      </c>
      <c r="P308">
        <v>1.1149092214022056</v>
      </c>
      <c r="Q308">
        <v>1.3160930006677596</v>
      </c>
      <c r="R308">
        <v>0.75982472324723238</v>
      </c>
      <c r="S308">
        <v>0.75982472324723238</v>
      </c>
      <c r="T308">
        <v>0.84713559059771815</v>
      </c>
    </row>
    <row r="309" spans="1:20" x14ac:dyDescent="0.25">
      <c r="A309" s="12" t="s">
        <v>61</v>
      </c>
      <c r="B309" s="12" t="s">
        <v>60</v>
      </c>
      <c r="C309" s="12" t="s">
        <v>15</v>
      </c>
      <c r="D309" s="12">
        <v>0</v>
      </c>
      <c r="E309" s="12">
        <v>12.35</v>
      </c>
      <c r="F309" s="12">
        <v>20</v>
      </c>
      <c r="G309" s="12">
        <v>12.35</v>
      </c>
      <c r="H309" s="12">
        <v>0</v>
      </c>
      <c r="I309" s="12" t="s">
        <v>138</v>
      </c>
      <c r="J309" s="6">
        <v>46241</v>
      </c>
      <c r="K309">
        <v>46241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</row>
    <row r="310" spans="1:20" x14ac:dyDescent="0.25">
      <c r="A310" s="12" t="s">
        <v>61</v>
      </c>
      <c r="B310" s="12" t="s">
        <v>60</v>
      </c>
      <c r="C310" s="12" t="s">
        <v>13</v>
      </c>
      <c r="D310" s="12">
        <v>3.6011567851291222</v>
      </c>
      <c r="E310" s="12">
        <v>3.8</v>
      </c>
      <c r="F310" s="12">
        <v>20</v>
      </c>
      <c r="G310" s="12">
        <v>3.8</v>
      </c>
      <c r="H310" s="12">
        <v>3.7647058823529398</v>
      </c>
      <c r="I310" s="12" t="s">
        <v>112</v>
      </c>
      <c r="J310" s="6">
        <v>46241</v>
      </c>
      <c r="K310">
        <v>46241</v>
      </c>
      <c r="L310">
        <v>1.0552164836843525</v>
      </c>
      <c r="M310">
        <v>1.0552164836843525</v>
      </c>
      <c r="N310">
        <v>1.0454157113900704</v>
      </c>
      <c r="O310">
        <v>0.94767283819187431</v>
      </c>
      <c r="P310">
        <v>0.94767283819187431</v>
      </c>
      <c r="Q310">
        <v>0.99071207430340524</v>
      </c>
      <c r="R310">
        <v>1.0093750000000004</v>
      </c>
      <c r="S310">
        <v>1.0093750000000004</v>
      </c>
      <c r="T310">
        <v>0.95655727104992339</v>
      </c>
    </row>
    <row r="311" spans="1:20" x14ac:dyDescent="0.25">
      <c r="A311" s="12" t="s">
        <v>61</v>
      </c>
      <c r="B311" s="12" t="s">
        <v>60</v>
      </c>
      <c r="C311" s="12" t="s">
        <v>14</v>
      </c>
      <c r="D311" s="12">
        <v>3.1774912809962856</v>
      </c>
      <c r="E311" s="12">
        <v>3.8</v>
      </c>
      <c r="F311" s="12">
        <v>20</v>
      </c>
      <c r="G311" s="12">
        <v>3.8</v>
      </c>
      <c r="H311" s="12">
        <v>3.7508650519031144</v>
      </c>
      <c r="I311" s="12" t="s">
        <v>114</v>
      </c>
      <c r="J311" s="6">
        <v>46242</v>
      </c>
      <c r="K311">
        <v>46242</v>
      </c>
      <c r="L311">
        <v>1.1959120148422657</v>
      </c>
      <c r="M311">
        <v>1.1959120148422657</v>
      </c>
      <c r="N311">
        <v>1.1804485741112878</v>
      </c>
      <c r="O311">
        <v>0.83618191605165415</v>
      </c>
      <c r="P311">
        <v>0.83618191605165415</v>
      </c>
      <c r="Q311">
        <v>0.98706975050081958</v>
      </c>
      <c r="R311">
        <v>1.0130996309963098</v>
      </c>
      <c r="S311">
        <v>1.0130996309963098</v>
      </c>
      <c r="T311">
        <v>0.84713559059771815</v>
      </c>
    </row>
    <row r="312" spans="1:20" x14ac:dyDescent="0.25">
      <c r="A312" s="12" t="s">
        <v>61</v>
      </c>
      <c r="B312" s="12" t="s">
        <v>60</v>
      </c>
      <c r="C312" s="12" t="s">
        <v>13</v>
      </c>
      <c r="D312" s="12">
        <v>3.6011567851291222</v>
      </c>
      <c r="E312" s="12">
        <v>13.3</v>
      </c>
      <c r="F312" s="12">
        <v>20</v>
      </c>
      <c r="G312" s="12">
        <v>13.3</v>
      </c>
      <c r="H312" s="12">
        <v>3.7647058823529398</v>
      </c>
      <c r="I312" s="12" t="s">
        <v>139</v>
      </c>
      <c r="J312" s="6">
        <v>46242</v>
      </c>
      <c r="K312">
        <v>46242</v>
      </c>
      <c r="L312">
        <v>3.6932576928952336</v>
      </c>
      <c r="M312">
        <v>3.6932576928952336</v>
      </c>
      <c r="N312">
        <v>1.0454157113900704</v>
      </c>
      <c r="O312">
        <v>0.27076366805482122</v>
      </c>
      <c r="P312">
        <v>0.27076366805482122</v>
      </c>
      <c r="Q312">
        <v>0.28306059265811578</v>
      </c>
      <c r="R312">
        <v>3.5328125000000008</v>
      </c>
      <c r="S312">
        <v>3.5328125000000008</v>
      </c>
      <c r="T312">
        <v>0.95655727104992339</v>
      </c>
    </row>
    <row r="313" spans="1:20" x14ac:dyDescent="0.25">
      <c r="A313" s="12" t="s">
        <v>61</v>
      </c>
      <c r="B313" s="12" t="s">
        <v>60</v>
      </c>
      <c r="C313" s="12" t="s">
        <v>15</v>
      </c>
      <c r="D313" s="12">
        <v>0</v>
      </c>
      <c r="E313" s="12">
        <v>0</v>
      </c>
      <c r="F313" s="12">
        <v>20</v>
      </c>
      <c r="G313" s="12">
        <v>0</v>
      </c>
      <c r="H313" s="12">
        <v>0</v>
      </c>
      <c r="I313" s="12" t="s">
        <v>113</v>
      </c>
      <c r="J313" s="6">
        <v>46242</v>
      </c>
      <c r="K313">
        <v>46242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</row>
    <row r="314" spans="1:20" x14ac:dyDescent="0.25">
      <c r="A314" s="12" t="s">
        <v>61</v>
      </c>
      <c r="B314" s="12" t="s">
        <v>60</v>
      </c>
      <c r="C314" s="12" t="s">
        <v>14</v>
      </c>
      <c r="D314" s="12">
        <v>3.1774912809962856</v>
      </c>
      <c r="E314" s="12">
        <v>11.4</v>
      </c>
      <c r="F314" s="12">
        <v>20</v>
      </c>
      <c r="G314" s="12">
        <v>11.4</v>
      </c>
      <c r="H314" s="12">
        <v>3.7508650519031144</v>
      </c>
      <c r="I314" s="12" t="s">
        <v>140</v>
      </c>
      <c r="J314" s="6">
        <v>46243</v>
      </c>
      <c r="K314">
        <v>46243</v>
      </c>
      <c r="L314">
        <v>3.587736044526797</v>
      </c>
      <c r="M314">
        <v>3.587736044526797</v>
      </c>
      <c r="N314">
        <v>1.1804485741112878</v>
      </c>
      <c r="O314">
        <v>0.2787273053505514</v>
      </c>
      <c r="P314">
        <v>0.2787273053505514</v>
      </c>
      <c r="Q314">
        <v>0.3290232501669399</v>
      </c>
      <c r="R314">
        <v>3.0392988929889295</v>
      </c>
      <c r="S314">
        <v>3.0392988929889295</v>
      </c>
      <c r="T314">
        <v>0.84713559059771815</v>
      </c>
    </row>
    <row r="315" spans="1:20" x14ac:dyDescent="0.25">
      <c r="A315" s="12" t="s">
        <v>61</v>
      </c>
      <c r="B315" s="12" t="s">
        <v>60</v>
      </c>
      <c r="C315" s="12" t="s">
        <v>15</v>
      </c>
      <c r="D315" s="12">
        <v>0</v>
      </c>
      <c r="E315" s="12">
        <v>4.75</v>
      </c>
      <c r="F315" s="12">
        <v>20</v>
      </c>
      <c r="G315" s="12">
        <v>4.75</v>
      </c>
      <c r="H315" s="12">
        <v>0</v>
      </c>
      <c r="I315" s="12" t="s">
        <v>141</v>
      </c>
      <c r="J315" s="6">
        <v>46243</v>
      </c>
      <c r="K315">
        <v>46243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</row>
    <row r="316" spans="1:20" x14ac:dyDescent="0.25">
      <c r="A316" s="12" t="s">
        <v>61</v>
      </c>
      <c r="B316" s="12" t="s">
        <v>60</v>
      </c>
      <c r="C316" s="12" t="s">
        <v>13</v>
      </c>
      <c r="D316" s="12">
        <v>3.6011567851291222</v>
      </c>
      <c r="E316" s="12">
        <v>2.8499999999999996</v>
      </c>
      <c r="F316" s="12">
        <v>20</v>
      </c>
      <c r="G316" s="12">
        <v>2.8499999999999996</v>
      </c>
      <c r="H316" s="12">
        <v>3.7647058823529393</v>
      </c>
      <c r="I316" s="12" t="s">
        <v>115</v>
      </c>
      <c r="J316" s="6">
        <v>46243</v>
      </c>
      <c r="K316">
        <v>46243</v>
      </c>
      <c r="L316">
        <v>0.79141236276326432</v>
      </c>
      <c r="M316">
        <v>0.79141236276326432</v>
      </c>
      <c r="N316">
        <v>1.0454157113900702</v>
      </c>
      <c r="O316">
        <v>1.2635637842558325</v>
      </c>
      <c r="P316">
        <v>1.2635637842558325</v>
      </c>
      <c r="Q316">
        <v>1.3209494324045403</v>
      </c>
      <c r="R316">
        <v>0.75703125000000027</v>
      </c>
      <c r="S316">
        <v>0.75703125000000027</v>
      </c>
      <c r="T316">
        <v>0.9565572710499235</v>
      </c>
    </row>
    <row r="317" spans="1:20" x14ac:dyDescent="0.25">
      <c r="A317" s="12" t="s">
        <v>61</v>
      </c>
      <c r="B317" s="12" t="s">
        <v>60</v>
      </c>
      <c r="C317" s="12" t="s">
        <v>13</v>
      </c>
      <c r="D317" s="12">
        <v>3.6011567851291222</v>
      </c>
      <c r="E317" s="12">
        <v>14.25</v>
      </c>
      <c r="F317" s="12">
        <v>20</v>
      </c>
      <c r="G317" s="12">
        <v>14.25</v>
      </c>
      <c r="H317" s="12">
        <v>3.7647058823529398</v>
      </c>
      <c r="I317" s="12" t="s">
        <v>142</v>
      </c>
      <c r="J317" s="6">
        <v>46244</v>
      </c>
      <c r="K317">
        <v>46244</v>
      </c>
      <c r="L317">
        <v>3.9570618138163223</v>
      </c>
      <c r="M317">
        <v>3.9570618138163223</v>
      </c>
      <c r="N317">
        <v>1.0454157113900704</v>
      </c>
      <c r="O317">
        <v>0.25271275685116645</v>
      </c>
      <c r="P317">
        <v>0.25271275685116645</v>
      </c>
      <c r="Q317">
        <v>0.26418988648090808</v>
      </c>
      <c r="R317">
        <v>3.7851562500000013</v>
      </c>
      <c r="S317">
        <v>3.7851562500000013</v>
      </c>
      <c r="T317">
        <v>0.95655727104992339</v>
      </c>
    </row>
    <row r="318" spans="1:20" x14ac:dyDescent="0.25">
      <c r="A318" s="12" t="s">
        <v>61</v>
      </c>
      <c r="B318" s="12" t="s">
        <v>60</v>
      </c>
      <c r="C318" s="12" t="s">
        <v>15</v>
      </c>
      <c r="D318" s="12">
        <v>0</v>
      </c>
      <c r="E318" s="12">
        <v>0</v>
      </c>
      <c r="F318" s="12">
        <v>20</v>
      </c>
      <c r="G318" s="12">
        <v>0</v>
      </c>
      <c r="H318" s="12">
        <v>0</v>
      </c>
      <c r="I318" s="12" t="s">
        <v>117</v>
      </c>
      <c r="J318" s="6">
        <v>46244</v>
      </c>
      <c r="K318">
        <v>46244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</row>
    <row r="319" spans="1:20" x14ac:dyDescent="0.25">
      <c r="A319" s="12" t="s">
        <v>61</v>
      </c>
      <c r="B319" s="12" t="s">
        <v>60</v>
      </c>
      <c r="C319" s="12" t="s">
        <v>14</v>
      </c>
      <c r="D319" s="12">
        <v>3.1774912809962848</v>
      </c>
      <c r="E319" s="12">
        <v>3.8</v>
      </c>
      <c r="F319" s="12">
        <v>20</v>
      </c>
      <c r="G319" s="12">
        <v>3.8</v>
      </c>
      <c r="H319" s="12">
        <v>3.7508650519031144</v>
      </c>
      <c r="I319" s="12" t="s">
        <v>116</v>
      </c>
      <c r="J319" s="6">
        <v>46244</v>
      </c>
      <c r="K319">
        <v>46244</v>
      </c>
      <c r="L319">
        <v>1.1959120148422659</v>
      </c>
      <c r="M319">
        <v>1.1959120148422659</v>
      </c>
      <c r="N319">
        <v>1.180448574111288</v>
      </c>
      <c r="O319">
        <v>0.83618191605165393</v>
      </c>
      <c r="P319">
        <v>0.83618191605165393</v>
      </c>
      <c r="Q319">
        <v>0.98706975050081958</v>
      </c>
      <c r="R319">
        <v>1.0130996309963098</v>
      </c>
      <c r="S319">
        <v>1.0130996309963098</v>
      </c>
      <c r="T319">
        <v>0.84713559059771792</v>
      </c>
    </row>
    <row r="320" spans="1:20" x14ac:dyDescent="0.25">
      <c r="A320" s="12" t="s">
        <v>61</v>
      </c>
      <c r="B320" s="12" t="s">
        <v>60</v>
      </c>
      <c r="C320" s="12" t="s">
        <v>14</v>
      </c>
      <c r="D320" s="12">
        <v>3.1774912809962848</v>
      </c>
      <c r="E320" s="12">
        <v>2.8499999999999996</v>
      </c>
      <c r="F320" s="12">
        <v>20</v>
      </c>
      <c r="G320" s="12">
        <v>2.8499999999999996</v>
      </c>
      <c r="H320" s="12">
        <v>3.7508650519031144</v>
      </c>
      <c r="I320" s="12" t="s">
        <v>119</v>
      </c>
      <c r="J320" s="6">
        <v>46245</v>
      </c>
      <c r="K320">
        <v>46245</v>
      </c>
      <c r="L320">
        <v>0.89693401113169946</v>
      </c>
      <c r="M320">
        <v>0.89693401113169946</v>
      </c>
      <c r="N320">
        <v>1.180448574111288</v>
      </c>
      <c r="O320">
        <v>1.1149092214022054</v>
      </c>
      <c r="P320">
        <v>1.1149092214022054</v>
      </c>
      <c r="Q320">
        <v>1.3160930006677596</v>
      </c>
      <c r="R320">
        <v>0.75982472324723238</v>
      </c>
      <c r="S320">
        <v>0.75982472324723238</v>
      </c>
      <c r="T320">
        <v>0.84713559059771792</v>
      </c>
    </row>
    <row r="321" spans="1:20" x14ac:dyDescent="0.25">
      <c r="A321" s="12" t="s">
        <v>61</v>
      </c>
      <c r="B321" s="12" t="s">
        <v>60</v>
      </c>
      <c r="C321" s="12" t="s">
        <v>13</v>
      </c>
      <c r="D321" s="12">
        <v>3.6011567851291222</v>
      </c>
      <c r="E321" s="12">
        <v>1.9</v>
      </c>
      <c r="F321" s="12">
        <v>20</v>
      </c>
      <c r="G321" s="12">
        <v>1.9</v>
      </c>
      <c r="H321" s="12">
        <v>3.7647058823529398</v>
      </c>
      <c r="I321" s="12" t="s">
        <v>118</v>
      </c>
      <c r="J321" s="6">
        <v>46245</v>
      </c>
      <c r="K321">
        <v>46245</v>
      </c>
      <c r="L321">
        <v>0.52760824184217625</v>
      </c>
      <c r="M321">
        <v>0.52760824184217625</v>
      </c>
      <c r="N321">
        <v>1.0454157113900704</v>
      </c>
      <c r="O321">
        <v>1.8953456763837486</v>
      </c>
      <c r="P321">
        <v>1.8953456763837486</v>
      </c>
      <c r="Q321">
        <v>1.9814241486068105</v>
      </c>
      <c r="R321">
        <v>0.50468750000000018</v>
      </c>
      <c r="S321">
        <v>0.50468750000000018</v>
      </c>
      <c r="T321">
        <v>0.95655727104992339</v>
      </c>
    </row>
    <row r="322" spans="1:20" x14ac:dyDescent="0.25">
      <c r="A322" s="12" t="s">
        <v>61</v>
      </c>
      <c r="B322" s="12" t="s">
        <v>60</v>
      </c>
      <c r="C322" s="12" t="s">
        <v>15</v>
      </c>
      <c r="D322" s="12">
        <v>0</v>
      </c>
      <c r="E322" s="12">
        <v>11.4</v>
      </c>
      <c r="F322" s="12">
        <v>20</v>
      </c>
      <c r="G322" s="12">
        <v>11.4</v>
      </c>
      <c r="H322" s="12">
        <v>0</v>
      </c>
      <c r="I322" s="12" t="s">
        <v>120</v>
      </c>
      <c r="J322" s="6">
        <v>46245</v>
      </c>
      <c r="K322">
        <v>46245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</row>
    <row r="323" spans="1:20" x14ac:dyDescent="0.25">
      <c r="A323" s="12" t="s">
        <v>61</v>
      </c>
      <c r="B323" s="12" t="s">
        <v>60</v>
      </c>
      <c r="C323" s="12" t="s">
        <v>13</v>
      </c>
      <c r="D323" s="12">
        <v>3.6011567851291222</v>
      </c>
      <c r="E323" s="12">
        <v>1.9</v>
      </c>
      <c r="F323" s="12">
        <v>20</v>
      </c>
      <c r="G323" s="12">
        <v>1.9</v>
      </c>
      <c r="H323" s="12">
        <v>3.7647058823529398</v>
      </c>
      <c r="I323" s="12" t="s">
        <v>121</v>
      </c>
      <c r="J323" s="6">
        <v>46246</v>
      </c>
      <c r="K323">
        <v>46246</v>
      </c>
      <c r="L323">
        <v>0.52760824184217625</v>
      </c>
      <c r="M323">
        <v>0.52760824184217625</v>
      </c>
      <c r="N323">
        <v>1.0454157113900704</v>
      </c>
      <c r="O323">
        <v>1.8953456763837486</v>
      </c>
      <c r="P323">
        <v>1.8953456763837486</v>
      </c>
      <c r="Q323">
        <v>1.9814241486068105</v>
      </c>
      <c r="R323">
        <v>0.50468750000000018</v>
      </c>
      <c r="S323">
        <v>0.50468750000000018</v>
      </c>
      <c r="T323">
        <v>0.95655727104992339</v>
      </c>
    </row>
    <row r="324" spans="1:20" x14ac:dyDescent="0.25">
      <c r="A324" s="12" t="s">
        <v>61</v>
      </c>
      <c r="B324" s="12" t="s">
        <v>60</v>
      </c>
      <c r="C324" s="12" t="s">
        <v>15</v>
      </c>
      <c r="D324" s="12">
        <v>0</v>
      </c>
      <c r="E324" s="12">
        <v>11.4</v>
      </c>
      <c r="F324" s="12">
        <v>20</v>
      </c>
      <c r="G324" s="12">
        <v>11.4</v>
      </c>
      <c r="H324" s="12">
        <v>0</v>
      </c>
      <c r="I324" s="12" t="s">
        <v>122</v>
      </c>
      <c r="J324" s="6">
        <v>46246</v>
      </c>
      <c r="K324">
        <v>46246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</row>
    <row r="325" spans="1:20" x14ac:dyDescent="0.25">
      <c r="A325" s="12" t="s">
        <v>61</v>
      </c>
      <c r="B325" s="12" t="s">
        <v>60</v>
      </c>
      <c r="C325" s="12" t="s">
        <v>14</v>
      </c>
      <c r="D325" s="12">
        <v>3.1774912809962848</v>
      </c>
      <c r="E325" s="12">
        <v>2.8499999999999996</v>
      </c>
      <c r="F325" s="12">
        <v>20</v>
      </c>
      <c r="G325" s="12">
        <v>2.8499999999999996</v>
      </c>
      <c r="H325" s="12">
        <v>3.7508650519031144</v>
      </c>
      <c r="I325" s="12" t="s">
        <v>123</v>
      </c>
      <c r="J325" s="6">
        <v>46246</v>
      </c>
      <c r="K325">
        <v>46246</v>
      </c>
      <c r="L325">
        <v>0.89693401113169946</v>
      </c>
      <c r="M325">
        <v>0.89693401113169946</v>
      </c>
      <c r="N325">
        <v>1.180448574111288</v>
      </c>
      <c r="O325">
        <v>1.1149092214022054</v>
      </c>
      <c r="P325">
        <v>1.1149092214022054</v>
      </c>
      <c r="Q325">
        <v>1.3160930006677596</v>
      </c>
      <c r="R325">
        <v>0.75982472324723238</v>
      </c>
      <c r="S325">
        <v>0.75982472324723238</v>
      </c>
      <c r="T325">
        <v>0.84713559059771792</v>
      </c>
    </row>
    <row r="326" spans="1:20" x14ac:dyDescent="0.25">
      <c r="A326" s="12" t="s">
        <v>61</v>
      </c>
      <c r="B326" s="12" t="s">
        <v>60</v>
      </c>
      <c r="C326" s="12" t="s">
        <v>14</v>
      </c>
      <c r="D326" s="12">
        <v>3.1774912809962848</v>
      </c>
      <c r="E326" s="12">
        <v>0.95</v>
      </c>
      <c r="F326" s="12">
        <v>20</v>
      </c>
      <c r="G326" s="12">
        <v>0.95</v>
      </c>
      <c r="H326" s="12">
        <v>3.7508650519031144</v>
      </c>
      <c r="I326" s="12" t="s">
        <v>124</v>
      </c>
      <c r="J326" s="6">
        <v>46247</v>
      </c>
      <c r="K326">
        <v>46247</v>
      </c>
      <c r="L326">
        <v>0.29897800371056649</v>
      </c>
      <c r="M326">
        <v>0.29897800371056649</v>
      </c>
      <c r="N326">
        <v>1.180448574111288</v>
      </c>
      <c r="O326">
        <v>3.3447276642066157</v>
      </c>
      <c r="P326">
        <v>3.3447276642066157</v>
      </c>
      <c r="Q326">
        <v>3.9482790020032783</v>
      </c>
      <c r="R326">
        <v>0.25327490774907746</v>
      </c>
      <c r="S326">
        <v>0.25327490774907746</v>
      </c>
      <c r="T326">
        <v>0.84713559059771792</v>
      </c>
    </row>
    <row r="327" spans="1:20" x14ac:dyDescent="0.25">
      <c r="A327" s="12" t="s">
        <v>61</v>
      </c>
      <c r="B327" s="12" t="s">
        <v>60</v>
      </c>
      <c r="C327" s="12" t="s">
        <v>15</v>
      </c>
      <c r="D327" s="12">
        <v>0</v>
      </c>
      <c r="E327" s="12">
        <v>11.4</v>
      </c>
      <c r="F327" s="12">
        <v>20</v>
      </c>
      <c r="G327" s="12">
        <v>11.4</v>
      </c>
      <c r="H327" s="12">
        <v>0</v>
      </c>
      <c r="I327" s="12" t="s">
        <v>125</v>
      </c>
      <c r="J327" s="6">
        <v>46247</v>
      </c>
      <c r="K327">
        <v>46247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</row>
    <row r="328" spans="1:20" x14ac:dyDescent="0.25">
      <c r="A328" s="12" t="s">
        <v>61</v>
      </c>
      <c r="B328" s="12" t="s">
        <v>60</v>
      </c>
      <c r="C328" s="12" t="s">
        <v>13</v>
      </c>
      <c r="D328" s="12">
        <v>3.6011567851291222</v>
      </c>
      <c r="E328" s="12">
        <v>2.8499999999999996</v>
      </c>
      <c r="F328" s="12">
        <v>20</v>
      </c>
      <c r="G328" s="12">
        <v>2.8499999999999996</v>
      </c>
      <c r="H328" s="12">
        <v>3.7647058823529393</v>
      </c>
      <c r="I328" s="12" t="s">
        <v>126</v>
      </c>
      <c r="J328" s="6">
        <v>46247</v>
      </c>
      <c r="K328">
        <v>46247</v>
      </c>
      <c r="L328">
        <v>0.79141236276326432</v>
      </c>
      <c r="M328">
        <v>0.79141236276326432</v>
      </c>
      <c r="N328">
        <v>1.0454157113900702</v>
      </c>
      <c r="O328">
        <v>1.2635637842558325</v>
      </c>
      <c r="P328">
        <v>1.2635637842558325</v>
      </c>
      <c r="Q328">
        <v>1.3209494324045403</v>
      </c>
      <c r="R328">
        <v>0.75703125000000027</v>
      </c>
      <c r="S328">
        <v>0.75703125000000027</v>
      </c>
      <c r="T328">
        <v>0.9565572710499235</v>
      </c>
    </row>
    <row r="329" spans="1:20" x14ac:dyDescent="0.25">
      <c r="A329" s="12" t="s">
        <v>61</v>
      </c>
      <c r="B329" s="12" t="s">
        <v>60</v>
      </c>
      <c r="C329" s="12" t="s">
        <v>14</v>
      </c>
      <c r="D329" s="12">
        <v>3.1774912809962848</v>
      </c>
      <c r="E329" s="12">
        <v>1.9</v>
      </c>
      <c r="F329" s="12">
        <v>20</v>
      </c>
      <c r="G329" s="12">
        <v>1.9</v>
      </c>
      <c r="H329" s="12">
        <v>3.7508650519031144</v>
      </c>
      <c r="I329" s="12" t="s">
        <v>127</v>
      </c>
      <c r="J329" s="6">
        <v>46248</v>
      </c>
      <c r="K329">
        <v>46248</v>
      </c>
      <c r="L329">
        <v>0.59795600742113297</v>
      </c>
      <c r="M329">
        <v>0.59795600742113297</v>
      </c>
      <c r="N329">
        <v>1.180448574111288</v>
      </c>
      <c r="O329">
        <v>1.6723638321033079</v>
      </c>
      <c r="P329">
        <v>1.6723638321033079</v>
      </c>
      <c r="Q329">
        <v>1.9741395010016392</v>
      </c>
      <c r="R329">
        <v>0.50654981549815492</v>
      </c>
      <c r="S329">
        <v>0.50654981549815492</v>
      </c>
      <c r="T329">
        <v>0.84713559059771792</v>
      </c>
    </row>
    <row r="330" spans="1:20" x14ac:dyDescent="0.25">
      <c r="A330" s="12" t="s">
        <v>61</v>
      </c>
      <c r="B330" s="12" t="s">
        <v>60</v>
      </c>
      <c r="C330" s="12" t="s">
        <v>13</v>
      </c>
      <c r="D330" s="12">
        <v>3.6011567851291222</v>
      </c>
      <c r="E330" s="12">
        <v>2.8499999999999996</v>
      </c>
      <c r="F330" s="12">
        <v>20</v>
      </c>
      <c r="G330" s="12">
        <v>2.8499999999999996</v>
      </c>
      <c r="H330" s="12">
        <v>3.7647058823529398</v>
      </c>
      <c r="I330" s="12" t="s">
        <v>128</v>
      </c>
      <c r="J330" s="6">
        <v>46248</v>
      </c>
      <c r="K330">
        <v>46248</v>
      </c>
      <c r="L330">
        <v>0.79141236276326432</v>
      </c>
      <c r="M330">
        <v>0.79141236276326432</v>
      </c>
      <c r="N330">
        <v>1.0454157113900704</v>
      </c>
      <c r="O330">
        <v>1.2635637842558325</v>
      </c>
      <c r="P330">
        <v>1.2635637842558325</v>
      </c>
      <c r="Q330">
        <v>1.3209494324045405</v>
      </c>
      <c r="R330">
        <v>0.75703125000000016</v>
      </c>
      <c r="S330">
        <v>0.75703125000000016</v>
      </c>
      <c r="T330">
        <v>0.95655727104992339</v>
      </c>
    </row>
    <row r="331" spans="1:20" x14ac:dyDescent="0.25">
      <c r="A331" s="12" t="s">
        <v>61</v>
      </c>
      <c r="B331" s="12" t="s">
        <v>60</v>
      </c>
      <c r="C331" s="12" t="s">
        <v>15</v>
      </c>
      <c r="D331" s="12">
        <v>0</v>
      </c>
      <c r="E331" s="12">
        <v>11.4</v>
      </c>
      <c r="F331" s="12">
        <v>20</v>
      </c>
      <c r="G331" s="12">
        <v>11.4</v>
      </c>
      <c r="H331" s="12">
        <v>0</v>
      </c>
      <c r="I331" s="12" t="s">
        <v>129</v>
      </c>
      <c r="J331" s="6">
        <v>46248</v>
      </c>
      <c r="K331">
        <v>46248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</row>
    <row r="332" spans="1:20" x14ac:dyDescent="0.25">
      <c r="A332" s="12" t="s">
        <v>61</v>
      </c>
      <c r="B332" s="12" t="s">
        <v>60</v>
      </c>
      <c r="C332" s="12" t="s">
        <v>14</v>
      </c>
      <c r="D332" s="12">
        <v>3.2304494690128904</v>
      </c>
      <c r="E332" s="12">
        <v>3.8</v>
      </c>
      <c r="F332" s="12">
        <v>20</v>
      </c>
      <c r="G332" s="12">
        <v>3.8</v>
      </c>
      <c r="H332" s="12">
        <v>3.7543252595155714</v>
      </c>
      <c r="I332" s="12" t="s">
        <v>130</v>
      </c>
      <c r="J332" s="6">
        <v>46249</v>
      </c>
      <c r="K332">
        <v>46249</v>
      </c>
      <c r="L332">
        <v>1.1763068998448516</v>
      </c>
      <c r="M332">
        <v>1.1763068998448516</v>
      </c>
      <c r="N332">
        <v>1.1621680807973631</v>
      </c>
      <c r="O332">
        <v>0.85011828131918177</v>
      </c>
      <c r="P332">
        <v>0.85011828131918177</v>
      </c>
      <c r="Q332">
        <v>0.98798033145146624</v>
      </c>
      <c r="R332">
        <v>1.0121658986175113</v>
      </c>
      <c r="S332">
        <v>1.0121658986175113</v>
      </c>
      <c r="T332">
        <v>0.86046073414260393</v>
      </c>
    </row>
    <row r="333" spans="1:20" x14ac:dyDescent="0.25">
      <c r="A333" s="12" t="s">
        <v>61</v>
      </c>
      <c r="B333" s="12" t="s">
        <v>60</v>
      </c>
      <c r="C333" s="12" t="s">
        <v>15</v>
      </c>
      <c r="D333" s="12">
        <v>0</v>
      </c>
      <c r="E333" s="12">
        <v>0.95</v>
      </c>
      <c r="F333" s="12">
        <v>20</v>
      </c>
      <c r="G333" s="12">
        <v>0.95</v>
      </c>
      <c r="H333" s="12">
        <v>0</v>
      </c>
      <c r="I333" s="12" t="s">
        <v>131</v>
      </c>
      <c r="J333" s="6">
        <v>46249</v>
      </c>
      <c r="K333">
        <v>46249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</row>
    <row r="334" spans="1:20" x14ac:dyDescent="0.25">
      <c r="A334" s="12" t="s">
        <v>61</v>
      </c>
      <c r="B334" s="12" t="s">
        <v>60</v>
      </c>
      <c r="C334" s="12" t="s">
        <v>13</v>
      </c>
      <c r="D334" s="12">
        <v>3.6011567851291222</v>
      </c>
      <c r="E334" s="12">
        <v>13.3</v>
      </c>
      <c r="F334" s="12">
        <v>20</v>
      </c>
      <c r="G334" s="12">
        <v>13.3</v>
      </c>
      <c r="H334" s="12">
        <v>3.8235294117647038</v>
      </c>
      <c r="I334" s="12" t="s">
        <v>143</v>
      </c>
      <c r="J334" s="6">
        <v>46249</v>
      </c>
      <c r="K334">
        <v>46249</v>
      </c>
      <c r="L334">
        <v>3.6932576928952336</v>
      </c>
      <c r="M334">
        <v>3.6932576928952336</v>
      </c>
      <c r="N334">
        <v>1.0617503318805399</v>
      </c>
      <c r="O334">
        <v>0.27076366805482122</v>
      </c>
      <c r="P334">
        <v>0.27076366805482122</v>
      </c>
      <c r="Q334">
        <v>0.28748341441839881</v>
      </c>
      <c r="R334">
        <v>3.47846153846154</v>
      </c>
      <c r="S334">
        <v>3.47846153846154</v>
      </c>
      <c r="T334">
        <v>0.9418410053414632</v>
      </c>
    </row>
    <row r="335" spans="1:20" x14ac:dyDescent="0.25">
      <c r="A335" s="12" t="s">
        <v>61</v>
      </c>
      <c r="B335" s="12" t="s">
        <v>60</v>
      </c>
      <c r="C335" s="12" t="s">
        <v>15</v>
      </c>
      <c r="D335" s="12">
        <v>0</v>
      </c>
      <c r="E335" s="12">
        <v>0.95</v>
      </c>
      <c r="F335" s="12">
        <v>20</v>
      </c>
      <c r="G335" s="12">
        <v>0.95</v>
      </c>
      <c r="H335" s="12">
        <v>0</v>
      </c>
      <c r="I335" s="12" t="s">
        <v>133</v>
      </c>
      <c r="J335" s="6">
        <v>46250</v>
      </c>
      <c r="K335">
        <v>46250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</row>
    <row r="336" spans="1:20" x14ac:dyDescent="0.25">
      <c r="A336" s="12" t="s">
        <v>61</v>
      </c>
      <c r="B336" s="12" t="s">
        <v>60</v>
      </c>
      <c r="C336" s="12" t="s">
        <v>14</v>
      </c>
      <c r="D336" s="12">
        <v>3.1774912809962856</v>
      </c>
      <c r="E336" s="12">
        <v>14.25</v>
      </c>
      <c r="F336" s="12">
        <v>20</v>
      </c>
      <c r="G336" s="12">
        <v>14.25</v>
      </c>
      <c r="H336" s="12">
        <v>3.7508650519031144</v>
      </c>
      <c r="I336" s="12" t="s">
        <v>144</v>
      </c>
      <c r="J336" s="6">
        <v>46250</v>
      </c>
      <c r="K336">
        <v>46250</v>
      </c>
      <c r="L336">
        <v>4.4846700556584969</v>
      </c>
      <c r="M336">
        <v>4.4846700556584969</v>
      </c>
      <c r="N336">
        <v>1.1804485741112878</v>
      </c>
      <c r="O336">
        <v>0.2229818442804411</v>
      </c>
      <c r="P336">
        <v>0.2229818442804411</v>
      </c>
      <c r="Q336">
        <v>0.26321860013355186</v>
      </c>
      <c r="R336">
        <v>3.7991236162361623</v>
      </c>
      <c r="S336">
        <v>3.7991236162361623</v>
      </c>
      <c r="T336">
        <v>0.84713559059771815</v>
      </c>
    </row>
    <row r="337" spans="1:20" x14ac:dyDescent="0.25">
      <c r="A337" s="12" t="s">
        <v>61</v>
      </c>
      <c r="B337" s="12" t="s">
        <v>60</v>
      </c>
      <c r="C337" s="12" t="s">
        <v>13</v>
      </c>
      <c r="D337" s="12">
        <v>3.6011567851291222</v>
      </c>
      <c r="E337" s="12">
        <v>2.8499999999999996</v>
      </c>
      <c r="F337" s="12">
        <v>20</v>
      </c>
      <c r="G337" s="12">
        <v>2.8499999999999996</v>
      </c>
      <c r="H337" s="12">
        <v>3.7647058823529393</v>
      </c>
      <c r="I337" s="12" t="s">
        <v>132</v>
      </c>
      <c r="J337" s="6">
        <v>46250</v>
      </c>
      <c r="K337">
        <v>46250</v>
      </c>
      <c r="L337">
        <v>0.79141236276326432</v>
      </c>
      <c r="M337">
        <v>0.79141236276326432</v>
      </c>
      <c r="N337">
        <v>1.0454157113900702</v>
      </c>
      <c r="O337">
        <v>1.2635637842558325</v>
      </c>
      <c r="P337">
        <v>1.2635637842558325</v>
      </c>
      <c r="Q337">
        <v>1.3209494324045403</v>
      </c>
      <c r="R337">
        <v>0.75703125000000027</v>
      </c>
      <c r="S337">
        <v>0.75703125000000027</v>
      </c>
      <c r="T337">
        <v>0.9565572710499235</v>
      </c>
    </row>
    <row r="338" spans="1:20" x14ac:dyDescent="0.25">
      <c r="A338" s="12" t="s">
        <v>62</v>
      </c>
      <c r="B338" s="12" t="s">
        <v>60</v>
      </c>
      <c r="C338" s="12" t="s">
        <v>14</v>
      </c>
      <c r="D338" s="12">
        <v>1.4299114156666153</v>
      </c>
      <c r="E338" s="12">
        <v>1.9</v>
      </c>
      <c r="F338" s="12">
        <v>20</v>
      </c>
      <c r="G338" s="12">
        <v>1.9</v>
      </c>
      <c r="H338" s="12">
        <v>0.82352941176470595</v>
      </c>
      <c r="I338" s="12" t="s">
        <v>65</v>
      </c>
      <c r="J338" s="6">
        <v>46223</v>
      </c>
      <c r="K338">
        <v>46223</v>
      </c>
      <c r="L338">
        <v>1.328753641087782</v>
      </c>
      <c r="M338">
        <v>1.328753641087782</v>
      </c>
      <c r="N338">
        <v>0.57593037075012232</v>
      </c>
      <c r="O338">
        <v>0.75258495561400807</v>
      </c>
      <c r="P338">
        <v>0.75258495561400807</v>
      </c>
      <c r="Q338">
        <v>0.43343653250774</v>
      </c>
      <c r="R338">
        <v>2.3071428571428569</v>
      </c>
      <c r="S338">
        <v>2.3071428571428569</v>
      </c>
      <c r="T338">
        <v>1.7363210047380326</v>
      </c>
    </row>
    <row r="339" spans="1:20" x14ac:dyDescent="0.25">
      <c r="A339" s="12" t="s">
        <v>62</v>
      </c>
      <c r="B339" s="12" t="s">
        <v>60</v>
      </c>
      <c r="C339" s="12" t="s">
        <v>13</v>
      </c>
      <c r="D339" s="12">
        <v>1.8698841589486512</v>
      </c>
      <c r="E339" s="12">
        <v>0.95</v>
      </c>
      <c r="F339" s="12">
        <v>20</v>
      </c>
      <c r="G339" s="12">
        <v>0.95</v>
      </c>
      <c r="H339" s="12">
        <v>0</v>
      </c>
      <c r="I339" s="12" t="s">
        <v>64</v>
      </c>
      <c r="J339" s="6">
        <v>46223</v>
      </c>
      <c r="K339">
        <v>46223</v>
      </c>
      <c r="L339">
        <v>0.50805286276885764</v>
      </c>
      <c r="M339">
        <v>0.50805286276885764</v>
      </c>
      <c r="N339">
        <v>0</v>
      </c>
      <c r="O339">
        <v>1.9682991146827908</v>
      </c>
      <c r="P339">
        <v>1.9682991146827908</v>
      </c>
      <c r="Q339">
        <v>0</v>
      </c>
      <c r="R339">
        <v>0</v>
      </c>
      <c r="S339">
        <v>0</v>
      </c>
      <c r="T339">
        <v>0</v>
      </c>
    </row>
    <row r="340" spans="1:20" x14ac:dyDescent="0.25">
      <c r="A340" s="12" t="s">
        <v>62</v>
      </c>
      <c r="B340" s="12" t="s">
        <v>60</v>
      </c>
      <c r="C340" s="12" t="s">
        <v>15</v>
      </c>
      <c r="D340" s="12">
        <v>0</v>
      </c>
      <c r="E340" s="12">
        <v>0</v>
      </c>
      <c r="F340" s="12">
        <v>20</v>
      </c>
      <c r="G340" s="12">
        <v>0</v>
      </c>
      <c r="H340" s="12">
        <v>0</v>
      </c>
      <c r="I340" s="12" t="s">
        <v>134</v>
      </c>
      <c r="J340" s="6">
        <v>46223</v>
      </c>
      <c r="K340">
        <v>46223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</row>
    <row r="341" spans="1:20" x14ac:dyDescent="0.25">
      <c r="A341" s="12" t="s">
        <v>62</v>
      </c>
      <c r="B341" s="12" t="s">
        <v>60</v>
      </c>
      <c r="C341" s="12" t="s">
        <v>13</v>
      </c>
      <c r="D341" s="12">
        <v>1.869884158948651</v>
      </c>
      <c r="E341" s="12">
        <v>0.95</v>
      </c>
      <c r="F341" s="12">
        <v>20</v>
      </c>
      <c r="G341" s="12">
        <v>0.95</v>
      </c>
      <c r="H341" s="12">
        <v>0</v>
      </c>
      <c r="I341" s="12" t="s">
        <v>66</v>
      </c>
      <c r="J341" s="6">
        <v>46224</v>
      </c>
      <c r="K341">
        <v>46224</v>
      </c>
      <c r="L341">
        <v>0.50805286276885775</v>
      </c>
      <c r="M341">
        <v>0.50805286276885775</v>
      </c>
      <c r="N341">
        <v>0</v>
      </c>
      <c r="O341">
        <v>1.9682991146827906</v>
      </c>
      <c r="P341">
        <v>1.9682991146827906</v>
      </c>
      <c r="Q341">
        <v>0</v>
      </c>
      <c r="R341">
        <v>0</v>
      </c>
      <c r="S341">
        <v>0</v>
      </c>
      <c r="T341">
        <v>0</v>
      </c>
    </row>
    <row r="342" spans="1:20" x14ac:dyDescent="0.25">
      <c r="A342" s="12" t="s">
        <v>62</v>
      </c>
      <c r="B342" s="12" t="s">
        <v>60</v>
      </c>
      <c r="C342" s="12" t="s">
        <v>14</v>
      </c>
      <c r="D342" s="12">
        <v>1.4299114156666153</v>
      </c>
      <c r="E342" s="12">
        <v>1.9</v>
      </c>
      <c r="F342" s="12">
        <v>20</v>
      </c>
      <c r="G342" s="12">
        <v>1.9</v>
      </c>
      <c r="H342" s="12">
        <v>0.82352941176470573</v>
      </c>
      <c r="I342" s="12" t="s">
        <v>68</v>
      </c>
      <c r="J342" s="6">
        <v>46224</v>
      </c>
      <c r="K342">
        <v>46224</v>
      </c>
      <c r="L342">
        <v>1.328753641087782</v>
      </c>
      <c r="M342">
        <v>1.328753641087782</v>
      </c>
      <c r="N342">
        <v>0.5759303707501221</v>
      </c>
      <c r="O342">
        <v>0.75258495561400807</v>
      </c>
      <c r="P342">
        <v>0.75258495561400807</v>
      </c>
      <c r="Q342">
        <v>0.43343653250773989</v>
      </c>
      <c r="R342">
        <v>2.3071428571428574</v>
      </c>
      <c r="S342">
        <v>2.3071428571428574</v>
      </c>
      <c r="T342">
        <v>1.7363210047380331</v>
      </c>
    </row>
    <row r="343" spans="1:20" x14ac:dyDescent="0.25">
      <c r="A343" s="12" t="s">
        <v>62</v>
      </c>
      <c r="B343" s="12" t="s">
        <v>60</v>
      </c>
      <c r="C343" s="12" t="s">
        <v>15</v>
      </c>
      <c r="D343" s="12">
        <v>0</v>
      </c>
      <c r="E343" s="12">
        <v>0.95</v>
      </c>
      <c r="F343" s="12">
        <v>20</v>
      </c>
      <c r="G343" s="12">
        <v>0.95</v>
      </c>
      <c r="H343" s="12">
        <v>0</v>
      </c>
      <c r="I343" s="12" t="s">
        <v>67</v>
      </c>
      <c r="J343" s="6">
        <v>46224</v>
      </c>
      <c r="K343">
        <v>46224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</row>
    <row r="344" spans="1:20" x14ac:dyDescent="0.25">
      <c r="A344" s="12" t="s">
        <v>62</v>
      </c>
      <c r="B344" s="12" t="s">
        <v>60</v>
      </c>
      <c r="C344" s="12" t="s">
        <v>13</v>
      </c>
      <c r="D344" s="12">
        <v>1.869884158948651</v>
      </c>
      <c r="E344" s="12">
        <v>1.9</v>
      </c>
      <c r="F344" s="12">
        <v>20</v>
      </c>
      <c r="G344" s="12">
        <v>1.9</v>
      </c>
      <c r="H344" s="12">
        <v>0</v>
      </c>
      <c r="I344" s="12" t="s">
        <v>69</v>
      </c>
      <c r="J344" s="6">
        <v>46225</v>
      </c>
      <c r="K344">
        <v>46225</v>
      </c>
      <c r="L344">
        <v>1.0161057255377155</v>
      </c>
      <c r="M344">
        <v>1.0161057255377155</v>
      </c>
      <c r="N344">
        <v>0</v>
      </c>
      <c r="O344">
        <v>0.98414955734139531</v>
      </c>
      <c r="P344">
        <v>0.98414955734139531</v>
      </c>
      <c r="Q344">
        <v>0</v>
      </c>
      <c r="R344">
        <v>0</v>
      </c>
      <c r="S344">
        <v>0</v>
      </c>
      <c r="T344">
        <v>0</v>
      </c>
    </row>
    <row r="345" spans="1:20" x14ac:dyDescent="0.25">
      <c r="A345" s="12" t="s">
        <v>62</v>
      </c>
      <c r="B345" s="12" t="s">
        <v>60</v>
      </c>
      <c r="C345" s="12" t="s">
        <v>14</v>
      </c>
      <c r="D345" s="12">
        <v>1.5949011943973783</v>
      </c>
      <c r="E345" s="12">
        <v>1.9</v>
      </c>
      <c r="F345" s="12">
        <v>20</v>
      </c>
      <c r="G345" s="12">
        <v>1.9</v>
      </c>
      <c r="H345" s="12">
        <v>0.82352941176470573</v>
      </c>
      <c r="I345" s="12" t="s">
        <v>71</v>
      </c>
      <c r="J345" s="6">
        <v>46225</v>
      </c>
      <c r="K345">
        <v>46225</v>
      </c>
      <c r="L345">
        <v>1.1912963678718047</v>
      </c>
      <c r="M345">
        <v>1.1912963678718047</v>
      </c>
      <c r="N345">
        <v>0.51635136687941996</v>
      </c>
      <c r="O345">
        <v>0.83942168126177807</v>
      </c>
      <c r="P345">
        <v>0.83942168126177807</v>
      </c>
      <c r="Q345">
        <v>0.43343653250773989</v>
      </c>
      <c r="R345">
        <v>2.3071428571428574</v>
      </c>
      <c r="S345">
        <v>2.3071428571428574</v>
      </c>
      <c r="T345">
        <v>1.9366657360539596</v>
      </c>
    </row>
    <row r="346" spans="1:20" x14ac:dyDescent="0.25">
      <c r="A346" s="12" t="s">
        <v>62</v>
      </c>
      <c r="B346" s="12" t="s">
        <v>60</v>
      </c>
      <c r="C346" s="12" t="s">
        <v>15</v>
      </c>
      <c r="D346" s="12">
        <v>0</v>
      </c>
      <c r="E346" s="12">
        <v>0</v>
      </c>
      <c r="F346" s="12">
        <v>20</v>
      </c>
      <c r="G346" s="12">
        <v>0</v>
      </c>
      <c r="H346" s="12">
        <v>0</v>
      </c>
      <c r="I346" s="12" t="s">
        <v>70</v>
      </c>
      <c r="J346" s="6">
        <v>46225</v>
      </c>
      <c r="K346">
        <v>46225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</row>
    <row r="347" spans="1:20" x14ac:dyDescent="0.25">
      <c r="A347" s="12" t="s">
        <v>62</v>
      </c>
      <c r="B347" s="12" t="s">
        <v>60</v>
      </c>
      <c r="C347" s="12" t="s">
        <v>14</v>
      </c>
      <c r="D347" s="12">
        <v>1.4299114156666153</v>
      </c>
      <c r="E347" s="12">
        <v>0.95</v>
      </c>
      <c r="F347" s="12">
        <v>20</v>
      </c>
      <c r="G347" s="12">
        <v>0.95</v>
      </c>
      <c r="H347" s="12">
        <v>0</v>
      </c>
      <c r="I347" s="12" t="s">
        <v>72</v>
      </c>
      <c r="J347" s="6">
        <v>46226</v>
      </c>
      <c r="K347">
        <v>46226</v>
      </c>
      <c r="L347">
        <v>0.66437682054389102</v>
      </c>
      <c r="M347">
        <v>0.66437682054389102</v>
      </c>
      <c r="N347">
        <v>0</v>
      </c>
      <c r="O347">
        <v>1.5051699112280161</v>
      </c>
      <c r="P347">
        <v>1.5051699112280161</v>
      </c>
      <c r="Q347">
        <v>0</v>
      </c>
      <c r="R347">
        <v>0</v>
      </c>
      <c r="S347">
        <v>0</v>
      </c>
      <c r="T347">
        <v>0</v>
      </c>
    </row>
    <row r="348" spans="1:20" x14ac:dyDescent="0.25">
      <c r="A348" s="12" t="s">
        <v>62</v>
      </c>
      <c r="B348" s="12" t="s">
        <v>60</v>
      </c>
      <c r="C348" s="12" t="s">
        <v>15</v>
      </c>
      <c r="D348" s="12">
        <v>0</v>
      </c>
      <c r="E348" s="12">
        <v>0</v>
      </c>
      <c r="F348" s="12">
        <v>20</v>
      </c>
      <c r="G348" s="12">
        <v>0</v>
      </c>
      <c r="H348" s="12">
        <v>0</v>
      </c>
      <c r="I348" s="12" t="s">
        <v>73</v>
      </c>
      <c r="J348" s="6">
        <v>46226</v>
      </c>
      <c r="K348">
        <v>46226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</row>
    <row r="349" spans="1:20" x14ac:dyDescent="0.25">
      <c r="A349" s="12" t="s">
        <v>62</v>
      </c>
      <c r="B349" s="12" t="s">
        <v>60</v>
      </c>
      <c r="C349" s="12" t="s">
        <v>13</v>
      </c>
      <c r="D349" s="12">
        <v>1.869884158948651</v>
      </c>
      <c r="E349" s="12">
        <v>1.9</v>
      </c>
      <c r="F349" s="12">
        <v>20</v>
      </c>
      <c r="G349" s="12">
        <v>1.9</v>
      </c>
      <c r="H349" s="12">
        <v>0</v>
      </c>
      <c r="I349" s="12" t="s">
        <v>74</v>
      </c>
      <c r="J349" s="6">
        <v>46226</v>
      </c>
      <c r="K349">
        <v>46226</v>
      </c>
      <c r="L349">
        <v>1.0161057255377155</v>
      </c>
      <c r="M349">
        <v>1.0161057255377155</v>
      </c>
      <c r="N349">
        <v>0</v>
      </c>
      <c r="O349">
        <v>0.98414955734139531</v>
      </c>
      <c r="P349">
        <v>0.98414955734139531</v>
      </c>
      <c r="Q349">
        <v>0</v>
      </c>
      <c r="R349">
        <v>0</v>
      </c>
      <c r="S349">
        <v>0</v>
      </c>
      <c r="T349">
        <v>0</v>
      </c>
    </row>
    <row r="350" spans="1:20" x14ac:dyDescent="0.25">
      <c r="A350" s="12" t="s">
        <v>62</v>
      </c>
      <c r="B350" s="12" t="s">
        <v>60</v>
      </c>
      <c r="C350" s="12" t="s">
        <v>14</v>
      </c>
      <c r="D350" s="12">
        <v>1.4299114156666153</v>
      </c>
      <c r="E350" s="12">
        <v>0</v>
      </c>
      <c r="F350" s="12">
        <v>20</v>
      </c>
      <c r="G350" s="12">
        <v>0</v>
      </c>
      <c r="H350" s="12">
        <v>0</v>
      </c>
      <c r="I350" s="12" t="s">
        <v>58</v>
      </c>
      <c r="J350" s="6">
        <v>46227</v>
      </c>
      <c r="K350">
        <v>46227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</row>
    <row r="351" spans="1:20" x14ac:dyDescent="0.25">
      <c r="A351" s="12" t="s">
        <v>62</v>
      </c>
      <c r="B351" s="12" t="s">
        <v>60</v>
      </c>
      <c r="C351" s="12" t="s">
        <v>13</v>
      </c>
      <c r="D351" s="12">
        <v>1.869884158948651</v>
      </c>
      <c r="E351" s="12">
        <v>0.95</v>
      </c>
      <c r="F351" s="12">
        <v>20</v>
      </c>
      <c r="G351" s="12">
        <v>0.95</v>
      </c>
      <c r="H351" s="12">
        <v>0</v>
      </c>
      <c r="I351" s="12" t="s">
        <v>56</v>
      </c>
      <c r="J351" s="6">
        <v>46227</v>
      </c>
      <c r="K351">
        <v>46227</v>
      </c>
      <c r="L351">
        <v>0.50805286276885775</v>
      </c>
      <c r="M351">
        <v>0.50805286276885775</v>
      </c>
      <c r="N351">
        <v>0</v>
      </c>
      <c r="O351">
        <v>1.9682991146827906</v>
      </c>
      <c r="P351">
        <v>1.9682991146827906</v>
      </c>
      <c r="Q351">
        <v>0</v>
      </c>
      <c r="R351">
        <v>0</v>
      </c>
      <c r="S351">
        <v>0</v>
      </c>
      <c r="T351">
        <v>0</v>
      </c>
    </row>
    <row r="352" spans="1:20" x14ac:dyDescent="0.25">
      <c r="A352" s="12" t="s">
        <v>62</v>
      </c>
      <c r="B352" s="12" t="s">
        <v>60</v>
      </c>
      <c r="C352" s="12" t="s">
        <v>15</v>
      </c>
      <c r="D352" s="12">
        <v>0</v>
      </c>
      <c r="E352" s="12">
        <v>0.95</v>
      </c>
      <c r="F352" s="12">
        <v>20</v>
      </c>
      <c r="G352" s="12">
        <v>0.95</v>
      </c>
      <c r="H352" s="12">
        <v>0</v>
      </c>
      <c r="I352" s="12" t="s">
        <v>57</v>
      </c>
      <c r="J352" s="6">
        <v>46227</v>
      </c>
      <c r="K352">
        <v>46227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</row>
    <row r="353" spans="1:20" x14ac:dyDescent="0.25">
      <c r="A353" s="12" t="s">
        <v>62</v>
      </c>
      <c r="B353" s="12" t="s">
        <v>60</v>
      </c>
      <c r="C353" s="12" t="s">
        <v>13</v>
      </c>
      <c r="D353" s="12">
        <v>1.869884158948651</v>
      </c>
      <c r="E353" s="12">
        <v>0.95</v>
      </c>
      <c r="F353" s="12">
        <v>20</v>
      </c>
      <c r="G353" s="12">
        <v>0.95</v>
      </c>
      <c r="H353" s="12">
        <v>0</v>
      </c>
      <c r="I353" s="12" t="s">
        <v>135</v>
      </c>
      <c r="J353" s="6">
        <v>46228</v>
      </c>
      <c r="K353">
        <v>46228</v>
      </c>
      <c r="L353">
        <v>0.50805286276885775</v>
      </c>
      <c r="M353">
        <v>0.50805286276885775</v>
      </c>
      <c r="N353">
        <v>0</v>
      </c>
      <c r="O353">
        <v>1.9682991146827906</v>
      </c>
      <c r="P353">
        <v>1.9682991146827906</v>
      </c>
      <c r="Q353">
        <v>0</v>
      </c>
      <c r="R353">
        <v>0</v>
      </c>
      <c r="S353">
        <v>0</v>
      </c>
      <c r="T353">
        <v>0</v>
      </c>
    </row>
    <row r="354" spans="1:20" x14ac:dyDescent="0.25">
      <c r="A354" s="12" t="s">
        <v>62</v>
      </c>
      <c r="B354" s="12" t="s">
        <v>60</v>
      </c>
      <c r="C354" s="12" t="s">
        <v>15</v>
      </c>
      <c r="D354" s="12">
        <v>0</v>
      </c>
      <c r="E354" s="12">
        <v>0</v>
      </c>
      <c r="F354" s="12">
        <v>20</v>
      </c>
      <c r="G354" s="12">
        <v>0</v>
      </c>
      <c r="H354" s="12">
        <v>0</v>
      </c>
      <c r="I354" s="12" t="s">
        <v>75</v>
      </c>
      <c r="J354" s="6">
        <v>46228</v>
      </c>
      <c r="K354">
        <v>46228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</row>
    <row r="355" spans="1:20" x14ac:dyDescent="0.25">
      <c r="A355" s="12" t="s">
        <v>62</v>
      </c>
      <c r="B355" s="12" t="s">
        <v>60</v>
      </c>
      <c r="C355" s="12" t="s">
        <v>14</v>
      </c>
      <c r="D355" s="12">
        <v>1.4299114156666153</v>
      </c>
      <c r="E355" s="12">
        <v>0</v>
      </c>
      <c r="F355" s="12">
        <v>20</v>
      </c>
      <c r="G355" s="12">
        <v>0</v>
      </c>
      <c r="H355" s="12">
        <v>0</v>
      </c>
      <c r="I355" s="12" t="s">
        <v>76</v>
      </c>
      <c r="J355" s="6">
        <v>46228</v>
      </c>
      <c r="K355">
        <v>46228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</row>
    <row r="356" spans="1:20" x14ac:dyDescent="0.25">
      <c r="A356" s="12" t="s">
        <v>62</v>
      </c>
      <c r="B356" s="12" t="s">
        <v>60</v>
      </c>
      <c r="C356" s="12" t="s">
        <v>15</v>
      </c>
      <c r="D356" s="12">
        <v>0</v>
      </c>
      <c r="E356" s="12">
        <v>0</v>
      </c>
      <c r="F356" s="12">
        <v>20</v>
      </c>
      <c r="G356" s="12">
        <v>0</v>
      </c>
      <c r="H356" s="12">
        <v>0</v>
      </c>
      <c r="I356" s="12" t="s">
        <v>77</v>
      </c>
      <c r="J356" s="6">
        <v>46229</v>
      </c>
      <c r="K356">
        <v>46229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</row>
    <row r="357" spans="1:20" x14ac:dyDescent="0.25">
      <c r="A357" s="12" t="s">
        <v>62</v>
      </c>
      <c r="B357" s="12" t="s">
        <v>60</v>
      </c>
      <c r="C357" s="12" t="s">
        <v>14</v>
      </c>
      <c r="D357" s="12">
        <v>1.4299114156666153</v>
      </c>
      <c r="E357" s="12">
        <v>2.8499999999999996</v>
      </c>
      <c r="F357" s="12">
        <v>20</v>
      </c>
      <c r="G357" s="12">
        <v>2.8499999999999996</v>
      </c>
      <c r="H357" s="12">
        <v>0</v>
      </c>
      <c r="I357" s="12" t="s">
        <v>79</v>
      </c>
      <c r="J357" s="6">
        <v>46229</v>
      </c>
      <c r="K357">
        <v>46229</v>
      </c>
      <c r="L357">
        <v>1.9931304616316727</v>
      </c>
      <c r="M357">
        <v>1.9931304616316727</v>
      </c>
      <c r="N357">
        <v>0</v>
      </c>
      <c r="O357">
        <v>0.50172330374267204</v>
      </c>
      <c r="P357">
        <v>0.50172330374267204</v>
      </c>
      <c r="Q357">
        <v>0</v>
      </c>
      <c r="R357">
        <v>0</v>
      </c>
      <c r="S357">
        <v>0</v>
      </c>
      <c r="T357">
        <v>0</v>
      </c>
    </row>
    <row r="358" spans="1:20" x14ac:dyDescent="0.25">
      <c r="A358" s="12" t="s">
        <v>62</v>
      </c>
      <c r="B358" s="12" t="s">
        <v>60</v>
      </c>
      <c r="C358" s="12" t="s">
        <v>13</v>
      </c>
      <c r="D358" s="12">
        <v>1.869884158948651</v>
      </c>
      <c r="E358" s="12">
        <v>0</v>
      </c>
      <c r="F358" s="12">
        <v>20</v>
      </c>
      <c r="G358" s="12">
        <v>0</v>
      </c>
      <c r="H358" s="12">
        <v>0</v>
      </c>
      <c r="I358" s="12" t="s">
        <v>78</v>
      </c>
      <c r="J358" s="6">
        <v>46229</v>
      </c>
      <c r="K358">
        <v>46229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</row>
    <row r="359" spans="1:20" x14ac:dyDescent="0.25">
      <c r="A359" s="12" t="s">
        <v>62</v>
      </c>
      <c r="B359" s="12" t="s">
        <v>60</v>
      </c>
      <c r="C359" s="12" t="s">
        <v>13</v>
      </c>
      <c r="D359" s="12">
        <v>1.869884158948651</v>
      </c>
      <c r="E359" s="12">
        <v>0</v>
      </c>
      <c r="F359" s="12">
        <v>20</v>
      </c>
      <c r="G359" s="12">
        <v>0</v>
      </c>
      <c r="H359" s="12">
        <v>0</v>
      </c>
      <c r="I359" s="12" t="s">
        <v>82</v>
      </c>
      <c r="J359" s="6">
        <v>46230</v>
      </c>
      <c r="K359">
        <v>46230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</row>
    <row r="360" spans="1:20" x14ac:dyDescent="0.25">
      <c r="A360" s="12" t="s">
        <v>62</v>
      </c>
      <c r="B360" s="12" t="s">
        <v>60</v>
      </c>
      <c r="C360" s="12" t="s">
        <v>14</v>
      </c>
      <c r="D360" s="12">
        <v>1.4299114156666153</v>
      </c>
      <c r="E360" s="12">
        <v>0.95</v>
      </c>
      <c r="F360" s="12">
        <v>20</v>
      </c>
      <c r="G360" s="12">
        <v>0.95</v>
      </c>
      <c r="H360" s="12">
        <v>0</v>
      </c>
      <c r="I360" s="12" t="s">
        <v>80</v>
      </c>
      <c r="J360" s="6">
        <v>46230</v>
      </c>
      <c r="K360">
        <v>46230</v>
      </c>
      <c r="L360">
        <v>0.66437682054389102</v>
      </c>
      <c r="M360">
        <v>0.66437682054389102</v>
      </c>
      <c r="N360">
        <v>0</v>
      </c>
      <c r="O360">
        <v>1.5051699112280161</v>
      </c>
      <c r="P360">
        <v>1.5051699112280161</v>
      </c>
      <c r="Q360">
        <v>0</v>
      </c>
      <c r="R360">
        <v>0</v>
      </c>
      <c r="S360">
        <v>0</v>
      </c>
      <c r="T360">
        <v>0</v>
      </c>
    </row>
    <row r="361" spans="1:20" x14ac:dyDescent="0.25">
      <c r="A361" s="12" t="s">
        <v>62</v>
      </c>
      <c r="B361" s="12" t="s">
        <v>60</v>
      </c>
      <c r="C361" s="12" t="s">
        <v>15</v>
      </c>
      <c r="D361" s="12">
        <v>0</v>
      </c>
      <c r="E361" s="12">
        <v>0</v>
      </c>
      <c r="F361" s="12">
        <v>20</v>
      </c>
      <c r="G361" s="12">
        <v>0</v>
      </c>
      <c r="H361" s="12">
        <v>0</v>
      </c>
      <c r="I361" s="12" t="s">
        <v>81</v>
      </c>
      <c r="J361" s="6">
        <v>46230</v>
      </c>
      <c r="K361">
        <v>46230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</row>
    <row r="362" spans="1:20" x14ac:dyDescent="0.25">
      <c r="A362" s="12" t="s">
        <v>62</v>
      </c>
      <c r="B362" s="12" t="s">
        <v>60</v>
      </c>
      <c r="C362" s="12" t="s">
        <v>14</v>
      </c>
      <c r="D362" s="12">
        <v>1.4299114156666153</v>
      </c>
      <c r="E362" s="12">
        <v>0</v>
      </c>
      <c r="F362" s="12">
        <v>20</v>
      </c>
      <c r="G362" s="12">
        <v>0</v>
      </c>
      <c r="H362" s="12">
        <v>0</v>
      </c>
      <c r="I362" s="12" t="s">
        <v>84</v>
      </c>
      <c r="J362" s="6">
        <v>46231</v>
      </c>
      <c r="K362">
        <v>46231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</row>
    <row r="363" spans="1:20" x14ac:dyDescent="0.25">
      <c r="A363" s="12" t="s">
        <v>62</v>
      </c>
      <c r="B363" s="12" t="s">
        <v>60</v>
      </c>
      <c r="C363" s="12" t="s">
        <v>13</v>
      </c>
      <c r="D363" s="12">
        <v>1.869884158948651</v>
      </c>
      <c r="E363" s="12">
        <v>1.9</v>
      </c>
      <c r="F363" s="12">
        <v>20</v>
      </c>
      <c r="G363" s="12">
        <v>1.9</v>
      </c>
      <c r="H363" s="12">
        <v>0</v>
      </c>
      <c r="I363" s="12" t="s">
        <v>83</v>
      </c>
      <c r="J363" s="6">
        <v>46231</v>
      </c>
      <c r="K363">
        <v>46231</v>
      </c>
      <c r="L363">
        <v>1.0161057255377155</v>
      </c>
      <c r="M363">
        <v>1.0161057255377155</v>
      </c>
      <c r="N363">
        <v>0</v>
      </c>
      <c r="O363">
        <v>0.98414955734139531</v>
      </c>
      <c r="P363">
        <v>0.98414955734139531</v>
      </c>
      <c r="Q363">
        <v>0</v>
      </c>
      <c r="R363">
        <v>0</v>
      </c>
      <c r="S363">
        <v>0</v>
      </c>
      <c r="T363">
        <v>0</v>
      </c>
    </row>
    <row r="364" spans="1:20" x14ac:dyDescent="0.25">
      <c r="A364" s="12" t="s">
        <v>62</v>
      </c>
      <c r="B364" s="12" t="s">
        <v>60</v>
      </c>
      <c r="C364" s="12" t="s">
        <v>15</v>
      </c>
      <c r="D364" s="12">
        <v>0</v>
      </c>
      <c r="E364" s="12">
        <v>1.9</v>
      </c>
      <c r="F364" s="12">
        <v>20</v>
      </c>
      <c r="G364" s="12">
        <v>1.9</v>
      </c>
      <c r="H364" s="12">
        <v>0</v>
      </c>
      <c r="I364" s="12" t="s">
        <v>136</v>
      </c>
      <c r="J364" s="6">
        <v>46231</v>
      </c>
      <c r="K364">
        <v>46231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</row>
    <row r="365" spans="1:20" x14ac:dyDescent="0.25">
      <c r="A365" s="12" t="s">
        <v>62</v>
      </c>
      <c r="B365" s="12" t="s">
        <v>60</v>
      </c>
      <c r="C365" s="12" t="s">
        <v>15</v>
      </c>
      <c r="D365" s="12">
        <v>0</v>
      </c>
      <c r="E365" s="12">
        <v>0</v>
      </c>
      <c r="F365" s="12">
        <v>20</v>
      </c>
      <c r="G365" s="12">
        <v>0</v>
      </c>
      <c r="H365" s="12">
        <v>0</v>
      </c>
      <c r="I365" s="12" t="s">
        <v>87</v>
      </c>
      <c r="J365" s="6">
        <v>46232</v>
      </c>
      <c r="K365">
        <v>46232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</row>
    <row r="366" spans="1:20" x14ac:dyDescent="0.25">
      <c r="A366" s="12" t="s">
        <v>62</v>
      </c>
      <c r="B366" s="12" t="s">
        <v>60</v>
      </c>
      <c r="C366" s="12" t="s">
        <v>14</v>
      </c>
      <c r="D366" s="12">
        <v>1.5949011943973781</v>
      </c>
      <c r="E366" s="12">
        <v>2.8499999999999996</v>
      </c>
      <c r="F366" s="12">
        <v>20</v>
      </c>
      <c r="G366" s="12">
        <v>2.8499999999999996</v>
      </c>
      <c r="H366" s="12">
        <v>0</v>
      </c>
      <c r="I366" s="12" t="s">
        <v>85</v>
      </c>
      <c r="J366" s="6">
        <v>46232</v>
      </c>
      <c r="K366">
        <v>46232</v>
      </c>
      <c r="L366">
        <v>1.7869445518077072</v>
      </c>
      <c r="M366">
        <v>1.7869445518077072</v>
      </c>
      <c r="N366">
        <v>0</v>
      </c>
      <c r="O366">
        <v>0.55961445417451872</v>
      </c>
      <c r="P366">
        <v>0.55961445417451872</v>
      </c>
      <c r="Q366">
        <v>0</v>
      </c>
      <c r="R366">
        <v>0</v>
      </c>
      <c r="S366">
        <v>0</v>
      </c>
      <c r="T366">
        <v>0</v>
      </c>
    </row>
    <row r="367" spans="1:20" x14ac:dyDescent="0.25">
      <c r="A367" s="12" t="s">
        <v>62</v>
      </c>
      <c r="B367" s="12" t="s">
        <v>60</v>
      </c>
      <c r="C367" s="12" t="s">
        <v>13</v>
      </c>
      <c r="D367" s="12">
        <v>1.636148639080069</v>
      </c>
      <c r="E367" s="12">
        <v>0.95</v>
      </c>
      <c r="F367" s="12">
        <v>20</v>
      </c>
      <c r="G367" s="12">
        <v>0.95</v>
      </c>
      <c r="H367" s="12">
        <v>0</v>
      </c>
      <c r="I367" s="12" t="s">
        <v>86</v>
      </c>
      <c r="J367" s="6">
        <v>46232</v>
      </c>
      <c r="K367">
        <v>46232</v>
      </c>
      <c r="L367">
        <v>0.58063184316440908</v>
      </c>
      <c r="M367">
        <v>0.58063184316440908</v>
      </c>
      <c r="N367">
        <v>0</v>
      </c>
      <c r="O367">
        <v>1.7222617253474413</v>
      </c>
      <c r="P367">
        <v>1.7222617253474413</v>
      </c>
      <c r="Q367">
        <v>0</v>
      </c>
      <c r="R367">
        <v>0</v>
      </c>
      <c r="S367">
        <v>0</v>
      </c>
      <c r="T367">
        <v>0</v>
      </c>
    </row>
    <row r="368" spans="1:20" x14ac:dyDescent="0.25">
      <c r="A368" s="12" t="s">
        <v>62</v>
      </c>
      <c r="B368" s="12" t="s">
        <v>60</v>
      </c>
      <c r="C368" s="12" t="s">
        <v>14</v>
      </c>
      <c r="D368" s="12">
        <v>1.4299114156666153</v>
      </c>
      <c r="E368" s="12">
        <v>0.95</v>
      </c>
      <c r="F368" s="12">
        <v>20</v>
      </c>
      <c r="G368" s="12">
        <v>0.95</v>
      </c>
      <c r="H368" s="12">
        <v>0.86877828054298623</v>
      </c>
      <c r="I368" s="12" t="s">
        <v>88</v>
      </c>
      <c r="J368" s="6">
        <v>46233</v>
      </c>
      <c r="K368">
        <v>46233</v>
      </c>
      <c r="L368">
        <v>0.66437682054389102</v>
      </c>
      <c r="M368">
        <v>0.66437682054389102</v>
      </c>
      <c r="N368">
        <v>0.60757489661551345</v>
      </c>
      <c r="O368">
        <v>1.5051699112280161</v>
      </c>
      <c r="P368">
        <v>1.5051699112280161</v>
      </c>
      <c r="Q368">
        <v>0.91450345320314341</v>
      </c>
      <c r="R368">
        <v>1.0934895833333336</v>
      </c>
      <c r="S368">
        <v>1.0934895833333336</v>
      </c>
      <c r="T368">
        <v>1.6458876190745939</v>
      </c>
    </row>
    <row r="369" spans="1:20" x14ac:dyDescent="0.25">
      <c r="A369" s="12" t="s">
        <v>62</v>
      </c>
      <c r="B369" s="12" t="s">
        <v>60</v>
      </c>
      <c r="C369" s="12" t="s">
        <v>13</v>
      </c>
      <c r="D369" s="12">
        <v>1.869884158948651</v>
      </c>
      <c r="E369" s="12">
        <v>1.9</v>
      </c>
      <c r="F369" s="12">
        <v>20</v>
      </c>
      <c r="G369" s="12">
        <v>1.9</v>
      </c>
      <c r="H369" s="12">
        <v>0</v>
      </c>
      <c r="I369" s="12" t="s">
        <v>90</v>
      </c>
      <c r="J369" s="6">
        <v>46233</v>
      </c>
      <c r="K369">
        <v>46233</v>
      </c>
      <c r="L369">
        <v>1.0161057255377155</v>
      </c>
      <c r="M369">
        <v>1.0161057255377155</v>
      </c>
      <c r="N369">
        <v>0</v>
      </c>
      <c r="O369">
        <v>0.98414955734139531</v>
      </c>
      <c r="P369">
        <v>0.98414955734139531</v>
      </c>
      <c r="Q369">
        <v>0</v>
      </c>
      <c r="R369">
        <v>0</v>
      </c>
      <c r="S369">
        <v>0</v>
      </c>
      <c r="T369">
        <v>0</v>
      </c>
    </row>
    <row r="370" spans="1:20" x14ac:dyDescent="0.25">
      <c r="A370" s="12" t="s">
        <v>62</v>
      </c>
      <c r="B370" s="12" t="s">
        <v>60</v>
      </c>
      <c r="C370" s="12" t="s">
        <v>15</v>
      </c>
      <c r="D370" s="12">
        <v>0</v>
      </c>
      <c r="E370" s="12">
        <v>0.95</v>
      </c>
      <c r="F370" s="12">
        <v>20</v>
      </c>
      <c r="G370" s="12">
        <v>0.95</v>
      </c>
      <c r="H370" s="12">
        <v>0.92307692307692291</v>
      </c>
      <c r="I370" s="12" t="s">
        <v>89</v>
      </c>
      <c r="J370" s="6">
        <v>46233</v>
      </c>
      <c r="K370">
        <v>46233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0.97165991902833992</v>
      </c>
      <c r="R370">
        <v>1.0291666666666668</v>
      </c>
      <c r="S370">
        <v>1.0291666666666668</v>
      </c>
      <c r="T370">
        <v>0</v>
      </c>
    </row>
    <row r="371" spans="1:20" x14ac:dyDescent="0.25">
      <c r="A371" s="12" t="s">
        <v>62</v>
      </c>
      <c r="B371" s="12" t="s">
        <v>60</v>
      </c>
      <c r="C371" s="12" t="s">
        <v>13</v>
      </c>
      <c r="D371" s="12">
        <v>1.869884158948651</v>
      </c>
      <c r="E371" s="12">
        <v>1.9</v>
      </c>
      <c r="F371" s="12">
        <v>20</v>
      </c>
      <c r="G371" s="12">
        <v>1.9</v>
      </c>
      <c r="H371" s="12">
        <v>0.92307692307692291</v>
      </c>
      <c r="I371" s="12" t="s">
        <v>91</v>
      </c>
      <c r="J371" s="6">
        <v>46234</v>
      </c>
      <c r="K371">
        <v>46234</v>
      </c>
      <c r="L371">
        <v>1.0161057255377155</v>
      </c>
      <c r="M371">
        <v>1.0161057255377155</v>
      </c>
      <c r="N371">
        <v>0.49365460350010459</v>
      </c>
      <c r="O371">
        <v>0.98414955734139531</v>
      </c>
      <c r="P371">
        <v>0.98414955734139531</v>
      </c>
      <c r="Q371">
        <v>0.48582995951416996</v>
      </c>
      <c r="R371">
        <v>2.0583333333333336</v>
      </c>
      <c r="S371">
        <v>2.0583333333333336</v>
      </c>
      <c r="T371">
        <v>2.025707838861039</v>
      </c>
    </row>
    <row r="372" spans="1:20" x14ac:dyDescent="0.25">
      <c r="A372" s="12" t="s">
        <v>62</v>
      </c>
      <c r="B372" s="12" t="s">
        <v>60</v>
      </c>
      <c r="C372" s="12" t="s">
        <v>15</v>
      </c>
      <c r="D372" s="12">
        <v>0</v>
      </c>
      <c r="E372" s="12">
        <v>0</v>
      </c>
      <c r="F372" s="12">
        <v>20</v>
      </c>
      <c r="G372" s="12">
        <v>0</v>
      </c>
      <c r="H372" s="12">
        <v>0.92307692307692291</v>
      </c>
      <c r="I372" s="12" t="s">
        <v>92</v>
      </c>
      <c r="J372" s="6">
        <v>46234</v>
      </c>
      <c r="K372">
        <v>46234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</row>
    <row r="373" spans="1:20" x14ac:dyDescent="0.25">
      <c r="A373" s="12" t="s">
        <v>62</v>
      </c>
      <c r="B373" s="12" t="s">
        <v>60</v>
      </c>
      <c r="C373" s="12" t="s">
        <v>14</v>
      </c>
      <c r="D373" s="12">
        <v>1.4299114156666153</v>
      </c>
      <c r="E373" s="12">
        <v>0</v>
      </c>
      <c r="F373" s="12">
        <v>20</v>
      </c>
      <c r="G373" s="12">
        <v>0</v>
      </c>
      <c r="H373" s="12">
        <v>0.97737556561085948</v>
      </c>
      <c r="I373" s="12" t="s">
        <v>93</v>
      </c>
      <c r="J373" s="6">
        <v>46234</v>
      </c>
      <c r="K373">
        <v>46234</v>
      </c>
      <c r="L373">
        <v>0</v>
      </c>
      <c r="M373">
        <v>0</v>
      </c>
      <c r="N373">
        <v>0.68352175869245257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1.4630112169551948</v>
      </c>
    </row>
    <row r="374" spans="1:20" x14ac:dyDescent="0.25">
      <c r="A374" s="12" t="s">
        <v>62</v>
      </c>
      <c r="B374" s="12" t="s">
        <v>60</v>
      </c>
      <c r="C374" s="12" t="s">
        <v>14</v>
      </c>
      <c r="D374" s="12">
        <v>1.4299114156666153</v>
      </c>
      <c r="E374" s="12">
        <v>0</v>
      </c>
      <c r="F374" s="12">
        <v>20</v>
      </c>
      <c r="G374" s="12">
        <v>0</v>
      </c>
      <c r="H374" s="12">
        <v>0.92307692307692291</v>
      </c>
      <c r="I374" s="12" t="s">
        <v>95</v>
      </c>
      <c r="J374" s="6">
        <v>46235</v>
      </c>
      <c r="K374">
        <v>46235</v>
      </c>
      <c r="L374">
        <v>0</v>
      </c>
      <c r="M374">
        <v>0</v>
      </c>
      <c r="N374">
        <v>0.64554832765398307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1.5490707003055002</v>
      </c>
    </row>
    <row r="375" spans="1:20" x14ac:dyDescent="0.25">
      <c r="A375" s="12" t="s">
        <v>62</v>
      </c>
      <c r="B375" s="12" t="s">
        <v>60</v>
      </c>
      <c r="C375" s="12" t="s">
        <v>15</v>
      </c>
      <c r="D375" s="12">
        <v>0</v>
      </c>
      <c r="E375" s="12">
        <v>0.95</v>
      </c>
      <c r="F375" s="12">
        <v>20</v>
      </c>
      <c r="G375" s="12">
        <v>0.95</v>
      </c>
      <c r="H375" s="12">
        <v>0.92307692307692291</v>
      </c>
      <c r="I375" s="12" t="s">
        <v>137</v>
      </c>
      <c r="J375" s="6">
        <v>46235</v>
      </c>
      <c r="K375">
        <v>46235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0.97165991902833992</v>
      </c>
      <c r="R375">
        <v>1.0291666666666668</v>
      </c>
      <c r="S375">
        <v>1.0291666666666668</v>
      </c>
      <c r="T375">
        <v>0</v>
      </c>
    </row>
    <row r="376" spans="1:20" x14ac:dyDescent="0.25">
      <c r="A376" s="12" t="s">
        <v>62</v>
      </c>
      <c r="B376" s="12" t="s">
        <v>60</v>
      </c>
      <c r="C376" s="12" t="s">
        <v>13</v>
      </c>
      <c r="D376" s="12">
        <v>1.869884158948651</v>
      </c>
      <c r="E376" s="12">
        <v>0.95</v>
      </c>
      <c r="F376" s="12">
        <v>20</v>
      </c>
      <c r="G376" s="12">
        <v>0.95</v>
      </c>
      <c r="H376" s="12">
        <v>0.92307692307692291</v>
      </c>
      <c r="I376" s="12" t="s">
        <v>94</v>
      </c>
      <c r="J376" s="6">
        <v>46235</v>
      </c>
      <c r="K376">
        <v>46235</v>
      </c>
      <c r="L376">
        <v>0.50805286276885775</v>
      </c>
      <c r="M376">
        <v>0.50805286276885775</v>
      </c>
      <c r="N376">
        <v>0.49365460350010459</v>
      </c>
      <c r="O376">
        <v>1.9682991146827906</v>
      </c>
      <c r="P376">
        <v>1.9682991146827906</v>
      </c>
      <c r="Q376">
        <v>0.97165991902833992</v>
      </c>
      <c r="R376">
        <v>1.0291666666666668</v>
      </c>
      <c r="S376">
        <v>1.0291666666666668</v>
      </c>
      <c r="T376">
        <v>2.025707838861039</v>
      </c>
    </row>
    <row r="377" spans="1:20" x14ac:dyDescent="0.25">
      <c r="A377" s="12" t="s">
        <v>62</v>
      </c>
      <c r="B377" s="12" t="s">
        <v>60</v>
      </c>
      <c r="C377" s="12" t="s">
        <v>14</v>
      </c>
      <c r="D377" s="12">
        <v>1.4299114156666153</v>
      </c>
      <c r="E377" s="12">
        <v>0.95</v>
      </c>
      <c r="F377" s="12">
        <v>20</v>
      </c>
      <c r="G377" s="12">
        <v>0.95</v>
      </c>
      <c r="H377" s="12">
        <v>0.92307692307692291</v>
      </c>
      <c r="I377" s="12" t="s">
        <v>96</v>
      </c>
      <c r="J377" s="6">
        <v>46236</v>
      </c>
      <c r="K377">
        <v>46236</v>
      </c>
      <c r="L377">
        <v>0.66437682054389102</v>
      </c>
      <c r="M377">
        <v>0.66437682054389102</v>
      </c>
      <c r="N377">
        <v>0.64554832765398307</v>
      </c>
      <c r="O377">
        <v>1.5051699112280161</v>
      </c>
      <c r="P377">
        <v>1.5051699112280161</v>
      </c>
      <c r="Q377">
        <v>0.97165991902833992</v>
      </c>
      <c r="R377">
        <v>1.0291666666666668</v>
      </c>
      <c r="S377">
        <v>1.0291666666666668</v>
      </c>
      <c r="T377">
        <v>1.5490707003055002</v>
      </c>
    </row>
    <row r="378" spans="1:20" x14ac:dyDescent="0.25">
      <c r="A378" s="12" t="s">
        <v>62</v>
      </c>
      <c r="B378" s="12" t="s">
        <v>60</v>
      </c>
      <c r="C378" s="12" t="s">
        <v>13</v>
      </c>
      <c r="D378" s="12">
        <v>1.869884158948651</v>
      </c>
      <c r="E378" s="12">
        <v>0</v>
      </c>
      <c r="F378" s="12">
        <v>20</v>
      </c>
      <c r="G378" s="12">
        <v>0</v>
      </c>
      <c r="H378" s="12">
        <v>0.92307692307692291</v>
      </c>
      <c r="I378" s="12" t="s">
        <v>97</v>
      </c>
      <c r="J378" s="6">
        <v>46236</v>
      </c>
      <c r="K378">
        <v>46236</v>
      </c>
      <c r="L378">
        <v>0</v>
      </c>
      <c r="M378">
        <v>0</v>
      </c>
      <c r="N378">
        <v>0.49365460350010459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2.025707838861039</v>
      </c>
    </row>
    <row r="379" spans="1:20" x14ac:dyDescent="0.25">
      <c r="A379" s="12" t="s">
        <v>62</v>
      </c>
      <c r="B379" s="12" t="s">
        <v>60</v>
      </c>
      <c r="C379" s="12" t="s">
        <v>15</v>
      </c>
      <c r="D379" s="12">
        <v>0</v>
      </c>
      <c r="E379" s="12">
        <v>0.95</v>
      </c>
      <c r="F379" s="12">
        <v>20</v>
      </c>
      <c r="G379" s="12">
        <v>0.95</v>
      </c>
      <c r="H379" s="12">
        <v>0.92307692307692291</v>
      </c>
      <c r="I379" s="12" t="s">
        <v>98</v>
      </c>
      <c r="J379" s="6">
        <v>46236</v>
      </c>
      <c r="K379">
        <v>46236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0.97165991902833992</v>
      </c>
      <c r="R379">
        <v>1.0291666666666668</v>
      </c>
      <c r="S379">
        <v>1.0291666666666668</v>
      </c>
      <c r="T379">
        <v>0</v>
      </c>
    </row>
    <row r="380" spans="1:20" x14ac:dyDescent="0.25">
      <c r="A380" s="12" t="s">
        <v>62</v>
      </c>
      <c r="B380" s="12" t="s">
        <v>60</v>
      </c>
      <c r="C380" s="12" t="s">
        <v>15</v>
      </c>
      <c r="D380" s="12">
        <v>0</v>
      </c>
      <c r="E380" s="12">
        <v>0</v>
      </c>
      <c r="F380" s="12">
        <v>20</v>
      </c>
      <c r="G380" s="12">
        <v>0</v>
      </c>
      <c r="H380" s="12">
        <v>0.92307692307692291</v>
      </c>
      <c r="I380" s="12" t="s">
        <v>100</v>
      </c>
      <c r="J380" s="6">
        <v>46237</v>
      </c>
      <c r="K380">
        <v>46237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</row>
    <row r="381" spans="1:20" x14ac:dyDescent="0.25">
      <c r="A381" s="12" t="s">
        <v>62</v>
      </c>
      <c r="B381" s="12" t="s">
        <v>60</v>
      </c>
      <c r="C381" s="12" t="s">
        <v>13</v>
      </c>
      <c r="D381" s="12">
        <v>1.869884158948651</v>
      </c>
      <c r="E381" s="12">
        <v>0.95</v>
      </c>
      <c r="F381" s="12">
        <v>20</v>
      </c>
      <c r="G381" s="12">
        <v>0.95</v>
      </c>
      <c r="H381" s="12">
        <v>0.9230769230769228</v>
      </c>
      <c r="I381" s="12" t="s">
        <v>101</v>
      </c>
      <c r="J381" s="6">
        <v>46237</v>
      </c>
      <c r="K381">
        <v>46237</v>
      </c>
      <c r="L381">
        <v>0.50805286276885775</v>
      </c>
      <c r="M381">
        <v>0.50805286276885775</v>
      </c>
      <c r="N381">
        <v>0.49365460350010454</v>
      </c>
      <c r="O381">
        <v>1.9682991146827906</v>
      </c>
      <c r="P381">
        <v>1.9682991146827906</v>
      </c>
      <c r="Q381">
        <v>0.97165991902833981</v>
      </c>
      <c r="R381">
        <v>1.029166666666667</v>
      </c>
      <c r="S381">
        <v>1.029166666666667</v>
      </c>
      <c r="T381">
        <v>2.025707838861039</v>
      </c>
    </row>
    <row r="382" spans="1:20" x14ac:dyDescent="0.25">
      <c r="A382" s="12" t="s">
        <v>62</v>
      </c>
      <c r="B382" s="12" t="s">
        <v>60</v>
      </c>
      <c r="C382" s="12" t="s">
        <v>14</v>
      </c>
      <c r="D382" s="12">
        <v>1.4299114156666153</v>
      </c>
      <c r="E382" s="12">
        <v>0</v>
      </c>
      <c r="F382" s="12">
        <v>20</v>
      </c>
      <c r="G382" s="12">
        <v>0</v>
      </c>
      <c r="H382" s="12">
        <v>0.92307692307692291</v>
      </c>
      <c r="I382" s="12" t="s">
        <v>99</v>
      </c>
      <c r="J382" s="6">
        <v>46237</v>
      </c>
      <c r="K382">
        <v>46237</v>
      </c>
      <c r="L382">
        <v>0</v>
      </c>
      <c r="M382">
        <v>0</v>
      </c>
      <c r="N382">
        <v>0.64554832765398307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1.5490707003055002</v>
      </c>
    </row>
    <row r="383" spans="1:20" x14ac:dyDescent="0.25">
      <c r="A383" s="12" t="s">
        <v>62</v>
      </c>
      <c r="B383" s="12" t="s">
        <v>60</v>
      </c>
      <c r="C383" s="12" t="s">
        <v>14</v>
      </c>
      <c r="D383" s="12">
        <v>1.4299114156666153</v>
      </c>
      <c r="E383" s="12">
        <v>0</v>
      </c>
      <c r="F383" s="12">
        <v>20</v>
      </c>
      <c r="G383" s="12">
        <v>0</v>
      </c>
      <c r="H383" s="12">
        <v>0.9896193771626296</v>
      </c>
      <c r="I383" s="12" t="s">
        <v>102</v>
      </c>
      <c r="J383" s="6">
        <v>46238</v>
      </c>
      <c r="K383">
        <v>46238</v>
      </c>
      <c r="L383">
        <v>0</v>
      </c>
      <c r="M383">
        <v>0</v>
      </c>
      <c r="N383">
        <v>0.69208439510308795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1.4449104864603213</v>
      </c>
    </row>
    <row r="384" spans="1:20" x14ac:dyDescent="0.25">
      <c r="A384" s="12" t="s">
        <v>62</v>
      </c>
      <c r="B384" s="12" t="s">
        <v>60</v>
      </c>
      <c r="C384" s="12" t="s">
        <v>13</v>
      </c>
      <c r="D384" s="12">
        <v>1.869884158948651</v>
      </c>
      <c r="E384" s="12">
        <v>0.95</v>
      </c>
      <c r="F384" s="12">
        <v>20</v>
      </c>
      <c r="G384" s="12">
        <v>0.95</v>
      </c>
      <c r="H384" s="12">
        <v>0.96832579185520351</v>
      </c>
      <c r="I384" s="12" t="s">
        <v>104</v>
      </c>
      <c r="J384" s="6">
        <v>46238</v>
      </c>
      <c r="K384">
        <v>46238</v>
      </c>
      <c r="L384">
        <v>0.50805286276885775</v>
      </c>
      <c r="M384">
        <v>0.50805286276885775</v>
      </c>
      <c r="N384">
        <v>0.51785335857363923</v>
      </c>
      <c r="O384">
        <v>1.9682991146827906</v>
      </c>
      <c r="P384">
        <v>1.9682991146827906</v>
      </c>
      <c r="Q384">
        <v>1.0192903072160038</v>
      </c>
      <c r="R384">
        <v>0.98107476635514024</v>
      </c>
      <c r="S384">
        <v>0.98107476635514024</v>
      </c>
      <c r="T384">
        <v>1.9310485940544482</v>
      </c>
    </row>
    <row r="385" spans="1:20" x14ac:dyDescent="0.25">
      <c r="A385" s="12" t="s">
        <v>62</v>
      </c>
      <c r="B385" s="12" t="s">
        <v>60</v>
      </c>
      <c r="C385" s="12" t="s">
        <v>15</v>
      </c>
      <c r="D385" s="12">
        <v>0</v>
      </c>
      <c r="E385" s="12">
        <v>2.8499999999999996</v>
      </c>
      <c r="F385" s="12">
        <v>20</v>
      </c>
      <c r="G385" s="12">
        <v>2.8499999999999996</v>
      </c>
      <c r="H385" s="12">
        <v>0</v>
      </c>
      <c r="I385" s="12" t="s">
        <v>103</v>
      </c>
      <c r="J385" s="6">
        <v>46238</v>
      </c>
      <c r="K385">
        <v>46238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</row>
    <row r="386" spans="1:20" x14ac:dyDescent="0.25">
      <c r="A386" s="12" t="s">
        <v>62</v>
      </c>
      <c r="B386" s="12" t="s">
        <v>60</v>
      </c>
      <c r="C386" s="12" t="s">
        <v>15</v>
      </c>
      <c r="D386" s="12">
        <v>0</v>
      </c>
      <c r="E386" s="12">
        <v>0</v>
      </c>
      <c r="F386" s="12">
        <v>20</v>
      </c>
      <c r="G386" s="12">
        <v>0</v>
      </c>
      <c r="H386" s="12">
        <v>0</v>
      </c>
      <c r="I386" s="12" t="s">
        <v>106</v>
      </c>
      <c r="J386" s="6">
        <v>46239</v>
      </c>
      <c r="K386">
        <v>46239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</row>
    <row r="387" spans="1:20" x14ac:dyDescent="0.25">
      <c r="A387" s="12" t="s">
        <v>62</v>
      </c>
      <c r="B387" s="12" t="s">
        <v>60</v>
      </c>
      <c r="C387" s="12" t="s">
        <v>13</v>
      </c>
      <c r="D387" s="12">
        <v>1.869884158948651</v>
      </c>
      <c r="E387" s="12">
        <v>0.95</v>
      </c>
      <c r="F387" s="12">
        <v>20</v>
      </c>
      <c r="G387" s="12">
        <v>0.95</v>
      </c>
      <c r="H387" s="12">
        <v>0</v>
      </c>
      <c r="I387" s="12" t="s">
        <v>105</v>
      </c>
      <c r="J387" s="6">
        <v>46239</v>
      </c>
      <c r="K387">
        <v>46239</v>
      </c>
      <c r="L387">
        <v>0.50805286276885775</v>
      </c>
      <c r="M387">
        <v>0.50805286276885775</v>
      </c>
      <c r="N387">
        <v>0</v>
      </c>
      <c r="O387">
        <v>1.9682991146827906</v>
      </c>
      <c r="P387">
        <v>1.9682991146827906</v>
      </c>
      <c r="Q387">
        <v>0</v>
      </c>
      <c r="R387">
        <v>0</v>
      </c>
      <c r="S387">
        <v>0</v>
      </c>
      <c r="T387">
        <v>0</v>
      </c>
    </row>
    <row r="388" spans="1:20" x14ac:dyDescent="0.25">
      <c r="A388" s="12" t="s">
        <v>62</v>
      </c>
      <c r="B388" s="12" t="s">
        <v>60</v>
      </c>
      <c r="C388" s="12" t="s">
        <v>14</v>
      </c>
      <c r="D388" s="12">
        <v>1.5949011943973783</v>
      </c>
      <c r="E388" s="12">
        <v>1.9</v>
      </c>
      <c r="F388" s="12">
        <v>20</v>
      </c>
      <c r="G388" s="12">
        <v>1.9</v>
      </c>
      <c r="H388" s="12">
        <v>0.82352941176470573</v>
      </c>
      <c r="I388" s="12" t="s">
        <v>107</v>
      </c>
      <c r="J388" s="6">
        <v>46239</v>
      </c>
      <c r="K388">
        <v>46239</v>
      </c>
      <c r="L388">
        <v>1.1912963678718047</v>
      </c>
      <c r="M388">
        <v>1.1912963678718047</v>
      </c>
      <c r="N388">
        <v>0.51635136687941996</v>
      </c>
      <c r="O388">
        <v>0.83942168126177807</v>
      </c>
      <c r="P388">
        <v>0.83942168126177807</v>
      </c>
      <c r="Q388">
        <v>0.43343653250773989</v>
      </c>
      <c r="R388">
        <v>2.3071428571428574</v>
      </c>
      <c r="S388">
        <v>2.3071428571428574</v>
      </c>
      <c r="T388">
        <v>1.9366657360539596</v>
      </c>
    </row>
    <row r="389" spans="1:20" x14ac:dyDescent="0.25">
      <c r="A389" s="12" t="s">
        <v>62</v>
      </c>
      <c r="B389" s="12" t="s">
        <v>60</v>
      </c>
      <c r="C389" s="12" t="s">
        <v>13</v>
      </c>
      <c r="D389" s="12">
        <v>1.869884158948651</v>
      </c>
      <c r="E389" s="12">
        <v>0.95</v>
      </c>
      <c r="F389" s="12">
        <v>20</v>
      </c>
      <c r="G389" s="12">
        <v>0.95</v>
      </c>
      <c r="H389" s="12">
        <v>0</v>
      </c>
      <c r="I389" s="12" t="s">
        <v>108</v>
      </c>
      <c r="J389" s="6">
        <v>46240</v>
      </c>
      <c r="K389">
        <v>46240</v>
      </c>
      <c r="L389">
        <v>0.50805286276885775</v>
      </c>
      <c r="M389">
        <v>0.50805286276885775</v>
      </c>
      <c r="N389">
        <v>0</v>
      </c>
      <c r="O389">
        <v>1.9682991146827906</v>
      </c>
      <c r="P389">
        <v>1.9682991146827906</v>
      </c>
      <c r="Q389">
        <v>0</v>
      </c>
      <c r="R389">
        <v>0</v>
      </c>
      <c r="S389">
        <v>0</v>
      </c>
      <c r="T389">
        <v>0</v>
      </c>
    </row>
    <row r="390" spans="1:20" x14ac:dyDescent="0.25">
      <c r="A390" s="12" t="s">
        <v>62</v>
      </c>
      <c r="B390" s="12" t="s">
        <v>60</v>
      </c>
      <c r="C390" s="12" t="s">
        <v>15</v>
      </c>
      <c r="D390" s="12">
        <v>0</v>
      </c>
      <c r="E390" s="12">
        <v>0.95</v>
      </c>
      <c r="F390" s="12">
        <v>20</v>
      </c>
      <c r="G390" s="12">
        <v>0.95</v>
      </c>
      <c r="H390" s="12">
        <v>0</v>
      </c>
      <c r="I390" s="12" t="s">
        <v>109</v>
      </c>
      <c r="J390" s="6">
        <v>46240</v>
      </c>
      <c r="K390">
        <v>46240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</row>
    <row r="391" spans="1:20" x14ac:dyDescent="0.25">
      <c r="A391" s="12" t="s">
        <v>62</v>
      </c>
      <c r="B391" s="12" t="s">
        <v>60</v>
      </c>
      <c r="C391" s="12" t="s">
        <v>14</v>
      </c>
      <c r="D391" s="12">
        <v>1.4299114156666153</v>
      </c>
      <c r="E391" s="12">
        <v>0.95</v>
      </c>
      <c r="F391" s="12">
        <v>20</v>
      </c>
      <c r="G391" s="12">
        <v>0.95</v>
      </c>
      <c r="H391" s="12">
        <v>0</v>
      </c>
      <c r="I391" s="12" t="s">
        <v>110</v>
      </c>
      <c r="J391" s="6">
        <v>46240</v>
      </c>
      <c r="K391">
        <v>46240</v>
      </c>
      <c r="L391">
        <v>0.66437682054389102</v>
      </c>
      <c r="M391">
        <v>0.66437682054389102</v>
      </c>
      <c r="N391">
        <v>0</v>
      </c>
      <c r="O391">
        <v>1.5051699112280161</v>
      </c>
      <c r="P391">
        <v>1.5051699112280161</v>
      </c>
      <c r="Q391">
        <v>0</v>
      </c>
      <c r="R391">
        <v>0</v>
      </c>
      <c r="S391">
        <v>0</v>
      </c>
      <c r="T391">
        <v>0</v>
      </c>
    </row>
    <row r="392" spans="1:20" x14ac:dyDescent="0.25">
      <c r="A392" s="12" t="s">
        <v>62</v>
      </c>
      <c r="B392" s="12" t="s">
        <v>60</v>
      </c>
      <c r="C392" s="12" t="s">
        <v>14</v>
      </c>
      <c r="D392" s="12">
        <v>1.4299114156666153</v>
      </c>
      <c r="E392" s="12">
        <v>0.95</v>
      </c>
      <c r="F392" s="12">
        <v>20</v>
      </c>
      <c r="G392" s="12">
        <v>0.95</v>
      </c>
      <c r="H392" s="12">
        <v>0</v>
      </c>
      <c r="I392" s="12" t="s">
        <v>111</v>
      </c>
      <c r="J392" s="6">
        <v>46241</v>
      </c>
      <c r="K392">
        <v>46241</v>
      </c>
      <c r="L392">
        <v>0.66437682054389102</v>
      </c>
      <c r="M392">
        <v>0.66437682054389102</v>
      </c>
      <c r="N392">
        <v>0</v>
      </c>
      <c r="O392">
        <v>1.5051699112280161</v>
      </c>
      <c r="P392">
        <v>1.5051699112280161</v>
      </c>
      <c r="Q392">
        <v>0</v>
      </c>
      <c r="R392">
        <v>0</v>
      </c>
      <c r="S392">
        <v>0</v>
      </c>
      <c r="T392">
        <v>0</v>
      </c>
    </row>
    <row r="393" spans="1:20" x14ac:dyDescent="0.25">
      <c r="A393" s="12" t="s">
        <v>62</v>
      </c>
      <c r="B393" s="12" t="s">
        <v>60</v>
      </c>
      <c r="C393" s="12" t="s">
        <v>15</v>
      </c>
      <c r="D393" s="12">
        <v>0</v>
      </c>
      <c r="E393" s="12">
        <v>0.95</v>
      </c>
      <c r="F393" s="12">
        <v>20</v>
      </c>
      <c r="G393" s="12">
        <v>0.95</v>
      </c>
      <c r="H393" s="12">
        <v>0</v>
      </c>
      <c r="I393" s="12" t="s">
        <v>138</v>
      </c>
      <c r="J393" s="6">
        <v>46241</v>
      </c>
      <c r="K393">
        <v>46241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</row>
    <row r="394" spans="1:20" x14ac:dyDescent="0.25">
      <c r="A394" s="12" t="s">
        <v>62</v>
      </c>
      <c r="B394" s="12" t="s">
        <v>60</v>
      </c>
      <c r="C394" s="12" t="s">
        <v>13</v>
      </c>
      <c r="D394" s="12">
        <v>1.869884158948651</v>
      </c>
      <c r="E394" s="12">
        <v>0</v>
      </c>
      <c r="F394" s="12">
        <v>20</v>
      </c>
      <c r="G394" s="12">
        <v>0</v>
      </c>
      <c r="H394" s="12">
        <v>0</v>
      </c>
      <c r="I394" s="12" t="s">
        <v>112</v>
      </c>
      <c r="J394" s="6">
        <v>46241</v>
      </c>
      <c r="K394">
        <v>46241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</row>
    <row r="395" spans="1:20" x14ac:dyDescent="0.25">
      <c r="A395" s="12" t="s">
        <v>62</v>
      </c>
      <c r="B395" s="12" t="s">
        <v>60</v>
      </c>
      <c r="C395" s="12" t="s">
        <v>14</v>
      </c>
      <c r="D395" s="12">
        <v>1.4299114156666153</v>
      </c>
      <c r="E395" s="12">
        <v>0</v>
      </c>
      <c r="F395" s="12">
        <v>20</v>
      </c>
      <c r="G395" s="12">
        <v>0</v>
      </c>
      <c r="H395" s="12">
        <v>0.82352941176470573</v>
      </c>
      <c r="I395" s="12" t="s">
        <v>114</v>
      </c>
      <c r="J395" s="6">
        <v>46242</v>
      </c>
      <c r="K395">
        <v>46242</v>
      </c>
      <c r="L395">
        <v>0</v>
      </c>
      <c r="M395">
        <v>0</v>
      </c>
      <c r="N395">
        <v>0.5759303707501221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1.7363210047380331</v>
      </c>
    </row>
    <row r="396" spans="1:20" x14ac:dyDescent="0.25">
      <c r="A396" s="12" t="s">
        <v>62</v>
      </c>
      <c r="B396" s="12" t="s">
        <v>60</v>
      </c>
      <c r="C396" s="12" t="s">
        <v>13</v>
      </c>
      <c r="D396" s="12">
        <v>1.869884158948651</v>
      </c>
      <c r="E396" s="12">
        <v>0</v>
      </c>
      <c r="F396" s="12">
        <v>20</v>
      </c>
      <c r="G396" s="12">
        <v>0</v>
      </c>
      <c r="H396" s="12">
        <v>0</v>
      </c>
      <c r="I396" s="12" t="s">
        <v>139</v>
      </c>
      <c r="J396" s="6">
        <v>46242</v>
      </c>
      <c r="K396">
        <v>46242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</row>
    <row r="397" spans="1:20" x14ac:dyDescent="0.25">
      <c r="A397" s="12" t="s">
        <v>62</v>
      </c>
      <c r="B397" s="12" t="s">
        <v>60</v>
      </c>
      <c r="C397" s="12" t="s">
        <v>15</v>
      </c>
      <c r="D397" s="12">
        <v>0</v>
      </c>
      <c r="E397" s="12">
        <v>1.9</v>
      </c>
      <c r="F397" s="12">
        <v>20</v>
      </c>
      <c r="G397" s="12">
        <v>1.9</v>
      </c>
      <c r="H397" s="12">
        <v>0</v>
      </c>
      <c r="I397" s="12" t="s">
        <v>113</v>
      </c>
      <c r="J397" s="6">
        <v>46242</v>
      </c>
      <c r="K397">
        <v>46242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</row>
    <row r="398" spans="1:20" x14ac:dyDescent="0.25">
      <c r="A398" s="12" t="s">
        <v>62</v>
      </c>
      <c r="B398" s="12" t="s">
        <v>60</v>
      </c>
      <c r="C398" s="12" t="s">
        <v>14</v>
      </c>
      <c r="D398" s="12">
        <v>1.4299114156666153</v>
      </c>
      <c r="E398" s="12">
        <v>0</v>
      </c>
      <c r="F398" s="12">
        <v>20</v>
      </c>
      <c r="G398" s="12">
        <v>0</v>
      </c>
      <c r="H398" s="12">
        <v>0.82352941176470573</v>
      </c>
      <c r="I398" s="12" t="s">
        <v>140</v>
      </c>
      <c r="J398" s="6">
        <v>46243</v>
      </c>
      <c r="K398">
        <v>46243</v>
      </c>
      <c r="L398">
        <v>0</v>
      </c>
      <c r="M398">
        <v>0</v>
      </c>
      <c r="N398">
        <v>0.5759303707501221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1.7363210047380331</v>
      </c>
    </row>
    <row r="399" spans="1:20" x14ac:dyDescent="0.25">
      <c r="A399" s="12" t="s">
        <v>62</v>
      </c>
      <c r="B399" s="12" t="s">
        <v>60</v>
      </c>
      <c r="C399" s="12" t="s">
        <v>15</v>
      </c>
      <c r="D399" s="12">
        <v>0</v>
      </c>
      <c r="E399" s="12">
        <v>0</v>
      </c>
      <c r="F399" s="12">
        <v>20</v>
      </c>
      <c r="G399" s="12">
        <v>0</v>
      </c>
      <c r="H399" s="12">
        <v>0</v>
      </c>
      <c r="I399" s="12" t="s">
        <v>141</v>
      </c>
      <c r="J399" s="6">
        <v>46243</v>
      </c>
      <c r="K399">
        <v>46243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</row>
    <row r="400" spans="1:20" x14ac:dyDescent="0.25">
      <c r="A400" s="12" t="s">
        <v>62</v>
      </c>
      <c r="B400" s="12" t="s">
        <v>60</v>
      </c>
      <c r="C400" s="12" t="s">
        <v>13</v>
      </c>
      <c r="D400" s="12">
        <v>1.869884158948651</v>
      </c>
      <c r="E400" s="12">
        <v>0.95</v>
      </c>
      <c r="F400" s="12">
        <v>20</v>
      </c>
      <c r="G400" s="12">
        <v>0.95</v>
      </c>
      <c r="H400" s="12">
        <v>0</v>
      </c>
      <c r="I400" s="12" t="s">
        <v>115</v>
      </c>
      <c r="J400" s="6">
        <v>46243</v>
      </c>
      <c r="K400">
        <v>46243</v>
      </c>
      <c r="L400">
        <v>0.50805286276885775</v>
      </c>
      <c r="M400">
        <v>0.50805286276885775</v>
      </c>
      <c r="N400">
        <v>0</v>
      </c>
      <c r="O400">
        <v>1.9682991146827906</v>
      </c>
      <c r="P400">
        <v>1.9682991146827906</v>
      </c>
      <c r="Q400">
        <v>0</v>
      </c>
      <c r="R400">
        <v>0</v>
      </c>
      <c r="S400">
        <v>0</v>
      </c>
      <c r="T400">
        <v>0</v>
      </c>
    </row>
    <row r="401" spans="1:20" x14ac:dyDescent="0.25">
      <c r="A401" s="12" t="s">
        <v>62</v>
      </c>
      <c r="B401" s="12" t="s">
        <v>60</v>
      </c>
      <c r="C401" s="12" t="s">
        <v>13</v>
      </c>
      <c r="D401" s="12">
        <v>1.869884158948651</v>
      </c>
      <c r="E401" s="12">
        <v>0</v>
      </c>
      <c r="F401" s="12">
        <v>20</v>
      </c>
      <c r="G401" s="12">
        <v>0</v>
      </c>
      <c r="H401" s="12">
        <v>0</v>
      </c>
      <c r="I401" s="12" t="s">
        <v>142</v>
      </c>
      <c r="J401" s="6">
        <v>46244</v>
      </c>
      <c r="K401">
        <v>46244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</row>
    <row r="402" spans="1:20" x14ac:dyDescent="0.25">
      <c r="A402" s="12" t="s">
        <v>62</v>
      </c>
      <c r="B402" s="12" t="s">
        <v>60</v>
      </c>
      <c r="C402" s="12" t="s">
        <v>15</v>
      </c>
      <c r="D402" s="12">
        <v>0</v>
      </c>
      <c r="E402" s="12">
        <v>0.95</v>
      </c>
      <c r="F402" s="12">
        <v>20</v>
      </c>
      <c r="G402" s="12">
        <v>0.95</v>
      </c>
      <c r="H402" s="12">
        <v>0</v>
      </c>
      <c r="I402" s="12" t="s">
        <v>117</v>
      </c>
      <c r="J402" s="6">
        <v>46244</v>
      </c>
      <c r="K402">
        <v>46244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</row>
    <row r="403" spans="1:20" x14ac:dyDescent="0.25">
      <c r="A403" s="12" t="s">
        <v>62</v>
      </c>
      <c r="B403" s="12" t="s">
        <v>60</v>
      </c>
      <c r="C403" s="12" t="s">
        <v>14</v>
      </c>
      <c r="D403" s="12">
        <v>1.4299114156666155</v>
      </c>
      <c r="E403" s="12">
        <v>0</v>
      </c>
      <c r="F403" s="12">
        <v>20</v>
      </c>
      <c r="G403" s="12">
        <v>0</v>
      </c>
      <c r="H403" s="12">
        <v>0.82352941176470573</v>
      </c>
      <c r="I403" s="12" t="s">
        <v>116</v>
      </c>
      <c r="J403" s="6">
        <v>46244</v>
      </c>
      <c r="K403">
        <v>46244</v>
      </c>
      <c r="L403">
        <v>0</v>
      </c>
      <c r="M403">
        <v>0</v>
      </c>
      <c r="N403">
        <v>0.57593037075012199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1.7363210047380335</v>
      </c>
    </row>
    <row r="404" spans="1:20" x14ac:dyDescent="0.25">
      <c r="A404" s="12" t="s">
        <v>62</v>
      </c>
      <c r="B404" s="12" t="s">
        <v>60</v>
      </c>
      <c r="C404" s="12" t="s">
        <v>14</v>
      </c>
      <c r="D404" s="12">
        <v>1.4299114156666155</v>
      </c>
      <c r="E404" s="12">
        <v>0</v>
      </c>
      <c r="F404" s="12">
        <v>20</v>
      </c>
      <c r="G404" s="12">
        <v>0</v>
      </c>
      <c r="H404" s="12">
        <v>0</v>
      </c>
      <c r="I404" s="12" t="s">
        <v>119</v>
      </c>
      <c r="J404" s="6">
        <v>46245</v>
      </c>
      <c r="K404">
        <v>46245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</row>
    <row r="405" spans="1:20" x14ac:dyDescent="0.25">
      <c r="A405" s="12" t="s">
        <v>62</v>
      </c>
      <c r="B405" s="12" t="s">
        <v>60</v>
      </c>
      <c r="C405" s="12" t="s">
        <v>13</v>
      </c>
      <c r="D405" s="12">
        <v>1.869884158948651</v>
      </c>
      <c r="E405" s="12">
        <v>0.95</v>
      </c>
      <c r="F405" s="12">
        <v>20</v>
      </c>
      <c r="G405" s="12">
        <v>0.95</v>
      </c>
      <c r="H405" s="12">
        <v>0</v>
      </c>
      <c r="I405" s="12" t="s">
        <v>118</v>
      </c>
      <c r="J405" s="6">
        <v>46245</v>
      </c>
      <c r="K405">
        <v>46245</v>
      </c>
      <c r="L405">
        <v>0.50805286276885775</v>
      </c>
      <c r="M405">
        <v>0.50805286276885775</v>
      </c>
      <c r="N405">
        <v>0</v>
      </c>
      <c r="O405">
        <v>1.9682991146827906</v>
      </c>
      <c r="P405">
        <v>1.9682991146827906</v>
      </c>
      <c r="Q405">
        <v>0</v>
      </c>
      <c r="R405">
        <v>0</v>
      </c>
      <c r="S405">
        <v>0</v>
      </c>
      <c r="T405">
        <v>0</v>
      </c>
    </row>
    <row r="406" spans="1:20" x14ac:dyDescent="0.25">
      <c r="A406" s="12" t="s">
        <v>62</v>
      </c>
      <c r="B406" s="12" t="s">
        <v>60</v>
      </c>
      <c r="C406" s="12" t="s">
        <v>15</v>
      </c>
      <c r="D406" s="12">
        <v>0</v>
      </c>
      <c r="E406" s="12">
        <v>0.95</v>
      </c>
      <c r="F406" s="12">
        <v>20</v>
      </c>
      <c r="G406" s="12">
        <v>0.95</v>
      </c>
      <c r="H406" s="12">
        <v>0</v>
      </c>
      <c r="I406" s="12" t="s">
        <v>120</v>
      </c>
      <c r="J406" s="6">
        <v>46245</v>
      </c>
      <c r="K406">
        <v>46245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</row>
    <row r="407" spans="1:20" x14ac:dyDescent="0.25">
      <c r="A407" s="12" t="s">
        <v>62</v>
      </c>
      <c r="B407" s="12" t="s">
        <v>60</v>
      </c>
      <c r="C407" s="12" t="s">
        <v>13</v>
      </c>
      <c r="D407" s="12">
        <v>1.636148639080069</v>
      </c>
      <c r="E407" s="12">
        <v>1.9</v>
      </c>
      <c r="F407" s="12">
        <v>20</v>
      </c>
      <c r="G407" s="12">
        <v>1.9</v>
      </c>
      <c r="H407" s="12">
        <v>0</v>
      </c>
      <c r="I407" s="12" t="s">
        <v>121</v>
      </c>
      <c r="J407" s="6">
        <v>46246</v>
      </c>
      <c r="K407">
        <v>46246</v>
      </c>
      <c r="L407">
        <v>1.1612636863288182</v>
      </c>
      <c r="M407">
        <v>1.1612636863288182</v>
      </c>
      <c r="N407">
        <v>0</v>
      </c>
      <c r="O407">
        <v>0.86113086267372063</v>
      </c>
      <c r="P407">
        <v>0.86113086267372063</v>
      </c>
      <c r="Q407">
        <v>0</v>
      </c>
      <c r="R407">
        <v>0</v>
      </c>
      <c r="S407">
        <v>0</v>
      </c>
      <c r="T407">
        <v>0</v>
      </c>
    </row>
    <row r="408" spans="1:20" x14ac:dyDescent="0.25">
      <c r="A408" s="12" t="s">
        <v>62</v>
      </c>
      <c r="B408" s="12" t="s">
        <v>60</v>
      </c>
      <c r="C408" s="12" t="s">
        <v>15</v>
      </c>
      <c r="D408" s="12">
        <v>0</v>
      </c>
      <c r="E408" s="12">
        <v>0</v>
      </c>
      <c r="F408" s="12">
        <v>20</v>
      </c>
      <c r="G408" s="12">
        <v>0</v>
      </c>
      <c r="H408" s="12">
        <v>0</v>
      </c>
      <c r="I408" s="12" t="s">
        <v>122</v>
      </c>
      <c r="J408" s="6">
        <v>46246</v>
      </c>
      <c r="K408">
        <v>46246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</row>
    <row r="409" spans="1:20" x14ac:dyDescent="0.25">
      <c r="A409" s="12" t="s">
        <v>62</v>
      </c>
      <c r="B409" s="12" t="s">
        <v>60</v>
      </c>
      <c r="C409" s="12" t="s">
        <v>14</v>
      </c>
      <c r="D409" s="12">
        <v>1.5949011943973783</v>
      </c>
      <c r="E409" s="12">
        <v>0.95</v>
      </c>
      <c r="F409" s="12">
        <v>20</v>
      </c>
      <c r="G409" s="12">
        <v>0.95</v>
      </c>
      <c r="H409" s="12">
        <v>0.82352941176470573</v>
      </c>
      <c r="I409" s="12" t="s">
        <v>123</v>
      </c>
      <c r="J409" s="6">
        <v>46246</v>
      </c>
      <c r="K409">
        <v>46246</v>
      </c>
      <c r="L409">
        <v>0.59564818393590235</v>
      </c>
      <c r="M409">
        <v>0.59564818393590235</v>
      </c>
      <c r="N409">
        <v>0.51635136687941996</v>
      </c>
      <c r="O409">
        <v>1.6788433625235561</v>
      </c>
      <c r="P409">
        <v>1.6788433625235561</v>
      </c>
      <c r="Q409">
        <v>0.86687306501547978</v>
      </c>
      <c r="R409">
        <v>1.1535714285714287</v>
      </c>
      <c r="S409">
        <v>1.1535714285714287</v>
      </c>
      <c r="T409">
        <v>1.9366657360539596</v>
      </c>
    </row>
    <row r="410" spans="1:20" x14ac:dyDescent="0.25">
      <c r="A410" s="12" t="s">
        <v>62</v>
      </c>
      <c r="B410" s="12" t="s">
        <v>60</v>
      </c>
      <c r="C410" s="12" t="s">
        <v>14</v>
      </c>
      <c r="D410" s="12">
        <v>1.4299114156666153</v>
      </c>
      <c r="E410" s="12">
        <v>0</v>
      </c>
      <c r="F410" s="12">
        <v>20</v>
      </c>
      <c r="G410" s="12">
        <v>0</v>
      </c>
      <c r="H410" s="12">
        <v>0.86877828054298623</v>
      </c>
      <c r="I410" s="12" t="s">
        <v>124</v>
      </c>
      <c r="J410" s="6">
        <v>46247</v>
      </c>
      <c r="K410">
        <v>46247</v>
      </c>
      <c r="L410">
        <v>0</v>
      </c>
      <c r="M410">
        <v>0</v>
      </c>
      <c r="N410">
        <v>0.60757489661551345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1.6458876190745939</v>
      </c>
    </row>
    <row r="411" spans="1:20" x14ac:dyDescent="0.25">
      <c r="A411" s="12" t="s">
        <v>62</v>
      </c>
      <c r="B411" s="12" t="s">
        <v>60</v>
      </c>
      <c r="C411" s="12" t="s">
        <v>15</v>
      </c>
      <c r="D411" s="12">
        <v>0</v>
      </c>
      <c r="E411" s="12">
        <v>0.95</v>
      </c>
      <c r="F411" s="12">
        <v>20</v>
      </c>
      <c r="G411" s="12">
        <v>0.95</v>
      </c>
      <c r="H411" s="12">
        <v>0.92307692307692291</v>
      </c>
      <c r="I411" s="12" t="s">
        <v>125</v>
      </c>
      <c r="J411" s="6">
        <v>46247</v>
      </c>
      <c r="K411">
        <v>46247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0.97165991902833992</v>
      </c>
      <c r="R411">
        <v>1.0291666666666668</v>
      </c>
      <c r="S411">
        <v>1.0291666666666668</v>
      </c>
      <c r="T411">
        <v>0</v>
      </c>
    </row>
    <row r="412" spans="1:20" x14ac:dyDescent="0.25">
      <c r="A412" s="12" t="s">
        <v>62</v>
      </c>
      <c r="B412" s="12" t="s">
        <v>60</v>
      </c>
      <c r="C412" s="12" t="s">
        <v>13</v>
      </c>
      <c r="D412" s="12">
        <v>1.869884158948651</v>
      </c>
      <c r="E412" s="12">
        <v>1.9</v>
      </c>
      <c r="F412" s="12">
        <v>20</v>
      </c>
      <c r="G412" s="12">
        <v>1.9</v>
      </c>
      <c r="H412" s="12">
        <v>0</v>
      </c>
      <c r="I412" s="12" t="s">
        <v>126</v>
      </c>
      <c r="J412" s="6">
        <v>46247</v>
      </c>
      <c r="K412">
        <v>46247</v>
      </c>
      <c r="L412">
        <v>1.0161057255377155</v>
      </c>
      <c r="M412">
        <v>1.0161057255377155</v>
      </c>
      <c r="N412">
        <v>0</v>
      </c>
      <c r="O412">
        <v>0.98414955734139531</v>
      </c>
      <c r="P412">
        <v>0.98414955734139531</v>
      </c>
      <c r="Q412">
        <v>0</v>
      </c>
      <c r="R412">
        <v>0</v>
      </c>
      <c r="S412">
        <v>0</v>
      </c>
      <c r="T412">
        <v>0</v>
      </c>
    </row>
    <row r="413" spans="1:20" x14ac:dyDescent="0.25">
      <c r="A413" s="12" t="s">
        <v>62</v>
      </c>
      <c r="B413" s="12" t="s">
        <v>60</v>
      </c>
      <c r="C413" s="12" t="s">
        <v>14</v>
      </c>
      <c r="D413" s="12">
        <v>1.4299114156666153</v>
      </c>
      <c r="E413" s="12">
        <v>0</v>
      </c>
      <c r="F413" s="12">
        <v>20</v>
      </c>
      <c r="G413" s="12">
        <v>0</v>
      </c>
      <c r="H413" s="12">
        <v>0.16289592760180993</v>
      </c>
      <c r="I413" s="12" t="s">
        <v>127</v>
      </c>
      <c r="J413" s="6">
        <v>46248</v>
      </c>
      <c r="K413">
        <v>46248</v>
      </c>
      <c r="L413">
        <v>0</v>
      </c>
      <c r="M413">
        <v>0</v>
      </c>
      <c r="N413">
        <v>0.11392029311540877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8.7780673017311681</v>
      </c>
    </row>
    <row r="414" spans="1:20" x14ac:dyDescent="0.25">
      <c r="A414" s="12" t="s">
        <v>62</v>
      </c>
      <c r="B414" s="12" t="s">
        <v>60</v>
      </c>
      <c r="C414" s="12" t="s">
        <v>13</v>
      </c>
      <c r="D414" s="12">
        <v>1.869884158948651</v>
      </c>
      <c r="E414" s="12">
        <v>0.95</v>
      </c>
      <c r="F414" s="12">
        <v>20</v>
      </c>
      <c r="G414" s="12">
        <v>0.95</v>
      </c>
      <c r="H414" s="12">
        <v>0.92307692307692291</v>
      </c>
      <c r="I414" s="12" t="s">
        <v>128</v>
      </c>
      <c r="J414" s="6">
        <v>46248</v>
      </c>
      <c r="K414">
        <v>46248</v>
      </c>
      <c r="L414">
        <v>0.50805286276885775</v>
      </c>
      <c r="M414">
        <v>0.50805286276885775</v>
      </c>
      <c r="N414">
        <v>0.49365460350010459</v>
      </c>
      <c r="O414">
        <v>1.9682991146827906</v>
      </c>
      <c r="P414">
        <v>1.9682991146827906</v>
      </c>
      <c r="Q414">
        <v>0.97165991902833992</v>
      </c>
      <c r="R414">
        <v>1.0291666666666668</v>
      </c>
      <c r="S414">
        <v>1.0291666666666668</v>
      </c>
      <c r="T414">
        <v>2.025707838861039</v>
      </c>
    </row>
    <row r="415" spans="1:20" x14ac:dyDescent="0.25">
      <c r="A415" s="12" t="s">
        <v>62</v>
      </c>
      <c r="B415" s="12" t="s">
        <v>60</v>
      </c>
      <c r="C415" s="12" t="s">
        <v>15</v>
      </c>
      <c r="D415" s="12">
        <v>0</v>
      </c>
      <c r="E415" s="12">
        <v>0</v>
      </c>
      <c r="F415" s="12">
        <v>20</v>
      </c>
      <c r="G415" s="12">
        <v>0</v>
      </c>
      <c r="H415" s="12">
        <v>0</v>
      </c>
      <c r="I415" s="12" t="s">
        <v>129</v>
      </c>
      <c r="J415" s="6">
        <v>46248</v>
      </c>
      <c r="K415">
        <v>46248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</row>
    <row r="416" spans="1:20" x14ac:dyDescent="0.25">
      <c r="A416" s="12" t="s">
        <v>62</v>
      </c>
      <c r="B416" s="12" t="s">
        <v>60</v>
      </c>
      <c r="C416" s="12" t="s">
        <v>14</v>
      </c>
      <c r="D416" s="12">
        <v>1.4299114156666153</v>
      </c>
      <c r="E416" s="12">
        <v>0</v>
      </c>
      <c r="F416" s="12">
        <v>20</v>
      </c>
      <c r="G416" s="12">
        <v>0</v>
      </c>
      <c r="H416" s="12">
        <v>0</v>
      </c>
      <c r="I416" s="12" t="s">
        <v>130</v>
      </c>
      <c r="J416" s="6">
        <v>46249</v>
      </c>
      <c r="K416">
        <v>46249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</row>
    <row r="417" spans="1:20" x14ac:dyDescent="0.25">
      <c r="A417" s="12" t="s">
        <v>62</v>
      </c>
      <c r="B417" s="12" t="s">
        <v>60</v>
      </c>
      <c r="C417" s="12" t="s">
        <v>15</v>
      </c>
      <c r="D417" s="12">
        <v>0</v>
      </c>
      <c r="E417" s="12">
        <v>0</v>
      </c>
      <c r="F417" s="12">
        <v>20</v>
      </c>
      <c r="G417" s="12">
        <v>0</v>
      </c>
      <c r="H417" s="12">
        <v>0</v>
      </c>
      <c r="I417" s="12" t="s">
        <v>131</v>
      </c>
      <c r="J417" s="6">
        <v>46249</v>
      </c>
      <c r="K417">
        <v>46249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</row>
    <row r="418" spans="1:20" x14ac:dyDescent="0.25">
      <c r="A418" s="12" t="s">
        <v>62</v>
      </c>
      <c r="B418" s="12" t="s">
        <v>60</v>
      </c>
      <c r="C418" s="12" t="s">
        <v>13</v>
      </c>
      <c r="D418" s="12">
        <v>1.869884158948651</v>
      </c>
      <c r="E418" s="12">
        <v>2.8499999999999996</v>
      </c>
      <c r="F418" s="12">
        <v>20</v>
      </c>
      <c r="G418" s="12">
        <v>2.8499999999999996</v>
      </c>
      <c r="H418" s="12">
        <v>0</v>
      </c>
      <c r="I418" s="12" t="s">
        <v>143</v>
      </c>
      <c r="J418" s="6">
        <v>46249</v>
      </c>
      <c r="K418">
        <v>46249</v>
      </c>
      <c r="L418">
        <v>1.5241585883065731</v>
      </c>
      <c r="M418">
        <v>1.5241585883065731</v>
      </c>
      <c r="N418">
        <v>0</v>
      </c>
      <c r="O418">
        <v>0.65609970489426361</v>
      </c>
      <c r="P418">
        <v>0.65609970489426361</v>
      </c>
      <c r="Q418">
        <v>0</v>
      </c>
      <c r="R418">
        <v>0</v>
      </c>
      <c r="S418">
        <v>0</v>
      </c>
      <c r="T418">
        <v>0</v>
      </c>
    </row>
    <row r="419" spans="1:20" x14ac:dyDescent="0.25">
      <c r="A419" s="12" t="s">
        <v>62</v>
      </c>
      <c r="B419" s="12" t="s">
        <v>60</v>
      </c>
      <c r="C419" s="12" t="s">
        <v>15</v>
      </c>
      <c r="D419" s="12">
        <v>0</v>
      </c>
      <c r="E419" s="12">
        <v>0.95</v>
      </c>
      <c r="F419" s="12">
        <v>20</v>
      </c>
      <c r="G419" s="12">
        <v>0.95</v>
      </c>
      <c r="H419" s="12">
        <v>0</v>
      </c>
      <c r="I419" s="12" t="s">
        <v>133</v>
      </c>
      <c r="J419" s="6">
        <v>46250</v>
      </c>
      <c r="K419">
        <v>46250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</row>
    <row r="420" spans="1:20" x14ac:dyDescent="0.25">
      <c r="A420" s="12" t="s">
        <v>62</v>
      </c>
      <c r="B420" s="12" t="s">
        <v>60</v>
      </c>
      <c r="C420" s="12" t="s">
        <v>14</v>
      </c>
      <c r="D420" s="12">
        <v>1.4299114156666153</v>
      </c>
      <c r="E420" s="12">
        <v>1.9</v>
      </c>
      <c r="F420" s="12">
        <v>20</v>
      </c>
      <c r="G420" s="12">
        <v>1.9</v>
      </c>
      <c r="H420" s="12">
        <v>0</v>
      </c>
      <c r="I420" s="12" t="s">
        <v>144</v>
      </c>
      <c r="J420" s="6">
        <v>46250</v>
      </c>
      <c r="K420">
        <v>46250</v>
      </c>
      <c r="L420">
        <v>1.328753641087782</v>
      </c>
      <c r="M420">
        <v>1.328753641087782</v>
      </c>
      <c r="N420">
        <v>0</v>
      </c>
      <c r="O420">
        <v>0.75258495561400807</v>
      </c>
      <c r="P420">
        <v>0.75258495561400807</v>
      </c>
      <c r="Q420">
        <v>0</v>
      </c>
      <c r="R420">
        <v>0</v>
      </c>
      <c r="S420">
        <v>0</v>
      </c>
      <c r="T420">
        <v>0</v>
      </c>
    </row>
    <row r="421" spans="1:20" x14ac:dyDescent="0.25">
      <c r="A421" s="12" t="s">
        <v>62</v>
      </c>
      <c r="B421" s="12" t="s">
        <v>60</v>
      </c>
      <c r="C421" s="12" t="s">
        <v>13</v>
      </c>
      <c r="D421" s="12">
        <v>1.869884158948651</v>
      </c>
      <c r="E421" s="12">
        <v>0</v>
      </c>
      <c r="F421" s="12">
        <v>20</v>
      </c>
      <c r="G421" s="12">
        <v>0</v>
      </c>
      <c r="H421" s="12">
        <v>0</v>
      </c>
      <c r="I421" s="12" t="s">
        <v>132</v>
      </c>
      <c r="J421" s="6">
        <v>46250</v>
      </c>
      <c r="K421">
        <v>46250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</row>
    <row r="422" spans="1:20" x14ac:dyDescent="0.25">
      <c r="A422" s="12" t="s">
        <v>63</v>
      </c>
      <c r="B422" s="12" t="s">
        <v>60</v>
      </c>
      <c r="C422" s="12" t="s">
        <v>14</v>
      </c>
      <c r="D422" s="12">
        <v>3.1774912809962848</v>
      </c>
      <c r="E422" s="12">
        <v>0.95</v>
      </c>
      <c r="F422" s="12">
        <v>20</v>
      </c>
      <c r="G422" s="12">
        <v>0.95</v>
      </c>
      <c r="H422" s="12">
        <v>0.16608996539792387</v>
      </c>
      <c r="I422" s="12" t="s">
        <v>65</v>
      </c>
      <c r="J422" s="6">
        <v>46223</v>
      </c>
      <c r="K422">
        <v>46223</v>
      </c>
      <c r="L422">
        <v>0.29897800371056649</v>
      </c>
      <c r="M422">
        <v>0.29897800371056649</v>
      </c>
      <c r="N422">
        <v>5.2270785569503521E-2</v>
      </c>
      <c r="O422">
        <v>3.3447276642066157</v>
      </c>
      <c r="P422">
        <v>3.3447276642066157</v>
      </c>
      <c r="Q422">
        <v>0.17483154252413038</v>
      </c>
      <c r="R422">
        <v>5.7197916666666666</v>
      </c>
      <c r="S422">
        <v>5.7197916666666666</v>
      </c>
      <c r="T422">
        <v>19.131145420998465</v>
      </c>
    </row>
    <row r="423" spans="1:20" x14ac:dyDescent="0.25">
      <c r="A423" s="12" t="s">
        <v>63</v>
      </c>
      <c r="B423" s="12" t="s">
        <v>60</v>
      </c>
      <c r="C423" s="12" t="s">
        <v>13</v>
      </c>
      <c r="D423" s="12">
        <v>3.6011567851291222</v>
      </c>
      <c r="E423" s="12">
        <v>0.95</v>
      </c>
      <c r="F423" s="12">
        <v>20</v>
      </c>
      <c r="G423" s="12">
        <v>0.95</v>
      </c>
      <c r="H423" s="12">
        <v>0.82352941176470595</v>
      </c>
      <c r="I423" s="12" t="s">
        <v>64</v>
      </c>
      <c r="J423" s="6">
        <v>46223</v>
      </c>
      <c r="K423">
        <v>46223</v>
      </c>
      <c r="L423">
        <v>0.26380412092108813</v>
      </c>
      <c r="M423">
        <v>0.26380412092108813</v>
      </c>
      <c r="N423">
        <v>0.22868468686657797</v>
      </c>
      <c r="O423">
        <v>3.7906913527674972</v>
      </c>
      <c r="P423">
        <v>3.7906913527674972</v>
      </c>
      <c r="Q423">
        <v>0.86687306501548</v>
      </c>
      <c r="R423">
        <v>1.1535714285714285</v>
      </c>
      <c r="S423">
        <v>1.1535714285714285</v>
      </c>
      <c r="T423">
        <v>4.3728332390853621</v>
      </c>
    </row>
    <row r="424" spans="1:20" x14ac:dyDescent="0.25">
      <c r="A424" s="12" t="s">
        <v>63</v>
      </c>
      <c r="B424" s="12" t="s">
        <v>60</v>
      </c>
      <c r="C424" s="12" t="s">
        <v>15</v>
      </c>
      <c r="D424" s="12">
        <v>0</v>
      </c>
      <c r="E424" s="12">
        <v>0.95</v>
      </c>
      <c r="F424" s="12">
        <v>20</v>
      </c>
      <c r="G424" s="12">
        <v>0.95</v>
      </c>
      <c r="H424" s="12">
        <v>0</v>
      </c>
      <c r="I424" s="12" t="s">
        <v>134</v>
      </c>
      <c r="J424" s="6">
        <v>46223</v>
      </c>
      <c r="K424">
        <v>46223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</row>
    <row r="425" spans="1:20" x14ac:dyDescent="0.25">
      <c r="A425" s="12" t="s">
        <v>63</v>
      </c>
      <c r="B425" s="12" t="s">
        <v>60</v>
      </c>
      <c r="C425" s="12" t="s">
        <v>13</v>
      </c>
      <c r="D425" s="12">
        <v>3.6011567851291235</v>
      </c>
      <c r="E425" s="12">
        <v>0.95</v>
      </c>
      <c r="F425" s="12">
        <v>20</v>
      </c>
      <c r="G425" s="12">
        <v>0.95</v>
      </c>
      <c r="H425" s="12">
        <v>0.82352941176470595</v>
      </c>
      <c r="I425" s="12" t="s">
        <v>66</v>
      </c>
      <c r="J425" s="6">
        <v>46224</v>
      </c>
      <c r="K425">
        <v>46224</v>
      </c>
      <c r="L425">
        <v>0.26380412092108801</v>
      </c>
      <c r="M425">
        <v>0.26380412092108801</v>
      </c>
      <c r="N425">
        <v>0.22868468686657789</v>
      </c>
      <c r="O425">
        <v>3.7906913527674986</v>
      </c>
      <c r="P425">
        <v>3.7906913527674986</v>
      </c>
      <c r="Q425">
        <v>0.86687306501548</v>
      </c>
      <c r="R425">
        <v>1.1535714285714285</v>
      </c>
      <c r="S425">
        <v>1.1535714285714285</v>
      </c>
      <c r="T425">
        <v>4.3728332390853639</v>
      </c>
    </row>
    <row r="426" spans="1:20" x14ac:dyDescent="0.25">
      <c r="A426" s="12" t="s">
        <v>63</v>
      </c>
      <c r="B426" s="12" t="s">
        <v>60</v>
      </c>
      <c r="C426" s="12" t="s">
        <v>14</v>
      </c>
      <c r="D426" s="12">
        <v>3.23044946901289</v>
      </c>
      <c r="E426" s="12">
        <v>2.8499999999999996</v>
      </c>
      <c r="F426" s="12">
        <v>20</v>
      </c>
      <c r="G426" s="12">
        <v>2.8499999999999996</v>
      </c>
      <c r="H426" s="12">
        <v>0.16608996539792387</v>
      </c>
      <c r="I426" s="12" t="s">
        <v>68</v>
      </c>
      <c r="J426" s="6">
        <v>46224</v>
      </c>
      <c r="K426">
        <v>46224</v>
      </c>
      <c r="L426">
        <v>0.88223017488363864</v>
      </c>
      <c r="M426">
        <v>0.88223017488363864</v>
      </c>
      <c r="N426">
        <v>5.1413887445413295E-2</v>
      </c>
      <c r="O426">
        <v>1.1334910417589088</v>
      </c>
      <c r="P426">
        <v>1.1334910417589088</v>
      </c>
      <c r="Q426">
        <v>5.8277180841376799E-2</v>
      </c>
      <c r="R426">
        <v>17.159374999999997</v>
      </c>
      <c r="S426">
        <v>17.159374999999997</v>
      </c>
      <c r="T426">
        <v>19.449997844681775</v>
      </c>
    </row>
    <row r="427" spans="1:20" x14ac:dyDescent="0.25">
      <c r="A427" s="12" t="s">
        <v>63</v>
      </c>
      <c r="B427" s="12" t="s">
        <v>60</v>
      </c>
      <c r="C427" s="12" t="s">
        <v>15</v>
      </c>
      <c r="D427" s="12">
        <v>0</v>
      </c>
      <c r="E427" s="12">
        <v>0</v>
      </c>
      <c r="F427" s="12">
        <v>20</v>
      </c>
      <c r="G427" s="12">
        <v>0</v>
      </c>
      <c r="H427" s="12">
        <v>0</v>
      </c>
      <c r="I427" s="12" t="s">
        <v>67</v>
      </c>
      <c r="J427" s="6">
        <v>46224</v>
      </c>
      <c r="K427">
        <v>46224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</row>
    <row r="428" spans="1:20" x14ac:dyDescent="0.25">
      <c r="A428" s="12" t="s">
        <v>63</v>
      </c>
      <c r="B428" s="12" t="s">
        <v>60</v>
      </c>
      <c r="C428" s="12" t="s">
        <v>13</v>
      </c>
      <c r="D428" s="12">
        <v>3.6011567851291222</v>
      </c>
      <c r="E428" s="12">
        <v>1.9</v>
      </c>
      <c r="F428" s="12">
        <v>20</v>
      </c>
      <c r="G428" s="12">
        <v>1.9</v>
      </c>
      <c r="H428" s="12">
        <v>2.4760061919504648</v>
      </c>
      <c r="I428" s="12" t="s">
        <v>69</v>
      </c>
      <c r="J428" s="6">
        <v>46225</v>
      </c>
      <c r="K428">
        <v>46225</v>
      </c>
      <c r="L428">
        <v>0.52760824184217625</v>
      </c>
      <c r="M428">
        <v>0.52760824184217625</v>
      </c>
      <c r="N428">
        <v>0.68755856511859303</v>
      </c>
      <c r="O428">
        <v>1.8953456763837486</v>
      </c>
      <c r="P428">
        <v>1.8953456763837486</v>
      </c>
      <c r="Q428">
        <v>1.3031611536581393</v>
      </c>
      <c r="R428">
        <v>0.76736480150046871</v>
      </c>
      <c r="S428">
        <v>0.76736480150046871</v>
      </c>
      <c r="T428">
        <v>1.454421558732987</v>
      </c>
    </row>
    <row r="429" spans="1:20" x14ac:dyDescent="0.25">
      <c r="A429" s="12" t="s">
        <v>63</v>
      </c>
      <c r="B429" s="12" t="s">
        <v>60</v>
      </c>
      <c r="C429" s="12" t="s">
        <v>14</v>
      </c>
      <c r="D429" s="12">
        <v>3.1774912809962848</v>
      </c>
      <c r="E429" s="12">
        <v>1.9</v>
      </c>
      <c r="F429" s="12">
        <v>20</v>
      </c>
      <c r="G429" s="12">
        <v>1.9</v>
      </c>
      <c r="H429" s="12">
        <v>1.3167000546348568</v>
      </c>
      <c r="I429" s="12" t="s">
        <v>71</v>
      </c>
      <c r="J429" s="6">
        <v>46225</v>
      </c>
      <c r="K429">
        <v>46225</v>
      </c>
      <c r="L429">
        <v>0.59795600742113297</v>
      </c>
      <c r="M429">
        <v>0.59795600742113297</v>
      </c>
      <c r="N429">
        <v>0.4143835303371825</v>
      </c>
      <c r="O429">
        <v>1.6723638321033079</v>
      </c>
      <c r="P429">
        <v>1.6723638321033079</v>
      </c>
      <c r="Q429">
        <v>0.69300002875518785</v>
      </c>
      <c r="R429">
        <v>1.4430013831258646</v>
      </c>
      <c r="S429">
        <v>1.4430013831258646</v>
      </c>
      <c r="T429">
        <v>2.4132233228147446</v>
      </c>
    </row>
    <row r="430" spans="1:20" x14ac:dyDescent="0.25">
      <c r="A430" s="12" t="s">
        <v>63</v>
      </c>
      <c r="B430" s="12" t="s">
        <v>60</v>
      </c>
      <c r="C430" s="12" t="s">
        <v>15</v>
      </c>
      <c r="D430" s="12">
        <v>0</v>
      </c>
      <c r="E430" s="12">
        <v>0</v>
      </c>
      <c r="F430" s="12">
        <v>20</v>
      </c>
      <c r="G430" s="12">
        <v>0</v>
      </c>
      <c r="H430" s="12">
        <v>0</v>
      </c>
      <c r="I430" s="12" t="s">
        <v>70</v>
      </c>
      <c r="J430" s="6">
        <v>46225</v>
      </c>
      <c r="K430">
        <v>46225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</row>
    <row r="431" spans="1:20" x14ac:dyDescent="0.25">
      <c r="A431" s="12" t="s">
        <v>63</v>
      </c>
      <c r="B431" s="12" t="s">
        <v>60</v>
      </c>
      <c r="C431" s="12" t="s">
        <v>14</v>
      </c>
      <c r="D431" s="12">
        <v>3.1774912809962856</v>
      </c>
      <c r="E431" s="12">
        <v>0.95</v>
      </c>
      <c r="F431" s="12">
        <v>20</v>
      </c>
      <c r="G431" s="12">
        <v>0.95</v>
      </c>
      <c r="H431" s="12">
        <v>0.61081770169368066</v>
      </c>
      <c r="I431" s="12" t="s">
        <v>72</v>
      </c>
      <c r="J431" s="6">
        <v>46226</v>
      </c>
      <c r="K431">
        <v>46226</v>
      </c>
      <c r="L431">
        <v>0.29897800371056643</v>
      </c>
      <c r="M431">
        <v>0.29897800371056643</v>
      </c>
      <c r="N431">
        <v>0.19223269166679255</v>
      </c>
      <c r="O431">
        <v>3.3447276642066166</v>
      </c>
      <c r="P431">
        <v>3.3447276642066166</v>
      </c>
      <c r="Q431">
        <v>0.64296600178282182</v>
      </c>
      <c r="R431">
        <v>1.555292188431723</v>
      </c>
      <c r="S431">
        <v>1.555292188431723</v>
      </c>
      <c r="T431">
        <v>5.2020288085720336</v>
      </c>
    </row>
    <row r="432" spans="1:20" x14ac:dyDescent="0.25">
      <c r="A432" s="12" t="s">
        <v>63</v>
      </c>
      <c r="B432" s="12" t="s">
        <v>60</v>
      </c>
      <c r="C432" s="12" t="s">
        <v>15</v>
      </c>
      <c r="D432" s="12">
        <v>0</v>
      </c>
      <c r="E432" s="12">
        <v>0</v>
      </c>
      <c r="F432" s="12">
        <v>20</v>
      </c>
      <c r="G432" s="12">
        <v>0</v>
      </c>
      <c r="H432" s="12">
        <v>0</v>
      </c>
      <c r="I432" s="12" t="s">
        <v>73</v>
      </c>
      <c r="J432" s="6">
        <v>46226</v>
      </c>
      <c r="K432">
        <v>46226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</row>
    <row r="433" spans="1:20" x14ac:dyDescent="0.25">
      <c r="A433" s="12" t="s">
        <v>63</v>
      </c>
      <c r="B433" s="12" t="s">
        <v>60</v>
      </c>
      <c r="C433" s="12" t="s">
        <v>13</v>
      </c>
      <c r="D433" s="12">
        <v>3.6011567851291222</v>
      </c>
      <c r="E433" s="12">
        <v>1.9</v>
      </c>
      <c r="F433" s="12">
        <v>20</v>
      </c>
      <c r="G433" s="12">
        <v>1.9</v>
      </c>
      <c r="H433" s="12">
        <v>2.4760061919504648</v>
      </c>
      <c r="I433" s="12" t="s">
        <v>74</v>
      </c>
      <c r="J433" s="6">
        <v>46226</v>
      </c>
      <c r="K433">
        <v>46226</v>
      </c>
      <c r="L433">
        <v>0.52760824184217625</v>
      </c>
      <c r="M433">
        <v>0.52760824184217625</v>
      </c>
      <c r="N433">
        <v>0.68755856511859303</v>
      </c>
      <c r="O433">
        <v>1.8953456763837486</v>
      </c>
      <c r="P433">
        <v>1.8953456763837486</v>
      </c>
      <c r="Q433">
        <v>1.3031611536581393</v>
      </c>
      <c r="R433">
        <v>0.76736480150046871</v>
      </c>
      <c r="S433">
        <v>0.76736480150046871</v>
      </c>
      <c r="T433">
        <v>1.454421558732987</v>
      </c>
    </row>
    <row r="434" spans="1:20" x14ac:dyDescent="0.25">
      <c r="A434" s="12" t="s">
        <v>63</v>
      </c>
      <c r="B434" s="12" t="s">
        <v>60</v>
      </c>
      <c r="C434" s="12" t="s">
        <v>14</v>
      </c>
      <c r="D434" s="12">
        <v>3.1774912809962848</v>
      </c>
      <c r="E434" s="12">
        <v>0.95</v>
      </c>
      <c r="F434" s="12">
        <v>20</v>
      </c>
      <c r="G434" s="12">
        <v>0.95</v>
      </c>
      <c r="H434" s="12">
        <v>0.16608996539792387</v>
      </c>
      <c r="I434" s="12" t="s">
        <v>58</v>
      </c>
      <c r="J434" s="6">
        <v>46227</v>
      </c>
      <c r="K434">
        <v>46227</v>
      </c>
      <c r="L434">
        <v>0.29897800371056649</v>
      </c>
      <c r="M434">
        <v>0.29897800371056649</v>
      </c>
      <c r="N434">
        <v>5.2270785569503521E-2</v>
      </c>
      <c r="O434">
        <v>3.3447276642066157</v>
      </c>
      <c r="P434">
        <v>3.3447276642066157</v>
      </c>
      <c r="Q434">
        <v>0.17483154252413038</v>
      </c>
      <c r="R434">
        <v>5.7197916666666666</v>
      </c>
      <c r="S434">
        <v>5.7197916666666666</v>
      </c>
      <c r="T434">
        <v>19.131145420998465</v>
      </c>
    </row>
    <row r="435" spans="1:20" x14ac:dyDescent="0.25">
      <c r="A435" s="12" t="s">
        <v>63</v>
      </c>
      <c r="B435" s="12" t="s">
        <v>60</v>
      </c>
      <c r="C435" s="12" t="s">
        <v>13</v>
      </c>
      <c r="D435" s="12">
        <v>3.6011567851291222</v>
      </c>
      <c r="E435" s="12">
        <v>0.95</v>
      </c>
      <c r="F435" s="12">
        <v>20</v>
      </c>
      <c r="G435" s="12">
        <v>0.95</v>
      </c>
      <c r="H435" s="12">
        <v>0.82352941176470595</v>
      </c>
      <c r="I435" s="12" t="s">
        <v>56</v>
      </c>
      <c r="J435" s="6">
        <v>46227</v>
      </c>
      <c r="K435">
        <v>46227</v>
      </c>
      <c r="L435">
        <v>0.26380412092108813</v>
      </c>
      <c r="M435">
        <v>0.26380412092108813</v>
      </c>
      <c r="N435">
        <v>0.22868468686657797</v>
      </c>
      <c r="O435">
        <v>3.7906913527674972</v>
      </c>
      <c r="P435">
        <v>3.7906913527674972</v>
      </c>
      <c r="Q435">
        <v>0.86687306501548</v>
      </c>
      <c r="R435">
        <v>1.1535714285714285</v>
      </c>
      <c r="S435">
        <v>1.1535714285714285</v>
      </c>
      <c r="T435">
        <v>4.3728332390853621</v>
      </c>
    </row>
    <row r="436" spans="1:20" x14ac:dyDescent="0.25">
      <c r="A436" s="12" t="s">
        <v>63</v>
      </c>
      <c r="B436" s="12" t="s">
        <v>60</v>
      </c>
      <c r="C436" s="12" t="s">
        <v>15</v>
      </c>
      <c r="D436" s="12">
        <v>0</v>
      </c>
      <c r="E436" s="12">
        <v>0</v>
      </c>
      <c r="F436" s="12">
        <v>20</v>
      </c>
      <c r="G436" s="12">
        <v>0</v>
      </c>
      <c r="H436" s="12">
        <v>0</v>
      </c>
      <c r="I436" s="12" t="s">
        <v>57</v>
      </c>
      <c r="J436" s="6">
        <v>46227</v>
      </c>
      <c r="K436">
        <v>46227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</row>
    <row r="437" spans="1:20" x14ac:dyDescent="0.25">
      <c r="A437" s="12" t="s">
        <v>63</v>
      </c>
      <c r="B437" s="12" t="s">
        <v>60</v>
      </c>
      <c r="C437" s="12" t="s">
        <v>13</v>
      </c>
      <c r="D437" s="12">
        <v>3.6011567851291222</v>
      </c>
      <c r="E437" s="12">
        <v>0.95</v>
      </c>
      <c r="F437" s="12">
        <v>20</v>
      </c>
      <c r="G437" s="12">
        <v>0.95</v>
      </c>
      <c r="H437" s="12">
        <v>0.82352941176470595</v>
      </c>
      <c r="I437" s="12" t="s">
        <v>135</v>
      </c>
      <c r="J437" s="6">
        <v>46228</v>
      </c>
      <c r="K437">
        <v>46228</v>
      </c>
      <c r="L437">
        <v>0.26380412092108813</v>
      </c>
      <c r="M437">
        <v>0.26380412092108813</v>
      </c>
      <c r="N437">
        <v>0.22868468686657797</v>
      </c>
      <c r="O437">
        <v>3.7906913527674972</v>
      </c>
      <c r="P437">
        <v>3.7906913527674972</v>
      </c>
      <c r="Q437">
        <v>0.86687306501548</v>
      </c>
      <c r="R437">
        <v>1.1535714285714285</v>
      </c>
      <c r="S437">
        <v>1.1535714285714285</v>
      </c>
      <c r="T437">
        <v>4.3728332390853621</v>
      </c>
    </row>
    <row r="438" spans="1:20" x14ac:dyDescent="0.25">
      <c r="A438" s="12" t="s">
        <v>63</v>
      </c>
      <c r="B438" s="12" t="s">
        <v>60</v>
      </c>
      <c r="C438" s="12" t="s">
        <v>15</v>
      </c>
      <c r="D438" s="12">
        <v>0</v>
      </c>
      <c r="E438" s="12">
        <v>0</v>
      </c>
      <c r="F438" s="12">
        <v>20</v>
      </c>
      <c r="G438" s="12">
        <v>0</v>
      </c>
      <c r="H438" s="12">
        <v>0</v>
      </c>
      <c r="I438" s="12" t="s">
        <v>75</v>
      </c>
      <c r="J438" s="6">
        <v>46228</v>
      </c>
      <c r="K438">
        <v>46228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</row>
    <row r="439" spans="1:20" x14ac:dyDescent="0.25">
      <c r="A439" s="12" t="s">
        <v>63</v>
      </c>
      <c r="B439" s="12" t="s">
        <v>60</v>
      </c>
      <c r="C439" s="12" t="s">
        <v>14</v>
      </c>
      <c r="D439" s="12">
        <v>3.1774912809962856</v>
      </c>
      <c r="E439" s="12">
        <v>0</v>
      </c>
      <c r="F439" s="12">
        <v>20</v>
      </c>
      <c r="G439" s="12">
        <v>0</v>
      </c>
      <c r="H439" s="12">
        <v>0.16608996539792387</v>
      </c>
      <c r="I439" s="12" t="s">
        <v>76</v>
      </c>
      <c r="J439" s="6">
        <v>46228</v>
      </c>
      <c r="K439">
        <v>46228</v>
      </c>
      <c r="L439">
        <v>0</v>
      </c>
      <c r="M439">
        <v>0</v>
      </c>
      <c r="N439">
        <v>5.2270785569503507E-2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19.131145420998472</v>
      </c>
    </row>
    <row r="440" spans="1:20" x14ac:dyDescent="0.25">
      <c r="A440" s="12" t="s">
        <v>63</v>
      </c>
      <c r="B440" s="12" t="s">
        <v>60</v>
      </c>
      <c r="C440" s="12" t="s">
        <v>15</v>
      </c>
      <c r="D440" s="12">
        <v>0</v>
      </c>
      <c r="E440" s="12">
        <v>0</v>
      </c>
      <c r="F440" s="12">
        <v>20</v>
      </c>
      <c r="G440" s="12">
        <v>0</v>
      </c>
      <c r="H440" s="12">
        <v>0</v>
      </c>
      <c r="I440" s="12" t="s">
        <v>77</v>
      </c>
      <c r="J440" s="6">
        <v>46229</v>
      </c>
      <c r="K440">
        <v>46229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</row>
    <row r="441" spans="1:20" x14ac:dyDescent="0.25">
      <c r="A441" s="12" t="s">
        <v>63</v>
      </c>
      <c r="B441" s="12" t="s">
        <v>60</v>
      </c>
      <c r="C441" s="12" t="s">
        <v>14</v>
      </c>
      <c r="D441" s="12">
        <v>3.1774912809962848</v>
      </c>
      <c r="E441" s="12">
        <v>2.8499999999999996</v>
      </c>
      <c r="F441" s="12">
        <v>20</v>
      </c>
      <c r="G441" s="12">
        <v>2.8499999999999996</v>
      </c>
      <c r="H441" s="12">
        <v>0</v>
      </c>
      <c r="I441" s="12" t="s">
        <v>79</v>
      </c>
      <c r="J441" s="6">
        <v>46229</v>
      </c>
      <c r="K441">
        <v>46229</v>
      </c>
      <c r="L441">
        <v>0.89693401113169946</v>
      </c>
      <c r="M441">
        <v>0.89693401113169946</v>
      </c>
      <c r="N441">
        <v>0</v>
      </c>
      <c r="O441">
        <v>1.1149092214022054</v>
      </c>
      <c r="P441">
        <v>1.1149092214022054</v>
      </c>
      <c r="Q441">
        <v>0</v>
      </c>
      <c r="R441">
        <v>0</v>
      </c>
      <c r="S441">
        <v>0</v>
      </c>
      <c r="T441">
        <v>0</v>
      </c>
    </row>
    <row r="442" spans="1:20" x14ac:dyDescent="0.25">
      <c r="A442" s="12" t="s">
        <v>63</v>
      </c>
      <c r="B442" s="12" t="s">
        <v>60</v>
      </c>
      <c r="C442" s="12" t="s">
        <v>13</v>
      </c>
      <c r="D442" s="12">
        <v>3.6011567851291222</v>
      </c>
      <c r="E442" s="12">
        <v>0</v>
      </c>
      <c r="F442" s="12">
        <v>20</v>
      </c>
      <c r="G442" s="12">
        <v>0</v>
      </c>
      <c r="H442" s="12">
        <v>0</v>
      </c>
      <c r="I442" s="12" t="s">
        <v>78</v>
      </c>
      <c r="J442" s="6">
        <v>46229</v>
      </c>
      <c r="K442">
        <v>46229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</row>
    <row r="443" spans="1:20" x14ac:dyDescent="0.25">
      <c r="A443" s="12" t="s">
        <v>63</v>
      </c>
      <c r="B443" s="12" t="s">
        <v>60</v>
      </c>
      <c r="C443" s="12" t="s">
        <v>13</v>
      </c>
      <c r="D443" s="12">
        <v>3.6011567851291222</v>
      </c>
      <c r="E443" s="12">
        <v>0</v>
      </c>
      <c r="F443" s="12">
        <v>20</v>
      </c>
      <c r="G443" s="12">
        <v>0</v>
      </c>
      <c r="H443" s="12">
        <v>0.82352941176470595</v>
      </c>
      <c r="I443" s="12" t="s">
        <v>82</v>
      </c>
      <c r="J443" s="6">
        <v>46230</v>
      </c>
      <c r="K443">
        <v>46230</v>
      </c>
      <c r="L443">
        <v>0</v>
      </c>
      <c r="M443">
        <v>0</v>
      </c>
      <c r="N443">
        <v>0.22868468686657797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4.3728332390853621</v>
      </c>
    </row>
    <row r="444" spans="1:20" x14ac:dyDescent="0.25">
      <c r="A444" s="12" t="s">
        <v>63</v>
      </c>
      <c r="B444" s="12" t="s">
        <v>60</v>
      </c>
      <c r="C444" s="12" t="s">
        <v>14</v>
      </c>
      <c r="D444" s="12">
        <v>3.1774912809962848</v>
      </c>
      <c r="E444" s="12">
        <v>0.95</v>
      </c>
      <c r="F444" s="12">
        <v>20</v>
      </c>
      <c r="G444" s="12">
        <v>0.95</v>
      </c>
      <c r="H444" s="12">
        <v>0.16608996539792387</v>
      </c>
      <c r="I444" s="12" t="s">
        <v>80</v>
      </c>
      <c r="J444" s="6">
        <v>46230</v>
      </c>
      <c r="K444">
        <v>46230</v>
      </c>
      <c r="L444">
        <v>0.29897800371056649</v>
      </c>
      <c r="M444">
        <v>0.29897800371056649</v>
      </c>
      <c r="N444">
        <v>5.2270785569503521E-2</v>
      </c>
      <c r="O444">
        <v>3.3447276642066157</v>
      </c>
      <c r="P444">
        <v>3.3447276642066157</v>
      </c>
      <c r="Q444">
        <v>0.17483154252413038</v>
      </c>
      <c r="R444">
        <v>5.7197916666666666</v>
      </c>
      <c r="S444">
        <v>5.7197916666666666</v>
      </c>
      <c r="T444">
        <v>19.131145420998465</v>
      </c>
    </row>
    <row r="445" spans="1:20" x14ac:dyDescent="0.25">
      <c r="A445" s="12" t="s">
        <v>63</v>
      </c>
      <c r="B445" s="12" t="s">
        <v>60</v>
      </c>
      <c r="C445" s="12" t="s">
        <v>15</v>
      </c>
      <c r="D445" s="12">
        <v>0</v>
      </c>
      <c r="E445" s="12">
        <v>0</v>
      </c>
      <c r="F445" s="12">
        <v>20</v>
      </c>
      <c r="G445" s="12">
        <v>0</v>
      </c>
      <c r="H445" s="12">
        <v>0</v>
      </c>
      <c r="I445" s="12" t="s">
        <v>81</v>
      </c>
      <c r="J445" s="6">
        <v>46230</v>
      </c>
      <c r="K445">
        <v>46230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</row>
    <row r="446" spans="1:20" x14ac:dyDescent="0.25">
      <c r="A446" s="12" t="s">
        <v>63</v>
      </c>
      <c r="B446" s="12" t="s">
        <v>60</v>
      </c>
      <c r="C446" s="12" t="s">
        <v>14</v>
      </c>
      <c r="D446" s="12">
        <v>3.1774912809962848</v>
      </c>
      <c r="E446" s="12">
        <v>0</v>
      </c>
      <c r="F446" s="12">
        <v>20</v>
      </c>
      <c r="G446" s="12">
        <v>0</v>
      </c>
      <c r="H446" s="12">
        <v>0.33217993079584773</v>
      </c>
      <c r="I446" s="12" t="s">
        <v>84</v>
      </c>
      <c r="J446" s="6">
        <v>46231</v>
      </c>
      <c r="K446">
        <v>46231</v>
      </c>
      <c r="L446">
        <v>0</v>
      </c>
      <c r="M446">
        <v>0</v>
      </c>
      <c r="N446">
        <v>0.10454157113900704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9.5655727104992323</v>
      </c>
    </row>
    <row r="447" spans="1:20" x14ac:dyDescent="0.25">
      <c r="A447" s="12" t="s">
        <v>63</v>
      </c>
      <c r="B447" s="12" t="s">
        <v>60</v>
      </c>
      <c r="C447" s="12" t="s">
        <v>13</v>
      </c>
      <c r="D447" s="12">
        <v>3.6011567851291222</v>
      </c>
      <c r="E447" s="12">
        <v>1.9</v>
      </c>
      <c r="F447" s="12">
        <v>20</v>
      </c>
      <c r="G447" s="12">
        <v>1.9</v>
      </c>
      <c r="H447" s="12">
        <v>1.6470588235294119</v>
      </c>
      <c r="I447" s="12" t="s">
        <v>83</v>
      </c>
      <c r="J447" s="6">
        <v>46231</v>
      </c>
      <c r="K447">
        <v>46231</v>
      </c>
      <c r="L447">
        <v>0.52760824184217625</v>
      </c>
      <c r="M447">
        <v>0.52760824184217625</v>
      </c>
      <c r="N447">
        <v>0.45736937373315595</v>
      </c>
      <c r="O447">
        <v>1.8953456763837486</v>
      </c>
      <c r="P447">
        <v>1.8953456763837486</v>
      </c>
      <c r="Q447">
        <v>0.86687306501548</v>
      </c>
      <c r="R447">
        <v>1.1535714285714285</v>
      </c>
      <c r="S447">
        <v>1.1535714285714285</v>
      </c>
      <c r="T447">
        <v>2.1864166195426811</v>
      </c>
    </row>
    <row r="448" spans="1:20" x14ac:dyDescent="0.25">
      <c r="A448" s="12" t="s">
        <v>63</v>
      </c>
      <c r="B448" s="12" t="s">
        <v>60</v>
      </c>
      <c r="C448" s="12" t="s">
        <v>15</v>
      </c>
      <c r="D448" s="12">
        <v>0</v>
      </c>
      <c r="E448" s="12">
        <v>1.9</v>
      </c>
      <c r="F448" s="12">
        <v>20</v>
      </c>
      <c r="G448" s="12">
        <v>1.9</v>
      </c>
      <c r="H448" s="12">
        <v>0</v>
      </c>
      <c r="I448" s="12" t="s">
        <v>136</v>
      </c>
      <c r="J448" s="6">
        <v>46231</v>
      </c>
      <c r="K448">
        <v>46231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</row>
    <row r="449" spans="1:20" x14ac:dyDescent="0.25">
      <c r="A449" s="12" t="s">
        <v>63</v>
      </c>
      <c r="B449" s="12" t="s">
        <v>60</v>
      </c>
      <c r="C449" s="12" t="s">
        <v>15</v>
      </c>
      <c r="D449" s="12">
        <v>0</v>
      </c>
      <c r="E449" s="12">
        <v>0</v>
      </c>
      <c r="F449" s="12">
        <v>20</v>
      </c>
      <c r="G449" s="12">
        <v>0</v>
      </c>
      <c r="H449" s="12">
        <v>0</v>
      </c>
      <c r="I449" s="12" t="s">
        <v>87</v>
      </c>
      <c r="J449" s="6">
        <v>46232</v>
      </c>
      <c r="K449">
        <v>46232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</row>
    <row r="450" spans="1:20" x14ac:dyDescent="0.25">
      <c r="A450" s="12" t="s">
        <v>63</v>
      </c>
      <c r="B450" s="12" t="s">
        <v>60</v>
      </c>
      <c r="C450" s="12" t="s">
        <v>14</v>
      </c>
      <c r="D450" s="12">
        <v>3.1774912809962848</v>
      </c>
      <c r="E450" s="12">
        <v>2.8499999999999996</v>
      </c>
      <c r="F450" s="12">
        <v>20</v>
      </c>
      <c r="G450" s="12">
        <v>2.8499999999999996</v>
      </c>
      <c r="H450" s="12">
        <v>1.523159108844776</v>
      </c>
      <c r="I450" s="12" t="s">
        <v>85</v>
      </c>
      <c r="J450" s="6">
        <v>46232</v>
      </c>
      <c r="K450">
        <v>46232</v>
      </c>
      <c r="L450">
        <v>0.89693401113169946</v>
      </c>
      <c r="M450">
        <v>0.89693401113169946</v>
      </c>
      <c r="N450">
        <v>0.479359020732607</v>
      </c>
      <c r="O450">
        <v>1.1149092214022054</v>
      </c>
      <c r="P450">
        <v>1.1149092214022054</v>
      </c>
      <c r="Q450">
        <v>0.53444179257711444</v>
      </c>
      <c r="R450">
        <v>1.8711111553943647</v>
      </c>
      <c r="S450">
        <v>1.8711111553943647</v>
      </c>
      <c r="T450">
        <v>2.0861190814177117</v>
      </c>
    </row>
    <row r="451" spans="1:20" x14ac:dyDescent="0.25">
      <c r="A451" s="12" t="s">
        <v>63</v>
      </c>
      <c r="B451" s="12" t="s">
        <v>60</v>
      </c>
      <c r="C451" s="12" t="s">
        <v>13</v>
      </c>
      <c r="D451" s="12">
        <v>3.6011567851291235</v>
      </c>
      <c r="E451" s="12">
        <v>0.95</v>
      </c>
      <c r="F451" s="12">
        <v>20</v>
      </c>
      <c r="G451" s="12">
        <v>0.95</v>
      </c>
      <c r="H451" s="12">
        <v>2.4441434468524257</v>
      </c>
      <c r="I451" s="12" t="s">
        <v>86</v>
      </c>
      <c r="J451" s="6">
        <v>46232</v>
      </c>
      <c r="K451">
        <v>46232</v>
      </c>
      <c r="L451">
        <v>0.26380412092108801</v>
      </c>
      <c r="M451">
        <v>0.26380412092108801</v>
      </c>
      <c r="N451">
        <v>0.67871064568625505</v>
      </c>
      <c r="O451">
        <v>3.7906913527674986</v>
      </c>
      <c r="P451">
        <v>3.7906913527674986</v>
      </c>
      <c r="Q451">
        <v>2.5727825756341325</v>
      </c>
      <c r="R451">
        <v>0.38868422441547462</v>
      </c>
      <c r="S451">
        <v>0.38868422441547462</v>
      </c>
      <c r="T451">
        <v>1.4733819284488816</v>
      </c>
    </row>
    <row r="452" spans="1:20" x14ac:dyDescent="0.25">
      <c r="A452" s="12" t="s">
        <v>63</v>
      </c>
      <c r="B452" s="12" t="s">
        <v>60</v>
      </c>
      <c r="C452" s="12" t="s">
        <v>14</v>
      </c>
      <c r="D452" s="12">
        <v>3.1774912809962848</v>
      </c>
      <c r="E452" s="12">
        <v>0.95</v>
      </c>
      <c r="F452" s="12">
        <v>20</v>
      </c>
      <c r="G452" s="12">
        <v>0.95</v>
      </c>
      <c r="H452" s="12">
        <v>0.61081770169368066</v>
      </c>
      <c r="I452" s="12" t="s">
        <v>88</v>
      </c>
      <c r="J452" s="6">
        <v>46233</v>
      </c>
      <c r="K452">
        <v>46233</v>
      </c>
      <c r="L452">
        <v>0.29897800371056649</v>
      </c>
      <c r="M452">
        <v>0.29897800371056649</v>
      </c>
      <c r="N452">
        <v>0.1922326916667926</v>
      </c>
      <c r="O452">
        <v>3.3447276642066157</v>
      </c>
      <c r="P452">
        <v>3.3447276642066157</v>
      </c>
      <c r="Q452">
        <v>0.64296600178282182</v>
      </c>
      <c r="R452">
        <v>1.555292188431723</v>
      </c>
      <c r="S452">
        <v>1.555292188431723</v>
      </c>
      <c r="T452">
        <v>5.2020288085720328</v>
      </c>
    </row>
    <row r="453" spans="1:20" x14ac:dyDescent="0.25">
      <c r="A453" s="12" t="s">
        <v>63</v>
      </c>
      <c r="B453" s="12" t="s">
        <v>60</v>
      </c>
      <c r="C453" s="12" t="s">
        <v>13</v>
      </c>
      <c r="D453" s="12">
        <v>3.6011567851291222</v>
      </c>
      <c r="E453" s="12">
        <v>1.9</v>
      </c>
      <c r="F453" s="12">
        <v>20</v>
      </c>
      <c r="G453" s="12">
        <v>1.9</v>
      </c>
      <c r="H453" s="12">
        <v>2.4760061919504648</v>
      </c>
      <c r="I453" s="12" t="s">
        <v>90</v>
      </c>
      <c r="J453" s="6">
        <v>46233</v>
      </c>
      <c r="K453">
        <v>46233</v>
      </c>
      <c r="L453">
        <v>0.52760824184217625</v>
      </c>
      <c r="M453">
        <v>0.52760824184217625</v>
      </c>
      <c r="N453">
        <v>0.68755856511859303</v>
      </c>
      <c r="O453">
        <v>1.8953456763837486</v>
      </c>
      <c r="P453">
        <v>1.8953456763837486</v>
      </c>
      <c r="Q453">
        <v>1.3031611536581393</v>
      </c>
      <c r="R453">
        <v>0.76736480150046871</v>
      </c>
      <c r="S453">
        <v>0.76736480150046871</v>
      </c>
      <c r="T453">
        <v>1.454421558732987</v>
      </c>
    </row>
    <row r="454" spans="1:20" x14ac:dyDescent="0.25">
      <c r="A454" s="12" t="s">
        <v>63</v>
      </c>
      <c r="B454" s="12" t="s">
        <v>60</v>
      </c>
      <c r="C454" s="12" t="s">
        <v>15</v>
      </c>
      <c r="D454" s="12">
        <v>0</v>
      </c>
      <c r="E454" s="12">
        <v>0.95</v>
      </c>
      <c r="F454" s="12">
        <v>20</v>
      </c>
      <c r="G454" s="12">
        <v>0.95</v>
      </c>
      <c r="H454" s="12">
        <v>0</v>
      </c>
      <c r="I454" s="12" t="s">
        <v>89</v>
      </c>
      <c r="J454" s="6">
        <v>46233</v>
      </c>
      <c r="K454">
        <v>46233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</row>
    <row r="455" spans="1:20" x14ac:dyDescent="0.25">
      <c r="A455" s="12" t="s">
        <v>63</v>
      </c>
      <c r="B455" s="12" t="s">
        <v>60</v>
      </c>
      <c r="C455" s="12" t="s">
        <v>13</v>
      </c>
      <c r="D455" s="12">
        <v>3.6011567851291235</v>
      </c>
      <c r="E455" s="12">
        <v>1.9</v>
      </c>
      <c r="F455" s="12">
        <v>20</v>
      </c>
      <c r="G455" s="12">
        <v>1.9</v>
      </c>
      <c r="H455" s="12">
        <v>1.6470588235294119</v>
      </c>
      <c r="I455" s="12" t="s">
        <v>91</v>
      </c>
      <c r="J455" s="6">
        <v>46234</v>
      </c>
      <c r="K455">
        <v>46234</v>
      </c>
      <c r="L455">
        <v>0.52760824184217603</v>
      </c>
      <c r="M455">
        <v>0.52760824184217603</v>
      </c>
      <c r="N455">
        <v>0.45736937373315578</v>
      </c>
      <c r="O455">
        <v>1.8953456763837493</v>
      </c>
      <c r="P455">
        <v>1.8953456763837493</v>
      </c>
      <c r="Q455">
        <v>0.86687306501548</v>
      </c>
      <c r="R455">
        <v>1.1535714285714285</v>
      </c>
      <c r="S455">
        <v>1.1535714285714285</v>
      </c>
      <c r="T455">
        <v>2.186416619542682</v>
      </c>
    </row>
    <row r="456" spans="1:20" x14ac:dyDescent="0.25">
      <c r="A456" s="12" t="s">
        <v>63</v>
      </c>
      <c r="B456" s="12" t="s">
        <v>60</v>
      </c>
      <c r="C456" s="12" t="s">
        <v>15</v>
      </c>
      <c r="D456" s="12">
        <v>0</v>
      </c>
      <c r="E456" s="12">
        <v>0</v>
      </c>
      <c r="F456" s="12">
        <v>20</v>
      </c>
      <c r="G456" s="12">
        <v>0</v>
      </c>
      <c r="H456" s="12">
        <v>0</v>
      </c>
      <c r="I456" s="12" t="s">
        <v>92</v>
      </c>
      <c r="J456" s="6">
        <v>46234</v>
      </c>
      <c r="K456">
        <v>46234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</row>
    <row r="457" spans="1:20" x14ac:dyDescent="0.25">
      <c r="A457" s="12" t="s">
        <v>63</v>
      </c>
      <c r="B457" s="12" t="s">
        <v>60</v>
      </c>
      <c r="C457" s="12" t="s">
        <v>14</v>
      </c>
      <c r="D457" s="12">
        <v>3.1774912809962848</v>
      </c>
      <c r="E457" s="12">
        <v>0</v>
      </c>
      <c r="F457" s="12">
        <v>20</v>
      </c>
      <c r="G457" s="12">
        <v>0</v>
      </c>
      <c r="H457" s="12">
        <v>0.33217993079584773</v>
      </c>
      <c r="I457" s="12" t="s">
        <v>93</v>
      </c>
      <c r="J457" s="6">
        <v>46234</v>
      </c>
      <c r="K457">
        <v>46234</v>
      </c>
      <c r="L457">
        <v>0</v>
      </c>
      <c r="M457">
        <v>0</v>
      </c>
      <c r="N457">
        <v>0.10454157113900704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9.5655727104992323</v>
      </c>
    </row>
    <row r="458" spans="1:20" x14ac:dyDescent="0.25">
      <c r="A458" s="12" t="s">
        <v>63</v>
      </c>
      <c r="B458" s="12" t="s">
        <v>60</v>
      </c>
      <c r="C458" s="12" t="s">
        <v>14</v>
      </c>
      <c r="D458" s="12">
        <v>3.2304494690128904</v>
      </c>
      <c r="E458" s="12">
        <v>0</v>
      </c>
      <c r="F458" s="12">
        <v>20</v>
      </c>
      <c r="G458" s="12">
        <v>0</v>
      </c>
      <c r="H458" s="12">
        <v>0</v>
      </c>
      <c r="I458" s="12" t="s">
        <v>95</v>
      </c>
      <c r="J458" s="6">
        <v>46235</v>
      </c>
      <c r="K458">
        <v>46235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</row>
    <row r="459" spans="1:20" x14ac:dyDescent="0.25">
      <c r="A459" s="12" t="s">
        <v>63</v>
      </c>
      <c r="B459" s="12" t="s">
        <v>60</v>
      </c>
      <c r="C459" s="12" t="s">
        <v>15</v>
      </c>
      <c r="D459" s="12">
        <v>0</v>
      </c>
      <c r="E459" s="12">
        <v>0.95</v>
      </c>
      <c r="F459" s="12">
        <v>20</v>
      </c>
      <c r="G459" s="12">
        <v>0.95</v>
      </c>
      <c r="H459" s="12">
        <v>0</v>
      </c>
      <c r="I459" s="12" t="s">
        <v>137</v>
      </c>
      <c r="J459" s="6">
        <v>46235</v>
      </c>
      <c r="K459">
        <v>46235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</row>
    <row r="460" spans="1:20" x14ac:dyDescent="0.25">
      <c r="A460" s="12" t="s">
        <v>63</v>
      </c>
      <c r="B460" s="12" t="s">
        <v>60</v>
      </c>
      <c r="C460" s="12" t="s">
        <v>13</v>
      </c>
      <c r="D460" s="12">
        <v>3.6011567851291222</v>
      </c>
      <c r="E460" s="12">
        <v>0.95</v>
      </c>
      <c r="F460" s="12">
        <v>20</v>
      </c>
      <c r="G460" s="12">
        <v>0.95</v>
      </c>
      <c r="H460" s="12">
        <v>0</v>
      </c>
      <c r="I460" s="12" t="s">
        <v>94</v>
      </c>
      <c r="J460" s="6">
        <v>46235</v>
      </c>
      <c r="K460">
        <v>46235</v>
      </c>
      <c r="L460">
        <v>0.26380412092108813</v>
      </c>
      <c r="M460">
        <v>0.26380412092108813</v>
      </c>
      <c r="N460">
        <v>0</v>
      </c>
      <c r="O460">
        <v>3.7906913527674972</v>
      </c>
      <c r="P460">
        <v>3.7906913527674972</v>
      </c>
      <c r="Q460">
        <v>0</v>
      </c>
      <c r="R460">
        <v>0</v>
      </c>
      <c r="S460">
        <v>0</v>
      </c>
      <c r="T460">
        <v>0</v>
      </c>
    </row>
    <row r="461" spans="1:20" x14ac:dyDescent="0.25">
      <c r="A461" s="12" t="s">
        <v>63</v>
      </c>
      <c r="B461" s="12" t="s">
        <v>60</v>
      </c>
      <c r="C461" s="12" t="s">
        <v>14</v>
      </c>
      <c r="D461" s="12">
        <v>3.1774912809962856</v>
      </c>
      <c r="E461" s="12">
        <v>0.95</v>
      </c>
      <c r="F461" s="12">
        <v>20</v>
      </c>
      <c r="G461" s="12">
        <v>0.95</v>
      </c>
      <c r="H461" s="12">
        <v>0</v>
      </c>
      <c r="I461" s="12" t="s">
        <v>96</v>
      </c>
      <c r="J461" s="6">
        <v>46236</v>
      </c>
      <c r="K461">
        <v>46236</v>
      </c>
      <c r="L461">
        <v>0.29897800371056643</v>
      </c>
      <c r="M461">
        <v>0.29897800371056643</v>
      </c>
      <c r="N461">
        <v>0</v>
      </c>
      <c r="O461">
        <v>3.3447276642066166</v>
      </c>
      <c r="P461">
        <v>3.3447276642066166</v>
      </c>
      <c r="Q461">
        <v>0</v>
      </c>
      <c r="R461">
        <v>0</v>
      </c>
      <c r="S461">
        <v>0</v>
      </c>
      <c r="T461">
        <v>0</v>
      </c>
    </row>
    <row r="462" spans="1:20" x14ac:dyDescent="0.25">
      <c r="A462" s="12" t="s">
        <v>63</v>
      </c>
      <c r="B462" s="12" t="s">
        <v>60</v>
      </c>
      <c r="C462" s="12" t="s">
        <v>13</v>
      </c>
      <c r="D462" s="12">
        <v>3.6011567851291222</v>
      </c>
      <c r="E462" s="12">
        <v>0</v>
      </c>
      <c r="F462" s="12">
        <v>20</v>
      </c>
      <c r="G462" s="12">
        <v>0</v>
      </c>
      <c r="H462" s="12">
        <v>0</v>
      </c>
      <c r="I462" s="12" t="s">
        <v>97</v>
      </c>
      <c r="J462" s="6">
        <v>46236</v>
      </c>
      <c r="K462">
        <v>46236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</row>
    <row r="463" spans="1:20" x14ac:dyDescent="0.25">
      <c r="A463" s="12" t="s">
        <v>63</v>
      </c>
      <c r="B463" s="12" t="s">
        <v>60</v>
      </c>
      <c r="C463" s="12" t="s">
        <v>15</v>
      </c>
      <c r="D463" s="12">
        <v>0</v>
      </c>
      <c r="E463" s="12">
        <v>0.95</v>
      </c>
      <c r="F463" s="12">
        <v>20</v>
      </c>
      <c r="G463" s="12">
        <v>0.95</v>
      </c>
      <c r="H463" s="12">
        <v>0</v>
      </c>
      <c r="I463" s="12" t="s">
        <v>98</v>
      </c>
      <c r="J463" s="6">
        <v>46236</v>
      </c>
      <c r="K463">
        <v>46236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</row>
    <row r="464" spans="1:20" x14ac:dyDescent="0.25">
      <c r="A464" s="12" t="s">
        <v>63</v>
      </c>
      <c r="B464" s="12" t="s">
        <v>60</v>
      </c>
      <c r="C464" s="12" t="s">
        <v>15</v>
      </c>
      <c r="D464" s="12">
        <v>0</v>
      </c>
      <c r="E464" s="12">
        <v>0</v>
      </c>
      <c r="F464" s="12">
        <v>20</v>
      </c>
      <c r="G464" s="12">
        <v>0</v>
      </c>
      <c r="H464" s="12">
        <v>0</v>
      </c>
      <c r="I464" s="12" t="s">
        <v>100</v>
      </c>
      <c r="J464" s="6">
        <v>46237</v>
      </c>
      <c r="K464">
        <v>46237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</row>
    <row r="465" spans="1:20" x14ac:dyDescent="0.25">
      <c r="A465" s="12" t="s">
        <v>63</v>
      </c>
      <c r="B465" s="12" t="s">
        <v>60</v>
      </c>
      <c r="C465" s="12" t="s">
        <v>13</v>
      </c>
      <c r="D465" s="12">
        <v>3.6011567851291222</v>
      </c>
      <c r="E465" s="12">
        <v>0.95</v>
      </c>
      <c r="F465" s="12">
        <v>20</v>
      </c>
      <c r="G465" s="12">
        <v>0.95</v>
      </c>
      <c r="H465" s="12">
        <v>0.82352941176470595</v>
      </c>
      <c r="I465" s="12" t="s">
        <v>101</v>
      </c>
      <c r="J465" s="6">
        <v>46237</v>
      </c>
      <c r="K465">
        <v>46237</v>
      </c>
      <c r="L465">
        <v>0.26380412092108813</v>
      </c>
      <c r="M465">
        <v>0.26380412092108813</v>
      </c>
      <c r="N465">
        <v>0.22868468686657797</v>
      </c>
      <c r="O465">
        <v>3.7906913527674972</v>
      </c>
      <c r="P465">
        <v>3.7906913527674972</v>
      </c>
      <c r="Q465">
        <v>0.86687306501548</v>
      </c>
      <c r="R465">
        <v>1.1535714285714285</v>
      </c>
      <c r="S465">
        <v>1.1535714285714285</v>
      </c>
      <c r="T465">
        <v>4.3728332390853621</v>
      </c>
    </row>
    <row r="466" spans="1:20" x14ac:dyDescent="0.25">
      <c r="A466" s="12" t="s">
        <v>63</v>
      </c>
      <c r="B466" s="12" t="s">
        <v>60</v>
      </c>
      <c r="C466" s="12" t="s">
        <v>14</v>
      </c>
      <c r="D466" s="12">
        <v>3.1774912809962848</v>
      </c>
      <c r="E466" s="12">
        <v>0</v>
      </c>
      <c r="F466" s="12">
        <v>20</v>
      </c>
      <c r="G466" s="12">
        <v>0</v>
      </c>
      <c r="H466" s="12">
        <v>0.16608996539792387</v>
      </c>
      <c r="I466" s="12" t="s">
        <v>99</v>
      </c>
      <c r="J466" s="6">
        <v>46237</v>
      </c>
      <c r="K466">
        <v>46237</v>
      </c>
      <c r="L466">
        <v>0</v>
      </c>
      <c r="M466">
        <v>0</v>
      </c>
      <c r="N466">
        <v>5.2270785569503521E-2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19.131145420998465</v>
      </c>
    </row>
    <row r="467" spans="1:20" x14ac:dyDescent="0.25">
      <c r="A467" s="12" t="s">
        <v>63</v>
      </c>
      <c r="B467" s="12" t="s">
        <v>60</v>
      </c>
      <c r="C467" s="12" t="s">
        <v>14</v>
      </c>
      <c r="D467" s="12">
        <v>3.23044946901289</v>
      </c>
      <c r="E467" s="12">
        <v>0</v>
      </c>
      <c r="F467" s="12">
        <v>20</v>
      </c>
      <c r="G467" s="12">
        <v>0</v>
      </c>
      <c r="H467" s="12">
        <v>0.16608996539792387</v>
      </c>
      <c r="I467" s="12" t="s">
        <v>102</v>
      </c>
      <c r="J467" s="6">
        <v>46238</v>
      </c>
      <c r="K467">
        <v>46238</v>
      </c>
      <c r="L467">
        <v>0</v>
      </c>
      <c r="M467">
        <v>0</v>
      </c>
      <c r="N467">
        <v>5.1413887445413295E-2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19.449997844681775</v>
      </c>
    </row>
    <row r="468" spans="1:20" x14ac:dyDescent="0.25">
      <c r="A468" s="12" t="s">
        <v>63</v>
      </c>
      <c r="B468" s="12" t="s">
        <v>60</v>
      </c>
      <c r="C468" s="12" t="s">
        <v>13</v>
      </c>
      <c r="D468" s="12">
        <v>3.6011567851291222</v>
      </c>
      <c r="E468" s="12">
        <v>0.95</v>
      </c>
      <c r="F468" s="12">
        <v>20</v>
      </c>
      <c r="G468" s="12">
        <v>0.95</v>
      </c>
      <c r="H468" s="12">
        <v>0.82352941176470595</v>
      </c>
      <c r="I468" s="12" t="s">
        <v>104</v>
      </c>
      <c r="J468" s="6">
        <v>46238</v>
      </c>
      <c r="K468">
        <v>46238</v>
      </c>
      <c r="L468">
        <v>0.26380412092108813</v>
      </c>
      <c r="M468">
        <v>0.26380412092108813</v>
      </c>
      <c r="N468">
        <v>0.22868468686657797</v>
      </c>
      <c r="O468">
        <v>3.7906913527674972</v>
      </c>
      <c r="P468">
        <v>3.7906913527674972</v>
      </c>
      <c r="Q468">
        <v>0.86687306501548</v>
      </c>
      <c r="R468">
        <v>1.1535714285714285</v>
      </c>
      <c r="S468">
        <v>1.1535714285714285</v>
      </c>
      <c r="T468">
        <v>4.3728332390853621</v>
      </c>
    </row>
    <row r="469" spans="1:20" x14ac:dyDescent="0.25">
      <c r="A469" s="12" t="s">
        <v>63</v>
      </c>
      <c r="B469" s="12" t="s">
        <v>60</v>
      </c>
      <c r="C469" s="12" t="s">
        <v>15</v>
      </c>
      <c r="D469" s="12">
        <v>0</v>
      </c>
      <c r="E469" s="12">
        <v>2.8499999999999996</v>
      </c>
      <c r="F469" s="12">
        <v>20</v>
      </c>
      <c r="G469" s="12">
        <v>2.8499999999999996</v>
      </c>
      <c r="H469" s="12">
        <v>0</v>
      </c>
      <c r="I469" s="12" t="s">
        <v>103</v>
      </c>
      <c r="J469" s="6">
        <v>46238</v>
      </c>
      <c r="K469">
        <v>46238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</row>
    <row r="470" spans="1:20" x14ac:dyDescent="0.25">
      <c r="A470" s="12" t="s">
        <v>63</v>
      </c>
      <c r="B470" s="12" t="s">
        <v>60</v>
      </c>
      <c r="C470" s="12" t="s">
        <v>15</v>
      </c>
      <c r="D470" s="12">
        <v>0</v>
      </c>
      <c r="E470" s="12">
        <v>0</v>
      </c>
      <c r="F470" s="12">
        <v>20</v>
      </c>
      <c r="G470" s="12">
        <v>0</v>
      </c>
      <c r="H470" s="12">
        <v>0</v>
      </c>
      <c r="I470" s="12" t="s">
        <v>106</v>
      </c>
      <c r="J470" s="6">
        <v>46239</v>
      </c>
      <c r="K470">
        <v>46239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</row>
    <row r="471" spans="1:20" x14ac:dyDescent="0.25">
      <c r="A471" s="12" t="s">
        <v>63</v>
      </c>
      <c r="B471" s="12" t="s">
        <v>60</v>
      </c>
      <c r="C471" s="12" t="s">
        <v>13</v>
      </c>
      <c r="D471" s="12">
        <v>3.6011567851291222</v>
      </c>
      <c r="E471" s="12">
        <v>0.95</v>
      </c>
      <c r="F471" s="12">
        <v>20</v>
      </c>
      <c r="G471" s="12">
        <v>0.95</v>
      </c>
      <c r="H471" s="12">
        <v>1.6524767801857587</v>
      </c>
      <c r="I471" s="12" t="s">
        <v>105</v>
      </c>
      <c r="J471" s="6">
        <v>46239</v>
      </c>
      <c r="K471">
        <v>46239</v>
      </c>
      <c r="L471">
        <v>0.26380412092108813</v>
      </c>
      <c r="M471">
        <v>0.26380412092108813</v>
      </c>
      <c r="N471">
        <v>0.45887387825201503</v>
      </c>
      <c r="O471">
        <v>3.7906913527674972</v>
      </c>
      <c r="P471">
        <v>3.7906913527674972</v>
      </c>
      <c r="Q471">
        <v>1.7394492423007988</v>
      </c>
      <c r="R471">
        <v>0.57489461358313809</v>
      </c>
      <c r="S471">
        <v>0.57489461358313809</v>
      </c>
      <c r="T471">
        <v>2.1792480404622134</v>
      </c>
    </row>
    <row r="472" spans="1:20" x14ac:dyDescent="0.25">
      <c r="A472" s="12" t="s">
        <v>63</v>
      </c>
      <c r="B472" s="12" t="s">
        <v>60</v>
      </c>
      <c r="C472" s="12" t="s">
        <v>14</v>
      </c>
      <c r="D472" s="12">
        <v>3.1774912809962848</v>
      </c>
      <c r="E472" s="12">
        <v>1.9</v>
      </c>
      <c r="F472" s="12">
        <v>20</v>
      </c>
      <c r="G472" s="12">
        <v>1.9</v>
      </c>
      <c r="H472" s="12">
        <v>1.1506100892369333</v>
      </c>
      <c r="I472" s="12" t="s">
        <v>107</v>
      </c>
      <c r="J472" s="6">
        <v>46239</v>
      </c>
      <c r="K472">
        <v>46239</v>
      </c>
      <c r="L472">
        <v>0.59795600742113297</v>
      </c>
      <c r="M472">
        <v>0.59795600742113297</v>
      </c>
      <c r="N472">
        <v>0.36211274476767907</v>
      </c>
      <c r="O472">
        <v>1.6723638321033079</v>
      </c>
      <c r="P472">
        <v>1.6723638321033079</v>
      </c>
      <c r="Q472">
        <v>0.60558425749312284</v>
      </c>
      <c r="R472">
        <v>1.6512978790756565</v>
      </c>
      <c r="S472">
        <v>1.6512978790756565</v>
      </c>
      <c r="T472">
        <v>2.7615708489950297</v>
      </c>
    </row>
    <row r="473" spans="1:20" x14ac:dyDescent="0.25">
      <c r="A473" s="12" t="s">
        <v>63</v>
      </c>
      <c r="B473" s="12" t="s">
        <v>60</v>
      </c>
      <c r="C473" s="12" t="s">
        <v>13</v>
      </c>
      <c r="D473" s="12">
        <v>3.6011567851291222</v>
      </c>
      <c r="E473" s="12">
        <v>0.95</v>
      </c>
      <c r="F473" s="12">
        <v>20</v>
      </c>
      <c r="G473" s="12">
        <v>0.95</v>
      </c>
      <c r="H473" s="12">
        <v>1.6524767801857585</v>
      </c>
      <c r="I473" s="12" t="s">
        <v>108</v>
      </c>
      <c r="J473" s="6">
        <v>46240</v>
      </c>
      <c r="K473">
        <v>46240</v>
      </c>
      <c r="L473">
        <v>0.26380412092108813</v>
      </c>
      <c r="M473">
        <v>0.26380412092108813</v>
      </c>
      <c r="N473">
        <v>0.45887387825201498</v>
      </c>
      <c r="O473">
        <v>3.7906913527674972</v>
      </c>
      <c r="P473">
        <v>3.7906913527674972</v>
      </c>
      <c r="Q473">
        <v>1.7394492423007986</v>
      </c>
      <c r="R473">
        <v>0.5748946135831382</v>
      </c>
      <c r="S473">
        <v>0.5748946135831382</v>
      </c>
      <c r="T473">
        <v>2.1792480404622134</v>
      </c>
    </row>
    <row r="474" spans="1:20" x14ac:dyDescent="0.25">
      <c r="A474" s="12" t="s">
        <v>63</v>
      </c>
      <c r="B474" s="12" t="s">
        <v>60</v>
      </c>
      <c r="C474" s="12" t="s">
        <v>15</v>
      </c>
      <c r="D474" s="12">
        <v>0</v>
      </c>
      <c r="E474" s="12">
        <v>0.95</v>
      </c>
      <c r="F474" s="12">
        <v>20</v>
      </c>
      <c r="G474" s="12">
        <v>0.95</v>
      </c>
      <c r="H474" s="12">
        <v>0</v>
      </c>
      <c r="I474" s="12" t="s">
        <v>109</v>
      </c>
      <c r="J474" s="6">
        <v>46240</v>
      </c>
      <c r="K474">
        <v>46240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</row>
    <row r="475" spans="1:20" x14ac:dyDescent="0.25">
      <c r="A475" s="12" t="s">
        <v>63</v>
      </c>
      <c r="B475" s="12" t="s">
        <v>60</v>
      </c>
      <c r="C475" s="12" t="s">
        <v>14</v>
      </c>
      <c r="D475" s="12">
        <v>3.1774912809962848</v>
      </c>
      <c r="E475" s="12">
        <v>0.95</v>
      </c>
      <c r="F475" s="12">
        <v>20</v>
      </c>
      <c r="G475" s="12">
        <v>0.95</v>
      </c>
      <c r="H475" s="12">
        <v>0.44472773629575663</v>
      </c>
      <c r="I475" s="12" t="s">
        <v>110</v>
      </c>
      <c r="J475" s="6">
        <v>46240</v>
      </c>
      <c r="K475">
        <v>46240</v>
      </c>
      <c r="L475">
        <v>0.29897800371056649</v>
      </c>
      <c r="M475">
        <v>0.29897800371056649</v>
      </c>
      <c r="N475">
        <v>0.13996190609728903</v>
      </c>
      <c r="O475">
        <v>3.3447276642066157</v>
      </c>
      <c r="P475">
        <v>3.3447276642066157</v>
      </c>
      <c r="Q475">
        <v>0.46813445925869118</v>
      </c>
      <c r="R475">
        <v>2.1361384111384112</v>
      </c>
      <c r="S475">
        <v>2.1361384111384112</v>
      </c>
      <c r="T475">
        <v>7.14480123830901</v>
      </c>
    </row>
    <row r="476" spans="1:20" x14ac:dyDescent="0.25">
      <c r="A476" s="12" t="s">
        <v>63</v>
      </c>
      <c r="B476" s="12" t="s">
        <v>60</v>
      </c>
      <c r="C476" s="12" t="s">
        <v>14</v>
      </c>
      <c r="D476" s="12">
        <v>3.1774912809962856</v>
      </c>
      <c r="E476" s="12">
        <v>0.95</v>
      </c>
      <c r="F476" s="12">
        <v>20</v>
      </c>
      <c r="G476" s="12">
        <v>0.95</v>
      </c>
      <c r="H476" s="12">
        <v>0</v>
      </c>
      <c r="I476" s="12" t="s">
        <v>111</v>
      </c>
      <c r="J476" s="6">
        <v>46241</v>
      </c>
      <c r="K476">
        <v>46241</v>
      </c>
      <c r="L476">
        <v>0.29897800371056643</v>
      </c>
      <c r="M476">
        <v>0.29897800371056643</v>
      </c>
      <c r="N476">
        <v>0</v>
      </c>
      <c r="O476">
        <v>3.3447276642066166</v>
      </c>
      <c r="P476">
        <v>3.3447276642066166</v>
      </c>
      <c r="Q476">
        <v>0</v>
      </c>
      <c r="R476">
        <v>0</v>
      </c>
      <c r="S476">
        <v>0</v>
      </c>
      <c r="T476">
        <v>0</v>
      </c>
    </row>
    <row r="477" spans="1:20" x14ac:dyDescent="0.25">
      <c r="A477" s="12" t="s">
        <v>63</v>
      </c>
      <c r="B477" s="12" t="s">
        <v>60</v>
      </c>
      <c r="C477" s="12" t="s">
        <v>15</v>
      </c>
      <c r="D477" s="12">
        <v>0</v>
      </c>
      <c r="E477" s="12">
        <v>0.95</v>
      </c>
      <c r="F477" s="12">
        <v>20</v>
      </c>
      <c r="G477" s="12">
        <v>0.95</v>
      </c>
      <c r="H477" s="12">
        <v>0</v>
      </c>
      <c r="I477" s="12" t="s">
        <v>138</v>
      </c>
      <c r="J477" s="6">
        <v>46241</v>
      </c>
      <c r="K477">
        <v>46241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</row>
    <row r="478" spans="1:20" x14ac:dyDescent="0.25">
      <c r="A478" s="12" t="s">
        <v>63</v>
      </c>
      <c r="B478" s="12" t="s">
        <v>60</v>
      </c>
      <c r="C478" s="12" t="s">
        <v>13</v>
      </c>
      <c r="D478" s="12">
        <v>3.6011567851291222</v>
      </c>
      <c r="E478" s="12">
        <v>0</v>
      </c>
      <c r="F478" s="12">
        <v>20</v>
      </c>
      <c r="G478" s="12">
        <v>0</v>
      </c>
      <c r="H478" s="12">
        <v>0</v>
      </c>
      <c r="I478" s="12" t="s">
        <v>112</v>
      </c>
      <c r="J478" s="6">
        <v>46241</v>
      </c>
      <c r="K478">
        <v>46241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</row>
    <row r="479" spans="1:20" x14ac:dyDescent="0.25">
      <c r="A479" s="12" t="s">
        <v>63</v>
      </c>
      <c r="B479" s="12" t="s">
        <v>60</v>
      </c>
      <c r="C479" s="12" t="s">
        <v>14</v>
      </c>
      <c r="D479" s="12">
        <v>3.1774912809962856</v>
      </c>
      <c r="E479" s="12">
        <v>0</v>
      </c>
      <c r="F479" s="12">
        <v>20</v>
      </c>
      <c r="G479" s="12">
        <v>0</v>
      </c>
      <c r="H479" s="12">
        <v>0</v>
      </c>
      <c r="I479" s="12" t="s">
        <v>114</v>
      </c>
      <c r="J479" s="6">
        <v>46242</v>
      </c>
      <c r="K479">
        <v>46242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</row>
    <row r="480" spans="1:20" x14ac:dyDescent="0.25">
      <c r="A480" s="12" t="s">
        <v>63</v>
      </c>
      <c r="B480" s="12" t="s">
        <v>60</v>
      </c>
      <c r="C480" s="12" t="s">
        <v>13</v>
      </c>
      <c r="D480" s="12">
        <v>3.6011567851291222</v>
      </c>
      <c r="E480" s="12">
        <v>0</v>
      </c>
      <c r="F480" s="12">
        <v>20</v>
      </c>
      <c r="G480" s="12">
        <v>0</v>
      </c>
      <c r="H480" s="12">
        <v>0</v>
      </c>
      <c r="I480" s="12" t="s">
        <v>139</v>
      </c>
      <c r="J480" s="6">
        <v>46242</v>
      </c>
      <c r="K480">
        <v>46242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</row>
    <row r="481" spans="1:20" x14ac:dyDescent="0.25">
      <c r="A481" s="12" t="s">
        <v>63</v>
      </c>
      <c r="B481" s="12" t="s">
        <v>60</v>
      </c>
      <c r="C481" s="12" t="s">
        <v>15</v>
      </c>
      <c r="D481" s="12">
        <v>0</v>
      </c>
      <c r="E481" s="12">
        <v>1.9</v>
      </c>
      <c r="F481" s="12">
        <v>20</v>
      </c>
      <c r="G481" s="12">
        <v>1.9</v>
      </c>
      <c r="H481" s="12">
        <v>0</v>
      </c>
      <c r="I481" s="12" t="s">
        <v>113</v>
      </c>
      <c r="J481" s="6">
        <v>46242</v>
      </c>
      <c r="K481">
        <v>46242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</row>
    <row r="482" spans="1:20" x14ac:dyDescent="0.25">
      <c r="A482" s="12" t="s">
        <v>63</v>
      </c>
      <c r="B482" s="12" t="s">
        <v>60</v>
      </c>
      <c r="C482" s="12" t="s">
        <v>14</v>
      </c>
      <c r="D482" s="12">
        <v>3.1774912809962856</v>
      </c>
      <c r="E482" s="12">
        <v>0</v>
      </c>
      <c r="F482" s="12">
        <v>20</v>
      </c>
      <c r="G482" s="12">
        <v>0</v>
      </c>
      <c r="H482" s="12">
        <v>0.16608996539792387</v>
      </c>
      <c r="I482" s="12" t="s">
        <v>140</v>
      </c>
      <c r="J482" s="6">
        <v>46243</v>
      </c>
      <c r="K482">
        <v>46243</v>
      </c>
      <c r="L482">
        <v>0</v>
      </c>
      <c r="M482">
        <v>0</v>
      </c>
      <c r="N482">
        <v>5.2270785569503507E-2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19.131145420998472</v>
      </c>
    </row>
    <row r="483" spans="1:20" x14ac:dyDescent="0.25">
      <c r="A483" s="12" t="s">
        <v>63</v>
      </c>
      <c r="B483" s="12" t="s">
        <v>60</v>
      </c>
      <c r="C483" s="12" t="s">
        <v>15</v>
      </c>
      <c r="D483" s="12">
        <v>0</v>
      </c>
      <c r="E483" s="12">
        <v>0</v>
      </c>
      <c r="F483" s="12">
        <v>20</v>
      </c>
      <c r="G483" s="12">
        <v>0</v>
      </c>
      <c r="H483" s="12">
        <v>0</v>
      </c>
      <c r="I483" s="12" t="s">
        <v>141</v>
      </c>
      <c r="J483" s="6">
        <v>46243</v>
      </c>
      <c r="K483">
        <v>46243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</row>
    <row r="484" spans="1:20" x14ac:dyDescent="0.25">
      <c r="A484" s="12" t="s">
        <v>63</v>
      </c>
      <c r="B484" s="12" t="s">
        <v>60</v>
      </c>
      <c r="C484" s="12" t="s">
        <v>13</v>
      </c>
      <c r="D484" s="12">
        <v>3.6011567851291222</v>
      </c>
      <c r="E484" s="12">
        <v>0.95</v>
      </c>
      <c r="F484" s="12">
        <v>20</v>
      </c>
      <c r="G484" s="12">
        <v>0.95</v>
      </c>
      <c r="H484" s="12">
        <v>0.82352941176470595</v>
      </c>
      <c r="I484" s="12" t="s">
        <v>115</v>
      </c>
      <c r="J484" s="6">
        <v>46243</v>
      </c>
      <c r="K484">
        <v>46243</v>
      </c>
      <c r="L484">
        <v>0.26380412092108813</v>
      </c>
      <c r="M484">
        <v>0.26380412092108813</v>
      </c>
      <c r="N484">
        <v>0.22868468686657797</v>
      </c>
      <c r="O484">
        <v>3.7906913527674972</v>
      </c>
      <c r="P484">
        <v>3.7906913527674972</v>
      </c>
      <c r="Q484">
        <v>0.86687306501548</v>
      </c>
      <c r="R484">
        <v>1.1535714285714285</v>
      </c>
      <c r="S484">
        <v>1.1535714285714285</v>
      </c>
      <c r="T484">
        <v>4.3728332390853621</v>
      </c>
    </row>
    <row r="485" spans="1:20" x14ac:dyDescent="0.25">
      <c r="A485" s="12" t="s">
        <v>63</v>
      </c>
      <c r="B485" s="12" t="s">
        <v>60</v>
      </c>
      <c r="C485" s="12" t="s">
        <v>13</v>
      </c>
      <c r="D485" s="12">
        <v>3.6011567851291222</v>
      </c>
      <c r="E485" s="12">
        <v>0</v>
      </c>
      <c r="F485" s="12">
        <v>20</v>
      </c>
      <c r="G485" s="12">
        <v>0</v>
      </c>
      <c r="H485" s="12">
        <v>0.82352941176470595</v>
      </c>
      <c r="I485" s="12" t="s">
        <v>142</v>
      </c>
      <c r="J485" s="6">
        <v>46244</v>
      </c>
      <c r="K485">
        <v>46244</v>
      </c>
      <c r="L485">
        <v>0</v>
      </c>
      <c r="M485">
        <v>0</v>
      </c>
      <c r="N485">
        <v>0.22868468686657797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4.3728332390853621</v>
      </c>
    </row>
    <row r="486" spans="1:20" x14ac:dyDescent="0.25">
      <c r="A486" s="12" t="s">
        <v>63</v>
      </c>
      <c r="B486" s="12" t="s">
        <v>60</v>
      </c>
      <c r="C486" s="12" t="s">
        <v>15</v>
      </c>
      <c r="D486" s="12">
        <v>0</v>
      </c>
      <c r="E486" s="12">
        <v>0.95</v>
      </c>
      <c r="F486" s="12">
        <v>20</v>
      </c>
      <c r="G486" s="12">
        <v>0.95</v>
      </c>
      <c r="H486" s="12">
        <v>0</v>
      </c>
      <c r="I486" s="12" t="s">
        <v>117</v>
      </c>
      <c r="J486" s="6">
        <v>46244</v>
      </c>
      <c r="K486">
        <v>46244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</row>
    <row r="487" spans="1:20" x14ac:dyDescent="0.25">
      <c r="A487" s="12" t="s">
        <v>63</v>
      </c>
      <c r="B487" s="12" t="s">
        <v>60</v>
      </c>
      <c r="C487" s="12" t="s">
        <v>14</v>
      </c>
      <c r="D487" s="12">
        <v>3.1774912809962848</v>
      </c>
      <c r="E487" s="12">
        <v>0</v>
      </c>
      <c r="F487" s="12">
        <v>20</v>
      </c>
      <c r="G487" s="12">
        <v>0</v>
      </c>
      <c r="H487" s="12">
        <v>0.16608996539792387</v>
      </c>
      <c r="I487" s="12" t="s">
        <v>116</v>
      </c>
      <c r="J487" s="6">
        <v>46244</v>
      </c>
      <c r="K487">
        <v>46244</v>
      </c>
      <c r="L487">
        <v>0</v>
      </c>
      <c r="M487">
        <v>0</v>
      </c>
      <c r="N487">
        <v>5.2270785569503521E-2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19.131145420998465</v>
      </c>
    </row>
    <row r="488" spans="1:20" x14ac:dyDescent="0.25">
      <c r="A488" s="12" t="s">
        <v>63</v>
      </c>
      <c r="B488" s="12" t="s">
        <v>60</v>
      </c>
      <c r="C488" s="12" t="s">
        <v>14</v>
      </c>
      <c r="D488" s="12">
        <v>3.1774912809962848</v>
      </c>
      <c r="E488" s="12">
        <v>0</v>
      </c>
      <c r="F488" s="12">
        <v>20</v>
      </c>
      <c r="G488" s="12">
        <v>0</v>
      </c>
      <c r="H488" s="12">
        <v>0.16608996539792387</v>
      </c>
      <c r="I488" s="12" t="s">
        <v>119</v>
      </c>
      <c r="J488" s="6">
        <v>46245</v>
      </c>
      <c r="K488">
        <v>46245</v>
      </c>
      <c r="L488">
        <v>0</v>
      </c>
      <c r="M488">
        <v>0</v>
      </c>
      <c r="N488">
        <v>5.2270785569503521E-2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19.131145420998465</v>
      </c>
    </row>
    <row r="489" spans="1:20" x14ac:dyDescent="0.25">
      <c r="A489" s="12" t="s">
        <v>63</v>
      </c>
      <c r="B489" s="12" t="s">
        <v>60</v>
      </c>
      <c r="C489" s="12" t="s">
        <v>13</v>
      </c>
      <c r="D489" s="12">
        <v>3.6011567851291222</v>
      </c>
      <c r="E489" s="12">
        <v>0.95</v>
      </c>
      <c r="F489" s="12">
        <v>20</v>
      </c>
      <c r="G489" s="12">
        <v>0.95</v>
      </c>
      <c r="H489" s="12">
        <v>0.82352941176470595</v>
      </c>
      <c r="I489" s="12" t="s">
        <v>118</v>
      </c>
      <c r="J489" s="6">
        <v>46245</v>
      </c>
      <c r="K489">
        <v>46245</v>
      </c>
      <c r="L489">
        <v>0.26380412092108813</v>
      </c>
      <c r="M489">
        <v>0.26380412092108813</v>
      </c>
      <c r="N489">
        <v>0.22868468686657797</v>
      </c>
      <c r="O489">
        <v>3.7906913527674972</v>
      </c>
      <c r="P489">
        <v>3.7906913527674972</v>
      </c>
      <c r="Q489">
        <v>0.86687306501548</v>
      </c>
      <c r="R489">
        <v>1.1535714285714285</v>
      </c>
      <c r="S489">
        <v>1.1535714285714285</v>
      </c>
      <c r="T489">
        <v>4.3728332390853621</v>
      </c>
    </row>
    <row r="490" spans="1:20" x14ac:dyDescent="0.25">
      <c r="A490" s="12" t="s">
        <v>63</v>
      </c>
      <c r="B490" s="12" t="s">
        <v>60</v>
      </c>
      <c r="C490" s="12" t="s">
        <v>15</v>
      </c>
      <c r="D490" s="12">
        <v>0</v>
      </c>
      <c r="E490" s="12">
        <v>0.95</v>
      </c>
      <c r="F490" s="12">
        <v>20</v>
      </c>
      <c r="G490" s="12">
        <v>0.95</v>
      </c>
      <c r="H490" s="12">
        <v>0</v>
      </c>
      <c r="I490" s="12" t="s">
        <v>120</v>
      </c>
      <c r="J490" s="6">
        <v>46245</v>
      </c>
      <c r="K490">
        <v>46245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</row>
    <row r="491" spans="1:20" x14ac:dyDescent="0.25">
      <c r="A491" s="12" t="s">
        <v>63</v>
      </c>
      <c r="B491" s="12" t="s">
        <v>60</v>
      </c>
      <c r="C491" s="12" t="s">
        <v>13</v>
      </c>
      <c r="D491" s="12">
        <v>3.6011567851291222</v>
      </c>
      <c r="E491" s="12">
        <v>1.9</v>
      </c>
      <c r="F491" s="12">
        <v>20</v>
      </c>
      <c r="G491" s="12">
        <v>1.9</v>
      </c>
      <c r="H491" s="12">
        <v>1.6470588235294119</v>
      </c>
      <c r="I491" s="12" t="s">
        <v>121</v>
      </c>
      <c r="J491" s="6">
        <v>46246</v>
      </c>
      <c r="K491">
        <v>46246</v>
      </c>
      <c r="L491">
        <v>0.52760824184217625</v>
      </c>
      <c r="M491">
        <v>0.52760824184217625</v>
      </c>
      <c r="N491">
        <v>0.45736937373315595</v>
      </c>
      <c r="O491">
        <v>1.8953456763837486</v>
      </c>
      <c r="P491">
        <v>1.8953456763837486</v>
      </c>
      <c r="Q491">
        <v>0.86687306501548</v>
      </c>
      <c r="R491">
        <v>1.1535714285714285</v>
      </c>
      <c r="S491">
        <v>1.1535714285714285</v>
      </c>
      <c r="T491">
        <v>2.1864166195426811</v>
      </c>
    </row>
    <row r="492" spans="1:20" x14ac:dyDescent="0.25">
      <c r="A492" s="12" t="s">
        <v>63</v>
      </c>
      <c r="B492" s="12" t="s">
        <v>60</v>
      </c>
      <c r="C492" s="12" t="s">
        <v>15</v>
      </c>
      <c r="D492" s="12">
        <v>0</v>
      </c>
      <c r="E492" s="12">
        <v>0</v>
      </c>
      <c r="F492" s="12">
        <v>20</v>
      </c>
      <c r="G492" s="12">
        <v>0</v>
      </c>
      <c r="H492" s="12">
        <v>0</v>
      </c>
      <c r="I492" s="12" t="s">
        <v>122</v>
      </c>
      <c r="J492" s="6">
        <v>46246</v>
      </c>
      <c r="K492">
        <v>46246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</row>
    <row r="493" spans="1:20" x14ac:dyDescent="0.25">
      <c r="A493" s="12" t="s">
        <v>63</v>
      </c>
      <c r="B493" s="12" t="s">
        <v>60</v>
      </c>
      <c r="C493" s="12" t="s">
        <v>14</v>
      </c>
      <c r="D493" s="12">
        <v>3.1774912809962848</v>
      </c>
      <c r="E493" s="12">
        <v>0.95</v>
      </c>
      <c r="F493" s="12">
        <v>20</v>
      </c>
      <c r="G493" s="12">
        <v>0.95</v>
      </c>
      <c r="H493" s="12">
        <v>1.0380622837370239</v>
      </c>
      <c r="I493" s="12" t="s">
        <v>123</v>
      </c>
      <c r="J493" s="6">
        <v>46246</v>
      </c>
      <c r="K493">
        <v>46246</v>
      </c>
      <c r="L493">
        <v>0.29897800371056649</v>
      </c>
      <c r="M493">
        <v>0.29897800371056649</v>
      </c>
      <c r="N493">
        <v>0.32669240980939696</v>
      </c>
      <c r="O493">
        <v>3.3447276642066157</v>
      </c>
      <c r="P493">
        <v>3.3447276642066157</v>
      </c>
      <c r="Q493">
        <v>1.0926971407758146</v>
      </c>
      <c r="R493">
        <v>0.91516666666666691</v>
      </c>
      <c r="S493">
        <v>0.91516666666666691</v>
      </c>
      <c r="T493">
        <v>3.060983267359755</v>
      </c>
    </row>
    <row r="494" spans="1:20" x14ac:dyDescent="0.25">
      <c r="A494" s="12" t="s">
        <v>63</v>
      </c>
      <c r="B494" s="12" t="s">
        <v>60</v>
      </c>
      <c r="C494" s="12" t="s">
        <v>14</v>
      </c>
      <c r="D494" s="12">
        <v>3.1774912809962848</v>
      </c>
      <c r="E494" s="12">
        <v>0</v>
      </c>
      <c r="F494" s="12">
        <v>20</v>
      </c>
      <c r="G494" s="12">
        <v>0</v>
      </c>
      <c r="H494" s="12">
        <v>0.33217993079584773</v>
      </c>
      <c r="I494" s="12" t="s">
        <v>124</v>
      </c>
      <c r="J494" s="6">
        <v>46247</v>
      </c>
      <c r="K494">
        <v>46247</v>
      </c>
      <c r="L494">
        <v>0</v>
      </c>
      <c r="M494">
        <v>0</v>
      </c>
      <c r="N494">
        <v>0.10454157113900704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9.5655727104992323</v>
      </c>
    </row>
    <row r="495" spans="1:20" x14ac:dyDescent="0.25">
      <c r="A495" s="12" t="s">
        <v>63</v>
      </c>
      <c r="B495" s="12" t="s">
        <v>60</v>
      </c>
      <c r="C495" s="12" t="s">
        <v>15</v>
      </c>
      <c r="D495" s="12">
        <v>0</v>
      </c>
      <c r="E495" s="12">
        <v>0.95</v>
      </c>
      <c r="F495" s="12">
        <v>20</v>
      </c>
      <c r="G495" s="12">
        <v>0.95</v>
      </c>
      <c r="H495" s="12">
        <v>0</v>
      </c>
      <c r="I495" s="12" t="s">
        <v>125</v>
      </c>
      <c r="J495" s="6">
        <v>46247</v>
      </c>
      <c r="K495">
        <v>46247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</row>
    <row r="496" spans="1:20" x14ac:dyDescent="0.25">
      <c r="A496" s="12" t="s">
        <v>63</v>
      </c>
      <c r="B496" s="12" t="s">
        <v>60</v>
      </c>
      <c r="C496" s="12" t="s">
        <v>13</v>
      </c>
      <c r="D496" s="12">
        <v>3.6011567851291222</v>
      </c>
      <c r="E496" s="12">
        <v>1.9</v>
      </c>
      <c r="F496" s="12">
        <v>20</v>
      </c>
      <c r="G496" s="12">
        <v>1.9</v>
      </c>
      <c r="H496" s="12">
        <v>1.6470588235294119</v>
      </c>
      <c r="I496" s="12" t="s">
        <v>126</v>
      </c>
      <c r="J496" s="6">
        <v>46247</v>
      </c>
      <c r="K496">
        <v>46247</v>
      </c>
      <c r="L496">
        <v>0.52760824184217625</v>
      </c>
      <c r="M496">
        <v>0.52760824184217625</v>
      </c>
      <c r="N496">
        <v>0.45736937373315595</v>
      </c>
      <c r="O496">
        <v>1.8953456763837486</v>
      </c>
      <c r="P496">
        <v>1.8953456763837486</v>
      </c>
      <c r="Q496">
        <v>0.86687306501548</v>
      </c>
      <c r="R496">
        <v>1.1535714285714285</v>
      </c>
      <c r="S496">
        <v>1.1535714285714285</v>
      </c>
      <c r="T496">
        <v>2.1864166195426811</v>
      </c>
    </row>
    <row r="497" spans="1:20" x14ac:dyDescent="0.25">
      <c r="A497" s="12" t="s">
        <v>63</v>
      </c>
      <c r="B497" s="12" t="s">
        <v>60</v>
      </c>
      <c r="C497" s="12" t="s">
        <v>14</v>
      </c>
      <c r="D497" s="12">
        <v>3.1774912809962848</v>
      </c>
      <c r="E497" s="12">
        <v>0</v>
      </c>
      <c r="F497" s="12">
        <v>20</v>
      </c>
      <c r="G497" s="12">
        <v>0</v>
      </c>
      <c r="H497" s="12">
        <v>0.16608996539792387</v>
      </c>
      <c r="I497" s="12" t="s">
        <v>127</v>
      </c>
      <c r="J497" s="6">
        <v>46248</v>
      </c>
      <c r="K497">
        <v>46248</v>
      </c>
      <c r="L497">
        <v>0</v>
      </c>
      <c r="M497">
        <v>0</v>
      </c>
      <c r="N497">
        <v>5.2270785569503521E-2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19.131145420998465</v>
      </c>
    </row>
    <row r="498" spans="1:20" x14ac:dyDescent="0.25">
      <c r="A498" s="12" t="s">
        <v>63</v>
      </c>
      <c r="B498" s="12" t="s">
        <v>60</v>
      </c>
      <c r="C498" s="12" t="s">
        <v>13</v>
      </c>
      <c r="D498" s="12">
        <v>3.6011567851291222</v>
      </c>
      <c r="E498" s="12">
        <v>0.95</v>
      </c>
      <c r="F498" s="12">
        <v>20</v>
      </c>
      <c r="G498" s="12">
        <v>0.95</v>
      </c>
      <c r="H498" s="12">
        <v>0.82352941176470595</v>
      </c>
      <c r="I498" s="12" t="s">
        <v>128</v>
      </c>
      <c r="J498" s="6">
        <v>46248</v>
      </c>
      <c r="K498">
        <v>46248</v>
      </c>
      <c r="L498">
        <v>0.26380412092108813</v>
      </c>
      <c r="M498">
        <v>0.26380412092108813</v>
      </c>
      <c r="N498">
        <v>0.22868468686657797</v>
      </c>
      <c r="O498">
        <v>3.7906913527674972</v>
      </c>
      <c r="P498">
        <v>3.7906913527674972</v>
      </c>
      <c r="Q498">
        <v>0.86687306501548</v>
      </c>
      <c r="R498">
        <v>1.1535714285714285</v>
      </c>
      <c r="S498">
        <v>1.1535714285714285</v>
      </c>
      <c r="T498">
        <v>4.3728332390853621</v>
      </c>
    </row>
    <row r="499" spans="1:20" x14ac:dyDescent="0.25">
      <c r="A499" s="12" t="s">
        <v>63</v>
      </c>
      <c r="B499" s="12" t="s">
        <v>60</v>
      </c>
      <c r="C499" s="12" t="s">
        <v>15</v>
      </c>
      <c r="D499" s="12">
        <v>0</v>
      </c>
      <c r="E499" s="12">
        <v>0</v>
      </c>
      <c r="F499" s="12">
        <v>20</v>
      </c>
      <c r="G499" s="12">
        <v>0</v>
      </c>
      <c r="H499" s="12">
        <v>0</v>
      </c>
      <c r="I499" s="12" t="s">
        <v>129</v>
      </c>
      <c r="J499" s="6">
        <v>46248</v>
      </c>
      <c r="K499">
        <v>46248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</row>
    <row r="500" spans="1:20" x14ac:dyDescent="0.25">
      <c r="A500" s="12" t="s">
        <v>63</v>
      </c>
      <c r="B500" s="12" t="s">
        <v>60</v>
      </c>
      <c r="C500" s="12" t="s">
        <v>14</v>
      </c>
      <c r="D500" s="12">
        <v>3.2304494690128904</v>
      </c>
      <c r="E500" s="12">
        <v>0</v>
      </c>
      <c r="F500" s="12">
        <v>20</v>
      </c>
      <c r="G500" s="12">
        <v>0</v>
      </c>
      <c r="H500" s="12">
        <v>0</v>
      </c>
      <c r="I500" s="12" t="s">
        <v>130</v>
      </c>
      <c r="J500" s="6">
        <v>46249</v>
      </c>
      <c r="K500">
        <v>46249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</row>
    <row r="501" spans="1:20" x14ac:dyDescent="0.25">
      <c r="A501" s="12" t="s">
        <v>63</v>
      </c>
      <c r="B501" s="12" t="s">
        <v>60</v>
      </c>
      <c r="C501" s="12" t="s">
        <v>15</v>
      </c>
      <c r="D501" s="12">
        <v>0</v>
      </c>
      <c r="E501" s="12">
        <v>0</v>
      </c>
      <c r="F501" s="12">
        <v>20</v>
      </c>
      <c r="G501" s="12">
        <v>0</v>
      </c>
      <c r="H501" s="12">
        <v>0</v>
      </c>
      <c r="I501" s="12" t="s">
        <v>131</v>
      </c>
      <c r="J501" s="6">
        <v>46249</v>
      </c>
      <c r="K501">
        <v>46249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</row>
    <row r="502" spans="1:20" x14ac:dyDescent="0.25">
      <c r="A502" s="12" t="s">
        <v>63</v>
      </c>
      <c r="B502" s="12" t="s">
        <v>60</v>
      </c>
      <c r="C502" s="12" t="s">
        <v>13</v>
      </c>
      <c r="D502" s="12">
        <v>3.6011567851291222</v>
      </c>
      <c r="E502" s="12">
        <v>2.8499999999999996</v>
      </c>
      <c r="F502" s="12">
        <v>20</v>
      </c>
      <c r="G502" s="12">
        <v>2.8499999999999996</v>
      </c>
      <c r="H502" s="12">
        <v>0</v>
      </c>
      <c r="I502" s="12" t="s">
        <v>143</v>
      </c>
      <c r="J502" s="6">
        <v>46249</v>
      </c>
      <c r="K502">
        <v>46249</v>
      </c>
      <c r="L502">
        <v>0.79141236276326432</v>
      </c>
      <c r="M502">
        <v>0.79141236276326432</v>
      </c>
      <c r="N502">
        <v>0</v>
      </c>
      <c r="O502">
        <v>1.2635637842558325</v>
      </c>
      <c r="P502">
        <v>1.2635637842558325</v>
      </c>
      <c r="Q502">
        <v>0</v>
      </c>
      <c r="R502">
        <v>0</v>
      </c>
      <c r="S502">
        <v>0</v>
      </c>
      <c r="T502">
        <v>0</v>
      </c>
    </row>
    <row r="503" spans="1:20" x14ac:dyDescent="0.25">
      <c r="A503" s="12" t="s">
        <v>63</v>
      </c>
      <c r="B503" s="12" t="s">
        <v>60</v>
      </c>
      <c r="C503" s="12" t="s">
        <v>15</v>
      </c>
      <c r="D503" s="12">
        <v>0</v>
      </c>
      <c r="E503" s="12">
        <v>1.9</v>
      </c>
      <c r="F503" s="12">
        <v>20</v>
      </c>
      <c r="G503" s="12">
        <v>1.9</v>
      </c>
      <c r="H503" s="12">
        <v>0</v>
      </c>
      <c r="I503" s="12" t="s">
        <v>133</v>
      </c>
      <c r="J503" s="6">
        <v>46250</v>
      </c>
      <c r="K503">
        <v>46250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</row>
    <row r="504" spans="1:20" x14ac:dyDescent="0.25">
      <c r="A504" s="12" t="s">
        <v>63</v>
      </c>
      <c r="B504" s="12" t="s">
        <v>60</v>
      </c>
      <c r="C504" s="12" t="s">
        <v>14</v>
      </c>
      <c r="D504" s="12">
        <v>3.1774912809962856</v>
      </c>
      <c r="E504" s="12">
        <v>0.95</v>
      </c>
      <c r="F504" s="12">
        <v>20</v>
      </c>
      <c r="G504" s="12">
        <v>0.95</v>
      </c>
      <c r="H504" s="12">
        <v>0</v>
      </c>
      <c r="I504" s="12" t="s">
        <v>144</v>
      </c>
      <c r="J504" s="6">
        <v>46250</v>
      </c>
      <c r="K504">
        <v>46250</v>
      </c>
      <c r="L504">
        <v>0.29897800371056643</v>
      </c>
      <c r="M504">
        <v>0.29897800371056643</v>
      </c>
      <c r="N504">
        <v>0</v>
      </c>
      <c r="O504">
        <v>3.3447276642066166</v>
      </c>
      <c r="P504">
        <v>3.3447276642066166</v>
      </c>
      <c r="Q504">
        <v>0</v>
      </c>
      <c r="R504">
        <v>0</v>
      </c>
      <c r="S504">
        <v>0</v>
      </c>
      <c r="T504">
        <v>0</v>
      </c>
    </row>
    <row r="505" spans="1:20" x14ac:dyDescent="0.25">
      <c r="A505" s="12" t="s">
        <v>63</v>
      </c>
      <c r="B505" s="12" t="s">
        <v>60</v>
      </c>
      <c r="C505" s="12" t="s">
        <v>13</v>
      </c>
      <c r="D505" s="12">
        <v>3.6011567851291222</v>
      </c>
      <c r="E505" s="12">
        <v>0</v>
      </c>
      <c r="F505" s="12">
        <v>20</v>
      </c>
      <c r="G505" s="12">
        <v>0</v>
      </c>
      <c r="H505" s="12">
        <v>0</v>
      </c>
      <c r="I505" s="12" t="s">
        <v>132</v>
      </c>
      <c r="J505" s="6">
        <v>46250</v>
      </c>
      <c r="K505">
        <v>46250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</row>
    <row r="506" spans="1:20" x14ac:dyDescent="0.25">
      <c r="A506" s="12" t="s">
        <v>61</v>
      </c>
      <c r="B506" s="12" t="s">
        <v>38</v>
      </c>
      <c r="C506" s="12" t="s">
        <v>15</v>
      </c>
      <c r="D506" s="12">
        <v>1.2735376146788988</v>
      </c>
      <c r="E506" s="12">
        <v>11.4</v>
      </c>
      <c r="F506" s="12">
        <v>20</v>
      </c>
      <c r="G506" s="12">
        <v>11.4</v>
      </c>
      <c r="H506" s="12">
        <v>0.94117647058823517</v>
      </c>
      <c r="I506" s="12" t="s">
        <v>134</v>
      </c>
      <c r="J506" s="6">
        <v>46223</v>
      </c>
      <c r="K506">
        <v>46223</v>
      </c>
      <c r="L506">
        <v>8.9514434977048705</v>
      </c>
      <c r="M506">
        <v>8.9514434977048705</v>
      </c>
      <c r="N506">
        <v>0.73902526296841031</v>
      </c>
      <c r="O506">
        <v>0.11171382584902623</v>
      </c>
      <c r="P506">
        <v>0.11171382584902623</v>
      </c>
      <c r="Q506">
        <v>8.2559339525283798E-2</v>
      </c>
      <c r="R506">
        <v>12.112500000000001</v>
      </c>
      <c r="S506">
        <v>12.112500000000001</v>
      </c>
      <c r="T506">
        <v>1.3531337155963301</v>
      </c>
    </row>
    <row r="507" spans="1:20" x14ac:dyDescent="0.25">
      <c r="A507" s="12" t="s">
        <v>61</v>
      </c>
      <c r="B507" s="12" t="s">
        <v>38</v>
      </c>
      <c r="C507" s="12" t="s">
        <v>14</v>
      </c>
      <c r="D507" s="12">
        <v>3.3711289800323794</v>
      </c>
      <c r="E507" s="12">
        <v>3.8</v>
      </c>
      <c r="F507" s="12">
        <v>20</v>
      </c>
      <c r="G507" s="12">
        <v>3.8</v>
      </c>
      <c r="H507" s="12">
        <v>3.9861591695501688</v>
      </c>
      <c r="I507" s="12" t="s">
        <v>65</v>
      </c>
      <c r="J507" s="6">
        <v>46223</v>
      </c>
      <c r="K507">
        <v>46223</v>
      </c>
      <c r="L507">
        <v>1.1272188108220946</v>
      </c>
      <c r="M507">
        <v>1.1272188108220946</v>
      </c>
      <c r="N507">
        <v>1.1824404207494552</v>
      </c>
      <c r="O507">
        <v>0.88713920527167878</v>
      </c>
      <c r="P507">
        <v>0.88713920527167878</v>
      </c>
      <c r="Q507">
        <v>1.0489892551447813</v>
      </c>
      <c r="R507">
        <v>0.95329861111111203</v>
      </c>
      <c r="S507">
        <v>0.95329861111111203</v>
      </c>
      <c r="T507">
        <v>0.84570857224770712</v>
      </c>
    </row>
    <row r="508" spans="1:20" x14ac:dyDescent="0.25">
      <c r="A508" s="12" t="s">
        <v>61</v>
      </c>
      <c r="B508" s="12" t="s">
        <v>38</v>
      </c>
      <c r="C508" s="12" t="s">
        <v>13</v>
      </c>
      <c r="D508" s="12">
        <v>5.8204648795871554</v>
      </c>
      <c r="E508" s="12">
        <v>1.9</v>
      </c>
      <c r="F508" s="12">
        <v>20</v>
      </c>
      <c r="G508" s="12">
        <v>1.9</v>
      </c>
      <c r="H508" s="12">
        <v>2.823529411764707</v>
      </c>
      <c r="I508" s="12" t="s">
        <v>64</v>
      </c>
      <c r="J508" s="6">
        <v>46223</v>
      </c>
      <c r="K508">
        <v>46223</v>
      </c>
      <c r="L508">
        <v>0.32643440675390978</v>
      </c>
      <c r="M508">
        <v>0.32643440675390978</v>
      </c>
      <c r="N508">
        <v>0.48510376235875158</v>
      </c>
      <c r="O508">
        <v>3.0634025682037662</v>
      </c>
      <c r="P508">
        <v>3.0634025682037662</v>
      </c>
      <c r="Q508">
        <v>1.4860681114551091</v>
      </c>
      <c r="R508">
        <v>0.67291666666666639</v>
      </c>
      <c r="S508">
        <v>0.67291666666666639</v>
      </c>
      <c r="T508">
        <v>2.0614146448537833</v>
      </c>
    </row>
    <row r="509" spans="1:20" x14ac:dyDescent="0.25">
      <c r="A509" s="12" t="s">
        <v>61</v>
      </c>
      <c r="B509" s="12" t="s">
        <v>38</v>
      </c>
      <c r="C509" s="12" t="s">
        <v>15</v>
      </c>
      <c r="D509" s="12">
        <v>1.2735376146788988</v>
      </c>
      <c r="E509" s="12">
        <v>11.4</v>
      </c>
      <c r="F509" s="12">
        <v>20</v>
      </c>
      <c r="G509" s="12">
        <v>11.4</v>
      </c>
      <c r="H509" s="12">
        <v>1.8823529411764703</v>
      </c>
      <c r="I509" s="12" t="s">
        <v>67</v>
      </c>
      <c r="J509" s="6">
        <v>46224</v>
      </c>
      <c r="K509">
        <v>46224</v>
      </c>
      <c r="L509">
        <v>8.9514434977048705</v>
      </c>
      <c r="M509">
        <v>8.9514434977048705</v>
      </c>
      <c r="N509">
        <v>1.4780505259368206</v>
      </c>
      <c r="O509">
        <v>0.11171382584902623</v>
      </c>
      <c r="P509">
        <v>0.11171382584902623</v>
      </c>
      <c r="Q509">
        <v>0.1651186790505676</v>
      </c>
      <c r="R509">
        <v>6.0562500000000004</v>
      </c>
      <c r="S509">
        <v>6.0562500000000004</v>
      </c>
      <c r="T509">
        <v>0.67656685779816506</v>
      </c>
    </row>
    <row r="510" spans="1:20" x14ac:dyDescent="0.25">
      <c r="A510" s="12" t="s">
        <v>61</v>
      </c>
      <c r="B510" s="12" t="s">
        <v>38</v>
      </c>
      <c r="C510" s="12" t="s">
        <v>13</v>
      </c>
      <c r="D510" s="12">
        <v>5.8204648795871572</v>
      </c>
      <c r="E510" s="12">
        <v>2.8499999999999996</v>
      </c>
      <c r="F510" s="12">
        <v>20</v>
      </c>
      <c r="G510" s="12">
        <v>2.8499999999999996</v>
      </c>
      <c r="H510" s="12">
        <v>3.7647058823529393</v>
      </c>
      <c r="I510" s="12" t="s">
        <v>66</v>
      </c>
      <c r="J510" s="6">
        <v>46224</v>
      </c>
      <c r="K510">
        <v>46224</v>
      </c>
      <c r="L510">
        <v>0.48965161013086445</v>
      </c>
      <c r="M510">
        <v>0.48965161013086445</v>
      </c>
      <c r="N510">
        <v>0.64680501647833466</v>
      </c>
      <c r="O510">
        <v>2.0422683788025116</v>
      </c>
      <c r="P510">
        <v>2.0422683788025116</v>
      </c>
      <c r="Q510">
        <v>1.3209494324045403</v>
      </c>
      <c r="R510">
        <v>0.75703125000000027</v>
      </c>
      <c r="S510">
        <v>0.75703125000000027</v>
      </c>
      <c r="T510">
        <v>1.5460609836403394</v>
      </c>
    </row>
    <row r="511" spans="1:20" x14ac:dyDescent="0.25">
      <c r="A511" s="12" t="s">
        <v>61</v>
      </c>
      <c r="B511" s="12" t="s">
        <v>38</v>
      </c>
      <c r="C511" s="12" t="s">
        <v>14</v>
      </c>
      <c r="D511" s="12">
        <v>3.3711289800323794</v>
      </c>
      <c r="E511" s="12">
        <v>0.95</v>
      </c>
      <c r="F511" s="12">
        <v>20</v>
      </c>
      <c r="G511" s="12">
        <v>0.95</v>
      </c>
      <c r="H511" s="12">
        <v>3.9861591695501706</v>
      </c>
      <c r="I511" s="12" t="s">
        <v>68</v>
      </c>
      <c r="J511" s="6">
        <v>46224</v>
      </c>
      <c r="K511">
        <v>46224</v>
      </c>
      <c r="L511">
        <v>0.28180470270552366</v>
      </c>
      <c r="M511">
        <v>0.28180470270552366</v>
      </c>
      <c r="N511">
        <v>1.1824404207494559</v>
      </c>
      <c r="O511">
        <v>3.5485568210867151</v>
      </c>
      <c r="P511">
        <v>3.5485568210867151</v>
      </c>
      <c r="Q511">
        <v>4.1959570205791268</v>
      </c>
      <c r="R511">
        <v>0.23832465277777792</v>
      </c>
      <c r="S511">
        <v>0.23832465277777792</v>
      </c>
      <c r="T511">
        <v>0.84570857224770679</v>
      </c>
    </row>
    <row r="512" spans="1:20" x14ac:dyDescent="0.25">
      <c r="A512" s="12" t="s">
        <v>61</v>
      </c>
      <c r="B512" s="12" t="s">
        <v>38</v>
      </c>
      <c r="C512" s="12" t="s">
        <v>14</v>
      </c>
      <c r="D512" s="12">
        <v>3.9329838100377761</v>
      </c>
      <c r="E512" s="12">
        <v>3.8</v>
      </c>
      <c r="F512" s="12">
        <v>20</v>
      </c>
      <c r="G512" s="12">
        <v>3.8</v>
      </c>
      <c r="H512" s="12">
        <v>5.0519031141868496</v>
      </c>
      <c r="I512" s="12" t="s">
        <v>71</v>
      </c>
      <c r="J512" s="6">
        <v>46225</v>
      </c>
      <c r="K512">
        <v>46225</v>
      </c>
      <c r="L512">
        <v>0.96618755213322405</v>
      </c>
      <c r="M512">
        <v>0.96618755213322405</v>
      </c>
      <c r="N512">
        <v>1.2844962903974746</v>
      </c>
      <c r="O512">
        <v>1.0349957394836253</v>
      </c>
      <c r="P512">
        <v>1.0349957394836253</v>
      </c>
      <c r="Q512">
        <v>1.3294481879439077</v>
      </c>
      <c r="R512">
        <v>0.75219178082191807</v>
      </c>
      <c r="S512">
        <v>0.75219178082191807</v>
      </c>
      <c r="T512">
        <v>0.77851528842528606</v>
      </c>
    </row>
    <row r="513" spans="1:20" x14ac:dyDescent="0.25">
      <c r="A513" s="12" t="s">
        <v>61</v>
      </c>
      <c r="B513" s="12" t="s">
        <v>38</v>
      </c>
      <c r="C513" s="12" t="s">
        <v>15</v>
      </c>
      <c r="D513" s="12">
        <v>1.2735376146788988</v>
      </c>
      <c r="E513" s="12">
        <v>2.8499999999999996</v>
      </c>
      <c r="F513" s="12">
        <v>20</v>
      </c>
      <c r="G513" s="12">
        <v>2.8499999999999996</v>
      </c>
      <c r="H513" s="12">
        <v>1.9411764705882348</v>
      </c>
      <c r="I513" s="12" t="s">
        <v>70</v>
      </c>
      <c r="J513" s="6">
        <v>46225</v>
      </c>
      <c r="K513">
        <v>46225</v>
      </c>
      <c r="L513">
        <v>2.2378608744262176</v>
      </c>
      <c r="M513">
        <v>2.2378608744262176</v>
      </c>
      <c r="N513">
        <v>1.5242396048723461</v>
      </c>
      <c r="O513">
        <v>0.44685530339610491</v>
      </c>
      <c r="P513">
        <v>0.44685530339610491</v>
      </c>
      <c r="Q513">
        <v>0.6811145510835912</v>
      </c>
      <c r="R513">
        <v>1.4681818181818183</v>
      </c>
      <c r="S513">
        <v>1.4681818181818183</v>
      </c>
      <c r="T513">
        <v>0.65606483180428132</v>
      </c>
    </row>
    <row r="514" spans="1:20" x14ac:dyDescent="0.25">
      <c r="A514" s="12" t="s">
        <v>61</v>
      </c>
      <c r="B514" s="12" t="s">
        <v>38</v>
      </c>
      <c r="C514" s="12" t="s">
        <v>13</v>
      </c>
      <c r="D514" s="12">
        <v>4.6265233658256886</v>
      </c>
      <c r="E514" s="12">
        <v>1.9</v>
      </c>
      <c r="F514" s="12">
        <v>20</v>
      </c>
      <c r="G514" s="12">
        <v>1.9</v>
      </c>
      <c r="H514" s="12">
        <v>3.8308823529411753</v>
      </c>
      <c r="I514" s="12" t="s">
        <v>69</v>
      </c>
      <c r="J514" s="6">
        <v>46225</v>
      </c>
      <c r="K514">
        <v>46225</v>
      </c>
      <c r="L514">
        <v>0.41067554398072509</v>
      </c>
      <c r="M514">
        <v>0.41067554398072509</v>
      </c>
      <c r="N514">
        <v>0.82802615485277753</v>
      </c>
      <c r="O514">
        <v>2.4350122978029942</v>
      </c>
      <c r="P514">
        <v>2.4350122978029942</v>
      </c>
      <c r="Q514">
        <v>2.0162538699690398</v>
      </c>
      <c r="R514">
        <v>0.49596928982725541</v>
      </c>
      <c r="S514">
        <v>0.49596928982725541</v>
      </c>
      <c r="T514">
        <v>1.2076913200619843</v>
      </c>
    </row>
    <row r="515" spans="1:20" x14ac:dyDescent="0.25">
      <c r="A515" s="12" t="s">
        <v>61</v>
      </c>
      <c r="B515" s="12" t="s">
        <v>38</v>
      </c>
      <c r="C515" s="12" t="s">
        <v>14</v>
      </c>
      <c r="D515" s="12">
        <v>3.5115926875337284</v>
      </c>
      <c r="E515" s="12">
        <v>1.9</v>
      </c>
      <c r="F515" s="12">
        <v>20</v>
      </c>
      <c r="G515" s="12">
        <v>1.9</v>
      </c>
      <c r="H515" s="12">
        <v>4.1584410854124911</v>
      </c>
      <c r="I515" s="12" t="s">
        <v>72</v>
      </c>
      <c r="J515" s="6">
        <v>46226</v>
      </c>
      <c r="K515">
        <v>46226</v>
      </c>
      <c r="L515">
        <v>0.54106502919460553</v>
      </c>
      <c r="M515">
        <v>0.54106502919460553</v>
      </c>
      <c r="N515">
        <v>1.1842037090961877</v>
      </c>
      <c r="O515">
        <v>1.8482066776493309</v>
      </c>
      <c r="P515">
        <v>1.8482066776493309</v>
      </c>
      <c r="Q515">
        <v>2.1886532028486796</v>
      </c>
      <c r="R515">
        <v>0.45690198826311662</v>
      </c>
      <c r="S515">
        <v>0.45690198826311662</v>
      </c>
      <c r="T515">
        <v>0.84444930573914834</v>
      </c>
    </row>
    <row r="516" spans="1:20" x14ac:dyDescent="0.25">
      <c r="A516" s="12" t="s">
        <v>61</v>
      </c>
      <c r="B516" s="12" t="s">
        <v>38</v>
      </c>
      <c r="C516" s="12" t="s">
        <v>13</v>
      </c>
      <c r="D516" s="12">
        <v>5.9697075688073395</v>
      </c>
      <c r="E516" s="12">
        <v>1.9</v>
      </c>
      <c r="F516" s="12">
        <v>20</v>
      </c>
      <c r="G516" s="12">
        <v>1.9</v>
      </c>
      <c r="H516" s="12">
        <v>6.7654798761609918</v>
      </c>
      <c r="I516" s="12" t="s">
        <v>74</v>
      </c>
      <c r="J516" s="6">
        <v>46226</v>
      </c>
      <c r="K516">
        <v>46226</v>
      </c>
      <c r="L516">
        <v>0.31827354658506196</v>
      </c>
      <c r="M516">
        <v>0.31827354658506196</v>
      </c>
      <c r="N516">
        <v>1.1333017234398026</v>
      </c>
      <c r="O516">
        <v>3.1419513520038631</v>
      </c>
      <c r="P516">
        <v>3.1419513520038631</v>
      </c>
      <c r="Q516">
        <v>3.5607788821899957</v>
      </c>
      <c r="R516">
        <v>0.28083743278801049</v>
      </c>
      <c r="S516">
        <v>0.28083743278801049</v>
      </c>
      <c r="T516">
        <v>0.88237755164158349</v>
      </c>
    </row>
    <row r="517" spans="1:20" x14ac:dyDescent="0.25">
      <c r="A517" s="12" t="s">
        <v>61</v>
      </c>
      <c r="B517" s="12" t="s">
        <v>38</v>
      </c>
      <c r="C517" s="12" t="s">
        <v>15</v>
      </c>
      <c r="D517" s="12">
        <v>1.2735376146788988</v>
      </c>
      <c r="E517" s="12">
        <v>9.5</v>
      </c>
      <c r="F517" s="12">
        <v>20</v>
      </c>
      <c r="G517" s="12">
        <v>9.5</v>
      </c>
      <c r="H517" s="12">
        <v>1.8823529411764703</v>
      </c>
      <c r="I517" s="12" t="s">
        <v>73</v>
      </c>
      <c r="J517" s="6">
        <v>46226</v>
      </c>
      <c r="K517">
        <v>46226</v>
      </c>
      <c r="L517">
        <v>7.4595362480873924</v>
      </c>
      <c r="M517">
        <v>7.4595362480873924</v>
      </c>
      <c r="N517">
        <v>1.4780505259368206</v>
      </c>
      <c r="O517">
        <v>0.13405659101883147</v>
      </c>
      <c r="P517">
        <v>0.13405659101883147</v>
      </c>
      <c r="Q517">
        <v>0.1981424148606811</v>
      </c>
      <c r="R517">
        <v>5.0468750000000009</v>
      </c>
      <c r="S517">
        <v>5.0468750000000009</v>
      </c>
      <c r="T517">
        <v>0.67656685779816506</v>
      </c>
    </row>
    <row r="518" spans="1:20" x14ac:dyDescent="0.25">
      <c r="A518" s="12" t="s">
        <v>61</v>
      </c>
      <c r="B518" s="12" t="s">
        <v>38</v>
      </c>
      <c r="C518" s="12" t="s">
        <v>13</v>
      </c>
      <c r="D518" s="12">
        <v>4.7757660550458709</v>
      </c>
      <c r="E518" s="12">
        <v>1.9</v>
      </c>
      <c r="F518" s="12">
        <v>20</v>
      </c>
      <c r="G518" s="12">
        <v>1.9</v>
      </c>
      <c r="H518" s="12">
        <v>3.7647058823529393</v>
      </c>
      <c r="I518" s="12" t="s">
        <v>56</v>
      </c>
      <c r="J518" s="6">
        <v>46227</v>
      </c>
      <c r="K518">
        <v>46227</v>
      </c>
      <c r="L518">
        <v>0.39784193323132755</v>
      </c>
      <c r="M518">
        <v>0.39784193323132755</v>
      </c>
      <c r="N518">
        <v>0.78829361383297059</v>
      </c>
      <c r="O518">
        <v>2.5135610816030902</v>
      </c>
      <c r="P518">
        <v>2.5135610816030902</v>
      </c>
      <c r="Q518">
        <v>1.9814241486068103</v>
      </c>
      <c r="R518">
        <v>0.50468750000000018</v>
      </c>
      <c r="S518">
        <v>0.50468750000000018</v>
      </c>
      <c r="T518">
        <v>1.26856285837156</v>
      </c>
    </row>
    <row r="519" spans="1:20" x14ac:dyDescent="0.25">
      <c r="A519" s="12" t="s">
        <v>61</v>
      </c>
      <c r="B519" s="12" t="s">
        <v>38</v>
      </c>
      <c r="C519" s="12" t="s">
        <v>15</v>
      </c>
      <c r="D519" s="12">
        <v>1.2735376146788988</v>
      </c>
      <c r="E519" s="12">
        <v>7.6</v>
      </c>
      <c r="F519" s="12">
        <v>20</v>
      </c>
      <c r="G519" s="12">
        <v>7.6</v>
      </c>
      <c r="H519" s="12">
        <v>1.8823529411764703</v>
      </c>
      <c r="I519" s="12" t="s">
        <v>57</v>
      </c>
      <c r="J519" s="6">
        <v>46227</v>
      </c>
      <c r="K519">
        <v>46227</v>
      </c>
      <c r="L519">
        <v>5.9676289984699133</v>
      </c>
      <c r="M519">
        <v>5.9676289984699133</v>
      </c>
      <c r="N519">
        <v>1.4780505259368206</v>
      </c>
      <c r="O519">
        <v>0.16757073877353931</v>
      </c>
      <c r="P519">
        <v>0.16757073877353931</v>
      </c>
      <c r="Q519">
        <v>0.24767801857585137</v>
      </c>
      <c r="R519">
        <v>4.0375000000000005</v>
      </c>
      <c r="S519">
        <v>4.0375000000000005</v>
      </c>
      <c r="T519">
        <v>0.67656685779816506</v>
      </c>
    </row>
    <row r="520" spans="1:20" x14ac:dyDescent="0.25">
      <c r="A520" s="12" t="s">
        <v>61</v>
      </c>
      <c r="B520" s="12" t="s">
        <v>38</v>
      </c>
      <c r="C520" s="12" t="s">
        <v>14</v>
      </c>
      <c r="D520" s="12">
        <v>2.2474193200215868</v>
      </c>
      <c r="E520" s="12">
        <v>0</v>
      </c>
      <c r="F520" s="12">
        <v>20</v>
      </c>
      <c r="G520" s="12">
        <v>0</v>
      </c>
      <c r="H520" s="12">
        <v>4.8131487889273332</v>
      </c>
      <c r="I520" s="12" t="s">
        <v>58</v>
      </c>
      <c r="J520" s="6">
        <v>46227</v>
      </c>
      <c r="K520">
        <v>46227</v>
      </c>
      <c r="L520">
        <v>0</v>
      </c>
      <c r="M520">
        <v>0</v>
      </c>
      <c r="N520">
        <v>2.1416336266438707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0.46693327353431985</v>
      </c>
    </row>
    <row r="521" spans="1:20" x14ac:dyDescent="0.25">
      <c r="A521" s="12" t="s">
        <v>61</v>
      </c>
      <c r="B521" s="12" t="s">
        <v>38</v>
      </c>
      <c r="C521" s="12" t="s">
        <v>14</v>
      </c>
      <c r="D521" s="12">
        <v>3.3711289800323798</v>
      </c>
      <c r="E521" s="12">
        <v>2.8499999999999996</v>
      </c>
      <c r="F521" s="12">
        <v>20</v>
      </c>
      <c r="G521" s="12">
        <v>2.8499999999999996</v>
      </c>
      <c r="H521" s="12">
        <v>4.9826989619377127</v>
      </c>
      <c r="I521" s="12" t="s">
        <v>76</v>
      </c>
      <c r="J521" s="6">
        <v>46228</v>
      </c>
      <c r="K521">
        <v>46228</v>
      </c>
      <c r="L521">
        <v>0.84541410811657092</v>
      </c>
      <c r="M521">
        <v>0.84541410811657092</v>
      </c>
      <c r="N521">
        <v>1.4780505259368195</v>
      </c>
      <c r="O521">
        <v>1.182852273695572</v>
      </c>
      <c r="P521">
        <v>1.182852273695572</v>
      </c>
      <c r="Q521">
        <v>1.7483154252413029</v>
      </c>
      <c r="R521">
        <v>0.57197916666666704</v>
      </c>
      <c r="S521">
        <v>0.57197916666666704</v>
      </c>
      <c r="T521">
        <v>0.67656685779816561</v>
      </c>
    </row>
    <row r="522" spans="1:20" x14ac:dyDescent="0.25">
      <c r="A522" s="12" t="s">
        <v>61</v>
      </c>
      <c r="B522" s="12" t="s">
        <v>38</v>
      </c>
      <c r="C522" s="12" t="s">
        <v>13</v>
      </c>
      <c r="D522" s="12">
        <v>2.3878830275229355</v>
      </c>
      <c r="E522" s="12">
        <v>12.35</v>
      </c>
      <c r="F522" s="12">
        <v>20</v>
      </c>
      <c r="G522" s="12">
        <v>12.35</v>
      </c>
      <c r="H522" s="12">
        <v>5.6470588235294112</v>
      </c>
      <c r="I522" s="12" t="s">
        <v>135</v>
      </c>
      <c r="J522" s="6">
        <v>46228</v>
      </c>
      <c r="K522">
        <v>46228</v>
      </c>
      <c r="L522">
        <v>5.1719451320072585</v>
      </c>
      <c r="M522">
        <v>5.1719451320072585</v>
      </c>
      <c r="N522">
        <v>2.3648808414989126</v>
      </c>
      <c r="O522">
        <v>0.19335085243100691</v>
      </c>
      <c r="P522">
        <v>0.19335085243100691</v>
      </c>
      <c r="Q522">
        <v>0.45725172660157176</v>
      </c>
      <c r="R522">
        <v>2.1869791666666667</v>
      </c>
      <c r="S522">
        <v>2.1869791666666667</v>
      </c>
      <c r="T522">
        <v>0.42285428612385317</v>
      </c>
    </row>
    <row r="523" spans="1:20" x14ac:dyDescent="0.25">
      <c r="A523" s="12" t="s">
        <v>61</v>
      </c>
      <c r="B523" s="12" t="s">
        <v>38</v>
      </c>
      <c r="C523" s="12" t="s">
        <v>15</v>
      </c>
      <c r="D523" s="12">
        <v>1.2735376146788988</v>
      </c>
      <c r="E523" s="12">
        <v>0.95</v>
      </c>
      <c r="F523" s="12">
        <v>20</v>
      </c>
      <c r="G523" s="12">
        <v>0.95</v>
      </c>
      <c r="H523" s="12">
        <v>1.8823529411764703</v>
      </c>
      <c r="I523" s="12" t="s">
        <v>75</v>
      </c>
      <c r="J523" s="6">
        <v>46228</v>
      </c>
      <c r="K523">
        <v>46228</v>
      </c>
      <c r="L523">
        <v>0.74595362480873917</v>
      </c>
      <c r="M523">
        <v>0.74595362480873917</v>
      </c>
      <c r="N523">
        <v>1.4780505259368206</v>
      </c>
      <c r="O523">
        <v>1.3405659101883145</v>
      </c>
      <c r="P523">
        <v>1.3405659101883145</v>
      </c>
      <c r="Q523">
        <v>1.9814241486068109</v>
      </c>
      <c r="R523">
        <v>0.50468750000000007</v>
      </c>
      <c r="S523">
        <v>0.50468750000000007</v>
      </c>
      <c r="T523">
        <v>0.67656685779816506</v>
      </c>
    </row>
    <row r="524" spans="1:20" x14ac:dyDescent="0.25">
      <c r="A524" s="12" t="s">
        <v>61</v>
      </c>
      <c r="B524" s="12" t="s">
        <v>38</v>
      </c>
      <c r="C524" s="12" t="s">
        <v>13</v>
      </c>
      <c r="D524" s="12">
        <v>3.507203196674312</v>
      </c>
      <c r="E524" s="12">
        <v>1.9</v>
      </c>
      <c r="F524" s="12">
        <v>20</v>
      </c>
      <c r="G524" s="12">
        <v>1.9</v>
      </c>
      <c r="H524" s="12">
        <v>4.705882352941174</v>
      </c>
      <c r="I524" s="12" t="s">
        <v>78</v>
      </c>
      <c r="J524" s="6">
        <v>46229</v>
      </c>
      <c r="K524">
        <v>46229</v>
      </c>
      <c r="L524">
        <v>0.541742206953297</v>
      </c>
      <c r="M524">
        <v>0.541742206953297</v>
      </c>
      <c r="N524">
        <v>1.3417763639710136</v>
      </c>
      <c r="O524">
        <v>1.8458964193022696</v>
      </c>
      <c r="P524">
        <v>1.8458964193022696</v>
      </c>
      <c r="Q524">
        <v>2.4767801857585128</v>
      </c>
      <c r="R524">
        <v>0.40375000000000022</v>
      </c>
      <c r="S524">
        <v>0.40375000000000022</v>
      </c>
      <c r="T524">
        <v>0.74528067929329167</v>
      </c>
    </row>
    <row r="525" spans="1:20" x14ac:dyDescent="0.25">
      <c r="A525" s="12" t="s">
        <v>61</v>
      </c>
      <c r="B525" s="12" t="s">
        <v>38</v>
      </c>
      <c r="C525" s="12" t="s">
        <v>15</v>
      </c>
      <c r="D525" s="12">
        <v>1.2735376146788988</v>
      </c>
      <c r="E525" s="12">
        <v>7.6</v>
      </c>
      <c r="F525" s="12">
        <v>20</v>
      </c>
      <c r="G525" s="12">
        <v>7.6</v>
      </c>
      <c r="H525" s="12">
        <v>2.8235294117647056</v>
      </c>
      <c r="I525" s="12" t="s">
        <v>77</v>
      </c>
      <c r="J525" s="6">
        <v>46229</v>
      </c>
      <c r="K525">
        <v>46229</v>
      </c>
      <c r="L525">
        <v>5.9676289984699133</v>
      </c>
      <c r="M525">
        <v>5.9676289984699133</v>
      </c>
      <c r="N525">
        <v>2.2170757889052308</v>
      </c>
      <c r="O525">
        <v>0.16757073877353931</v>
      </c>
      <c r="P525">
        <v>0.16757073877353931</v>
      </c>
      <c r="Q525">
        <v>0.37151702786377705</v>
      </c>
      <c r="R525">
        <v>2.6916666666666669</v>
      </c>
      <c r="S525">
        <v>2.6916666666666669</v>
      </c>
      <c r="T525">
        <v>0.45104457186544339</v>
      </c>
    </row>
    <row r="526" spans="1:20" x14ac:dyDescent="0.25">
      <c r="A526" s="12" t="s">
        <v>61</v>
      </c>
      <c r="B526" s="12" t="s">
        <v>38</v>
      </c>
      <c r="C526" s="12" t="s">
        <v>14</v>
      </c>
      <c r="D526" s="12">
        <v>3.3711289800323794</v>
      </c>
      <c r="E526" s="12">
        <v>0.95</v>
      </c>
      <c r="F526" s="12">
        <v>20</v>
      </c>
      <c r="G526" s="12">
        <v>0.95</v>
      </c>
      <c r="H526" s="12">
        <v>4.9273356401384047</v>
      </c>
      <c r="I526" s="12" t="s">
        <v>79</v>
      </c>
      <c r="J526" s="6">
        <v>46229</v>
      </c>
      <c r="K526">
        <v>46229</v>
      </c>
      <c r="L526">
        <v>0.28180470270552366</v>
      </c>
      <c r="M526">
        <v>0.28180470270552366</v>
      </c>
      <c r="N526">
        <v>1.4616277423152995</v>
      </c>
      <c r="O526">
        <v>3.5485568210867151</v>
      </c>
      <c r="P526">
        <v>3.5485568210867151</v>
      </c>
      <c r="Q526">
        <v>5.1866690948825314</v>
      </c>
      <c r="R526">
        <v>0.19280196629213497</v>
      </c>
      <c r="S526">
        <v>0.19280196629213497</v>
      </c>
      <c r="T526">
        <v>0.68416873260488653</v>
      </c>
    </row>
    <row r="527" spans="1:20" x14ac:dyDescent="0.25">
      <c r="A527" s="12" t="s">
        <v>61</v>
      </c>
      <c r="B527" s="12" t="s">
        <v>38</v>
      </c>
      <c r="C527" s="12" t="s">
        <v>14</v>
      </c>
      <c r="D527" s="12">
        <v>3.3711289800323794</v>
      </c>
      <c r="E527" s="12">
        <v>2.8499999999999996</v>
      </c>
      <c r="F527" s="12">
        <v>20</v>
      </c>
      <c r="G527" s="12">
        <v>2.8499999999999996</v>
      </c>
      <c r="H527" s="12">
        <v>5.7577854671280253</v>
      </c>
      <c r="I527" s="12" t="s">
        <v>80</v>
      </c>
      <c r="J527" s="6">
        <v>46230</v>
      </c>
      <c r="K527">
        <v>46230</v>
      </c>
      <c r="L527">
        <v>0.84541410811657103</v>
      </c>
      <c r="M527">
        <v>0.84541410811657103</v>
      </c>
      <c r="N527">
        <v>1.7079694966381032</v>
      </c>
      <c r="O527">
        <v>1.1828522736955718</v>
      </c>
      <c r="P527">
        <v>1.1828522736955718</v>
      </c>
      <c r="Q527">
        <v>2.0202756025010618</v>
      </c>
      <c r="R527">
        <v>0.49498197115384629</v>
      </c>
      <c r="S527">
        <v>0.49498197115384629</v>
      </c>
      <c r="T527">
        <v>0.58549055001764305</v>
      </c>
    </row>
    <row r="528" spans="1:20" x14ac:dyDescent="0.25">
      <c r="A528" s="12" t="s">
        <v>61</v>
      </c>
      <c r="B528" s="12" t="s">
        <v>38</v>
      </c>
      <c r="C528" s="12" t="s">
        <v>13</v>
      </c>
      <c r="D528" s="12">
        <v>3.5072031966743116</v>
      </c>
      <c r="E528" s="12">
        <v>0.95</v>
      </c>
      <c r="F528" s="12">
        <v>20</v>
      </c>
      <c r="G528" s="12">
        <v>0.95</v>
      </c>
      <c r="H528" s="12">
        <v>3.7647058823529393</v>
      </c>
      <c r="I528" s="12" t="s">
        <v>82</v>
      </c>
      <c r="J528" s="6">
        <v>46230</v>
      </c>
      <c r="K528">
        <v>46230</v>
      </c>
      <c r="L528">
        <v>0.27087110347664856</v>
      </c>
      <c r="M528">
        <v>0.27087110347664856</v>
      </c>
      <c r="N528">
        <v>1.0734210911768109</v>
      </c>
      <c r="O528">
        <v>3.6917928386045387</v>
      </c>
      <c r="P528">
        <v>3.6917928386045387</v>
      </c>
      <c r="Q528">
        <v>3.9628482972136205</v>
      </c>
      <c r="R528">
        <v>0.25234375000000009</v>
      </c>
      <c r="S528">
        <v>0.25234375000000009</v>
      </c>
      <c r="T528">
        <v>0.93160084911661445</v>
      </c>
    </row>
    <row r="529" spans="1:20" x14ac:dyDescent="0.25">
      <c r="A529" s="12" t="s">
        <v>61</v>
      </c>
      <c r="B529" s="12" t="s">
        <v>38</v>
      </c>
      <c r="C529" s="12" t="s">
        <v>15</v>
      </c>
      <c r="D529" s="12">
        <v>1.2735376146788988</v>
      </c>
      <c r="E529" s="12">
        <v>2.8499999999999996</v>
      </c>
      <c r="F529" s="12">
        <v>20</v>
      </c>
      <c r="G529" s="12">
        <v>2.8499999999999996</v>
      </c>
      <c r="H529" s="12">
        <v>2.8235294117647056</v>
      </c>
      <c r="I529" s="12" t="s">
        <v>81</v>
      </c>
      <c r="J529" s="6">
        <v>46230</v>
      </c>
      <c r="K529">
        <v>46230</v>
      </c>
      <c r="L529">
        <v>2.2378608744262176</v>
      </c>
      <c r="M529">
        <v>2.2378608744262176</v>
      </c>
      <c r="N529">
        <v>2.2170757889052308</v>
      </c>
      <c r="O529">
        <v>0.44685530339610491</v>
      </c>
      <c r="P529">
        <v>0.44685530339610491</v>
      </c>
      <c r="Q529">
        <v>0.99071207430340558</v>
      </c>
      <c r="R529">
        <v>1.0093749999999999</v>
      </c>
      <c r="S529">
        <v>1.0093749999999999</v>
      </c>
      <c r="T529">
        <v>0.45104457186544339</v>
      </c>
    </row>
    <row r="530" spans="1:20" x14ac:dyDescent="0.25">
      <c r="A530" s="12" t="s">
        <v>61</v>
      </c>
      <c r="B530" s="12" t="s">
        <v>38</v>
      </c>
      <c r="C530" s="12" t="s">
        <v>14</v>
      </c>
      <c r="D530" s="12">
        <v>3.3711289800323794</v>
      </c>
      <c r="E530" s="12">
        <v>2.8499999999999996</v>
      </c>
      <c r="F530" s="12">
        <v>20</v>
      </c>
      <c r="G530" s="12">
        <v>2.8499999999999996</v>
      </c>
      <c r="H530" s="12">
        <v>5.9238754325259482</v>
      </c>
      <c r="I530" s="12" t="s">
        <v>84</v>
      </c>
      <c r="J530" s="6">
        <v>46231</v>
      </c>
      <c r="K530">
        <v>46231</v>
      </c>
      <c r="L530">
        <v>0.84541410811657103</v>
      </c>
      <c r="M530">
        <v>0.84541410811657103</v>
      </c>
      <c r="N530">
        <v>1.7572378475026635</v>
      </c>
      <c r="O530">
        <v>1.1828522736955718</v>
      </c>
      <c r="P530">
        <v>1.1828522736955718</v>
      </c>
      <c r="Q530">
        <v>2.0785527833424382</v>
      </c>
      <c r="R530">
        <v>0.48110397196261706</v>
      </c>
      <c r="S530">
        <v>0.48110397196261706</v>
      </c>
      <c r="T530">
        <v>0.56907492711995222</v>
      </c>
    </row>
    <row r="531" spans="1:20" x14ac:dyDescent="0.25">
      <c r="A531" s="12" t="s">
        <v>61</v>
      </c>
      <c r="B531" s="12" t="s">
        <v>38</v>
      </c>
      <c r="C531" s="12" t="s">
        <v>15</v>
      </c>
      <c r="D531" s="12">
        <v>1.2735376146788988</v>
      </c>
      <c r="E531" s="12">
        <v>8.5499999999999989</v>
      </c>
      <c r="F531" s="12">
        <v>20</v>
      </c>
      <c r="G531" s="12">
        <v>8.5499999999999989</v>
      </c>
      <c r="H531" s="12">
        <v>2.8235294117647056</v>
      </c>
      <c r="I531" s="12" t="s">
        <v>136</v>
      </c>
      <c r="J531" s="6">
        <v>46231</v>
      </c>
      <c r="K531">
        <v>46231</v>
      </c>
      <c r="L531">
        <v>6.7135826232786524</v>
      </c>
      <c r="M531">
        <v>6.7135826232786524</v>
      </c>
      <c r="N531">
        <v>2.2170757889052308</v>
      </c>
      <c r="O531">
        <v>0.14895176779870165</v>
      </c>
      <c r="P531">
        <v>0.14895176779870165</v>
      </c>
      <c r="Q531">
        <v>0.33023735810113519</v>
      </c>
      <c r="R531">
        <v>3.0281249999999997</v>
      </c>
      <c r="S531">
        <v>3.0281249999999997</v>
      </c>
      <c r="T531">
        <v>0.45104457186544339</v>
      </c>
    </row>
    <row r="532" spans="1:20" x14ac:dyDescent="0.25">
      <c r="A532" s="12" t="s">
        <v>61</v>
      </c>
      <c r="B532" s="12" t="s">
        <v>38</v>
      </c>
      <c r="C532" s="12" t="s">
        <v>13</v>
      </c>
      <c r="D532" s="12">
        <v>7.014406393348624</v>
      </c>
      <c r="E532" s="12">
        <v>3.8</v>
      </c>
      <c r="F532" s="12">
        <v>20</v>
      </c>
      <c r="G532" s="12">
        <v>3.8</v>
      </c>
      <c r="H532" s="12">
        <v>6.5882352941176423</v>
      </c>
      <c r="I532" s="12" t="s">
        <v>83</v>
      </c>
      <c r="J532" s="6">
        <v>46231</v>
      </c>
      <c r="K532">
        <v>46231</v>
      </c>
      <c r="L532">
        <v>0.541742206953297</v>
      </c>
      <c r="M532">
        <v>0.541742206953297</v>
      </c>
      <c r="N532">
        <v>0.93924345477970927</v>
      </c>
      <c r="O532">
        <v>1.8458964193022696</v>
      </c>
      <c r="P532">
        <v>1.8458964193022696</v>
      </c>
      <c r="Q532">
        <v>1.7337461300309587</v>
      </c>
      <c r="R532">
        <v>0.57678571428571468</v>
      </c>
      <c r="S532">
        <v>0.57678571428571468</v>
      </c>
      <c r="T532">
        <v>1.0646866847047027</v>
      </c>
    </row>
    <row r="533" spans="1:20" x14ac:dyDescent="0.25">
      <c r="A533" s="12" t="s">
        <v>61</v>
      </c>
      <c r="B533" s="12" t="s">
        <v>38</v>
      </c>
      <c r="C533" s="12" t="s">
        <v>14</v>
      </c>
      <c r="D533" s="12">
        <v>2.2474193200215864</v>
      </c>
      <c r="E533" s="12">
        <v>0.95</v>
      </c>
      <c r="F533" s="12">
        <v>20</v>
      </c>
      <c r="G533" s="12">
        <v>0.95</v>
      </c>
      <c r="H533" s="12">
        <v>4.0415224913494781</v>
      </c>
      <c r="I533" s="12" t="s">
        <v>85</v>
      </c>
      <c r="J533" s="6">
        <v>46232</v>
      </c>
      <c r="K533">
        <v>46232</v>
      </c>
      <c r="L533">
        <v>0.42270705405828551</v>
      </c>
      <c r="M533">
        <v>0.42270705405828551</v>
      </c>
      <c r="N533">
        <v>1.7982948065564637</v>
      </c>
      <c r="O533">
        <v>2.3657045473911436</v>
      </c>
      <c r="P533">
        <v>2.3657045473911436</v>
      </c>
      <c r="Q533">
        <v>4.2542342014205037</v>
      </c>
      <c r="R533">
        <v>0.23505993150684948</v>
      </c>
      <c r="S533">
        <v>0.23505993150684948</v>
      </c>
      <c r="T533">
        <v>0.55608234887520458</v>
      </c>
    </row>
    <row r="534" spans="1:20" x14ac:dyDescent="0.25">
      <c r="A534" s="12" t="s">
        <v>61</v>
      </c>
      <c r="B534" s="12" t="s">
        <v>38</v>
      </c>
      <c r="C534" s="12" t="s">
        <v>13</v>
      </c>
      <c r="D534" s="12">
        <v>5.8204648795871572</v>
      </c>
      <c r="E534" s="12">
        <v>2.8499999999999996</v>
      </c>
      <c r="F534" s="12">
        <v>20</v>
      </c>
      <c r="G534" s="12">
        <v>2.8499999999999996</v>
      </c>
      <c r="H534" s="12">
        <v>5.6470588235294095</v>
      </c>
      <c r="I534" s="12" t="s">
        <v>86</v>
      </c>
      <c r="J534" s="6">
        <v>46232</v>
      </c>
      <c r="K534">
        <v>46232</v>
      </c>
      <c r="L534">
        <v>0.48965161013086445</v>
      </c>
      <c r="M534">
        <v>0.48965161013086445</v>
      </c>
      <c r="N534">
        <v>0.97020752471750205</v>
      </c>
      <c r="O534">
        <v>2.0422683788025116</v>
      </c>
      <c r="P534">
        <v>2.0422683788025116</v>
      </c>
      <c r="Q534">
        <v>1.9814241486068105</v>
      </c>
      <c r="R534">
        <v>0.50468750000000018</v>
      </c>
      <c r="S534">
        <v>0.50468750000000018</v>
      </c>
      <c r="T534">
        <v>1.0307073224268928</v>
      </c>
    </row>
    <row r="535" spans="1:20" x14ac:dyDescent="0.25">
      <c r="A535" s="12" t="s">
        <v>61</v>
      </c>
      <c r="B535" s="12" t="s">
        <v>38</v>
      </c>
      <c r="C535" s="12" t="s">
        <v>15</v>
      </c>
      <c r="D535" s="12">
        <v>1.2735376146788988</v>
      </c>
      <c r="E535" s="12">
        <v>9.5</v>
      </c>
      <c r="F535" s="12">
        <v>20</v>
      </c>
      <c r="G535" s="12">
        <v>9.5</v>
      </c>
      <c r="H535" s="12">
        <v>1.8823529411764703</v>
      </c>
      <c r="I535" s="12" t="s">
        <v>87</v>
      </c>
      <c r="J535" s="6">
        <v>46232</v>
      </c>
      <c r="K535">
        <v>46232</v>
      </c>
      <c r="L535">
        <v>7.4595362480873924</v>
      </c>
      <c r="M535">
        <v>7.4595362480873924</v>
      </c>
      <c r="N535">
        <v>1.4780505259368206</v>
      </c>
      <c r="O535">
        <v>0.13405659101883147</v>
      </c>
      <c r="P535">
        <v>0.13405659101883147</v>
      </c>
      <c r="Q535">
        <v>0.1981424148606811</v>
      </c>
      <c r="R535">
        <v>5.0468750000000009</v>
      </c>
      <c r="S535">
        <v>5.0468750000000009</v>
      </c>
      <c r="T535">
        <v>0.67656685779816506</v>
      </c>
    </row>
    <row r="536" spans="1:20" x14ac:dyDescent="0.25">
      <c r="A536" s="12" t="s">
        <v>61</v>
      </c>
      <c r="B536" s="12" t="s">
        <v>38</v>
      </c>
      <c r="C536" s="12" t="s">
        <v>14</v>
      </c>
      <c r="D536" s="12">
        <v>3.3711289800323794</v>
      </c>
      <c r="E536" s="12">
        <v>2.8499999999999996</v>
      </c>
      <c r="F536" s="12">
        <v>20</v>
      </c>
      <c r="G536" s="12">
        <v>2.8499999999999996</v>
      </c>
      <c r="H536" s="12">
        <v>4.9273356401384039</v>
      </c>
      <c r="I536" s="12" t="s">
        <v>88</v>
      </c>
      <c r="J536" s="6">
        <v>46233</v>
      </c>
      <c r="K536">
        <v>46233</v>
      </c>
      <c r="L536">
        <v>0.84541410811657103</v>
      </c>
      <c r="M536">
        <v>0.84541410811657103</v>
      </c>
      <c r="N536">
        <v>1.4616277423152992</v>
      </c>
      <c r="O536">
        <v>1.1828522736955718</v>
      </c>
      <c r="P536">
        <v>1.1828522736955718</v>
      </c>
      <c r="Q536">
        <v>1.728889698294177</v>
      </c>
      <c r="R536">
        <v>0.57840589887640492</v>
      </c>
      <c r="S536">
        <v>0.57840589887640492</v>
      </c>
      <c r="T536">
        <v>0.68416873260488664</v>
      </c>
    </row>
    <row r="537" spans="1:20" x14ac:dyDescent="0.25">
      <c r="A537" s="12" t="s">
        <v>61</v>
      </c>
      <c r="B537" s="12" t="s">
        <v>38</v>
      </c>
      <c r="C537" s="12" t="s">
        <v>15</v>
      </c>
      <c r="D537" s="12">
        <v>1.2735376146788988</v>
      </c>
      <c r="E537" s="12">
        <v>2.8499999999999996</v>
      </c>
      <c r="F537" s="12">
        <v>20</v>
      </c>
      <c r="G537" s="12">
        <v>2.8499999999999996</v>
      </c>
      <c r="H537" s="12">
        <v>2.8235294117647056</v>
      </c>
      <c r="I537" s="12" t="s">
        <v>89</v>
      </c>
      <c r="J537" s="6">
        <v>46233</v>
      </c>
      <c r="K537">
        <v>46233</v>
      </c>
      <c r="L537">
        <v>2.2378608744262176</v>
      </c>
      <c r="M537">
        <v>2.2378608744262176</v>
      </c>
      <c r="N537">
        <v>2.2170757889052308</v>
      </c>
      <c r="O537">
        <v>0.44685530339610491</v>
      </c>
      <c r="P537">
        <v>0.44685530339610491</v>
      </c>
      <c r="Q537">
        <v>0.99071207430340558</v>
      </c>
      <c r="R537">
        <v>1.0093749999999999</v>
      </c>
      <c r="S537">
        <v>1.0093749999999999</v>
      </c>
      <c r="T537">
        <v>0.45104457186544339</v>
      </c>
    </row>
    <row r="538" spans="1:20" x14ac:dyDescent="0.25">
      <c r="A538" s="12" t="s">
        <v>61</v>
      </c>
      <c r="B538" s="12" t="s">
        <v>38</v>
      </c>
      <c r="C538" s="12" t="s">
        <v>13</v>
      </c>
      <c r="D538" s="12">
        <v>5.7458435349770651</v>
      </c>
      <c r="E538" s="12">
        <v>1.9</v>
      </c>
      <c r="F538" s="12">
        <v>20</v>
      </c>
      <c r="G538" s="12">
        <v>1.9</v>
      </c>
      <c r="H538" s="12">
        <v>4.7058823529411749</v>
      </c>
      <c r="I538" s="12" t="s">
        <v>90</v>
      </c>
      <c r="J538" s="6">
        <v>46233</v>
      </c>
      <c r="K538">
        <v>46233</v>
      </c>
      <c r="L538">
        <v>0.33067381463383061</v>
      </c>
      <c r="M538">
        <v>0.33067381463383061</v>
      </c>
      <c r="N538">
        <v>0.81900635203425509</v>
      </c>
      <c r="O538">
        <v>3.0241281763037184</v>
      </c>
      <c r="P538">
        <v>3.0241281763037184</v>
      </c>
      <c r="Q538">
        <v>2.4767801857585132</v>
      </c>
      <c r="R538">
        <v>0.40375000000000011</v>
      </c>
      <c r="S538">
        <v>0.40375000000000011</v>
      </c>
      <c r="T538">
        <v>1.2209917511826267</v>
      </c>
    </row>
    <row r="539" spans="1:20" x14ac:dyDescent="0.25">
      <c r="A539" s="12" t="s">
        <v>61</v>
      </c>
      <c r="B539" s="12" t="s">
        <v>38</v>
      </c>
      <c r="C539" s="12" t="s">
        <v>13</v>
      </c>
      <c r="D539" s="12">
        <v>4.5519020212155965</v>
      </c>
      <c r="E539" s="12">
        <v>1.9</v>
      </c>
      <c r="F539" s="12">
        <v>20</v>
      </c>
      <c r="G539" s="12">
        <v>1.9</v>
      </c>
      <c r="H539" s="12">
        <v>3.7647058823529393</v>
      </c>
      <c r="I539" s="12" t="s">
        <v>91</v>
      </c>
      <c r="J539" s="6">
        <v>46234</v>
      </c>
      <c r="K539">
        <v>46234</v>
      </c>
      <c r="L539">
        <v>0.41740792994762227</v>
      </c>
      <c r="M539">
        <v>0.41740792994762227</v>
      </c>
      <c r="N539">
        <v>0.82706215221819857</v>
      </c>
      <c r="O539">
        <v>2.3957379059029456</v>
      </c>
      <c r="P539">
        <v>2.3957379059029456</v>
      </c>
      <c r="Q539">
        <v>1.9814241486068103</v>
      </c>
      <c r="R539">
        <v>0.50468750000000018</v>
      </c>
      <c r="S539">
        <v>0.50468750000000018</v>
      </c>
      <c r="T539">
        <v>1.2090989743853935</v>
      </c>
    </row>
    <row r="540" spans="1:20" x14ac:dyDescent="0.25">
      <c r="A540" s="12" t="s">
        <v>61</v>
      </c>
      <c r="B540" s="12" t="s">
        <v>38</v>
      </c>
      <c r="C540" s="12" t="s">
        <v>15</v>
      </c>
      <c r="D540" s="12">
        <v>1.2735376146788988</v>
      </c>
      <c r="E540" s="12">
        <v>3.8</v>
      </c>
      <c r="F540" s="12">
        <v>20</v>
      </c>
      <c r="G540" s="12">
        <v>3.8</v>
      </c>
      <c r="H540" s="12">
        <v>2.8235294117647056</v>
      </c>
      <c r="I540" s="12" t="s">
        <v>92</v>
      </c>
      <c r="J540" s="6">
        <v>46234</v>
      </c>
      <c r="K540">
        <v>46234</v>
      </c>
      <c r="L540">
        <v>2.9838144992349567</v>
      </c>
      <c r="M540">
        <v>2.9838144992349567</v>
      </c>
      <c r="N540">
        <v>2.2170757889052308</v>
      </c>
      <c r="O540">
        <v>0.33514147754707863</v>
      </c>
      <c r="P540">
        <v>0.33514147754707863</v>
      </c>
      <c r="Q540">
        <v>0.7430340557275541</v>
      </c>
      <c r="R540">
        <v>1.3458333333333334</v>
      </c>
      <c r="S540">
        <v>1.3458333333333334</v>
      </c>
      <c r="T540">
        <v>0.45104457186544339</v>
      </c>
    </row>
    <row r="541" spans="1:20" x14ac:dyDescent="0.25">
      <c r="A541" s="12" t="s">
        <v>61</v>
      </c>
      <c r="B541" s="12" t="s">
        <v>38</v>
      </c>
      <c r="C541" s="12" t="s">
        <v>14</v>
      </c>
      <c r="D541" s="12">
        <v>2.2474193200215864</v>
      </c>
      <c r="E541" s="12">
        <v>2.8499999999999996</v>
      </c>
      <c r="F541" s="12">
        <v>20</v>
      </c>
      <c r="G541" s="12">
        <v>2.8499999999999996</v>
      </c>
      <c r="H541" s="12">
        <v>4.816608996539788</v>
      </c>
      <c r="I541" s="12" t="s">
        <v>93</v>
      </c>
      <c r="J541" s="6">
        <v>46234</v>
      </c>
      <c r="K541">
        <v>46234</v>
      </c>
      <c r="L541">
        <v>1.2681211621748565</v>
      </c>
      <c r="M541">
        <v>1.2681211621748565</v>
      </c>
      <c r="N541">
        <v>2.1431732626083879</v>
      </c>
      <c r="O541">
        <v>0.78856818246371463</v>
      </c>
      <c r="P541">
        <v>0.78856818246371463</v>
      </c>
      <c r="Q541">
        <v>1.6900382443999258</v>
      </c>
      <c r="R541">
        <v>0.59170258620689697</v>
      </c>
      <c r="S541">
        <v>0.59170258620689697</v>
      </c>
      <c r="T541">
        <v>0.46659783296425222</v>
      </c>
    </row>
    <row r="542" spans="1:20" x14ac:dyDescent="0.25">
      <c r="A542" s="12" t="s">
        <v>61</v>
      </c>
      <c r="B542" s="12" t="s">
        <v>38</v>
      </c>
      <c r="C542" s="12" t="s">
        <v>15</v>
      </c>
      <c r="D542" s="12">
        <v>1.2735376146788988</v>
      </c>
      <c r="E542" s="12">
        <v>9.5</v>
      </c>
      <c r="F542" s="12">
        <v>20</v>
      </c>
      <c r="G542" s="12">
        <v>9.5</v>
      </c>
      <c r="H542" s="12">
        <v>2.8823529411764706</v>
      </c>
      <c r="I542" s="12" t="s">
        <v>137</v>
      </c>
      <c r="J542" s="6">
        <v>46235</v>
      </c>
      <c r="K542">
        <v>46235</v>
      </c>
      <c r="L542">
        <v>7.4595362480873924</v>
      </c>
      <c r="M542">
        <v>7.4595362480873924</v>
      </c>
      <c r="N542">
        <v>2.263264867840757</v>
      </c>
      <c r="O542">
        <v>0.13405659101883147</v>
      </c>
      <c r="P542">
        <v>0.13405659101883147</v>
      </c>
      <c r="Q542">
        <v>0.30340557275541796</v>
      </c>
      <c r="R542">
        <v>3.295918367346939</v>
      </c>
      <c r="S542">
        <v>3.295918367346939</v>
      </c>
      <c r="T542">
        <v>0.44183958060288325</v>
      </c>
    </row>
    <row r="543" spans="1:20" x14ac:dyDescent="0.25">
      <c r="A543" s="12" t="s">
        <v>61</v>
      </c>
      <c r="B543" s="12" t="s">
        <v>38</v>
      </c>
      <c r="C543" s="12" t="s">
        <v>13</v>
      </c>
      <c r="D543" s="12">
        <v>5.3727368119266048</v>
      </c>
      <c r="E543" s="12">
        <v>2.8499999999999996</v>
      </c>
      <c r="F543" s="12">
        <v>20</v>
      </c>
      <c r="G543" s="12">
        <v>2.8499999999999996</v>
      </c>
      <c r="H543" s="12">
        <v>6.7720588235294095</v>
      </c>
      <c r="I543" s="12" t="s">
        <v>94</v>
      </c>
      <c r="J543" s="6">
        <v>46235</v>
      </c>
      <c r="K543">
        <v>46235</v>
      </c>
      <c r="L543">
        <v>0.53045591097510336</v>
      </c>
      <c r="M543">
        <v>0.53045591097510336</v>
      </c>
      <c r="N543">
        <v>1.2604486429516772</v>
      </c>
      <c r="O543">
        <v>1.8851708112023178</v>
      </c>
      <c r="P543">
        <v>1.8851708112023178</v>
      </c>
      <c r="Q543">
        <v>2.3761609907120738</v>
      </c>
      <c r="R543">
        <v>0.42084690553745935</v>
      </c>
      <c r="S543">
        <v>0.42084690553745935</v>
      </c>
      <c r="T543">
        <v>0.79336830230403743</v>
      </c>
    </row>
    <row r="544" spans="1:20" x14ac:dyDescent="0.25">
      <c r="A544" s="12" t="s">
        <v>61</v>
      </c>
      <c r="B544" s="12" t="s">
        <v>38</v>
      </c>
      <c r="C544" s="12" t="s">
        <v>14</v>
      </c>
      <c r="D544" s="12">
        <v>2.2474193200215868</v>
      </c>
      <c r="E544" s="12">
        <v>1.9</v>
      </c>
      <c r="F544" s="12">
        <v>20</v>
      </c>
      <c r="G544" s="12">
        <v>1.9</v>
      </c>
      <c r="H544" s="12">
        <v>5.0415224913494781</v>
      </c>
      <c r="I544" s="12" t="s">
        <v>95</v>
      </c>
      <c r="J544" s="6">
        <v>46235</v>
      </c>
      <c r="K544">
        <v>46235</v>
      </c>
      <c r="L544">
        <v>0.84541410811657081</v>
      </c>
      <c r="M544">
        <v>0.84541410811657081</v>
      </c>
      <c r="N544">
        <v>2.2432496003020272</v>
      </c>
      <c r="O544">
        <v>1.182852273695572</v>
      </c>
      <c r="P544">
        <v>1.182852273695572</v>
      </c>
      <c r="Q544">
        <v>2.6534328901839359</v>
      </c>
      <c r="R544">
        <v>0.37687028140013745</v>
      </c>
      <c r="S544">
        <v>0.37687028140013745</v>
      </c>
      <c r="T544">
        <v>0.44578186924244267</v>
      </c>
    </row>
    <row r="545" spans="1:20" x14ac:dyDescent="0.25">
      <c r="A545" s="12" t="s">
        <v>61</v>
      </c>
      <c r="B545" s="12" t="s">
        <v>38</v>
      </c>
      <c r="C545" s="12" t="s">
        <v>14</v>
      </c>
      <c r="D545" s="12">
        <v>2.2474193200215868</v>
      </c>
      <c r="E545" s="12">
        <v>0</v>
      </c>
      <c r="F545" s="12">
        <v>20</v>
      </c>
      <c r="G545" s="12">
        <v>0</v>
      </c>
      <c r="H545" s="12">
        <v>5.9307958477508649</v>
      </c>
      <c r="I545" s="12" t="s">
        <v>96</v>
      </c>
      <c r="J545" s="6">
        <v>46236</v>
      </c>
      <c r="K545">
        <v>46236</v>
      </c>
      <c r="L545">
        <v>0</v>
      </c>
      <c r="M545">
        <v>0</v>
      </c>
      <c r="N545">
        <v>2.6389360431830311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0.37894059713316136</v>
      </c>
    </row>
    <row r="546" spans="1:20" x14ac:dyDescent="0.25">
      <c r="A546" s="12" t="s">
        <v>61</v>
      </c>
      <c r="B546" s="12" t="s">
        <v>38</v>
      </c>
      <c r="C546" s="12" t="s">
        <v>15</v>
      </c>
      <c r="D546" s="12">
        <v>1.2735376146788988</v>
      </c>
      <c r="E546" s="12">
        <v>0</v>
      </c>
      <c r="F546" s="12">
        <v>20</v>
      </c>
      <c r="G546" s="12">
        <v>0</v>
      </c>
      <c r="H546" s="12">
        <v>3.8823529411764706</v>
      </c>
      <c r="I546" s="12" t="s">
        <v>98</v>
      </c>
      <c r="J546" s="6">
        <v>46236</v>
      </c>
      <c r="K546">
        <v>46236</v>
      </c>
      <c r="L546">
        <v>0</v>
      </c>
      <c r="M546">
        <v>0</v>
      </c>
      <c r="N546">
        <v>3.0484792097446927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0.32803241590214061</v>
      </c>
    </row>
    <row r="547" spans="1:20" x14ac:dyDescent="0.25">
      <c r="A547" s="12" t="s">
        <v>61</v>
      </c>
      <c r="B547" s="12" t="s">
        <v>38</v>
      </c>
      <c r="C547" s="12" t="s">
        <v>13</v>
      </c>
      <c r="D547" s="12">
        <v>3.5818245412844019</v>
      </c>
      <c r="E547" s="12">
        <v>6.6499999999999995</v>
      </c>
      <c r="F547" s="12">
        <v>20</v>
      </c>
      <c r="G547" s="12">
        <v>6.6499999999999995</v>
      </c>
      <c r="H547" s="12">
        <v>5.8823529411764675</v>
      </c>
      <c r="I547" s="12" t="s">
        <v>97</v>
      </c>
      <c r="J547" s="6">
        <v>46236</v>
      </c>
      <c r="K547">
        <v>46236</v>
      </c>
      <c r="L547">
        <v>1.8565956884128625</v>
      </c>
      <c r="M547">
        <v>1.8565956884128625</v>
      </c>
      <c r="N547">
        <v>1.6422783621520227</v>
      </c>
      <c r="O547">
        <v>0.53862023177209051</v>
      </c>
      <c r="P547">
        <v>0.53862023177209051</v>
      </c>
      <c r="Q547">
        <v>0.88456435205661177</v>
      </c>
      <c r="R547">
        <v>1.1305000000000005</v>
      </c>
      <c r="S547">
        <v>1.1305000000000005</v>
      </c>
      <c r="T547">
        <v>0.60891017201834863</v>
      </c>
    </row>
    <row r="548" spans="1:20" x14ac:dyDescent="0.25">
      <c r="A548" s="12" t="s">
        <v>61</v>
      </c>
      <c r="B548" s="12" t="s">
        <v>38</v>
      </c>
      <c r="C548" s="12" t="s">
        <v>13</v>
      </c>
      <c r="D548" s="12">
        <v>5.8204648795871554</v>
      </c>
      <c r="E548" s="12">
        <v>1.9</v>
      </c>
      <c r="F548" s="12">
        <v>20</v>
      </c>
      <c r="G548" s="12">
        <v>1.9</v>
      </c>
      <c r="H548" s="12">
        <v>4.9411764705882346</v>
      </c>
      <c r="I548" s="12" t="s">
        <v>101</v>
      </c>
      <c r="J548" s="6">
        <v>46237</v>
      </c>
      <c r="K548">
        <v>46237</v>
      </c>
      <c r="L548">
        <v>0.32643440675390978</v>
      </c>
      <c r="M548">
        <v>0.32643440675390978</v>
      </c>
      <c r="N548">
        <v>0.84893158412781478</v>
      </c>
      <c r="O548">
        <v>3.0634025682037662</v>
      </c>
      <c r="P548">
        <v>3.0634025682037662</v>
      </c>
      <c r="Q548">
        <v>2.6006191950464395</v>
      </c>
      <c r="R548">
        <v>0.38452380952380955</v>
      </c>
      <c r="S548">
        <v>0.38452380952380955</v>
      </c>
      <c r="T548">
        <v>1.1779512256307341</v>
      </c>
    </row>
    <row r="549" spans="1:20" x14ac:dyDescent="0.25">
      <c r="A549" s="12" t="s">
        <v>61</v>
      </c>
      <c r="B549" s="12" t="s">
        <v>38</v>
      </c>
      <c r="C549" s="12" t="s">
        <v>15</v>
      </c>
      <c r="D549" s="12">
        <v>1.2735376146788988</v>
      </c>
      <c r="E549" s="12">
        <v>3.8</v>
      </c>
      <c r="F549" s="12">
        <v>20</v>
      </c>
      <c r="G549" s="12">
        <v>3.8</v>
      </c>
      <c r="H549" s="12">
        <v>1.8823529411764703</v>
      </c>
      <c r="I549" s="12" t="s">
        <v>100</v>
      </c>
      <c r="J549" s="6">
        <v>46237</v>
      </c>
      <c r="K549">
        <v>46237</v>
      </c>
      <c r="L549">
        <v>2.9838144992349567</v>
      </c>
      <c r="M549">
        <v>2.9838144992349567</v>
      </c>
      <c r="N549">
        <v>1.4780505259368206</v>
      </c>
      <c r="O549">
        <v>0.33514147754707863</v>
      </c>
      <c r="P549">
        <v>0.33514147754707863</v>
      </c>
      <c r="Q549">
        <v>0.49535603715170273</v>
      </c>
      <c r="R549">
        <v>2.0187500000000003</v>
      </c>
      <c r="S549">
        <v>2.0187500000000003</v>
      </c>
      <c r="T549">
        <v>0.67656685779816506</v>
      </c>
    </row>
    <row r="550" spans="1:20" x14ac:dyDescent="0.25">
      <c r="A550" s="12" t="s">
        <v>61</v>
      </c>
      <c r="B550" s="12" t="s">
        <v>38</v>
      </c>
      <c r="C550" s="12" t="s">
        <v>14</v>
      </c>
      <c r="D550" s="12">
        <v>3.3711289800323794</v>
      </c>
      <c r="E550" s="12">
        <v>2.8499999999999996</v>
      </c>
      <c r="F550" s="12">
        <v>20</v>
      </c>
      <c r="G550" s="12">
        <v>2.8499999999999996</v>
      </c>
      <c r="H550" s="12">
        <v>4.9273356401384065</v>
      </c>
      <c r="I550" s="12" t="s">
        <v>99</v>
      </c>
      <c r="J550" s="6">
        <v>46237</v>
      </c>
      <c r="K550">
        <v>46237</v>
      </c>
      <c r="L550">
        <v>0.84541410811657103</v>
      </c>
      <c r="M550">
        <v>0.84541410811657103</v>
      </c>
      <c r="N550">
        <v>1.4616277423152999</v>
      </c>
      <c r="O550">
        <v>1.1828522736955718</v>
      </c>
      <c r="P550">
        <v>1.1828522736955718</v>
      </c>
      <c r="Q550">
        <v>1.7288896982941779</v>
      </c>
      <c r="R550">
        <v>0.57840589887640459</v>
      </c>
      <c r="S550">
        <v>0.57840589887640459</v>
      </c>
      <c r="T550">
        <v>0.6841687326048862</v>
      </c>
    </row>
    <row r="551" spans="1:20" x14ac:dyDescent="0.25">
      <c r="A551" s="12" t="s">
        <v>61</v>
      </c>
      <c r="B551" s="12" t="s">
        <v>38</v>
      </c>
      <c r="C551" s="12" t="s">
        <v>14</v>
      </c>
      <c r="D551" s="12">
        <v>3.3711289800323794</v>
      </c>
      <c r="E551" s="12">
        <v>2.8499999999999996</v>
      </c>
      <c r="F551" s="12">
        <v>20</v>
      </c>
      <c r="G551" s="12">
        <v>2.8499999999999996</v>
      </c>
      <c r="H551" s="12">
        <v>4.9273356401384065</v>
      </c>
      <c r="I551" s="12" t="s">
        <v>102</v>
      </c>
      <c r="J551" s="6">
        <v>46238</v>
      </c>
      <c r="K551">
        <v>46238</v>
      </c>
      <c r="L551">
        <v>0.84541410811657103</v>
      </c>
      <c r="M551">
        <v>0.84541410811657103</v>
      </c>
      <c r="N551">
        <v>1.4616277423152999</v>
      </c>
      <c r="O551">
        <v>1.1828522736955718</v>
      </c>
      <c r="P551">
        <v>1.1828522736955718</v>
      </c>
      <c r="Q551">
        <v>1.7288896982941779</v>
      </c>
      <c r="R551">
        <v>0.57840589887640459</v>
      </c>
      <c r="S551">
        <v>0.57840589887640459</v>
      </c>
      <c r="T551">
        <v>0.6841687326048862</v>
      </c>
    </row>
    <row r="552" spans="1:20" x14ac:dyDescent="0.25">
      <c r="A552" s="12" t="s">
        <v>61</v>
      </c>
      <c r="B552" s="12" t="s">
        <v>38</v>
      </c>
      <c r="C552" s="12" t="s">
        <v>15</v>
      </c>
      <c r="D552" s="12">
        <v>1.2735376146788988</v>
      </c>
      <c r="E552" s="12">
        <v>10.45</v>
      </c>
      <c r="F552" s="12">
        <v>20</v>
      </c>
      <c r="G552" s="12">
        <v>10.45</v>
      </c>
      <c r="H552" s="12">
        <v>1.8823529411764703</v>
      </c>
      <c r="I552" s="12" t="s">
        <v>103</v>
      </c>
      <c r="J552" s="6">
        <v>46238</v>
      </c>
      <c r="K552">
        <v>46238</v>
      </c>
      <c r="L552">
        <v>8.2054898728961305</v>
      </c>
      <c r="M552">
        <v>8.2054898728961305</v>
      </c>
      <c r="N552">
        <v>1.4780505259368206</v>
      </c>
      <c r="O552">
        <v>0.12186962819893769</v>
      </c>
      <c r="P552">
        <v>0.12186962819893769</v>
      </c>
      <c r="Q552">
        <v>0.18012946805516464</v>
      </c>
      <c r="R552">
        <v>5.5515625000000002</v>
      </c>
      <c r="S552">
        <v>5.5515625000000002</v>
      </c>
      <c r="T552">
        <v>0.67656685779816506</v>
      </c>
    </row>
    <row r="553" spans="1:20" x14ac:dyDescent="0.25">
      <c r="A553" s="12" t="s">
        <v>61</v>
      </c>
      <c r="B553" s="12" t="s">
        <v>38</v>
      </c>
      <c r="C553" s="12" t="s">
        <v>13</v>
      </c>
      <c r="D553" s="12">
        <v>5.8204648795871554</v>
      </c>
      <c r="E553" s="12">
        <v>2.8499999999999996</v>
      </c>
      <c r="F553" s="12">
        <v>20</v>
      </c>
      <c r="G553" s="12">
        <v>2.8499999999999996</v>
      </c>
      <c r="H553" s="12">
        <v>4.7058823529411749</v>
      </c>
      <c r="I553" s="12" t="s">
        <v>104</v>
      </c>
      <c r="J553" s="6">
        <v>46238</v>
      </c>
      <c r="K553">
        <v>46238</v>
      </c>
      <c r="L553">
        <v>0.48965161013086461</v>
      </c>
      <c r="M553">
        <v>0.48965161013086461</v>
      </c>
      <c r="N553">
        <v>0.80850627059791869</v>
      </c>
      <c r="O553">
        <v>2.0422683788025111</v>
      </c>
      <c r="P553">
        <v>2.0422683788025111</v>
      </c>
      <c r="Q553">
        <v>1.6511867905056756</v>
      </c>
      <c r="R553">
        <v>0.60562500000000008</v>
      </c>
      <c r="S553">
        <v>0.60562500000000008</v>
      </c>
      <c r="T553">
        <v>1.2368487869122708</v>
      </c>
    </row>
    <row r="554" spans="1:20" x14ac:dyDescent="0.25">
      <c r="A554" s="12" t="s">
        <v>61</v>
      </c>
      <c r="B554" s="12" t="s">
        <v>38</v>
      </c>
      <c r="C554" s="12" t="s">
        <v>15</v>
      </c>
      <c r="D554" s="12">
        <v>1.2735376146788988</v>
      </c>
      <c r="E554" s="12">
        <v>4.75</v>
      </c>
      <c r="F554" s="12">
        <v>20</v>
      </c>
      <c r="G554" s="12">
        <v>4.75</v>
      </c>
      <c r="H554" s="12">
        <v>2.8823529411764706</v>
      </c>
      <c r="I554" s="12" t="s">
        <v>106</v>
      </c>
      <c r="J554" s="6">
        <v>46239</v>
      </c>
      <c r="K554">
        <v>46239</v>
      </c>
      <c r="L554">
        <v>3.7297681240436962</v>
      </c>
      <c r="M554">
        <v>3.7297681240436962</v>
      </c>
      <c r="N554">
        <v>2.263264867840757</v>
      </c>
      <c r="O554">
        <v>0.26811318203766293</v>
      </c>
      <c r="P554">
        <v>0.26811318203766293</v>
      </c>
      <c r="Q554">
        <v>0.60681114551083593</v>
      </c>
      <c r="R554">
        <v>1.6479591836734695</v>
      </c>
      <c r="S554">
        <v>1.6479591836734695</v>
      </c>
      <c r="T554">
        <v>0.44183958060288325</v>
      </c>
    </row>
    <row r="555" spans="1:20" x14ac:dyDescent="0.25">
      <c r="A555" s="12" t="s">
        <v>61</v>
      </c>
      <c r="B555" s="12" t="s">
        <v>38</v>
      </c>
      <c r="C555" s="12" t="s">
        <v>14</v>
      </c>
      <c r="D555" s="12">
        <v>3.9329838100377761</v>
      </c>
      <c r="E555" s="12">
        <v>1.9</v>
      </c>
      <c r="F555" s="12">
        <v>20</v>
      </c>
      <c r="G555" s="12">
        <v>1.9</v>
      </c>
      <c r="H555" s="12">
        <v>5.8166089965397889</v>
      </c>
      <c r="I555" s="12" t="s">
        <v>107</v>
      </c>
      <c r="J555" s="6">
        <v>46239</v>
      </c>
      <c r="K555">
        <v>46239</v>
      </c>
      <c r="L555">
        <v>0.48309377606661202</v>
      </c>
      <c r="M555">
        <v>0.48309377606661202</v>
      </c>
      <c r="N555">
        <v>1.4789303179165441</v>
      </c>
      <c r="O555">
        <v>2.0699914789672507</v>
      </c>
      <c r="P555">
        <v>2.0699914789672507</v>
      </c>
      <c r="Q555">
        <v>3.0613731560735733</v>
      </c>
      <c r="R555">
        <v>0.32665080309339695</v>
      </c>
      <c r="S555">
        <v>0.32665080309339695</v>
      </c>
      <c r="T555">
        <v>0.67616437900114101</v>
      </c>
    </row>
    <row r="556" spans="1:20" x14ac:dyDescent="0.25">
      <c r="A556" s="12" t="s">
        <v>61</v>
      </c>
      <c r="B556" s="12" t="s">
        <v>38</v>
      </c>
      <c r="C556" s="12" t="s">
        <v>13</v>
      </c>
      <c r="D556" s="12">
        <v>4.6265233658256877</v>
      </c>
      <c r="E556" s="12">
        <v>0.95</v>
      </c>
      <c r="F556" s="12">
        <v>20</v>
      </c>
      <c r="G556" s="12">
        <v>0.95</v>
      </c>
      <c r="H556" s="12">
        <v>2.8235294117647065</v>
      </c>
      <c r="I556" s="12" t="s">
        <v>105</v>
      </c>
      <c r="J556" s="6">
        <v>46239</v>
      </c>
      <c r="K556">
        <v>46239</v>
      </c>
      <c r="L556">
        <v>0.2053377719903626</v>
      </c>
      <c r="M556">
        <v>0.2053377719903626</v>
      </c>
      <c r="N556">
        <v>0.61029183006423571</v>
      </c>
      <c r="O556">
        <v>4.8700245956059875</v>
      </c>
      <c r="P556">
        <v>4.8700245956059875</v>
      </c>
      <c r="Q556">
        <v>2.9721362229102177</v>
      </c>
      <c r="R556">
        <v>0.33645833333333325</v>
      </c>
      <c r="S556">
        <v>0.33645833333333325</v>
      </c>
      <c r="T556">
        <v>1.6385603587299307</v>
      </c>
    </row>
    <row r="557" spans="1:20" x14ac:dyDescent="0.25">
      <c r="A557" s="12" t="s">
        <v>61</v>
      </c>
      <c r="B557" s="12" t="s">
        <v>38</v>
      </c>
      <c r="C557" s="12" t="s">
        <v>15</v>
      </c>
      <c r="D557" s="12">
        <v>1.2735376146788988</v>
      </c>
      <c r="E557" s="12">
        <v>1.9</v>
      </c>
      <c r="F557" s="12">
        <v>20</v>
      </c>
      <c r="G557" s="12">
        <v>1.9</v>
      </c>
      <c r="H557" s="12">
        <v>1.8823529411764703</v>
      </c>
      <c r="I557" s="12" t="s">
        <v>109</v>
      </c>
      <c r="J557" s="6">
        <v>46240</v>
      </c>
      <c r="K557">
        <v>46240</v>
      </c>
      <c r="L557">
        <v>1.4919072496174783</v>
      </c>
      <c r="M557">
        <v>1.4919072496174783</v>
      </c>
      <c r="N557">
        <v>1.4780505259368206</v>
      </c>
      <c r="O557">
        <v>0.67028295509415725</v>
      </c>
      <c r="P557">
        <v>0.67028295509415725</v>
      </c>
      <c r="Q557">
        <v>0.99071207430340547</v>
      </c>
      <c r="R557">
        <v>1.0093750000000001</v>
      </c>
      <c r="S557">
        <v>1.0093750000000001</v>
      </c>
      <c r="T557">
        <v>0.67656685779816506</v>
      </c>
    </row>
    <row r="558" spans="1:20" x14ac:dyDescent="0.25">
      <c r="A558" s="12" t="s">
        <v>61</v>
      </c>
      <c r="B558" s="12" t="s">
        <v>38</v>
      </c>
      <c r="C558" s="12" t="s">
        <v>13</v>
      </c>
      <c r="D558" s="12">
        <v>5.9697075688073395</v>
      </c>
      <c r="E558" s="12">
        <v>2.8499999999999996</v>
      </c>
      <c r="F558" s="12">
        <v>20</v>
      </c>
      <c r="G558" s="12">
        <v>2.8499999999999996</v>
      </c>
      <c r="H558" s="12">
        <v>6.7654798761609918</v>
      </c>
      <c r="I558" s="12" t="s">
        <v>108</v>
      </c>
      <c r="J558" s="6">
        <v>46240</v>
      </c>
      <c r="K558">
        <v>46240</v>
      </c>
      <c r="L558">
        <v>0.47741031987759291</v>
      </c>
      <c r="M558">
        <v>0.47741031987759291</v>
      </c>
      <c r="N558">
        <v>1.1333017234398026</v>
      </c>
      <c r="O558">
        <v>2.0946342346692424</v>
      </c>
      <c r="P558">
        <v>2.0946342346692424</v>
      </c>
      <c r="Q558">
        <v>2.3738525881266641</v>
      </c>
      <c r="R558">
        <v>0.42125614918201565</v>
      </c>
      <c r="S558">
        <v>0.42125614918201565</v>
      </c>
      <c r="T558">
        <v>0.88237755164158349</v>
      </c>
    </row>
    <row r="559" spans="1:20" x14ac:dyDescent="0.25">
      <c r="A559" s="12" t="s">
        <v>61</v>
      </c>
      <c r="B559" s="12" t="s">
        <v>38</v>
      </c>
      <c r="C559" s="12" t="s">
        <v>14</v>
      </c>
      <c r="D559" s="12">
        <v>3.5115926875337284</v>
      </c>
      <c r="E559" s="12">
        <v>0.95</v>
      </c>
      <c r="F559" s="12">
        <v>20</v>
      </c>
      <c r="G559" s="12">
        <v>0.95</v>
      </c>
      <c r="H559" s="12">
        <v>5.0442542342014178</v>
      </c>
      <c r="I559" s="12" t="s">
        <v>110</v>
      </c>
      <c r="J559" s="6">
        <v>46240</v>
      </c>
      <c r="K559">
        <v>46240</v>
      </c>
      <c r="L559">
        <v>0.27053251459730276</v>
      </c>
      <c r="M559">
        <v>0.27053251459730276</v>
      </c>
      <c r="N559">
        <v>1.4364576655227381</v>
      </c>
      <c r="O559">
        <v>3.6964133552986618</v>
      </c>
      <c r="P559">
        <v>3.6964133552986618</v>
      </c>
      <c r="Q559">
        <v>5.3097412991593878</v>
      </c>
      <c r="R559">
        <v>0.1883330926420681</v>
      </c>
      <c r="S559">
        <v>0.1883330926420681</v>
      </c>
      <c r="T559">
        <v>0.6961569588868407</v>
      </c>
    </row>
    <row r="560" spans="1:20" x14ac:dyDescent="0.25">
      <c r="A560" s="12" t="s">
        <v>61</v>
      </c>
      <c r="B560" s="12" t="s">
        <v>38</v>
      </c>
      <c r="C560" s="12" t="s">
        <v>14</v>
      </c>
      <c r="D560" s="12">
        <v>2.2474193200215868</v>
      </c>
      <c r="E560" s="12">
        <v>3.8</v>
      </c>
      <c r="F560" s="12">
        <v>20</v>
      </c>
      <c r="G560" s="12">
        <v>3.8</v>
      </c>
      <c r="H560" s="12">
        <v>3.986159169550171</v>
      </c>
      <c r="I560" s="12" t="s">
        <v>111</v>
      </c>
      <c r="J560" s="6">
        <v>46241</v>
      </c>
      <c r="K560">
        <v>46241</v>
      </c>
      <c r="L560">
        <v>1.6908282162331416</v>
      </c>
      <c r="M560">
        <v>1.6908282162331416</v>
      </c>
      <c r="N560">
        <v>1.7736606311241836</v>
      </c>
      <c r="O560">
        <v>0.591426136847786</v>
      </c>
      <c r="P560">
        <v>0.591426136847786</v>
      </c>
      <c r="Q560">
        <v>1.0489892551447819</v>
      </c>
      <c r="R560">
        <v>0.95329861111111158</v>
      </c>
      <c r="S560">
        <v>0.95329861111111158</v>
      </c>
      <c r="T560">
        <v>0.56380571483180464</v>
      </c>
    </row>
    <row r="561" spans="1:20" x14ac:dyDescent="0.25">
      <c r="A561" s="12" t="s">
        <v>61</v>
      </c>
      <c r="B561" s="12" t="s">
        <v>38</v>
      </c>
      <c r="C561" s="12" t="s">
        <v>15</v>
      </c>
      <c r="D561" s="12">
        <v>1.2735376146788988</v>
      </c>
      <c r="E561" s="12">
        <v>9.5</v>
      </c>
      <c r="F561" s="12">
        <v>20</v>
      </c>
      <c r="G561" s="12">
        <v>9.5</v>
      </c>
      <c r="H561" s="12">
        <v>1.8823529411764703</v>
      </c>
      <c r="I561" s="12" t="s">
        <v>138</v>
      </c>
      <c r="J561" s="6">
        <v>46241</v>
      </c>
      <c r="K561">
        <v>46241</v>
      </c>
      <c r="L561">
        <v>7.4595362480873924</v>
      </c>
      <c r="M561">
        <v>7.4595362480873924</v>
      </c>
      <c r="N561">
        <v>1.4780505259368206</v>
      </c>
      <c r="O561">
        <v>0.13405659101883147</v>
      </c>
      <c r="P561">
        <v>0.13405659101883147</v>
      </c>
      <c r="Q561">
        <v>0.1981424148606811</v>
      </c>
      <c r="R561">
        <v>5.0468750000000009</v>
      </c>
      <c r="S561">
        <v>5.0468750000000009</v>
      </c>
      <c r="T561">
        <v>0.67656685779816506</v>
      </c>
    </row>
    <row r="562" spans="1:20" x14ac:dyDescent="0.25">
      <c r="A562" s="12" t="s">
        <v>61</v>
      </c>
      <c r="B562" s="12" t="s">
        <v>38</v>
      </c>
      <c r="C562" s="12" t="s">
        <v>13</v>
      </c>
      <c r="D562" s="12">
        <v>4.7757660550458709</v>
      </c>
      <c r="E562" s="12">
        <v>3.8</v>
      </c>
      <c r="F562" s="12">
        <v>20</v>
      </c>
      <c r="G562" s="12">
        <v>3.8</v>
      </c>
      <c r="H562" s="12">
        <v>4.705882352941174</v>
      </c>
      <c r="I562" s="12" t="s">
        <v>112</v>
      </c>
      <c r="J562" s="6">
        <v>46241</v>
      </c>
      <c r="K562">
        <v>46241</v>
      </c>
      <c r="L562">
        <v>0.7956838664626551</v>
      </c>
      <c r="M562">
        <v>0.7956838664626551</v>
      </c>
      <c r="N562">
        <v>0.98536701729121323</v>
      </c>
      <c r="O562">
        <v>1.2567805408015451</v>
      </c>
      <c r="P562">
        <v>1.2567805408015451</v>
      </c>
      <c r="Q562">
        <v>1.2383900928792564</v>
      </c>
      <c r="R562">
        <v>0.80750000000000044</v>
      </c>
      <c r="S562">
        <v>0.80750000000000044</v>
      </c>
      <c r="T562">
        <v>1.0148502866972482</v>
      </c>
    </row>
    <row r="563" spans="1:20" x14ac:dyDescent="0.25">
      <c r="A563" s="12" t="s">
        <v>61</v>
      </c>
      <c r="B563" s="12" t="s">
        <v>38</v>
      </c>
      <c r="C563" s="12" t="s">
        <v>14</v>
      </c>
      <c r="D563" s="12">
        <v>3.3711289800323798</v>
      </c>
      <c r="E563" s="12">
        <v>2.8499999999999996</v>
      </c>
      <c r="F563" s="12">
        <v>20</v>
      </c>
      <c r="G563" s="12">
        <v>2.8499999999999996</v>
      </c>
      <c r="H563" s="12">
        <v>4.9273356401384065</v>
      </c>
      <c r="I563" s="12" t="s">
        <v>114</v>
      </c>
      <c r="J563" s="6">
        <v>46242</v>
      </c>
      <c r="K563">
        <v>46242</v>
      </c>
      <c r="L563">
        <v>0.84541410811657092</v>
      </c>
      <c r="M563">
        <v>0.84541410811657092</v>
      </c>
      <c r="N563">
        <v>1.4616277423152997</v>
      </c>
      <c r="O563">
        <v>1.182852273695572</v>
      </c>
      <c r="P563">
        <v>1.182852273695572</v>
      </c>
      <c r="Q563">
        <v>1.7288896982941779</v>
      </c>
      <c r="R563">
        <v>0.57840589887640459</v>
      </c>
      <c r="S563">
        <v>0.57840589887640459</v>
      </c>
      <c r="T563">
        <v>0.68416873260488631</v>
      </c>
    </row>
    <row r="564" spans="1:20" x14ac:dyDescent="0.25">
      <c r="A564" s="12" t="s">
        <v>61</v>
      </c>
      <c r="B564" s="12" t="s">
        <v>38</v>
      </c>
      <c r="C564" s="12" t="s">
        <v>15</v>
      </c>
      <c r="D564" s="12">
        <v>1.2735376146788988</v>
      </c>
      <c r="E564" s="12">
        <v>1.9</v>
      </c>
      <c r="F564" s="12">
        <v>20</v>
      </c>
      <c r="G564" s="12">
        <v>1.9</v>
      </c>
      <c r="H564" s="12">
        <v>1.8823529411764703</v>
      </c>
      <c r="I564" s="12" t="s">
        <v>113</v>
      </c>
      <c r="J564" s="6">
        <v>46242</v>
      </c>
      <c r="K564">
        <v>46242</v>
      </c>
      <c r="L564">
        <v>1.4919072496174783</v>
      </c>
      <c r="M564">
        <v>1.4919072496174783</v>
      </c>
      <c r="N564">
        <v>1.4780505259368206</v>
      </c>
      <c r="O564">
        <v>0.67028295509415725</v>
      </c>
      <c r="P564">
        <v>0.67028295509415725</v>
      </c>
      <c r="Q564">
        <v>0.99071207430340547</v>
      </c>
      <c r="R564">
        <v>1.0093750000000001</v>
      </c>
      <c r="S564">
        <v>1.0093750000000001</v>
      </c>
      <c r="T564">
        <v>0.67656685779816506</v>
      </c>
    </row>
    <row r="565" spans="1:20" x14ac:dyDescent="0.25">
      <c r="A565" s="12" t="s">
        <v>61</v>
      </c>
      <c r="B565" s="12" t="s">
        <v>38</v>
      </c>
      <c r="C565" s="12" t="s">
        <v>13</v>
      </c>
      <c r="D565" s="12">
        <v>2.3878830275229355</v>
      </c>
      <c r="E565" s="12">
        <v>12.35</v>
      </c>
      <c r="F565" s="12">
        <v>20</v>
      </c>
      <c r="G565" s="12">
        <v>12.35</v>
      </c>
      <c r="H565" s="12">
        <v>4.7058823529411749</v>
      </c>
      <c r="I565" s="12" t="s">
        <v>139</v>
      </c>
      <c r="J565" s="6">
        <v>46242</v>
      </c>
      <c r="K565">
        <v>46242</v>
      </c>
      <c r="L565">
        <v>5.1719451320072585</v>
      </c>
      <c r="M565">
        <v>5.1719451320072585</v>
      </c>
      <c r="N565">
        <v>1.9707340345824269</v>
      </c>
      <c r="O565">
        <v>0.19335085243100691</v>
      </c>
      <c r="P565">
        <v>0.19335085243100691</v>
      </c>
      <c r="Q565">
        <v>0.38104310550130971</v>
      </c>
      <c r="R565">
        <v>2.624375000000001</v>
      </c>
      <c r="S565">
        <v>2.624375000000001</v>
      </c>
      <c r="T565">
        <v>0.50742514334862399</v>
      </c>
    </row>
    <row r="566" spans="1:20" x14ac:dyDescent="0.25">
      <c r="A566" s="12" t="s">
        <v>61</v>
      </c>
      <c r="B566" s="12" t="s">
        <v>38</v>
      </c>
      <c r="C566" s="12" t="s">
        <v>13</v>
      </c>
      <c r="D566" s="12">
        <v>3.507203196674312</v>
      </c>
      <c r="E566" s="12">
        <v>3.8</v>
      </c>
      <c r="F566" s="12">
        <v>20</v>
      </c>
      <c r="G566" s="12">
        <v>3.8</v>
      </c>
      <c r="H566" s="12">
        <v>4.705882352941174</v>
      </c>
      <c r="I566" s="12" t="s">
        <v>115</v>
      </c>
      <c r="J566" s="6">
        <v>46243</v>
      </c>
      <c r="K566">
        <v>46243</v>
      </c>
      <c r="L566">
        <v>1.083484413906594</v>
      </c>
      <c r="M566">
        <v>1.083484413906594</v>
      </c>
      <c r="N566">
        <v>1.3417763639710136</v>
      </c>
      <c r="O566">
        <v>0.92294820965113478</v>
      </c>
      <c r="P566">
        <v>0.92294820965113478</v>
      </c>
      <c r="Q566">
        <v>1.2383900928792564</v>
      </c>
      <c r="R566">
        <v>0.80750000000000044</v>
      </c>
      <c r="S566">
        <v>0.80750000000000044</v>
      </c>
      <c r="T566">
        <v>0.74528067929329167</v>
      </c>
    </row>
    <row r="567" spans="1:20" x14ac:dyDescent="0.25">
      <c r="A567" s="12" t="s">
        <v>61</v>
      </c>
      <c r="B567" s="12" t="s">
        <v>38</v>
      </c>
      <c r="C567" s="12" t="s">
        <v>15</v>
      </c>
      <c r="D567" s="12">
        <v>1.2735376146788988</v>
      </c>
      <c r="E567" s="12">
        <v>5.6999999999999993</v>
      </c>
      <c r="F567" s="12">
        <v>20</v>
      </c>
      <c r="G567" s="12">
        <v>5.6999999999999993</v>
      </c>
      <c r="H567" s="12">
        <v>2.8235294117647056</v>
      </c>
      <c r="I567" s="12" t="s">
        <v>141</v>
      </c>
      <c r="J567" s="6">
        <v>46243</v>
      </c>
      <c r="K567">
        <v>46243</v>
      </c>
      <c r="L567">
        <v>4.4757217488524352</v>
      </c>
      <c r="M567">
        <v>4.4757217488524352</v>
      </c>
      <c r="N567">
        <v>2.2170757889052308</v>
      </c>
      <c r="O567">
        <v>0.22342765169805245</v>
      </c>
      <c r="P567">
        <v>0.22342765169805245</v>
      </c>
      <c r="Q567">
        <v>0.49535603715170279</v>
      </c>
      <c r="R567">
        <v>2.0187499999999998</v>
      </c>
      <c r="S567">
        <v>2.0187499999999998</v>
      </c>
      <c r="T567">
        <v>0.45104457186544339</v>
      </c>
    </row>
    <row r="568" spans="1:20" x14ac:dyDescent="0.25">
      <c r="A568" s="12" t="s">
        <v>61</v>
      </c>
      <c r="B568" s="12" t="s">
        <v>38</v>
      </c>
      <c r="C568" s="12" t="s">
        <v>14</v>
      </c>
      <c r="D568" s="12">
        <v>3.3711289800323798</v>
      </c>
      <c r="E568" s="12">
        <v>7.6</v>
      </c>
      <c r="F568" s="12">
        <v>20</v>
      </c>
      <c r="G568" s="12">
        <v>7.6</v>
      </c>
      <c r="H568" s="12">
        <v>4.9273356401384065</v>
      </c>
      <c r="I568" s="12" t="s">
        <v>140</v>
      </c>
      <c r="J568" s="6">
        <v>46243</v>
      </c>
      <c r="K568">
        <v>46243</v>
      </c>
      <c r="L568">
        <v>2.2544376216441893</v>
      </c>
      <c r="M568">
        <v>2.2544376216441893</v>
      </c>
      <c r="N568">
        <v>1.4616277423152997</v>
      </c>
      <c r="O568">
        <v>0.44356960263583944</v>
      </c>
      <c r="P568">
        <v>0.44356960263583944</v>
      </c>
      <c r="Q568">
        <v>0.64833363686031664</v>
      </c>
      <c r="R568">
        <v>1.5424157303370791</v>
      </c>
      <c r="S568">
        <v>1.5424157303370791</v>
      </c>
      <c r="T568">
        <v>0.68416873260488631</v>
      </c>
    </row>
    <row r="569" spans="1:20" x14ac:dyDescent="0.25">
      <c r="A569" s="12" t="s">
        <v>61</v>
      </c>
      <c r="B569" s="12" t="s">
        <v>38</v>
      </c>
      <c r="C569" s="12" t="s">
        <v>13</v>
      </c>
      <c r="D569" s="12">
        <v>3.507203196674312</v>
      </c>
      <c r="E569" s="12">
        <v>13.3</v>
      </c>
      <c r="F569" s="12">
        <v>20</v>
      </c>
      <c r="G569" s="12">
        <v>13.3</v>
      </c>
      <c r="H569" s="12">
        <v>4.7058823529411749</v>
      </c>
      <c r="I569" s="12" t="s">
        <v>142</v>
      </c>
      <c r="J569" s="6">
        <v>46244</v>
      </c>
      <c r="K569">
        <v>46244</v>
      </c>
      <c r="L569">
        <v>3.7921954486730787</v>
      </c>
      <c r="M569">
        <v>3.7921954486730787</v>
      </c>
      <c r="N569">
        <v>1.3417763639710139</v>
      </c>
      <c r="O569">
        <v>0.26369948847175279</v>
      </c>
      <c r="P569">
        <v>0.26369948847175279</v>
      </c>
      <c r="Q569">
        <v>0.35382574082264473</v>
      </c>
      <c r="R569">
        <v>2.8262500000000008</v>
      </c>
      <c r="S569">
        <v>2.8262500000000008</v>
      </c>
      <c r="T569">
        <v>0.74528067929329156</v>
      </c>
    </row>
    <row r="570" spans="1:20" x14ac:dyDescent="0.25">
      <c r="A570" s="12" t="s">
        <v>61</v>
      </c>
      <c r="B570" s="12" t="s">
        <v>38</v>
      </c>
      <c r="C570" s="12" t="s">
        <v>15</v>
      </c>
      <c r="D570" s="12">
        <v>1.2735376146788988</v>
      </c>
      <c r="E570" s="12">
        <v>0</v>
      </c>
      <c r="F570" s="12">
        <v>20</v>
      </c>
      <c r="G570" s="12">
        <v>0</v>
      </c>
      <c r="H570" s="12">
        <v>2.8235294117647056</v>
      </c>
      <c r="I570" s="12" t="s">
        <v>117</v>
      </c>
      <c r="J570" s="6">
        <v>46244</v>
      </c>
      <c r="K570">
        <v>46244</v>
      </c>
      <c r="L570">
        <v>0</v>
      </c>
      <c r="M570">
        <v>0</v>
      </c>
      <c r="N570">
        <v>2.2170757889052308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0.45104457186544339</v>
      </c>
    </row>
    <row r="571" spans="1:20" x14ac:dyDescent="0.25">
      <c r="A571" s="12" t="s">
        <v>61</v>
      </c>
      <c r="B571" s="12" t="s">
        <v>38</v>
      </c>
      <c r="C571" s="12" t="s">
        <v>14</v>
      </c>
      <c r="D571" s="12">
        <v>3.3711289800323794</v>
      </c>
      <c r="E571" s="12">
        <v>4.75</v>
      </c>
      <c r="F571" s="12">
        <v>20</v>
      </c>
      <c r="G571" s="12">
        <v>4.75</v>
      </c>
      <c r="H571" s="12">
        <v>5.8131487889273332</v>
      </c>
      <c r="I571" s="12" t="s">
        <v>116</v>
      </c>
      <c r="J571" s="6">
        <v>46244</v>
      </c>
      <c r="K571">
        <v>46244</v>
      </c>
      <c r="L571">
        <v>1.4090235135276186</v>
      </c>
      <c r="M571">
        <v>1.4090235135276186</v>
      </c>
      <c r="N571">
        <v>1.7243922802596234</v>
      </c>
      <c r="O571">
        <v>0.70971136421734304</v>
      </c>
      <c r="P571">
        <v>0.70971136421734304</v>
      </c>
      <c r="Q571">
        <v>1.2238207976689122</v>
      </c>
      <c r="R571">
        <v>0.81711309523809561</v>
      </c>
      <c r="S571">
        <v>0.81711309523809561</v>
      </c>
      <c r="T571">
        <v>0.57991444954128457</v>
      </c>
    </row>
    <row r="572" spans="1:20" x14ac:dyDescent="0.25">
      <c r="A572" s="12" t="s">
        <v>61</v>
      </c>
      <c r="B572" s="12" t="s">
        <v>38</v>
      </c>
      <c r="C572" s="12" t="s">
        <v>14</v>
      </c>
      <c r="D572" s="12">
        <v>3.3711289800323794</v>
      </c>
      <c r="E572" s="12">
        <v>2.8499999999999996</v>
      </c>
      <c r="F572" s="12">
        <v>20</v>
      </c>
      <c r="G572" s="12">
        <v>2.8499999999999996</v>
      </c>
      <c r="H572" s="12">
        <v>5.9238754325259491</v>
      </c>
      <c r="I572" s="12" t="s">
        <v>119</v>
      </c>
      <c r="J572" s="6">
        <v>46245</v>
      </c>
      <c r="K572">
        <v>46245</v>
      </c>
      <c r="L572">
        <v>0.84541410811657103</v>
      </c>
      <c r="M572">
        <v>0.84541410811657103</v>
      </c>
      <c r="N572">
        <v>1.7572378475026638</v>
      </c>
      <c r="O572">
        <v>1.1828522736955718</v>
      </c>
      <c r="P572">
        <v>1.1828522736955718</v>
      </c>
      <c r="Q572">
        <v>2.0785527833424386</v>
      </c>
      <c r="R572">
        <v>0.48110397196261695</v>
      </c>
      <c r="S572">
        <v>0.48110397196261695</v>
      </c>
      <c r="T572">
        <v>0.56907492711995211</v>
      </c>
    </row>
    <row r="573" spans="1:20" x14ac:dyDescent="0.25">
      <c r="A573" s="12" t="s">
        <v>61</v>
      </c>
      <c r="B573" s="12" t="s">
        <v>38</v>
      </c>
      <c r="C573" s="12" t="s">
        <v>15</v>
      </c>
      <c r="D573" s="12">
        <v>1.2735376146788988</v>
      </c>
      <c r="E573" s="12">
        <v>8.5499999999999989</v>
      </c>
      <c r="F573" s="12">
        <v>20</v>
      </c>
      <c r="G573" s="12">
        <v>8.5499999999999989</v>
      </c>
      <c r="H573" s="12">
        <v>2.8235294117647056</v>
      </c>
      <c r="I573" s="12" t="s">
        <v>120</v>
      </c>
      <c r="J573" s="6">
        <v>46245</v>
      </c>
      <c r="K573">
        <v>46245</v>
      </c>
      <c r="L573">
        <v>6.7135826232786524</v>
      </c>
      <c r="M573">
        <v>6.7135826232786524</v>
      </c>
      <c r="N573">
        <v>2.2170757889052308</v>
      </c>
      <c r="O573">
        <v>0.14895176779870165</v>
      </c>
      <c r="P573">
        <v>0.14895176779870165</v>
      </c>
      <c r="Q573">
        <v>0.33023735810113519</v>
      </c>
      <c r="R573">
        <v>3.0281249999999997</v>
      </c>
      <c r="S573">
        <v>3.0281249999999997</v>
      </c>
      <c r="T573">
        <v>0.45104457186544339</v>
      </c>
    </row>
    <row r="574" spans="1:20" x14ac:dyDescent="0.25">
      <c r="A574" s="12" t="s">
        <v>61</v>
      </c>
      <c r="B574" s="12" t="s">
        <v>38</v>
      </c>
      <c r="C574" s="12" t="s">
        <v>13</v>
      </c>
      <c r="D574" s="12">
        <v>7.014406393348624</v>
      </c>
      <c r="E574" s="12">
        <v>3.8</v>
      </c>
      <c r="F574" s="12">
        <v>20</v>
      </c>
      <c r="G574" s="12">
        <v>3.8</v>
      </c>
      <c r="H574" s="12">
        <v>6.5882352941176467</v>
      </c>
      <c r="I574" s="12" t="s">
        <v>118</v>
      </c>
      <c r="J574" s="6">
        <v>46245</v>
      </c>
      <c r="K574">
        <v>46245</v>
      </c>
      <c r="L574">
        <v>0.541742206953297</v>
      </c>
      <c r="M574">
        <v>0.541742206953297</v>
      </c>
      <c r="N574">
        <v>0.93924345477970994</v>
      </c>
      <c r="O574">
        <v>1.8458964193022696</v>
      </c>
      <c r="P574">
        <v>1.8458964193022696</v>
      </c>
      <c r="Q574">
        <v>1.7337461300309598</v>
      </c>
      <c r="R574">
        <v>0.57678571428571423</v>
      </c>
      <c r="S574">
        <v>0.57678571428571423</v>
      </c>
      <c r="T574">
        <v>1.0646866847047018</v>
      </c>
    </row>
    <row r="575" spans="1:20" x14ac:dyDescent="0.25">
      <c r="A575" s="12" t="s">
        <v>61</v>
      </c>
      <c r="B575" s="12" t="s">
        <v>38</v>
      </c>
      <c r="C575" s="12" t="s">
        <v>13</v>
      </c>
      <c r="D575" s="12">
        <v>5.8204648795871554</v>
      </c>
      <c r="E575" s="12">
        <v>2.8499999999999996</v>
      </c>
      <c r="F575" s="12">
        <v>20</v>
      </c>
      <c r="G575" s="12">
        <v>2.8499999999999996</v>
      </c>
      <c r="H575" s="12">
        <v>5.6470588235294112</v>
      </c>
      <c r="I575" s="12" t="s">
        <v>121</v>
      </c>
      <c r="J575" s="6">
        <v>46246</v>
      </c>
      <c r="K575">
        <v>46246</v>
      </c>
      <c r="L575">
        <v>0.48965161013086461</v>
      </c>
      <c r="M575">
        <v>0.48965161013086461</v>
      </c>
      <c r="N575">
        <v>0.97020752471750271</v>
      </c>
      <c r="O575">
        <v>2.0422683788025111</v>
      </c>
      <c r="P575">
        <v>2.0422683788025111</v>
      </c>
      <c r="Q575">
        <v>1.9814241486068112</v>
      </c>
      <c r="R575">
        <v>0.50468749999999996</v>
      </c>
      <c r="S575">
        <v>0.50468749999999996</v>
      </c>
      <c r="T575">
        <v>1.0307073224268921</v>
      </c>
    </row>
    <row r="576" spans="1:20" x14ac:dyDescent="0.25">
      <c r="A576" s="12" t="s">
        <v>61</v>
      </c>
      <c r="B576" s="12" t="s">
        <v>38</v>
      </c>
      <c r="C576" s="12" t="s">
        <v>15</v>
      </c>
      <c r="D576" s="12">
        <v>1.2735376146788988</v>
      </c>
      <c r="E576" s="12">
        <v>10.45</v>
      </c>
      <c r="F576" s="12">
        <v>20</v>
      </c>
      <c r="G576" s="12">
        <v>10.45</v>
      </c>
      <c r="H576" s="12">
        <v>0.94117647058823517</v>
      </c>
      <c r="I576" s="12" t="s">
        <v>122</v>
      </c>
      <c r="J576" s="6">
        <v>46246</v>
      </c>
      <c r="K576">
        <v>46246</v>
      </c>
      <c r="L576">
        <v>8.2054898728961305</v>
      </c>
      <c r="M576">
        <v>8.2054898728961305</v>
      </c>
      <c r="N576">
        <v>0.73902526296841031</v>
      </c>
      <c r="O576">
        <v>0.12186962819893769</v>
      </c>
      <c r="P576">
        <v>0.12186962819893769</v>
      </c>
      <c r="Q576">
        <v>9.0064734027582319E-2</v>
      </c>
      <c r="R576">
        <v>11.103125</v>
      </c>
      <c r="S576">
        <v>11.103125</v>
      </c>
      <c r="T576">
        <v>1.3531337155963301</v>
      </c>
    </row>
    <row r="577" spans="1:20" x14ac:dyDescent="0.25">
      <c r="A577" s="12" t="s">
        <v>61</v>
      </c>
      <c r="B577" s="12" t="s">
        <v>38</v>
      </c>
      <c r="C577" s="12" t="s">
        <v>14</v>
      </c>
      <c r="D577" s="12">
        <v>2.2474193200215864</v>
      </c>
      <c r="E577" s="12">
        <v>1.9</v>
      </c>
      <c r="F577" s="12">
        <v>20</v>
      </c>
      <c r="G577" s="12">
        <v>1.9</v>
      </c>
      <c r="H577" s="12">
        <v>4.0415224913494789</v>
      </c>
      <c r="I577" s="12" t="s">
        <v>123</v>
      </c>
      <c r="J577" s="6">
        <v>46246</v>
      </c>
      <c r="K577">
        <v>46246</v>
      </c>
      <c r="L577">
        <v>0.84541410811657103</v>
      </c>
      <c r="M577">
        <v>0.84541410811657103</v>
      </c>
      <c r="N577">
        <v>1.7982948065564641</v>
      </c>
      <c r="O577">
        <v>1.1828522736955718</v>
      </c>
      <c r="P577">
        <v>1.1828522736955718</v>
      </c>
      <c r="Q577">
        <v>2.1271171007102523</v>
      </c>
      <c r="R577">
        <v>0.47011986301369885</v>
      </c>
      <c r="S577">
        <v>0.47011986301369885</v>
      </c>
      <c r="T577">
        <v>0.55608234887520447</v>
      </c>
    </row>
    <row r="578" spans="1:20" x14ac:dyDescent="0.25">
      <c r="A578" s="12" t="s">
        <v>61</v>
      </c>
      <c r="B578" s="12" t="s">
        <v>38</v>
      </c>
      <c r="C578" s="12" t="s">
        <v>14</v>
      </c>
      <c r="D578" s="12">
        <v>3.3711289800323794</v>
      </c>
      <c r="E578" s="12">
        <v>0.95</v>
      </c>
      <c r="F578" s="12">
        <v>20</v>
      </c>
      <c r="G578" s="12">
        <v>0.95</v>
      </c>
      <c r="H578" s="12">
        <v>3.986159169550171</v>
      </c>
      <c r="I578" s="12" t="s">
        <v>124</v>
      </c>
      <c r="J578" s="6">
        <v>46247</v>
      </c>
      <c r="K578">
        <v>46247</v>
      </c>
      <c r="L578">
        <v>0.28180470270552366</v>
      </c>
      <c r="M578">
        <v>0.28180470270552366</v>
      </c>
      <c r="N578">
        <v>1.1824404207494559</v>
      </c>
      <c r="O578">
        <v>3.5485568210867151</v>
      </c>
      <c r="P578">
        <v>3.5485568210867151</v>
      </c>
      <c r="Q578">
        <v>4.1959570205791277</v>
      </c>
      <c r="R578">
        <v>0.2383246527777779</v>
      </c>
      <c r="S578">
        <v>0.2383246527777779</v>
      </c>
      <c r="T578">
        <v>0.84570857224770668</v>
      </c>
    </row>
    <row r="579" spans="1:20" x14ac:dyDescent="0.25">
      <c r="A579" s="12" t="s">
        <v>61</v>
      </c>
      <c r="B579" s="12" t="s">
        <v>38</v>
      </c>
      <c r="C579" s="12" t="s">
        <v>15</v>
      </c>
      <c r="D579" s="12">
        <v>1.2735376146788988</v>
      </c>
      <c r="E579" s="12">
        <v>12.35</v>
      </c>
      <c r="F579" s="12">
        <v>20</v>
      </c>
      <c r="G579" s="12">
        <v>12.35</v>
      </c>
      <c r="H579" s="12">
        <v>1.8823529411764703</v>
      </c>
      <c r="I579" s="12" t="s">
        <v>125</v>
      </c>
      <c r="J579" s="6">
        <v>46247</v>
      </c>
      <c r="K579">
        <v>46247</v>
      </c>
      <c r="L579">
        <v>9.6973971225136104</v>
      </c>
      <c r="M579">
        <v>9.6973971225136104</v>
      </c>
      <c r="N579">
        <v>1.4780505259368206</v>
      </c>
      <c r="O579">
        <v>0.10312045462987035</v>
      </c>
      <c r="P579">
        <v>0.10312045462987035</v>
      </c>
      <c r="Q579">
        <v>0.15241724220052391</v>
      </c>
      <c r="R579">
        <v>6.5609375000000005</v>
      </c>
      <c r="S579">
        <v>6.5609375000000005</v>
      </c>
      <c r="T579">
        <v>0.67656685779816506</v>
      </c>
    </row>
    <row r="580" spans="1:20" x14ac:dyDescent="0.25">
      <c r="A580" s="12" t="s">
        <v>61</v>
      </c>
      <c r="B580" s="12" t="s">
        <v>38</v>
      </c>
      <c r="C580" s="12" t="s">
        <v>13</v>
      </c>
      <c r="D580" s="12">
        <v>5.7458435349770651</v>
      </c>
      <c r="E580" s="12">
        <v>1.9</v>
      </c>
      <c r="F580" s="12">
        <v>20</v>
      </c>
      <c r="G580" s="12">
        <v>1.9</v>
      </c>
      <c r="H580" s="12">
        <v>3.7647058823529393</v>
      </c>
      <c r="I580" s="12" t="s">
        <v>126</v>
      </c>
      <c r="J580" s="6">
        <v>46247</v>
      </c>
      <c r="K580">
        <v>46247</v>
      </c>
      <c r="L580">
        <v>0.33067381463383061</v>
      </c>
      <c r="M580">
        <v>0.33067381463383061</v>
      </c>
      <c r="N580">
        <v>0.65520508162740398</v>
      </c>
      <c r="O580">
        <v>3.0241281763037184</v>
      </c>
      <c r="P580">
        <v>3.0241281763037184</v>
      </c>
      <c r="Q580">
        <v>1.9814241486068103</v>
      </c>
      <c r="R580">
        <v>0.50468750000000018</v>
      </c>
      <c r="S580">
        <v>0.50468750000000018</v>
      </c>
      <c r="T580">
        <v>1.5262396889782837</v>
      </c>
    </row>
    <row r="581" spans="1:20" x14ac:dyDescent="0.25">
      <c r="A581" s="12" t="s">
        <v>61</v>
      </c>
      <c r="B581" s="12" t="s">
        <v>38</v>
      </c>
      <c r="C581" s="12" t="s">
        <v>14</v>
      </c>
      <c r="D581" s="12">
        <v>2.2474193200215864</v>
      </c>
      <c r="E581" s="12">
        <v>2.8499999999999996</v>
      </c>
      <c r="F581" s="12">
        <v>20</v>
      </c>
      <c r="G581" s="12">
        <v>2.8499999999999996</v>
      </c>
      <c r="H581" s="12">
        <v>2.9896193771626298</v>
      </c>
      <c r="I581" s="12" t="s">
        <v>127</v>
      </c>
      <c r="J581" s="6">
        <v>46248</v>
      </c>
      <c r="K581">
        <v>46248</v>
      </c>
      <c r="L581">
        <v>1.2681211621748565</v>
      </c>
      <c r="M581">
        <v>1.2681211621748565</v>
      </c>
      <c r="N581">
        <v>1.3302454733431386</v>
      </c>
      <c r="O581">
        <v>0.78856818246371463</v>
      </c>
      <c r="P581">
        <v>0.78856818246371463</v>
      </c>
      <c r="Q581">
        <v>1.0489892551447826</v>
      </c>
      <c r="R581">
        <v>0.95329861111111103</v>
      </c>
      <c r="S581">
        <v>0.95329861111111103</v>
      </c>
      <c r="T581">
        <v>0.7517409531090723</v>
      </c>
    </row>
    <row r="582" spans="1:20" x14ac:dyDescent="0.25">
      <c r="A582" s="12" t="s">
        <v>61</v>
      </c>
      <c r="B582" s="12" t="s">
        <v>38</v>
      </c>
      <c r="C582" s="12" t="s">
        <v>15</v>
      </c>
      <c r="D582" s="12">
        <v>1.2735376146788988</v>
      </c>
      <c r="E582" s="12">
        <v>13.3</v>
      </c>
      <c r="F582" s="12">
        <v>20</v>
      </c>
      <c r="G582" s="12">
        <v>13.3</v>
      </c>
      <c r="H582" s="12">
        <v>1.8823529411764703</v>
      </c>
      <c r="I582" s="12" t="s">
        <v>129</v>
      </c>
      <c r="J582" s="6">
        <v>46248</v>
      </c>
      <c r="K582">
        <v>46248</v>
      </c>
      <c r="L582">
        <v>10.443350747322349</v>
      </c>
      <c r="M582">
        <v>10.443350747322349</v>
      </c>
      <c r="N582">
        <v>1.4780505259368206</v>
      </c>
      <c r="O582">
        <v>9.5754707870593897E-2</v>
      </c>
      <c r="P582">
        <v>9.5754707870593897E-2</v>
      </c>
      <c r="Q582">
        <v>0.14153029632905792</v>
      </c>
      <c r="R582">
        <v>7.0656250000000007</v>
      </c>
      <c r="S582">
        <v>7.0656250000000007</v>
      </c>
      <c r="T582">
        <v>0.67656685779816506</v>
      </c>
    </row>
    <row r="583" spans="1:20" x14ac:dyDescent="0.25">
      <c r="A583" s="12" t="s">
        <v>61</v>
      </c>
      <c r="B583" s="12" t="s">
        <v>38</v>
      </c>
      <c r="C583" s="12" t="s">
        <v>13</v>
      </c>
      <c r="D583" s="12">
        <v>4.5519020212155956</v>
      </c>
      <c r="E583" s="12">
        <v>0</v>
      </c>
      <c r="F583" s="12">
        <v>20</v>
      </c>
      <c r="G583" s="12">
        <v>0</v>
      </c>
      <c r="H583" s="12">
        <v>2.8235294117647065</v>
      </c>
      <c r="I583" s="12" t="s">
        <v>128</v>
      </c>
      <c r="J583" s="6">
        <v>46248</v>
      </c>
      <c r="K583">
        <v>46248</v>
      </c>
      <c r="L583">
        <v>0</v>
      </c>
      <c r="M583">
        <v>0</v>
      </c>
      <c r="N583">
        <v>0.62029661416364945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1.6121319658471898</v>
      </c>
    </row>
    <row r="584" spans="1:20" x14ac:dyDescent="0.25">
      <c r="A584" s="12" t="s">
        <v>61</v>
      </c>
      <c r="B584" s="12" t="s">
        <v>38</v>
      </c>
      <c r="C584" s="12" t="s">
        <v>14</v>
      </c>
      <c r="D584" s="12">
        <v>2.2474193200215868</v>
      </c>
      <c r="E584" s="12">
        <v>1.9</v>
      </c>
      <c r="F584" s="12">
        <v>20</v>
      </c>
      <c r="G584" s="12">
        <v>1.9</v>
      </c>
      <c r="H584" s="12">
        <v>4.1003460207612443</v>
      </c>
      <c r="I584" s="12" t="s">
        <v>130</v>
      </c>
      <c r="J584" s="6">
        <v>46249</v>
      </c>
      <c r="K584">
        <v>46249</v>
      </c>
      <c r="L584">
        <v>0.84541410811657081</v>
      </c>
      <c r="M584">
        <v>0.84541410811657081</v>
      </c>
      <c r="N584">
        <v>1.8244686179532619</v>
      </c>
      <c r="O584">
        <v>1.182852273695572</v>
      </c>
      <c r="P584">
        <v>1.182852273695572</v>
      </c>
      <c r="Q584">
        <v>2.1580768530322341</v>
      </c>
      <c r="R584">
        <v>0.46337552742616045</v>
      </c>
      <c r="S584">
        <v>0.46337552742616045</v>
      </c>
      <c r="T584">
        <v>0.54810479619091879</v>
      </c>
    </row>
    <row r="585" spans="1:20" x14ac:dyDescent="0.25">
      <c r="A585" s="12" t="s">
        <v>61</v>
      </c>
      <c r="B585" s="12" t="s">
        <v>38</v>
      </c>
      <c r="C585" s="12" t="s">
        <v>13</v>
      </c>
      <c r="D585" s="12">
        <v>5.3727368119266048</v>
      </c>
      <c r="E585" s="12">
        <v>13.3</v>
      </c>
      <c r="F585" s="12">
        <v>20</v>
      </c>
      <c r="G585" s="12">
        <v>13.3</v>
      </c>
      <c r="H585" s="12">
        <v>5.8308823529411749</v>
      </c>
      <c r="I585" s="12" t="s">
        <v>143</v>
      </c>
      <c r="J585" s="6">
        <v>46249</v>
      </c>
      <c r="K585">
        <v>46249</v>
      </c>
      <c r="L585">
        <v>2.4754609178838156</v>
      </c>
      <c r="M585">
        <v>2.4754609178838156</v>
      </c>
      <c r="N585">
        <v>1.0852722843221283</v>
      </c>
      <c r="O585">
        <v>0.40396517382906805</v>
      </c>
      <c r="P585">
        <v>0.40396517382906805</v>
      </c>
      <c r="Q585">
        <v>0.43841220698805827</v>
      </c>
      <c r="R585">
        <v>2.2809583858764193</v>
      </c>
      <c r="S585">
        <v>2.2809583858764193</v>
      </c>
      <c r="T585">
        <v>0.92142775084743811</v>
      </c>
    </row>
    <row r="586" spans="1:20" x14ac:dyDescent="0.25">
      <c r="A586" s="12" t="s">
        <v>61</v>
      </c>
      <c r="B586" s="12" t="s">
        <v>38</v>
      </c>
      <c r="C586" s="12" t="s">
        <v>15</v>
      </c>
      <c r="D586" s="12">
        <v>1.2735376146788988</v>
      </c>
      <c r="E586" s="12">
        <v>2.8499999999999996</v>
      </c>
      <c r="F586" s="12">
        <v>20</v>
      </c>
      <c r="G586" s="12">
        <v>2.8499999999999996</v>
      </c>
      <c r="H586" s="12">
        <v>2.8823529411764706</v>
      </c>
      <c r="I586" s="12" t="s">
        <v>131</v>
      </c>
      <c r="J586" s="6">
        <v>46249</v>
      </c>
      <c r="K586">
        <v>46249</v>
      </c>
      <c r="L586">
        <v>2.2378608744262176</v>
      </c>
      <c r="M586">
        <v>2.2378608744262176</v>
      </c>
      <c r="N586">
        <v>2.263264867840757</v>
      </c>
      <c r="O586">
        <v>0.44685530339610491</v>
      </c>
      <c r="P586">
        <v>0.44685530339610491</v>
      </c>
      <c r="Q586">
        <v>1.0113519091847267</v>
      </c>
      <c r="R586">
        <v>0.9887755102040815</v>
      </c>
      <c r="S586">
        <v>0.9887755102040815</v>
      </c>
      <c r="T586">
        <v>0.44183958060288325</v>
      </c>
    </row>
    <row r="587" spans="1:20" x14ac:dyDescent="0.25">
      <c r="A587" s="12" t="s">
        <v>61</v>
      </c>
      <c r="B587" s="12" t="s">
        <v>38</v>
      </c>
      <c r="C587" s="12" t="s">
        <v>13</v>
      </c>
      <c r="D587" s="12">
        <v>3.5818245412844032</v>
      </c>
      <c r="E587" s="12">
        <v>1.9</v>
      </c>
      <c r="F587" s="12">
        <v>20</v>
      </c>
      <c r="G587" s="12">
        <v>1.9</v>
      </c>
      <c r="H587" s="12">
        <v>4.1323529411764692</v>
      </c>
      <c r="I587" s="12" t="s">
        <v>132</v>
      </c>
      <c r="J587" s="6">
        <v>46250</v>
      </c>
      <c r="K587">
        <v>46250</v>
      </c>
      <c r="L587">
        <v>0.53045591097510336</v>
      </c>
      <c r="M587">
        <v>0.53045591097510336</v>
      </c>
      <c r="N587">
        <v>1.1537005494117958</v>
      </c>
      <c r="O587">
        <v>1.8851708112023176</v>
      </c>
      <c r="P587">
        <v>1.8851708112023176</v>
      </c>
      <c r="Q587">
        <v>2.1749226006191944</v>
      </c>
      <c r="R587">
        <v>0.45978647686832752</v>
      </c>
      <c r="S587">
        <v>0.45978647686832752</v>
      </c>
      <c r="T587">
        <v>0.86677604557772059</v>
      </c>
    </row>
    <row r="588" spans="1:20" x14ac:dyDescent="0.25">
      <c r="A588" s="12" t="s">
        <v>61</v>
      </c>
      <c r="B588" s="12" t="s">
        <v>38</v>
      </c>
      <c r="C588" s="12" t="s">
        <v>15</v>
      </c>
      <c r="D588" s="12">
        <v>1.2735376146788988</v>
      </c>
      <c r="E588" s="12">
        <v>0.95</v>
      </c>
      <c r="F588" s="12">
        <v>20</v>
      </c>
      <c r="G588" s="12">
        <v>0.95</v>
      </c>
      <c r="H588" s="12">
        <v>0</v>
      </c>
      <c r="I588" s="12" t="s">
        <v>133</v>
      </c>
      <c r="J588" s="6">
        <v>46250</v>
      </c>
      <c r="K588">
        <v>46250</v>
      </c>
      <c r="L588">
        <v>0.74595362480873917</v>
      </c>
      <c r="M588">
        <v>0.74595362480873917</v>
      </c>
      <c r="N588">
        <v>0</v>
      </c>
      <c r="O588">
        <v>1.3405659101883145</v>
      </c>
      <c r="P588">
        <v>1.3405659101883145</v>
      </c>
      <c r="Q588">
        <v>0</v>
      </c>
      <c r="R588">
        <v>0</v>
      </c>
      <c r="S588">
        <v>0</v>
      </c>
      <c r="T588">
        <v>0</v>
      </c>
    </row>
    <row r="589" spans="1:20" x14ac:dyDescent="0.25">
      <c r="A589" s="12" t="s">
        <v>61</v>
      </c>
      <c r="B589" s="12" t="s">
        <v>38</v>
      </c>
      <c r="C589" s="12" t="s">
        <v>14</v>
      </c>
      <c r="D589" s="12">
        <v>2.2474193200215868</v>
      </c>
      <c r="E589" s="12">
        <v>13.3</v>
      </c>
      <c r="F589" s="12">
        <v>20</v>
      </c>
      <c r="G589" s="12">
        <v>13.3</v>
      </c>
      <c r="H589" s="12">
        <v>3.0449826989619377</v>
      </c>
      <c r="I589" s="12" t="s">
        <v>144</v>
      </c>
      <c r="J589" s="6">
        <v>46250</v>
      </c>
      <c r="K589">
        <v>46250</v>
      </c>
      <c r="L589">
        <v>5.9178987568159958</v>
      </c>
      <c r="M589">
        <v>5.9178987568159958</v>
      </c>
      <c r="N589">
        <v>1.3548796487754187</v>
      </c>
      <c r="O589">
        <v>0.16897889624222459</v>
      </c>
      <c r="P589">
        <v>0.16897889624222459</v>
      </c>
      <c r="Q589">
        <v>0.22894606759112315</v>
      </c>
      <c r="R589">
        <v>4.3678409090909085</v>
      </c>
      <c r="S589">
        <v>4.3678409090909085</v>
      </c>
      <c r="T589">
        <v>0.73807293577981659</v>
      </c>
    </row>
    <row r="590" spans="1:20" x14ac:dyDescent="0.25">
      <c r="A590" s="12" t="s">
        <v>62</v>
      </c>
      <c r="B590" s="12" t="s">
        <v>38</v>
      </c>
      <c r="C590" s="12" t="s">
        <v>15</v>
      </c>
      <c r="D590" s="12">
        <v>2.7731019522776572</v>
      </c>
      <c r="E590" s="12">
        <v>0.95</v>
      </c>
      <c r="F590" s="12">
        <v>20</v>
      </c>
      <c r="G590" s="12">
        <v>0.95</v>
      </c>
      <c r="H590" s="12">
        <v>2.0078431372549019</v>
      </c>
      <c r="I590" s="12" t="s">
        <v>134</v>
      </c>
      <c r="J590" s="6">
        <v>46223</v>
      </c>
      <c r="K590">
        <v>46223</v>
      </c>
      <c r="L590">
        <v>0.34257665832290363</v>
      </c>
      <c r="M590">
        <v>0.34257665832290363</v>
      </c>
      <c r="N590">
        <v>0.72404230778669421</v>
      </c>
      <c r="O590">
        <v>2.9190546866080602</v>
      </c>
      <c r="P590">
        <v>2.9190546866080602</v>
      </c>
      <c r="Q590">
        <v>2.1135190918472655</v>
      </c>
      <c r="R590">
        <v>0.47314453125</v>
      </c>
      <c r="S590">
        <v>0.47314453125</v>
      </c>
      <c r="T590">
        <v>1.3811347613882863</v>
      </c>
    </row>
    <row r="591" spans="1:20" x14ac:dyDescent="0.25">
      <c r="A591" s="12" t="s">
        <v>62</v>
      </c>
      <c r="B591" s="12" t="s">
        <v>38</v>
      </c>
      <c r="C591" s="12" t="s">
        <v>14</v>
      </c>
      <c r="D591" s="12">
        <v>2.4468546637744035</v>
      </c>
      <c r="E591" s="12">
        <v>7.6</v>
      </c>
      <c r="F591" s="12">
        <v>20</v>
      </c>
      <c r="G591" s="12">
        <v>7.6</v>
      </c>
      <c r="H591" s="12">
        <v>1.7716262975778552</v>
      </c>
      <c r="I591" s="12" t="s">
        <v>65</v>
      </c>
      <c r="J591" s="6">
        <v>46223</v>
      </c>
      <c r="K591">
        <v>46223</v>
      </c>
      <c r="L591">
        <v>3.106028368794326</v>
      </c>
      <c r="M591">
        <v>3.106028368794326</v>
      </c>
      <c r="N591">
        <v>0.72404230778669432</v>
      </c>
      <c r="O591">
        <v>0.32195456102294784</v>
      </c>
      <c r="P591">
        <v>0.32195456102294784</v>
      </c>
      <c r="Q591">
        <v>0.23310872336550728</v>
      </c>
      <c r="R591">
        <v>4.2898437499999984</v>
      </c>
      <c r="S591">
        <v>4.2898437499999984</v>
      </c>
      <c r="T591">
        <v>1.3811347613882861</v>
      </c>
    </row>
    <row r="592" spans="1:20" x14ac:dyDescent="0.25">
      <c r="A592" s="12" t="s">
        <v>62</v>
      </c>
      <c r="B592" s="12" t="s">
        <v>38</v>
      </c>
      <c r="C592" s="12" t="s">
        <v>13</v>
      </c>
      <c r="D592" s="12">
        <v>2.5233188720173532</v>
      </c>
      <c r="E592" s="12">
        <v>0.95</v>
      </c>
      <c r="F592" s="12">
        <v>20</v>
      </c>
      <c r="G592" s="12">
        <v>0.95</v>
      </c>
      <c r="H592" s="12">
        <v>0</v>
      </c>
      <c r="I592" s="12" t="s">
        <v>64</v>
      </c>
      <c r="J592" s="6">
        <v>46223</v>
      </c>
      <c r="K592">
        <v>46223</v>
      </c>
      <c r="L592">
        <v>0.37648828712658505</v>
      </c>
      <c r="M592">
        <v>0.37648828712658505</v>
      </c>
      <c r="N592">
        <v>0</v>
      </c>
      <c r="O592">
        <v>2.656125128439319</v>
      </c>
      <c r="P592">
        <v>2.656125128439319</v>
      </c>
      <c r="Q592">
        <v>0</v>
      </c>
      <c r="R592">
        <v>0</v>
      </c>
      <c r="S592">
        <v>0</v>
      </c>
      <c r="T592">
        <v>0</v>
      </c>
    </row>
    <row r="593" spans="1:20" x14ac:dyDescent="0.25">
      <c r="A593" s="12" t="s">
        <v>62</v>
      </c>
      <c r="B593" s="12" t="s">
        <v>38</v>
      </c>
      <c r="C593" s="12" t="s">
        <v>15</v>
      </c>
      <c r="D593" s="12">
        <v>2.7731019522776572</v>
      </c>
      <c r="E593" s="12">
        <v>0.95</v>
      </c>
      <c r="F593" s="12">
        <v>20</v>
      </c>
      <c r="G593" s="12">
        <v>0.95</v>
      </c>
      <c r="H593" s="12">
        <v>2.0078431372549019</v>
      </c>
      <c r="I593" s="12" t="s">
        <v>67</v>
      </c>
      <c r="J593" s="6">
        <v>46224</v>
      </c>
      <c r="K593">
        <v>46224</v>
      </c>
      <c r="L593">
        <v>0.34257665832290363</v>
      </c>
      <c r="M593">
        <v>0.34257665832290363</v>
      </c>
      <c r="N593">
        <v>0.72404230778669421</v>
      </c>
      <c r="O593">
        <v>2.9190546866080602</v>
      </c>
      <c r="P593">
        <v>2.9190546866080602</v>
      </c>
      <c r="Q593">
        <v>2.1135190918472655</v>
      </c>
      <c r="R593">
        <v>0.47314453125</v>
      </c>
      <c r="S593">
        <v>0.47314453125</v>
      </c>
      <c r="T593">
        <v>1.3811347613882863</v>
      </c>
    </row>
    <row r="594" spans="1:20" x14ac:dyDescent="0.25">
      <c r="A594" s="12" t="s">
        <v>62</v>
      </c>
      <c r="B594" s="12" t="s">
        <v>38</v>
      </c>
      <c r="C594" s="12" t="s">
        <v>13</v>
      </c>
      <c r="D594" s="12">
        <v>3.7467462039045554</v>
      </c>
      <c r="E594" s="12">
        <v>0.95</v>
      </c>
      <c r="F594" s="12">
        <v>20</v>
      </c>
      <c r="G594" s="12">
        <v>0.95</v>
      </c>
      <c r="H594" s="12">
        <v>0.23529411764705879</v>
      </c>
      <c r="I594" s="12" t="s">
        <v>66</v>
      </c>
      <c r="J594" s="6">
        <v>46224</v>
      </c>
      <c r="K594">
        <v>46224</v>
      </c>
      <c r="L594">
        <v>0.25355333622810827</v>
      </c>
      <c r="M594">
        <v>0.25355333622810827</v>
      </c>
      <c r="N594">
        <v>6.2799587920274486E-2</v>
      </c>
      <c r="O594">
        <v>3.9439433725311113</v>
      </c>
      <c r="P594">
        <v>3.9439433725311113</v>
      </c>
      <c r="Q594">
        <v>0.24767801857585137</v>
      </c>
      <c r="R594">
        <v>4.0375000000000005</v>
      </c>
      <c r="S594">
        <v>4.0375000000000005</v>
      </c>
      <c r="T594">
        <v>15.923671366594363</v>
      </c>
    </row>
    <row r="595" spans="1:20" x14ac:dyDescent="0.25">
      <c r="A595" s="12" t="s">
        <v>62</v>
      </c>
      <c r="B595" s="12" t="s">
        <v>38</v>
      </c>
      <c r="C595" s="12" t="s">
        <v>14</v>
      </c>
      <c r="D595" s="12">
        <v>2.4468546637744035</v>
      </c>
      <c r="E595" s="12">
        <v>6.6499999999999995</v>
      </c>
      <c r="F595" s="12">
        <v>20</v>
      </c>
      <c r="G595" s="12">
        <v>6.6499999999999995</v>
      </c>
      <c r="H595" s="12">
        <v>1.7716262975778552</v>
      </c>
      <c r="I595" s="12" t="s">
        <v>68</v>
      </c>
      <c r="J595" s="6">
        <v>46224</v>
      </c>
      <c r="K595">
        <v>46224</v>
      </c>
      <c r="L595">
        <v>2.7177748226950351</v>
      </c>
      <c r="M595">
        <v>2.7177748226950351</v>
      </c>
      <c r="N595">
        <v>0.72404230778669432</v>
      </c>
      <c r="O595">
        <v>0.36794806974051186</v>
      </c>
      <c r="P595">
        <v>0.36794806974051186</v>
      </c>
      <c r="Q595">
        <v>0.26640996956057977</v>
      </c>
      <c r="R595">
        <v>3.7536132812499985</v>
      </c>
      <c r="S595">
        <v>3.7536132812499985</v>
      </c>
      <c r="T595">
        <v>1.3811347613882861</v>
      </c>
    </row>
    <row r="596" spans="1:20" x14ac:dyDescent="0.25">
      <c r="A596" s="12" t="s">
        <v>62</v>
      </c>
      <c r="B596" s="12" t="s">
        <v>38</v>
      </c>
      <c r="C596" s="12" t="s">
        <v>14</v>
      </c>
      <c r="D596" s="12">
        <v>2.4468546637744035</v>
      </c>
      <c r="E596" s="12">
        <v>1.9</v>
      </c>
      <c r="F596" s="12">
        <v>20</v>
      </c>
      <c r="G596" s="12">
        <v>1.9</v>
      </c>
      <c r="H596" s="12">
        <v>1.7716262975778552</v>
      </c>
      <c r="I596" s="12" t="s">
        <v>71</v>
      </c>
      <c r="J596" s="6">
        <v>46225</v>
      </c>
      <c r="K596">
        <v>46225</v>
      </c>
      <c r="L596">
        <v>0.77650709219858149</v>
      </c>
      <c r="M596">
        <v>0.77650709219858149</v>
      </c>
      <c r="N596">
        <v>0.72404230778669432</v>
      </c>
      <c r="O596">
        <v>1.2878182440917914</v>
      </c>
      <c r="P596">
        <v>1.2878182440917914</v>
      </c>
      <c r="Q596">
        <v>0.93243489346202912</v>
      </c>
      <c r="R596">
        <v>1.0724609374999996</v>
      </c>
      <c r="S596">
        <v>1.0724609374999996</v>
      </c>
      <c r="T596">
        <v>1.3811347613882861</v>
      </c>
    </row>
    <row r="597" spans="1:20" x14ac:dyDescent="0.25">
      <c r="A597" s="12" t="s">
        <v>62</v>
      </c>
      <c r="B597" s="12" t="s">
        <v>38</v>
      </c>
      <c r="C597" s="12" t="s">
        <v>15</v>
      </c>
      <c r="D597" s="12">
        <v>2.7731019522776572</v>
      </c>
      <c r="E597" s="12">
        <v>0</v>
      </c>
      <c r="F597" s="12">
        <v>20</v>
      </c>
      <c r="G597" s="12">
        <v>0</v>
      </c>
      <c r="H597" s="12">
        <v>2.0078431372549019</v>
      </c>
      <c r="I597" s="12" t="s">
        <v>70</v>
      </c>
      <c r="J597" s="6">
        <v>46225</v>
      </c>
      <c r="K597">
        <v>46225</v>
      </c>
      <c r="L597">
        <v>0</v>
      </c>
      <c r="M597">
        <v>0</v>
      </c>
      <c r="N597">
        <v>0.72404230778669421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1.3811347613882863</v>
      </c>
    </row>
    <row r="598" spans="1:20" x14ac:dyDescent="0.25">
      <c r="A598" s="12" t="s">
        <v>62</v>
      </c>
      <c r="B598" s="12" t="s">
        <v>38</v>
      </c>
      <c r="C598" s="12" t="s">
        <v>13</v>
      </c>
      <c r="D598" s="12">
        <v>2.5233188720173532</v>
      </c>
      <c r="E598" s="12">
        <v>7.6</v>
      </c>
      <c r="F598" s="12">
        <v>20</v>
      </c>
      <c r="G598" s="12">
        <v>7.6</v>
      </c>
      <c r="H598" s="12">
        <v>0.23529411764705879</v>
      </c>
      <c r="I598" s="12" t="s">
        <v>69</v>
      </c>
      <c r="J598" s="6">
        <v>46225</v>
      </c>
      <c r="K598">
        <v>46225</v>
      </c>
      <c r="L598">
        <v>3.0119062970126804</v>
      </c>
      <c r="M598">
        <v>3.0119062970126804</v>
      </c>
      <c r="N598">
        <v>9.3247872972528789E-2</v>
      </c>
      <c r="O598">
        <v>0.33201564105491488</v>
      </c>
      <c r="P598">
        <v>0.33201564105491488</v>
      </c>
      <c r="Q598">
        <v>3.0959752321981421E-2</v>
      </c>
      <c r="R598">
        <v>32.300000000000004</v>
      </c>
      <c r="S598">
        <v>32.300000000000004</v>
      </c>
      <c r="T598">
        <v>10.724105206073752</v>
      </c>
    </row>
    <row r="599" spans="1:20" x14ac:dyDescent="0.25">
      <c r="A599" s="12" t="s">
        <v>62</v>
      </c>
      <c r="B599" s="12" t="s">
        <v>38</v>
      </c>
      <c r="C599" s="12" t="s">
        <v>14</v>
      </c>
      <c r="D599" s="12">
        <v>2.4468546637744035</v>
      </c>
      <c r="E599" s="12">
        <v>6.6499999999999995</v>
      </c>
      <c r="F599" s="12">
        <v>20</v>
      </c>
      <c r="G599" s="12">
        <v>6.6499999999999995</v>
      </c>
      <c r="H599" s="12">
        <v>1.7716262975778552</v>
      </c>
      <c r="I599" s="12" t="s">
        <v>72</v>
      </c>
      <c r="J599" s="6">
        <v>46226</v>
      </c>
      <c r="K599">
        <v>46226</v>
      </c>
      <c r="L599">
        <v>2.7177748226950351</v>
      </c>
      <c r="M599">
        <v>2.7177748226950351</v>
      </c>
      <c r="N599">
        <v>0.72404230778669432</v>
      </c>
      <c r="O599">
        <v>0.36794806974051186</v>
      </c>
      <c r="P599">
        <v>0.36794806974051186</v>
      </c>
      <c r="Q599">
        <v>0.26640996956057977</v>
      </c>
      <c r="R599">
        <v>3.7536132812499985</v>
      </c>
      <c r="S599">
        <v>3.7536132812499985</v>
      </c>
      <c r="T599">
        <v>1.3811347613882861</v>
      </c>
    </row>
    <row r="600" spans="1:20" x14ac:dyDescent="0.25">
      <c r="A600" s="12" t="s">
        <v>62</v>
      </c>
      <c r="B600" s="12" t="s">
        <v>38</v>
      </c>
      <c r="C600" s="12" t="s">
        <v>13</v>
      </c>
      <c r="D600" s="12">
        <v>3.8996746203904551</v>
      </c>
      <c r="E600" s="12">
        <v>0.95</v>
      </c>
      <c r="F600" s="12">
        <v>20</v>
      </c>
      <c r="G600" s="12">
        <v>0.95</v>
      </c>
      <c r="H600" s="12">
        <v>0.23529411764705879</v>
      </c>
      <c r="I600" s="12" t="s">
        <v>74</v>
      </c>
      <c r="J600" s="6">
        <v>46226</v>
      </c>
      <c r="K600">
        <v>46226</v>
      </c>
      <c r="L600">
        <v>0.24361006814073149</v>
      </c>
      <c r="M600">
        <v>0.24361006814073149</v>
      </c>
      <c r="N600">
        <v>6.033685898222451E-2</v>
      </c>
      <c r="O600">
        <v>4.1049206530425844</v>
      </c>
      <c r="P600">
        <v>4.1049206530425844</v>
      </c>
      <c r="Q600">
        <v>0.24767801857585137</v>
      </c>
      <c r="R600">
        <v>4.0375000000000005</v>
      </c>
      <c r="S600">
        <v>4.0375000000000005</v>
      </c>
      <c r="T600">
        <v>16.573617136659436</v>
      </c>
    </row>
    <row r="601" spans="1:20" x14ac:dyDescent="0.25">
      <c r="A601" s="12" t="s">
        <v>62</v>
      </c>
      <c r="B601" s="12" t="s">
        <v>38</v>
      </c>
      <c r="C601" s="12" t="s">
        <v>15</v>
      </c>
      <c r="D601" s="12">
        <v>2.7731019522776572</v>
      </c>
      <c r="E601" s="12">
        <v>0</v>
      </c>
      <c r="F601" s="12">
        <v>20</v>
      </c>
      <c r="G601" s="12">
        <v>0</v>
      </c>
      <c r="H601" s="12">
        <v>2.0078431372549019</v>
      </c>
      <c r="I601" s="12" t="s">
        <v>73</v>
      </c>
      <c r="J601" s="6">
        <v>46226</v>
      </c>
      <c r="K601">
        <v>46226</v>
      </c>
      <c r="L601">
        <v>0</v>
      </c>
      <c r="M601">
        <v>0</v>
      </c>
      <c r="N601">
        <v>0.72404230778669421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1.3811347613882863</v>
      </c>
    </row>
    <row r="602" spans="1:20" x14ac:dyDescent="0.25">
      <c r="A602" s="12" t="s">
        <v>62</v>
      </c>
      <c r="B602" s="12" t="s">
        <v>38</v>
      </c>
      <c r="C602" s="12" t="s">
        <v>13</v>
      </c>
      <c r="D602" s="12">
        <v>3.8232104121475055</v>
      </c>
      <c r="E602" s="12">
        <v>6.6499999999999995</v>
      </c>
      <c r="F602" s="12">
        <v>20</v>
      </c>
      <c r="G602" s="12">
        <v>6.6499999999999995</v>
      </c>
      <c r="H602" s="12">
        <v>0.23529411764705879</v>
      </c>
      <c r="I602" s="12" t="s">
        <v>56</v>
      </c>
      <c r="J602" s="6">
        <v>46227</v>
      </c>
      <c r="K602">
        <v>46227</v>
      </c>
      <c r="L602">
        <v>1.7393758865248226</v>
      </c>
      <c r="M602">
        <v>1.7393758865248226</v>
      </c>
      <c r="N602">
        <v>6.1543596161868996E-2</v>
      </c>
      <c r="O602">
        <v>0.57491885896954975</v>
      </c>
      <c r="P602">
        <v>0.57491885896954975</v>
      </c>
      <c r="Q602">
        <v>3.538257408226448E-2</v>
      </c>
      <c r="R602">
        <v>28.262500000000003</v>
      </c>
      <c r="S602">
        <v>28.262500000000003</v>
      </c>
      <c r="T602">
        <v>16.248644251626899</v>
      </c>
    </row>
    <row r="603" spans="1:20" x14ac:dyDescent="0.25">
      <c r="A603" s="12" t="s">
        <v>62</v>
      </c>
      <c r="B603" s="12" t="s">
        <v>38</v>
      </c>
      <c r="C603" s="12" t="s">
        <v>15</v>
      </c>
      <c r="D603" s="12">
        <v>2.7731019522776572</v>
      </c>
      <c r="E603" s="12">
        <v>0.95</v>
      </c>
      <c r="F603" s="12">
        <v>20</v>
      </c>
      <c r="G603" s="12">
        <v>0.95</v>
      </c>
      <c r="H603" s="12">
        <v>2.0078431372549019</v>
      </c>
      <c r="I603" s="12" t="s">
        <v>57</v>
      </c>
      <c r="J603" s="6">
        <v>46227</v>
      </c>
      <c r="K603">
        <v>46227</v>
      </c>
      <c r="L603">
        <v>0.34257665832290363</v>
      </c>
      <c r="M603">
        <v>0.34257665832290363</v>
      </c>
      <c r="N603">
        <v>0.72404230778669421</v>
      </c>
      <c r="O603">
        <v>2.9190546866080602</v>
      </c>
      <c r="P603">
        <v>2.9190546866080602</v>
      </c>
      <c r="Q603">
        <v>2.1135190918472655</v>
      </c>
      <c r="R603">
        <v>0.47314453125</v>
      </c>
      <c r="S603">
        <v>0.47314453125</v>
      </c>
      <c r="T603">
        <v>1.3811347613882863</v>
      </c>
    </row>
    <row r="604" spans="1:20" x14ac:dyDescent="0.25">
      <c r="A604" s="12" t="s">
        <v>62</v>
      </c>
      <c r="B604" s="12" t="s">
        <v>38</v>
      </c>
      <c r="C604" s="12" t="s">
        <v>14</v>
      </c>
      <c r="D604" s="12">
        <v>2.4468546637744031</v>
      </c>
      <c r="E604" s="12">
        <v>1.9</v>
      </c>
      <c r="F604" s="12">
        <v>20</v>
      </c>
      <c r="G604" s="12">
        <v>1.9</v>
      </c>
      <c r="H604" s="12">
        <v>1.7716262975778552</v>
      </c>
      <c r="I604" s="12" t="s">
        <v>58</v>
      </c>
      <c r="J604" s="6">
        <v>46227</v>
      </c>
      <c r="K604">
        <v>46227</v>
      </c>
      <c r="L604">
        <v>0.77650709219858161</v>
      </c>
      <c r="M604">
        <v>0.77650709219858161</v>
      </c>
      <c r="N604">
        <v>0.72404230778669443</v>
      </c>
      <c r="O604">
        <v>1.2878182440917911</v>
      </c>
      <c r="P604">
        <v>1.2878182440917911</v>
      </c>
      <c r="Q604">
        <v>0.93243489346202912</v>
      </c>
      <c r="R604">
        <v>1.0724609374999996</v>
      </c>
      <c r="S604">
        <v>1.0724609374999996</v>
      </c>
      <c r="T604">
        <v>1.3811347613882858</v>
      </c>
    </row>
    <row r="605" spans="1:20" x14ac:dyDescent="0.25">
      <c r="A605" s="12" t="s">
        <v>62</v>
      </c>
      <c r="B605" s="12" t="s">
        <v>38</v>
      </c>
      <c r="C605" s="12" t="s">
        <v>14</v>
      </c>
      <c r="D605" s="12">
        <v>2.4468546637744031</v>
      </c>
      <c r="E605" s="12">
        <v>4.75</v>
      </c>
      <c r="F605" s="12">
        <v>20</v>
      </c>
      <c r="G605" s="12">
        <v>4.75</v>
      </c>
      <c r="H605" s="12">
        <v>1.7716262975778552</v>
      </c>
      <c r="I605" s="12" t="s">
        <v>76</v>
      </c>
      <c r="J605" s="6">
        <v>46228</v>
      </c>
      <c r="K605">
        <v>46228</v>
      </c>
      <c r="L605">
        <v>1.9412677304964543</v>
      </c>
      <c r="M605">
        <v>1.9412677304964543</v>
      </c>
      <c r="N605">
        <v>0.72404230778669443</v>
      </c>
      <c r="O605">
        <v>0.51512729763671639</v>
      </c>
      <c r="P605">
        <v>0.51512729763671639</v>
      </c>
      <c r="Q605">
        <v>0.37297395738481159</v>
      </c>
      <c r="R605">
        <v>2.6811523437499991</v>
      </c>
      <c r="S605">
        <v>2.6811523437499991</v>
      </c>
      <c r="T605">
        <v>1.3811347613882858</v>
      </c>
    </row>
    <row r="606" spans="1:20" x14ac:dyDescent="0.25">
      <c r="A606" s="12" t="s">
        <v>62</v>
      </c>
      <c r="B606" s="12" t="s">
        <v>38</v>
      </c>
      <c r="C606" s="12" t="s">
        <v>13</v>
      </c>
      <c r="D606" s="12">
        <v>0</v>
      </c>
      <c r="E606" s="12">
        <v>0.95</v>
      </c>
      <c r="F606" s="12">
        <v>20</v>
      </c>
      <c r="G606" s="12">
        <v>0.95</v>
      </c>
      <c r="H606" s="12">
        <v>0.23529411764705879</v>
      </c>
      <c r="I606" s="12" t="s">
        <v>135</v>
      </c>
      <c r="J606" s="6">
        <v>46228</v>
      </c>
      <c r="K606">
        <v>46228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0.24767801857585137</v>
      </c>
      <c r="R606">
        <v>4.0375000000000005</v>
      </c>
      <c r="S606">
        <v>4.0375000000000005</v>
      </c>
      <c r="T606">
        <v>0</v>
      </c>
    </row>
    <row r="607" spans="1:20" x14ac:dyDescent="0.25">
      <c r="A607" s="12" t="s">
        <v>62</v>
      </c>
      <c r="B607" s="12" t="s">
        <v>38</v>
      </c>
      <c r="C607" s="12" t="s">
        <v>15</v>
      </c>
      <c r="D607" s="12">
        <v>2.7731019522776572</v>
      </c>
      <c r="E607" s="12">
        <v>0.95</v>
      </c>
      <c r="F607" s="12">
        <v>20</v>
      </c>
      <c r="G607" s="12">
        <v>0.95</v>
      </c>
      <c r="H607" s="12">
        <v>2.0078431372549019</v>
      </c>
      <c r="I607" s="12" t="s">
        <v>75</v>
      </c>
      <c r="J607" s="6">
        <v>46228</v>
      </c>
      <c r="K607">
        <v>46228</v>
      </c>
      <c r="L607">
        <v>0.34257665832290363</v>
      </c>
      <c r="M607">
        <v>0.34257665832290363</v>
      </c>
      <c r="N607">
        <v>0.72404230778669421</v>
      </c>
      <c r="O607">
        <v>2.9190546866080602</v>
      </c>
      <c r="P607">
        <v>2.9190546866080602</v>
      </c>
      <c r="Q607">
        <v>2.1135190918472655</v>
      </c>
      <c r="R607">
        <v>0.47314453125</v>
      </c>
      <c r="S607">
        <v>0.47314453125</v>
      </c>
      <c r="T607">
        <v>1.3811347613882863</v>
      </c>
    </row>
    <row r="608" spans="1:20" x14ac:dyDescent="0.25">
      <c r="A608" s="12" t="s">
        <v>62</v>
      </c>
      <c r="B608" s="12" t="s">
        <v>38</v>
      </c>
      <c r="C608" s="12" t="s">
        <v>13</v>
      </c>
      <c r="D608" s="12">
        <v>0</v>
      </c>
      <c r="E608" s="12">
        <v>0.95</v>
      </c>
      <c r="F608" s="12">
        <v>20</v>
      </c>
      <c r="G608" s="12">
        <v>0.95</v>
      </c>
      <c r="H608" s="12">
        <v>0.23529411764705879</v>
      </c>
      <c r="I608" s="12" t="s">
        <v>78</v>
      </c>
      <c r="J608" s="6">
        <v>46229</v>
      </c>
      <c r="K608">
        <v>46229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0.24767801857585137</v>
      </c>
      <c r="R608">
        <v>4.0375000000000005</v>
      </c>
      <c r="S608">
        <v>4.0375000000000005</v>
      </c>
      <c r="T608">
        <v>0</v>
      </c>
    </row>
    <row r="609" spans="1:20" x14ac:dyDescent="0.25">
      <c r="A609" s="12" t="s">
        <v>62</v>
      </c>
      <c r="B609" s="12" t="s">
        <v>38</v>
      </c>
      <c r="C609" s="12" t="s">
        <v>15</v>
      </c>
      <c r="D609" s="12">
        <v>2.7731019522776572</v>
      </c>
      <c r="E609" s="12">
        <v>0</v>
      </c>
      <c r="F609" s="12">
        <v>20</v>
      </c>
      <c r="G609" s="12">
        <v>0</v>
      </c>
      <c r="H609" s="12">
        <v>2.0078431372549019</v>
      </c>
      <c r="I609" s="12" t="s">
        <v>77</v>
      </c>
      <c r="J609" s="6">
        <v>46229</v>
      </c>
      <c r="K609">
        <v>46229</v>
      </c>
      <c r="L609">
        <v>0</v>
      </c>
      <c r="M609">
        <v>0</v>
      </c>
      <c r="N609">
        <v>0.72404230778669421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1.3811347613882863</v>
      </c>
    </row>
    <row r="610" spans="1:20" x14ac:dyDescent="0.25">
      <c r="A610" s="12" t="s">
        <v>62</v>
      </c>
      <c r="B610" s="12" t="s">
        <v>38</v>
      </c>
      <c r="C610" s="12" t="s">
        <v>14</v>
      </c>
      <c r="D610" s="12">
        <v>2.4468546637744031</v>
      </c>
      <c r="E610" s="12">
        <v>6.6499999999999995</v>
      </c>
      <c r="F610" s="12">
        <v>20</v>
      </c>
      <c r="G610" s="12">
        <v>6.6499999999999995</v>
      </c>
      <c r="H610" s="12">
        <v>1.7716262975778552</v>
      </c>
      <c r="I610" s="12" t="s">
        <v>79</v>
      </c>
      <c r="J610" s="6">
        <v>46229</v>
      </c>
      <c r="K610">
        <v>46229</v>
      </c>
      <c r="L610">
        <v>2.7177748226950356</v>
      </c>
      <c r="M610">
        <v>2.7177748226950356</v>
      </c>
      <c r="N610">
        <v>0.72404230778669443</v>
      </c>
      <c r="O610">
        <v>0.36794806974051175</v>
      </c>
      <c r="P610">
        <v>0.36794806974051175</v>
      </c>
      <c r="Q610">
        <v>0.26640996956057977</v>
      </c>
      <c r="R610">
        <v>3.7536132812499985</v>
      </c>
      <c r="S610">
        <v>3.7536132812499985</v>
      </c>
      <c r="T610">
        <v>1.3811347613882858</v>
      </c>
    </row>
    <row r="611" spans="1:20" x14ac:dyDescent="0.25">
      <c r="A611" s="12" t="s">
        <v>62</v>
      </c>
      <c r="B611" s="12" t="s">
        <v>38</v>
      </c>
      <c r="C611" s="12" t="s">
        <v>14</v>
      </c>
      <c r="D611" s="12">
        <v>2.5188209774148271</v>
      </c>
      <c r="E611" s="12">
        <v>9.5</v>
      </c>
      <c r="F611" s="12">
        <v>20</v>
      </c>
      <c r="G611" s="12">
        <v>9.5</v>
      </c>
      <c r="H611" s="12">
        <v>1.7716262975778552</v>
      </c>
      <c r="I611" s="12" t="s">
        <v>80</v>
      </c>
      <c r="J611" s="6">
        <v>46230</v>
      </c>
      <c r="K611">
        <v>46230</v>
      </c>
      <c r="L611">
        <v>3.7716058763931102</v>
      </c>
      <c r="M611">
        <v>3.7716058763931102</v>
      </c>
      <c r="N611">
        <v>0.70335538470707448</v>
      </c>
      <c r="O611">
        <v>0.26513905025419232</v>
      </c>
      <c r="P611">
        <v>0.26513905025419232</v>
      </c>
      <c r="Q611">
        <v>0.1864869786924058</v>
      </c>
      <c r="R611">
        <v>5.3623046874999982</v>
      </c>
      <c r="S611">
        <v>5.3623046874999982</v>
      </c>
      <c r="T611">
        <v>1.4217563720173532</v>
      </c>
    </row>
    <row r="612" spans="1:20" x14ac:dyDescent="0.25">
      <c r="A612" s="12" t="s">
        <v>62</v>
      </c>
      <c r="B612" s="12" t="s">
        <v>38</v>
      </c>
      <c r="C612" s="12" t="s">
        <v>13</v>
      </c>
      <c r="D612" s="12">
        <v>2.5233188720173527</v>
      </c>
      <c r="E612" s="12">
        <v>0</v>
      </c>
      <c r="F612" s="12">
        <v>20</v>
      </c>
      <c r="G612" s="12">
        <v>0</v>
      </c>
      <c r="H612" s="12">
        <v>0.23529411764705879</v>
      </c>
      <c r="I612" s="12" t="s">
        <v>82</v>
      </c>
      <c r="J612" s="6">
        <v>46230</v>
      </c>
      <c r="K612">
        <v>46230</v>
      </c>
      <c r="L612">
        <v>0</v>
      </c>
      <c r="M612">
        <v>0</v>
      </c>
      <c r="N612">
        <v>9.3247872972528817E-2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10.72410520607375</v>
      </c>
    </row>
    <row r="613" spans="1:20" x14ac:dyDescent="0.25">
      <c r="A613" s="12" t="s">
        <v>62</v>
      </c>
      <c r="B613" s="12" t="s">
        <v>38</v>
      </c>
      <c r="C613" s="12" t="s">
        <v>15</v>
      </c>
      <c r="D613" s="12">
        <v>2.7731019522776572</v>
      </c>
      <c r="E613" s="12">
        <v>0</v>
      </c>
      <c r="F613" s="12">
        <v>20</v>
      </c>
      <c r="G613" s="12">
        <v>0</v>
      </c>
      <c r="H613" s="12">
        <v>2.0078431372549019</v>
      </c>
      <c r="I613" s="12" t="s">
        <v>81</v>
      </c>
      <c r="J613" s="6">
        <v>46230</v>
      </c>
      <c r="K613">
        <v>46230</v>
      </c>
      <c r="L613">
        <v>0</v>
      </c>
      <c r="M613">
        <v>0</v>
      </c>
      <c r="N613">
        <v>0.72404230778669421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1.3811347613882863</v>
      </c>
    </row>
    <row r="614" spans="1:20" x14ac:dyDescent="0.25">
      <c r="A614" s="12" t="s">
        <v>62</v>
      </c>
      <c r="B614" s="12" t="s">
        <v>38</v>
      </c>
      <c r="C614" s="12" t="s">
        <v>14</v>
      </c>
      <c r="D614" s="12">
        <v>2.4468546637744031</v>
      </c>
      <c r="E614" s="12">
        <v>9.5</v>
      </c>
      <c r="F614" s="12">
        <v>20</v>
      </c>
      <c r="G614" s="12">
        <v>9.5</v>
      </c>
      <c r="H614" s="12">
        <v>1.7716262975778552</v>
      </c>
      <c r="I614" s="12" t="s">
        <v>84</v>
      </c>
      <c r="J614" s="6">
        <v>46231</v>
      </c>
      <c r="K614">
        <v>46231</v>
      </c>
      <c r="L614">
        <v>3.8825354609929086</v>
      </c>
      <c r="M614">
        <v>3.8825354609929086</v>
      </c>
      <c r="N614">
        <v>0.72404230778669443</v>
      </c>
      <c r="O614">
        <v>0.25756364881835819</v>
      </c>
      <c r="P614">
        <v>0.25756364881835819</v>
      </c>
      <c r="Q614">
        <v>0.1864869786924058</v>
      </c>
      <c r="R614">
        <v>5.3623046874999982</v>
      </c>
      <c r="S614">
        <v>5.3623046874999982</v>
      </c>
      <c r="T614">
        <v>1.3811347613882858</v>
      </c>
    </row>
    <row r="615" spans="1:20" x14ac:dyDescent="0.25">
      <c r="A615" s="12" t="s">
        <v>62</v>
      </c>
      <c r="B615" s="12" t="s">
        <v>38</v>
      </c>
      <c r="C615" s="12" t="s">
        <v>15</v>
      </c>
      <c r="D615" s="12">
        <v>2.7731019522776572</v>
      </c>
      <c r="E615" s="12">
        <v>1.9</v>
      </c>
      <c r="F615" s="12">
        <v>20</v>
      </c>
      <c r="G615" s="12">
        <v>1.9</v>
      </c>
      <c r="H615" s="12">
        <v>2.0078431372549019</v>
      </c>
      <c r="I615" s="12" t="s">
        <v>136</v>
      </c>
      <c r="J615" s="6">
        <v>46231</v>
      </c>
      <c r="K615">
        <v>46231</v>
      </c>
      <c r="L615">
        <v>0.68515331664580725</v>
      </c>
      <c r="M615">
        <v>0.68515331664580725</v>
      </c>
      <c r="N615">
        <v>0.72404230778669421</v>
      </c>
      <c r="O615">
        <v>1.4595273433040301</v>
      </c>
      <c r="P615">
        <v>1.4595273433040301</v>
      </c>
      <c r="Q615">
        <v>1.0567595459236327</v>
      </c>
      <c r="R615">
        <v>0.9462890625</v>
      </c>
      <c r="S615">
        <v>0.9462890625</v>
      </c>
      <c r="T615">
        <v>1.3811347613882863</v>
      </c>
    </row>
    <row r="616" spans="1:20" x14ac:dyDescent="0.25">
      <c r="A616" s="12" t="s">
        <v>62</v>
      </c>
      <c r="B616" s="12" t="s">
        <v>38</v>
      </c>
      <c r="C616" s="12" t="s">
        <v>13</v>
      </c>
      <c r="D616" s="12">
        <v>3.8232104121475055</v>
      </c>
      <c r="E616" s="12">
        <v>0.95</v>
      </c>
      <c r="F616" s="12">
        <v>20</v>
      </c>
      <c r="G616" s="12">
        <v>0.95</v>
      </c>
      <c r="H616" s="12">
        <v>0.23529411764705879</v>
      </c>
      <c r="I616" s="12" t="s">
        <v>83</v>
      </c>
      <c r="J616" s="6">
        <v>46231</v>
      </c>
      <c r="K616">
        <v>46231</v>
      </c>
      <c r="L616">
        <v>0.2484822695035461</v>
      </c>
      <c r="M616">
        <v>0.2484822695035461</v>
      </c>
      <c r="N616">
        <v>6.1543596161868996E-2</v>
      </c>
      <c r="O616">
        <v>4.024432012786848</v>
      </c>
      <c r="P616">
        <v>4.024432012786848</v>
      </c>
      <c r="Q616">
        <v>0.24767801857585137</v>
      </c>
      <c r="R616">
        <v>4.0375000000000005</v>
      </c>
      <c r="S616">
        <v>4.0375000000000005</v>
      </c>
      <c r="T616">
        <v>16.248644251626899</v>
      </c>
    </row>
    <row r="617" spans="1:20" x14ac:dyDescent="0.25">
      <c r="A617" s="12" t="s">
        <v>62</v>
      </c>
      <c r="B617" s="12" t="s">
        <v>38</v>
      </c>
      <c r="C617" s="12" t="s">
        <v>14</v>
      </c>
      <c r="D617" s="12">
        <v>2.4468546637744031</v>
      </c>
      <c r="E617" s="12">
        <v>1.9</v>
      </c>
      <c r="F617" s="12">
        <v>20</v>
      </c>
      <c r="G617" s="12">
        <v>1.9</v>
      </c>
      <c r="H617" s="12">
        <v>1.7716262975778552</v>
      </c>
      <c r="I617" s="12" t="s">
        <v>85</v>
      </c>
      <c r="J617" s="6">
        <v>46232</v>
      </c>
      <c r="K617">
        <v>46232</v>
      </c>
      <c r="L617">
        <v>0.77650709219858161</v>
      </c>
      <c r="M617">
        <v>0.77650709219858161</v>
      </c>
      <c r="N617">
        <v>0.72404230778669443</v>
      </c>
      <c r="O617">
        <v>1.2878182440917911</v>
      </c>
      <c r="P617">
        <v>1.2878182440917911</v>
      </c>
      <c r="Q617">
        <v>0.93243489346202912</v>
      </c>
      <c r="R617">
        <v>1.0724609374999996</v>
      </c>
      <c r="S617">
        <v>1.0724609374999996</v>
      </c>
      <c r="T617">
        <v>1.3811347613882858</v>
      </c>
    </row>
    <row r="618" spans="1:20" x14ac:dyDescent="0.25">
      <c r="A618" s="12" t="s">
        <v>62</v>
      </c>
      <c r="B618" s="12" t="s">
        <v>38</v>
      </c>
      <c r="C618" s="12" t="s">
        <v>13</v>
      </c>
      <c r="D618" s="12">
        <v>3.8996746203904542</v>
      </c>
      <c r="E618" s="12">
        <v>5.6999999999999993</v>
      </c>
      <c r="F618" s="12">
        <v>20</v>
      </c>
      <c r="G618" s="12">
        <v>5.6999999999999993</v>
      </c>
      <c r="H618" s="12">
        <v>0.23529411764705879</v>
      </c>
      <c r="I618" s="12" t="s">
        <v>86</v>
      </c>
      <c r="J618" s="6">
        <v>46232</v>
      </c>
      <c r="K618">
        <v>46232</v>
      </c>
      <c r="L618">
        <v>1.4616604088443892</v>
      </c>
      <c r="M618">
        <v>1.4616604088443892</v>
      </c>
      <c r="N618">
        <v>6.0336858982224524E-2</v>
      </c>
      <c r="O618">
        <v>0.68415344217376395</v>
      </c>
      <c r="P618">
        <v>0.68415344217376395</v>
      </c>
      <c r="Q618">
        <v>4.1279669762641899E-2</v>
      </c>
      <c r="R618">
        <v>24.225000000000001</v>
      </c>
      <c r="S618">
        <v>24.225000000000001</v>
      </c>
      <c r="T618">
        <v>16.573617136659433</v>
      </c>
    </row>
    <row r="619" spans="1:20" x14ac:dyDescent="0.25">
      <c r="A619" s="12" t="s">
        <v>62</v>
      </c>
      <c r="B619" s="12" t="s">
        <v>38</v>
      </c>
      <c r="C619" s="12" t="s">
        <v>15</v>
      </c>
      <c r="D619" s="12">
        <v>2.7731019522776572</v>
      </c>
      <c r="E619" s="12">
        <v>0</v>
      </c>
      <c r="F619" s="12">
        <v>20</v>
      </c>
      <c r="G619" s="12">
        <v>0</v>
      </c>
      <c r="H619" s="12">
        <v>2.0078431372549019</v>
      </c>
      <c r="I619" s="12" t="s">
        <v>87</v>
      </c>
      <c r="J619" s="6">
        <v>46232</v>
      </c>
      <c r="K619">
        <v>46232</v>
      </c>
      <c r="L619">
        <v>0</v>
      </c>
      <c r="M619">
        <v>0</v>
      </c>
      <c r="N619">
        <v>0.72404230778669421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1.3811347613882863</v>
      </c>
    </row>
    <row r="620" spans="1:20" x14ac:dyDescent="0.25">
      <c r="A620" s="12" t="s">
        <v>62</v>
      </c>
      <c r="B620" s="12" t="s">
        <v>38</v>
      </c>
      <c r="C620" s="12" t="s">
        <v>14</v>
      </c>
      <c r="D620" s="12">
        <v>2.4468546637744035</v>
      </c>
      <c r="E620" s="12">
        <v>1.9</v>
      </c>
      <c r="F620" s="12">
        <v>20</v>
      </c>
      <c r="G620" s="12">
        <v>1.9</v>
      </c>
      <c r="H620" s="12">
        <v>1.7716262975778552</v>
      </c>
      <c r="I620" s="12" t="s">
        <v>88</v>
      </c>
      <c r="J620" s="6">
        <v>46233</v>
      </c>
      <c r="K620">
        <v>46233</v>
      </c>
      <c r="L620">
        <v>0.77650709219858149</v>
      </c>
      <c r="M620">
        <v>0.77650709219858149</v>
      </c>
      <c r="N620">
        <v>0.72404230778669432</v>
      </c>
      <c r="O620">
        <v>1.2878182440917914</v>
      </c>
      <c r="P620">
        <v>1.2878182440917914</v>
      </c>
      <c r="Q620">
        <v>0.93243489346202912</v>
      </c>
      <c r="R620">
        <v>1.0724609374999996</v>
      </c>
      <c r="S620">
        <v>1.0724609374999996</v>
      </c>
      <c r="T620">
        <v>1.3811347613882861</v>
      </c>
    </row>
    <row r="621" spans="1:20" x14ac:dyDescent="0.25">
      <c r="A621" s="12" t="s">
        <v>62</v>
      </c>
      <c r="B621" s="12" t="s">
        <v>38</v>
      </c>
      <c r="C621" s="12" t="s">
        <v>15</v>
      </c>
      <c r="D621" s="12">
        <v>2.7731019522776572</v>
      </c>
      <c r="E621" s="12">
        <v>0</v>
      </c>
      <c r="F621" s="12">
        <v>20</v>
      </c>
      <c r="G621" s="12">
        <v>0</v>
      </c>
      <c r="H621" s="12">
        <v>2.0078431372549019</v>
      </c>
      <c r="I621" s="12" t="s">
        <v>89</v>
      </c>
      <c r="J621" s="6">
        <v>46233</v>
      </c>
      <c r="K621">
        <v>46233</v>
      </c>
      <c r="L621">
        <v>0</v>
      </c>
      <c r="M621">
        <v>0</v>
      </c>
      <c r="N621">
        <v>0.72404230778669421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1.3811347613882863</v>
      </c>
    </row>
    <row r="622" spans="1:20" x14ac:dyDescent="0.25">
      <c r="A622" s="12" t="s">
        <v>62</v>
      </c>
      <c r="B622" s="12" t="s">
        <v>38</v>
      </c>
      <c r="C622" s="12" t="s">
        <v>13</v>
      </c>
      <c r="D622" s="12">
        <v>2.5233188720173532</v>
      </c>
      <c r="E622" s="12">
        <v>4.75</v>
      </c>
      <c r="F622" s="12">
        <v>20</v>
      </c>
      <c r="G622" s="12">
        <v>4.75</v>
      </c>
      <c r="H622" s="12">
        <v>0.23529411764705879</v>
      </c>
      <c r="I622" s="12" t="s">
        <v>90</v>
      </c>
      <c r="J622" s="6">
        <v>46233</v>
      </c>
      <c r="K622">
        <v>46233</v>
      </c>
      <c r="L622">
        <v>1.8824414356329253</v>
      </c>
      <c r="M622">
        <v>1.8824414356329253</v>
      </c>
      <c r="N622">
        <v>9.3247872972528789E-2</v>
      </c>
      <c r="O622">
        <v>0.53122502568786378</v>
      </c>
      <c r="P622">
        <v>0.53122502568786378</v>
      </c>
      <c r="Q622">
        <v>4.9535603715170275E-2</v>
      </c>
      <c r="R622">
        <v>20.187500000000004</v>
      </c>
      <c r="S622">
        <v>20.187500000000004</v>
      </c>
      <c r="T622">
        <v>10.724105206073752</v>
      </c>
    </row>
    <row r="623" spans="1:20" x14ac:dyDescent="0.25">
      <c r="A623" s="12" t="s">
        <v>62</v>
      </c>
      <c r="B623" s="12" t="s">
        <v>38</v>
      </c>
      <c r="C623" s="12" t="s">
        <v>13</v>
      </c>
      <c r="D623" s="12">
        <v>3.7467462039045554</v>
      </c>
      <c r="E623" s="12">
        <v>5.6999999999999993</v>
      </c>
      <c r="F623" s="12">
        <v>20</v>
      </c>
      <c r="G623" s="12">
        <v>5.6999999999999993</v>
      </c>
      <c r="H623" s="12">
        <v>0.23529411764705879</v>
      </c>
      <c r="I623" s="12" t="s">
        <v>91</v>
      </c>
      <c r="J623" s="6">
        <v>46234</v>
      </c>
      <c r="K623">
        <v>46234</v>
      </c>
      <c r="L623">
        <v>1.5213200173686494</v>
      </c>
      <c r="M623">
        <v>1.5213200173686494</v>
      </c>
      <c r="N623">
        <v>6.2799587920274486E-2</v>
      </c>
      <c r="O623">
        <v>0.65732389542185188</v>
      </c>
      <c r="P623">
        <v>0.65732389542185188</v>
      </c>
      <c r="Q623">
        <v>4.1279669762641899E-2</v>
      </c>
      <c r="R623">
        <v>24.225000000000001</v>
      </c>
      <c r="S623">
        <v>24.225000000000001</v>
      </c>
      <c r="T623">
        <v>15.923671366594363</v>
      </c>
    </row>
    <row r="624" spans="1:20" x14ac:dyDescent="0.25">
      <c r="A624" s="12" t="s">
        <v>62</v>
      </c>
      <c r="B624" s="12" t="s">
        <v>38</v>
      </c>
      <c r="C624" s="12" t="s">
        <v>15</v>
      </c>
      <c r="D624" s="12">
        <v>2.7731019522776572</v>
      </c>
      <c r="E624" s="12">
        <v>0.95</v>
      </c>
      <c r="F624" s="12">
        <v>20</v>
      </c>
      <c r="G624" s="12">
        <v>0.95</v>
      </c>
      <c r="H624" s="12">
        <v>2.0078431372549019</v>
      </c>
      <c r="I624" s="12" t="s">
        <v>92</v>
      </c>
      <c r="J624" s="6">
        <v>46234</v>
      </c>
      <c r="K624">
        <v>46234</v>
      </c>
      <c r="L624">
        <v>0.34257665832290363</v>
      </c>
      <c r="M624">
        <v>0.34257665832290363</v>
      </c>
      <c r="N624">
        <v>0.72404230778669421</v>
      </c>
      <c r="O624">
        <v>2.9190546866080602</v>
      </c>
      <c r="P624">
        <v>2.9190546866080602</v>
      </c>
      <c r="Q624">
        <v>2.1135190918472655</v>
      </c>
      <c r="R624">
        <v>0.47314453125</v>
      </c>
      <c r="S624">
        <v>0.47314453125</v>
      </c>
      <c r="T624">
        <v>1.3811347613882863</v>
      </c>
    </row>
    <row r="625" spans="1:20" x14ac:dyDescent="0.25">
      <c r="A625" s="12" t="s">
        <v>62</v>
      </c>
      <c r="B625" s="12" t="s">
        <v>38</v>
      </c>
      <c r="C625" s="12" t="s">
        <v>14</v>
      </c>
      <c r="D625" s="12">
        <v>2.4468546637744035</v>
      </c>
      <c r="E625" s="12">
        <v>1.9</v>
      </c>
      <c r="F625" s="12">
        <v>20</v>
      </c>
      <c r="G625" s="12">
        <v>1.9</v>
      </c>
      <c r="H625" s="12">
        <v>1.7716262975778552</v>
      </c>
      <c r="I625" s="12" t="s">
        <v>93</v>
      </c>
      <c r="J625" s="6">
        <v>46234</v>
      </c>
      <c r="K625">
        <v>46234</v>
      </c>
      <c r="L625">
        <v>0.77650709219858149</v>
      </c>
      <c r="M625">
        <v>0.77650709219858149</v>
      </c>
      <c r="N625">
        <v>0.72404230778669432</v>
      </c>
      <c r="O625">
        <v>1.2878182440917914</v>
      </c>
      <c r="P625">
        <v>1.2878182440917914</v>
      </c>
      <c r="Q625">
        <v>0.93243489346202912</v>
      </c>
      <c r="R625">
        <v>1.0724609374999996</v>
      </c>
      <c r="S625">
        <v>1.0724609374999996</v>
      </c>
      <c r="T625">
        <v>1.3811347613882861</v>
      </c>
    </row>
    <row r="626" spans="1:20" x14ac:dyDescent="0.25">
      <c r="A626" s="12" t="s">
        <v>62</v>
      </c>
      <c r="B626" s="12" t="s">
        <v>38</v>
      </c>
      <c r="C626" s="12" t="s">
        <v>15</v>
      </c>
      <c r="D626" s="12">
        <v>2.6099783080260304</v>
      </c>
      <c r="E626" s="12">
        <v>0.95</v>
      </c>
      <c r="F626" s="12">
        <v>20</v>
      </c>
      <c r="G626" s="12">
        <v>0.95</v>
      </c>
      <c r="H626" s="12">
        <v>2.0078431372549019</v>
      </c>
      <c r="I626" s="12" t="s">
        <v>137</v>
      </c>
      <c r="J626" s="6">
        <v>46235</v>
      </c>
      <c r="K626">
        <v>46235</v>
      </c>
      <c r="L626">
        <v>0.36398769946808507</v>
      </c>
      <c r="M626">
        <v>0.36398769946808507</v>
      </c>
      <c r="N626">
        <v>0.76929495202336251</v>
      </c>
      <c r="O626">
        <v>2.7473455873958215</v>
      </c>
      <c r="P626">
        <v>2.7473455873958215</v>
      </c>
      <c r="Q626">
        <v>2.1135190918472655</v>
      </c>
      <c r="R626">
        <v>0.47314453125</v>
      </c>
      <c r="S626">
        <v>0.47314453125</v>
      </c>
      <c r="T626">
        <v>1.2998915401301518</v>
      </c>
    </row>
    <row r="627" spans="1:20" x14ac:dyDescent="0.25">
      <c r="A627" s="12" t="s">
        <v>62</v>
      </c>
      <c r="B627" s="12" t="s">
        <v>38</v>
      </c>
      <c r="C627" s="12" t="s">
        <v>13</v>
      </c>
      <c r="D627" s="12">
        <v>0</v>
      </c>
      <c r="E627" s="12">
        <v>0.95</v>
      </c>
      <c r="F627" s="12">
        <v>20</v>
      </c>
      <c r="G627" s="12">
        <v>0.95</v>
      </c>
      <c r="H627" s="12">
        <v>0.23529411764705879</v>
      </c>
      <c r="I627" s="12" t="s">
        <v>94</v>
      </c>
      <c r="J627" s="6">
        <v>46235</v>
      </c>
      <c r="K627">
        <v>46235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0.24767801857585137</v>
      </c>
      <c r="R627">
        <v>4.0375000000000005</v>
      </c>
      <c r="S627">
        <v>4.0375000000000005</v>
      </c>
      <c r="T627">
        <v>0</v>
      </c>
    </row>
    <row r="628" spans="1:20" x14ac:dyDescent="0.25">
      <c r="A628" s="12" t="s">
        <v>62</v>
      </c>
      <c r="B628" s="12" t="s">
        <v>38</v>
      </c>
      <c r="C628" s="12" t="s">
        <v>14</v>
      </c>
      <c r="D628" s="12">
        <v>2.4468546637744031</v>
      </c>
      <c r="E628" s="12">
        <v>3.8</v>
      </c>
      <c r="F628" s="12">
        <v>20</v>
      </c>
      <c r="G628" s="12">
        <v>3.8</v>
      </c>
      <c r="H628" s="12">
        <v>1.7716262975778552</v>
      </c>
      <c r="I628" s="12" t="s">
        <v>95</v>
      </c>
      <c r="J628" s="6">
        <v>46235</v>
      </c>
      <c r="K628">
        <v>46235</v>
      </c>
      <c r="L628">
        <v>1.5530141843971632</v>
      </c>
      <c r="M628">
        <v>1.5530141843971632</v>
      </c>
      <c r="N628">
        <v>0.72404230778669443</v>
      </c>
      <c r="O628">
        <v>0.64390912204589557</v>
      </c>
      <c r="P628">
        <v>0.64390912204589557</v>
      </c>
      <c r="Q628">
        <v>0.46621744673101456</v>
      </c>
      <c r="R628">
        <v>2.1449218749999992</v>
      </c>
      <c r="S628">
        <v>2.1449218749999992</v>
      </c>
      <c r="T628">
        <v>1.3811347613882858</v>
      </c>
    </row>
    <row r="629" spans="1:20" x14ac:dyDescent="0.25">
      <c r="A629" s="12" t="s">
        <v>62</v>
      </c>
      <c r="B629" s="12" t="s">
        <v>38</v>
      </c>
      <c r="C629" s="12" t="s">
        <v>14</v>
      </c>
      <c r="D629" s="12">
        <v>2.4468546637744031</v>
      </c>
      <c r="E629" s="12">
        <v>7.6</v>
      </c>
      <c r="F629" s="12">
        <v>20</v>
      </c>
      <c r="G629" s="12">
        <v>7.6</v>
      </c>
      <c r="H629" s="12">
        <v>1.7716262975778552</v>
      </c>
      <c r="I629" s="12" t="s">
        <v>96</v>
      </c>
      <c r="J629" s="6">
        <v>46236</v>
      </c>
      <c r="K629">
        <v>46236</v>
      </c>
      <c r="L629">
        <v>3.1060283687943264</v>
      </c>
      <c r="M629">
        <v>3.1060283687943264</v>
      </c>
      <c r="N629">
        <v>0.72404230778669443</v>
      </c>
      <c r="O629">
        <v>0.32195456102294778</v>
      </c>
      <c r="P629">
        <v>0.32195456102294778</v>
      </c>
      <c r="Q629">
        <v>0.23310872336550728</v>
      </c>
      <c r="R629">
        <v>4.2898437499999984</v>
      </c>
      <c r="S629">
        <v>4.2898437499999984</v>
      </c>
      <c r="T629">
        <v>1.3811347613882858</v>
      </c>
    </row>
    <row r="630" spans="1:20" x14ac:dyDescent="0.25">
      <c r="A630" s="12" t="s">
        <v>62</v>
      </c>
      <c r="B630" s="12" t="s">
        <v>38</v>
      </c>
      <c r="C630" s="12" t="s">
        <v>15</v>
      </c>
      <c r="D630" s="12">
        <v>2.7731019522776572</v>
      </c>
      <c r="E630" s="12">
        <v>0</v>
      </c>
      <c r="F630" s="12">
        <v>20</v>
      </c>
      <c r="G630" s="12">
        <v>0</v>
      </c>
      <c r="H630" s="12">
        <v>2.0078431372549019</v>
      </c>
      <c r="I630" s="12" t="s">
        <v>98</v>
      </c>
      <c r="J630" s="6">
        <v>46236</v>
      </c>
      <c r="K630">
        <v>46236</v>
      </c>
      <c r="L630">
        <v>0</v>
      </c>
      <c r="M630">
        <v>0</v>
      </c>
      <c r="N630">
        <v>0.72404230778669421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1.3811347613882863</v>
      </c>
    </row>
    <row r="631" spans="1:20" x14ac:dyDescent="0.25">
      <c r="A631" s="12" t="s">
        <v>62</v>
      </c>
      <c r="B631" s="12" t="s">
        <v>38</v>
      </c>
      <c r="C631" s="12" t="s">
        <v>13</v>
      </c>
      <c r="D631" s="12">
        <v>0</v>
      </c>
      <c r="E631" s="12">
        <v>0.95</v>
      </c>
      <c r="F631" s="12">
        <v>20</v>
      </c>
      <c r="G631" s="12">
        <v>0.95</v>
      </c>
      <c r="H631" s="12">
        <v>0.23529411764705879</v>
      </c>
      <c r="I631" s="12" t="s">
        <v>97</v>
      </c>
      <c r="J631" s="6">
        <v>46236</v>
      </c>
      <c r="K631">
        <v>46236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0.24767801857585137</v>
      </c>
      <c r="R631">
        <v>4.0375000000000005</v>
      </c>
      <c r="S631">
        <v>4.0375000000000005</v>
      </c>
      <c r="T631">
        <v>0</v>
      </c>
    </row>
    <row r="632" spans="1:20" x14ac:dyDescent="0.25">
      <c r="A632" s="12" t="s">
        <v>62</v>
      </c>
      <c r="B632" s="12" t="s">
        <v>38</v>
      </c>
      <c r="C632" s="12" t="s">
        <v>13</v>
      </c>
      <c r="D632" s="12">
        <v>2.5233188720173532</v>
      </c>
      <c r="E632" s="12">
        <v>0.95</v>
      </c>
      <c r="F632" s="12">
        <v>20</v>
      </c>
      <c r="G632" s="12">
        <v>0.95</v>
      </c>
      <c r="H632" s="12">
        <v>0.23529411764705879</v>
      </c>
      <c r="I632" s="12" t="s">
        <v>101</v>
      </c>
      <c r="J632" s="6">
        <v>46237</v>
      </c>
      <c r="K632">
        <v>46237</v>
      </c>
      <c r="L632">
        <v>0.37648828712658505</v>
      </c>
      <c r="M632">
        <v>0.37648828712658505</v>
      </c>
      <c r="N632">
        <v>9.3247872972528789E-2</v>
      </c>
      <c r="O632">
        <v>2.656125128439319</v>
      </c>
      <c r="P632">
        <v>2.656125128439319</v>
      </c>
      <c r="Q632">
        <v>0.24767801857585137</v>
      </c>
      <c r="R632">
        <v>4.0375000000000005</v>
      </c>
      <c r="S632">
        <v>4.0375000000000005</v>
      </c>
      <c r="T632">
        <v>10.724105206073752</v>
      </c>
    </row>
    <row r="633" spans="1:20" x14ac:dyDescent="0.25">
      <c r="A633" s="12" t="s">
        <v>62</v>
      </c>
      <c r="B633" s="12" t="s">
        <v>38</v>
      </c>
      <c r="C633" s="12" t="s">
        <v>15</v>
      </c>
      <c r="D633" s="12">
        <v>2.7731019522776572</v>
      </c>
      <c r="E633" s="12">
        <v>0</v>
      </c>
      <c r="F633" s="12">
        <v>20</v>
      </c>
      <c r="G633" s="12">
        <v>0</v>
      </c>
      <c r="H633" s="12">
        <v>2.0078431372549019</v>
      </c>
      <c r="I633" s="12" t="s">
        <v>100</v>
      </c>
      <c r="J633" s="6">
        <v>46237</v>
      </c>
      <c r="K633">
        <v>46237</v>
      </c>
      <c r="L633">
        <v>0</v>
      </c>
      <c r="M633">
        <v>0</v>
      </c>
      <c r="N633">
        <v>0.72404230778669421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1.3811347613882863</v>
      </c>
    </row>
    <row r="634" spans="1:20" x14ac:dyDescent="0.25">
      <c r="A634" s="12" t="s">
        <v>62</v>
      </c>
      <c r="B634" s="12" t="s">
        <v>38</v>
      </c>
      <c r="C634" s="12" t="s">
        <v>14</v>
      </c>
      <c r="D634" s="12">
        <v>2.4468546637744035</v>
      </c>
      <c r="E634" s="12">
        <v>3.8</v>
      </c>
      <c r="F634" s="12">
        <v>20</v>
      </c>
      <c r="G634" s="12">
        <v>3.8</v>
      </c>
      <c r="H634" s="12">
        <v>1.7716262975778552</v>
      </c>
      <c r="I634" s="12" t="s">
        <v>99</v>
      </c>
      <c r="J634" s="6">
        <v>46237</v>
      </c>
      <c r="K634">
        <v>46237</v>
      </c>
      <c r="L634">
        <v>1.553014184397163</v>
      </c>
      <c r="M634">
        <v>1.553014184397163</v>
      </c>
      <c r="N634">
        <v>0.72404230778669432</v>
      </c>
      <c r="O634">
        <v>0.64390912204589568</v>
      </c>
      <c r="P634">
        <v>0.64390912204589568</v>
      </c>
      <c r="Q634">
        <v>0.46621744673101456</v>
      </c>
      <c r="R634">
        <v>2.1449218749999992</v>
      </c>
      <c r="S634">
        <v>2.1449218749999992</v>
      </c>
      <c r="T634">
        <v>1.3811347613882861</v>
      </c>
    </row>
    <row r="635" spans="1:20" x14ac:dyDescent="0.25">
      <c r="A635" s="12" t="s">
        <v>62</v>
      </c>
      <c r="B635" s="12" t="s">
        <v>38</v>
      </c>
      <c r="C635" s="12" t="s">
        <v>14</v>
      </c>
      <c r="D635" s="12">
        <v>2.4468546637744035</v>
      </c>
      <c r="E635" s="12">
        <v>2.8499999999999996</v>
      </c>
      <c r="F635" s="12">
        <v>20</v>
      </c>
      <c r="G635" s="12">
        <v>2.8499999999999996</v>
      </c>
      <c r="H635" s="12">
        <v>1.7716262975778552</v>
      </c>
      <c r="I635" s="12" t="s">
        <v>102</v>
      </c>
      <c r="J635" s="6">
        <v>46238</v>
      </c>
      <c r="K635">
        <v>46238</v>
      </c>
      <c r="L635">
        <v>1.1647606382978721</v>
      </c>
      <c r="M635">
        <v>1.1647606382978721</v>
      </c>
      <c r="N635">
        <v>0.72404230778669432</v>
      </c>
      <c r="O635">
        <v>0.85854549606119435</v>
      </c>
      <c r="P635">
        <v>0.85854549606119435</v>
      </c>
      <c r="Q635">
        <v>0.62162326230801945</v>
      </c>
      <c r="R635">
        <v>1.6086914062499993</v>
      </c>
      <c r="S635">
        <v>1.6086914062499993</v>
      </c>
      <c r="T635">
        <v>1.3811347613882861</v>
      </c>
    </row>
    <row r="636" spans="1:20" x14ac:dyDescent="0.25">
      <c r="A636" s="12" t="s">
        <v>62</v>
      </c>
      <c r="B636" s="12" t="s">
        <v>38</v>
      </c>
      <c r="C636" s="12" t="s">
        <v>15</v>
      </c>
      <c r="D636" s="12">
        <v>2.7731019522776572</v>
      </c>
      <c r="E636" s="12">
        <v>0</v>
      </c>
      <c r="F636" s="12">
        <v>20</v>
      </c>
      <c r="G636" s="12">
        <v>0</v>
      </c>
      <c r="H636" s="12">
        <v>2.0078431372549019</v>
      </c>
      <c r="I636" s="12" t="s">
        <v>103</v>
      </c>
      <c r="J636" s="6">
        <v>46238</v>
      </c>
      <c r="K636">
        <v>46238</v>
      </c>
      <c r="L636">
        <v>0</v>
      </c>
      <c r="M636">
        <v>0</v>
      </c>
      <c r="N636">
        <v>0.72404230778669421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1.3811347613882863</v>
      </c>
    </row>
    <row r="637" spans="1:20" x14ac:dyDescent="0.25">
      <c r="A637" s="12" t="s">
        <v>62</v>
      </c>
      <c r="B637" s="12" t="s">
        <v>38</v>
      </c>
      <c r="C637" s="12" t="s">
        <v>13</v>
      </c>
      <c r="D637" s="12">
        <v>3.7467462039045554</v>
      </c>
      <c r="E637" s="12">
        <v>0.95</v>
      </c>
      <c r="F637" s="12">
        <v>20</v>
      </c>
      <c r="G637" s="12">
        <v>0.95</v>
      </c>
      <c r="H637" s="12">
        <v>0.23529411764705879</v>
      </c>
      <c r="I637" s="12" t="s">
        <v>104</v>
      </c>
      <c r="J637" s="6">
        <v>46238</v>
      </c>
      <c r="K637">
        <v>46238</v>
      </c>
      <c r="L637">
        <v>0.25355333622810827</v>
      </c>
      <c r="M637">
        <v>0.25355333622810827</v>
      </c>
      <c r="N637">
        <v>6.2799587920274486E-2</v>
      </c>
      <c r="O637">
        <v>3.9439433725311113</v>
      </c>
      <c r="P637">
        <v>3.9439433725311113</v>
      </c>
      <c r="Q637">
        <v>0.24767801857585137</v>
      </c>
      <c r="R637">
        <v>4.0375000000000005</v>
      </c>
      <c r="S637">
        <v>4.0375000000000005</v>
      </c>
      <c r="T637">
        <v>15.923671366594363</v>
      </c>
    </row>
    <row r="638" spans="1:20" x14ac:dyDescent="0.25">
      <c r="A638" s="12" t="s">
        <v>62</v>
      </c>
      <c r="B638" s="12" t="s">
        <v>38</v>
      </c>
      <c r="C638" s="12" t="s">
        <v>15</v>
      </c>
      <c r="D638" s="12">
        <v>2.7731019522776572</v>
      </c>
      <c r="E638" s="12">
        <v>0.95</v>
      </c>
      <c r="F638" s="12">
        <v>20</v>
      </c>
      <c r="G638" s="12">
        <v>0.95</v>
      </c>
      <c r="H638" s="12">
        <v>2.0078431372549019</v>
      </c>
      <c r="I638" s="12" t="s">
        <v>106</v>
      </c>
      <c r="J638" s="6">
        <v>46239</v>
      </c>
      <c r="K638">
        <v>46239</v>
      </c>
      <c r="L638">
        <v>0.34257665832290363</v>
      </c>
      <c r="M638">
        <v>0.34257665832290363</v>
      </c>
      <c r="N638">
        <v>0.72404230778669421</v>
      </c>
      <c r="O638">
        <v>2.9190546866080602</v>
      </c>
      <c r="P638">
        <v>2.9190546866080602</v>
      </c>
      <c r="Q638">
        <v>2.1135190918472655</v>
      </c>
      <c r="R638">
        <v>0.47314453125</v>
      </c>
      <c r="S638">
        <v>0.47314453125</v>
      </c>
      <c r="T638">
        <v>1.3811347613882863</v>
      </c>
    </row>
    <row r="639" spans="1:20" x14ac:dyDescent="0.25">
      <c r="A639" s="12" t="s">
        <v>62</v>
      </c>
      <c r="B639" s="12" t="s">
        <v>38</v>
      </c>
      <c r="C639" s="12" t="s">
        <v>14</v>
      </c>
      <c r="D639" s="12">
        <v>2.4468546637744035</v>
      </c>
      <c r="E639" s="12">
        <v>2.8499999999999996</v>
      </c>
      <c r="F639" s="12">
        <v>20</v>
      </c>
      <c r="G639" s="12">
        <v>2.8499999999999996</v>
      </c>
      <c r="H639" s="12">
        <v>1.7716262975778552</v>
      </c>
      <c r="I639" s="12" t="s">
        <v>107</v>
      </c>
      <c r="J639" s="6">
        <v>46239</v>
      </c>
      <c r="K639">
        <v>46239</v>
      </c>
      <c r="L639">
        <v>1.1647606382978721</v>
      </c>
      <c r="M639">
        <v>1.1647606382978721</v>
      </c>
      <c r="N639">
        <v>0.72404230778669432</v>
      </c>
      <c r="O639">
        <v>0.85854549606119435</v>
      </c>
      <c r="P639">
        <v>0.85854549606119435</v>
      </c>
      <c r="Q639">
        <v>0.62162326230801945</v>
      </c>
      <c r="R639">
        <v>1.6086914062499993</v>
      </c>
      <c r="S639">
        <v>1.6086914062499993</v>
      </c>
      <c r="T639">
        <v>1.3811347613882861</v>
      </c>
    </row>
    <row r="640" spans="1:20" x14ac:dyDescent="0.25">
      <c r="A640" s="12" t="s">
        <v>62</v>
      </c>
      <c r="B640" s="12" t="s">
        <v>38</v>
      </c>
      <c r="C640" s="12" t="s">
        <v>13</v>
      </c>
      <c r="D640" s="12">
        <v>2.5233188720173527</v>
      </c>
      <c r="E640" s="12">
        <v>6.6499999999999995</v>
      </c>
      <c r="F640" s="12">
        <v>20</v>
      </c>
      <c r="G640" s="12">
        <v>6.6499999999999995</v>
      </c>
      <c r="H640" s="12">
        <v>0.23529411764705879</v>
      </c>
      <c r="I640" s="12" t="s">
        <v>105</v>
      </c>
      <c r="J640" s="6">
        <v>46239</v>
      </c>
      <c r="K640">
        <v>46239</v>
      </c>
      <c r="L640">
        <v>2.6354180098860955</v>
      </c>
      <c r="M640">
        <v>2.6354180098860955</v>
      </c>
      <c r="N640">
        <v>9.3247872972528817E-2</v>
      </c>
      <c r="O640">
        <v>0.3794464469199027</v>
      </c>
      <c r="P640">
        <v>0.3794464469199027</v>
      </c>
      <c r="Q640">
        <v>3.538257408226448E-2</v>
      </c>
      <c r="R640">
        <v>28.262500000000003</v>
      </c>
      <c r="S640">
        <v>28.262500000000003</v>
      </c>
      <c r="T640">
        <v>10.72410520607375</v>
      </c>
    </row>
    <row r="641" spans="1:20" x14ac:dyDescent="0.25">
      <c r="A641" s="12" t="s">
        <v>62</v>
      </c>
      <c r="B641" s="12" t="s">
        <v>38</v>
      </c>
      <c r="C641" s="12" t="s">
        <v>15</v>
      </c>
      <c r="D641" s="12">
        <v>2.7731019522776572</v>
      </c>
      <c r="E641" s="12">
        <v>0</v>
      </c>
      <c r="F641" s="12">
        <v>20</v>
      </c>
      <c r="G641" s="12">
        <v>0</v>
      </c>
      <c r="H641" s="12">
        <v>1.0666666666666669</v>
      </c>
      <c r="I641" s="12" t="s">
        <v>109</v>
      </c>
      <c r="J641" s="6">
        <v>46240</v>
      </c>
      <c r="K641">
        <v>46240</v>
      </c>
      <c r="L641">
        <v>0</v>
      </c>
      <c r="M641">
        <v>0</v>
      </c>
      <c r="N641">
        <v>0.38464747601168137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2.5997830802603032</v>
      </c>
    </row>
    <row r="642" spans="1:20" x14ac:dyDescent="0.25">
      <c r="A642" s="12" t="s">
        <v>62</v>
      </c>
      <c r="B642" s="12" t="s">
        <v>38</v>
      </c>
      <c r="C642" s="12" t="s">
        <v>13</v>
      </c>
      <c r="D642" s="12">
        <v>3.8996746203904542</v>
      </c>
      <c r="E642" s="12">
        <v>0.95</v>
      </c>
      <c r="F642" s="12">
        <v>20</v>
      </c>
      <c r="G642" s="12">
        <v>0.95</v>
      </c>
      <c r="H642" s="12">
        <v>0.23529411764705879</v>
      </c>
      <c r="I642" s="12" t="s">
        <v>108</v>
      </c>
      <c r="J642" s="6">
        <v>46240</v>
      </c>
      <c r="K642">
        <v>46240</v>
      </c>
      <c r="L642">
        <v>0.24361006814073155</v>
      </c>
      <c r="M642">
        <v>0.24361006814073155</v>
      </c>
      <c r="N642">
        <v>6.0336858982224524E-2</v>
      </c>
      <c r="O642">
        <v>4.1049206530425835</v>
      </c>
      <c r="P642">
        <v>4.1049206530425835</v>
      </c>
      <c r="Q642">
        <v>0.24767801857585137</v>
      </c>
      <c r="R642">
        <v>4.0375000000000005</v>
      </c>
      <c r="S642">
        <v>4.0375000000000005</v>
      </c>
      <c r="T642">
        <v>16.573617136659433</v>
      </c>
    </row>
    <row r="643" spans="1:20" x14ac:dyDescent="0.25">
      <c r="A643" s="12" t="s">
        <v>62</v>
      </c>
      <c r="B643" s="12" t="s">
        <v>38</v>
      </c>
      <c r="C643" s="12" t="s">
        <v>14</v>
      </c>
      <c r="D643" s="12">
        <v>2.4468546637744035</v>
      </c>
      <c r="E643" s="12">
        <v>3.8</v>
      </c>
      <c r="F643" s="12">
        <v>20</v>
      </c>
      <c r="G643" s="12">
        <v>3.8</v>
      </c>
      <c r="H643" s="12">
        <v>1.7716262975778552</v>
      </c>
      <c r="I643" s="12" t="s">
        <v>110</v>
      </c>
      <c r="J643" s="6">
        <v>46240</v>
      </c>
      <c r="K643">
        <v>46240</v>
      </c>
      <c r="L643">
        <v>1.553014184397163</v>
      </c>
      <c r="M643">
        <v>1.553014184397163</v>
      </c>
      <c r="N643">
        <v>0.72404230778669432</v>
      </c>
      <c r="O643">
        <v>0.64390912204589568</v>
      </c>
      <c r="P643">
        <v>0.64390912204589568</v>
      </c>
      <c r="Q643">
        <v>0.46621744673101456</v>
      </c>
      <c r="R643">
        <v>2.1449218749999992</v>
      </c>
      <c r="S643">
        <v>2.1449218749999992</v>
      </c>
      <c r="T643">
        <v>1.3811347613882861</v>
      </c>
    </row>
    <row r="644" spans="1:20" x14ac:dyDescent="0.25">
      <c r="A644" s="12" t="s">
        <v>62</v>
      </c>
      <c r="B644" s="12" t="s">
        <v>38</v>
      </c>
      <c r="C644" s="12" t="s">
        <v>14</v>
      </c>
      <c r="D644" s="12">
        <v>2.4468546637744035</v>
      </c>
      <c r="E644" s="12">
        <v>1.9</v>
      </c>
      <c r="F644" s="12">
        <v>20</v>
      </c>
      <c r="G644" s="12">
        <v>1.9</v>
      </c>
      <c r="H644" s="12">
        <v>1.7716262975778552</v>
      </c>
      <c r="I644" s="12" t="s">
        <v>111</v>
      </c>
      <c r="J644" s="6">
        <v>46241</v>
      </c>
      <c r="K644">
        <v>46241</v>
      </c>
      <c r="L644">
        <v>0.77650709219858149</v>
      </c>
      <c r="M644">
        <v>0.77650709219858149</v>
      </c>
      <c r="N644">
        <v>0.72404230778669432</v>
      </c>
      <c r="O644">
        <v>1.2878182440917914</v>
      </c>
      <c r="P644">
        <v>1.2878182440917914</v>
      </c>
      <c r="Q644">
        <v>0.93243489346202912</v>
      </c>
      <c r="R644">
        <v>1.0724609374999996</v>
      </c>
      <c r="S644">
        <v>1.0724609374999996</v>
      </c>
      <c r="T644">
        <v>1.3811347613882861</v>
      </c>
    </row>
    <row r="645" spans="1:20" x14ac:dyDescent="0.25">
      <c r="A645" s="12" t="s">
        <v>62</v>
      </c>
      <c r="B645" s="12" t="s">
        <v>38</v>
      </c>
      <c r="C645" s="12" t="s">
        <v>15</v>
      </c>
      <c r="D645" s="12">
        <v>2.7731019522776572</v>
      </c>
      <c r="E645" s="12">
        <v>0</v>
      </c>
      <c r="F645" s="12">
        <v>20</v>
      </c>
      <c r="G645" s="12">
        <v>0</v>
      </c>
      <c r="H645" s="12">
        <v>2.0078431372549019</v>
      </c>
      <c r="I645" s="12" t="s">
        <v>138</v>
      </c>
      <c r="J645" s="6">
        <v>46241</v>
      </c>
      <c r="K645">
        <v>46241</v>
      </c>
      <c r="L645">
        <v>0</v>
      </c>
      <c r="M645">
        <v>0</v>
      </c>
      <c r="N645">
        <v>0.72404230778669421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1.3811347613882863</v>
      </c>
    </row>
    <row r="646" spans="1:20" x14ac:dyDescent="0.25">
      <c r="A646" s="12" t="s">
        <v>62</v>
      </c>
      <c r="B646" s="12" t="s">
        <v>38</v>
      </c>
      <c r="C646" s="12" t="s">
        <v>13</v>
      </c>
      <c r="D646" s="12">
        <v>3.8232104121475055</v>
      </c>
      <c r="E646" s="12">
        <v>6.6499999999999995</v>
      </c>
      <c r="F646" s="12">
        <v>20</v>
      </c>
      <c r="G646" s="12">
        <v>6.6499999999999995</v>
      </c>
      <c r="H646" s="12">
        <v>0.1176470588235294</v>
      </c>
      <c r="I646" s="12" t="s">
        <v>112</v>
      </c>
      <c r="J646" s="6">
        <v>46241</v>
      </c>
      <c r="K646">
        <v>46241</v>
      </c>
      <c r="L646">
        <v>1.7393758865248226</v>
      </c>
      <c r="M646">
        <v>1.7393758865248226</v>
      </c>
      <c r="N646">
        <v>3.0771798080934498E-2</v>
      </c>
      <c r="O646">
        <v>0.57491885896954975</v>
      </c>
      <c r="P646">
        <v>0.57491885896954975</v>
      </c>
      <c r="Q646">
        <v>1.769128704113224E-2</v>
      </c>
      <c r="R646">
        <v>56.525000000000006</v>
      </c>
      <c r="S646">
        <v>56.525000000000006</v>
      </c>
      <c r="T646">
        <v>32.497288503253799</v>
      </c>
    </row>
    <row r="647" spans="1:20" x14ac:dyDescent="0.25">
      <c r="A647" s="12" t="s">
        <v>62</v>
      </c>
      <c r="B647" s="12" t="s">
        <v>38</v>
      </c>
      <c r="C647" s="12" t="s">
        <v>14</v>
      </c>
      <c r="D647" s="12">
        <v>2.4468546637744031</v>
      </c>
      <c r="E647" s="12">
        <v>6.6499999999999995</v>
      </c>
      <c r="F647" s="12">
        <v>20</v>
      </c>
      <c r="G647" s="12">
        <v>6.6499999999999995</v>
      </c>
      <c r="H647" s="12">
        <v>1.7716262975778552</v>
      </c>
      <c r="I647" s="12" t="s">
        <v>114</v>
      </c>
      <c r="J647" s="6">
        <v>46242</v>
      </c>
      <c r="K647">
        <v>46242</v>
      </c>
      <c r="L647">
        <v>2.7177748226950356</v>
      </c>
      <c r="M647">
        <v>2.7177748226950356</v>
      </c>
      <c r="N647">
        <v>0.72404230778669443</v>
      </c>
      <c r="O647">
        <v>0.36794806974051175</v>
      </c>
      <c r="P647">
        <v>0.36794806974051175</v>
      </c>
      <c r="Q647">
        <v>0.26640996956057977</v>
      </c>
      <c r="R647">
        <v>3.7536132812499985</v>
      </c>
      <c r="S647">
        <v>3.7536132812499985</v>
      </c>
      <c r="T647">
        <v>1.3811347613882858</v>
      </c>
    </row>
    <row r="648" spans="1:20" x14ac:dyDescent="0.25">
      <c r="A648" s="12" t="s">
        <v>62</v>
      </c>
      <c r="B648" s="12" t="s">
        <v>38</v>
      </c>
      <c r="C648" s="12" t="s">
        <v>15</v>
      </c>
      <c r="D648" s="12">
        <v>2.7731019522776572</v>
      </c>
      <c r="E648" s="12">
        <v>0</v>
      </c>
      <c r="F648" s="12">
        <v>20</v>
      </c>
      <c r="G648" s="12">
        <v>0</v>
      </c>
      <c r="H648" s="12">
        <v>2.0078431372549019</v>
      </c>
      <c r="I648" s="12" t="s">
        <v>113</v>
      </c>
      <c r="J648" s="6">
        <v>46242</v>
      </c>
      <c r="K648">
        <v>46242</v>
      </c>
      <c r="L648">
        <v>0</v>
      </c>
      <c r="M648">
        <v>0</v>
      </c>
      <c r="N648">
        <v>0.72404230778669421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1.3811347613882863</v>
      </c>
    </row>
    <row r="649" spans="1:20" x14ac:dyDescent="0.25">
      <c r="A649" s="12" t="s">
        <v>62</v>
      </c>
      <c r="B649" s="12" t="s">
        <v>38</v>
      </c>
      <c r="C649" s="12" t="s">
        <v>13</v>
      </c>
      <c r="D649" s="12">
        <v>0</v>
      </c>
      <c r="E649" s="12">
        <v>0.95</v>
      </c>
      <c r="F649" s="12">
        <v>20</v>
      </c>
      <c r="G649" s="12">
        <v>0.95</v>
      </c>
      <c r="H649" s="12">
        <v>0.23529411764705879</v>
      </c>
      <c r="I649" s="12" t="s">
        <v>139</v>
      </c>
      <c r="J649" s="6">
        <v>46242</v>
      </c>
      <c r="K649">
        <v>46242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0.24767801857585137</v>
      </c>
      <c r="R649">
        <v>4.0375000000000005</v>
      </c>
      <c r="S649">
        <v>4.0375000000000005</v>
      </c>
      <c r="T649">
        <v>0</v>
      </c>
    </row>
    <row r="650" spans="1:20" x14ac:dyDescent="0.25">
      <c r="A650" s="12" t="s">
        <v>62</v>
      </c>
      <c r="B650" s="12" t="s">
        <v>38</v>
      </c>
      <c r="C650" s="12" t="s">
        <v>13</v>
      </c>
      <c r="D650" s="12">
        <v>0</v>
      </c>
      <c r="E650" s="12">
        <v>0.95</v>
      </c>
      <c r="F650" s="12">
        <v>20</v>
      </c>
      <c r="G650" s="12">
        <v>0.95</v>
      </c>
      <c r="H650" s="12">
        <v>0.23529411764705879</v>
      </c>
      <c r="I650" s="12" t="s">
        <v>115</v>
      </c>
      <c r="J650" s="6">
        <v>46243</v>
      </c>
      <c r="K650">
        <v>46243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0.24767801857585137</v>
      </c>
      <c r="R650">
        <v>4.0375000000000005</v>
      </c>
      <c r="S650">
        <v>4.0375000000000005</v>
      </c>
      <c r="T650">
        <v>0</v>
      </c>
    </row>
    <row r="651" spans="1:20" x14ac:dyDescent="0.25">
      <c r="A651" s="12" t="s">
        <v>62</v>
      </c>
      <c r="B651" s="12" t="s">
        <v>38</v>
      </c>
      <c r="C651" s="12" t="s">
        <v>15</v>
      </c>
      <c r="D651" s="12">
        <v>2.7731019522776572</v>
      </c>
      <c r="E651" s="12">
        <v>0</v>
      </c>
      <c r="F651" s="12">
        <v>20</v>
      </c>
      <c r="G651" s="12">
        <v>0</v>
      </c>
      <c r="H651" s="12">
        <v>2.0078431372549019</v>
      </c>
      <c r="I651" s="12" t="s">
        <v>141</v>
      </c>
      <c r="J651" s="6">
        <v>46243</v>
      </c>
      <c r="K651">
        <v>46243</v>
      </c>
      <c r="L651">
        <v>0</v>
      </c>
      <c r="M651">
        <v>0</v>
      </c>
      <c r="N651">
        <v>0.72404230778669421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1.3811347613882863</v>
      </c>
    </row>
    <row r="652" spans="1:20" x14ac:dyDescent="0.25">
      <c r="A652" s="12" t="s">
        <v>62</v>
      </c>
      <c r="B652" s="12" t="s">
        <v>38</v>
      </c>
      <c r="C652" s="12" t="s">
        <v>14</v>
      </c>
      <c r="D652" s="12">
        <v>2.4468546637744031</v>
      </c>
      <c r="E652" s="12">
        <v>5.6999999999999993</v>
      </c>
      <c r="F652" s="12">
        <v>20</v>
      </c>
      <c r="G652" s="12">
        <v>5.6999999999999993</v>
      </c>
      <c r="H652" s="12">
        <v>1.7716262975778552</v>
      </c>
      <c r="I652" s="12" t="s">
        <v>140</v>
      </c>
      <c r="J652" s="6">
        <v>46243</v>
      </c>
      <c r="K652">
        <v>46243</v>
      </c>
      <c r="L652">
        <v>2.3295212765957447</v>
      </c>
      <c r="M652">
        <v>2.3295212765957447</v>
      </c>
      <c r="N652">
        <v>0.72404230778669443</v>
      </c>
      <c r="O652">
        <v>0.42927274803059706</v>
      </c>
      <c r="P652">
        <v>0.42927274803059706</v>
      </c>
      <c r="Q652">
        <v>0.31081163115400973</v>
      </c>
      <c r="R652">
        <v>3.2173828124999986</v>
      </c>
      <c r="S652">
        <v>3.2173828124999986</v>
      </c>
      <c r="T652">
        <v>1.3811347613882858</v>
      </c>
    </row>
    <row r="653" spans="1:20" x14ac:dyDescent="0.25">
      <c r="A653" s="12" t="s">
        <v>62</v>
      </c>
      <c r="B653" s="12" t="s">
        <v>38</v>
      </c>
      <c r="C653" s="12" t="s">
        <v>13</v>
      </c>
      <c r="D653" s="12">
        <v>2.5233188720173527</v>
      </c>
      <c r="E653" s="12">
        <v>0.95</v>
      </c>
      <c r="F653" s="12">
        <v>20</v>
      </c>
      <c r="G653" s="12">
        <v>0.95</v>
      </c>
      <c r="H653" s="12">
        <v>0.23529411764705879</v>
      </c>
      <c r="I653" s="12" t="s">
        <v>142</v>
      </c>
      <c r="J653" s="6">
        <v>46244</v>
      </c>
      <c r="K653">
        <v>46244</v>
      </c>
      <c r="L653">
        <v>0.37648828712658511</v>
      </c>
      <c r="M653">
        <v>0.37648828712658511</v>
      </c>
      <c r="N653">
        <v>9.3247872972528817E-2</v>
      </c>
      <c r="O653">
        <v>2.6561251284393186</v>
      </c>
      <c r="P653">
        <v>2.6561251284393186</v>
      </c>
      <c r="Q653">
        <v>0.24767801857585137</v>
      </c>
      <c r="R653">
        <v>4.0375000000000005</v>
      </c>
      <c r="S653">
        <v>4.0375000000000005</v>
      </c>
      <c r="T653">
        <v>10.72410520607375</v>
      </c>
    </row>
    <row r="654" spans="1:20" x14ac:dyDescent="0.25">
      <c r="A654" s="12" t="s">
        <v>62</v>
      </c>
      <c r="B654" s="12" t="s">
        <v>38</v>
      </c>
      <c r="C654" s="12" t="s">
        <v>15</v>
      </c>
      <c r="D654" s="12">
        <v>2.7731019522776572</v>
      </c>
      <c r="E654" s="12">
        <v>0</v>
      </c>
      <c r="F654" s="12">
        <v>20</v>
      </c>
      <c r="G654" s="12">
        <v>0</v>
      </c>
      <c r="H654" s="12">
        <v>2.0078431372549019</v>
      </c>
      <c r="I654" s="12" t="s">
        <v>117</v>
      </c>
      <c r="J654" s="6">
        <v>46244</v>
      </c>
      <c r="K654">
        <v>46244</v>
      </c>
      <c r="L654">
        <v>0</v>
      </c>
      <c r="M654">
        <v>0</v>
      </c>
      <c r="N654">
        <v>0.72404230778669421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1.3811347613882863</v>
      </c>
    </row>
    <row r="655" spans="1:20" x14ac:dyDescent="0.25">
      <c r="A655" s="12" t="s">
        <v>62</v>
      </c>
      <c r="B655" s="12" t="s">
        <v>38</v>
      </c>
      <c r="C655" s="12" t="s">
        <v>14</v>
      </c>
      <c r="D655" s="12">
        <v>2.5188209774148276</v>
      </c>
      <c r="E655" s="12">
        <v>2.8499999999999996</v>
      </c>
      <c r="F655" s="12">
        <v>20</v>
      </c>
      <c r="G655" s="12">
        <v>2.8499999999999996</v>
      </c>
      <c r="H655" s="12">
        <v>1.7716262975778552</v>
      </c>
      <c r="I655" s="12" t="s">
        <v>116</v>
      </c>
      <c r="J655" s="6">
        <v>46244</v>
      </c>
      <c r="K655">
        <v>46244</v>
      </c>
      <c r="L655">
        <v>1.1314817629179328</v>
      </c>
      <c r="M655">
        <v>1.1314817629179328</v>
      </c>
      <c r="N655">
        <v>0.70335538470707437</v>
      </c>
      <c r="O655">
        <v>0.88379683418064137</v>
      </c>
      <c r="P655">
        <v>0.88379683418064137</v>
      </c>
      <c r="Q655">
        <v>0.62162326230801945</v>
      </c>
      <c r="R655">
        <v>1.6086914062499993</v>
      </c>
      <c r="S655">
        <v>1.6086914062499993</v>
      </c>
      <c r="T655">
        <v>1.4217563720173534</v>
      </c>
    </row>
    <row r="656" spans="1:20" x14ac:dyDescent="0.25">
      <c r="A656" s="12" t="s">
        <v>62</v>
      </c>
      <c r="B656" s="12" t="s">
        <v>38</v>
      </c>
      <c r="C656" s="12" t="s">
        <v>14</v>
      </c>
      <c r="D656" s="12">
        <v>2.446854663774404</v>
      </c>
      <c r="E656" s="12">
        <v>2.8499999999999996</v>
      </c>
      <c r="F656" s="12">
        <v>20</v>
      </c>
      <c r="G656" s="12">
        <v>2.8499999999999996</v>
      </c>
      <c r="H656" s="12">
        <v>1.7716262975778547</v>
      </c>
      <c r="I656" s="12" t="s">
        <v>119</v>
      </c>
      <c r="J656" s="6">
        <v>46245</v>
      </c>
      <c r="K656">
        <v>46245</v>
      </c>
      <c r="L656">
        <v>1.1647606382978719</v>
      </c>
      <c r="M656">
        <v>1.1647606382978719</v>
      </c>
      <c r="N656">
        <v>0.72404230778669398</v>
      </c>
      <c r="O656">
        <v>0.85854549606119446</v>
      </c>
      <c r="P656">
        <v>0.85854549606119446</v>
      </c>
      <c r="Q656">
        <v>0.62162326230801923</v>
      </c>
      <c r="R656">
        <v>1.6086914062499997</v>
      </c>
      <c r="S656">
        <v>1.6086914062499997</v>
      </c>
      <c r="T656">
        <v>1.3811347613882865</v>
      </c>
    </row>
    <row r="657" spans="1:20" x14ac:dyDescent="0.25">
      <c r="A657" s="12" t="s">
        <v>62</v>
      </c>
      <c r="B657" s="12" t="s">
        <v>38</v>
      </c>
      <c r="C657" s="12" t="s">
        <v>15</v>
      </c>
      <c r="D657" s="12">
        <v>2.7731019522776572</v>
      </c>
      <c r="E657" s="12">
        <v>0</v>
      </c>
      <c r="F657" s="12">
        <v>20</v>
      </c>
      <c r="G657" s="12">
        <v>0</v>
      </c>
      <c r="H657" s="12">
        <v>2.0078431372549019</v>
      </c>
      <c r="I657" s="12" t="s">
        <v>120</v>
      </c>
      <c r="J657" s="6">
        <v>46245</v>
      </c>
      <c r="K657">
        <v>46245</v>
      </c>
      <c r="L657">
        <v>0</v>
      </c>
      <c r="M657">
        <v>0</v>
      </c>
      <c r="N657">
        <v>0.72404230778669421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1.3811347613882863</v>
      </c>
    </row>
    <row r="658" spans="1:20" x14ac:dyDescent="0.25">
      <c r="A658" s="12" t="s">
        <v>62</v>
      </c>
      <c r="B658" s="12" t="s">
        <v>38</v>
      </c>
      <c r="C658" s="12" t="s">
        <v>13</v>
      </c>
      <c r="D658" s="12">
        <v>3.8232104121475055</v>
      </c>
      <c r="E658" s="12">
        <v>0.95</v>
      </c>
      <c r="F658" s="12">
        <v>20</v>
      </c>
      <c r="G658" s="12">
        <v>0.95</v>
      </c>
      <c r="H658" s="12">
        <v>0.23529411764705879</v>
      </c>
      <c r="I658" s="12" t="s">
        <v>118</v>
      </c>
      <c r="J658" s="6">
        <v>46245</v>
      </c>
      <c r="K658">
        <v>46245</v>
      </c>
      <c r="L658">
        <v>0.2484822695035461</v>
      </c>
      <c r="M658">
        <v>0.2484822695035461</v>
      </c>
      <c r="N658">
        <v>6.1543596161868996E-2</v>
      </c>
      <c r="O658">
        <v>4.024432012786848</v>
      </c>
      <c r="P658">
        <v>4.024432012786848</v>
      </c>
      <c r="Q658">
        <v>0.24767801857585137</v>
      </c>
      <c r="R658">
        <v>4.0375000000000005</v>
      </c>
      <c r="S658">
        <v>4.0375000000000005</v>
      </c>
      <c r="T658">
        <v>16.248644251626899</v>
      </c>
    </row>
    <row r="659" spans="1:20" x14ac:dyDescent="0.25">
      <c r="A659" s="12" t="s">
        <v>62</v>
      </c>
      <c r="B659" s="12" t="s">
        <v>38</v>
      </c>
      <c r="C659" s="12" t="s">
        <v>13</v>
      </c>
      <c r="D659" s="12">
        <v>3.8996746203904542</v>
      </c>
      <c r="E659" s="12">
        <v>2.8499999999999996</v>
      </c>
      <c r="F659" s="12">
        <v>20</v>
      </c>
      <c r="G659" s="12">
        <v>2.8499999999999996</v>
      </c>
      <c r="H659" s="12">
        <v>0.23529411764705879</v>
      </c>
      <c r="I659" s="12" t="s">
        <v>121</v>
      </c>
      <c r="J659" s="6">
        <v>46246</v>
      </c>
      <c r="K659">
        <v>46246</v>
      </c>
      <c r="L659">
        <v>0.7308302044221946</v>
      </c>
      <c r="M659">
        <v>0.7308302044221946</v>
      </c>
      <c r="N659">
        <v>6.0336858982224524E-2</v>
      </c>
      <c r="O659">
        <v>1.3683068843475279</v>
      </c>
      <c r="P659">
        <v>1.3683068843475279</v>
      </c>
      <c r="Q659">
        <v>8.2559339525283798E-2</v>
      </c>
      <c r="R659">
        <v>12.112500000000001</v>
      </c>
      <c r="S659">
        <v>12.112500000000001</v>
      </c>
      <c r="T659">
        <v>16.573617136659433</v>
      </c>
    </row>
    <row r="660" spans="1:20" x14ac:dyDescent="0.25">
      <c r="A660" s="12" t="s">
        <v>62</v>
      </c>
      <c r="B660" s="12" t="s">
        <v>38</v>
      </c>
      <c r="C660" s="12" t="s">
        <v>15</v>
      </c>
      <c r="D660" s="12">
        <v>2.7731019522776572</v>
      </c>
      <c r="E660" s="12">
        <v>0</v>
      </c>
      <c r="F660" s="12">
        <v>20</v>
      </c>
      <c r="G660" s="12">
        <v>0</v>
      </c>
      <c r="H660" s="12">
        <v>2.0078431372549019</v>
      </c>
      <c r="I660" s="12" t="s">
        <v>122</v>
      </c>
      <c r="J660" s="6">
        <v>46246</v>
      </c>
      <c r="K660">
        <v>46246</v>
      </c>
      <c r="L660">
        <v>0</v>
      </c>
      <c r="M660">
        <v>0</v>
      </c>
      <c r="N660">
        <v>0.72404230778669421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1.3811347613882863</v>
      </c>
    </row>
    <row r="661" spans="1:20" x14ac:dyDescent="0.25">
      <c r="A661" s="12" t="s">
        <v>62</v>
      </c>
      <c r="B661" s="12" t="s">
        <v>38</v>
      </c>
      <c r="C661" s="12" t="s">
        <v>14</v>
      </c>
      <c r="D661" s="12">
        <v>2.4468546637744035</v>
      </c>
      <c r="E661" s="12">
        <v>0.95</v>
      </c>
      <c r="F661" s="12">
        <v>20</v>
      </c>
      <c r="G661" s="12">
        <v>0.95</v>
      </c>
      <c r="H661" s="12">
        <v>1.7716262975778552</v>
      </c>
      <c r="I661" s="12" t="s">
        <v>123</v>
      </c>
      <c r="J661" s="6">
        <v>46246</v>
      </c>
      <c r="K661">
        <v>46246</v>
      </c>
      <c r="L661">
        <v>0.38825354609929075</v>
      </c>
      <c r="M661">
        <v>0.38825354609929075</v>
      </c>
      <c r="N661">
        <v>0.72404230778669432</v>
      </c>
      <c r="O661">
        <v>2.5756364881835827</v>
      </c>
      <c r="P661">
        <v>2.5756364881835827</v>
      </c>
      <c r="Q661">
        <v>1.8648697869240582</v>
      </c>
      <c r="R661">
        <v>0.5362304687499998</v>
      </c>
      <c r="S661">
        <v>0.5362304687499998</v>
      </c>
      <c r="T661">
        <v>1.3811347613882861</v>
      </c>
    </row>
    <row r="662" spans="1:20" x14ac:dyDescent="0.25">
      <c r="A662" s="12" t="s">
        <v>62</v>
      </c>
      <c r="B662" s="12" t="s">
        <v>38</v>
      </c>
      <c r="C662" s="12" t="s">
        <v>14</v>
      </c>
      <c r="D662" s="12">
        <v>2.4468546637744035</v>
      </c>
      <c r="E662" s="12">
        <v>1.9</v>
      </c>
      <c r="F662" s="12">
        <v>20</v>
      </c>
      <c r="G662" s="12">
        <v>1.9</v>
      </c>
      <c r="H662" s="12">
        <v>1.7716262975778552</v>
      </c>
      <c r="I662" s="12" t="s">
        <v>124</v>
      </c>
      <c r="J662" s="6">
        <v>46247</v>
      </c>
      <c r="K662">
        <v>46247</v>
      </c>
      <c r="L662">
        <v>0.77650709219858149</v>
      </c>
      <c r="M662">
        <v>0.77650709219858149</v>
      </c>
      <c r="N662">
        <v>0.72404230778669432</v>
      </c>
      <c r="O662">
        <v>1.2878182440917914</v>
      </c>
      <c r="P662">
        <v>1.2878182440917914</v>
      </c>
      <c r="Q662">
        <v>0.93243489346202912</v>
      </c>
      <c r="R662">
        <v>1.0724609374999996</v>
      </c>
      <c r="S662">
        <v>1.0724609374999996</v>
      </c>
      <c r="T662">
        <v>1.3811347613882861</v>
      </c>
    </row>
    <row r="663" spans="1:20" x14ac:dyDescent="0.25">
      <c r="A663" s="12" t="s">
        <v>62</v>
      </c>
      <c r="B663" s="12" t="s">
        <v>38</v>
      </c>
      <c r="C663" s="12" t="s">
        <v>15</v>
      </c>
      <c r="D663" s="12">
        <v>2.7731019522776572</v>
      </c>
      <c r="E663" s="12">
        <v>0</v>
      </c>
      <c r="F663" s="12">
        <v>20</v>
      </c>
      <c r="G663" s="12">
        <v>0</v>
      </c>
      <c r="H663" s="12">
        <v>2.0078431372549019</v>
      </c>
      <c r="I663" s="12" t="s">
        <v>125</v>
      </c>
      <c r="J663" s="6">
        <v>46247</v>
      </c>
      <c r="K663">
        <v>46247</v>
      </c>
      <c r="L663">
        <v>0</v>
      </c>
      <c r="M663">
        <v>0</v>
      </c>
      <c r="N663">
        <v>0.72404230778669421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1.3811347613882863</v>
      </c>
    </row>
    <row r="664" spans="1:20" x14ac:dyDescent="0.25">
      <c r="A664" s="12" t="s">
        <v>62</v>
      </c>
      <c r="B664" s="12" t="s">
        <v>38</v>
      </c>
      <c r="C664" s="12" t="s">
        <v>13</v>
      </c>
      <c r="D664" s="12">
        <v>2.5233188720173527</v>
      </c>
      <c r="E664" s="12">
        <v>2.8499999999999996</v>
      </c>
      <c r="F664" s="12">
        <v>20</v>
      </c>
      <c r="G664" s="12">
        <v>2.8499999999999996</v>
      </c>
      <c r="H664" s="12">
        <v>0.23529411764705879</v>
      </c>
      <c r="I664" s="12" t="s">
        <v>126</v>
      </c>
      <c r="J664" s="6">
        <v>46247</v>
      </c>
      <c r="K664">
        <v>46247</v>
      </c>
      <c r="L664">
        <v>1.1294648613797553</v>
      </c>
      <c r="M664">
        <v>1.1294648613797553</v>
      </c>
      <c r="N664">
        <v>9.3247872972528817E-2</v>
      </c>
      <c r="O664">
        <v>0.88537504281310631</v>
      </c>
      <c r="P664">
        <v>0.88537504281310631</v>
      </c>
      <c r="Q664">
        <v>8.2559339525283798E-2</v>
      </c>
      <c r="R664">
        <v>12.112500000000001</v>
      </c>
      <c r="S664">
        <v>12.112500000000001</v>
      </c>
      <c r="T664">
        <v>10.72410520607375</v>
      </c>
    </row>
    <row r="665" spans="1:20" x14ac:dyDescent="0.25">
      <c r="A665" s="12" t="s">
        <v>62</v>
      </c>
      <c r="B665" s="12" t="s">
        <v>38</v>
      </c>
      <c r="C665" s="12" t="s">
        <v>14</v>
      </c>
      <c r="D665" s="12">
        <v>2.4468546637744035</v>
      </c>
      <c r="E665" s="12">
        <v>2.8499999999999996</v>
      </c>
      <c r="F665" s="12">
        <v>20</v>
      </c>
      <c r="G665" s="12">
        <v>2.8499999999999996</v>
      </c>
      <c r="H665" s="12">
        <v>1.7716262975778552</v>
      </c>
      <c r="I665" s="12" t="s">
        <v>127</v>
      </c>
      <c r="J665" s="6">
        <v>46248</v>
      </c>
      <c r="K665">
        <v>46248</v>
      </c>
      <c r="L665">
        <v>1.1647606382978721</v>
      </c>
      <c r="M665">
        <v>1.1647606382978721</v>
      </c>
      <c r="N665">
        <v>0.72404230778669432</v>
      </c>
      <c r="O665">
        <v>0.85854549606119435</v>
      </c>
      <c r="P665">
        <v>0.85854549606119435</v>
      </c>
      <c r="Q665">
        <v>0.62162326230801945</v>
      </c>
      <c r="R665">
        <v>1.6086914062499993</v>
      </c>
      <c r="S665">
        <v>1.6086914062499993</v>
      </c>
      <c r="T665">
        <v>1.3811347613882861</v>
      </c>
    </row>
    <row r="666" spans="1:20" x14ac:dyDescent="0.25">
      <c r="A666" s="12" t="s">
        <v>62</v>
      </c>
      <c r="B666" s="12" t="s">
        <v>38</v>
      </c>
      <c r="C666" s="12" t="s">
        <v>15</v>
      </c>
      <c r="D666" s="12">
        <v>2.7731019522776572</v>
      </c>
      <c r="E666" s="12">
        <v>0</v>
      </c>
      <c r="F666" s="12">
        <v>20</v>
      </c>
      <c r="G666" s="12">
        <v>0</v>
      </c>
      <c r="H666" s="12">
        <v>2.0078431372549019</v>
      </c>
      <c r="I666" s="12" t="s">
        <v>129</v>
      </c>
      <c r="J666" s="6">
        <v>46248</v>
      </c>
      <c r="K666">
        <v>46248</v>
      </c>
      <c r="L666">
        <v>0</v>
      </c>
      <c r="M666">
        <v>0</v>
      </c>
      <c r="N666">
        <v>0.72404230778669421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1.3811347613882863</v>
      </c>
    </row>
    <row r="667" spans="1:20" x14ac:dyDescent="0.25">
      <c r="A667" s="12" t="s">
        <v>62</v>
      </c>
      <c r="B667" s="12" t="s">
        <v>38</v>
      </c>
      <c r="C667" s="12" t="s">
        <v>13</v>
      </c>
      <c r="D667" s="12">
        <v>3.7467462039045554</v>
      </c>
      <c r="E667" s="12">
        <v>4.75</v>
      </c>
      <c r="F667" s="12">
        <v>20</v>
      </c>
      <c r="G667" s="12">
        <v>4.75</v>
      </c>
      <c r="H667" s="12">
        <v>0.23529411764705879</v>
      </c>
      <c r="I667" s="12" t="s">
        <v>128</v>
      </c>
      <c r="J667" s="6">
        <v>46248</v>
      </c>
      <c r="K667">
        <v>46248</v>
      </c>
      <c r="L667">
        <v>1.2677666811405413</v>
      </c>
      <c r="M667">
        <v>1.2677666811405413</v>
      </c>
      <c r="N667">
        <v>6.2799587920274486E-2</v>
      </c>
      <c r="O667">
        <v>0.78878867450622214</v>
      </c>
      <c r="P667">
        <v>0.78878867450622214</v>
      </c>
      <c r="Q667">
        <v>4.9535603715170275E-2</v>
      </c>
      <c r="R667">
        <v>20.187500000000004</v>
      </c>
      <c r="S667">
        <v>20.187500000000004</v>
      </c>
      <c r="T667">
        <v>15.923671366594363</v>
      </c>
    </row>
    <row r="668" spans="1:20" x14ac:dyDescent="0.25">
      <c r="A668" s="12" t="s">
        <v>62</v>
      </c>
      <c r="B668" s="12" t="s">
        <v>38</v>
      </c>
      <c r="C668" s="12" t="s">
        <v>14</v>
      </c>
      <c r="D668" s="12">
        <v>2.4468546637744031</v>
      </c>
      <c r="E668" s="12">
        <v>5.6999999999999993</v>
      </c>
      <c r="F668" s="12">
        <v>20</v>
      </c>
      <c r="G668" s="12">
        <v>5.6999999999999993</v>
      </c>
      <c r="H668" s="12">
        <v>1.7716262975778552</v>
      </c>
      <c r="I668" s="12" t="s">
        <v>130</v>
      </c>
      <c r="J668" s="6">
        <v>46249</v>
      </c>
      <c r="K668">
        <v>46249</v>
      </c>
      <c r="L668">
        <v>2.3295212765957447</v>
      </c>
      <c r="M668">
        <v>2.3295212765957447</v>
      </c>
      <c r="N668">
        <v>0.72404230778669443</v>
      </c>
      <c r="O668">
        <v>0.42927274803059706</v>
      </c>
      <c r="P668">
        <v>0.42927274803059706</v>
      </c>
      <c r="Q668">
        <v>0.31081163115400973</v>
      </c>
      <c r="R668">
        <v>3.2173828124999986</v>
      </c>
      <c r="S668">
        <v>3.2173828124999986</v>
      </c>
      <c r="T668">
        <v>1.3811347613882858</v>
      </c>
    </row>
    <row r="669" spans="1:20" x14ac:dyDescent="0.25">
      <c r="A669" s="12" t="s">
        <v>62</v>
      </c>
      <c r="B669" s="12" t="s">
        <v>38</v>
      </c>
      <c r="C669" s="12" t="s">
        <v>13</v>
      </c>
      <c r="D669" s="12">
        <v>0</v>
      </c>
      <c r="E669" s="12">
        <v>0.95</v>
      </c>
      <c r="F669" s="12">
        <v>20</v>
      </c>
      <c r="G669" s="12">
        <v>0.95</v>
      </c>
      <c r="H669" s="12">
        <v>0.23529411764705879</v>
      </c>
      <c r="I669" s="12" t="s">
        <v>143</v>
      </c>
      <c r="J669" s="6">
        <v>46249</v>
      </c>
      <c r="K669">
        <v>46249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0.24767801857585137</v>
      </c>
      <c r="R669">
        <v>4.0375000000000005</v>
      </c>
      <c r="S669">
        <v>4.0375000000000005</v>
      </c>
      <c r="T669">
        <v>0</v>
      </c>
    </row>
    <row r="670" spans="1:20" x14ac:dyDescent="0.25">
      <c r="A670" s="12" t="s">
        <v>62</v>
      </c>
      <c r="B670" s="12" t="s">
        <v>38</v>
      </c>
      <c r="C670" s="12" t="s">
        <v>15</v>
      </c>
      <c r="D670" s="12">
        <v>2.6099783080260304</v>
      </c>
      <c r="E670" s="12">
        <v>0</v>
      </c>
      <c r="F670" s="12">
        <v>20</v>
      </c>
      <c r="G670" s="12">
        <v>0</v>
      </c>
      <c r="H670" s="12">
        <v>2.0078431372549019</v>
      </c>
      <c r="I670" s="12" t="s">
        <v>131</v>
      </c>
      <c r="J670" s="6">
        <v>46249</v>
      </c>
      <c r="K670">
        <v>46249</v>
      </c>
      <c r="L670">
        <v>0</v>
      </c>
      <c r="M670">
        <v>0</v>
      </c>
      <c r="N670">
        <v>0.76929495202336251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1.2998915401301518</v>
      </c>
    </row>
    <row r="671" spans="1:20" x14ac:dyDescent="0.25">
      <c r="A671" s="12" t="s">
        <v>62</v>
      </c>
      <c r="B671" s="12" t="s">
        <v>38</v>
      </c>
      <c r="C671" s="12" t="s">
        <v>13</v>
      </c>
      <c r="D671" s="12">
        <v>0</v>
      </c>
      <c r="E671" s="12">
        <v>0.95</v>
      </c>
      <c r="F671" s="12">
        <v>20</v>
      </c>
      <c r="G671" s="12">
        <v>0.95</v>
      </c>
      <c r="H671" s="12">
        <v>0.23529411764705879</v>
      </c>
      <c r="I671" s="12" t="s">
        <v>132</v>
      </c>
      <c r="J671" s="6">
        <v>46250</v>
      </c>
      <c r="K671">
        <v>46250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0.24767801857585137</v>
      </c>
      <c r="R671">
        <v>4.0375000000000005</v>
      </c>
      <c r="S671">
        <v>4.0375000000000005</v>
      </c>
      <c r="T671">
        <v>0</v>
      </c>
    </row>
    <row r="672" spans="1:20" x14ac:dyDescent="0.25">
      <c r="A672" s="12" t="s">
        <v>62</v>
      </c>
      <c r="B672" s="12" t="s">
        <v>38</v>
      </c>
      <c r="C672" s="12" t="s">
        <v>15</v>
      </c>
      <c r="D672" s="12">
        <v>2.7731019522776572</v>
      </c>
      <c r="E672" s="12">
        <v>0</v>
      </c>
      <c r="F672" s="12">
        <v>20</v>
      </c>
      <c r="G672" s="12">
        <v>0</v>
      </c>
      <c r="H672" s="12">
        <v>0.18823529411764703</v>
      </c>
      <c r="I672" s="12" t="s">
        <v>133</v>
      </c>
      <c r="J672" s="6">
        <v>46250</v>
      </c>
      <c r="K672">
        <v>46250</v>
      </c>
      <c r="L672">
        <v>0</v>
      </c>
      <c r="M672">
        <v>0</v>
      </c>
      <c r="N672">
        <v>6.7878966355002568E-2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14.732104121475055</v>
      </c>
    </row>
    <row r="673" spans="1:20" x14ac:dyDescent="0.25">
      <c r="A673" s="12" t="s">
        <v>62</v>
      </c>
      <c r="B673" s="12" t="s">
        <v>38</v>
      </c>
      <c r="C673" s="12" t="s">
        <v>14</v>
      </c>
      <c r="D673" s="12">
        <v>2.4468546637744031</v>
      </c>
      <c r="E673" s="12">
        <v>6.6499999999999995</v>
      </c>
      <c r="F673" s="12">
        <v>20</v>
      </c>
      <c r="G673" s="12">
        <v>6.6499999999999995</v>
      </c>
      <c r="H673" s="12">
        <v>1.7716262975778552</v>
      </c>
      <c r="I673" s="12" t="s">
        <v>144</v>
      </c>
      <c r="J673" s="6">
        <v>46250</v>
      </c>
      <c r="K673">
        <v>46250</v>
      </c>
      <c r="L673">
        <v>2.7177748226950356</v>
      </c>
      <c r="M673">
        <v>2.7177748226950356</v>
      </c>
      <c r="N673">
        <v>0.72404230778669443</v>
      </c>
      <c r="O673">
        <v>0.36794806974051175</v>
      </c>
      <c r="P673">
        <v>0.36794806974051175</v>
      </c>
      <c r="Q673">
        <v>0.26640996956057977</v>
      </c>
      <c r="R673">
        <v>3.7536132812499985</v>
      </c>
      <c r="S673">
        <v>3.7536132812499985</v>
      </c>
      <c r="T673">
        <v>1.3811347613882858</v>
      </c>
    </row>
    <row r="674" spans="1:20" x14ac:dyDescent="0.25">
      <c r="A674" s="12" t="s">
        <v>63</v>
      </c>
      <c r="B674" s="12" t="s">
        <v>38</v>
      </c>
      <c r="C674" s="12" t="s">
        <v>15</v>
      </c>
      <c r="D674" s="12">
        <v>1.2735376146788988</v>
      </c>
      <c r="E674" s="12">
        <v>0.95</v>
      </c>
      <c r="F674" s="12">
        <v>20</v>
      </c>
      <c r="G674" s="12">
        <v>0.95</v>
      </c>
      <c r="H674" s="12">
        <v>1.0127450980392154</v>
      </c>
      <c r="I674" s="12" t="s">
        <v>134</v>
      </c>
      <c r="J674" s="6">
        <v>46223</v>
      </c>
      <c r="K674">
        <v>46223</v>
      </c>
      <c r="L674">
        <v>0.74595362480873917</v>
      </c>
      <c r="M674">
        <v>0.74595362480873917</v>
      </c>
      <c r="N674">
        <v>0.79522197567329966</v>
      </c>
      <c r="O674">
        <v>1.3405659101883145</v>
      </c>
      <c r="P674">
        <v>1.3405659101883145</v>
      </c>
      <c r="Q674">
        <v>1.0660474716202268</v>
      </c>
      <c r="R674">
        <v>0.93804453049370784</v>
      </c>
      <c r="S674">
        <v>0.93804453049370784</v>
      </c>
      <c r="T674">
        <v>1.2575105198184677</v>
      </c>
    </row>
    <row r="675" spans="1:20" x14ac:dyDescent="0.25">
      <c r="A675" s="12" t="s">
        <v>63</v>
      </c>
      <c r="B675" s="12" t="s">
        <v>38</v>
      </c>
      <c r="C675" s="12" t="s">
        <v>14</v>
      </c>
      <c r="D675" s="12">
        <v>3.3711289800323794</v>
      </c>
      <c r="E675" s="12">
        <v>3.8</v>
      </c>
      <c r="F675" s="12">
        <v>20</v>
      </c>
      <c r="G675" s="12">
        <v>3.8</v>
      </c>
      <c r="H675" s="12">
        <v>2.0220588235294117</v>
      </c>
      <c r="I675" s="12" t="s">
        <v>65</v>
      </c>
      <c r="J675" s="6">
        <v>46223</v>
      </c>
      <c r="K675">
        <v>46223</v>
      </c>
      <c r="L675">
        <v>1.1272188108220946</v>
      </c>
      <c r="M675">
        <v>1.1272188108220946</v>
      </c>
      <c r="N675">
        <v>0.59981651117661772</v>
      </c>
      <c r="O675">
        <v>0.88713920527167878</v>
      </c>
      <c r="P675">
        <v>0.88713920527167878</v>
      </c>
      <c r="Q675">
        <v>0.53212074303405577</v>
      </c>
      <c r="R675">
        <v>1.8792727272727272</v>
      </c>
      <c r="S675">
        <v>1.8792727272727272</v>
      </c>
      <c r="T675">
        <v>1.6671765137614676</v>
      </c>
    </row>
    <row r="676" spans="1:20" x14ac:dyDescent="0.25">
      <c r="A676" s="12" t="s">
        <v>63</v>
      </c>
      <c r="B676" s="12" t="s">
        <v>38</v>
      </c>
      <c r="C676" s="12" t="s">
        <v>13</v>
      </c>
      <c r="D676" s="12">
        <v>5.8204648795871554</v>
      </c>
      <c r="E676" s="12">
        <v>0.95</v>
      </c>
      <c r="F676" s="12">
        <v>20</v>
      </c>
      <c r="G676" s="12">
        <v>0.95</v>
      </c>
      <c r="H676" s="12">
        <v>0.94117647058823517</v>
      </c>
      <c r="I676" s="12" t="s">
        <v>64</v>
      </c>
      <c r="J676" s="6">
        <v>46223</v>
      </c>
      <c r="K676">
        <v>46223</v>
      </c>
      <c r="L676">
        <v>0.16321720337695489</v>
      </c>
      <c r="M676">
        <v>0.16321720337695489</v>
      </c>
      <c r="N676">
        <v>0.16170125411958378</v>
      </c>
      <c r="O676">
        <v>6.1268051364075324</v>
      </c>
      <c r="P676">
        <v>6.1268051364075324</v>
      </c>
      <c r="Q676">
        <v>0.99071207430340547</v>
      </c>
      <c r="R676">
        <v>1.0093750000000001</v>
      </c>
      <c r="S676">
        <v>1.0093750000000001</v>
      </c>
      <c r="T676">
        <v>6.1842439345613531</v>
      </c>
    </row>
    <row r="677" spans="1:20" x14ac:dyDescent="0.25">
      <c r="A677" s="12" t="s">
        <v>63</v>
      </c>
      <c r="B677" s="12" t="s">
        <v>38</v>
      </c>
      <c r="C677" s="12" t="s">
        <v>15</v>
      </c>
      <c r="D677" s="12">
        <v>1.2735376146788988</v>
      </c>
      <c r="E677" s="12">
        <v>0.95</v>
      </c>
      <c r="F677" s="12">
        <v>20</v>
      </c>
      <c r="G677" s="12">
        <v>0.95</v>
      </c>
      <c r="H677" s="12">
        <v>0.94999999999999973</v>
      </c>
      <c r="I677" s="12" t="s">
        <v>67</v>
      </c>
      <c r="J677" s="6">
        <v>46224</v>
      </c>
      <c r="K677">
        <v>46224</v>
      </c>
      <c r="L677">
        <v>0.74595362480873917</v>
      </c>
      <c r="M677">
        <v>0.74595362480873917</v>
      </c>
      <c r="N677">
        <v>0.74595362480873906</v>
      </c>
      <c r="O677">
        <v>1.3405659101883145</v>
      </c>
      <c r="P677">
        <v>1.3405659101883145</v>
      </c>
      <c r="Q677">
        <v>0.99999999999999978</v>
      </c>
      <c r="R677">
        <v>1.0000000000000002</v>
      </c>
      <c r="S677">
        <v>1.0000000000000002</v>
      </c>
      <c r="T677">
        <v>1.3405659101883149</v>
      </c>
    </row>
    <row r="678" spans="1:20" x14ac:dyDescent="0.25">
      <c r="A678" s="12" t="s">
        <v>63</v>
      </c>
      <c r="B678" s="12" t="s">
        <v>38</v>
      </c>
      <c r="C678" s="12" t="s">
        <v>13</v>
      </c>
      <c r="D678" s="12">
        <v>5.8204648795871572</v>
      </c>
      <c r="E678" s="12">
        <v>0.95</v>
      </c>
      <c r="F678" s="12">
        <v>20</v>
      </c>
      <c r="G678" s="12">
        <v>0.95</v>
      </c>
      <c r="H678" s="12">
        <v>1.0896139705882353</v>
      </c>
      <c r="I678" s="12" t="s">
        <v>66</v>
      </c>
      <c r="J678" s="6">
        <v>46224</v>
      </c>
      <c r="K678">
        <v>46224</v>
      </c>
      <c r="L678">
        <v>0.16321720337695483</v>
      </c>
      <c r="M678">
        <v>0.16321720337695483</v>
      </c>
      <c r="N678">
        <v>0.18720394214723293</v>
      </c>
      <c r="O678">
        <v>6.1268051364075342</v>
      </c>
      <c r="P678">
        <v>6.1268051364075342</v>
      </c>
      <c r="Q678">
        <v>1.1469620743034057</v>
      </c>
      <c r="R678">
        <v>0.87186840995360604</v>
      </c>
      <c r="S678">
        <v>0.87186840995360604</v>
      </c>
      <c r="T678">
        <v>5.3417678523752228</v>
      </c>
    </row>
    <row r="679" spans="1:20" x14ac:dyDescent="0.25">
      <c r="A679" s="12" t="s">
        <v>63</v>
      </c>
      <c r="B679" s="12" t="s">
        <v>38</v>
      </c>
      <c r="C679" s="12" t="s">
        <v>14</v>
      </c>
      <c r="D679" s="12">
        <v>3.3711289800323794</v>
      </c>
      <c r="E679" s="12">
        <v>3.8</v>
      </c>
      <c r="F679" s="12">
        <v>20</v>
      </c>
      <c r="G679" s="12">
        <v>3.8</v>
      </c>
      <c r="H679" s="12">
        <v>1.1362456747404843</v>
      </c>
      <c r="I679" s="12" t="s">
        <v>68</v>
      </c>
      <c r="J679" s="6">
        <v>46224</v>
      </c>
      <c r="K679">
        <v>46224</v>
      </c>
      <c r="L679">
        <v>1.1272188108220946</v>
      </c>
      <c r="M679">
        <v>1.1272188108220946</v>
      </c>
      <c r="N679">
        <v>0.33705197323229408</v>
      </c>
      <c r="O679">
        <v>0.88713920527167878</v>
      </c>
      <c r="P679">
        <v>0.88713920527167878</v>
      </c>
      <c r="Q679">
        <v>0.29901201966854851</v>
      </c>
      <c r="R679">
        <v>3.3443471640654741</v>
      </c>
      <c r="S679">
        <v>3.3443471640654741</v>
      </c>
      <c r="T679">
        <v>2.9669014852816376</v>
      </c>
    </row>
    <row r="680" spans="1:20" x14ac:dyDescent="0.25">
      <c r="A680" s="12" t="s">
        <v>63</v>
      </c>
      <c r="B680" s="12" t="s">
        <v>38</v>
      </c>
      <c r="C680" s="12" t="s">
        <v>14</v>
      </c>
      <c r="D680" s="12">
        <v>3.9329838100377761</v>
      </c>
      <c r="E680" s="12">
        <v>1.9</v>
      </c>
      <c r="F680" s="12">
        <v>20</v>
      </c>
      <c r="G680" s="12">
        <v>1.9</v>
      </c>
      <c r="H680" s="12">
        <v>1.8823529411764703</v>
      </c>
      <c r="I680" s="12" t="s">
        <v>71</v>
      </c>
      <c r="J680" s="6">
        <v>46225</v>
      </c>
      <c r="K680">
        <v>46225</v>
      </c>
      <c r="L680">
        <v>0.48309377606661202</v>
      </c>
      <c r="M680">
        <v>0.48309377606661202</v>
      </c>
      <c r="N680">
        <v>0.47860683697001805</v>
      </c>
      <c r="O680">
        <v>2.0699914789672507</v>
      </c>
      <c r="P680">
        <v>2.0699914789672507</v>
      </c>
      <c r="Q680">
        <v>0.99071207430340547</v>
      </c>
      <c r="R680">
        <v>1.0093750000000001</v>
      </c>
      <c r="S680">
        <v>1.0093750000000001</v>
      </c>
      <c r="T680">
        <v>2.089397649082569</v>
      </c>
    </row>
    <row r="681" spans="1:20" x14ac:dyDescent="0.25">
      <c r="A681" s="12" t="s">
        <v>63</v>
      </c>
      <c r="B681" s="12" t="s">
        <v>38</v>
      </c>
      <c r="C681" s="12" t="s">
        <v>15</v>
      </c>
      <c r="D681" s="12">
        <v>1.2735376146788988</v>
      </c>
      <c r="E681" s="12">
        <v>0</v>
      </c>
      <c r="F681" s="12">
        <v>20</v>
      </c>
      <c r="G681" s="12">
        <v>0</v>
      </c>
      <c r="H681" s="12">
        <v>6.2745098039215685E-2</v>
      </c>
      <c r="I681" s="12" t="s">
        <v>70</v>
      </c>
      <c r="J681" s="6">
        <v>46225</v>
      </c>
      <c r="K681">
        <v>46225</v>
      </c>
      <c r="L681">
        <v>0</v>
      </c>
      <c r="M681">
        <v>0</v>
      </c>
      <c r="N681">
        <v>4.9268350864560689E-2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20.29700573394495</v>
      </c>
    </row>
    <row r="682" spans="1:20" x14ac:dyDescent="0.25">
      <c r="A682" s="12" t="s">
        <v>63</v>
      </c>
      <c r="B682" s="12" t="s">
        <v>38</v>
      </c>
      <c r="C682" s="12" t="s">
        <v>13</v>
      </c>
      <c r="D682" s="12">
        <v>4.6265233658256886</v>
      </c>
      <c r="E682" s="12">
        <v>5.6999999999999993</v>
      </c>
      <c r="F682" s="12">
        <v>20</v>
      </c>
      <c r="G682" s="12">
        <v>5.6999999999999993</v>
      </c>
      <c r="H682" s="12">
        <v>1.0896139705882353</v>
      </c>
      <c r="I682" s="12" t="s">
        <v>69</v>
      </c>
      <c r="J682" s="6">
        <v>46225</v>
      </c>
      <c r="K682">
        <v>46225</v>
      </c>
      <c r="L682">
        <v>1.2320266319421753</v>
      </c>
      <c r="M682">
        <v>1.2320266319421753</v>
      </c>
      <c r="N682">
        <v>0.23551463689490598</v>
      </c>
      <c r="O682">
        <v>0.81167076593433141</v>
      </c>
      <c r="P682">
        <v>0.81167076593433141</v>
      </c>
      <c r="Q682">
        <v>0.19116034571723428</v>
      </c>
      <c r="R682">
        <v>5.2312104597216358</v>
      </c>
      <c r="S682">
        <v>5.2312104597216358</v>
      </c>
      <c r="T682">
        <v>4.246020600605946</v>
      </c>
    </row>
    <row r="683" spans="1:20" x14ac:dyDescent="0.25">
      <c r="A683" s="12" t="s">
        <v>63</v>
      </c>
      <c r="B683" s="12" t="s">
        <v>38</v>
      </c>
      <c r="C683" s="12" t="s">
        <v>14</v>
      </c>
      <c r="D683" s="12">
        <v>3.5115926875337284</v>
      </c>
      <c r="E683" s="12">
        <v>2.8499999999999996</v>
      </c>
      <c r="F683" s="12">
        <v>20</v>
      </c>
      <c r="G683" s="12">
        <v>2.8499999999999996</v>
      </c>
      <c r="H683" s="12">
        <v>2.0484429065743943</v>
      </c>
      <c r="I683" s="12" t="s">
        <v>72</v>
      </c>
      <c r="J683" s="6">
        <v>46226</v>
      </c>
      <c r="K683">
        <v>46226</v>
      </c>
      <c r="L683">
        <v>0.81159754379190818</v>
      </c>
      <c r="M683">
        <v>0.81159754379190818</v>
      </c>
      <c r="N683">
        <v>0.58333727423639858</v>
      </c>
      <c r="O683">
        <v>1.2321377850995541</v>
      </c>
      <c r="P683">
        <v>1.2321377850995541</v>
      </c>
      <c r="Q683">
        <v>0.71875189704364717</v>
      </c>
      <c r="R683">
        <v>1.3913006756756756</v>
      </c>
      <c r="S683">
        <v>1.3913006756756756</v>
      </c>
      <c r="T683">
        <v>1.7142741329345399</v>
      </c>
    </row>
    <row r="684" spans="1:20" x14ac:dyDescent="0.25">
      <c r="A684" s="12" t="s">
        <v>63</v>
      </c>
      <c r="B684" s="12" t="s">
        <v>38</v>
      </c>
      <c r="C684" s="12" t="s">
        <v>13</v>
      </c>
      <c r="D684" s="12">
        <v>5.9697075688073395</v>
      </c>
      <c r="E684" s="12">
        <v>0.95</v>
      </c>
      <c r="F684" s="12">
        <v>20</v>
      </c>
      <c r="G684" s="12">
        <v>0.95</v>
      </c>
      <c r="H684" s="12">
        <v>1.7647058823529416</v>
      </c>
      <c r="I684" s="12" t="s">
        <v>74</v>
      </c>
      <c r="J684" s="6">
        <v>46226</v>
      </c>
      <c r="K684">
        <v>46226</v>
      </c>
      <c r="L684">
        <v>0.15913677329253098</v>
      </c>
      <c r="M684">
        <v>0.15913677329253098</v>
      </c>
      <c r="N684">
        <v>0.29561010518736414</v>
      </c>
      <c r="O684">
        <v>6.2839027040077262</v>
      </c>
      <c r="P684">
        <v>6.2839027040077262</v>
      </c>
      <c r="Q684">
        <v>1.857585139318886</v>
      </c>
      <c r="R684">
        <v>0.53833333333333322</v>
      </c>
      <c r="S684">
        <v>0.53833333333333322</v>
      </c>
      <c r="T684">
        <v>3.3828342889908249</v>
      </c>
    </row>
    <row r="685" spans="1:20" x14ac:dyDescent="0.25">
      <c r="A685" s="12" t="s">
        <v>63</v>
      </c>
      <c r="B685" s="12" t="s">
        <v>38</v>
      </c>
      <c r="C685" s="12" t="s">
        <v>15</v>
      </c>
      <c r="D685" s="12">
        <v>1.2735376146788988</v>
      </c>
      <c r="E685" s="12">
        <v>0</v>
      </c>
      <c r="F685" s="12">
        <v>20</v>
      </c>
      <c r="G685" s="12">
        <v>0</v>
      </c>
      <c r="H685" s="12">
        <v>6.2745098039215685E-2</v>
      </c>
      <c r="I685" s="12" t="s">
        <v>73</v>
      </c>
      <c r="J685" s="6">
        <v>46226</v>
      </c>
      <c r="K685">
        <v>46226</v>
      </c>
      <c r="L685">
        <v>0</v>
      </c>
      <c r="M685">
        <v>0</v>
      </c>
      <c r="N685">
        <v>4.9268350864560689E-2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20.29700573394495</v>
      </c>
    </row>
    <row r="686" spans="1:20" x14ac:dyDescent="0.25">
      <c r="A686" s="12" t="s">
        <v>63</v>
      </c>
      <c r="B686" s="12" t="s">
        <v>38</v>
      </c>
      <c r="C686" s="12" t="s">
        <v>13</v>
      </c>
      <c r="D686" s="12">
        <v>4.7757660550458709</v>
      </c>
      <c r="E686" s="12">
        <v>5.6999999999999993</v>
      </c>
      <c r="F686" s="12">
        <v>20</v>
      </c>
      <c r="G686" s="12">
        <v>5.6999999999999993</v>
      </c>
      <c r="H686" s="12">
        <v>1.7647058823529416</v>
      </c>
      <c r="I686" s="12" t="s">
        <v>56</v>
      </c>
      <c r="J686" s="6">
        <v>46227</v>
      </c>
      <c r="K686">
        <v>46227</v>
      </c>
      <c r="L686">
        <v>1.1935257996939825</v>
      </c>
      <c r="M686">
        <v>1.1935257996939825</v>
      </c>
      <c r="N686">
        <v>0.36951263148420527</v>
      </c>
      <c r="O686">
        <v>0.83785369386769681</v>
      </c>
      <c r="P686">
        <v>0.83785369386769681</v>
      </c>
      <c r="Q686">
        <v>0.30959752321981437</v>
      </c>
      <c r="R686">
        <v>3.2299999999999991</v>
      </c>
      <c r="S686">
        <v>3.2299999999999991</v>
      </c>
      <c r="T686">
        <v>2.7062674311926598</v>
      </c>
    </row>
    <row r="687" spans="1:20" x14ac:dyDescent="0.25">
      <c r="A687" s="12" t="s">
        <v>63</v>
      </c>
      <c r="B687" s="12" t="s">
        <v>38</v>
      </c>
      <c r="C687" s="12" t="s">
        <v>15</v>
      </c>
      <c r="D687" s="12">
        <v>1.2735376146788988</v>
      </c>
      <c r="E687" s="12">
        <v>0.95</v>
      </c>
      <c r="F687" s="12">
        <v>20</v>
      </c>
      <c r="G687" s="12">
        <v>0.95</v>
      </c>
      <c r="H687" s="12">
        <v>1.0127450980392154</v>
      </c>
      <c r="I687" s="12" t="s">
        <v>57</v>
      </c>
      <c r="J687" s="6">
        <v>46227</v>
      </c>
      <c r="K687">
        <v>46227</v>
      </c>
      <c r="L687">
        <v>0.74595362480873917</v>
      </c>
      <c r="M687">
        <v>0.74595362480873917</v>
      </c>
      <c r="N687">
        <v>0.79522197567329966</v>
      </c>
      <c r="O687">
        <v>1.3405659101883145</v>
      </c>
      <c r="P687">
        <v>1.3405659101883145</v>
      </c>
      <c r="Q687">
        <v>1.0660474716202268</v>
      </c>
      <c r="R687">
        <v>0.93804453049370784</v>
      </c>
      <c r="S687">
        <v>0.93804453049370784</v>
      </c>
      <c r="T687">
        <v>1.2575105198184677</v>
      </c>
    </row>
    <row r="688" spans="1:20" x14ac:dyDescent="0.25">
      <c r="A688" s="12" t="s">
        <v>63</v>
      </c>
      <c r="B688" s="12" t="s">
        <v>38</v>
      </c>
      <c r="C688" s="12" t="s">
        <v>14</v>
      </c>
      <c r="D688" s="12">
        <v>2.2474193200215868</v>
      </c>
      <c r="E688" s="12">
        <v>1.9</v>
      </c>
      <c r="F688" s="12">
        <v>20</v>
      </c>
      <c r="G688" s="12">
        <v>1.9</v>
      </c>
      <c r="H688" s="12">
        <v>2.1881487889273359</v>
      </c>
      <c r="I688" s="12" t="s">
        <v>58</v>
      </c>
      <c r="J688" s="6">
        <v>46227</v>
      </c>
      <c r="K688">
        <v>46227</v>
      </c>
      <c r="L688">
        <v>0.84541410811657081</v>
      </c>
      <c r="M688">
        <v>0.84541410811657081</v>
      </c>
      <c r="N688">
        <v>0.97362729306176754</v>
      </c>
      <c r="O688">
        <v>1.182852273695572</v>
      </c>
      <c r="P688">
        <v>1.182852273695572</v>
      </c>
      <c r="Q688">
        <v>1.1516572573301769</v>
      </c>
      <c r="R688">
        <v>0.86831389602688269</v>
      </c>
      <c r="S688">
        <v>0.86831389602688269</v>
      </c>
      <c r="T688">
        <v>1.0270870661968587</v>
      </c>
    </row>
    <row r="689" spans="1:20" x14ac:dyDescent="0.25">
      <c r="A689" s="12" t="s">
        <v>63</v>
      </c>
      <c r="B689" s="12" t="s">
        <v>38</v>
      </c>
      <c r="C689" s="12" t="s">
        <v>14</v>
      </c>
      <c r="D689" s="12">
        <v>3.3711289800323798</v>
      </c>
      <c r="E689" s="12">
        <v>2.8499999999999996</v>
      </c>
      <c r="F689" s="12">
        <v>20</v>
      </c>
      <c r="G689" s="12">
        <v>2.8499999999999996</v>
      </c>
      <c r="H689" s="12">
        <v>2.0635813148788924</v>
      </c>
      <c r="I689" s="12" t="s">
        <v>76</v>
      </c>
      <c r="J689" s="6">
        <v>46228</v>
      </c>
      <c r="K689">
        <v>46228</v>
      </c>
      <c r="L689">
        <v>0.84541410811657092</v>
      </c>
      <c r="M689">
        <v>0.84541410811657092</v>
      </c>
      <c r="N689">
        <v>0.61213359889275776</v>
      </c>
      <c r="O689">
        <v>1.182852273695572</v>
      </c>
      <c r="P689">
        <v>1.182852273695572</v>
      </c>
      <c r="Q689">
        <v>0.7240636192557518</v>
      </c>
      <c r="R689">
        <v>1.3810941102494236</v>
      </c>
      <c r="S689">
        <v>1.3810941102494236</v>
      </c>
      <c r="T689">
        <v>1.6336303084960937</v>
      </c>
    </row>
    <row r="690" spans="1:20" x14ac:dyDescent="0.25">
      <c r="A690" s="12" t="s">
        <v>63</v>
      </c>
      <c r="B690" s="12" t="s">
        <v>38</v>
      </c>
      <c r="C690" s="12" t="s">
        <v>13</v>
      </c>
      <c r="D690" s="12">
        <v>2.3878830275229355</v>
      </c>
      <c r="E690" s="12">
        <v>0.95</v>
      </c>
      <c r="F690" s="12">
        <v>20</v>
      </c>
      <c r="G690" s="12">
        <v>0.95</v>
      </c>
      <c r="H690" s="12">
        <v>1.7954963235294119</v>
      </c>
      <c r="I690" s="12" t="s">
        <v>135</v>
      </c>
      <c r="J690" s="6">
        <v>46228</v>
      </c>
      <c r="K690">
        <v>46228</v>
      </c>
      <c r="L690">
        <v>0.39784193323132755</v>
      </c>
      <c r="M690">
        <v>0.39784193323132755</v>
      </c>
      <c r="N690">
        <v>0.75191971417124459</v>
      </c>
      <c r="O690">
        <v>2.5135610816030902</v>
      </c>
      <c r="P690">
        <v>2.5135610816030902</v>
      </c>
      <c r="Q690">
        <v>1.88999613003096</v>
      </c>
      <c r="R690">
        <v>0.52910161249040177</v>
      </c>
      <c r="S690">
        <v>0.52910161249040177</v>
      </c>
      <c r="T690">
        <v>1.3299292213693132</v>
      </c>
    </row>
    <row r="691" spans="1:20" x14ac:dyDescent="0.25">
      <c r="A691" s="12" t="s">
        <v>63</v>
      </c>
      <c r="B691" s="12" t="s">
        <v>38</v>
      </c>
      <c r="C691" s="12" t="s">
        <v>15</v>
      </c>
      <c r="D691" s="12">
        <v>1.2735376146788988</v>
      </c>
      <c r="E691" s="12">
        <v>0.95</v>
      </c>
      <c r="F691" s="12">
        <v>20</v>
      </c>
      <c r="G691" s="12">
        <v>0.95</v>
      </c>
      <c r="H691" s="12">
        <v>1.0127450980392154</v>
      </c>
      <c r="I691" s="12" t="s">
        <v>75</v>
      </c>
      <c r="J691" s="6">
        <v>46228</v>
      </c>
      <c r="K691">
        <v>46228</v>
      </c>
      <c r="L691">
        <v>0.74595362480873917</v>
      </c>
      <c r="M691">
        <v>0.74595362480873917</v>
      </c>
      <c r="N691">
        <v>0.79522197567329966</v>
      </c>
      <c r="O691">
        <v>1.3405659101883145</v>
      </c>
      <c r="P691">
        <v>1.3405659101883145</v>
      </c>
      <c r="Q691">
        <v>1.0660474716202268</v>
      </c>
      <c r="R691">
        <v>0.93804453049370784</v>
      </c>
      <c r="S691">
        <v>0.93804453049370784</v>
      </c>
      <c r="T691">
        <v>1.2575105198184677</v>
      </c>
    </row>
    <row r="692" spans="1:20" x14ac:dyDescent="0.25">
      <c r="A692" s="12" t="s">
        <v>63</v>
      </c>
      <c r="B692" s="12" t="s">
        <v>38</v>
      </c>
      <c r="C692" s="12" t="s">
        <v>13</v>
      </c>
      <c r="D692" s="12">
        <v>3.507203196674312</v>
      </c>
      <c r="E692" s="12">
        <v>0.95</v>
      </c>
      <c r="F692" s="12">
        <v>20</v>
      </c>
      <c r="G692" s="12">
        <v>0.95</v>
      </c>
      <c r="H692" s="12">
        <v>1.9131433823529416</v>
      </c>
      <c r="I692" s="12" t="s">
        <v>78</v>
      </c>
      <c r="J692" s="6">
        <v>46229</v>
      </c>
      <c r="K692">
        <v>46229</v>
      </c>
      <c r="L692">
        <v>0.2708711034766485</v>
      </c>
      <c r="M692">
        <v>0.2708711034766485</v>
      </c>
      <c r="N692">
        <v>0.54548974640735681</v>
      </c>
      <c r="O692">
        <v>3.6917928386045391</v>
      </c>
      <c r="P692">
        <v>3.6917928386045391</v>
      </c>
      <c r="Q692">
        <v>2.013835139318886</v>
      </c>
      <c r="R692">
        <v>0.49656497717991821</v>
      </c>
      <c r="S692">
        <v>0.49656497717991821</v>
      </c>
      <c r="T692">
        <v>1.8332150266546485</v>
      </c>
    </row>
    <row r="693" spans="1:20" x14ac:dyDescent="0.25">
      <c r="A693" s="12" t="s">
        <v>63</v>
      </c>
      <c r="B693" s="12" t="s">
        <v>38</v>
      </c>
      <c r="C693" s="12" t="s">
        <v>15</v>
      </c>
      <c r="D693" s="12">
        <v>1.2735376146788988</v>
      </c>
      <c r="E693" s="12">
        <v>0</v>
      </c>
      <c r="F693" s="12">
        <v>20</v>
      </c>
      <c r="G693" s="12">
        <v>0</v>
      </c>
      <c r="H693" s="12">
        <v>6.2745098039215685E-2</v>
      </c>
      <c r="I693" s="12" t="s">
        <v>77</v>
      </c>
      <c r="J693" s="6">
        <v>46229</v>
      </c>
      <c r="K693">
        <v>46229</v>
      </c>
      <c r="L693">
        <v>0</v>
      </c>
      <c r="M693">
        <v>0</v>
      </c>
      <c r="N693">
        <v>4.9268350864560689E-2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20.29700573394495</v>
      </c>
    </row>
    <row r="694" spans="1:20" x14ac:dyDescent="0.25">
      <c r="A694" s="12" t="s">
        <v>63</v>
      </c>
      <c r="B694" s="12" t="s">
        <v>38</v>
      </c>
      <c r="C694" s="12" t="s">
        <v>14</v>
      </c>
      <c r="D694" s="12">
        <v>3.3711289800323794</v>
      </c>
      <c r="E694" s="12">
        <v>5.6999999999999993</v>
      </c>
      <c r="F694" s="12">
        <v>20</v>
      </c>
      <c r="G694" s="12">
        <v>5.6999999999999993</v>
      </c>
      <c r="H694" s="12">
        <v>2.0484429065743948</v>
      </c>
      <c r="I694" s="12" t="s">
        <v>79</v>
      </c>
      <c r="J694" s="6">
        <v>46229</v>
      </c>
      <c r="K694">
        <v>46229</v>
      </c>
      <c r="L694">
        <v>1.6908282162331421</v>
      </c>
      <c r="M694">
        <v>1.6908282162331421</v>
      </c>
      <c r="N694">
        <v>0.60764299399624855</v>
      </c>
      <c r="O694">
        <v>0.59142613684778589</v>
      </c>
      <c r="P694">
        <v>0.59142613684778589</v>
      </c>
      <c r="Q694">
        <v>0.3593759485218237</v>
      </c>
      <c r="R694">
        <v>2.7826013513513508</v>
      </c>
      <c r="S694">
        <v>2.7826013513513508</v>
      </c>
      <c r="T694">
        <v>1.6457031676171578</v>
      </c>
    </row>
    <row r="695" spans="1:20" x14ac:dyDescent="0.25">
      <c r="A695" s="12" t="s">
        <v>63</v>
      </c>
      <c r="B695" s="12" t="s">
        <v>38</v>
      </c>
      <c r="C695" s="12" t="s">
        <v>14</v>
      </c>
      <c r="D695" s="12">
        <v>3.3711289800323794</v>
      </c>
      <c r="E695" s="12">
        <v>7.6</v>
      </c>
      <c r="F695" s="12">
        <v>20</v>
      </c>
      <c r="G695" s="12">
        <v>7.6</v>
      </c>
      <c r="H695" s="12">
        <v>1.7162629757785473</v>
      </c>
      <c r="I695" s="12" t="s">
        <v>80</v>
      </c>
      <c r="J695" s="6">
        <v>46230</v>
      </c>
      <c r="K695">
        <v>46230</v>
      </c>
      <c r="L695">
        <v>2.2544376216441893</v>
      </c>
      <c r="M695">
        <v>2.2544376216441893</v>
      </c>
      <c r="N695">
        <v>0.50910629226712734</v>
      </c>
      <c r="O695">
        <v>0.44356960263583939</v>
      </c>
      <c r="P695">
        <v>0.44356960263583939</v>
      </c>
      <c r="Q695">
        <v>0.22582407576033517</v>
      </c>
      <c r="R695">
        <v>4.4282258064516116</v>
      </c>
      <c r="S695">
        <v>4.4282258064516116</v>
      </c>
      <c r="T695">
        <v>1.9642263613495108</v>
      </c>
    </row>
    <row r="696" spans="1:20" x14ac:dyDescent="0.25">
      <c r="A696" s="12" t="s">
        <v>63</v>
      </c>
      <c r="B696" s="12" t="s">
        <v>38</v>
      </c>
      <c r="C696" s="12" t="s">
        <v>13</v>
      </c>
      <c r="D696" s="12">
        <v>3.5072031966743116</v>
      </c>
      <c r="E696" s="12">
        <v>0</v>
      </c>
      <c r="F696" s="12">
        <v>20</v>
      </c>
      <c r="G696" s="12">
        <v>0</v>
      </c>
      <c r="H696" s="12">
        <v>0.1176470588235294</v>
      </c>
      <c r="I696" s="12" t="s">
        <v>82</v>
      </c>
      <c r="J696" s="6">
        <v>46230</v>
      </c>
      <c r="K696">
        <v>46230</v>
      </c>
      <c r="L696">
        <v>0</v>
      </c>
      <c r="M696">
        <v>0</v>
      </c>
      <c r="N696">
        <v>3.3544409099275356E-2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29.811227171731652</v>
      </c>
    </row>
    <row r="697" spans="1:20" x14ac:dyDescent="0.25">
      <c r="A697" s="12" t="s">
        <v>63</v>
      </c>
      <c r="B697" s="12" t="s">
        <v>38</v>
      </c>
      <c r="C697" s="12" t="s">
        <v>15</v>
      </c>
      <c r="D697" s="12">
        <v>1.2735376146788988</v>
      </c>
      <c r="E697" s="12">
        <v>0</v>
      </c>
      <c r="F697" s="12">
        <v>20</v>
      </c>
      <c r="G697" s="12">
        <v>0</v>
      </c>
      <c r="H697" s="12">
        <v>6.2745098039215685E-2</v>
      </c>
      <c r="I697" s="12" t="s">
        <v>81</v>
      </c>
      <c r="J697" s="6">
        <v>46230</v>
      </c>
      <c r="K697">
        <v>46230</v>
      </c>
      <c r="L697">
        <v>0</v>
      </c>
      <c r="M697">
        <v>0</v>
      </c>
      <c r="N697">
        <v>4.9268350864560689E-2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20.29700573394495</v>
      </c>
    </row>
    <row r="698" spans="1:20" x14ac:dyDescent="0.25">
      <c r="A698" s="12" t="s">
        <v>63</v>
      </c>
      <c r="B698" s="12" t="s">
        <v>38</v>
      </c>
      <c r="C698" s="12" t="s">
        <v>14</v>
      </c>
      <c r="D698" s="12">
        <v>3.3711289800323794</v>
      </c>
      <c r="E698" s="12">
        <v>6.6499999999999995</v>
      </c>
      <c r="F698" s="12">
        <v>20</v>
      </c>
      <c r="G698" s="12">
        <v>6.6499999999999995</v>
      </c>
      <c r="H698" s="12">
        <v>1.7162629757785468</v>
      </c>
      <c r="I698" s="12" t="s">
        <v>84</v>
      </c>
      <c r="J698" s="6">
        <v>46231</v>
      </c>
      <c r="K698">
        <v>46231</v>
      </c>
      <c r="L698">
        <v>1.9726329189386658</v>
      </c>
      <c r="M698">
        <v>1.9726329189386658</v>
      </c>
      <c r="N698">
        <v>0.50910629226712711</v>
      </c>
      <c r="O698">
        <v>0.50693668872667363</v>
      </c>
      <c r="P698">
        <v>0.50693668872667363</v>
      </c>
      <c r="Q698">
        <v>0.25808465801181157</v>
      </c>
      <c r="R698">
        <v>3.8746975806451607</v>
      </c>
      <c r="S698">
        <v>3.8746975806451607</v>
      </c>
      <c r="T698">
        <v>1.9642263613495112</v>
      </c>
    </row>
    <row r="699" spans="1:20" x14ac:dyDescent="0.25">
      <c r="A699" s="12" t="s">
        <v>63</v>
      </c>
      <c r="B699" s="12" t="s">
        <v>38</v>
      </c>
      <c r="C699" s="12" t="s">
        <v>15</v>
      </c>
      <c r="D699" s="12">
        <v>1.2735376146788988</v>
      </c>
      <c r="E699" s="12">
        <v>1.9</v>
      </c>
      <c r="F699" s="12">
        <v>20</v>
      </c>
      <c r="G699" s="12">
        <v>1.9</v>
      </c>
      <c r="H699" s="12">
        <v>6.2745098039215685E-2</v>
      </c>
      <c r="I699" s="12" t="s">
        <v>136</v>
      </c>
      <c r="J699" s="6">
        <v>46231</v>
      </c>
      <c r="K699">
        <v>46231</v>
      </c>
      <c r="L699">
        <v>1.4919072496174783</v>
      </c>
      <c r="M699">
        <v>1.4919072496174783</v>
      </c>
      <c r="N699">
        <v>4.9268350864560689E-2</v>
      </c>
      <c r="O699">
        <v>0.67028295509415725</v>
      </c>
      <c r="P699">
        <v>0.67028295509415725</v>
      </c>
      <c r="Q699">
        <v>3.3023735810113523E-2</v>
      </c>
      <c r="R699">
        <v>30.28125</v>
      </c>
      <c r="S699">
        <v>30.28125</v>
      </c>
      <c r="T699">
        <v>20.29700573394495</v>
      </c>
    </row>
    <row r="700" spans="1:20" x14ac:dyDescent="0.25">
      <c r="A700" s="12" t="s">
        <v>63</v>
      </c>
      <c r="B700" s="12" t="s">
        <v>38</v>
      </c>
      <c r="C700" s="12" t="s">
        <v>13</v>
      </c>
      <c r="D700" s="12">
        <v>7.014406393348624</v>
      </c>
      <c r="E700" s="12">
        <v>0.95</v>
      </c>
      <c r="F700" s="12">
        <v>20</v>
      </c>
      <c r="G700" s="12">
        <v>0.95</v>
      </c>
      <c r="H700" s="12">
        <v>2.6176470588235294</v>
      </c>
      <c r="I700" s="12" t="s">
        <v>83</v>
      </c>
      <c r="J700" s="6">
        <v>46231</v>
      </c>
      <c r="K700">
        <v>46231</v>
      </c>
      <c r="L700">
        <v>0.13543555173832425</v>
      </c>
      <c r="M700">
        <v>0.13543555173832425</v>
      </c>
      <c r="N700">
        <v>0.37318155122943836</v>
      </c>
      <c r="O700">
        <v>7.3835856772090782</v>
      </c>
      <c r="P700">
        <v>7.3835856772090782</v>
      </c>
      <c r="Q700">
        <v>2.755417956656347</v>
      </c>
      <c r="R700">
        <v>0.36292134831460671</v>
      </c>
      <c r="S700">
        <v>0.36292134831460671</v>
      </c>
      <c r="T700">
        <v>2.6796608693691373</v>
      </c>
    </row>
    <row r="701" spans="1:20" x14ac:dyDescent="0.25">
      <c r="A701" s="12" t="s">
        <v>63</v>
      </c>
      <c r="B701" s="12" t="s">
        <v>38</v>
      </c>
      <c r="C701" s="12" t="s">
        <v>14</v>
      </c>
      <c r="D701" s="12">
        <v>2.2474193200215864</v>
      </c>
      <c r="E701" s="12">
        <v>1.9</v>
      </c>
      <c r="F701" s="12">
        <v>20</v>
      </c>
      <c r="G701" s="12">
        <v>1.9</v>
      </c>
      <c r="H701" s="12">
        <v>2.0484429065743943</v>
      </c>
      <c r="I701" s="12" t="s">
        <v>85</v>
      </c>
      <c r="J701" s="6">
        <v>46232</v>
      </c>
      <c r="K701">
        <v>46232</v>
      </c>
      <c r="L701">
        <v>0.84541410811657103</v>
      </c>
      <c r="M701">
        <v>0.84541410811657103</v>
      </c>
      <c r="N701">
        <v>0.91146449099437266</v>
      </c>
      <c r="O701">
        <v>1.1828522736955718</v>
      </c>
      <c r="P701">
        <v>1.1828522736955718</v>
      </c>
      <c r="Q701">
        <v>1.0781278455654708</v>
      </c>
      <c r="R701">
        <v>0.92753378378378382</v>
      </c>
      <c r="S701">
        <v>0.92753378378378382</v>
      </c>
      <c r="T701">
        <v>1.0971354450781057</v>
      </c>
    </row>
    <row r="702" spans="1:20" x14ac:dyDescent="0.25">
      <c r="A702" s="12" t="s">
        <v>63</v>
      </c>
      <c r="B702" s="12" t="s">
        <v>38</v>
      </c>
      <c r="C702" s="12" t="s">
        <v>13</v>
      </c>
      <c r="D702" s="12">
        <v>5.8204648795871572</v>
      </c>
      <c r="E702" s="12">
        <v>4.75</v>
      </c>
      <c r="F702" s="12">
        <v>20</v>
      </c>
      <c r="G702" s="12">
        <v>4.75</v>
      </c>
      <c r="H702" s="12">
        <v>1.7647058823529416</v>
      </c>
      <c r="I702" s="12" t="s">
        <v>86</v>
      </c>
      <c r="J702" s="6">
        <v>46232</v>
      </c>
      <c r="K702">
        <v>46232</v>
      </c>
      <c r="L702">
        <v>0.81608601688477422</v>
      </c>
      <c r="M702">
        <v>0.81608601688477422</v>
      </c>
      <c r="N702">
        <v>0.30318985147421956</v>
      </c>
      <c r="O702">
        <v>1.2253610272815068</v>
      </c>
      <c r="P702">
        <v>1.2253610272815068</v>
      </c>
      <c r="Q702">
        <v>0.37151702786377716</v>
      </c>
      <c r="R702">
        <v>2.691666666666666</v>
      </c>
      <c r="S702">
        <v>2.691666666666666</v>
      </c>
      <c r="T702">
        <v>3.2982634317660549</v>
      </c>
    </row>
    <row r="703" spans="1:20" x14ac:dyDescent="0.25">
      <c r="A703" s="12" t="s">
        <v>63</v>
      </c>
      <c r="B703" s="12" t="s">
        <v>38</v>
      </c>
      <c r="C703" s="12" t="s">
        <v>15</v>
      </c>
      <c r="D703" s="12">
        <v>1.2735376146788988</v>
      </c>
      <c r="E703" s="12">
        <v>0</v>
      </c>
      <c r="F703" s="12">
        <v>20</v>
      </c>
      <c r="G703" s="12">
        <v>0</v>
      </c>
      <c r="H703" s="12">
        <v>6.2745098039215685E-2</v>
      </c>
      <c r="I703" s="12" t="s">
        <v>87</v>
      </c>
      <c r="J703" s="6">
        <v>46232</v>
      </c>
      <c r="K703">
        <v>46232</v>
      </c>
      <c r="L703">
        <v>0</v>
      </c>
      <c r="M703">
        <v>0</v>
      </c>
      <c r="N703">
        <v>4.9268350864560689E-2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20.29700573394495</v>
      </c>
    </row>
    <row r="704" spans="1:20" x14ac:dyDescent="0.25">
      <c r="A704" s="12" t="s">
        <v>63</v>
      </c>
      <c r="B704" s="12" t="s">
        <v>38</v>
      </c>
      <c r="C704" s="12" t="s">
        <v>14</v>
      </c>
      <c r="D704" s="12">
        <v>3.3711289800323794</v>
      </c>
      <c r="E704" s="12">
        <v>1.9</v>
      </c>
      <c r="F704" s="12">
        <v>20</v>
      </c>
      <c r="G704" s="12">
        <v>1.9</v>
      </c>
      <c r="H704" s="12">
        <v>2.0635813148788924</v>
      </c>
      <c r="I704" s="12" t="s">
        <v>88</v>
      </c>
      <c r="J704" s="6">
        <v>46233</v>
      </c>
      <c r="K704">
        <v>46233</v>
      </c>
      <c r="L704">
        <v>0.56360940541104732</v>
      </c>
      <c r="M704">
        <v>0.56360940541104732</v>
      </c>
      <c r="N704">
        <v>0.61213359889275787</v>
      </c>
      <c r="O704">
        <v>1.7742784105433576</v>
      </c>
      <c r="P704">
        <v>1.7742784105433576</v>
      </c>
      <c r="Q704">
        <v>1.0860954288836275</v>
      </c>
      <c r="R704">
        <v>0.92072940683294913</v>
      </c>
      <c r="S704">
        <v>0.92072940683294913</v>
      </c>
      <c r="T704">
        <v>1.6336303084960935</v>
      </c>
    </row>
    <row r="705" spans="1:20" x14ac:dyDescent="0.25">
      <c r="A705" s="12" t="s">
        <v>63</v>
      </c>
      <c r="B705" s="12" t="s">
        <v>38</v>
      </c>
      <c r="C705" s="12" t="s">
        <v>15</v>
      </c>
      <c r="D705" s="12">
        <v>1.2735376146788988</v>
      </c>
      <c r="E705" s="12">
        <v>0</v>
      </c>
      <c r="F705" s="12">
        <v>20</v>
      </c>
      <c r="G705" s="12">
        <v>0</v>
      </c>
      <c r="H705" s="12">
        <v>1.0127450980392154</v>
      </c>
      <c r="I705" s="12" t="s">
        <v>89</v>
      </c>
      <c r="J705" s="6">
        <v>46233</v>
      </c>
      <c r="K705">
        <v>46233</v>
      </c>
      <c r="L705">
        <v>0</v>
      </c>
      <c r="M705">
        <v>0</v>
      </c>
      <c r="N705">
        <v>0.79522197567329966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1.2575105198184677</v>
      </c>
    </row>
    <row r="706" spans="1:20" x14ac:dyDescent="0.25">
      <c r="A706" s="12" t="s">
        <v>63</v>
      </c>
      <c r="B706" s="12" t="s">
        <v>38</v>
      </c>
      <c r="C706" s="12" t="s">
        <v>13</v>
      </c>
      <c r="D706" s="12">
        <v>5.7458435349770651</v>
      </c>
      <c r="E706" s="12">
        <v>2.8499999999999996</v>
      </c>
      <c r="F706" s="12">
        <v>20</v>
      </c>
      <c r="G706" s="12">
        <v>2.8499999999999996</v>
      </c>
      <c r="H706" s="12">
        <v>1.6470588235294119</v>
      </c>
      <c r="I706" s="12" t="s">
        <v>90</v>
      </c>
      <c r="J706" s="6">
        <v>46233</v>
      </c>
      <c r="K706">
        <v>46233</v>
      </c>
      <c r="L706">
        <v>0.49601072195074586</v>
      </c>
      <c r="M706">
        <v>0.49601072195074586</v>
      </c>
      <c r="N706">
        <v>0.28665222321198941</v>
      </c>
      <c r="O706">
        <v>2.0160854508691459</v>
      </c>
      <c r="P706">
        <v>2.0160854508691459</v>
      </c>
      <c r="Q706">
        <v>0.57791537667698667</v>
      </c>
      <c r="R706">
        <v>1.7303571428571425</v>
      </c>
      <c r="S706">
        <v>1.7303571428571425</v>
      </c>
      <c r="T706">
        <v>3.4885478605217894</v>
      </c>
    </row>
    <row r="707" spans="1:20" x14ac:dyDescent="0.25">
      <c r="A707" s="12" t="s">
        <v>63</v>
      </c>
      <c r="B707" s="12" t="s">
        <v>38</v>
      </c>
      <c r="C707" s="12" t="s">
        <v>13</v>
      </c>
      <c r="D707" s="12">
        <v>4.5519020212155965</v>
      </c>
      <c r="E707" s="12">
        <v>4.75</v>
      </c>
      <c r="F707" s="12">
        <v>20</v>
      </c>
      <c r="G707" s="12">
        <v>4.75</v>
      </c>
      <c r="H707" s="12">
        <v>1.9131433823529425</v>
      </c>
      <c r="I707" s="12" t="s">
        <v>91</v>
      </c>
      <c r="J707" s="6">
        <v>46234</v>
      </c>
      <c r="K707">
        <v>46234</v>
      </c>
      <c r="L707">
        <v>1.0435198248690558</v>
      </c>
      <c r="M707">
        <v>1.0435198248690558</v>
      </c>
      <c r="N707">
        <v>0.42029537837943903</v>
      </c>
      <c r="O707">
        <v>0.95829516236117818</v>
      </c>
      <c r="P707">
        <v>0.95829516236117818</v>
      </c>
      <c r="Q707">
        <v>0.40276702786377738</v>
      </c>
      <c r="R707">
        <v>2.4828248858995901</v>
      </c>
      <c r="S707">
        <v>2.4828248858995901</v>
      </c>
      <c r="T707">
        <v>2.3792790771475212</v>
      </c>
    </row>
    <row r="708" spans="1:20" x14ac:dyDescent="0.25">
      <c r="A708" s="12" t="s">
        <v>63</v>
      </c>
      <c r="B708" s="12" t="s">
        <v>38</v>
      </c>
      <c r="C708" s="12" t="s">
        <v>15</v>
      </c>
      <c r="D708" s="12">
        <v>1.2735376146788988</v>
      </c>
      <c r="E708" s="12">
        <v>0.95</v>
      </c>
      <c r="F708" s="12">
        <v>20</v>
      </c>
      <c r="G708" s="12">
        <v>0.95</v>
      </c>
      <c r="H708" s="12">
        <v>1.0127450980392154</v>
      </c>
      <c r="I708" s="12" t="s">
        <v>92</v>
      </c>
      <c r="J708" s="6">
        <v>46234</v>
      </c>
      <c r="K708">
        <v>46234</v>
      </c>
      <c r="L708">
        <v>0.74595362480873917</v>
      </c>
      <c r="M708">
        <v>0.74595362480873917</v>
      </c>
      <c r="N708">
        <v>0.79522197567329966</v>
      </c>
      <c r="O708">
        <v>1.3405659101883145</v>
      </c>
      <c r="P708">
        <v>1.3405659101883145</v>
      </c>
      <c r="Q708">
        <v>1.0660474716202268</v>
      </c>
      <c r="R708">
        <v>0.93804453049370784</v>
      </c>
      <c r="S708">
        <v>0.93804453049370784</v>
      </c>
      <c r="T708">
        <v>1.2575105198184677</v>
      </c>
    </row>
    <row r="709" spans="1:20" x14ac:dyDescent="0.25">
      <c r="A709" s="12" t="s">
        <v>63</v>
      </c>
      <c r="B709" s="12" t="s">
        <v>38</v>
      </c>
      <c r="C709" s="12" t="s">
        <v>14</v>
      </c>
      <c r="D709" s="12">
        <v>2.2474193200215864</v>
      </c>
      <c r="E709" s="12">
        <v>1.9</v>
      </c>
      <c r="F709" s="12">
        <v>20</v>
      </c>
      <c r="G709" s="12">
        <v>1.9</v>
      </c>
      <c r="H709" s="12">
        <v>2.188148788927335</v>
      </c>
      <c r="I709" s="12" t="s">
        <v>93</v>
      </c>
      <c r="J709" s="6">
        <v>46234</v>
      </c>
      <c r="K709">
        <v>46234</v>
      </c>
      <c r="L709">
        <v>0.84541410811657103</v>
      </c>
      <c r="M709">
        <v>0.84541410811657103</v>
      </c>
      <c r="N709">
        <v>0.97362729306176732</v>
      </c>
      <c r="O709">
        <v>1.1828522736955718</v>
      </c>
      <c r="P709">
        <v>1.1828522736955718</v>
      </c>
      <c r="Q709">
        <v>1.1516572573301764</v>
      </c>
      <c r="R709">
        <v>0.86831389602688303</v>
      </c>
      <c r="S709">
        <v>0.86831389602688303</v>
      </c>
      <c r="T709">
        <v>1.027087066196859</v>
      </c>
    </row>
    <row r="710" spans="1:20" x14ac:dyDescent="0.25">
      <c r="A710" s="12" t="s">
        <v>63</v>
      </c>
      <c r="B710" s="12" t="s">
        <v>38</v>
      </c>
      <c r="C710" s="12" t="s">
        <v>15</v>
      </c>
      <c r="D710" s="12">
        <v>1.2735376146788988</v>
      </c>
      <c r="E710" s="12">
        <v>0.95</v>
      </c>
      <c r="F710" s="12">
        <v>20</v>
      </c>
      <c r="G710" s="12">
        <v>0.95</v>
      </c>
      <c r="H710" s="12">
        <v>1.0127450980392154</v>
      </c>
      <c r="I710" s="12" t="s">
        <v>137</v>
      </c>
      <c r="J710" s="6">
        <v>46235</v>
      </c>
      <c r="K710">
        <v>46235</v>
      </c>
      <c r="L710">
        <v>0.74595362480873917</v>
      </c>
      <c r="M710">
        <v>0.74595362480873917</v>
      </c>
      <c r="N710">
        <v>0.79522197567329966</v>
      </c>
      <c r="O710">
        <v>1.3405659101883145</v>
      </c>
      <c r="P710">
        <v>1.3405659101883145</v>
      </c>
      <c r="Q710">
        <v>1.0660474716202268</v>
      </c>
      <c r="R710">
        <v>0.93804453049370784</v>
      </c>
      <c r="S710">
        <v>0.93804453049370784</v>
      </c>
      <c r="T710">
        <v>1.2575105198184677</v>
      </c>
    </row>
    <row r="711" spans="1:20" x14ac:dyDescent="0.25">
      <c r="A711" s="12" t="s">
        <v>63</v>
      </c>
      <c r="B711" s="12" t="s">
        <v>38</v>
      </c>
      <c r="C711" s="12" t="s">
        <v>13</v>
      </c>
      <c r="D711" s="12">
        <v>5.3727368119266048</v>
      </c>
      <c r="E711" s="12">
        <v>0.95</v>
      </c>
      <c r="F711" s="12">
        <v>20</v>
      </c>
      <c r="G711" s="12">
        <v>0.95</v>
      </c>
      <c r="H711" s="12">
        <v>1.9131433823529425</v>
      </c>
      <c r="I711" s="12" t="s">
        <v>94</v>
      </c>
      <c r="J711" s="6">
        <v>46235</v>
      </c>
      <c r="K711">
        <v>46235</v>
      </c>
      <c r="L711">
        <v>0.17681863699170114</v>
      </c>
      <c r="M711">
        <v>0.17681863699170114</v>
      </c>
      <c r="N711">
        <v>0.35608358446035815</v>
      </c>
      <c r="O711">
        <v>5.6555124336069529</v>
      </c>
      <c r="P711">
        <v>5.6555124336069529</v>
      </c>
      <c r="Q711">
        <v>2.0138351393188869</v>
      </c>
      <c r="R711">
        <v>0.49656497717991799</v>
      </c>
      <c r="S711">
        <v>0.49656497717991799</v>
      </c>
      <c r="T711">
        <v>2.8083294025347789</v>
      </c>
    </row>
    <row r="712" spans="1:20" x14ac:dyDescent="0.25">
      <c r="A712" s="12" t="s">
        <v>63</v>
      </c>
      <c r="B712" s="12" t="s">
        <v>38</v>
      </c>
      <c r="C712" s="12" t="s">
        <v>14</v>
      </c>
      <c r="D712" s="12">
        <v>2.2474193200215868</v>
      </c>
      <c r="E712" s="12">
        <v>1.9</v>
      </c>
      <c r="F712" s="12">
        <v>20</v>
      </c>
      <c r="G712" s="12">
        <v>1.9</v>
      </c>
      <c r="H712" s="12">
        <v>2.188148788927335</v>
      </c>
      <c r="I712" s="12" t="s">
        <v>95</v>
      </c>
      <c r="J712" s="6">
        <v>46235</v>
      </c>
      <c r="K712">
        <v>46235</v>
      </c>
      <c r="L712">
        <v>0.84541410811657081</v>
      </c>
      <c r="M712">
        <v>0.84541410811657081</v>
      </c>
      <c r="N712">
        <v>0.97362729306176721</v>
      </c>
      <c r="O712">
        <v>1.182852273695572</v>
      </c>
      <c r="P712">
        <v>1.182852273695572</v>
      </c>
      <c r="Q712">
        <v>1.1516572573301764</v>
      </c>
      <c r="R712">
        <v>0.86831389602688303</v>
      </c>
      <c r="S712">
        <v>0.86831389602688303</v>
      </c>
      <c r="T712">
        <v>1.0270870661968592</v>
      </c>
    </row>
    <row r="713" spans="1:20" x14ac:dyDescent="0.25">
      <c r="A713" s="12" t="s">
        <v>63</v>
      </c>
      <c r="B713" s="12" t="s">
        <v>38</v>
      </c>
      <c r="C713" s="12" t="s">
        <v>14</v>
      </c>
      <c r="D713" s="12">
        <v>2.2474193200215868</v>
      </c>
      <c r="E713" s="12">
        <v>5.6999999999999993</v>
      </c>
      <c r="F713" s="12">
        <v>20</v>
      </c>
      <c r="G713" s="12">
        <v>5.6999999999999993</v>
      </c>
      <c r="H713" s="12">
        <v>1.8823529411764703</v>
      </c>
      <c r="I713" s="12" t="s">
        <v>96</v>
      </c>
      <c r="J713" s="6">
        <v>46236</v>
      </c>
      <c r="K713">
        <v>46236</v>
      </c>
      <c r="L713">
        <v>2.5362423243497121</v>
      </c>
      <c r="M713">
        <v>2.5362423243497121</v>
      </c>
      <c r="N713">
        <v>0.83756196469753141</v>
      </c>
      <c r="O713">
        <v>0.39428409123185737</v>
      </c>
      <c r="P713">
        <v>0.39428409123185737</v>
      </c>
      <c r="Q713">
        <v>0.33023735810113519</v>
      </c>
      <c r="R713">
        <v>3.0281250000000002</v>
      </c>
      <c r="S713">
        <v>3.0281250000000002</v>
      </c>
      <c r="T713">
        <v>1.1939415137614682</v>
      </c>
    </row>
    <row r="714" spans="1:20" x14ac:dyDescent="0.25">
      <c r="A714" s="12" t="s">
        <v>63</v>
      </c>
      <c r="B714" s="12" t="s">
        <v>38</v>
      </c>
      <c r="C714" s="12" t="s">
        <v>15</v>
      </c>
      <c r="D714" s="12">
        <v>1.2735376146788988</v>
      </c>
      <c r="E714" s="12">
        <v>0</v>
      </c>
      <c r="F714" s="12">
        <v>20</v>
      </c>
      <c r="G714" s="12">
        <v>0</v>
      </c>
      <c r="H714" s="12">
        <v>6.2745098039215685E-2</v>
      </c>
      <c r="I714" s="12" t="s">
        <v>98</v>
      </c>
      <c r="J714" s="6">
        <v>46236</v>
      </c>
      <c r="K714">
        <v>46236</v>
      </c>
      <c r="L714">
        <v>0</v>
      </c>
      <c r="M714">
        <v>0</v>
      </c>
      <c r="N714">
        <v>4.9268350864560689E-2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20.29700573394495</v>
      </c>
    </row>
    <row r="715" spans="1:20" x14ac:dyDescent="0.25">
      <c r="A715" s="12" t="s">
        <v>63</v>
      </c>
      <c r="B715" s="12" t="s">
        <v>38</v>
      </c>
      <c r="C715" s="12" t="s">
        <v>13</v>
      </c>
      <c r="D715" s="12">
        <v>3.5818245412844019</v>
      </c>
      <c r="E715" s="12">
        <v>0.95</v>
      </c>
      <c r="F715" s="12">
        <v>20</v>
      </c>
      <c r="G715" s="12">
        <v>0.95</v>
      </c>
      <c r="H715" s="12">
        <v>1.0896139705882353</v>
      </c>
      <c r="I715" s="12" t="s">
        <v>97</v>
      </c>
      <c r="J715" s="6">
        <v>46236</v>
      </c>
      <c r="K715">
        <v>46236</v>
      </c>
      <c r="L715">
        <v>0.26522795548755179</v>
      </c>
      <c r="M715">
        <v>0.26522795548755179</v>
      </c>
      <c r="N715">
        <v>0.30420640598925375</v>
      </c>
      <c r="O715">
        <v>3.7703416224046338</v>
      </c>
      <c r="P715">
        <v>3.7703416224046338</v>
      </c>
      <c r="Q715">
        <v>1.1469620743034057</v>
      </c>
      <c r="R715">
        <v>0.87186840995360604</v>
      </c>
      <c r="S715">
        <v>0.87186840995360604</v>
      </c>
      <c r="T715">
        <v>3.2872417553078273</v>
      </c>
    </row>
    <row r="716" spans="1:20" x14ac:dyDescent="0.25">
      <c r="A716" s="12" t="s">
        <v>63</v>
      </c>
      <c r="B716" s="12" t="s">
        <v>38</v>
      </c>
      <c r="C716" s="12" t="s">
        <v>13</v>
      </c>
      <c r="D716" s="12">
        <v>5.8204648795871554</v>
      </c>
      <c r="E716" s="12">
        <v>0.95</v>
      </c>
      <c r="F716" s="12">
        <v>20</v>
      </c>
      <c r="G716" s="12">
        <v>0.95</v>
      </c>
      <c r="H716" s="12">
        <v>2.5882352941176476</v>
      </c>
      <c r="I716" s="12" t="s">
        <v>101</v>
      </c>
      <c r="J716" s="6">
        <v>46237</v>
      </c>
      <c r="K716">
        <v>46237</v>
      </c>
      <c r="L716">
        <v>0.16321720337695489</v>
      </c>
      <c r="M716">
        <v>0.16321720337695489</v>
      </c>
      <c r="N716">
        <v>0.44467844882885554</v>
      </c>
      <c r="O716">
        <v>6.1268051364075324</v>
      </c>
      <c r="P716">
        <v>6.1268051364075324</v>
      </c>
      <c r="Q716">
        <v>2.7244582043343661</v>
      </c>
      <c r="R716">
        <v>0.36704545454545445</v>
      </c>
      <c r="S716">
        <v>0.36704545454545445</v>
      </c>
      <c r="T716">
        <v>2.2488159762041278</v>
      </c>
    </row>
    <row r="717" spans="1:20" x14ac:dyDescent="0.25">
      <c r="A717" s="12" t="s">
        <v>63</v>
      </c>
      <c r="B717" s="12" t="s">
        <v>38</v>
      </c>
      <c r="C717" s="12" t="s">
        <v>15</v>
      </c>
      <c r="D717" s="12">
        <v>1.2735376146788988</v>
      </c>
      <c r="E717" s="12">
        <v>0</v>
      </c>
      <c r="F717" s="12">
        <v>20</v>
      </c>
      <c r="G717" s="12">
        <v>0</v>
      </c>
      <c r="H717" s="12">
        <v>6.2745098039215685E-2</v>
      </c>
      <c r="I717" s="12" t="s">
        <v>100</v>
      </c>
      <c r="J717" s="6">
        <v>46237</v>
      </c>
      <c r="K717">
        <v>46237</v>
      </c>
      <c r="L717">
        <v>0</v>
      </c>
      <c r="M717">
        <v>0</v>
      </c>
      <c r="N717">
        <v>4.9268350864560689E-2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20.29700573394495</v>
      </c>
    </row>
    <row r="718" spans="1:20" x14ac:dyDescent="0.25">
      <c r="A718" s="12" t="s">
        <v>63</v>
      </c>
      <c r="B718" s="12" t="s">
        <v>38</v>
      </c>
      <c r="C718" s="12" t="s">
        <v>14</v>
      </c>
      <c r="D718" s="12">
        <v>3.3711289800323794</v>
      </c>
      <c r="E718" s="12">
        <v>1.9</v>
      </c>
      <c r="F718" s="12">
        <v>20</v>
      </c>
      <c r="G718" s="12">
        <v>1.9</v>
      </c>
      <c r="H718" s="12">
        <v>2.214532871972319</v>
      </c>
      <c r="I718" s="12" t="s">
        <v>99</v>
      </c>
      <c r="J718" s="6">
        <v>46237</v>
      </c>
      <c r="K718">
        <v>46237</v>
      </c>
      <c r="L718">
        <v>0.56360940541104732</v>
      </c>
      <c r="M718">
        <v>0.56360940541104732</v>
      </c>
      <c r="N718">
        <v>0.65691134486080938</v>
      </c>
      <c r="O718">
        <v>1.7742784105433576</v>
      </c>
      <c r="P718">
        <v>1.7742784105433576</v>
      </c>
      <c r="Q718">
        <v>1.1655436168275364</v>
      </c>
      <c r="R718">
        <v>0.85796874999999972</v>
      </c>
      <c r="S718">
        <v>0.85796874999999972</v>
      </c>
      <c r="T718">
        <v>1.522275430045871</v>
      </c>
    </row>
    <row r="719" spans="1:20" x14ac:dyDescent="0.25">
      <c r="A719" s="12" t="s">
        <v>63</v>
      </c>
      <c r="B719" s="12" t="s">
        <v>38</v>
      </c>
      <c r="C719" s="12" t="s">
        <v>14</v>
      </c>
      <c r="D719" s="12">
        <v>3.3711289800323794</v>
      </c>
      <c r="E719" s="12">
        <v>2.8499999999999996</v>
      </c>
      <c r="F719" s="12">
        <v>20</v>
      </c>
      <c r="G719" s="12">
        <v>2.8499999999999996</v>
      </c>
      <c r="H719" s="12">
        <v>1.5501730103806233</v>
      </c>
      <c r="I719" s="12" t="s">
        <v>102</v>
      </c>
      <c r="J719" s="6">
        <v>46238</v>
      </c>
      <c r="K719">
        <v>46238</v>
      </c>
      <c r="L719">
        <v>0.84541410811657103</v>
      </c>
      <c r="M719">
        <v>0.84541410811657103</v>
      </c>
      <c r="N719">
        <v>0.45983794140256656</v>
      </c>
      <c r="O719">
        <v>1.1828522736955718</v>
      </c>
      <c r="P719">
        <v>1.1828522736955718</v>
      </c>
      <c r="Q719">
        <v>0.54392035451951704</v>
      </c>
      <c r="R719">
        <v>1.8385044642857136</v>
      </c>
      <c r="S719">
        <v>1.8385044642857136</v>
      </c>
      <c r="T719">
        <v>2.1746791857798153</v>
      </c>
    </row>
    <row r="720" spans="1:20" x14ac:dyDescent="0.25">
      <c r="A720" s="12" t="s">
        <v>63</v>
      </c>
      <c r="B720" s="12" t="s">
        <v>38</v>
      </c>
      <c r="C720" s="12" t="s">
        <v>15</v>
      </c>
      <c r="D720" s="12">
        <v>1.2735376146788988</v>
      </c>
      <c r="E720" s="12">
        <v>0</v>
      </c>
      <c r="F720" s="12">
        <v>20</v>
      </c>
      <c r="G720" s="12">
        <v>0</v>
      </c>
      <c r="H720" s="12">
        <v>6.2745098039215685E-2</v>
      </c>
      <c r="I720" s="12" t="s">
        <v>103</v>
      </c>
      <c r="J720" s="6">
        <v>46238</v>
      </c>
      <c r="K720">
        <v>46238</v>
      </c>
      <c r="L720">
        <v>0</v>
      </c>
      <c r="M720">
        <v>0</v>
      </c>
      <c r="N720">
        <v>4.9268350864560689E-2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20.29700573394495</v>
      </c>
    </row>
    <row r="721" spans="1:20" x14ac:dyDescent="0.25">
      <c r="A721" s="12" t="s">
        <v>63</v>
      </c>
      <c r="B721" s="12" t="s">
        <v>38</v>
      </c>
      <c r="C721" s="12" t="s">
        <v>13</v>
      </c>
      <c r="D721" s="12">
        <v>5.8204648795871554</v>
      </c>
      <c r="E721" s="12">
        <v>0.95</v>
      </c>
      <c r="F721" s="12">
        <v>20</v>
      </c>
      <c r="G721" s="12">
        <v>0.95</v>
      </c>
      <c r="H721" s="12">
        <v>3.2941176470588225</v>
      </c>
      <c r="I721" s="12" t="s">
        <v>104</v>
      </c>
      <c r="J721" s="6">
        <v>46238</v>
      </c>
      <c r="K721">
        <v>46238</v>
      </c>
      <c r="L721">
        <v>0.16321720337695489</v>
      </c>
      <c r="M721">
        <v>0.16321720337695489</v>
      </c>
      <c r="N721">
        <v>0.56595438941854315</v>
      </c>
      <c r="O721">
        <v>6.1268051364075324</v>
      </c>
      <c r="P721">
        <v>6.1268051364075324</v>
      </c>
      <c r="Q721">
        <v>3.4674922600619187</v>
      </c>
      <c r="R721">
        <v>0.28839285714285723</v>
      </c>
      <c r="S721">
        <v>0.28839285714285723</v>
      </c>
      <c r="T721">
        <v>1.7669268384461012</v>
      </c>
    </row>
    <row r="722" spans="1:20" x14ac:dyDescent="0.25">
      <c r="A722" s="12" t="s">
        <v>63</v>
      </c>
      <c r="B722" s="12" t="s">
        <v>38</v>
      </c>
      <c r="C722" s="12" t="s">
        <v>15</v>
      </c>
      <c r="D722" s="12">
        <v>1.2735376146788988</v>
      </c>
      <c r="E722" s="12">
        <v>0.95</v>
      </c>
      <c r="F722" s="12">
        <v>20</v>
      </c>
      <c r="G722" s="12">
        <v>0.95</v>
      </c>
      <c r="H722" s="12">
        <v>6.2745098039215685E-2</v>
      </c>
      <c r="I722" s="12" t="s">
        <v>106</v>
      </c>
      <c r="J722" s="6">
        <v>46239</v>
      </c>
      <c r="K722">
        <v>46239</v>
      </c>
      <c r="L722">
        <v>0.74595362480873917</v>
      </c>
      <c r="M722">
        <v>0.74595362480873917</v>
      </c>
      <c r="N722">
        <v>4.9268350864560689E-2</v>
      </c>
      <c r="O722">
        <v>1.3405659101883145</v>
      </c>
      <c r="P722">
        <v>1.3405659101883145</v>
      </c>
      <c r="Q722">
        <v>6.6047471620227047E-2</v>
      </c>
      <c r="R722">
        <v>15.140625</v>
      </c>
      <c r="S722">
        <v>15.140625</v>
      </c>
      <c r="T722">
        <v>20.29700573394495</v>
      </c>
    </row>
    <row r="723" spans="1:20" x14ac:dyDescent="0.25">
      <c r="A723" s="12" t="s">
        <v>63</v>
      </c>
      <c r="B723" s="12" t="s">
        <v>38</v>
      </c>
      <c r="C723" s="12" t="s">
        <v>14</v>
      </c>
      <c r="D723" s="12">
        <v>3.9329838100377761</v>
      </c>
      <c r="E723" s="12">
        <v>2.8499999999999996</v>
      </c>
      <c r="F723" s="12">
        <v>20</v>
      </c>
      <c r="G723" s="12">
        <v>2.8499999999999996</v>
      </c>
      <c r="H723" s="12">
        <v>2.2113388341762041</v>
      </c>
      <c r="I723" s="12" t="s">
        <v>107</v>
      </c>
      <c r="J723" s="6">
        <v>46239</v>
      </c>
      <c r="K723">
        <v>46239</v>
      </c>
      <c r="L723">
        <v>0.72464066409991801</v>
      </c>
      <c r="M723">
        <v>0.72464066409991801</v>
      </c>
      <c r="N723">
        <v>0.56225475134995895</v>
      </c>
      <c r="O723">
        <v>1.3799943193115005</v>
      </c>
      <c r="P723">
        <v>1.3799943193115005</v>
      </c>
      <c r="Q723">
        <v>0.77590836286884368</v>
      </c>
      <c r="R723">
        <v>1.2888119884448723</v>
      </c>
      <c r="S723">
        <v>1.2888119884448723</v>
      </c>
      <c r="T723">
        <v>1.7785532227144831</v>
      </c>
    </row>
    <row r="724" spans="1:20" x14ac:dyDescent="0.25">
      <c r="A724" s="12" t="s">
        <v>63</v>
      </c>
      <c r="B724" s="12" t="s">
        <v>38</v>
      </c>
      <c r="C724" s="12" t="s">
        <v>13</v>
      </c>
      <c r="D724" s="12">
        <v>4.6265233658256877</v>
      </c>
      <c r="E724" s="12">
        <v>4.75</v>
      </c>
      <c r="F724" s="12">
        <v>20</v>
      </c>
      <c r="G724" s="12">
        <v>4.75</v>
      </c>
      <c r="H724" s="12">
        <v>2.3416289592760191</v>
      </c>
      <c r="I724" s="12" t="s">
        <v>105</v>
      </c>
      <c r="J724" s="6">
        <v>46239</v>
      </c>
      <c r="K724">
        <v>46239</v>
      </c>
      <c r="L724">
        <v>1.0266888599518129</v>
      </c>
      <c r="M724">
        <v>1.0266888599518129</v>
      </c>
      <c r="N724">
        <v>0.50613144560615719</v>
      </c>
      <c r="O724">
        <v>0.97400491912119735</v>
      </c>
      <c r="P724">
        <v>0.97400491912119735</v>
      </c>
      <c r="Q724">
        <v>0.49297451774231982</v>
      </c>
      <c r="R724">
        <v>2.0285024154589362</v>
      </c>
      <c r="S724">
        <v>2.0285024154589362</v>
      </c>
      <c r="T724">
        <v>1.9757713311062348</v>
      </c>
    </row>
    <row r="725" spans="1:20" x14ac:dyDescent="0.25">
      <c r="A725" s="12" t="s">
        <v>63</v>
      </c>
      <c r="B725" s="12" t="s">
        <v>38</v>
      </c>
      <c r="C725" s="12" t="s">
        <v>15</v>
      </c>
      <c r="D725" s="12">
        <v>1.2735376146788988</v>
      </c>
      <c r="E725" s="12">
        <v>0</v>
      </c>
      <c r="F725" s="12">
        <v>20</v>
      </c>
      <c r="G725" s="12">
        <v>0</v>
      </c>
      <c r="H725" s="12">
        <v>6.2745098039215685E-2</v>
      </c>
      <c r="I725" s="12" t="s">
        <v>109</v>
      </c>
      <c r="J725" s="6">
        <v>46240</v>
      </c>
      <c r="K725">
        <v>46240</v>
      </c>
      <c r="L725">
        <v>0</v>
      </c>
      <c r="M725">
        <v>0</v>
      </c>
      <c r="N725">
        <v>4.9268350864560689E-2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20.29700573394495</v>
      </c>
    </row>
    <row r="726" spans="1:20" x14ac:dyDescent="0.25">
      <c r="A726" s="12" t="s">
        <v>63</v>
      </c>
      <c r="B726" s="12" t="s">
        <v>38</v>
      </c>
      <c r="C726" s="12" t="s">
        <v>13</v>
      </c>
      <c r="D726" s="12">
        <v>5.9697075688073395</v>
      </c>
      <c r="E726" s="12">
        <v>0.95</v>
      </c>
      <c r="F726" s="12">
        <v>20</v>
      </c>
      <c r="G726" s="12">
        <v>0.95</v>
      </c>
      <c r="H726" s="12">
        <v>2.514705882352942</v>
      </c>
      <c r="I726" s="12" t="s">
        <v>108</v>
      </c>
      <c r="J726" s="6">
        <v>46240</v>
      </c>
      <c r="K726">
        <v>46240</v>
      </c>
      <c r="L726">
        <v>0.15913677329253098</v>
      </c>
      <c r="M726">
        <v>0.15913677329253098</v>
      </c>
      <c r="N726">
        <v>0.42124439989199397</v>
      </c>
      <c r="O726">
        <v>6.2839027040077262</v>
      </c>
      <c r="P726">
        <v>6.2839027040077262</v>
      </c>
      <c r="Q726">
        <v>2.6470588235294126</v>
      </c>
      <c r="R726">
        <v>0.37777777777777766</v>
      </c>
      <c r="S726">
        <v>0.37777777777777766</v>
      </c>
      <c r="T726">
        <v>2.3739187992918067</v>
      </c>
    </row>
    <row r="727" spans="1:20" x14ac:dyDescent="0.25">
      <c r="A727" s="12" t="s">
        <v>63</v>
      </c>
      <c r="B727" s="12" t="s">
        <v>38</v>
      </c>
      <c r="C727" s="12" t="s">
        <v>14</v>
      </c>
      <c r="D727" s="12">
        <v>3.5115926875337284</v>
      </c>
      <c r="E727" s="12">
        <v>2.8499999999999996</v>
      </c>
      <c r="F727" s="12">
        <v>20</v>
      </c>
      <c r="G727" s="12">
        <v>2.8499999999999996</v>
      </c>
      <c r="H727" s="12">
        <v>2.0484429065743943</v>
      </c>
      <c r="I727" s="12" t="s">
        <v>110</v>
      </c>
      <c r="J727" s="6">
        <v>46240</v>
      </c>
      <c r="K727">
        <v>46240</v>
      </c>
      <c r="L727">
        <v>0.81159754379190818</v>
      </c>
      <c r="M727">
        <v>0.81159754379190818</v>
      </c>
      <c r="N727">
        <v>0.58333727423639858</v>
      </c>
      <c r="O727">
        <v>1.2321377850995541</v>
      </c>
      <c r="P727">
        <v>1.2321377850995541</v>
      </c>
      <c r="Q727">
        <v>0.71875189704364717</v>
      </c>
      <c r="R727">
        <v>1.3913006756756756</v>
      </c>
      <c r="S727">
        <v>1.3913006756756756</v>
      </c>
      <c r="T727">
        <v>1.7142741329345399</v>
      </c>
    </row>
    <row r="728" spans="1:20" x14ac:dyDescent="0.25">
      <c r="A728" s="12" t="s">
        <v>63</v>
      </c>
      <c r="B728" s="12" t="s">
        <v>38</v>
      </c>
      <c r="C728" s="12" t="s">
        <v>14</v>
      </c>
      <c r="D728" s="12">
        <v>2.2474193200215868</v>
      </c>
      <c r="E728" s="12">
        <v>1.9</v>
      </c>
      <c r="F728" s="12">
        <v>20</v>
      </c>
      <c r="G728" s="12">
        <v>1.9</v>
      </c>
      <c r="H728" s="12">
        <v>2.269896193771626</v>
      </c>
      <c r="I728" s="12" t="s">
        <v>111</v>
      </c>
      <c r="J728" s="6">
        <v>46241</v>
      </c>
      <c r="K728">
        <v>46241</v>
      </c>
      <c r="L728">
        <v>0.84541410811657081</v>
      </c>
      <c r="M728">
        <v>0.84541410811657081</v>
      </c>
      <c r="N728">
        <v>1.0100011927234938</v>
      </c>
      <c r="O728">
        <v>1.182852273695572</v>
      </c>
      <c r="P728">
        <v>1.182852273695572</v>
      </c>
      <c r="Q728">
        <v>1.1946822072482242</v>
      </c>
      <c r="R728">
        <v>0.83704268292682937</v>
      </c>
      <c r="S728">
        <v>0.83704268292682937</v>
      </c>
      <c r="T728">
        <v>0.99009784068024187</v>
      </c>
    </row>
    <row r="729" spans="1:20" x14ac:dyDescent="0.25">
      <c r="A729" s="12" t="s">
        <v>63</v>
      </c>
      <c r="B729" s="12" t="s">
        <v>38</v>
      </c>
      <c r="C729" s="12" t="s">
        <v>15</v>
      </c>
      <c r="D729" s="12">
        <v>1.2735376146788988</v>
      </c>
      <c r="E729" s="12">
        <v>0</v>
      </c>
      <c r="F729" s="12">
        <v>20</v>
      </c>
      <c r="G729" s="12">
        <v>0</v>
      </c>
      <c r="H729" s="12">
        <v>6.2745098039215685E-2</v>
      </c>
      <c r="I729" s="12" t="s">
        <v>138</v>
      </c>
      <c r="J729" s="6">
        <v>46241</v>
      </c>
      <c r="K729">
        <v>46241</v>
      </c>
      <c r="L729">
        <v>0</v>
      </c>
      <c r="M729">
        <v>0</v>
      </c>
      <c r="N729">
        <v>4.9268350864560689E-2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20.29700573394495</v>
      </c>
    </row>
    <row r="730" spans="1:20" x14ac:dyDescent="0.25">
      <c r="A730" s="12" t="s">
        <v>63</v>
      </c>
      <c r="B730" s="12" t="s">
        <v>38</v>
      </c>
      <c r="C730" s="12" t="s">
        <v>13</v>
      </c>
      <c r="D730" s="12">
        <v>4.7757660550458709</v>
      </c>
      <c r="E730" s="12">
        <v>4.75</v>
      </c>
      <c r="F730" s="12">
        <v>20</v>
      </c>
      <c r="G730" s="12">
        <v>4.75</v>
      </c>
      <c r="H730" s="12">
        <v>4.0294117647058805</v>
      </c>
      <c r="I730" s="12" t="s">
        <v>112</v>
      </c>
      <c r="J730" s="6">
        <v>46241</v>
      </c>
      <c r="K730">
        <v>46241</v>
      </c>
      <c r="L730">
        <v>0.99460483307831893</v>
      </c>
      <c r="M730">
        <v>0.99460483307831893</v>
      </c>
      <c r="N730">
        <v>0.84372050855560143</v>
      </c>
      <c r="O730">
        <v>1.005424432641236</v>
      </c>
      <c r="P730">
        <v>1.005424432641236</v>
      </c>
      <c r="Q730">
        <v>0.8482972136222906</v>
      </c>
      <c r="R730">
        <v>1.1788321167883218</v>
      </c>
      <c r="S730">
        <v>1.1788321167883218</v>
      </c>
      <c r="T730">
        <v>1.1852266122011657</v>
      </c>
    </row>
    <row r="731" spans="1:20" x14ac:dyDescent="0.25">
      <c r="A731" s="12" t="s">
        <v>63</v>
      </c>
      <c r="B731" s="12" t="s">
        <v>38</v>
      </c>
      <c r="C731" s="12" t="s">
        <v>14</v>
      </c>
      <c r="D731" s="12">
        <v>3.3711289800323798</v>
      </c>
      <c r="E731" s="12">
        <v>2.8499999999999996</v>
      </c>
      <c r="F731" s="12">
        <v>20</v>
      </c>
      <c r="G731" s="12">
        <v>2.8499999999999996</v>
      </c>
      <c r="H731" s="12">
        <v>1.9238754325259515</v>
      </c>
      <c r="I731" s="12" t="s">
        <v>114</v>
      </c>
      <c r="J731" s="6">
        <v>46242</v>
      </c>
      <c r="K731">
        <v>46242</v>
      </c>
      <c r="L731">
        <v>0.84541410811657092</v>
      </c>
      <c r="M731">
        <v>0.84541410811657092</v>
      </c>
      <c r="N731">
        <v>0.57069173084782787</v>
      </c>
      <c r="O731">
        <v>1.182852273695572</v>
      </c>
      <c r="P731">
        <v>1.182852273695572</v>
      </c>
      <c r="Q731">
        <v>0.67504401141261461</v>
      </c>
      <c r="R731">
        <v>1.4813848920863308</v>
      </c>
      <c r="S731">
        <v>1.4813848920863308</v>
      </c>
      <c r="T731">
        <v>1.7522594878225859</v>
      </c>
    </row>
    <row r="732" spans="1:20" x14ac:dyDescent="0.25">
      <c r="A732" s="12" t="s">
        <v>63</v>
      </c>
      <c r="B732" s="12" t="s">
        <v>38</v>
      </c>
      <c r="C732" s="12" t="s">
        <v>15</v>
      </c>
      <c r="D732" s="12">
        <v>1.2735376146788988</v>
      </c>
      <c r="E732" s="12">
        <v>0</v>
      </c>
      <c r="F732" s="12">
        <v>20</v>
      </c>
      <c r="G732" s="12">
        <v>0</v>
      </c>
      <c r="H732" s="12">
        <v>6.2745098039215685E-2</v>
      </c>
      <c r="I732" s="12" t="s">
        <v>113</v>
      </c>
      <c r="J732" s="6">
        <v>46242</v>
      </c>
      <c r="K732">
        <v>46242</v>
      </c>
      <c r="L732">
        <v>0</v>
      </c>
      <c r="M732">
        <v>0</v>
      </c>
      <c r="N732">
        <v>4.9268350864560689E-2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20.29700573394495</v>
      </c>
    </row>
    <row r="733" spans="1:20" x14ac:dyDescent="0.25">
      <c r="A733" s="12" t="s">
        <v>63</v>
      </c>
      <c r="B733" s="12" t="s">
        <v>38</v>
      </c>
      <c r="C733" s="12" t="s">
        <v>13</v>
      </c>
      <c r="D733" s="12">
        <v>2.3878830275229355</v>
      </c>
      <c r="E733" s="12">
        <v>0.95</v>
      </c>
      <c r="F733" s="12">
        <v>20</v>
      </c>
      <c r="G733" s="12">
        <v>0.95</v>
      </c>
      <c r="H733" s="12">
        <v>1.6470588235294119</v>
      </c>
      <c r="I733" s="12" t="s">
        <v>139</v>
      </c>
      <c r="J733" s="6">
        <v>46242</v>
      </c>
      <c r="K733">
        <v>46242</v>
      </c>
      <c r="L733">
        <v>0.39784193323132755</v>
      </c>
      <c r="M733">
        <v>0.39784193323132755</v>
      </c>
      <c r="N733">
        <v>0.68975691210384971</v>
      </c>
      <c r="O733">
        <v>2.5135610816030902</v>
      </c>
      <c r="P733">
        <v>2.5135610816030902</v>
      </c>
      <c r="Q733">
        <v>1.73374613003096</v>
      </c>
      <c r="R733">
        <v>0.57678571428571423</v>
      </c>
      <c r="S733">
        <v>0.57678571428571423</v>
      </c>
      <c r="T733">
        <v>1.4497861238532106</v>
      </c>
    </row>
    <row r="734" spans="1:20" x14ac:dyDescent="0.25">
      <c r="A734" s="12" t="s">
        <v>63</v>
      </c>
      <c r="B734" s="12" t="s">
        <v>38</v>
      </c>
      <c r="C734" s="12" t="s">
        <v>13</v>
      </c>
      <c r="D734" s="12">
        <v>3.507203196674312</v>
      </c>
      <c r="E734" s="12">
        <v>0.95</v>
      </c>
      <c r="F734" s="12">
        <v>20</v>
      </c>
      <c r="G734" s="12">
        <v>0.95</v>
      </c>
      <c r="H734" s="12">
        <v>1.6911764705882355</v>
      </c>
      <c r="I734" s="12" t="s">
        <v>115</v>
      </c>
      <c r="J734" s="6">
        <v>46243</v>
      </c>
      <c r="K734">
        <v>46243</v>
      </c>
      <c r="L734">
        <v>0.2708711034766485</v>
      </c>
      <c r="M734">
        <v>0.2708711034766485</v>
      </c>
      <c r="N734">
        <v>0.48220088080208334</v>
      </c>
      <c r="O734">
        <v>3.6917928386045391</v>
      </c>
      <c r="P734">
        <v>3.6917928386045391</v>
      </c>
      <c r="Q734">
        <v>1.7801857585139322</v>
      </c>
      <c r="R734">
        <v>0.56173913043478252</v>
      </c>
      <c r="S734">
        <v>0.56173913043478252</v>
      </c>
      <c r="T734">
        <v>2.0738244989030714</v>
      </c>
    </row>
    <row r="735" spans="1:20" x14ac:dyDescent="0.25">
      <c r="A735" s="12" t="s">
        <v>63</v>
      </c>
      <c r="B735" s="12" t="s">
        <v>38</v>
      </c>
      <c r="C735" s="12" t="s">
        <v>15</v>
      </c>
      <c r="D735" s="12">
        <v>1.2735376146788988</v>
      </c>
      <c r="E735" s="12">
        <v>0</v>
      </c>
      <c r="F735" s="12">
        <v>20</v>
      </c>
      <c r="G735" s="12">
        <v>0</v>
      </c>
      <c r="H735" s="12">
        <v>6.2745098039215685E-2</v>
      </c>
      <c r="I735" s="12" t="s">
        <v>141</v>
      </c>
      <c r="J735" s="6">
        <v>46243</v>
      </c>
      <c r="K735">
        <v>46243</v>
      </c>
      <c r="L735">
        <v>0</v>
      </c>
      <c r="M735">
        <v>0</v>
      </c>
      <c r="N735">
        <v>4.9268350864560689E-2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20.29700573394495</v>
      </c>
    </row>
    <row r="736" spans="1:20" x14ac:dyDescent="0.25">
      <c r="A736" s="12" t="s">
        <v>63</v>
      </c>
      <c r="B736" s="12" t="s">
        <v>38</v>
      </c>
      <c r="C736" s="12" t="s">
        <v>14</v>
      </c>
      <c r="D736" s="12">
        <v>3.3711289800323798</v>
      </c>
      <c r="E736" s="12">
        <v>2.8499999999999996</v>
      </c>
      <c r="F736" s="12">
        <v>20</v>
      </c>
      <c r="G736" s="12">
        <v>2.8499999999999996</v>
      </c>
      <c r="H736" s="12">
        <v>1.882352941176471</v>
      </c>
      <c r="I736" s="12" t="s">
        <v>140</v>
      </c>
      <c r="J736" s="6">
        <v>46243</v>
      </c>
      <c r="K736">
        <v>46243</v>
      </c>
      <c r="L736">
        <v>0.84541410811657092</v>
      </c>
      <c r="M736">
        <v>0.84541410811657092</v>
      </c>
      <c r="N736">
        <v>0.55837464313168783</v>
      </c>
      <c r="O736">
        <v>1.182852273695572</v>
      </c>
      <c r="P736">
        <v>1.182852273695572</v>
      </c>
      <c r="Q736">
        <v>0.66047471620227061</v>
      </c>
      <c r="R736">
        <v>1.5140624999999994</v>
      </c>
      <c r="S736">
        <v>1.5140624999999994</v>
      </c>
      <c r="T736">
        <v>1.7909122706422014</v>
      </c>
    </row>
    <row r="737" spans="1:20" x14ac:dyDescent="0.25">
      <c r="A737" s="12" t="s">
        <v>63</v>
      </c>
      <c r="B737" s="12" t="s">
        <v>38</v>
      </c>
      <c r="C737" s="12" t="s">
        <v>13</v>
      </c>
      <c r="D737" s="12">
        <v>3.507203196674312</v>
      </c>
      <c r="E737" s="12">
        <v>0.95</v>
      </c>
      <c r="F737" s="12">
        <v>20</v>
      </c>
      <c r="G737" s="12">
        <v>0.95</v>
      </c>
      <c r="H737" s="12">
        <v>3.2205882352941169</v>
      </c>
      <c r="I737" s="12" t="s">
        <v>142</v>
      </c>
      <c r="J737" s="6">
        <v>46244</v>
      </c>
      <c r="K737">
        <v>46244</v>
      </c>
      <c r="L737">
        <v>0.2708711034766485</v>
      </c>
      <c r="M737">
        <v>0.2708711034766485</v>
      </c>
      <c r="N737">
        <v>0.91827819909266273</v>
      </c>
      <c r="O737">
        <v>3.6917928386045391</v>
      </c>
      <c r="P737">
        <v>3.6917928386045391</v>
      </c>
      <c r="Q737">
        <v>3.3900928792569651</v>
      </c>
      <c r="R737">
        <v>0.29497716894977177</v>
      </c>
      <c r="S737">
        <v>0.29497716894977177</v>
      </c>
      <c r="T737">
        <v>1.0889945998806085</v>
      </c>
    </row>
    <row r="738" spans="1:20" x14ac:dyDescent="0.25">
      <c r="A738" s="12" t="s">
        <v>63</v>
      </c>
      <c r="B738" s="12" t="s">
        <v>38</v>
      </c>
      <c r="C738" s="12" t="s">
        <v>15</v>
      </c>
      <c r="D738" s="12">
        <v>1.2735376146788988</v>
      </c>
      <c r="E738" s="12">
        <v>0</v>
      </c>
      <c r="F738" s="12">
        <v>20</v>
      </c>
      <c r="G738" s="12">
        <v>0</v>
      </c>
      <c r="H738" s="12">
        <v>6.2745098039215685E-2</v>
      </c>
      <c r="I738" s="12" t="s">
        <v>117</v>
      </c>
      <c r="J738" s="6">
        <v>46244</v>
      </c>
      <c r="K738">
        <v>46244</v>
      </c>
      <c r="L738">
        <v>0</v>
      </c>
      <c r="M738">
        <v>0</v>
      </c>
      <c r="N738">
        <v>4.9268350864560689E-2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20.29700573394495</v>
      </c>
    </row>
    <row r="739" spans="1:20" x14ac:dyDescent="0.25">
      <c r="A739" s="12" t="s">
        <v>63</v>
      </c>
      <c r="B739" s="12" t="s">
        <v>38</v>
      </c>
      <c r="C739" s="12" t="s">
        <v>14</v>
      </c>
      <c r="D739" s="12">
        <v>3.3711289800323794</v>
      </c>
      <c r="E739" s="12">
        <v>2.8499999999999996</v>
      </c>
      <c r="F739" s="12">
        <v>20</v>
      </c>
      <c r="G739" s="12">
        <v>2.8499999999999996</v>
      </c>
      <c r="H739" s="12">
        <v>1.3840830449826986</v>
      </c>
      <c r="I739" s="12" t="s">
        <v>116</v>
      </c>
      <c r="J739" s="6">
        <v>46244</v>
      </c>
      <c r="K739">
        <v>46244</v>
      </c>
      <c r="L739">
        <v>0.84541410811657103</v>
      </c>
      <c r="M739">
        <v>0.84541410811657103</v>
      </c>
      <c r="N739">
        <v>0.41056959053800562</v>
      </c>
      <c r="O739">
        <v>1.1828522736955718</v>
      </c>
      <c r="P739">
        <v>1.1828522736955718</v>
      </c>
      <c r="Q739">
        <v>0.48564317367813992</v>
      </c>
      <c r="R739">
        <v>2.0591250000000003</v>
      </c>
      <c r="S739">
        <v>2.0591250000000003</v>
      </c>
      <c r="T739">
        <v>2.4356406880733945</v>
      </c>
    </row>
    <row r="740" spans="1:20" x14ac:dyDescent="0.25">
      <c r="A740" s="12" t="s">
        <v>63</v>
      </c>
      <c r="B740" s="12" t="s">
        <v>38</v>
      </c>
      <c r="C740" s="12" t="s">
        <v>14</v>
      </c>
      <c r="D740" s="12">
        <v>3.3711289800323794</v>
      </c>
      <c r="E740" s="12">
        <v>1.9</v>
      </c>
      <c r="F740" s="12">
        <v>20</v>
      </c>
      <c r="G740" s="12">
        <v>1.9</v>
      </c>
      <c r="H740" s="12">
        <v>1.2179930795847749</v>
      </c>
      <c r="I740" s="12" t="s">
        <v>119</v>
      </c>
      <c r="J740" s="6">
        <v>46245</v>
      </c>
      <c r="K740">
        <v>46245</v>
      </c>
      <c r="L740">
        <v>0.56360940541104732</v>
      </c>
      <c r="M740">
        <v>0.56360940541104732</v>
      </c>
      <c r="N740">
        <v>0.36130123967344502</v>
      </c>
      <c r="O740">
        <v>1.7742784105433576</v>
      </c>
      <c r="P740">
        <v>1.7742784105433576</v>
      </c>
      <c r="Q740">
        <v>0.64104898925514475</v>
      </c>
      <c r="R740">
        <v>1.5599431818181819</v>
      </c>
      <c r="S740">
        <v>1.5599431818181819</v>
      </c>
      <c r="T740">
        <v>2.7677735091743121</v>
      </c>
    </row>
    <row r="741" spans="1:20" x14ac:dyDescent="0.25">
      <c r="A741" s="12" t="s">
        <v>63</v>
      </c>
      <c r="B741" s="12" t="s">
        <v>38</v>
      </c>
      <c r="C741" s="12" t="s">
        <v>15</v>
      </c>
      <c r="D741" s="12">
        <v>1.2735376146788988</v>
      </c>
      <c r="E741" s="12">
        <v>0</v>
      </c>
      <c r="F741" s="12">
        <v>20</v>
      </c>
      <c r="G741" s="12">
        <v>0</v>
      </c>
      <c r="H741" s="12">
        <v>6.2745098039215685E-2</v>
      </c>
      <c r="I741" s="12" t="s">
        <v>120</v>
      </c>
      <c r="J741" s="6">
        <v>46245</v>
      </c>
      <c r="K741">
        <v>46245</v>
      </c>
      <c r="L741">
        <v>0</v>
      </c>
      <c r="M741">
        <v>0</v>
      </c>
      <c r="N741">
        <v>4.9268350864560689E-2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20.29700573394495</v>
      </c>
    </row>
    <row r="742" spans="1:20" x14ac:dyDescent="0.25">
      <c r="A742" s="12" t="s">
        <v>63</v>
      </c>
      <c r="B742" s="12" t="s">
        <v>38</v>
      </c>
      <c r="C742" s="12" t="s">
        <v>13</v>
      </c>
      <c r="D742" s="12">
        <v>7.014406393348624</v>
      </c>
      <c r="E742" s="12">
        <v>0.95</v>
      </c>
      <c r="F742" s="12">
        <v>20</v>
      </c>
      <c r="G742" s="12">
        <v>0.95</v>
      </c>
      <c r="H742" s="12">
        <v>3.1470588235294112</v>
      </c>
      <c r="I742" s="12" t="s">
        <v>118</v>
      </c>
      <c r="J742" s="6">
        <v>46245</v>
      </c>
      <c r="K742">
        <v>46245</v>
      </c>
      <c r="L742">
        <v>0.13543555173832425</v>
      </c>
      <c r="M742">
        <v>0.13543555173832425</v>
      </c>
      <c r="N742">
        <v>0.44865647170280781</v>
      </c>
      <c r="O742">
        <v>7.3835856772090782</v>
      </c>
      <c r="P742">
        <v>7.3835856772090782</v>
      </c>
      <c r="Q742">
        <v>3.312693498452012</v>
      </c>
      <c r="R742">
        <v>0.30186915887850468</v>
      </c>
      <c r="S742">
        <v>0.30186915887850468</v>
      </c>
      <c r="T742">
        <v>2.2288767978864792</v>
      </c>
    </row>
    <row r="743" spans="1:20" x14ac:dyDescent="0.25">
      <c r="A743" s="12" t="s">
        <v>63</v>
      </c>
      <c r="B743" s="12" t="s">
        <v>38</v>
      </c>
      <c r="C743" s="12" t="s">
        <v>13</v>
      </c>
      <c r="D743" s="12">
        <v>5.8204648795871554</v>
      </c>
      <c r="E743" s="12">
        <v>2.8499999999999996</v>
      </c>
      <c r="F743" s="12">
        <v>20</v>
      </c>
      <c r="G743" s="12">
        <v>2.8499999999999996</v>
      </c>
      <c r="H743" s="12">
        <v>3.2205882352941169</v>
      </c>
      <c r="I743" s="12" t="s">
        <v>121</v>
      </c>
      <c r="J743" s="6">
        <v>46246</v>
      </c>
      <c r="K743">
        <v>46246</v>
      </c>
      <c r="L743">
        <v>0.48965161013086461</v>
      </c>
      <c r="M743">
        <v>0.48965161013086461</v>
      </c>
      <c r="N743">
        <v>0.5533214789404507</v>
      </c>
      <c r="O743">
        <v>2.0422683788025111</v>
      </c>
      <c r="P743">
        <v>2.0422683788025111</v>
      </c>
      <c r="Q743">
        <v>1.1300309597523219</v>
      </c>
      <c r="R743">
        <v>0.88493150684931521</v>
      </c>
      <c r="S743">
        <v>0.88493150684931521</v>
      </c>
      <c r="T743">
        <v>1.807267633844414</v>
      </c>
    </row>
    <row r="744" spans="1:20" x14ac:dyDescent="0.25">
      <c r="A744" s="12" t="s">
        <v>63</v>
      </c>
      <c r="B744" s="12" t="s">
        <v>38</v>
      </c>
      <c r="C744" s="12" t="s">
        <v>15</v>
      </c>
      <c r="D744" s="12">
        <v>1.2735376146788988</v>
      </c>
      <c r="E744" s="12">
        <v>0</v>
      </c>
      <c r="F744" s="12">
        <v>20</v>
      </c>
      <c r="G744" s="12">
        <v>0</v>
      </c>
      <c r="H744" s="12">
        <v>6.2745098039215685E-2</v>
      </c>
      <c r="I744" s="12" t="s">
        <v>122</v>
      </c>
      <c r="J744" s="6">
        <v>46246</v>
      </c>
      <c r="K744">
        <v>46246</v>
      </c>
      <c r="L744">
        <v>0</v>
      </c>
      <c r="M744">
        <v>0</v>
      </c>
      <c r="N744">
        <v>4.9268350864560689E-2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20.29700573394495</v>
      </c>
    </row>
    <row r="745" spans="1:20" x14ac:dyDescent="0.25">
      <c r="A745" s="12" t="s">
        <v>63</v>
      </c>
      <c r="B745" s="12" t="s">
        <v>38</v>
      </c>
      <c r="C745" s="12" t="s">
        <v>14</v>
      </c>
      <c r="D745" s="12">
        <v>2.2474193200215864</v>
      </c>
      <c r="E745" s="12">
        <v>0.95</v>
      </c>
      <c r="F745" s="12">
        <v>20</v>
      </c>
      <c r="G745" s="12">
        <v>0.95</v>
      </c>
      <c r="H745" s="12">
        <v>1.3840830449826986</v>
      </c>
      <c r="I745" s="12" t="s">
        <v>123</v>
      </c>
      <c r="J745" s="6">
        <v>46246</v>
      </c>
      <c r="K745">
        <v>46246</v>
      </c>
      <c r="L745">
        <v>0.42270705405828551</v>
      </c>
      <c r="M745">
        <v>0.42270705405828551</v>
      </c>
      <c r="N745">
        <v>0.61585438580700846</v>
      </c>
      <c r="O745">
        <v>2.3657045473911436</v>
      </c>
      <c r="P745">
        <v>2.3657045473911436</v>
      </c>
      <c r="Q745">
        <v>1.4569295210344197</v>
      </c>
      <c r="R745">
        <v>0.68637500000000018</v>
      </c>
      <c r="S745">
        <v>0.68637500000000018</v>
      </c>
      <c r="T745">
        <v>1.6237604587155965</v>
      </c>
    </row>
    <row r="746" spans="1:20" x14ac:dyDescent="0.25">
      <c r="A746" s="12" t="s">
        <v>63</v>
      </c>
      <c r="B746" s="12" t="s">
        <v>38</v>
      </c>
      <c r="C746" s="12" t="s">
        <v>14</v>
      </c>
      <c r="D746" s="12">
        <v>3.3711289800323794</v>
      </c>
      <c r="E746" s="12">
        <v>1.9</v>
      </c>
      <c r="F746" s="12">
        <v>20</v>
      </c>
      <c r="G746" s="12">
        <v>1.9</v>
      </c>
      <c r="H746" s="12">
        <v>3.0449826989619377</v>
      </c>
      <c r="I746" s="12" t="s">
        <v>124</v>
      </c>
      <c r="J746" s="6">
        <v>46247</v>
      </c>
      <c r="K746">
        <v>46247</v>
      </c>
      <c r="L746">
        <v>0.56360940541104732</v>
      </c>
      <c r="M746">
        <v>0.56360940541104732</v>
      </c>
      <c r="N746">
        <v>0.90325309918361263</v>
      </c>
      <c r="O746">
        <v>1.7742784105433576</v>
      </c>
      <c r="P746">
        <v>1.7742784105433576</v>
      </c>
      <c r="Q746">
        <v>1.602622473137862</v>
      </c>
      <c r="R746">
        <v>0.62397727272727266</v>
      </c>
      <c r="S746">
        <v>0.62397727272727266</v>
      </c>
      <c r="T746">
        <v>1.1071094036697247</v>
      </c>
    </row>
    <row r="747" spans="1:20" x14ac:dyDescent="0.25">
      <c r="A747" s="12" t="s">
        <v>63</v>
      </c>
      <c r="B747" s="12" t="s">
        <v>38</v>
      </c>
      <c r="C747" s="12" t="s">
        <v>15</v>
      </c>
      <c r="D747" s="12">
        <v>1.2735376146788988</v>
      </c>
      <c r="E747" s="12">
        <v>0</v>
      </c>
      <c r="F747" s="12">
        <v>20</v>
      </c>
      <c r="G747" s="12">
        <v>0</v>
      </c>
      <c r="H747" s="12">
        <v>6.2745098039215685E-2</v>
      </c>
      <c r="I747" s="12" t="s">
        <v>125</v>
      </c>
      <c r="J747" s="6">
        <v>46247</v>
      </c>
      <c r="K747">
        <v>46247</v>
      </c>
      <c r="L747">
        <v>0</v>
      </c>
      <c r="M747">
        <v>0</v>
      </c>
      <c r="N747">
        <v>4.9268350864560689E-2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20.29700573394495</v>
      </c>
    </row>
    <row r="748" spans="1:20" x14ac:dyDescent="0.25">
      <c r="A748" s="12" t="s">
        <v>63</v>
      </c>
      <c r="B748" s="12" t="s">
        <v>38</v>
      </c>
      <c r="C748" s="12" t="s">
        <v>13</v>
      </c>
      <c r="D748" s="12">
        <v>5.7458435349770651</v>
      </c>
      <c r="E748" s="12">
        <v>3.8</v>
      </c>
      <c r="F748" s="12">
        <v>20</v>
      </c>
      <c r="G748" s="12">
        <v>3.8</v>
      </c>
      <c r="H748" s="12">
        <v>2.7058823529411775</v>
      </c>
      <c r="I748" s="12" t="s">
        <v>126</v>
      </c>
      <c r="J748" s="6">
        <v>46247</v>
      </c>
      <c r="K748">
        <v>46247</v>
      </c>
      <c r="L748">
        <v>0.66134762926766122</v>
      </c>
      <c r="M748">
        <v>0.66134762926766122</v>
      </c>
      <c r="N748">
        <v>0.470928652419697</v>
      </c>
      <c r="O748">
        <v>1.5120640881518592</v>
      </c>
      <c r="P748">
        <v>1.5120640881518592</v>
      </c>
      <c r="Q748">
        <v>0.71207430340557309</v>
      </c>
      <c r="R748">
        <v>1.404347826086956</v>
      </c>
      <c r="S748">
        <v>1.404347826086956</v>
      </c>
      <c r="T748">
        <v>2.1234639151002188</v>
      </c>
    </row>
    <row r="749" spans="1:20" x14ac:dyDescent="0.25">
      <c r="A749" s="12" t="s">
        <v>63</v>
      </c>
      <c r="B749" s="12" t="s">
        <v>38</v>
      </c>
      <c r="C749" s="12" t="s">
        <v>14</v>
      </c>
      <c r="D749" s="12">
        <v>2.2474193200215864</v>
      </c>
      <c r="E749" s="12">
        <v>2.8499999999999996</v>
      </c>
      <c r="F749" s="12">
        <v>20</v>
      </c>
      <c r="G749" s="12">
        <v>2.8499999999999996</v>
      </c>
      <c r="H749" s="12">
        <v>3.1003460207612448</v>
      </c>
      <c r="I749" s="12" t="s">
        <v>127</v>
      </c>
      <c r="J749" s="6">
        <v>46248</v>
      </c>
      <c r="K749">
        <v>46248</v>
      </c>
      <c r="L749">
        <v>1.2681211621748565</v>
      </c>
      <c r="M749">
        <v>1.2681211621748565</v>
      </c>
      <c r="N749">
        <v>1.3795138242076987</v>
      </c>
      <c r="O749">
        <v>0.78856818246371463</v>
      </c>
      <c r="P749">
        <v>0.78856818246371463</v>
      </c>
      <c r="Q749">
        <v>1.0878407090390334</v>
      </c>
      <c r="R749">
        <v>0.91925223214285734</v>
      </c>
      <c r="S749">
        <v>0.91925223214285734</v>
      </c>
      <c r="T749">
        <v>0.72489306192660563</v>
      </c>
    </row>
    <row r="750" spans="1:20" x14ac:dyDescent="0.25">
      <c r="A750" s="12" t="s">
        <v>63</v>
      </c>
      <c r="B750" s="12" t="s">
        <v>38</v>
      </c>
      <c r="C750" s="12" t="s">
        <v>15</v>
      </c>
      <c r="D750" s="12">
        <v>1.2735376146788988</v>
      </c>
      <c r="E750" s="12">
        <v>0</v>
      </c>
      <c r="F750" s="12">
        <v>20</v>
      </c>
      <c r="G750" s="12">
        <v>0</v>
      </c>
      <c r="H750" s="12">
        <v>6.2745098039215685E-2</v>
      </c>
      <c r="I750" s="12" t="s">
        <v>129</v>
      </c>
      <c r="J750" s="6">
        <v>46248</v>
      </c>
      <c r="K750">
        <v>46248</v>
      </c>
      <c r="L750">
        <v>0</v>
      </c>
      <c r="M750">
        <v>0</v>
      </c>
      <c r="N750">
        <v>4.9268350864560689E-2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20.29700573394495</v>
      </c>
    </row>
    <row r="751" spans="1:20" x14ac:dyDescent="0.25">
      <c r="A751" s="12" t="s">
        <v>63</v>
      </c>
      <c r="B751" s="12" t="s">
        <v>38</v>
      </c>
      <c r="C751" s="12" t="s">
        <v>13</v>
      </c>
      <c r="D751" s="12">
        <v>4.5519020212155956</v>
      </c>
      <c r="E751" s="12">
        <v>3.8</v>
      </c>
      <c r="F751" s="12">
        <v>20</v>
      </c>
      <c r="G751" s="12">
        <v>3.8</v>
      </c>
      <c r="H751" s="12">
        <v>3.3970588235294112</v>
      </c>
      <c r="I751" s="12" t="s">
        <v>128</v>
      </c>
      <c r="J751" s="6">
        <v>46248</v>
      </c>
      <c r="K751">
        <v>46248</v>
      </c>
      <c r="L751">
        <v>0.83481585989524465</v>
      </c>
      <c r="M751">
        <v>0.83481585989524465</v>
      </c>
      <c r="N751">
        <v>0.74629436391564052</v>
      </c>
      <c r="O751">
        <v>1.1978689529514726</v>
      </c>
      <c r="P751">
        <v>1.1978689529514726</v>
      </c>
      <c r="Q751">
        <v>0.89396284829721351</v>
      </c>
      <c r="R751">
        <v>1.1186147186147188</v>
      </c>
      <c r="S751">
        <v>1.1186147186147188</v>
      </c>
      <c r="T751">
        <v>1.3399538417431192</v>
      </c>
    </row>
    <row r="752" spans="1:20" x14ac:dyDescent="0.25">
      <c r="A752" s="12" t="s">
        <v>63</v>
      </c>
      <c r="B752" s="12" t="s">
        <v>38</v>
      </c>
      <c r="C752" s="12" t="s">
        <v>14</v>
      </c>
      <c r="D752" s="12">
        <v>2.2474193200215868</v>
      </c>
      <c r="E752" s="12">
        <v>4.75</v>
      </c>
      <c r="F752" s="12">
        <v>20</v>
      </c>
      <c r="G752" s="12">
        <v>4.75</v>
      </c>
      <c r="H752" s="12">
        <v>1.882352941176471</v>
      </c>
      <c r="I752" s="12" t="s">
        <v>130</v>
      </c>
      <c r="J752" s="6">
        <v>46249</v>
      </c>
      <c r="K752">
        <v>46249</v>
      </c>
      <c r="L752">
        <v>2.1135352702914272</v>
      </c>
      <c r="M752">
        <v>2.1135352702914272</v>
      </c>
      <c r="N752">
        <v>0.83756196469753175</v>
      </c>
      <c r="O752">
        <v>0.47314090947822879</v>
      </c>
      <c r="P752">
        <v>0.47314090947822879</v>
      </c>
      <c r="Q752">
        <v>0.39628482972136231</v>
      </c>
      <c r="R752">
        <v>2.5234374999999996</v>
      </c>
      <c r="S752">
        <v>2.5234374999999996</v>
      </c>
      <c r="T752">
        <v>1.1939415137614677</v>
      </c>
    </row>
    <row r="753" spans="1:20" x14ac:dyDescent="0.25">
      <c r="A753" s="12" t="s">
        <v>63</v>
      </c>
      <c r="B753" s="12" t="s">
        <v>38</v>
      </c>
      <c r="C753" s="12" t="s">
        <v>13</v>
      </c>
      <c r="D753" s="12">
        <v>5.3727368119266048</v>
      </c>
      <c r="E753" s="12">
        <v>0.95</v>
      </c>
      <c r="F753" s="12">
        <v>20</v>
      </c>
      <c r="G753" s="12">
        <v>0.95</v>
      </c>
      <c r="H753" s="12">
        <v>1.6911764705882355</v>
      </c>
      <c r="I753" s="12" t="s">
        <v>143</v>
      </c>
      <c r="J753" s="6">
        <v>46249</v>
      </c>
      <c r="K753">
        <v>46249</v>
      </c>
      <c r="L753">
        <v>0.17681863699170114</v>
      </c>
      <c r="M753">
        <v>0.17681863699170114</v>
      </c>
      <c r="N753">
        <v>0.31477001941247112</v>
      </c>
      <c r="O753">
        <v>5.6555124336069529</v>
      </c>
      <c r="P753">
        <v>5.6555124336069529</v>
      </c>
      <c r="Q753">
        <v>1.7801857585139322</v>
      </c>
      <c r="R753">
        <v>0.56173913043478252</v>
      </c>
      <c r="S753">
        <v>0.56173913043478252</v>
      </c>
      <c r="T753">
        <v>3.1769226366174701</v>
      </c>
    </row>
    <row r="754" spans="1:20" x14ac:dyDescent="0.25">
      <c r="A754" s="12" t="s">
        <v>63</v>
      </c>
      <c r="B754" s="12" t="s">
        <v>38</v>
      </c>
      <c r="C754" s="12" t="s">
        <v>15</v>
      </c>
      <c r="D754" s="12">
        <v>1.2735376146788988</v>
      </c>
      <c r="E754" s="12">
        <v>0</v>
      </c>
      <c r="F754" s="12">
        <v>20</v>
      </c>
      <c r="G754" s="12">
        <v>0</v>
      </c>
      <c r="H754" s="12">
        <v>6.2745098039215685E-2</v>
      </c>
      <c r="I754" s="12" t="s">
        <v>131</v>
      </c>
      <c r="J754" s="6">
        <v>46249</v>
      </c>
      <c r="K754">
        <v>46249</v>
      </c>
      <c r="L754">
        <v>0</v>
      </c>
      <c r="M754">
        <v>0</v>
      </c>
      <c r="N754">
        <v>4.9268350864560689E-2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20.29700573394495</v>
      </c>
    </row>
    <row r="755" spans="1:20" x14ac:dyDescent="0.25">
      <c r="A755" s="12" t="s">
        <v>63</v>
      </c>
      <c r="B755" s="12" t="s">
        <v>38</v>
      </c>
      <c r="C755" s="12" t="s">
        <v>13</v>
      </c>
      <c r="D755" s="12">
        <v>3.5818245412844032</v>
      </c>
      <c r="E755" s="12">
        <v>1.9</v>
      </c>
      <c r="F755" s="12">
        <v>20</v>
      </c>
      <c r="G755" s="12">
        <v>1.9</v>
      </c>
      <c r="H755" s="12">
        <v>1.7647058823529416</v>
      </c>
      <c r="I755" s="12" t="s">
        <v>132</v>
      </c>
      <c r="J755" s="6">
        <v>46250</v>
      </c>
      <c r="K755">
        <v>46250</v>
      </c>
      <c r="L755">
        <v>0.53045591097510336</v>
      </c>
      <c r="M755">
        <v>0.53045591097510336</v>
      </c>
      <c r="N755">
        <v>0.492683508645607</v>
      </c>
      <c r="O755">
        <v>1.8851708112023176</v>
      </c>
      <c r="P755">
        <v>1.8851708112023176</v>
      </c>
      <c r="Q755">
        <v>0.92879256965944301</v>
      </c>
      <c r="R755">
        <v>1.0766666666666664</v>
      </c>
      <c r="S755">
        <v>1.0766666666666664</v>
      </c>
      <c r="T755">
        <v>2.0297005733944946</v>
      </c>
    </row>
    <row r="756" spans="1:20" x14ac:dyDescent="0.25">
      <c r="A756" s="12" t="s">
        <v>63</v>
      </c>
      <c r="B756" s="12" t="s">
        <v>38</v>
      </c>
      <c r="C756" s="12" t="s">
        <v>15</v>
      </c>
      <c r="D756" s="12">
        <v>1.2735376146788988</v>
      </c>
      <c r="E756" s="12">
        <v>0</v>
      </c>
      <c r="F756" s="12">
        <v>20</v>
      </c>
      <c r="G756" s="12">
        <v>0</v>
      </c>
      <c r="H756" s="12">
        <v>6.2745098039215685E-2</v>
      </c>
      <c r="I756" s="12" t="s">
        <v>133</v>
      </c>
      <c r="J756" s="6">
        <v>46250</v>
      </c>
      <c r="K756">
        <v>46250</v>
      </c>
      <c r="L756">
        <v>0</v>
      </c>
      <c r="M756">
        <v>0</v>
      </c>
      <c r="N756">
        <v>4.9268350864560689E-2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20.29700573394495</v>
      </c>
    </row>
    <row r="757" spans="1:20" x14ac:dyDescent="0.25">
      <c r="A757" s="12" t="s">
        <v>63</v>
      </c>
      <c r="B757" s="12" t="s">
        <v>38</v>
      </c>
      <c r="C757" s="12" t="s">
        <v>14</v>
      </c>
      <c r="D757" s="12">
        <v>2.2474193200215868</v>
      </c>
      <c r="E757" s="12">
        <v>4.75</v>
      </c>
      <c r="F757" s="12">
        <v>20</v>
      </c>
      <c r="G757" s="12">
        <v>4.75</v>
      </c>
      <c r="H757" s="12">
        <v>2.0484429065743948</v>
      </c>
      <c r="I757" s="12" t="s">
        <v>144</v>
      </c>
      <c r="J757" s="6">
        <v>46250</v>
      </c>
      <c r="K757">
        <v>46250</v>
      </c>
      <c r="L757">
        <v>2.1135352702914272</v>
      </c>
      <c r="M757">
        <v>2.1135352702914272</v>
      </c>
      <c r="N757">
        <v>0.91146449099437266</v>
      </c>
      <c r="O757">
        <v>0.47314090947822879</v>
      </c>
      <c r="P757">
        <v>0.47314090947822879</v>
      </c>
      <c r="Q757">
        <v>0.43125113822618838</v>
      </c>
      <c r="R757">
        <v>2.3188344594594592</v>
      </c>
      <c r="S757">
        <v>2.3188344594594592</v>
      </c>
      <c r="T757">
        <v>1.0971354450781057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901E1201-6DCC-4497-B063-0FAA807B9659}">
  <ds:schemaRefs>
    <ds:schemaRef ds:uri="http://schemas.microsoft.com/office/2006/metadata/properties"/>
    <ds:schemaRef ds:uri="http://schemas.microsoft.com/office/infopath/2007/PartnerControls"/>
    <ds:schemaRef ds:uri="df8b3e38-a5d6-4e8d-975c-a58e96566942"/>
    <ds:schemaRef ds:uri="7443686a-e97d-4b95-924d-9b4d820cf878"/>
    <ds:schemaRef ds:uri="cb0fa578-f870-47d6-b0d9-5a423e2a9cfb"/>
    <ds:schemaRef ds:uri="b568fc2f-4d2a-4f1a-a92d-be6ea9d479bf"/>
    <ds:schemaRef ds:uri="3be0b85a-8471-4f10-b038-505fde09e598"/>
    <ds:schemaRef ds:uri="f82d1b6b-c0e6-44b0-99a2-d357b2d50896"/>
    <ds:schemaRef ds:uri="a6ef9c2c-1ad1-4c09-9d1c-8c71a768c11f"/>
    <ds:schemaRef ds:uri="f574b478-68e4-495d-9b17-0f93d51a8ef7"/>
  </ds:schemaRefs>
</ds:datastoreItem>
</file>

<file path=customXml/itemProps2.xml><?xml version="1.0" encoding="utf-8"?>
<ds:datastoreItem xmlns:ds="http://schemas.openxmlformats.org/officeDocument/2006/customXml" ds:itemID="{E3C88C89-B8CA-48EA-A9D7-D701F75D985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E0E2409-7D3F-4591-957E-C6595A83DDB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5C8C21B-1234-41FE-A06A-AE7B112E17B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</vt:i4>
      </vt:variant>
    </vt:vector>
  </HeadingPairs>
  <TitlesOfParts>
    <vt:vector size="9" baseType="lpstr">
      <vt:lpstr>Unit1Path</vt:lpstr>
      <vt:lpstr>FILEPATH-EffortALL</vt:lpstr>
      <vt:lpstr>Table_EffortAllMatrixAG1_1D</vt:lpstr>
      <vt:lpstr>EffortOutcomesAG1-1DayShift</vt:lpstr>
      <vt:lpstr>'FILEPATH-EffortALL'!Client</vt:lpstr>
      <vt:lpstr>Unit1Path!Client</vt:lpstr>
      <vt:lpstr>FilePathUrl</vt:lpstr>
      <vt:lpstr>'FILEPATH-EffortALL'!Location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2022-12-21T04:59:52Z</dcterms:created>
  <dcterms:modified xsi:type="dcterms:W3CDTF">2026-10-01T23:39:36Z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